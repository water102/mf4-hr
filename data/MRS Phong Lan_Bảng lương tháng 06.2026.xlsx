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ong\Downloads\MS14\Lương và hợp đồng\Lương\Phiếu lương\Tháng 6.26\"/>
    </mc:Choice>
  </mc:AlternateContent>
  <xr:revisionPtr revIDLastSave="0" documentId="13_ncr:1_{2D069B5D-0301-4D22-AEA7-CF17DBC1E06D}" xr6:coauthVersionLast="47" xr6:coauthVersionMax="47" xr10:uidLastSave="{00000000-0000-0000-0000-000000000000}"/>
  <bookViews>
    <workbookView xWindow="-108" yWindow="-108" windowWidth="23256" windowHeight="12456" activeTab="2"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TL'!$A$11:$V$40</definedName>
    <definedName name="_xlnm._FilterDatabase" localSheetId="3" hidden="1">'3. BẢNG CHẤM CÔNG'!$A$10:$AV$30</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CÔNG'!$A$10:$AV$11</definedName>
    <definedName name="Z_56E9B80D_243F_40B6_91B9_5464FF1EEE5D_.wvu.FilterData" localSheetId="3" hidden="1">'3. BẢNG CHẤM CÔNG'!$C$10:$H$11</definedName>
    <definedName name="Z_F001DCF7_7858_4452_B989_2BC2E25DF2FD_.wvu.FilterData" localSheetId="3" hidden="1">'3. BẢNG CHẤM CÔNG'!$C$10:$H$11</definedName>
    <definedName name="Z_F0D95686_377B_4362_ADF9_0A7D9547883D_.wvu.FilterData" localSheetId="3" hidden="1">'3. BẢNG CHẤM CÔNG'!$C$10:$H$11</definedName>
  </definedNames>
  <calcPr calcId="191029"/>
  <customWorkbookViews>
    <customWorkbookView name="Hub - JS" guid="{56E9B80D-243F-40B6-91B9-5464FF1EEE5D}" maximized="1" windowWidth="0" windowHeight="0" activeSheetId="0"/>
    <customWorkbookView name="HQ Play" guid="{F001DCF7-7858-4452-B989-2BC2E25DF2FD}" maximized="1" windowWidth="0" windowHeight="0" activeSheetId="0"/>
    <customWorkbookView name="Bộ lọc 1" guid="{3D93CEF9-49E9-4DC4-8F19-88A64F2D43A5}" maximized="1" windowWidth="0" windowHeight="0" activeSheetId="0"/>
    <customWorkbookView name="HQ Group" guid="{F0D95686-377B-4362-ADF9-0A7D954788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G20" i="3" l="1"/>
  <c r="G19" i="3"/>
  <c r="AV30" i="9"/>
  <c r="AQ20" i="9"/>
  <c r="V20" i="9"/>
  <c r="M20" i="9"/>
  <c r="J20" i="9"/>
  <c r="H20" i="9"/>
  <c r="G20" i="9"/>
  <c r="AQ14" i="9"/>
  <c r="V14" i="9"/>
  <c r="M14" i="9"/>
  <c r="J14" i="9"/>
  <c r="AS26" i="4"/>
  <c r="H14" i="9" s="1"/>
  <c r="AQ26" i="4"/>
  <c r="AP26" i="4"/>
  <c r="AO26" i="4"/>
  <c r="AN26" i="4"/>
  <c r="AM26" i="4"/>
  <c r="AS25" i="4"/>
  <c r="H29" i="9" s="1"/>
  <c r="AQ25" i="4"/>
  <c r="AP25" i="4"/>
  <c r="AO25" i="4"/>
  <c r="AN25" i="4"/>
  <c r="AM25" i="4"/>
  <c r="AS24" i="4"/>
  <c r="H28" i="9" s="1"/>
  <c r="AQ24" i="4"/>
  <c r="AP24" i="4"/>
  <c r="AO24" i="4"/>
  <c r="AN24" i="4"/>
  <c r="AM24" i="4"/>
  <c r="AS23" i="4"/>
  <c r="H27" i="9" s="1"/>
  <c r="AQ23" i="4"/>
  <c r="AP23" i="4"/>
  <c r="AO23" i="4"/>
  <c r="AN23" i="4"/>
  <c r="AM23" i="4"/>
  <c r="F14" i="9"/>
  <c r="AO14" i="9" s="1"/>
  <c r="AR14" i="9" s="1"/>
  <c r="O33" i="7"/>
  <c r="S33" i="7"/>
  <c r="N33" i="7"/>
  <c r="M3" i="2"/>
  <c r="A4" i="3"/>
  <c r="AQ29" i="9"/>
  <c r="V29" i="9"/>
  <c r="M29" i="9"/>
  <c r="J29" i="9"/>
  <c r="AQ28" i="9"/>
  <c r="V28" i="9"/>
  <c r="M28" i="9"/>
  <c r="J28" i="9"/>
  <c r="F29" i="9"/>
  <c r="AO29" i="9" s="1"/>
  <c r="AR29" i="9" s="1"/>
  <c r="F28" i="9"/>
  <c r="AO28" i="9" s="1"/>
  <c r="AR28" i="9" s="1"/>
  <c r="AQ27" i="9"/>
  <c r="V27" i="9"/>
  <c r="M27" i="9"/>
  <c r="J27" i="9"/>
  <c r="F27" i="9"/>
  <c r="AO27" i="9" s="1"/>
  <c r="AR27" i="9" s="1"/>
  <c r="A16" i="9"/>
  <c r="A13" i="9"/>
  <c r="A12" i="9"/>
  <c r="AR24" i="4" l="1"/>
  <c r="AT24" i="4" s="1"/>
  <c r="AR23" i="4"/>
  <c r="AT23" i="4" s="1"/>
  <c r="AR25" i="4"/>
  <c r="AR26" i="4"/>
  <c r="AT25" i="4"/>
  <c r="G29" i="9"/>
  <c r="AL29" i="9" s="1"/>
  <c r="G28" i="9"/>
  <c r="AG28" i="9" s="1"/>
  <c r="A25" i="4"/>
  <c r="O32" i="7"/>
  <c r="S32" i="7" s="1"/>
  <c r="N32" i="7"/>
  <c r="F26" i="9"/>
  <c r="O30" i="7"/>
  <c r="S30" i="7" s="1"/>
  <c r="N31" i="7"/>
  <c r="O31" i="7" s="1"/>
  <c r="S31" i="7" s="1"/>
  <c r="N30" i="7"/>
  <c r="A31" i="7"/>
  <c r="A30" i="7"/>
  <c r="A29" i="7"/>
  <c r="A28" i="7"/>
  <c r="A27" i="7"/>
  <c r="A26" i="7"/>
  <c r="A25" i="7"/>
  <c r="A24" i="7"/>
  <c r="A23" i="7"/>
  <c r="A22" i="7"/>
  <c r="A21" i="7"/>
  <c r="A20" i="7"/>
  <c r="A19" i="7"/>
  <c r="A18" i="7"/>
  <c r="A17" i="7"/>
  <c r="A16" i="7"/>
  <c r="A15" i="7"/>
  <c r="A14" i="7"/>
  <c r="A13" i="7"/>
  <c r="A24" i="4"/>
  <c r="A23" i="4"/>
  <c r="A22" i="4"/>
  <c r="A21" i="4"/>
  <c r="A20" i="4"/>
  <c r="A19" i="4"/>
  <c r="A18" i="4"/>
  <c r="A17" i="4"/>
  <c r="A16" i="4"/>
  <c r="A15" i="4"/>
  <c r="A14" i="4"/>
  <c r="A13" i="4"/>
  <c r="A12" i="4"/>
  <c r="AQ26" i="9"/>
  <c r="V26" i="9"/>
  <c r="M26" i="9"/>
  <c r="J26" i="9"/>
  <c r="G27" i="9" l="1"/>
  <c r="AH27" i="9" s="1"/>
  <c r="AT26" i="4"/>
  <c r="G14" i="9"/>
  <c r="AK29" i="9"/>
  <c r="AM29" i="9"/>
  <c r="AH29" i="9"/>
  <c r="AG29" i="9"/>
  <c r="AM28" i="9"/>
  <c r="AL28" i="9"/>
  <c r="AI28" i="9"/>
  <c r="AI29" i="9"/>
  <c r="AH28" i="9"/>
  <c r="AK28" i="9"/>
  <c r="AO26" i="9"/>
  <c r="AR26" i="9" s="1"/>
  <c r="AL27" i="9" l="1"/>
  <c r="AI27" i="9"/>
  <c r="AG27" i="9"/>
  <c r="AM27" i="9"/>
  <c r="AK27" i="9"/>
  <c r="W14" i="9"/>
  <c r="AK14" i="9"/>
  <c r="AA14" i="9"/>
  <c r="AC14" i="9" s="1"/>
  <c r="K14" i="9"/>
  <c r="L14" i="9" s="1"/>
  <c r="X14" i="9"/>
  <c r="AL14" i="9"/>
  <c r="AH14" i="9"/>
  <c r="O14" i="9"/>
  <c r="AG14" i="9"/>
  <c r="AM14" i="9"/>
  <c r="AI14" i="9"/>
  <c r="Y14" i="9"/>
  <c r="AN29" i="9"/>
  <c r="AN28" i="9"/>
  <c r="AJ28" i="9"/>
  <c r="AJ29" i="9"/>
  <c r="AQ22" i="4"/>
  <c r="AQ21" i="4"/>
  <c r="AQ20" i="4"/>
  <c r="AQ19" i="4"/>
  <c r="AQ18" i="4"/>
  <c r="AQ17" i="4"/>
  <c r="AQ16" i="4"/>
  <c r="AQ15" i="4"/>
  <c r="AQ14" i="4"/>
  <c r="AQ13" i="4"/>
  <c r="AQ12" i="4"/>
  <c r="AS21" i="4"/>
  <c r="AP21" i="4"/>
  <c r="AO21" i="4"/>
  <c r="AN21" i="4"/>
  <c r="AM21" i="4"/>
  <c r="AS22" i="4"/>
  <c r="AP22" i="4"/>
  <c r="AO22" i="4"/>
  <c r="AN22" i="4"/>
  <c r="AM22" i="4"/>
  <c r="F20" i="9"/>
  <c r="N29" i="7"/>
  <c r="O29" i="7" s="1"/>
  <c r="S29" i="7" s="1"/>
  <c r="AS20" i="4"/>
  <c r="AP20" i="4"/>
  <c r="AO20" i="4"/>
  <c r="AN20" i="4"/>
  <c r="AM20" i="4"/>
  <c r="AO20" i="9" l="1"/>
  <c r="AR20" i="9" s="1"/>
  <c r="AL20" i="9"/>
  <c r="Y20" i="9"/>
  <c r="K20" i="9"/>
  <c r="L20" i="9" s="1"/>
  <c r="AI20" i="9"/>
  <c r="W20" i="9"/>
  <c r="AK20" i="9"/>
  <c r="AN20" i="9" s="1"/>
  <c r="X20" i="9"/>
  <c r="O20" i="9"/>
  <c r="AG20" i="9"/>
  <c r="AH20" i="9"/>
  <c r="AA20" i="9"/>
  <c r="AC20" i="9" s="1"/>
  <c r="AM20" i="9"/>
  <c r="AJ27" i="9"/>
  <c r="AN27" i="9"/>
  <c r="AN14" i="9"/>
  <c r="AJ14" i="9"/>
  <c r="Z14" i="9"/>
  <c r="AD14" i="9" s="1"/>
  <c r="AE14" i="9" s="1"/>
  <c r="AF14" i="9" s="1"/>
  <c r="H26" i="9"/>
  <c r="AR21" i="4"/>
  <c r="AR22" i="4"/>
  <c r="AT22" i="4" s="1"/>
  <c r="AR20" i="4"/>
  <c r="Z20" i="9" l="1"/>
  <c r="AD20" i="9" s="1"/>
  <c r="AE20" i="9" s="1"/>
  <c r="AF20" i="9" s="1"/>
  <c r="AS20" i="9" s="1"/>
  <c r="AT20" i="9" s="1"/>
  <c r="AV20" i="9" s="1"/>
  <c r="AJ20" i="9"/>
  <c r="AS14" i="9"/>
  <c r="AT14" i="9" s="1"/>
  <c r="AV14" i="9" s="1"/>
  <c r="AT21" i="4"/>
  <c r="G26" i="9"/>
  <c r="AH26" i="9" s="1"/>
  <c r="AT20" i="4"/>
  <c r="G24" i="9"/>
  <c r="AK26" i="9" l="1"/>
  <c r="AG26" i="9"/>
  <c r="AI26" i="9"/>
  <c r="AM26" i="9"/>
  <c r="AL26" i="9"/>
  <c r="AJ26" i="9" l="1"/>
  <c r="AN26" i="9"/>
  <c r="AS18" i="4"/>
  <c r="H18" i="9" s="1"/>
  <c r="AP18" i="4"/>
  <c r="AO18" i="4"/>
  <c r="AN18" i="4"/>
  <c r="AM18" i="4"/>
  <c r="N28" i="7"/>
  <c r="O28" i="7" s="1"/>
  <c r="S28" i="7" s="1"/>
  <c r="N27" i="7"/>
  <c r="O27" i="7" s="1"/>
  <c r="S27" i="7" s="1"/>
  <c r="N26" i="7"/>
  <c r="O26" i="7" s="1"/>
  <c r="S26" i="7" s="1"/>
  <c r="AU27" i="4"/>
  <c r="C12" i="3"/>
  <c r="C11" i="3"/>
  <c r="C10" i="3"/>
  <c r="C9" i="3"/>
  <c r="AU15" i="9"/>
  <c r="AP15" i="9"/>
  <c r="AB15" i="9"/>
  <c r="U15" i="9"/>
  <c r="T15" i="9"/>
  <c r="S15" i="9"/>
  <c r="R15" i="9"/>
  <c r="Q15" i="9"/>
  <c r="P15" i="9"/>
  <c r="N15" i="9"/>
  <c r="F24" i="9"/>
  <c r="AO24" i="9" s="1"/>
  <c r="AQ19" i="9"/>
  <c r="V19" i="9"/>
  <c r="M19" i="9"/>
  <c r="J19" i="9"/>
  <c r="F19" i="9"/>
  <c r="AQ18" i="9"/>
  <c r="V18" i="9"/>
  <c r="M18" i="9"/>
  <c r="J18" i="9"/>
  <c r="F18" i="9"/>
  <c r="AQ17" i="9"/>
  <c r="V17" i="9"/>
  <c r="M17" i="9"/>
  <c r="J17" i="9"/>
  <c r="F17" i="9"/>
  <c r="C19" i="9"/>
  <c r="C18" i="9"/>
  <c r="C17" i="9"/>
  <c r="AS19" i="4"/>
  <c r="H19" i="9" s="1"/>
  <c r="AP19" i="4"/>
  <c r="AO19" i="4"/>
  <c r="AN19" i="4"/>
  <c r="AM19" i="4"/>
  <c r="AS17" i="4"/>
  <c r="H17" i="9" s="1"/>
  <c r="AP17" i="4"/>
  <c r="AO17" i="4"/>
  <c r="AN17" i="4"/>
  <c r="AM17" i="4"/>
  <c r="N25" i="7"/>
  <c r="O25" i="7" s="1"/>
  <c r="S25" i="7" s="1"/>
  <c r="N24" i="7"/>
  <c r="O24" i="7" s="1"/>
  <c r="S24" i="7" s="1"/>
  <c r="N23" i="7"/>
  <c r="O23" i="7" s="1"/>
  <c r="S23" i="7" s="1"/>
  <c r="N22" i="7"/>
  <c r="O22" i="7" s="1"/>
  <c r="S22" i="7" s="1"/>
  <c r="AU21" i="9"/>
  <c r="AP21" i="9"/>
  <c r="U21" i="9"/>
  <c r="T21" i="9"/>
  <c r="S21" i="9"/>
  <c r="R21" i="9"/>
  <c r="Q21" i="9"/>
  <c r="P21" i="9"/>
  <c r="N21" i="9"/>
  <c r="J24" i="9"/>
  <c r="M24" i="9"/>
  <c r="V24" i="9"/>
  <c r="AQ24" i="9"/>
  <c r="N21" i="7"/>
  <c r="O21" i="7" s="1"/>
  <c r="S21" i="7" s="1"/>
  <c r="H24" i="9"/>
  <c r="A29" i="9" l="1"/>
  <c r="A28" i="9"/>
  <c r="A25" i="9"/>
  <c r="A24" i="9"/>
  <c r="A27" i="9"/>
  <c r="A26" i="9"/>
  <c r="A23" i="9"/>
  <c r="A22" i="9"/>
  <c r="A20" i="9"/>
  <c r="A17" i="9"/>
  <c r="A19" i="9"/>
  <c r="A18" i="9"/>
  <c r="AR18" i="4"/>
  <c r="AT18" i="4" s="1"/>
  <c r="AR17" i="4"/>
  <c r="AT17" i="4" s="1"/>
  <c r="AR19" i="4"/>
  <c r="AO17" i="9"/>
  <c r="AO18" i="9"/>
  <c r="AO19" i="9"/>
  <c r="AR19" i="9" s="1"/>
  <c r="AR24" i="9"/>
  <c r="AR17" i="9" l="1"/>
  <c r="AR18" i="9"/>
  <c r="G17" i="9"/>
  <c r="G18" i="9"/>
  <c r="AT19" i="4"/>
  <c r="G19" i="9"/>
  <c r="AB21" i="9"/>
  <c r="F25" i="9"/>
  <c r="AQ25" i="9"/>
  <c r="V25" i="9"/>
  <c r="M25" i="9"/>
  <c r="J25" i="9"/>
  <c r="AS16" i="4"/>
  <c r="AP16" i="4"/>
  <c r="AO16" i="4"/>
  <c r="AN16" i="4"/>
  <c r="AM16" i="4"/>
  <c r="H25" i="9" l="1"/>
  <c r="AM17" i="9"/>
  <c r="AG17" i="9"/>
  <c r="AL17" i="9"/>
  <c r="AI17" i="9"/>
  <c r="AK17" i="9"/>
  <c r="AH17" i="9"/>
  <c r="AH19" i="9"/>
  <c r="AL19" i="9"/>
  <c r="AG19" i="9"/>
  <c r="AI19" i="9"/>
  <c r="AM19" i="9"/>
  <c r="AK19" i="9"/>
  <c r="AI18" i="9"/>
  <c r="AH18" i="9"/>
  <c r="AM18" i="9"/>
  <c r="AG18" i="9"/>
  <c r="AK18" i="9"/>
  <c r="AL18" i="9"/>
  <c r="AR16" i="4"/>
  <c r="AO25" i="9"/>
  <c r="AR25" i="9" l="1"/>
  <c r="AJ17" i="9"/>
  <c r="AN17" i="9"/>
  <c r="AN19" i="9"/>
  <c r="AN18" i="9"/>
  <c r="AJ19" i="9"/>
  <c r="AJ18" i="9"/>
  <c r="AT16" i="4"/>
  <c r="G25" i="9"/>
  <c r="AS13" i="4"/>
  <c r="AP13" i="4"/>
  <c r="AO13" i="4"/>
  <c r="AN13" i="4"/>
  <c r="AM13" i="4"/>
  <c r="AL25" i="9" l="1"/>
  <c r="AK25" i="9"/>
  <c r="AG25" i="9"/>
  <c r="AM25" i="9"/>
  <c r="AH25" i="9"/>
  <c r="AI25" i="9"/>
  <c r="AR13" i="4"/>
  <c r="AT13" i="4" s="1"/>
  <c r="C8" i="3"/>
  <c r="C7" i="3"/>
  <c r="AN25" i="9" l="1"/>
  <c r="AJ25" i="9"/>
  <c r="AP11" i="9"/>
  <c r="AB11" i="9"/>
  <c r="U11" i="9"/>
  <c r="T11" i="9"/>
  <c r="T30" i="9" s="1"/>
  <c r="S11" i="9"/>
  <c r="R11" i="9"/>
  <c r="Q11" i="9"/>
  <c r="P11" i="9"/>
  <c r="N11" i="9"/>
  <c r="AU30" i="9"/>
  <c r="AB30" i="9" l="1"/>
  <c r="Q30" i="9"/>
  <c r="R30" i="9"/>
  <c r="S30" i="9"/>
  <c r="U30" i="9"/>
  <c r="N30" i="9"/>
  <c r="AP30" i="9"/>
  <c r="P30" i="9"/>
  <c r="AQ23" i="9"/>
  <c r="V23" i="9"/>
  <c r="M23" i="9"/>
  <c r="J23" i="9"/>
  <c r="F23" i="9"/>
  <c r="N19" i="7"/>
  <c r="O19" i="7" s="1"/>
  <c r="S19" i="7" s="1"/>
  <c r="AQ13" i="9"/>
  <c r="AR13" i="9" s="1"/>
  <c r="V13" i="9"/>
  <c r="M13" i="9"/>
  <c r="J13" i="9"/>
  <c r="AS14" i="4"/>
  <c r="H13" i="9" s="1"/>
  <c r="AP14" i="4"/>
  <c r="AO14" i="4"/>
  <c r="AN14" i="4"/>
  <c r="AM14" i="4"/>
  <c r="N18" i="7"/>
  <c r="O18" i="7" s="1"/>
  <c r="S18" i="7" s="1"/>
  <c r="H34" i="7"/>
  <c r="K34" i="7"/>
  <c r="N17" i="7"/>
  <c r="G34" i="7"/>
  <c r="AR14" i="4" l="1"/>
  <c r="G13" i="9" s="1"/>
  <c r="AO23" i="9"/>
  <c r="AR23" i="9" s="1"/>
  <c r="AT14" i="4" l="1"/>
  <c r="R9" i="6" l="1"/>
  <c r="D9" i="6"/>
  <c r="D8" i="6"/>
  <c r="D7" i="6"/>
  <c r="D6" i="6"/>
  <c r="C5" i="3"/>
  <c r="C6" i="3"/>
  <c r="S9" i="6" l="1"/>
  <c r="T9" i="6" s="1"/>
  <c r="R8" i="6"/>
  <c r="S8" i="6" s="1"/>
  <c r="T8" i="6" s="1"/>
  <c r="AS15" i="4"/>
  <c r="H12" i="9" s="1"/>
  <c r="AP15" i="4"/>
  <c r="AO15" i="4"/>
  <c r="AN15" i="4"/>
  <c r="AM15" i="4"/>
  <c r="AQ12" i="9"/>
  <c r="V12" i="9"/>
  <c r="M12" i="9"/>
  <c r="J12" i="9"/>
  <c r="F12" i="9"/>
  <c r="AR15" i="4" l="1"/>
  <c r="G12" i="9" s="1"/>
  <c r="AK12" i="9" s="1"/>
  <c r="AR12" i="9"/>
  <c r="I30" i="9"/>
  <c r="J34" i="7"/>
  <c r="I34" i="7"/>
  <c r="F22" i="9"/>
  <c r="N16" i="7"/>
  <c r="O16" i="7" s="1"/>
  <c r="S16" i="7" s="1"/>
  <c r="AQ22" i="9"/>
  <c r="AQ21" i="9" s="1"/>
  <c r="V22" i="9"/>
  <c r="V21" i="9" s="1"/>
  <c r="M22" i="9"/>
  <c r="M21" i="9" s="1"/>
  <c r="J22" i="9"/>
  <c r="J21" i="9" s="1"/>
  <c r="AG12" i="9" l="1"/>
  <c r="AM12" i="9"/>
  <c r="AI12" i="9"/>
  <c r="AH12" i="9"/>
  <c r="AL12" i="9"/>
  <c r="AT15" i="4"/>
  <c r="G22" i="9"/>
  <c r="H22" i="9"/>
  <c r="AO22" i="9"/>
  <c r="AO21" i="9" s="1"/>
  <c r="AR22" i="9" l="1"/>
  <c r="AR21" i="9" s="1"/>
  <c r="AJ12" i="9"/>
  <c r="AN12" i="9"/>
  <c r="N13" i="7"/>
  <c r="N14" i="7"/>
  <c r="O14" i="7" l="1"/>
  <c r="AP12" i="4"/>
  <c r="AO12" i="4"/>
  <c r="AN12" i="4"/>
  <c r="AS12" i="4"/>
  <c r="H23" i="9" s="1"/>
  <c r="S14" i="7" l="1"/>
  <c r="N15" i="7"/>
  <c r="O15" i="7" s="1"/>
  <c r="S15" i="7" s="1"/>
  <c r="F13" i="9"/>
  <c r="AM12" i="4"/>
  <c r="AR12" i="4" s="1"/>
  <c r="G23" i="9" l="1"/>
  <c r="AL23" i="9" s="1"/>
  <c r="AL21" i="9" s="1"/>
  <c r="AT12" i="4"/>
  <c r="AK13" i="9"/>
  <c r="AM13" i="9"/>
  <c r="AH13" i="9"/>
  <c r="AG13" i="9"/>
  <c r="AI13" i="9"/>
  <c r="AL13" i="9"/>
  <c r="C4" i="3"/>
  <c r="F11" i="12"/>
  <c r="F10" i="12"/>
  <c r="F9" i="12"/>
  <c r="AQ11" i="9"/>
  <c r="V11" i="9"/>
  <c r="M11" i="9"/>
  <c r="J11" i="9"/>
  <c r="A13" i="3" l="1"/>
  <c r="A9" i="3"/>
  <c r="A8" i="3"/>
  <c r="A7" i="3"/>
  <c r="A12" i="3"/>
  <c r="A11" i="3"/>
  <c r="A18" i="3"/>
  <c r="A10" i="3"/>
  <c r="A17" i="3"/>
  <c r="A14" i="3"/>
  <c r="A6" i="3"/>
  <c r="A5" i="3"/>
  <c r="A16" i="3"/>
  <c r="A15" i="3"/>
  <c r="AG23" i="9"/>
  <c r="AG21" i="9" s="1"/>
  <c r="AM23" i="9"/>
  <c r="AM21" i="9" s="1"/>
  <c r="AI23" i="9"/>
  <c r="AI21" i="9" s="1"/>
  <c r="AK23" i="9"/>
  <c r="AK21" i="9" s="1"/>
  <c r="AH23" i="9"/>
  <c r="AH21" i="9" s="1"/>
  <c r="AJ13" i="9"/>
  <c r="AN13" i="9"/>
  <c r="F12" i="12"/>
  <c r="AO11" i="9"/>
  <c r="AN23" i="9" l="1"/>
  <c r="AN21" i="9" s="1"/>
  <c r="AJ23" i="9"/>
  <c r="AJ21" i="9" s="1"/>
  <c r="AR11" i="9"/>
  <c r="M34" i="7" l="1"/>
  <c r="L34" i="7"/>
  <c r="O13" i="7" l="1"/>
  <c r="S13" i="7" l="1"/>
  <c r="H8" i="4"/>
  <c r="E35" i="7" l="1"/>
  <c r="F35" i="7" s="1"/>
  <c r="G35" i="7" s="1"/>
  <c r="H35" i="7" s="1"/>
  <c r="I35" i="7" s="1"/>
  <c r="J35" i="7" s="1"/>
  <c r="K35" i="7" s="1"/>
  <c r="L35" i="7" s="1"/>
  <c r="M35"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AQ16" i="9"/>
  <c r="AQ15" i="9" s="1"/>
  <c r="V16" i="9"/>
  <c r="V15" i="9" s="1"/>
  <c r="M16" i="9"/>
  <c r="M15" i="9" s="1"/>
  <c r="J16" i="9"/>
  <c r="J15" i="9" s="1"/>
  <c r="F16"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35" i="7"/>
  <c r="R34" i="7"/>
  <c r="Q34" i="7"/>
  <c r="P34" i="7"/>
  <c r="N12" i="7"/>
  <c r="N34"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28" i="4"/>
  <c r="D28" i="4" s="1"/>
  <c r="E28" i="4" s="1"/>
  <c r="F28" i="4" s="1"/>
  <c r="G28" i="4" s="1"/>
  <c r="H28" i="4" s="1"/>
  <c r="I28" i="4" s="1"/>
  <c r="J28" i="4" s="1"/>
  <c r="K28" i="4" s="1"/>
  <c r="L28" i="4" s="1"/>
  <c r="M28" i="4" s="1"/>
  <c r="N28" i="4" s="1"/>
  <c r="O28" i="4" s="1"/>
  <c r="P28" i="4" s="1"/>
  <c r="Q28" i="4" s="1"/>
  <c r="R28" i="4" s="1"/>
  <c r="S28" i="4" s="1"/>
  <c r="T28" i="4" s="1"/>
  <c r="U28" i="4" s="1"/>
  <c r="V28" i="4" s="1"/>
  <c r="W28" i="4" s="1"/>
  <c r="X28" i="4" s="1"/>
  <c r="Y28" i="4" s="1"/>
  <c r="Z28" i="4" s="1"/>
  <c r="AA28" i="4" s="1"/>
  <c r="AB28" i="4" s="1"/>
  <c r="AC28" i="4" s="1"/>
  <c r="AD28" i="4" s="1"/>
  <c r="AE28" i="4" s="1"/>
  <c r="AF28" i="4" s="1"/>
  <c r="AG28" i="4" s="1"/>
  <c r="AH28" i="4" s="1"/>
  <c r="AI28" i="4" s="1"/>
  <c r="AJ28" i="4" s="1"/>
  <c r="AK28" i="4" s="1"/>
  <c r="AL28" i="4" s="1"/>
  <c r="AM28" i="4" s="1"/>
  <c r="AN28" i="4" s="1"/>
  <c r="AO28" i="4" s="1"/>
  <c r="AP28" i="4" s="1"/>
  <c r="AQ28" i="4" s="1"/>
  <c r="AR28" i="4" s="1"/>
  <c r="AS28" i="4" s="1"/>
  <c r="AT28" i="4" s="1"/>
  <c r="AU28" i="4" s="1"/>
  <c r="AV28" i="4" s="1"/>
  <c r="J12" i="12"/>
  <c r="AS11" i="4"/>
  <c r="AQ11" i="4"/>
  <c r="F6" i="6" s="1"/>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S27" i="4" l="1"/>
  <c r="AP27" i="4"/>
  <c r="AN27" i="4"/>
  <c r="AO27" i="4"/>
  <c r="AQ30" i="9"/>
  <c r="M30" i="9"/>
  <c r="J30" i="9"/>
  <c r="H16" i="9"/>
  <c r="H30" i="9" s="1"/>
  <c r="AO16" i="9"/>
  <c r="AO15" i="9" s="1"/>
  <c r="O12" i="7"/>
  <c r="O34" i="7" s="1"/>
  <c r="T7" i="10"/>
  <c r="AV43" i="9"/>
  <c r="AQ27" i="4"/>
  <c r="S10" i="10"/>
  <c r="O10" i="10"/>
  <c r="Q36" i="13"/>
  <c r="G5" i="6"/>
  <c r="N10" i="10"/>
  <c r="J11" i="10"/>
  <c r="T9" i="10"/>
  <c r="K8" i="4"/>
  <c r="J9" i="4"/>
  <c r="I9" i="4"/>
  <c r="F5" i="6"/>
  <c r="R6" i="6"/>
  <c r="AM27" i="4"/>
  <c r="H9" i="4"/>
  <c r="J11" i="12"/>
  <c r="G7" i="10"/>
  <c r="AR11" i="4"/>
  <c r="G16" i="9" l="1"/>
  <c r="G30" i="9" s="1"/>
  <c r="AT11" i="4"/>
  <c r="AR27" i="4"/>
  <c r="AR10" i="4" s="1"/>
  <c r="V30" i="9"/>
  <c r="AV38" i="9" s="1"/>
  <c r="AM11" i="9"/>
  <c r="AG11" i="9"/>
  <c r="AH11" i="9"/>
  <c r="AI11" i="9"/>
  <c r="AL11" i="9"/>
  <c r="AO30" i="9"/>
  <c r="AR16" i="9"/>
  <c r="AR15" i="9" s="1"/>
  <c r="S12" i="7"/>
  <c r="S34" i="7" s="1"/>
  <c r="T8" i="10"/>
  <c r="T11" i="10" s="1"/>
  <c r="R5" i="6"/>
  <c r="T5" i="6"/>
  <c r="J9" i="12"/>
  <c r="J10" i="12"/>
  <c r="I7" i="10"/>
  <c r="K9" i="4"/>
  <c r="L8" i="4"/>
  <c r="G8" i="10"/>
  <c r="AJ11" i="9" l="1"/>
  <c r="AN11" i="9"/>
  <c r="AK11" i="9"/>
  <c r="AR30" i="9"/>
  <c r="AI16" i="9"/>
  <c r="AI15" i="9" s="1"/>
  <c r="G9" i="10"/>
  <c r="AM16" i="9"/>
  <c r="AM15" i="9" s="1"/>
  <c r="AH16" i="9"/>
  <c r="AH15" i="9" s="1"/>
  <c r="AL16" i="9"/>
  <c r="AL15" i="9" s="1"/>
  <c r="AG16" i="9"/>
  <c r="AG15" i="9" s="1"/>
  <c r="AK16" i="9"/>
  <c r="AK15" i="9" s="1"/>
  <c r="H7" i="10"/>
  <c r="O7" i="10" s="1"/>
  <c r="I8" i="10"/>
  <c r="I11" i="10" s="1"/>
  <c r="L9" i="4"/>
  <c r="M8" i="4"/>
  <c r="G11" i="10"/>
  <c r="AM30" i="9" l="1"/>
  <c r="AI30" i="9"/>
  <c r="AH30" i="9"/>
  <c r="AK30" i="9"/>
  <c r="AG30" i="9"/>
  <c r="AL30" i="9"/>
  <c r="AN16" i="9"/>
  <c r="AN15" i="9" s="1"/>
  <c r="AJ16" i="9"/>
  <c r="AJ15" i="9" s="1"/>
  <c r="K7" i="10"/>
  <c r="H9" i="10"/>
  <c r="H11" i="10"/>
  <c r="M9" i="4"/>
  <c r="N8" i="4"/>
  <c r="AN30" i="9" l="1"/>
  <c r="AJ30"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41" i="9" l="1"/>
  <c r="G4" i="9" l="1"/>
  <c r="O28" i="9" l="1"/>
  <c r="X27" i="9"/>
  <c r="W29" i="9"/>
  <c r="W28" i="9"/>
  <c r="O29" i="9"/>
  <c r="X29" i="9"/>
  <c r="K28" i="9"/>
  <c r="L28" i="9" s="1"/>
  <c r="K29" i="9"/>
  <c r="L29" i="9" s="1"/>
  <c r="Y29" i="9"/>
  <c r="K27" i="9"/>
  <c r="L27" i="9" s="1"/>
  <c r="O27" i="9"/>
  <c r="AA29" i="9"/>
  <c r="AC29" i="9" s="1"/>
  <c r="AA27" i="9"/>
  <c r="AC27" i="9" s="1"/>
  <c r="AA28" i="9"/>
  <c r="AC28" i="9" s="1"/>
  <c r="Y28" i="9"/>
  <c r="W27" i="9"/>
  <c r="Y27" i="9"/>
  <c r="X28" i="9"/>
  <c r="W26" i="9"/>
  <c r="K26" i="9"/>
  <c r="L26" i="9" s="1"/>
  <c r="X26" i="9"/>
  <c r="O26" i="9"/>
  <c r="Y26" i="9"/>
  <c r="AA26" i="9"/>
  <c r="AC26" i="9" s="1"/>
  <c r="X19" i="9"/>
  <c r="W17" i="9"/>
  <c r="X18" i="9"/>
  <c r="Y18" i="9"/>
  <c r="Y19" i="9"/>
  <c r="X17" i="9"/>
  <c r="O19" i="9"/>
  <c r="K19" i="9"/>
  <c r="L19" i="9" s="1"/>
  <c r="W18" i="9"/>
  <c r="AA17" i="9"/>
  <c r="AC17" i="9" s="1"/>
  <c r="AA18" i="9"/>
  <c r="K17" i="9"/>
  <c r="L17" i="9" s="1"/>
  <c r="O17" i="9"/>
  <c r="K18" i="9"/>
  <c r="W19" i="9"/>
  <c r="Y17" i="9"/>
  <c r="AA19" i="9"/>
  <c r="AC19" i="9" s="1"/>
  <c r="O18" i="9"/>
  <c r="Y24" i="9"/>
  <c r="K24" i="9"/>
  <c r="L24" i="9" s="1"/>
  <c r="AA24" i="9"/>
  <c r="AC24" i="9" s="1"/>
  <c r="O24" i="9"/>
  <c r="W24" i="9"/>
  <c r="X24" i="9"/>
  <c r="W25" i="9"/>
  <c r="AA25" i="9"/>
  <c r="AC25" i="9" s="1"/>
  <c r="O25" i="9"/>
  <c r="Y25" i="9"/>
  <c r="K25" i="9"/>
  <c r="L25" i="9" s="1"/>
  <c r="X25" i="9"/>
  <c r="AA23" i="9"/>
  <c r="AC23" i="9" s="1"/>
  <c r="K23" i="9"/>
  <c r="Y23" i="9"/>
  <c r="X23" i="9"/>
  <c r="W23" i="9"/>
  <c r="O23" i="9"/>
  <c r="Y13" i="9"/>
  <c r="AA13" i="9"/>
  <c r="AC13" i="9" s="1"/>
  <c r="W13" i="9"/>
  <c r="K13" i="9"/>
  <c r="L13" i="9" s="1"/>
  <c r="O13" i="9"/>
  <c r="X13" i="9"/>
  <c r="O12" i="9"/>
  <c r="X12" i="9"/>
  <c r="K12" i="9"/>
  <c r="Y12" i="9"/>
  <c r="W12" i="9"/>
  <c r="AA12" i="9"/>
  <c r="K22" i="9"/>
  <c r="O22" i="9"/>
  <c r="X22" i="9"/>
  <c r="AA22" i="9"/>
  <c r="W22" i="9"/>
  <c r="Y22" i="9"/>
  <c r="J8" i="12"/>
  <c r="Y16" i="9"/>
  <c r="X16" i="9"/>
  <c r="K16" i="9"/>
  <c r="O16" i="9"/>
  <c r="AA16" i="9"/>
  <c r="W16" i="9"/>
  <c r="Z27" i="9" l="1"/>
  <c r="AD27" i="9" s="1"/>
  <c r="AE27" i="9" s="1"/>
  <c r="AF27" i="9" s="1"/>
  <c r="AS27" i="9" s="1"/>
  <c r="AT27" i="9" s="1"/>
  <c r="AV27" i="9" s="1"/>
  <c r="G16" i="3" s="1"/>
  <c r="Z29" i="9"/>
  <c r="AD29" i="9" s="1"/>
  <c r="AE29" i="9" s="1"/>
  <c r="AF29" i="9" s="1"/>
  <c r="AS29" i="9" s="1"/>
  <c r="AT29" i="9" s="1"/>
  <c r="AV29" i="9" s="1"/>
  <c r="G18" i="3" s="1"/>
  <c r="Z28" i="9"/>
  <c r="AD28" i="9" s="1"/>
  <c r="AE28" i="9" s="1"/>
  <c r="AF28" i="9" s="1"/>
  <c r="AS28" i="9" s="1"/>
  <c r="AT28" i="9" s="1"/>
  <c r="AV28" i="9" s="1"/>
  <c r="G17" i="3" s="1"/>
  <c r="Z26" i="9"/>
  <c r="AD26" i="9" s="1"/>
  <c r="AE26" i="9" s="1"/>
  <c r="AF26" i="9" s="1"/>
  <c r="AS26" i="9" s="1"/>
  <c r="AT26" i="9" s="1"/>
  <c r="AV26" i="9" s="1"/>
  <c r="L18" i="9"/>
  <c r="AC18" i="9"/>
  <c r="AT27" i="4"/>
  <c r="AT10" i="4" s="1"/>
  <c r="Z19" i="9"/>
  <c r="AD19" i="9" s="1"/>
  <c r="AE19" i="9" s="1"/>
  <c r="AF19" i="9" s="1"/>
  <c r="AS19" i="9" s="1"/>
  <c r="AT19" i="9" s="1"/>
  <c r="AV19" i="9" s="1"/>
  <c r="G12" i="3" s="1"/>
  <c r="Z18" i="9"/>
  <c r="Z17" i="9"/>
  <c r="AD17" i="9" s="1"/>
  <c r="AE17" i="9" s="1"/>
  <c r="AF17" i="9" s="1"/>
  <c r="AS17" i="9" s="1"/>
  <c r="AT17" i="9" s="1"/>
  <c r="AV17" i="9" s="1"/>
  <c r="G10" i="3" s="1"/>
  <c r="X21" i="9"/>
  <c r="W21" i="9"/>
  <c r="O21" i="9"/>
  <c r="K21" i="9"/>
  <c r="Y21" i="9"/>
  <c r="Z24" i="9"/>
  <c r="AD24" i="9" s="1"/>
  <c r="AE24" i="9" s="1"/>
  <c r="AA21" i="9"/>
  <c r="Z25" i="9"/>
  <c r="AD25" i="9" s="1"/>
  <c r="AE25" i="9" s="1"/>
  <c r="AF25" i="9" s="1"/>
  <c r="AS25" i="9" s="1"/>
  <c r="AT25" i="9" s="1"/>
  <c r="AV25" i="9" s="1"/>
  <c r="G9" i="3" s="1"/>
  <c r="L22" i="9"/>
  <c r="O11" i="9"/>
  <c r="Y11" i="9"/>
  <c r="W11" i="9"/>
  <c r="X11" i="9"/>
  <c r="K11" i="9"/>
  <c r="J13" i="12"/>
  <c r="Z23" i="9"/>
  <c r="AD23" i="9" s="1"/>
  <c r="L23" i="9"/>
  <c r="AC22" i="9"/>
  <c r="Z13" i="9"/>
  <c r="AD13" i="9" s="1"/>
  <c r="AE13" i="9" s="1"/>
  <c r="AF13" i="9" s="1"/>
  <c r="AS13" i="9" s="1"/>
  <c r="AT13" i="9" s="1"/>
  <c r="AV13" i="9" s="1"/>
  <c r="G8" i="3" s="1"/>
  <c r="AC12" i="9"/>
  <c r="AA11" i="9"/>
  <c r="AC16" i="9"/>
  <c r="L12" i="9"/>
  <c r="Z12" i="9"/>
  <c r="Z22" i="9"/>
  <c r="L16" i="9"/>
  <c r="I9" i="10"/>
  <c r="O9" i="10" s="1"/>
  <c r="K9" i="10"/>
  <c r="Z16" i="9"/>
  <c r="G14" i="3" l="1"/>
  <c r="K15" i="9"/>
  <c r="K30" i="9" s="1"/>
  <c r="AA15" i="9"/>
  <c r="AA30" i="9" s="1"/>
  <c r="X15" i="9"/>
  <c r="X30" i="9" s="1"/>
  <c r="W15" i="9"/>
  <c r="W30" i="9" s="1"/>
  <c r="O15" i="9"/>
  <c r="O30" i="9" s="1"/>
  <c r="AV37" i="9" s="1"/>
  <c r="Y15" i="9"/>
  <c r="Y30" i="9" s="1"/>
  <c r="AC15" i="9"/>
  <c r="AD18" i="9"/>
  <c r="L15" i="9"/>
  <c r="I16" i="12"/>
  <c r="Z21" i="9"/>
  <c r="L21" i="9"/>
  <c r="AF24" i="9"/>
  <c r="AS24" i="9" s="1"/>
  <c r="AT24" i="9" s="1"/>
  <c r="AV24" i="9" s="1"/>
  <c r="G13" i="3" s="1"/>
  <c r="AC21" i="9"/>
  <c r="L11" i="9"/>
  <c r="Z11" i="9"/>
  <c r="I21" i="12"/>
  <c r="I20" i="12"/>
  <c r="I19" i="12"/>
  <c r="I18" i="12"/>
  <c r="AC11" i="9"/>
  <c r="AD12" i="9"/>
  <c r="AD22" i="9"/>
  <c r="AD21" i="9" s="1"/>
  <c r="AE23" i="9"/>
  <c r="H8" i="10"/>
  <c r="O8" i="10" s="1"/>
  <c r="U8" i="10" s="1"/>
  <c r="AD16" i="9"/>
  <c r="Z15" i="9" l="1"/>
  <c r="Z30" i="9" s="1"/>
  <c r="AE18" i="9"/>
  <c r="AC30" i="9"/>
  <c r="L30" i="9"/>
  <c r="AV36" i="9" s="1"/>
  <c r="AF23" i="9"/>
  <c r="AS23" i="9" s="1"/>
  <c r="AT23" i="9" s="1"/>
  <c r="K8" i="10"/>
  <c r="AE22" i="9"/>
  <c r="AE21" i="9" s="1"/>
  <c r="AE12" i="9"/>
  <c r="AD11" i="9"/>
  <c r="I17" i="12"/>
  <c r="U11" i="10"/>
  <c r="V8" i="10"/>
  <c r="V11" i="10" s="1"/>
  <c r="AE16" i="9"/>
  <c r="AD15" i="9" l="1"/>
  <c r="AD30" i="9" s="1"/>
  <c r="AV39" i="9" s="1"/>
  <c r="AV40" i="9" s="1"/>
  <c r="AF18" i="9"/>
  <c r="I31" i="12"/>
  <c r="I24" i="12"/>
  <c r="AV23" i="9"/>
  <c r="G7" i="3" s="1"/>
  <c r="AE11" i="9"/>
  <c r="AF12" i="9"/>
  <c r="AF22" i="9"/>
  <c r="AF21" i="9" s="1"/>
  <c r="M8" i="10"/>
  <c r="AF16" i="9"/>
  <c r="AE15" i="9" l="1"/>
  <c r="AE30" i="9" s="1"/>
  <c r="AS18" i="9"/>
  <c r="AS12" i="9"/>
  <c r="AF11" i="9"/>
  <c r="AS22" i="9"/>
  <c r="AS21" i="9" s="1"/>
  <c r="L8" i="10"/>
  <c r="N8" i="10" s="1"/>
  <c r="AS16" i="9"/>
  <c r="AF15" i="9" l="1"/>
  <c r="AF30" i="9" s="1"/>
  <c r="AT18" i="9"/>
  <c r="AT22" i="9"/>
  <c r="AT21" i="9" s="1"/>
  <c r="AT16" i="9"/>
  <c r="AT12" i="9"/>
  <c r="AS11" i="9"/>
  <c r="I27" i="12"/>
  <c r="G15" i="3" l="1"/>
  <c r="AS15" i="9"/>
  <c r="AS30" i="9" s="1"/>
  <c r="AV18" i="9"/>
  <c r="G11" i="3" s="1"/>
  <c r="AV12" i="9"/>
  <c r="AV11" i="9" s="1"/>
  <c r="AT11" i="9"/>
  <c r="AV16" i="9"/>
  <c r="AV22" i="9"/>
  <c r="AV21" i="9" s="1"/>
  <c r="I25" i="12"/>
  <c r="I30" i="12" s="1"/>
  <c r="I32" i="12" s="1"/>
  <c r="AW30" i="9"/>
  <c r="AV15" i="9" l="1"/>
  <c r="AT15" i="9"/>
  <c r="AT30" i="9" s="1"/>
  <c r="G5" i="3"/>
  <c r="G6" i="3"/>
  <c r="G4" i="3"/>
  <c r="O17" i="7" l="1"/>
  <c r="S17" i="7" s="1"/>
  <c r="N12" i="2" l="1"/>
  <c r="N13" i="2" s="1"/>
  <c r="AV42" i="9"/>
  <c r="AV44" i="9" s="1"/>
  <c r="AV45" i="9" l="1"/>
  <c r="N20" i="7" l="1"/>
  <c r="O20" i="7" s="1"/>
  <c r="S2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<sst xmlns="http://schemas.openxmlformats.org/spreadsheetml/2006/main" count="1039" uniqueCount="409">
  <si>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</si>
  <si>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</si>
  <si>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</si>
  <si>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</si>
  <si>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</si>
  <si>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</si>
  <si>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</si>
  <si>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</si>
  <si>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</si>
  <si>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</si>
  <si>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</si>
  <si>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</si>
  <si>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</si>
  <si>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</si>
  <si>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</si>
  <si>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</si>
  <si>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</si>
  <si>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</si>
  <si>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</si>
  <si>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</si>
  <si>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</si>
  <si>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</si>
  <si>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</si>
  <si>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</si>
  <si>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</si>
  <si>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</si>
  <si>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</si>
  <si>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</si>
  <si>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</si>
  <si>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</si>
  <si>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</si>
  <si>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</si>
  <si>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</si>
  <si>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</si>
  <si>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</si>
  <si>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</si>
  <si>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</si>
  <si>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</si>
  <si>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</si>
  <si>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</si>
  <si>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</si>
  <si>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</si>
  <si>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</si>
  <si>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</si>
  <si>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</si>
  <si>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</si>
  <si>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</si>
  <si>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</si>
  <si>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</si>
  <si>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</si>
  <si>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</si>
  <si>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</si>
  <si>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</si>
  <si>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</si>
  <si>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</si>
  <si>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</si>
  <si>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</si>
  <si>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</si>
  <si>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</si>
  <si>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</si>
  <si>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</si>
  <si>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</si>
  <si>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</si>
  <si>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</si>
  <si>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</si>
  <si>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</si>
  <si>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</si>
  <si>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</si>
  <si>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</si>
  <si>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</si>
  <si>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</si>
  <si>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</si>
  <si>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</si>
  <si>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</si>
  <si>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</si>
  <si>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</si>
  <si>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</si>
  <si>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</si>
  <si>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</si>
  <si>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</si>
  <si>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</si>
  <si>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</si>
  <si>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</si>
  <si>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</si>
  <si>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</si>
  <si>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</si>
  <si>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</si>
  <si>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</si>
  <si>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</si>
  <si>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</si>
  <si>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</si>
  <si>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</si>
  <si>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</si>
  <si>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</si>
  <si>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</si>
  <si>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</si>
  <si>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</si>
  <si>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</si>
  <si>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</si>
  <si>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</si>
  <si>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</si>
  <si>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</si>
  <si>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</si>
  <si>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</si>
  <si>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</si>
  <si>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</si>
  <si>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</si>
  <si>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</si>
  <si>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</si>
  <si>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</si>
  <si>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</si>
  <si>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</si>
  <si>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</si>
  <si>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</si>
  <si>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</si>
  <si>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</si>
  <si>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</si>
  <si>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</si>
  <si>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</si>
  <si>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</si>
  <si>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</si>
  <si>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</si>
  <si>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</si>
  <si>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</si>
  <si>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</si>
  <si>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</si>
  <si>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</si>
  <si>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</si>
  <si>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</si>
  <si>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</si>
  <si>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</si>
  <si>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</si>
  <si>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</si>
  <si>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</si>
  <si>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</si>
  <si>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</si>
  <si>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</si>
  <si>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</si>
  <si>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</si>
  <si>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</si>
  <si>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</si>
  <si>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</si>
  <si>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</si>
  <si>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</si>
  <si>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</si>
  <si>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</si>
  <si>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</si>
  <si>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</si>
  <si>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</si>
  <si>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</si>
  <si>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</si>
  <si>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</si>
  <si>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</si>
  <si>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</si>
  <si>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</si>
  <si>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</si>
  <si>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</si>
  <si>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</si>
  <si>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</si>
  <si>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</si>
  <si>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</si>
  <si>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</si>
  <si>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</si>
  <si>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</si>
  <si>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</si>
  <si>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</si>
  <si>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</si>
  <si>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</si>
  <si>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</si>
  <si>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</si>
  <si>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</si>
  <si>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</si>
  <si>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</si>
  <si>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</si>
  <si>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</si>
  <si>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</si>
  <si>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</si>
  <si>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</si>
  <si>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</si>
  <si>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</si>
  <si>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</si>
  <si>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</si>
  <si>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</si>
  <si>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</si>
  <si>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</si>
  <si>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</si>
  <si>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</si>
  <si>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</si>
  <si>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</si>
  <si>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</si>
  <si>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</si>
  <si>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</si>
  <si>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</si>
  <si>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</si>
  <si>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</si>
  <si>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</si>
  <si>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</si>
  <si>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</si>
  <si>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</si>
  <si>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</si>
  <si>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</si>
  <si>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</si>
  <si>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</si>
  <si>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</si>
  <si>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</si>
  <si>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</si>
  <si>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</si>
  <si>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</si>
  <si>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</si>
  <si>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</si>
  <si>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</si>
  <si>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</si>
  <si>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</si>
  <si>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</si>
  <si>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</si>
  <si>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</si>
  <si>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</si>
  <si>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</si>
  <si>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</si>
  <si>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</si>
  <si>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</si>
  <si>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</si>
  <si>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</si>
  <si>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</si>
  <si>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</si>
  <si>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</si>
  <si>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</si>
  <si>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</si>
  <si>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</si>
  <si>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</si>
  <si>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</si>
  <si>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</si>
  <si>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</si>
  <si>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</si>
  <si>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</si>
  <si>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</si>
  <si>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</si>
  <si>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</si>
  <si>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</si>
  <si>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</si>
  <si>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</si>
  <si>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</si>
  <si>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</si>
  <si>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</si>
  <si>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</si>
  <si>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</si>
  <si>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</si>
  <si>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</si>
  <si>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</si>
  <si>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</si>
  <si>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</si>
  <si>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</si>
  <si>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</si>
  <si>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</si>
  <si>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</si>
  <si>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</si>
  <si>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</si>
  <si>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</si>
  <si>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</si>
  <si>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</si>
  <si>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</si>
  <si>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</si>
  <si>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</si>
  <si>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</si>
  <si>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</si>
  <si>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</si>
  <si>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</si>
  <si>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</si>
  <si>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</si>
  <si>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</si>
  <si>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</si>
  <si>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</si>
  <si>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</si>
  <si>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</si>
  <si>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</si>
  <si>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</si>
  <si>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</si>
  <si>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</si>
  <si>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</si>
  <si>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</si>
  <si>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</si>
  <si>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</si>
  <si>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</si>
  <si>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</si>
  <si>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</si>
  <si>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</si>
  <si>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</si>
  <si>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</si>
  <si>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</si>
  <si>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</si>
  <si>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</si>
  <si>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</si>
  <si>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</si>
  <si>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</si>
  <si>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</si>
  <si>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</si>
  <si>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</si>
  <si>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</si>
  <si>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</si>
  <si>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</si>
  <si>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</si>
  <si>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</si>
  <si>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</si>
  <si>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</si>
  <si>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</si>
  <si>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</si>
  <si>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</si>
  <si>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</si>
  <si>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</si>
  <si>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</si>
  <si>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</si>
  <si>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</si>
  <si>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</si>
  <si>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</si>
  <si>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</si>
  <si>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</si>
  <si>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</si>
  <si>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</si>
  <si>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</si>
  <si>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</si>
  <si>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BGH</t>
  </si>
  <si>
    <t>Trưởng phòng vận hành</t>
  </si>
  <si>
    <t>MS04</t>
  </si>
  <si>
    <t>MS03</t>
  </si>
  <si>
    <t>Hiệu phó cơ sở</t>
  </si>
  <si>
    <t>Lê Thị Kim Liên</t>
  </si>
  <si>
    <t>Ban Giám hiệu</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</si>
  <si>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</si>
  <si>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</si>
  <si>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</si>
  <si>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</si>
  <si>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</si>
  <si>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</si>
  <si>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</si>
  <si>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</si>
  <si>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</si>
  <si>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</si>
  <si>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</si>
  <si>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</si>
  <si>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</si>
  <si>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</si>
  <si>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</si>
  <si>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</si>
  <si>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</si>
  <si>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ACB</t>
  </si>
  <si>
    <t>Vietcombank</t>
  </si>
  <si>
    <t>Hà Nội, ngày ..... tháng ..... năm 2026</t>
  </si>
  <si>
    <t>Ban giám hiệu</t>
  </si>
  <si>
    <t>MS07</t>
  </si>
  <si>
    <t>Giáo viên mầm non</t>
  </si>
  <si>
    <t>MS08</t>
  </si>
  <si>
    <t>Hoàng Thị Hương Li</t>
  </si>
  <si>
    <t>Quản lý chương trình TA</t>
  </si>
  <si>
    <t>MS09</t>
  </si>
  <si>
    <t>Nguyễn Thị Thu</t>
  </si>
  <si>
    <t>CVG - BẢNG THEO DÕI PHÉP NĂM 2026</t>
  </si>
  <si>
    <t>Số phép đã nghỉ (phép năm 2026)</t>
  </si>
  <si>
    <t>Tổng phép đã nghỉ năm 2026</t>
  </si>
  <si>
    <t>MS10</t>
  </si>
  <si>
    <t>Giáo viên TA VN</t>
  </si>
  <si>
    <t>Bùi Thị Thương</t>
  </si>
  <si>
    <t>Phùng Thị Lụa</t>
  </si>
  <si>
    <t>MS11</t>
  </si>
  <si>
    <t>HK</t>
  </si>
  <si>
    <t>MS12</t>
  </si>
  <si>
    <t>Đinh Thị Bích Ngọc</t>
  </si>
  <si>
    <t>MS13</t>
  </si>
  <si>
    <t>Lương Văn Châm</t>
  </si>
  <si>
    <t>MS14</t>
  </si>
  <si>
    <t>Nguyễn Thị Phúc</t>
  </si>
  <si>
    <t>MS15</t>
  </si>
  <si>
    <t>Nguyễn Thị Thuỳ Trang</t>
  </si>
  <si>
    <t>Bảo vệ</t>
  </si>
  <si>
    <t>Y tế</t>
  </si>
  <si>
    <t xml:space="preserve">0563250894 </t>
  </si>
  <si>
    <t>MB</t>
  </si>
  <si>
    <t>VCB</t>
  </si>
  <si>
    <t>Nguyễn Ánh Hồng</t>
  </si>
  <si>
    <t>Kế toán</t>
  </si>
  <si>
    <t>MS16</t>
  </si>
  <si>
    <t>Phạm Thị Hương Thuỷ</t>
  </si>
  <si>
    <t>MS17</t>
  </si>
  <si>
    <t>Lê Thị Bích Hường</t>
  </si>
  <si>
    <t>MS18</t>
  </si>
  <si>
    <t>Nguyễn Hương Thảo</t>
  </si>
  <si>
    <t>Nhân viên bếp</t>
  </si>
  <si>
    <t>NV Bếp</t>
  </si>
  <si>
    <t>0984903219</t>
  </si>
  <si>
    <t>MS20</t>
  </si>
  <si>
    <t>Nguyễn Thị Thu Hiền</t>
  </si>
  <si>
    <t>BIDV</t>
  </si>
  <si>
    <t>MS14 - BẢNG CHẤM CÔNG THÁNG 06/2026</t>
  </si>
  <si>
    <t>MS21</t>
  </si>
  <si>
    <t>MS22</t>
  </si>
  <si>
    <t>Triệu Thị Thu</t>
  </si>
  <si>
    <t>Nguyễn Thị Hằng</t>
  </si>
  <si>
    <t>MS23</t>
  </si>
  <si>
    <t>Hoàng Thị Ánh Mão</t>
  </si>
  <si>
    <t>Thử Việc</t>
  </si>
  <si>
    <t>BẢNG KÊ DANH SÁCH THANH TOÁN LƯƠNG THÁNG 06.2026</t>
  </si>
  <si>
    <t>Nội dung: MS14 thanh toán lương cho nhân sự MS14 Tháng 06.2026</t>
  </si>
  <si>
    <t>Nội dung thanh toán: MS14 thanh toán lương CBNV MS14 tháng 06/2026</t>
  </si>
  <si>
    <t>MS14 thanh toán lương CBNV MS14 tháng 06/2026
Danh sách cụ thể đính kèm.</t>
  </si>
  <si>
    <t>Hà Nội, ngày   03 tháng  07  năm 2026</t>
  </si>
  <si>
    <t>BẢNG TÍNH THU NHẬP THÁNG 06/2026</t>
  </si>
  <si>
    <t>PHIẾU LƯƠNG THÁNG 06.2026</t>
  </si>
  <si>
    <t>MS24</t>
  </si>
  <si>
    <t>Trương Hoàng Diễm</t>
  </si>
  <si>
    <t>VPBank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</si>
</sst>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6">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
      <patternFill patternType="solid">
        <fgColor theme="0"/>
        <bgColor rgb="FFFFFFFF"/>
      </patternFill>
    </fill>
  </fills>
  <borders count="13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63"/>
    <xf numFmtId="43" fontId="98" fillId="0" borderId="0" applyFont="0" applyFill="0" applyBorder="0" applyAlignment="0" applyProtection="0"/>
  </cellStyleXfs>
  <cellXfs count="772">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7"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93" xfId="0" applyFont="1" applyFill="1" applyBorder="1" applyAlignment="1">
      <alignment vertical="center" wrapText="1"/>
    </xf>
    <xf numFmtId="0" fontId="49" fillId="3" borderId="78" xfId="0" applyFont="1" applyFill="1" applyBorder="1" applyAlignment="1">
      <alignment horizontal="center" vertical="center"/>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5" fontId="3" fillId="3" borderId="28" xfId="0" applyNumberFormat="1" applyFont="1" applyFill="1" applyBorder="1" applyAlignment="1">
      <alignment horizontal="right" vertical="center"/>
    </xf>
    <xf numFmtId="165" fontId="3" fillId="3" borderId="82" xfId="0" applyNumberFormat="1" applyFont="1" applyFill="1" applyBorder="1" applyAlignment="1">
      <alignment horizontal="right" vertical="center"/>
    </xf>
    <xf numFmtId="165" fontId="3" fillId="3" borderId="28" xfId="0" applyNumberFormat="1" applyFont="1" applyFill="1" applyBorder="1" applyAlignment="1">
      <alignment vertical="center"/>
    </xf>
    <xf numFmtId="0" fontId="6" fillId="0" borderId="90" xfId="0" applyFont="1" applyBorder="1" applyAlignment="1">
      <alignment vertical="center"/>
    </xf>
    <xf numFmtId="169"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49" fontId="23" fillId="3" borderId="133" xfId="0" applyNumberFormat="1" applyFont="1" applyFill="1" applyBorder="1" applyAlignment="1">
      <alignment horizontal="center" vertical="center"/>
    </xf>
    <xf numFmtId="0" fontId="6" fillId="0" borderId="133" xfId="0" applyFont="1" applyBorder="1" applyAlignment="1">
      <alignment vertical="center"/>
    </xf>
    <xf numFmtId="165" fontId="3" fillId="3" borderId="133" xfId="0" applyNumberFormat="1" applyFont="1" applyFill="1" applyBorder="1" applyAlignment="1">
      <alignment horizontal="right" vertical="center"/>
    </xf>
    <xf numFmtId="165" fontId="3" fillId="3" borderId="133" xfId="0" applyNumberFormat="1" applyFont="1" applyFill="1" applyBorder="1" applyAlignment="1">
      <alignment vertical="center"/>
    </xf>
    <xf numFmtId="169" fontId="3" fillId="3" borderId="133" xfId="0" applyNumberFormat="1" applyFont="1" applyFill="1" applyBorder="1" applyAlignment="1">
      <alignment vertical="center"/>
    </xf>
    <xf numFmtId="0" fontId="1" fillId="2" borderId="133" xfId="0" applyFont="1" applyFill="1" applyBorder="1" applyAlignment="1">
      <alignment horizontal="center" vertical="center"/>
    </xf>
    <xf numFmtId="165" fontId="1" fillId="2" borderId="133" xfId="0" applyNumberFormat="1" applyFont="1" applyFill="1" applyBorder="1" applyAlignment="1">
      <alignment horizontal="center" vertical="center"/>
    </xf>
    <xf numFmtId="169" fontId="65" fillId="0" borderId="78" xfId="0" applyNumberFormat="1" applyFont="1" applyBorder="1" applyAlignment="1">
      <alignment horizontal="center" vertical="center" wrapText="1"/>
    </xf>
    <xf numFmtId="0" fontId="65" fillId="0" borderId="28" xfId="0" applyFont="1" applyBorder="1" applyAlignment="1">
      <alignment horizontal="center" vertical="center" wrapText="1"/>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23" fillId="3" borderId="81" xfId="0" applyFont="1" applyFill="1" applyBorder="1" applyAlignment="1">
      <alignment vertical="center" wrapText="1"/>
    </xf>
    <xf numFmtId="169" fontId="65" fillId="0" borderId="28" xfId="0" applyNumberFormat="1" applyFont="1" applyBorder="1" applyAlignment="1">
      <alignment horizontal="center" vertical="center" wrapText="1"/>
    </xf>
    <xf numFmtId="173" fontId="65" fillId="0" borderId="28" xfId="0" applyNumberFormat="1" applyFont="1" applyBorder="1" applyAlignment="1">
      <alignment horizontal="center" vertical="center" wrapText="1"/>
    </xf>
    <xf numFmtId="3" fontId="34" fillId="15" borderId="66" xfId="0" applyNumberFormat="1" applyFont="1" applyFill="1" applyBorder="1" applyAlignment="1">
      <alignment horizontal="center" vertical="center" wrapText="1"/>
    </xf>
    <xf numFmtId="0" fontId="65" fillId="0" borderId="133" xfId="0" applyFont="1" applyBorder="1" applyAlignment="1">
      <alignment horizontal="center" vertical="center" wrapText="1"/>
    </xf>
    <xf numFmtId="49" fontId="77"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169" fontId="65" fillId="0" borderId="133" xfId="0" applyNumberFormat="1" applyFont="1" applyBorder="1" applyAlignment="1">
      <alignment horizontal="center" vertical="center" wrapText="1"/>
    </xf>
    <xf numFmtId="173" fontId="65" fillId="0" borderId="133" xfId="0" applyNumberFormat="1" applyFont="1" applyBorder="1" applyAlignment="1">
      <alignment horizontal="center" vertical="center" wrapText="1"/>
    </xf>
    <xf numFmtId="169" fontId="34" fillId="0" borderId="133" xfId="0" applyNumberFormat="1" applyFont="1" applyBorder="1" applyAlignment="1">
      <alignment horizontal="center" vertical="center" wrapText="1"/>
    </xf>
    <xf numFmtId="171" fontId="65" fillId="0" borderId="133" xfId="0" applyNumberFormat="1" applyFont="1" applyBorder="1" applyAlignment="1">
      <alignment horizontal="center" vertical="center" wrapText="1"/>
    </xf>
    <xf numFmtId="10" fontId="65" fillId="0" borderId="133" xfId="0" applyNumberFormat="1" applyFont="1" applyBorder="1" applyAlignment="1">
      <alignment horizontal="center" vertical="center" wrapText="1"/>
    </xf>
    <xf numFmtId="174" fontId="65" fillId="0" borderId="133" xfId="0" applyNumberFormat="1" applyFont="1" applyBorder="1" applyAlignment="1">
      <alignment horizontal="right" vertical="center" wrapText="1"/>
    </xf>
    <xf numFmtId="165" fontId="65" fillId="0" borderId="133" xfId="0" applyNumberFormat="1" applyFont="1" applyBorder="1" applyAlignment="1">
      <alignment horizontal="center" vertical="center" wrapText="1"/>
    </xf>
    <xf numFmtId="3" fontId="65" fillId="0" borderId="133" xfId="0" applyNumberFormat="1" applyFont="1" applyBorder="1" applyAlignment="1">
      <alignment horizontal="center" vertical="center" wrapText="1"/>
    </xf>
    <xf numFmtId="169" fontId="89" fillId="0" borderId="133" xfId="0" applyNumberFormat="1" applyFont="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5"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5"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33"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21" fillId="3" borderId="82" xfId="0" applyFont="1" applyFill="1" applyBorder="1" applyAlignment="1">
      <alignment vertical="center" wrapText="1"/>
    </xf>
    <xf numFmtId="0" fontId="21" fillId="3" borderId="136"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69" fontId="0" fillId="0" borderId="0" xfId="0" applyNumberFormat="1"/>
    <xf numFmtId="0" fontId="77" fillId="3" borderId="89" xfId="0" applyFont="1" applyFill="1" applyBorder="1" applyAlignment="1">
      <alignment horizontal="left" vertical="center"/>
    </xf>
    <xf numFmtId="169" fontId="89" fillId="0" borderId="28" xfId="0" applyNumberFormat="1" applyFont="1" applyBorder="1" applyAlignment="1">
      <alignment horizontal="center" vertical="center" wrapText="1"/>
    </xf>
    <xf numFmtId="0" fontId="1" fillId="0" borderId="66" xfId="0" applyFont="1" applyBorder="1" applyAlignment="1">
      <alignment horizontal="center" vertical="center"/>
    </xf>
    <xf numFmtId="167" fontId="71" fillId="14" borderId="78" xfId="0" applyNumberFormat="1" applyFont="1" applyFill="1" applyBorder="1" applyAlignment="1">
      <alignment horizontal="center" vertical="center"/>
    </xf>
    <xf numFmtId="0" fontId="64" fillId="0" borderId="89" xfId="0" applyFont="1" applyBorder="1" applyAlignment="1">
      <alignment horizontal="center" vertical="center"/>
    </xf>
    <xf numFmtId="49" fontId="65" fillId="3" borderId="28" xfId="0" applyNumberFormat="1" applyFont="1" applyFill="1" applyBorder="1" applyAlignment="1">
      <alignment horizontal="center" vertical="center"/>
    </xf>
    <xf numFmtId="0" fontId="21" fillId="3" borderId="89" xfId="0" applyFont="1" applyFill="1" applyBorder="1" applyAlignment="1">
      <alignment vertical="center" wrapText="1"/>
    </xf>
    <xf numFmtId="0" fontId="21" fillId="3" borderId="89" xfId="0" applyFont="1" applyFill="1" applyBorder="1" applyAlignment="1">
      <alignment horizontal="center" vertical="center" wrapText="1"/>
    </xf>
    <xf numFmtId="0" fontId="21" fillId="3" borderId="137" xfId="0" applyFont="1" applyFill="1" applyBorder="1" applyAlignment="1">
      <alignment horizontal="left" vertical="center"/>
    </xf>
    <xf numFmtId="0" fontId="66" fillId="3" borderId="82" xfId="0" applyFont="1" applyFill="1" applyBorder="1" applyAlignment="1">
      <alignment horizontal="center" vertical="center"/>
    </xf>
    <xf numFmtId="0" fontId="49" fillId="3" borderId="28" xfId="0" applyFont="1" applyFill="1" applyBorder="1" applyAlignment="1">
      <alignment horizontal="center" vertical="center"/>
    </xf>
    <xf numFmtId="0" fontId="49" fillId="3" borderId="82" xfId="0" applyFont="1" applyFill="1" applyBorder="1" applyAlignment="1">
      <alignment horizontal="center" vertical="center"/>
    </xf>
    <xf numFmtId="0" fontId="67" fillId="0" borderId="28" xfId="0" applyFont="1" applyBorder="1" applyAlignment="1">
      <alignment horizontal="center" vertical="center"/>
    </xf>
    <xf numFmtId="167" fontId="68" fillId="0" borderId="28" xfId="0" applyNumberFormat="1" applyFont="1" applyBorder="1" applyAlignment="1">
      <alignment horizontal="center" vertical="center"/>
    </xf>
    <xf numFmtId="167" fontId="67" fillId="0" borderId="28" xfId="0" applyNumberFormat="1" applyFont="1" applyBorder="1" applyAlignment="1">
      <alignment horizontal="center" vertical="center"/>
    </xf>
    <xf numFmtId="0" fontId="69" fillId="0" borderId="28" xfId="0" applyFont="1" applyBorder="1" applyAlignment="1">
      <alignment horizontal="center" vertical="center"/>
    </xf>
    <xf numFmtId="167" fontId="71" fillId="7" borderId="28" xfId="0" applyNumberFormat="1" applyFont="1" applyFill="1" applyBorder="1" applyAlignment="1">
      <alignment horizontal="center" vertical="center"/>
    </xf>
    <xf numFmtId="0" fontId="72" fillId="0" borderId="28" xfId="0" applyFont="1" applyBorder="1" applyAlignment="1">
      <alignment horizontal="center" vertical="center"/>
    </xf>
    <xf numFmtId="167" fontId="73" fillId="0" borderId="28" xfId="0" applyNumberFormat="1" applyFont="1" applyBorder="1" applyAlignment="1">
      <alignment horizontal="center" vertical="center"/>
    </xf>
    <xf numFmtId="0" fontId="58" fillId="3" borderId="91" xfId="0" applyFont="1" applyFill="1" applyBorder="1" applyAlignment="1">
      <alignment horizontal="center" vertical="center"/>
    </xf>
    <xf numFmtId="0" fontId="75" fillId="0" borderId="91" xfId="0" applyFont="1" applyBorder="1" applyAlignment="1">
      <alignment horizontal="center" vertical="center"/>
    </xf>
    <xf numFmtId="0" fontId="76" fillId="3" borderId="91" xfId="0" applyFont="1" applyFill="1" applyBorder="1" applyAlignment="1">
      <alignment horizontal="center" vertical="center"/>
    </xf>
    <xf numFmtId="167" fontId="58" fillId="0" borderId="66" xfId="0" applyNumberFormat="1" applyFont="1" applyBorder="1" applyAlignment="1">
      <alignment horizontal="center" vertical="center"/>
    </xf>
    <xf numFmtId="49" fontId="65" fillId="3" borderId="133" xfId="0" applyNumberFormat="1" applyFont="1" applyFill="1" applyBorder="1" applyAlignment="1">
      <alignment horizontal="center" vertical="center"/>
    </xf>
    <xf numFmtId="0" fontId="21" fillId="3" borderId="133" xfId="0" applyFont="1" applyFill="1" applyBorder="1" applyAlignment="1">
      <alignment horizontal="center" vertical="center" wrapText="1"/>
    </xf>
    <xf numFmtId="0" fontId="66" fillId="3" borderId="133" xfId="0" applyFont="1" applyFill="1" applyBorder="1" applyAlignment="1">
      <alignment horizontal="center" vertical="center"/>
    </xf>
    <xf numFmtId="0" fontId="49" fillId="3" borderId="133" xfId="0" applyFont="1" applyFill="1" applyBorder="1" applyAlignment="1">
      <alignment horizontal="center" vertical="center"/>
    </xf>
    <xf numFmtId="0" fontId="67" fillId="0" borderId="133" xfId="0" applyFont="1" applyBorder="1" applyAlignment="1">
      <alignment horizontal="center" vertical="center"/>
    </xf>
    <xf numFmtId="167" fontId="68" fillId="0" borderId="133" xfId="0" applyNumberFormat="1" applyFont="1" applyBorder="1" applyAlignment="1">
      <alignment horizontal="center" vertical="center"/>
    </xf>
    <xf numFmtId="167" fontId="67" fillId="0" borderId="133" xfId="0" applyNumberFormat="1" applyFont="1" applyBorder="1" applyAlignment="1">
      <alignment horizontal="center" vertical="center"/>
    </xf>
    <xf numFmtId="0" fontId="69" fillId="0" borderId="133" xfId="0" applyFont="1" applyBorder="1" applyAlignment="1">
      <alignment horizontal="center" vertical="center"/>
    </xf>
    <xf numFmtId="167" fontId="71" fillId="7" borderId="133" xfId="0" applyNumberFormat="1" applyFont="1" applyFill="1" applyBorder="1" applyAlignment="1">
      <alignment horizontal="center" vertical="center"/>
    </xf>
    <xf numFmtId="0" fontId="72" fillId="0" borderId="133" xfId="0" applyFont="1" applyBorder="1" applyAlignment="1">
      <alignment horizontal="center" vertical="center"/>
    </xf>
    <xf numFmtId="167" fontId="73" fillId="0" borderId="133" xfId="0" applyNumberFormat="1" applyFont="1" applyBorder="1" applyAlignment="1">
      <alignment horizontal="center" vertical="center"/>
    </xf>
    <xf numFmtId="0" fontId="21" fillId="25" borderId="133" xfId="0" applyFont="1" applyFill="1" applyBorder="1" applyAlignment="1">
      <alignment horizontal="left" vertical="center"/>
    </xf>
    <xf numFmtId="0" fontId="70" fillId="0" borderId="28" xfId="0" applyFont="1" applyBorder="1" applyAlignment="1">
      <alignment horizontal="center" vertical="center"/>
    </xf>
    <xf numFmtId="0" fontId="70" fillId="0" borderId="133" xfId="0" applyFont="1" applyBorder="1" applyAlignment="1">
      <alignment horizontal="center" vertical="center"/>
    </xf>
    <xf numFmtId="0" fontId="21" fillId="3" borderId="137" xfId="0" applyFont="1" applyFill="1" applyBorder="1" applyAlignment="1">
      <alignment horizontal="center" vertical="center" wrapText="1"/>
    </xf>
    <xf numFmtId="49" fontId="23" fillId="3" borderId="137" xfId="0" applyNumberFormat="1" applyFont="1" applyFill="1" applyBorder="1" applyAlignment="1">
      <alignment horizontal="center" vertical="center"/>
    </xf>
    <xf numFmtId="0" fontId="23" fillId="3" borderId="137" xfId="0" applyFont="1" applyFill="1" applyBorder="1" applyAlignment="1">
      <alignment vertical="center" wrapText="1"/>
    </xf>
    <xf numFmtId="169" fontId="65" fillId="0" borderId="137" xfId="0" applyNumberFormat="1" applyFont="1" applyBorder="1" applyAlignment="1">
      <alignment horizontal="center" vertical="center" wrapText="1"/>
    </xf>
    <xf numFmtId="173" fontId="65" fillId="0" borderId="137" xfId="0" applyNumberFormat="1" applyFont="1" applyBorder="1" applyAlignment="1">
      <alignment horizontal="center" vertical="center" wrapText="1"/>
    </xf>
    <xf numFmtId="169" fontId="34" fillId="0" borderId="137" xfId="0" applyNumberFormat="1" applyFont="1" applyBorder="1" applyAlignment="1">
      <alignment horizontal="center" vertical="center" wrapText="1"/>
    </xf>
    <xf numFmtId="171" fontId="65" fillId="0" borderId="137" xfId="0" applyNumberFormat="1" applyFont="1" applyBorder="1" applyAlignment="1">
      <alignment horizontal="center" vertical="center" wrapText="1"/>
    </xf>
    <xf numFmtId="10" fontId="65" fillId="0" borderId="137" xfId="0" applyNumberFormat="1" applyFont="1" applyBorder="1" applyAlignment="1">
      <alignment horizontal="center" vertical="center" wrapText="1"/>
    </xf>
    <xf numFmtId="174" fontId="65" fillId="0" borderId="137" xfId="0" applyNumberFormat="1" applyFont="1" applyBorder="1" applyAlignment="1">
      <alignment horizontal="right" vertical="center" wrapText="1"/>
    </xf>
    <xf numFmtId="165" fontId="65" fillId="0" borderId="137" xfId="0" applyNumberFormat="1" applyFont="1" applyBorder="1" applyAlignment="1">
      <alignment horizontal="center" vertical="center" wrapText="1"/>
    </xf>
    <xf numFmtId="3" fontId="65" fillId="0" borderId="137" xfId="0" applyNumberFormat="1" applyFont="1" applyBorder="1" applyAlignment="1">
      <alignment horizontal="center" vertical="center" wrapText="1"/>
    </xf>
    <xf numFmtId="0" fontId="3" fillId="0" borderId="137" xfId="0" applyFont="1" applyBorder="1" applyAlignment="1">
      <alignment horizontal="center" vertical="center"/>
    </xf>
    <xf numFmtId="0" fontId="21" fillId="25" borderId="137" xfId="0" applyFont="1" applyFill="1" applyBorder="1" applyAlignment="1">
      <alignment horizontal="left" vertical="center"/>
    </xf>
    <xf numFmtId="1" fontId="21" fillId="3" borderId="137" xfId="0" quotePrefix="1" applyNumberFormat="1" applyFont="1" applyFill="1" applyBorder="1" applyAlignment="1">
      <alignment horizontal="left" vertical="center"/>
    </xf>
    <xf numFmtId="0" fontId="21" fillId="3" borderId="137" xfId="0" applyFont="1" applyFill="1" applyBorder="1" applyAlignment="1">
      <alignment horizontal="center" vertical="center"/>
    </xf>
    <xf numFmtId="165" fontId="3" fillId="0" borderId="137" xfId="0" applyNumberFormat="1" applyFont="1" applyBorder="1" applyAlignment="1">
      <alignment horizontal="center" vertical="center"/>
    </xf>
    <xf numFmtId="0" fontId="18" fillId="0" borderId="0" xfId="0" applyFont="1" applyAlignment="1">
      <alignment horizontal="center" vertical="center"/>
    </xf>
    <xf numFmtId="0" fontId="0" fillId="0" borderId="0" xfId="0"/>
    <xf numFmtId="0" fontId="8"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20" fillId="3" borderId="10" xfId="0" applyFont="1" applyFill="1" applyBorder="1" applyAlignment="1">
      <alignment horizontal="center" vertical="center"/>
    </xf>
    <xf numFmtId="0" fontId="9" fillId="0" borderId="0" xfId="0" applyFont="1" applyAlignment="1">
      <alignment vertical="center"/>
    </xf>
    <xf numFmtId="0" fontId="18" fillId="0" borderId="0" xfId="0" applyFont="1" applyAlignment="1">
      <alignment horizontal="center" vertical="center" wrapText="1"/>
    </xf>
    <xf numFmtId="0" fontId="19"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4" fontId="12" fillId="0" borderId="0" xfId="0" applyNumberFormat="1" applyFont="1" applyAlignment="1">
      <alignment horizontal="right"/>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0" fontId="55"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38" fillId="3" borderId="37" xfId="0" applyFont="1" applyFill="1" applyBorder="1" applyAlignment="1">
      <alignment horizontal="center" vertical="center"/>
    </xf>
    <xf numFmtId="0" fontId="2" fillId="0" borderId="39" xfId="0" applyFont="1" applyBorder="1"/>
    <xf numFmtId="0" fontId="60" fillId="7" borderId="57" xfId="0" applyFont="1" applyFill="1" applyBorder="1" applyAlignment="1">
      <alignment horizontal="center" vertical="center" wrapText="1"/>
    </xf>
    <xf numFmtId="0" fontId="2" fillId="0" borderId="70" xfId="0" applyFont="1" applyBorder="1"/>
    <xf numFmtId="0" fontId="31" fillId="3" borderId="36" xfId="0" applyFont="1" applyFill="1" applyBorder="1" applyAlignment="1">
      <alignment horizontal="center" vertical="center"/>
    </xf>
    <xf numFmtId="0" fontId="2" fillId="0" borderId="38" xfId="0" applyFont="1" applyBorder="1"/>
    <xf numFmtId="0" fontId="54" fillId="3" borderId="29" xfId="0" applyFont="1" applyFill="1" applyBorder="1" applyAlignment="1">
      <alignment horizontal="center" vertical="center" wrapText="1"/>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35" fillId="0" borderId="29" xfId="0" applyFont="1" applyBorder="1" applyAlignment="1">
      <alignment horizontal="center" vertical="center"/>
    </xf>
    <xf numFmtId="0" fontId="36" fillId="6" borderId="29" xfId="0" applyFont="1" applyFill="1" applyBorder="1" applyAlignment="1">
      <alignment horizontal="center" vertical="center"/>
    </xf>
    <xf numFmtId="0" fontId="40" fillId="7" borderId="29"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2" fillId="0" borderId="30" xfId="0" applyFont="1" applyBorder="1"/>
    <xf numFmtId="0" fontId="2" fillId="0" borderId="33" xfId="0" applyFont="1" applyBorder="1"/>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47" fillId="3" borderId="29" xfId="0" applyFont="1" applyFill="1" applyBorder="1" applyAlignment="1">
      <alignment horizontal="center" vertical="center" wrapText="1"/>
    </xf>
    <xf numFmtId="0" fontId="44" fillId="0" borderId="36" xfId="0" applyFont="1" applyBorder="1" applyAlignment="1">
      <alignment horizontal="center" vertical="center" wrapText="1"/>
    </xf>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 fillId="0" borderId="84" xfId="0" applyFont="1" applyBorder="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6" borderId="28" xfId="0" applyFont="1" applyFill="1" applyBorder="1" applyAlignment="1">
      <alignment horizontal="center" vertical="center" wrapText="1"/>
    </xf>
    <xf numFmtId="0" fontId="1" fillId="5" borderId="89" xfId="0" applyFont="1" applyFill="1" applyBorder="1" applyAlignment="1">
      <alignment horizontal="center" vertical="center" wrapText="1"/>
    </xf>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2"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3" fontId="34" fillId="15" borderId="87" xfId="0" applyNumberFormat="1"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0" fontId="1" fillId="20" borderId="80" xfId="0" applyFont="1" applyFill="1" applyBorder="1" applyAlignment="1">
      <alignment horizontal="center" vertical="center" wrapText="1"/>
    </xf>
    <xf numFmtId="3" fontId="1" fillId="5" borderId="14" xfId="0" applyNumberFormat="1" applyFont="1" applyFill="1" applyBorder="1" applyAlignment="1">
      <alignment horizontal="center" vertical="center"/>
    </xf>
    <xf numFmtId="3" fontId="1" fillId="5" borderId="28" xfId="0" applyNumberFormat="1" applyFont="1" applyFill="1" applyBorder="1" applyAlignment="1">
      <alignment horizontal="center" vertical="center" wrapText="1"/>
    </xf>
    <xf numFmtId="3" fontId="1" fillId="5" borderId="28" xfId="0" applyNumberFormat="1" applyFont="1" applyFill="1" applyBorder="1" applyAlignment="1">
      <alignment horizontal="center" vertical="center"/>
    </xf>
    <xf numFmtId="49" fontId="1" fillId="5" borderId="14"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0" fontId="2" fillId="0" borderId="93" xfId="0" applyFont="1" applyBorder="1"/>
    <xf numFmtId="0" fontId="1" fillId="5" borderId="14" xfId="0" applyFont="1" applyFill="1" applyBorder="1" applyAlignment="1">
      <alignment horizontal="center" vertical="center"/>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5"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109" xfId="0" applyNumberFormat="1" applyFont="1" applyBorder="1" applyAlignment="1">
      <alignment vertical="center"/>
    </xf>
    <xf numFmtId="0" fontId="2" fillId="0" borderId="109" xfId="0" applyFont="1" applyBorder="1"/>
    <xf numFmtId="49" fontId="20" fillId="0" borderId="20" xfId="0" applyNumberFormat="1" applyFont="1" applyBorder="1" applyAlignment="1">
      <alignment vertical="center"/>
    </xf>
    <xf numFmtId="49" fontId="20" fillId="0" borderId="75" xfId="0" applyNumberFormat="1" applyFont="1" applyBorder="1" applyAlignment="1">
      <alignment vertical="center"/>
    </xf>
    <xf numFmtId="49" fontId="1" fillId="0" borderId="75" xfId="0" applyNumberFormat="1" applyFont="1" applyBorder="1" applyAlignment="1">
      <alignment vertical="center"/>
    </xf>
    <xf numFmtId="0" fontId="1" fillId="0" borderId="14" xfId="0" applyFont="1" applyBorder="1" applyAlignment="1">
      <alignment horizontal="left" vertical="center" wrapText="1"/>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1" fillId="0" borderId="14" xfId="0" applyNumberFormat="1" applyFont="1" applyBorder="1" applyAlignment="1">
      <alignment vertical="center" wrapText="1"/>
    </xf>
    <xf numFmtId="0" fontId="1" fillId="0" borderId="14" xfId="0" applyFont="1" applyBorder="1" applyAlignment="1">
      <alignment horizontal="left" vertical="center"/>
    </xf>
    <xf numFmtId="0" fontId="27" fillId="0" borderId="79" xfId="0" applyFont="1" applyBorder="1" applyAlignment="1">
      <alignment horizontal="left" vertical="center" wrapText="1"/>
    </xf>
    <xf numFmtId="0" fontId="2" fillId="0" borderId="86" xfId="0" applyFont="1" applyBorder="1"/>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49" fontId="20" fillId="0" borderId="108" xfId="0" applyNumberFormat="1" applyFont="1" applyBorder="1" applyAlignment="1">
      <alignment vertical="center"/>
    </xf>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49" fontId="49" fillId="0" borderId="15" xfId="0" applyNumberFormat="1" applyFont="1" applyBorder="1"/>
    <xf numFmtId="177" fontId="95" fillId="0" borderId="14" xfId="0" applyNumberFormat="1" applyFont="1" applyBorder="1" applyAlignment="1">
      <alignment horizontal="right"/>
    </xf>
    <xf numFmtId="0" fontId="2" fillId="0" borderId="126" xfId="0" applyFont="1" applyBorder="1"/>
    <xf numFmtId="177" fontId="52" fillId="0" borderId="14" xfId="0" applyNumberFormat="1" applyFont="1" applyBorder="1" applyAlignment="1">
      <alignment horizontal="right"/>
    </xf>
    <xf numFmtId="49" fontId="94" fillId="0" borderId="75"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0" fontId="2" fillId="0" borderId="54" xfId="0" applyFont="1" applyBorder="1"/>
    <xf numFmtId="177" fontId="52" fillId="0" borderId="20" xfId="0" applyNumberFormat="1" applyFont="1" applyBorder="1" applyAlignment="1">
      <alignment horizontal="right"/>
    </xf>
    <xf numFmtId="49" fontId="49" fillId="0" borderId="75" xfId="0" applyNumberFormat="1" applyFont="1" applyBorder="1"/>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0" fontId="2" fillId="0" borderId="128" xfId="0" applyFont="1" applyBorder="1"/>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0" fontId="2" fillId="0" borderId="68" xfId="0" applyFont="1" applyBorder="1"/>
    <xf numFmtId="49" fontId="60" fillId="23" borderId="29" xfId="0" applyNumberFormat="1" applyFont="1" applyFill="1" applyBorder="1" applyAlignment="1">
      <alignment horizontal="center" vertical="center" textRotation="90"/>
    </xf>
    <xf numFmtId="177" fontId="31" fillId="0" borderId="14" xfId="0" applyNumberFormat="1" applyFont="1" applyBorder="1" applyAlignment="1">
      <alignment horizontal="right"/>
    </xf>
    <xf numFmtId="177" fontId="31" fillId="0" borderId="110" xfId="0" applyNumberFormat="1" applyFont="1" applyBorder="1" applyAlignment="1">
      <alignment horizontal="right"/>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109" xfId="0" applyNumberFormat="1" applyFont="1" applyBorder="1"/>
    <xf numFmtId="177" fontId="95" fillId="0" borderId="110" xfId="0" applyNumberFormat="1" applyFont="1" applyBorder="1" applyAlignment="1">
      <alignment horizontal="right"/>
    </xf>
    <xf numFmtId="177" fontId="31" fillId="0" borderId="20" xfId="0" applyNumberFormat="1" applyFont="1" applyBorder="1" applyAlignment="1">
      <alignment horizontal="right"/>
    </xf>
  </cellXfs>
  <cellStyles count="3">
    <cellStyle name="Bình thường 2" xfId="1" xr:uid="{00000000-0005-0000-0000-000000000000}"/>
    <cellStyle name="Comma" xfId="2" builtinId="3"/>
    <cellStyle name="Normal" xfId="0" builtinId="0"/>
  </cellStyles>
  <dxfs count="8130">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FFFF"/>
      </font>
      <fill>
        <patternFill patternType="solid">
          <fgColor rgb="FFEA4335"/>
          <bgColor rgb="FFEA4335"/>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FFFF"/>
      </font>
      <fill>
        <patternFill patternType="solid">
          <fgColor rgb="FFEA4335"/>
          <bgColor rgb="FFEA4335"/>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FFFF"/>
      </font>
      <fill>
        <patternFill patternType="solid">
          <fgColor rgb="FFEA4335"/>
          <bgColor rgb="FFEA4335"/>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rgb="FFEA4335"/>
          <bgColor rgb="FFEA4335"/>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rgb="FFEA4335"/>
          <bgColor rgb="FFEA4335"/>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FFFF"/>
      </font>
      <fill>
        <patternFill patternType="solid">
          <fgColor rgb="FFEA4335"/>
          <bgColor rgb="FFEA4335"/>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FFFF"/>
      </font>
      <fill>
        <patternFill patternType="solid">
          <fgColor theme="5"/>
          <bgColor theme="5"/>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theme="4"/>
          <bgColor theme="4"/>
        </patternFill>
      </fill>
    </dxf>
    <dxf>
      <font>
        <b/>
        <color rgb="FF000000"/>
      </font>
      <fill>
        <patternFill patternType="solid">
          <fgColor rgb="FFFFFF00"/>
          <bgColor rgb="FFFFFF00"/>
        </patternFill>
      </fill>
    </dxf>
    <dxf>
      <font>
        <b/>
        <color rgb="FFFFFFFF"/>
      </font>
      <fill>
        <patternFill patternType="solid">
          <fgColor rgb="FF4285F4"/>
          <bgColor rgb="FF4285F4"/>
        </patternFill>
      </fill>
    </dxf>
    <dxf>
      <font>
        <color theme="0"/>
      </font>
      <fill>
        <patternFill patternType="solid">
          <fgColor rgb="FF4A86E8"/>
          <bgColor rgb="FF4A86E8"/>
        </patternFill>
      </fill>
    </dxf>
    <dxf>
      <font>
        <b/>
        <color rgb="FFFFFFFF"/>
      </font>
      <fill>
        <patternFill patternType="solid">
          <fgColor rgb="FFFF0000"/>
          <bgColor rgb="FFFF0000"/>
        </patternFill>
      </fill>
    </dxf>
    <dxf>
      <font>
        <b/>
        <color rgb="FFFFFFFF"/>
      </font>
      <fill>
        <patternFill patternType="solid">
          <fgColor theme="7"/>
          <bgColor theme="7"/>
        </patternFill>
      </fill>
    </dxf>
    <dxf>
      <font>
        <b/>
        <color rgb="FFFFFFFF"/>
      </font>
      <fill>
        <patternFill patternType="solid">
          <fgColor theme="8"/>
          <bgColor theme="8"/>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C7" sqref="C7"/>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535" t="s">
        <v>0</v>
      </c>
      <c r="B1" s="536"/>
      <c r="C1" s="537"/>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topLeftCell="A10" zoomScale="99" workbookViewId="0">
      <selection activeCell="A23" sqref="A23:E24"/>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530"/>
      <c r="B1" s="509"/>
      <c r="C1" s="510"/>
      <c r="D1" s="531" t="s">
        <v>18</v>
      </c>
      <c r="E1" s="509"/>
      <c r="F1" s="509"/>
      <c r="G1" s="509"/>
      <c r="H1" s="509"/>
      <c r="I1" s="509"/>
      <c r="J1" s="509"/>
      <c r="K1" s="509"/>
      <c r="L1" s="509"/>
      <c r="M1" s="509"/>
      <c r="N1" s="509"/>
      <c r="O1" s="509"/>
      <c r="P1" s="509"/>
      <c r="Q1" s="509"/>
      <c r="R1" s="509"/>
      <c r="S1" s="509"/>
      <c r="T1" s="509"/>
      <c r="U1" s="509"/>
      <c r="V1" s="509"/>
      <c r="W1" s="509"/>
      <c r="X1" s="509"/>
      <c r="Y1" s="509"/>
      <c r="Z1" s="510"/>
      <c r="AA1" s="12"/>
    </row>
    <row r="2" spans="1:27" ht="12.75" customHeight="1" x14ac:dyDescent="0.25">
      <c r="A2" s="13"/>
      <c r="B2" s="13"/>
      <c r="C2" s="14"/>
      <c r="D2" s="532" t="s">
        <v>19</v>
      </c>
      <c r="E2" s="509"/>
      <c r="F2" s="509"/>
      <c r="G2" s="509"/>
      <c r="H2" s="509"/>
      <c r="I2" s="509"/>
      <c r="J2" s="509"/>
      <c r="K2" s="509"/>
      <c r="L2" s="509"/>
      <c r="M2" s="509"/>
      <c r="N2" s="509"/>
      <c r="O2" s="509"/>
      <c r="P2" s="509"/>
      <c r="Q2" s="509"/>
      <c r="R2" s="509"/>
      <c r="S2" s="509"/>
      <c r="T2" s="509"/>
      <c r="U2" s="509"/>
      <c r="V2" s="509"/>
      <c r="W2" s="509"/>
      <c r="X2" s="509"/>
      <c r="Y2" s="509"/>
      <c r="Z2" s="510"/>
      <c r="AA2" s="13"/>
    </row>
    <row r="3" spans="1:27" ht="22.5" customHeight="1" x14ac:dyDescent="0.35">
      <c r="A3" s="15"/>
      <c r="B3" s="15"/>
      <c r="C3" s="533"/>
      <c r="D3" s="507"/>
      <c r="E3" s="16"/>
      <c r="F3" s="17"/>
      <c r="G3" s="16"/>
      <c r="H3" s="16"/>
      <c r="I3" s="16"/>
      <c r="J3" s="16"/>
      <c r="K3" s="18"/>
      <c r="L3" s="15"/>
      <c r="M3" s="534" t="str">
        <f>IF(E3="","Hà Nội, Ngày 03 Tháng 07 Năm 2026",VLOOKUP(E3,'[23]NHẬP LIỆU'!B1:M29,2,0))</f>
        <v>Hà Nội, Ngày 03 Tháng 07 Năm 2026</v>
      </c>
      <c r="N3" s="507"/>
      <c r="O3" s="507"/>
      <c r="P3" s="507"/>
      <c r="Q3" s="507"/>
      <c r="R3" s="507"/>
      <c r="S3" s="507"/>
      <c r="T3" s="507"/>
      <c r="U3" s="507"/>
      <c r="V3" s="507"/>
      <c r="W3" s="507"/>
      <c r="X3" s="507"/>
      <c r="Y3" s="507"/>
      <c r="Z3" s="507"/>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524" t="s">
        <v>5</v>
      </c>
      <c r="I5" s="507"/>
      <c r="J5" s="507"/>
      <c r="K5" s="507"/>
      <c r="L5" s="507"/>
      <c r="M5" s="507"/>
      <c r="N5" s="507"/>
      <c r="O5" s="507"/>
      <c r="P5" s="507"/>
      <c r="Q5" s="507"/>
      <c r="R5" s="507"/>
      <c r="S5" s="507"/>
      <c r="T5" s="22"/>
      <c r="U5" s="22"/>
      <c r="V5" s="22"/>
      <c r="W5" s="22"/>
      <c r="X5" s="22"/>
      <c r="Y5" s="22"/>
      <c r="Z5" s="22"/>
      <c r="AA5" s="22"/>
    </row>
    <row r="6" spans="1:27" ht="37.5" customHeight="1" x14ac:dyDescent="0.25">
      <c r="A6" s="24"/>
      <c r="B6" s="24"/>
      <c r="C6" s="25" t="s">
        <v>20</v>
      </c>
      <c r="D6" s="525" t="s">
        <v>330</v>
      </c>
      <c r="E6" s="507"/>
      <c r="F6" s="507"/>
      <c r="G6" s="507"/>
      <c r="H6" s="507"/>
      <c r="I6" s="507"/>
      <c r="J6" s="507"/>
      <c r="K6" s="507"/>
      <c r="L6" s="507"/>
      <c r="M6" s="507"/>
      <c r="N6" s="507"/>
      <c r="O6" s="507"/>
      <c r="P6" s="507"/>
      <c r="Q6" s="507"/>
      <c r="R6" s="507"/>
      <c r="S6" s="507"/>
      <c r="T6" s="507"/>
      <c r="U6" s="507"/>
      <c r="V6" s="507"/>
      <c r="W6" s="507"/>
      <c r="X6" s="507"/>
      <c r="Y6" s="507"/>
      <c r="Z6" s="26"/>
      <c r="AA6" s="26"/>
    </row>
    <row r="7" spans="1:27" ht="21.75" customHeight="1" x14ac:dyDescent="0.25">
      <c r="A7" s="24"/>
      <c r="B7" s="24"/>
      <c r="C7" s="25" t="s">
        <v>331</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526" t="s">
        <v>319</v>
      </c>
      <c r="E8" s="509"/>
      <c r="F8" s="509"/>
      <c r="G8" s="509"/>
      <c r="H8" s="509"/>
      <c r="I8" s="510"/>
      <c r="J8" s="24"/>
      <c r="K8" s="24"/>
      <c r="L8" s="24"/>
      <c r="M8" s="24"/>
      <c r="N8" s="24"/>
      <c r="O8" s="24"/>
      <c r="P8" s="24"/>
      <c r="Q8" s="24"/>
      <c r="R8" s="24"/>
      <c r="S8" s="24"/>
      <c r="T8" s="24"/>
      <c r="U8" s="24"/>
      <c r="V8" s="24"/>
      <c r="W8" s="24"/>
      <c r="X8" s="24"/>
      <c r="Y8" s="24"/>
      <c r="Z8" s="24"/>
      <c r="AA8" s="24"/>
    </row>
    <row r="9" spans="1:27" ht="27" customHeight="1" x14ac:dyDescent="0.25">
      <c r="A9" s="24"/>
      <c r="B9" s="24"/>
      <c r="C9" s="527" t="s">
        <v>401</v>
      </c>
      <c r="D9" s="507"/>
      <c r="E9" s="507"/>
      <c r="F9" s="507"/>
      <c r="G9" s="507"/>
      <c r="H9" s="507"/>
      <c r="I9" s="507"/>
      <c r="J9" s="507"/>
      <c r="K9" s="507"/>
      <c r="L9" s="507"/>
      <c r="M9" s="507"/>
      <c r="N9" s="507"/>
      <c r="O9" s="507"/>
      <c r="P9" s="507"/>
      <c r="Q9" s="507"/>
      <c r="R9" s="507"/>
      <c r="S9" s="507"/>
      <c r="T9" s="507"/>
      <c r="U9" s="507"/>
      <c r="V9" s="507"/>
      <c r="W9" s="507"/>
      <c r="X9" s="507"/>
      <c r="Y9" s="507"/>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528" t="s">
        <v>23</v>
      </c>
      <c r="D11" s="515"/>
      <c r="E11" s="515"/>
      <c r="F11" s="515"/>
      <c r="G11" s="515"/>
      <c r="H11" s="515"/>
      <c r="I11" s="515"/>
      <c r="J11" s="515"/>
      <c r="K11" s="515"/>
      <c r="L11" s="515"/>
      <c r="M11" s="516"/>
      <c r="N11" s="529" t="s">
        <v>24</v>
      </c>
      <c r="O11" s="515"/>
      <c r="P11" s="515"/>
      <c r="Q11" s="515"/>
      <c r="R11" s="515"/>
      <c r="S11" s="515"/>
      <c r="T11" s="515"/>
      <c r="U11" s="515"/>
      <c r="V11" s="515"/>
      <c r="W11" s="515"/>
      <c r="X11" s="515"/>
      <c r="Y11" s="515"/>
      <c r="Z11" s="516"/>
      <c r="AA11" s="24"/>
    </row>
    <row r="12" spans="1:27" ht="51.75" customHeight="1" x14ac:dyDescent="0.25">
      <c r="A12" s="24"/>
      <c r="B12" s="24"/>
      <c r="C12" s="514" t="s">
        <v>402</v>
      </c>
      <c r="D12" s="515"/>
      <c r="E12" s="515"/>
      <c r="F12" s="515"/>
      <c r="G12" s="515"/>
      <c r="H12" s="515"/>
      <c r="I12" s="515"/>
      <c r="J12" s="515"/>
      <c r="K12" s="515"/>
      <c r="L12" s="515"/>
      <c r="M12" s="516"/>
      <c r="N12" s="517">
        <f>'2. DS TKNH L1'!G20</f>
        <v>188727700</v>
      </c>
      <c r="O12" s="515"/>
      <c r="P12" s="515"/>
      <c r="Q12" s="515"/>
      <c r="R12" s="515"/>
      <c r="S12" s="515"/>
      <c r="T12" s="515"/>
      <c r="U12" s="515"/>
      <c r="V12" s="515"/>
      <c r="W12" s="515"/>
      <c r="X12" s="515"/>
      <c r="Y12" s="515"/>
      <c r="Z12" s="516"/>
      <c r="AA12" s="24"/>
    </row>
    <row r="13" spans="1:27" ht="25.5" customHeight="1" x14ac:dyDescent="0.25">
      <c r="A13" s="24"/>
      <c r="B13" s="24"/>
      <c r="C13" s="518" t="s">
        <v>25</v>
      </c>
      <c r="D13" s="515"/>
      <c r="E13" s="515"/>
      <c r="F13" s="515"/>
      <c r="G13" s="515"/>
      <c r="H13" s="515"/>
      <c r="I13" s="515"/>
      <c r="J13" s="515"/>
      <c r="K13" s="515"/>
      <c r="L13" s="515"/>
      <c r="M13" s="516"/>
      <c r="N13" s="520">
        <f>N12</f>
        <v>188727700</v>
      </c>
      <c r="O13" s="515"/>
      <c r="P13" s="515"/>
      <c r="Q13" s="515"/>
      <c r="R13" s="515"/>
      <c r="S13" s="515"/>
      <c r="T13" s="515"/>
      <c r="U13" s="515"/>
      <c r="V13" s="515"/>
      <c r="W13" s="515"/>
      <c r="X13" s="515"/>
      <c r="Y13" s="515"/>
      <c r="Z13" s="516"/>
      <c r="AA13" s="24"/>
    </row>
    <row r="14" spans="1:27" ht="31.5" customHeight="1" x14ac:dyDescent="0.25">
      <c r="A14" s="24"/>
      <c r="B14" s="24"/>
      <c r="C14" s="28" t="s">
        <v>26</v>
      </c>
      <c r="D14" s="521"/>
      <c r="E14" s="507"/>
      <c r="F14" s="507"/>
      <c r="G14" s="507"/>
      <c r="H14" s="507"/>
      <c r="I14" s="507"/>
      <c r="J14" s="507"/>
      <c r="K14" s="507"/>
      <c r="L14" s="507"/>
      <c r="M14" s="507"/>
      <c r="N14" s="507"/>
      <c r="O14" s="507"/>
      <c r="P14" s="507"/>
      <c r="Q14" s="507"/>
      <c r="R14" s="507"/>
      <c r="S14" s="507"/>
      <c r="T14" s="507"/>
      <c r="U14" s="507"/>
      <c r="V14" s="507"/>
      <c r="W14" s="507"/>
      <c r="X14" s="507"/>
      <c r="Y14" s="507"/>
      <c r="Z14" s="507"/>
      <c r="AA14" s="28"/>
    </row>
    <row r="15" spans="1:27" ht="39.75" customHeight="1" x14ac:dyDescent="0.25">
      <c r="A15" s="24"/>
      <c r="B15" s="24"/>
      <c r="C15" s="522"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507"/>
      <c r="E15" s="507"/>
      <c r="F15" s="507"/>
      <c r="G15" s="507"/>
      <c r="H15" s="507"/>
      <c r="I15" s="507"/>
      <c r="J15" s="507"/>
      <c r="K15" s="507"/>
      <c r="L15" s="507"/>
      <c r="M15" s="507"/>
      <c r="N15" s="507"/>
      <c r="O15" s="507"/>
      <c r="P15" s="507"/>
      <c r="Q15" s="507"/>
      <c r="R15" s="507"/>
      <c r="S15" s="507"/>
      <c r="T15" s="507"/>
      <c r="U15" s="507"/>
      <c r="V15" s="507"/>
      <c r="W15" s="507"/>
      <c r="X15" s="507"/>
      <c r="Y15" s="507"/>
      <c r="Z15" s="507"/>
      <c r="AA15" s="26"/>
    </row>
    <row r="16" spans="1:27" ht="22.5" customHeight="1" x14ac:dyDescent="0.25">
      <c r="A16" s="24"/>
      <c r="B16" s="24"/>
      <c r="C16" s="512" t="s">
        <v>27</v>
      </c>
      <c r="D16" s="507"/>
      <c r="E16" s="507"/>
      <c r="F16" s="507"/>
      <c r="G16" s="507"/>
      <c r="H16" s="29" t="s">
        <v>28</v>
      </c>
      <c r="I16" s="30"/>
      <c r="J16" s="30"/>
      <c r="K16" s="30"/>
      <c r="L16" s="523" t="b">
        <v>0</v>
      </c>
      <c r="M16" s="507"/>
      <c r="N16" s="507"/>
      <c r="O16" s="30"/>
      <c r="P16" s="30"/>
      <c r="Q16" s="30"/>
      <c r="R16" s="30"/>
      <c r="S16" s="30"/>
      <c r="T16" s="30"/>
      <c r="U16" s="30"/>
      <c r="V16" s="30"/>
      <c r="W16" s="30"/>
      <c r="X16" s="30"/>
      <c r="Y16" s="24"/>
      <c r="Z16" s="24"/>
      <c r="AA16" s="24"/>
    </row>
    <row r="17" spans="1:27" ht="24" customHeight="1" x14ac:dyDescent="0.25">
      <c r="A17" s="24"/>
      <c r="B17" s="24"/>
      <c r="C17" s="507"/>
      <c r="D17" s="507"/>
      <c r="E17" s="507"/>
      <c r="F17" s="507"/>
      <c r="G17" s="507"/>
      <c r="H17" s="29" t="s">
        <v>29</v>
      </c>
      <c r="I17" s="30"/>
      <c r="J17" s="30"/>
      <c r="K17" s="30"/>
      <c r="L17" s="523" t="b">
        <v>1</v>
      </c>
      <c r="M17" s="507"/>
      <c r="N17" s="507"/>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512" t="s">
        <v>31</v>
      </c>
      <c r="D19" s="507"/>
      <c r="E19" s="507"/>
      <c r="F19" s="519" t="s">
        <v>32</v>
      </c>
      <c r="G19" s="507"/>
      <c r="H19" s="507"/>
      <c r="I19" s="507"/>
      <c r="J19" s="507"/>
      <c r="K19" s="507"/>
      <c r="L19" s="507"/>
      <c r="M19" s="507"/>
      <c r="N19" s="507"/>
      <c r="O19" s="507"/>
      <c r="P19" s="507"/>
      <c r="Q19" s="507"/>
      <c r="R19" s="507"/>
      <c r="S19" s="507"/>
      <c r="T19" s="507"/>
      <c r="U19" s="507"/>
      <c r="V19" s="507"/>
      <c r="W19" s="507"/>
      <c r="X19" s="507"/>
      <c r="Y19" s="24"/>
      <c r="Z19" s="24"/>
      <c r="AA19" s="24"/>
    </row>
    <row r="20" spans="1:27" ht="15.75" customHeight="1" x14ac:dyDescent="0.25">
      <c r="A20" s="24"/>
      <c r="B20" s="24"/>
      <c r="C20" s="512" t="s">
        <v>33</v>
      </c>
      <c r="D20" s="507"/>
      <c r="E20" s="507"/>
      <c r="F20" s="519" t="s">
        <v>32</v>
      </c>
      <c r="G20" s="507"/>
      <c r="H20" s="507"/>
      <c r="I20" s="507"/>
      <c r="J20" s="507"/>
      <c r="K20" s="507"/>
      <c r="L20" s="507"/>
      <c r="M20" s="507"/>
      <c r="N20" s="507"/>
      <c r="O20" s="507"/>
      <c r="P20" s="507"/>
      <c r="Q20" s="507"/>
      <c r="R20" s="507"/>
      <c r="S20" s="507"/>
      <c r="T20" s="507"/>
      <c r="U20" s="507"/>
      <c r="V20" s="507"/>
      <c r="W20" s="507"/>
      <c r="X20" s="507"/>
      <c r="Y20" s="24"/>
      <c r="Z20" s="24"/>
      <c r="AA20" s="24"/>
    </row>
    <row r="21" spans="1:27" ht="15.75" customHeight="1" x14ac:dyDescent="0.25">
      <c r="A21" s="24"/>
      <c r="B21" s="24"/>
      <c r="C21" s="512" t="s">
        <v>34</v>
      </c>
      <c r="D21" s="507"/>
      <c r="E21" s="507"/>
      <c r="F21" s="519" t="s">
        <v>32</v>
      </c>
      <c r="G21" s="507"/>
      <c r="H21" s="507"/>
      <c r="I21" s="507"/>
      <c r="J21" s="507"/>
      <c r="K21" s="507"/>
      <c r="L21" s="507"/>
      <c r="M21" s="507"/>
      <c r="N21" s="507"/>
      <c r="O21" s="507"/>
      <c r="P21" s="507"/>
      <c r="Q21" s="507"/>
      <c r="R21" s="507"/>
      <c r="S21" s="507"/>
      <c r="T21" s="507"/>
      <c r="U21" s="507"/>
      <c r="V21" s="507"/>
      <c r="W21" s="507"/>
      <c r="X21" s="507"/>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506" t="s">
        <v>35</v>
      </c>
      <c r="B23" s="507"/>
      <c r="C23" s="507"/>
      <c r="D23" s="507"/>
      <c r="E23" s="507"/>
      <c r="F23" s="513" t="s">
        <v>36</v>
      </c>
      <c r="G23" s="507"/>
      <c r="H23" s="507"/>
      <c r="I23" s="507"/>
      <c r="J23" s="507"/>
      <c r="K23" s="507"/>
      <c r="L23" s="507"/>
      <c r="M23" s="31"/>
      <c r="N23" s="513" t="s">
        <v>37</v>
      </c>
      <c r="O23" s="507"/>
      <c r="P23" s="507"/>
      <c r="Q23" s="507"/>
      <c r="R23" s="507"/>
      <c r="S23" s="507"/>
      <c r="T23" s="507"/>
      <c r="U23" s="31"/>
      <c r="V23" s="513" t="s">
        <v>38</v>
      </c>
      <c r="W23" s="507"/>
      <c r="X23" s="507"/>
      <c r="Y23" s="507"/>
      <c r="Z23" s="507"/>
    </row>
    <row r="24" spans="1:27" ht="15.75" customHeight="1" x14ac:dyDescent="0.25">
      <c r="A24" s="507"/>
      <c r="B24" s="507"/>
      <c r="C24" s="507"/>
      <c r="D24" s="507"/>
      <c r="E24" s="507"/>
      <c r="F24" s="507"/>
      <c r="G24" s="507"/>
      <c r="H24" s="507"/>
      <c r="I24" s="507"/>
      <c r="J24" s="507"/>
      <c r="K24" s="507"/>
      <c r="L24" s="507"/>
      <c r="M24" s="31"/>
      <c r="N24" s="507"/>
      <c r="O24" s="507"/>
      <c r="P24" s="507"/>
      <c r="Q24" s="507"/>
      <c r="R24" s="507"/>
      <c r="S24" s="507"/>
      <c r="T24" s="507"/>
      <c r="U24" s="31"/>
      <c r="V24" s="507"/>
      <c r="W24" s="507"/>
      <c r="X24" s="507"/>
      <c r="Y24" s="507"/>
      <c r="Z24" s="507"/>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506"/>
      <c r="B29" s="507"/>
      <c r="C29" s="507"/>
      <c r="D29" s="507"/>
      <c r="E29" s="507"/>
      <c r="F29" s="508"/>
      <c r="G29" s="509"/>
      <c r="H29" s="509"/>
      <c r="I29" s="509"/>
      <c r="J29" s="509"/>
      <c r="K29" s="509"/>
      <c r="L29" s="510"/>
      <c r="M29" s="32"/>
      <c r="N29" s="511"/>
      <c r="O29" s="509"/>
      <c r="P29" s="509"/>
      <c r="Q29" s="509"/>
      <c r="R29" s="509"/>
      <c r="S29" s="509"/>
      <c r="T29" s="510"/>
      <c r="U29" s="511"/>
      <c r="V29" s="509"/>
      <c r="W29" s="509"/>
      <c r="X29" s="509"/>
      <c r="Y29" s="509"/>
      <c r="Z29" s="509"/>
      <c r="AA29" s="510"/>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1:C1"/>
    <mergeCell ref="D1:Z1"/>
    <mergeCell ref="D2:Z2"/>
    <mergeCell ref="C3:D3"/>
    <mergeCell ref="M3:Z3"/>
    <mergeCell ref="H5:S5"/>
    <mergeCell ref="D6:Y6"/>
    <mergeCell ref="D8:I8"/>
    <mergeCell ref="C9:Y9"/>
    <mergeCell ref="C11:M11"/>
    <mergeCell ref="N11:Z11"/>
    <mergeCell ref="C12:M12"/>
    <mergeCell ref="N12:Z12"/>
    <mergeCell ref="C13:M13"/>
    <mergeCell ref="F20:X20"/>
    <mergeCell ref="F21:X21"/>
    <mergeCell ref="N13:Z13"/>
    <mergeCell ref="D14:Z14"/>
    <mergeCell ref="C15:Z15"/>
    <mergeCell ref="C16:G17"/>
    <mergeCell ref="L16:N16"/>
    <mergeCell ref="L17:N17"/>
    <mergeCell ref="F19:X19"/>
    <mergeCell ref="A29:E29"/>
    <mergeCell ref="F29:L29"/>
    <mergeCell ref="N29:T29"/>
    <mergeCell ref="U29:AA29"/>
    <mergeCell ref="C19:E19"/>
    <mergeCell ref="C20:E20"/>
    <mergeCell ref="C21:E21"/>
    <mergeCell ref="A23:E24"/>
    <mergeCell ref="F23:L24"/>
    <mergeCell ref="N23:T24"/>
    <mergeCell ref="V23:Z24"/>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J999"/>
  <sheetViews>
    <sheetView showGridLines="0" tabSelected="1" topLeftCell="A9" workbookViewId="0">
      <selection activeCell="E11" sqref="E11"/>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7" ht="43.5" customHeight="1" x14ac:dyDescent="0.25">
      <c r="A1" s="539"/>
      <c r="B1" s="540"/>
      <c r="C1" s="543" t="s">
        <v>399</v>
      </c>
      <c r="D1" s="536"/>
      <c r="E1" s="536"/>
      <c r="F1" s="536"/>
      <c r="G1" s="537"/>
    </row>
    <row r="2" spans="1:7" ht="42" customHeight="1" x14ac:dyDescent="0.25">
      <c r="A2" s="541"/>
      <c r="B2" s="542"/>
      <c r="C2" s="544" t="s">
        <v>400</v>
      </c>
      <c r="D2" s="545"/>
      <c r="E2" s="545"/>
      <c r="F2" s="545"/>
      <c r="G2" s="546"/>
    </row>
    <row r="3" spans="1:7" ht="44.25" customHeight="1" x14ac:dyDescent="0.25">
      <c r="A3" s="418" t="s">
        <v>1</v>
      </c>
      <c r="B3" s="419" t="s">
        <v>40</v>
      </c>
      <c r="C3" s="419" t="s">
        <v>41</v>
      </c>
      <c r="D3" s="420" t="s">
        <v>42</v>
      </c>
      <c r="E3" s="419" t="s">
        <v>43</v>
      </c>
      <c r="F3" s="419" t="s">
        <v>44</v>
      </c>
      <c r="G3" s="421" t="s">
        <v>45</v>
      </c>
    </row>
    <row r="4" spans="1:7" ht="26.25" customHeight="1" x14ac:dyDescent="0.25">
      <c r="A4" s="100">
        <f>SUBTOTAL(3,$C$3:C3)</f>
        <v>1</v>
      </c>
      <c r="B4" s="423" t="s">
        <v>322</v>
      </c>
      <c r="C4" s="374" t="str">
        <f>VLOOKUP(B4,'6.Bảng lương  '!B15:$C$16,2,0)</f>
        <v>Nguyễn Thị Thu Hảo</v>
      </c>
      <c r="D4" s="427">
        <v>19035531863010</v>
      </c>
      <c r="E4" s="425" t="s">
        <v>332</v>
      </c>
      <c r="F4" s="423"/>
      <c r="G4" s="426">
        <f>VLOOKUP($B4,'6.Bảng lương  '!$B$11:$AV$32,47,0)</f>
        <v>15212500</v>
      </c>
    </row>
    <row r="5" spans="1:7" ht="26.25" customHeight="1" x14ac:dyDescent="0.25">
      <c r="A5" s="100">
        <f>SUBTOTAL(3,$C$3:C4)</f>
        <v>2</v>
      </c>
      <c r="B5" s="423" t="s">
        <v>339</v>
      </c>
      <c r="C5" s="374" t="str">
        <f>VLOOKUP(B5,'6.Bảng lương  '!B12:$C$12,2,0)</f>
        <v>Bùi Thanh Anh</v>
      </c>
      <c r="D5" s="427">
        <v>1978555558</v>
      </c>
      <c r="E5" s="425" t="s">
        <v>344</v>
      </c>
      <c r="F5" s="423"/>
      <c r="G5" s="426">
        <f>VLOOKUP($B5,'6.Bảng lương  '!$B$11:$AV$32,47,0)</f>
        <v>25000000</v>
      </c>
    </row>
    <row r="6" spans="1:7" ht="26.25" customHeight="1" x14ac:dyDescent="0.25">
      <c r="A6" s="100">
        <f>SUBTOTAL(3,$C$3:C5)</f>
        <v>3</v>
      </c>
      <c r="B6" s="423" t="s">
        <v>335</v>
      </c>
      <c r="C6" s="374" t="str">
        <f>VLOOKUP(B6,'6.Bảng lương  '!B$16:$C22,2,0)</f>
        <v>Eugene</v>
      </c>
      <c r="D6" s="427">
        <v>1045887952</v>
      </c>
      <c r="E6" s="425" t="s">
        <v>345</v>
      </c>
      <c r="F6" s="423"/>
      <c r="G6" s="426">
        <f>VLOOKUP($B6,'6.Bảng lương  '!$B$11:$AV$32,47,0)</f>
        <v>38609500</v>
      </c>
    </row>
    <row r="7" spans="1:7" ht="26.25" customHeight="1" x14ac:dyDescent="0.25">
      <c r="A7" s="100">
        <f>SUBTOTAL(3,$C$3:C6)</f>
        <v>4</v>
      </c>
      <c r="B7" s="423" t="s">
        <v>348</v>
      </c>
      <c r="C7" s="374" t="str">
        <f>VLOOKUP(B7,'6.Bảng lương  '!B$16:$C23,2,0)</f>
        <v>Nguyễn Ánh Hồng</v>
      </c>
      <c r="D7" s="427">
        <v>1033638061</v>
      </c>
      <c r="E7" s="425" t="s">
        <v>345</v>
      </c>
      <c r="F7" s="423"/>
      <c r="G7" s="426">
        <f>VLOOKUP($B7,'6.Bảng lương  '!$B$11:$AV$32,47,0)</f>
        <v>9000000</v>
      </c>
    </row>
    <row r="8" spans="1:7" ht="26.25" customHeight="1" x14ac:dyDescent="0.25">
      <c r="A8" s="100">
        <f>SUBTOTAL(3,$C$3:C7)</f>
        <v>5</v>
      </c>
      <c r="B8" s="423" t="s">
        <v>353</v>
      </c>
      <c r="C8" s="374" t="str">
        <f>VLOOKUP(B8,'6.Bảng lương  '!$B$12:$C$23,2,0)</f>
        <v>Nguyễn Thị Thu</v>
      </c>
      <c r="D8" s="427">
        <v>1991555558</v>
      </c>
      <c r="E8" s="425" t="s">
        <v>344</v>
      </c>
      <c r="F8" s="423"/>
      <c r="G8" s="426">
        <f>VLOOKUP($B8,'6.Bảng lương  '!$B$11:$AV$32,47,0)</f>
        <v>8000000</v>
      </c>
    </row>
    <row r="9" spans="1:7" ht="26.25" customHeight="1" x14ac:dyDescent="0.25">
      <c r="A9" s="100">
        <f>SUBTOTAL(3,$C$3:C8)</f>
        <v>6</v>
      </c>
      <c r="B9" s="423" t="s">
        <v>362</v>
      </c>
      <c r="C9" s="374" t="str">
        <f>VLOOKUP(B9,' 5. Thông số TL'!$D$12:$E$25,2,0)</f>
        <v>Phùng Thị Lụa</v>
      </c>
      <c r="D9" s="424" t="s">
        <v>374</v>
      </c>
      <c r="E9" s="425" t="s">
        <v>375</v>
      </c>
      <c r="F9" s="423"/>
      <c r="G9" s="426">
        <f>VLOOKUP($B9,'6.Bảng lương  '!$B$11:$AV$32,47,0)</f>
        <v>8782300</v>
      </c>
    </row>
    <row r="10" spans="1:7" ht="26.25" customHeight="1" x14ac:dyDescent="0.25">
      <c r="A10" s="100">
        <f>SUBTOTAL(3,$C$3:C9)</f>
        <v>7</v>
      </c>
      <c r="B10" s="423" t="s">
        <v>364</v>
      </c>
      <c r="C10" s="374" t="str">
        <f>VLOOKUP(B10,' 5. Thông số TL'!$D$12:$E$25,2,0)</f>
        <v>Đinh Thị Bích Ngọc</v>
      </c>
      <c r="D10" s="427">
        <v>19032824127018</v>
      </c>
      <c r="E10" s="425" t="s">
        <v>332</v>
      </c>
      <c r="F10" s="423"/>
      <c r="G10" s="426">
        <f>VLOOKUP($B10,'6.Bảng lương  '!$B$11:$AV$32,47,0)</f>
        <v>7000000</v>
      </c>
    </row>
    <row r="11" spans="1:7" ht="26.25" customHeight="1" x14ac:dyDescent="0.25">
      <c r="A11" s="100">
        <f>SUBTOTAL(3,$C$3:C10)</f>
        <v>8</v>
      </c>
      <c r="B11" s="423" t="s">
        <v>366</v>
      </c>
      <c r="C11" s="374" t="str">
        <f>VLOOKUP(B11,' 5. Thông số TL'!$D$12:$E$25,2,0)</f>
        <v>Lương Văn Châm</v>
      </c>
      <c r="D11" s="427">
        <v>9904677976</v>
      </c>
      <c r="E11" s="425" t="s">
        <v>332</v>
      </c>
      <c r="F11" s="423"/>
      <c r="G11" s="426">
        <f>VLOOKUP($B11,'6.Bảng lương  '!$B$11:$AV$32,47,0)</f>
        <v>10000000</v>
      </c>
    </row>
    <row r="12" spans="1:7" ht="26.25" customHeight="1" x14ac:dyDescent="0.25">
      <c r="A12" s="100">
        <f>SUBTOTAL(3,$C$3:C11)</f>
        <v>9</v>
      </c>
      <c r="B12" s="423" t="s">
        <v>368</v>
      </c>
      <c r="C12" s="374" t="str">
        <f>VLOOKUP(B12,' 5. Thông số TL'!$D$12:$E$25,2,0)</f>
        <v>Nguyễn Thị Phúc</v>
      </c>
      <c r="D12" s="427">
        <v>1036236348</v>
      </c>
      <c r="E12" s="425" t="s">
        <v>376</v>
      </c>
      <c r="F12" s="423"/>
      <c r="G12" s="426">
        <f>VLOOKUP($B12,'6.Bảng lương  '!$B$11:$AV$32,47,0)</f>
        <v>10000000</v>
      </c>
    </row>
    <row r="13" spans="1:7" ht="26.25" customHeight="1" x14ac:dyDescent="0.25">
      <c r="A13" s="100">
        <f>SUBTOTAL(3,$C$3:C12)</f>
        <v>10</v>
      </c>
      <c r="B13" s="423" t="s">
        <v>381</v>
      </c>
      <c r="C13" s="487" t="s">
        <v>382</v>
      </c>
      <c r="D13" s="424" t="s">
        <v>387</v>
      </c>
      <c r="E13" s="425" t="s">
        <v>375</v>
      </c>
      <c r="F13" s="423"/>
      <c r="G13" s="426">
        <f>VLOOKUP($B13,'6.Bảng lương  '!$B$11:$AV$32,47,0)</f>
        <v>9077500</v>
      </c>
    </row>
    <row r="14" spans="1:7" ht="26.25" customHeight="1" x14ac:dyDescent="0.25">
      <c r="A14" s="457">
        <f>SUBTOTAL(3,$C$3:C13)</f>
        <v>11</v>
      </c>
      <c r="B14" s="501" t="s">
        <v>383</v>
      </c>
      <c r="C14" s="502" t="s">
        <v>384</v>
      </c>
      <c r="D14" s="503">
        <v>8862965558</v>
      </c>
      <c r="E14" s="504" t="s">
        <v>390</v>
      </c>
      <c r="F14" s="501"/>
      <c r="G14" s="505">
        <f>VLOOKUP($B14,'6.Bảng lương  '!$B$11:$AV$32,47,0)</f>
        <v>7911600</v>
      </c>
    </row>
    <row r="15" spans="1:7" ht="26.25" customHeight="1" x14ac:dyDescent="0.25">
      <c r="A15" s="450">
        <f>SUBTOTAL(3,$C$3:C14)</f>
        <v>12</v>
      </c>
      <c r="B15" s="423" t="s">
        <v>388</v>
      </c>
      <c r="C15" s="487" t="s">
        <v>389</v>
      </c>
      <c r="D15" s="424">
        <v>19021081619016</v>
      </c>
      <c r="E15" s="425" t="s">
        <v>332</v>
      </c>
      <c r="F15" s="423"/>
      <c r="G15" s="426">
        <f>VLOOKUP($B15,'6.Bảng lương  '!$B$11:$AV$32,47,0)</f>
        <v>9000000</v>
      </c>
    </row>
    <row r="16" spans="1:7" ht="26.25" customHeight="1" x14ac:dyDescent="0.25">
      <c r="A16" s="450">
        <f>SUBTOTAL(3,$C$3:C15)</f>
        <v>13</v>
      </c>
      <c r="B16" s="423" t="s">
        <v>392</v>
      </c>
      <c r="C16" s="487" t="s">
        <v>394</v>
      </c>
      <c r="D16" s="424">
        <v>150822666999</v>
      </c>
      <c r="E16" s="425" t="s">
        <v>332</v>
      </c>
      <c r="F16" s="423"/>
      <c r="G16" s="426">
        <f>VLOOKUP($B16,'6.Bảng lương  '!$B$11:$AV$32,47,0)</f>
        <v>11142400</v>
      </c>
    </row>
    <row r="17" spans="1:10" ht="26.25" customHeight="1" x14ac:dyDescent="0.25">
      <c r="A17" s="450">
        <f>SUBTOTAL(3,$C$3:C16)</f>
        <v>14</v>
      </c>
      <c r="B17" s="423" t="s">
        <v>393</v>
      </c>
      <c r="C17" s="487" t="s">
        <v>395</v>
      </c>
      <c r="D17" s="424">
        <v>19031171516025</v>
      </c>
      <c r="E17" s="425" t="s">
        <v>332</v>
      </c>
      <c r="F17" s="423"/>
      <c r="G17" s="426">
        <f>VLOOKUP($B17,'6.Bảng lương  '!$B$11:$AV$32,47,0)</f>
        <v>11000000</v>
      </c>
    </row>
    <row r="18" spans="1:10" ht="26.25" customHeight="1" x14ac:dyDescent="0.25">
      <c r="A18" s="450">
        <f>SUBTOTAL(3,$C$3:C17)</f>
        <v>15</v>
      </c>
      <c r="B18" s="423" t="s">
        <v>396</v>
      </c>
      <c r="C18" s="487" t="s">
        <v>397</v>
      </c>
      <c r="D18" s="424">
        <v>19024964658010</v>
      </c>
      <c r="E18" s="425" t="s">
        <v>332</v>
      </c>
      <c r="F18" s="423"/>
      <c r="G18" s="426">
        <f>VLOOKUP($B18,'6.Bảng lương  '!$B$11:$AV$32,47,0)</f>
        <v>7540100</v>
      </c>
    </row>
    <row r="19" spans="1:10" ht="26.25" customHeight="1" x14ac:dyDescent="0.25">
      <c r="A19" s="450">
        <v>16</v>
      </c>
      <c r="B19" s="423" t="s">
        <v>406</v>
      </c>
      <c r="C19" s="487" t="s">
        <v>407</v>
      </c>
      <c r="D19" s="424">
        <v>8819922368</v>
      </c>
      <c r="E19" s="425" t="s">
        <v>408</v>
      </c>
      <c r="F19" s="423"/>
      <c r="G19" s="426">
        <f>VLOOKUP($B19,'6.Bảng lương  '!$B$11:$AV$32,47,0)</f>
        <v>1451800</v>
      </c>
    </row>
    <row r="20" spans="1:10" ht="25.5" customHeight="1" x14ac:dyDescent="0.25">
      <c r="A20" s="547" t="s">
        <v>51</v>
      </c>
      <c r="B20" s="548"/>
      <c r="C20" s="548"/>
      <c r="D20" s="548"/>
      <c r="E20" s="548"/>
      <c r="F20" s="549"/>
      <c r="G20" s="422">
        <f>SUM(G4:G19)</f>
        <v>188727700</v>
      </c>
      <c r="H20" s="451"/>
    </row>
    <row r="21" spans="1:10" ht="15.75" customHeight="1" x14ac:dyDescent="0.3">
      <c r="A21" s="39"/>
      <c r="B21" s="39"/>
      <c r="C21" s="40"/>
      <c r="D21" s="41"/>
      <c r="E21" s="39"/>
      <c r="F21" s="40"/>
      <c r="G21" s="40"/>
      <c r="J21" s="42"/>
    </row>
    <row r="22" spans="1:10" ht="3.75" customHeight="1" x14ac:dyDescent="0.3">
      <c r="A22" s="39"/>
      <c r="B22" s="39"/>
      <c r="C22" s="40"/>
      <c r="D22" s="41"/>
      <c r="E22" s="39"/>
      <c r="F22" s="40"/>
      <c r="G22" s="40"/>
      <c r="J22" s="43"/>
    </row>
    <row r="23" spans="1:10" ht="15.75" customHeight="1" x14ac:dyDescent="0.3">
      <c r="A23" s="39"/>
      <c r="B23" s="39"/>
      <c r="C23" s="40"/>
      <c r="D23" s="41"/>
      <c r="E23" s="550" t="s">
        <v>403</v>
      </c>
      <c r="F23" s="507"/>
      <c r="G23" s="507"/>
    </row>
    <row r="24" spans="1:10" ht="15.75" customHeight="1" x14ac:dyDescent="0.3">
      <c r="A24" s="39"/>
      <c r="B24" s="39"/>
      <c r="C24" s="40"/>
      <c r="D24" s="41"/>
      <c r="E24" s="39"/>
      <c r="F24" s="40"/>
      <c r="G24" s="40"/>
    </row>
    <row r="25" spans="1:10" ht="18.75" customHeight="1" x14ac:dyDescent="0.25">
      <c r="A25" s="538" t="s">
        <v>52</v>
      </c>
      <c r="B25" s="507"/>
      <c r="C25" s="551" t="s">
        <v>53</v>
      </c>
      <c r="D25" s="507"/>
      <c r="E25" s="44" t="s">
        <v>54</v>
      </c>
      <c r="F25" s="538" t="s">
        <v>55</v>
      </c>
      <c r="G25" s="507"/>
    </row>
    <row r="26" spans="1:10" ht="18.75" customHeight="1" x14ac:dyDescent="0.3">
      <c r="A26" s="39"/>
      <c r="B26" s="39"/>
      <c r="C26" s="40"/>
      <c r="D26" s="36"/>
      <c r="E26" s="39"/>
      <c r="F26" s="40"/>
      <c r="G26" s="40"/>
    </row>
    <row r="27" spans="1:10" ht="18.75" customHeight="1" x14ac:dyDescent="0.3">
      <c r="A27" s="39"/>
      <c r="B27" s="39"/>
      <c r="C27" s="40"/>
      <c r="D27" s="41"/>
      <c r="E27" s="39"/>
      <c r="F27" s="40"/>
      <c r="G27" s="40"/>
    </row>
    <row r="28" spans="1:10" ht="18.75" customHeight="1" x14ac:dyDescent="0.3">
      <c r="A28" s="39"/>
      <c r="B28" s="39"/>
      <c r="C28" s="40"/>
      <c r="D28" s="41"/>
      <c r="E28" s="39"/>
      <c r="F28" s="40"/>
      <c r="G28" s="40"/>
    </row>
    <row r="29" spans="1:10" ht="18.75" customHeight="1" x14ac:dyDescent="0.3">
      <c r="A29" s="39"/>
      <c r="B29" s="39"/>
      <c r="C29" s="40"/>
      <c r="D29" s="41"/>
      <c r="E29" s="39"/>
      <c r="F29" s="40"/>
      <c r="G29" s="40"/>
    </row>
    <row r="30" spans="1:10" ht="18.75" customHeight="1" x14ac:dyDescent="0.3">
      <c r="A30" s="46"/>
      <c r="B30" s="46"/>
      <c r="C30" s="47"/>
      <c r="D30" s="48"/>
      <c r="E30" s="46"/>
      <c r="F30" s="47"/>
      <c r="G30" s="47"/>
    </row>
    <row r="31" spans="1:10" ht="18.75" customHeight="1" x14ac:dyDescent="0.25">
      <c r="A31" s="538"/>
      <c r="B31" s="507"/>
      <c r="C31" s="538"/>
      <c r="D31" s="507"/>
      <c r="E31" s="49"/>
      <c r="F31" s="538"/>
      <c r="G31" s="507"/>
    </row>
    <row r="32" spans="1:10" ht="15.75" customHeight="1" x14ac:dyDescent="0.25">
      <c r="A32" s="50"/>
      <c r="B32" s="50"/>
      <c r="C32" s="51"/>
      <c r="D32" s="52"/>
      <c r="E32" s="50"/>
      <c r="F32" s="51"/>
      <c r="G32" s="51"/>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1">
    <mergeCell ref="A25:B25"/>
    <mergeCell ref="A31:B31"/>
    <mergeCell ref="C31:D31"/>
    <mergeCell ref="F31:G31"/>
    <mergeCell ref="A1:B2"/>
    <mergeCell ref="C1:G1"/>
    <mergeCell ref="C2:G2"/>
    <mergeCell ref="A20:F20"/>
    <mergeCell ref="E23:G23"/>
    <mergeCell ref="C25:D25"/>
    <mergeCell ref="F25:G25"/>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96"/>
  <sheetViews>
    <sheetView showGridLines="0" topLeftCell="D1" zoomScale="70" zoomScaleNormal="70" workbookViewId="0">
      <selection activeCell="H1" sqref="H1:AC1"/>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7" width="5.109375" customWidth="1"/>
    <col min="38" max="38" width="5.109375" hidden="1"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587"/>
      <c r="B1" s="507"/>
      <c r="C1" s="588" t="s">
        <v>327</v>
      </c>
      <c r="D1" s="509"/>
      <c r="E1" s="509"/>
      <c r="F1" s="509"/>
      <c r="G1" s="510"/>
      <c r="H1" s="589"/>
      <c r="I1" s="507"/>
      <c r="J1" s="507"/>
      <c r="K1" s="507"/>
      <c r="L1" s="507"/>
      <c r="M1" s="507"/>
      <c r="N1" s="507"/>
      <c r="O1" s="507"/>
      <c r="P1" s="507"/>
      <c r="Q1" s="507"/>
      <c r="R1" s="507"/>
      <c r="S1" s="507"/>
      <c r="T1" s="507"/>
      <c r="U1" s="507"/>
      <c r="V1" s="507"/>
      <c r="W1" s="507"/>
      <c r="X1" s="507"/>
      <c r="Y1" s="507"/>
      <c r="Z1" s="507"/>
      <c r="AA1" s="507"/>
      <c r="AB1" s="507"/>
      <c r="AC1" s="507"/>
      <c r="AH1" s="590"/>
      <c r="AI1" s="510"/>
      <c r="AJ1" s="54"/>
      <c r="AK1" s="54"/>
      <c r="AL1" s="54"/>
      <c r="AM1" s="55"/>
      <c r="AS1" s="56"/>
      <c r="AU1" s="57"/>
      <c r="AV1" s="58"/>
    </row>
    <row r="2" spans="1:48" ht="22.5" customHeight="1" thickBot="1" x14ac:dyDescent="0.3">
      <c r="A2" s="59"/>
      <c r="B2" s="60"/>
      <c r="C2" s="59"/>
      <c r="D2" s="59"/>
      <c r="E2" s="59"/>
      <c r="F2" s="59"/>
      <c r="G2" s="59"/>
      <c r="I2" s="578" t="s">
        <v>56</v>
      </c>
      <c r="J2" s="591"/>
      <c r="K2" s="579">
        <v>6</v>
      </c>
      <c r="L2" s="559"/>
      <c r="M2" s="593" t="s">
        <v>57</v>
      </c>
      <c r="N2" s="509"/>
      <c r="O2" s="509"/>
      <c r="P2" s="509"/>
      <c r="Q2" s="509"/>
      <c r="R2" s="509"/>
      <c r="S2" s="509"/>
      <c r="T2" s="509"/>
      <c r="U2" s="509"/>
      <c r="V2" s="509"/>
      <c r="W2" s="509"/>
      <c r="X2" s="509"/>
      <c r="Y2" s="509"/>
      <c r="Z2" s="509"/>
      <c r="AA2" s="509"/>
      <c r="AB2" s="509"/>
      <c r="AC2" s="510"/>
      <c r="AH2" s="61"/>
      <c r="AI2" s="61"/>
      <c r="AJ2" s="61"/>
      <c r="AK2" s="61"/>
      <c r="AL2" s="61"/>
      <c r="AS2" s="56"/>
      <c r="AU2" s="57"/>
      <c r="AV2" s="62"/>
    </row>
    <row r="3" spans="1:48" ht="18" customHeight="1" thickBot="1" x14ac:dyDescent="0.3">
      <c r="A3" s="59"/>
      <c r="B3" s="60"/>
      <c r="C3" s="59"/>
      <c r="D3" s="59"/>
      <c r="E3" s="59"/>
      <c r="F3" s="59"/>
      <c r="G3" s="59"/>
      <c r="I3" s="592"/>
      <c r="J3" s="507"/>
      <c r="K3" s="560"/>
      <c r="L3" s="561"/>
      <c r="M3" s="580" t="s">
        <v>58</v>
      </c>
      <c r="N3" s="559"/>
      <c r="O3" s="595" t="s">
        <v>59</v>
      </c>
      <c r="P3" s="596" t="s">
        <v>60</v>
      </c>
      <c r="Q3" s="597" t="s">
        <v>61</v>
      </c>
      <c r="R3" s="598" t="s">
        <v>62</v>
      </c>
      <c r="S3" s="599" t="s">
        <v>63</v>
      </c>
      <c r="T3" s="601" t="s">
        <v>64</v>
      </c>
      <c r="U3" s="602" t="s">
        <v>65</v>
      </c>
      <c r="V3" s="603" t="s">
        <v>66</v>
      </c>
      <c r="W3" s="559"/>
      <c r="X3" s="604" t="s">
        <v>67</v>
      </c>
      <c r="Y3" s="604" t="s">
        <v>68</v>
      </c>
      <c r="Z3" s="600" t="s">
        <v>69</v>
      </c>
      <c r="AA3" s="559"/>
      <c r="AB3" s="594" t="s">
        <v>70</v>
      </c>
      <c r="AC3" s="559"/>
      <c r="AH3" s="562"/>
      <c r="AI3" s="562"/>
      <c r="AJ3" s="61"/>
      <c r="AK3" s="61"/>
      <c r="AL3" s="61"/>
      <c r="AS3" s="56"/>
      <c r="AU3" s="57"/>
      <c r="AV3" s="62"/>
    </row>
    <row r="4" spans="1:48" ht="27.75" customHeight="1" thickBot="1" x14ac:dyDescent="0.3">
      <c r="A4" s="59"/>
      <c r="B4" s="60"/>
      <c r="C4" s="59"/>
      <c r="D4" s="59"/>
      <c r="E4" s="59"/>
      <c r="F4" s="59"/>
      <c r="G4" s="59"/>
      <c r="I4" s="578" t="s">
        <v>71</v>
      </c>
      <c r="J4" s="559"/>
      <c r="K4" s="579">
        <v>2026</v>
      </c>
      <c r="L4" s="559"/>
      <c r="M4" s="560"/>
      <c r="N4" s="561"/>
      <c r="O4" s="567"/>
      <c r="P4" s="567"/>
      <c r="Q4" s="567"/>
      <c r="R4" s="567"/>
      <c r="S4" s="567"/>
      <c r="T4" s="567"/>
      <c r="U4" s="567"/>
      <c r="V4" s="560"/>
      <c r="W4" s="561"/>
      <c r="X4" s="567"/>
      <c r="Y4" s="567"/>
      <c r="Z4" s="560"/>
      <c r="AA4" s="561"/>
      <c r="AB4" s="560"/>
      <c r="AC4" s="561"/>
      <c r="AH4" s="563"/>
      <c r="AI4" s="563"/>
      <c r="AJ4" s="61"/>
      <c r="AK4" s="61"/>
      <c r="AL4" s="61"/>
      <c r="AS4" s="56"/>
      <c r="AU4" s="57"/>
      <c r="AV4" s="62"/>
    </row>
    <row r="5" spans="1:48" ht="24" customHeight="1" thickBot="1" x14ac:dyDescent="0.3">
      <c r="A5" s="59"/>
      <c r="B5" s="60"/>
      <c r="C5" s="59"/>
      <c r="D5" s="59"/>
      <c r="E5" s="59"/>
      <c r="F5" s="59"/>
      <c r="G5" s="59"/>
      <c r="I5" s="560"/>
      <c r="J5" s="561"/>
      <c r="K5" s="560"/>
      <c r="L5" s="561"/>
      <c r="M5" s="580" t="s">
        <v>72</v>
      </c>
      <c r="N5" s="559"/>
      <c r="O5" s="581" t="s">
        <v>73</v>
      </c>
      <c r="P5" s="582" t="s">
        <v>74</v>
      </c>
      <c r="Q5" s="583" t="s">
        <v>75</v>
      </c>
      <c r="R5" s="583" t="s">
        <v>76</v>
      </c>
      <c r="S5" s="584" t="s">
        <v>77</v>
      </c>
      <c r="T5" s="584" t="s">
        <v>78</v>
      </c>
      <c r="U5" s="585" t="s">
        <v>79</v>
      </c>
      <c r="V5" s="586" t="s">
        <v>80</v>
      </c>
      <c r="W5" s="559"/>
      <c r="X5" s="566" t="s">
        <v>81</v>
      </c>
      <c r="Y5" s="566" t="s">
        <v>82</v>
      </c>
      <c r="Z5" s="568" t="s">
        <v>83</v>
      </c>
      <c r="AA5" s="559"/>
      <c r="AB5" s="558" t="s">
        <v>84</v>
      </c>
      <c r="AC5" s="559"/>
      <c r="AH5" s="562"/>
      <c r="AI5" s="562"/>
      <c r="AJ5" s="61"/>
      <c r="AK5" s="61"/>
      <c r="AL5" s="61"/>
      <c r="AS5" s="56"/>
      <c r="AU5" s="57"/>
      <c r="AV5" s="62"/>
    </row>
    <row r="6" spans="1:48" ht="14.25" customHeight="1" thickBot="1" x14ac:dyDescent="0.3">
      <c r="A6" s="569" t="s">
        <v>391</v>
      </c>
      <c r="B6" s="570"/>
      <c r="C6" s="570"/>
      <c r="D6" s="570"/>
      <c r="E6" s="570"/>
      <c r="F6" s="570"/>
      <c r="G6" s="571"/>
      <c r="I6" s="53"/>
      <c r="J6" s="53"/>
      <c r="K6" s="63"/>
      <c r="L6" s="64"/>
      <c r="M6" s="560"/>
      <c r="N6" s="561"/>
      <c r="O6" s="567"/>
      <c r="P6" s="567"/>
      <c r="Q6" s="567"/>
      <c r="R6" s="567"/>
      <c r="S6" s="567"/>
      <c r="T6" s="567"/>
      <c r="U6" s="567"/>
      <c r="V6" s="560"/>
      <c r="W6" s="561"/>
      <c r="X6" s="567"/>
      <c r="Y6" s="567"/>
      <c r="Z6" s="560"/>
      <c r="AA6" s="561"/>
      <c r="AB6" s="560"/>
      <c r="AC6" s="561"/>
      <c r="AH6" s="563"/>
      <c r="AI6" s="563"/>
      <c r="AJ6" s="61"/>
      <c r="AK6" s="61"/>
      <c r="AL6" s="61"/>
      <c r="AS6" s="56"/>
      <c r="AU6" s="57"/>
      <c r="AV6" s="62"/>
    </row>
    <row r="7" spans="1:48" ht="25.5" customHeight="1" thickBot="1" x14ac:dyDescent="0.3">
      <c r="A7" s="572"/>
      <c r="B7" s="507"/>
      <c r="C7" s="507"/>
      <c r="D7" s="507"/>
      <c r="E7" s="507"/>
      <c r="F7" s="507"/>
      <c r="G7" s="573"/>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72"/>
      <c r="B8" s="507"/>
      <c r="C8" s="507"/>
      <c r="D8" s="507"/>
      <c r="E8" s="507"/>
      <c r="F8" s="507"/>
      <c r="G8" s="573"/>
      <c r="H8" s="66">
        <f>DATE(K4,K2,1)</f>
        <v>46174</v>
      </c>
      <c r="I8" s="67">
        <f t="shared" ref="I8:AL8" si="2">H8+1</f>
        <v>46175</v>
      </c>
      <c r="J8" s="67">
        <f t="shared" si="2"/>
        <v>46176</v>
      </c>
      <c r="K8" s="67">
        <f t="shared" si="2"/>
        <v>46177</v>
      </c>
      <c r="L8" s="67">
        <f t="shared" si="2"/>
        <v>46178</v>
      </c>
      <c r="M8" s="67">
        <f t="shared" si="2"/>
        <v>46179</v>
      </c>
      <c r="N8" s="67">
        <f t="shared" si="2"/>
        <v>46180</v>
      </c>
      <c r="O8" s="67">
        <f t="shared" si="2"/>
        <v>46181</v>
      </c>
      <c r="P8" s="67">
        <f t="shared" si="2"/>
        <v>46182</v>
      </c>
      <c r="Q8" s="67">
        <f t="shared" si="2"/>
        <v>46183</v>
      </c>
      <c r="R8" s="67">
        <f t="shared" si="2"/>
        <v>46184</v>
      </c>
      <c r="S8" s="67">
        <f t="shared" si="2"/>
        <v>46185</v>
      </c>
      <c r="T8" s="67">
        <f t="shared" si="2"/>
        <v>46186</v>
      </c>
      <c r="U8" s="67">
        <f t="shared" si="2"/>
        <v>46187</v>
      </c>
      <c r="V8" s="67">
        <f t="shared" si="2"/>
        <v>46188</v>
      </c>
      <c r="W8" s="67">
        <f t="shared" si="2"/>
        <v>46189</v>
      </c>
      <c r="X8" s="67">
        <f t="shared" si="2"/>
        <v>46190</v>
      </c>
      <c r="Y8" s="67">
        <f t="shared" si="2"/>
        <v>46191</v>
      </c>
      <c r="Z8" s="67">
        <f t="shared" si="2"/>
        <v>46192</v>
      </c>
      <c r="AA8" s="67">
        <f t="shared" si="2"/>
        <v>46193</v>
      </c>
      <c r="AB8" s="67">
        <f t="shared" si="2"/>
        <v>46194</v>
      </c>
      <c r="AC8" s="67">
        <f t="shared" si="2"/>
        <v>46195</v>
      </c>
      <c r="AD8" s="67">
        <f t="shared" si="2"/>
        <v>46196</v>
      </c>
      <c r="AE8" s="67">
        <f t="shared" si="2"/>
        <v>46197</v>
      </c>
      <c r="AF8" s="67">
        <f t="shared" si="2"/>
        <v>46198</v>
      </c>
      <c r="AG8" s="68">
        <f t="shared" si="2"/>
        <v>46199</v>
      </c>
      <c r="AH8" s="69">
        <f t="shared" si="2"/>
        <v>46200</v>
      </c>
      <c r="AI8" s="70">
        <f t="shared" si="2"/>
        <v>46201</v>
      </c>
      <c r="AJ8" s="71">
        <f t="shared" si="2"/>
        <v>46202</v>
      </c>
      <c r="AK8" s="70">
        <f t="shared" si="2"/>
        <v>46203</v>
      </c>
      <c r="AL8" s="70">
        <f t="shared" si="2"/>
        <v>46204</v>
      </c>
      <c r="AM8" s="72" t="s">
        <v>73</v>
      </c>
      <c r="AN8" s="73" t="s">
        <v>74</v>
      </c>
      <c r="AO8" s="74" t="s">
        <v>85</v>
      </c>
      <c r="AP8" s="75" t="s">
        <v>79</v>
      </c>
      <c r="AQ8" s="76" t="s">
        <v>86</v>
      </c>
      <c r="AR8" s="564" t="s">
        <v>87</v>
      </c>
      <c r="AS8" s="77" t="s">
        <v>81</v>
      </c>
      <c r="AT8" s="78" t="s">
        <v>83</v>
      </c>
      <c r="AU8" s="552" t="s">
        <v>88</v>
      </c>
      <c r="AV8" s="554" t="str">
        <f>"Phép Tồn năm 2023 tính đến T."&amp;K2</f>
        <v>Phép Tồn năm 2023 tính đến T.6</v>
      </c>
    </row>
    <row r="9" spans="1:48" ht="45.75" customHeight="1" thickBot="1" x14ac:dyDescent="0.3">
      <c r="A9" s="574"/>
      <c r="B9" s="575"/>
      <c r="C9" s="575"/>
      <c r="D9" s="575"/>
      <c r="E9" s="575"/>
      <c r="F9" s="575"/>
      <c r="G9" s="576"/>
      <c r="H9" s="79" t="str">
        <f t="shared" ref="H9:AL9" si="3">CHOOSE(WEEKDAY(H8),"Chủ Nhật","Thứ Hai","Thứ Ba","Thứ Tư","Thứ Năm","Thứ Sáu","Thứ Bảy")</f>
        <v>Thứ Hai</v>
      </c>
      <c r="I9" s="80" t="str">
        <f t="shared" si="3"/>
        <v>Thứ Ba</v>
      </c>
      <c r="J9" s="80" t="str">
        <f t="shared" si="3"/>
        <v>Thứ Tư</v>
      </c>
      <c r="K9" s="80" t="str">
        <f t="shared" si="3"/>
        <v>Thứ Năm</v>
      </c>
      <c r="L9" s="80" t="str">
        <f t="shared" si="3"/>
        <v>Thứ Sáu</v>
      </c>
      <c r="M9" s="80" t="str">
        <f t="shared" si="3"/>
        <v>Thứ Bảy</v>
      </c>
      <c r="N9" s="80" t="str">
        <f t="shared" si="3"/>
        <v>Chủ Nhật</v>
      </c>
      <c r="O9" s="80" t="str">
        <f t="shared" si="3"/>
        <v>Thứ Hai</v>
      </c>
      <c r="P9" s="80" t="str">
        <f t="shared" si="3"/>
        <v>Thứ Ba</v>
      </c>
      <c r="Q9" s="80" t="str">
        <f t="shared" si="3"/>
        <v>Thứ Tư</v>
      </c>
      <c r="R9" s="80" t="str">
        <f t="shared" si="3"/>
        <v>Thứ Năm</v>
      </c>
      <c r="S9" s="80" t="str">
        <f t="shared" si="3"/>
        <v>Thứ Sáu</v>
      </c>
      <c r="T9" s="80" t="str">
        <f t="shared" si="3"/>
        <v>Thứ Bảy</v>
      </c>
      <c r="U9" s="80" t="str">
        <f t="shared" si="3"/>
        <v>Chủ Nhật</v>
      </c>
      <c r="V9" s="80" t="str">
        <f t="shared" si="3"/>
        <v>Thứ Hai</v>
      </c>
      <c r="W9" s="80" t="str">
        <f t="shared" si="3"/>
        <v>Thứ Ba</v>
      </c>
      <c r="X9" s="80" t="str">
        <f t="shared" si="3"/>
        <v>Thứ Tư</v>
      </c>
      <c r="Y9" s="80" t="str">
        <f t="shared" si="3"/>
        <v>Thứ Năm</v>
      </c>
      <c r="Z9" s="80" t="str">
        <f t="shared" si="3"/>
        <v>Thứ Sáu</v>
      </c>
      <c r="AA9" s="80" t="str">
        <f t="shared" si="3"/>
        <v>Thứ Bảy</v>
      </c>
      <c r="AB9" s="80" t="str">
        <f t="shared" si="3"/>
        <v>Chủ Nhật</v>
      </c>
      <c r="AC9" s="80" t="str">
        <f t="shared" si="3"/>
        <v>Thứ Hai</v>
      </c>
      <c r="AD9" s="80" t="str">
        <f t="shared" si="3"/>
        <v>Thứ Ba</v>
      </c>
      <c r="AE9" s="80" t="str">
        <f t="shared" si="3"/>
        <v>Thứ Tư</v>
      </c>
      <c r="AF9" s="80" t="str">
        <f t="shared" si="3"/>
        <v>Thứ Năm</v>
      </c>
      <c r="AG9" s="80" t="str">
        <f t="shared" si="3"/>
        <v>Thứ Sáu</v>
      </c>
      <c r="AH9" s="81" t="str">
        <f t="shared" si="3"/>
        <v>Thứ Bảy</v>
      </c>
      <c r="AI9" s="82" t="str">
        <f t="shared" si="3"/>
        <v>Chủ Nhật</v>
      </c>
      <c r="AJ9" s="82" t="str">
        <f t="shared" si="3"/>
        <v>Thứ Hai</v>
      </c>
      <c r="AK9" s="82" t="str">
        <f t="shared" si="3"/>
        <v>Thứ Ba</v>
      </c>
      <c r="AL9" s="82" t="str">
        <f t="shared" si="3"/>
        <v>Thứ Tư</v>
      </c>
      <c r="AM9" s="83" t="s">
        <v>89</v>
      </c>
      <c r="AN9" s="84" t="s">
        <v>90</v>
      </c>
      <c r="AO9" s="85" t="s">
        <v>91</v>
      </c>
      <c r="AP9" s="86" t="s">
        <v>92</v>
      </c>
      <c r="AQ9" s="87" t="s">
        <v>63</v>
      </c>
      <c r="AR9" s="565"/>
      <c r="AS9" s="88" t="s">
        <v>93</v>
      </c>
      <c r="AT9" s="89" t="s">
        <v>69</v>
      </c>
      <c r="AU9" s="553"/>
      <c r="AV9" s="555"/>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SUM(AR12:AR32)</f>
        <v>515.5</v>
      </c>
      <c r="AS10" s="98"/>
      <c r="AT10" s="99">
        <f>SUM(AT12:AT32)</f>
        <v>78.5</v>
      </c>
      <c r="AU10" s="98"/>
      <c r="AV10" s="98"/>
    </row>
    <row r="11" spans="1:48" ht="39" customHeight="1" x14ac:dyDescent="0.25">
      <c r="A11" s="100">
        <f t="shared" ref="A11:A25" si="4">SUBTOTAL(3,$F$11:F11)</f>
        <v>1</v>
      </c>
      <c r="B11" s="101" t="s">
        <v>322</v>
      </c>
      <c r="C11" s="102" t="s">
        <v>319</v>
      </c>
      <c r="D11" s="103" t="s">
        <v>321</v>
      </c>
      <c r="E11" s="104"/>
      <c r="F11" s="35" t="s">
        <v>318</v>
      </c>
      <c r="G11" s="105" t="s">
        <v>100</v>
      </c>
      <c r="H11" s="106" t="s">
        <v>81</v>
      </c>
      <c r="I11" s="106" t="s">
        <v>73</v>
      </c>
      <c r="J11" s="106" t="s">
        <v>73</v>
      </c>
      <c r="K11" s="106" t="s">
        <v>73</v>
      </c>
      <c r="L11" s="106" t="s">
        <v>73</v>
      </c>
      <c r="M11" s="106"/>
      <c r="N11" s="106"/>
      <c r="O11" s="106" t="s">
        <v>73</v>
      </c>
      <c r="P11" s="106" t="s">
        <v>73</v>
      </c>
      <c r="Q11" s="106" t="s">
        <v>73</v>
      </c>
      <c r="R11" s="106" t="s">
        <v>73</v>
      </c>
      <c r="S11" s="106" t="s">
        <v>73</v>
      </c>
      <c r="T11" s="106"/>
      <c r="U11" s="106"/>
      <c r="V11" s="106" t="s">
        <v>73</v>
      </c>
      <c r="W11" s="106" t="s">
        <v>73</v>
      </c>
      <c r="X11" s="106" t="s">
        <v>73</v>
      </c>
      <c r="Y11" s="106" t="s">
        <v>73</v>
      </c>
      <c r="Z11" s="106" t="s">
        <v>73</v>
      </c>
      <c r="AA11" s="106"/>
      <c r="AB11" s="106"/>
      <c r="AC11" s="106" t="s">
        <v>73</v>
      </c>
      <c r="AD11" s="106" t="s">
        <v>73</v>
      </c>
      <c r="AE11" s="106" t="s">
        <v>73</v>
      </c>
      <c r="AF11" s="106" t="s">
        <v>73</v>
      </c>
      <c r="AG11" s="106" t="s">
        <v>73</v>
      </c>
      <c r="AH11" s="106"/>
      <c r="AI11" s="106"/>
      <c r="AJ11" s="106" t="s">
        <v>73</v>
      </c>
      <c r="AK11" s="106" t="s">
        <v>73</v>
      </c>
      <c r="AL11" s="106"/>
      <c r="AM11" s="107">
        <f t="shared" ref="AM11:AM15" si="5">IF(F11="","",COUNTIF($H11:$AL11,AM$8))</f>
        <v>21</v>
      </c>
      <c r="AN11" s="108">
        <f t="shared" ref="AN11"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 si="7">COUNTIF(H11:AL11,"ON")+COUNTIF(H11:AL11,"ON/2")/2</f>
        <v>0</v>
      </c>
      <c r="AP11" s="110">
        <f t="shared" ref="AP11"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356,2)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2">
        <f t="shared" ref="AR11:AR12" si="9">IF(G11="","",AM11+AN11+AP11+AQ11)</f>
        <v>21</v>
      </c>
      <c r="AS11" s="113">
        <f t="shared" ref="AS11" si="10">IF(F11="","",COUNTIF($H11:$AL11,AS$8))++IF(F11="","",COUNTIF($H11:$AL11,"L1")/2)</f>
        <v>1</v>
      </c>
      <c r="AT11" s="114">
        <f t="shared" ref="AT11:AT13" si="11">AU11-AR11-AS11</f>
        <v>0</v>
      </c>
      <c r="AU11" s="115">
        <v>22</v>
      </c>
      <c r="AV11" s="116"/>
    </row>
    <row r="12" spans="1:48" ht="39" customHeight="1" x14ac:dyDescent="0.25">
      <c r="A12" s="100">
        <f t="shared" si="4"/>
        <v>2</v>
      </c>
      <c r="B12" s="101" t="s">
        <v>348</v>
      </c>
      <c r="C12" s="379" t="s">
        <v>338</v>
      </c>
      <c r="D12" s="103" t="s">
        <v>349</v>
      </c>
      <c r="E12" s="104"/>
      <c r="F12" s="35" t="s">
        <v>377</v>
      </c>
      <c r="G12" s="105" t="s">
        <v>100</v>
      </c>
      <c r="H12" s="106" t="s">
        <v>81</v>
      </c>
      <c r="I12" s="106" t="s">
        <v>73</v>
      </c>
      <c r="J12" s="106" t="s">
        <v>73</v>
      </c>
      <c r="K12" s="106" t="s">
        <v>73</v>
      </c>
      <c r="L12" s="106" t="s">
        <v>73</v>
      </c>
      <c r="M12" s="106"/>
      <c r="N12" s="106"/>
      <c r="O12" s="106" t="s">
        <v>73</v>
      </c>
      <c r="P12" s="106" t="s">
        <v>73</v>
      </c>
      <c r="Q12" s="106" t="s">
        <v>73</v>
      </c>
      <c r="R12" s="106" t="s">
        <v>73</v>
      </c>
      <c r="S12" s="106" t="s">
        <v>73</v>
      </c>
      <c r="T12" s="106"/>
      <c r="U12" s="106"/>
      <c r="V12" s="106" t="s">
        <v>73</v>
      </c>
      <c r="W12" s="106" t="s">
        <v>73</v>
      </c>
      <c r="X12" s="106" t="s">
        <v>73</v>
      </c>
      <c r="Y12" s="106" t="s">
        <v>73</v>
      </c>
      <c r="Z12" s="106" t="s">
        <v>73</v>
      </c>
      <c r="AA12" s="106"/>
      <c r="AB12" s="106"/>
      <c r="AC12" s="106" t="s">
        <v>73</v>
      </c>
      <c r="AD12" s="106" t="s">
        <v>73</v>
      </c>
      <c r="AE12" s="106" t="s">
        <v>77</v>
      </c>
      <c r="AF12" s="106" t="s">
        <v>73</v>
      </c>
      <c r="AG12" s="106" t="s">
        <v>73</v>
      </c>
      <c r="AH12" s="106"/>
      <c r="AI12" s="106"/>
      <c r="AJ12" s="106" t="s">
        <v>73</v>
      </c>
      <c r="AK12" s="106" t="s">
        <v>73</v>
      </c>
      <c r="AL12" s="106"/>
      <c r="AM12" s="107">
        <f t="shared" si="5"/>
        <v>20</v>
      </c>
      <c r="AN12" s="108">
        <f t="shared" ref="AN12" si="12">IF(OR(G12="",G12="Đã nghỉ"),0,COUNTIF($H12:$AL12,"N1")/2++IF(AND(LEN(H12)&gt;2,OR(LEFT(H12,2)="N1",RIGHT(H12,2)="N1")),0.5)+IF(AND(LEN(I12)&gt;2,OR(LEFT(I12,2)="N1",RIGHT(I12,2)="N1")),0.5)+IF(AND(LEN(J12)&gt;2,OR(LEFT(J12,2)="N1",RIGHT(J12,2)="N1")),0.5)+IF(AND(LEN(K12)&gt;2,OR(LEFT(K12,2)="N1",RIGHT(K12,2)="N1")),0.5)+IF(AND(LEN(L12)&gt;2,OR(LEFT(L12,2)="N1",RIGHT(L12,2)="N1")),0.5)+IF(AND(LEN(M12)&gt;2,OR(LEFT(M12,2)="N1",RIGHT(M12,2)="N1")),0.5)+IF(AND(LEN(N12)&gt;2,OR(LEFT(N12,2)="N1",RIGHT(N12,2)="N1")),0.5)+IF(AND(LEN(O12)&gt;2,OR(LEFT(O12,2)="N1",RIGHT(O12,2)="N1")),0.5)+IF(AND(LEN(P12)&gt;2,OR(LEFT(P12,2)="N1",RIGHT(P12,2)="N1")),0.5)+IF(AND(LEN(Q12)&gt;2,OR(LEFT(Q12,2)="N1",RIGHT(Q12,2)="N1")),0.5)+IF(AND(LEN(R12)&gt;2,OR(LEFT(R12,2)="N1",RIGHT(R12,2)="N1")),0.5)+IF(AND(LEN(S12)&gt;2,OR(LEFT(S12,2)="N1",RIGHT(S12,2)="N1")),0.5)+IF(AND(LEN(T12)&gt;2,OR(LEFT(T12,2)="N1",RIGHT(T12,2)="N1")),0.5)+IF(AND(LEN(U12)&gt;2,OR(LEFT(U12,2)="N1",RIGHT(U12,2)="N1")),0.5)+IF(AND(LEN(V12)&gt;2,OR(LEFT(V12,2)="N1",RIGHT(V12,2)="N1")),0.5)+IF(AND(LEN(W12)&gt;2,OR(LEFT(W12,2)="N1",RIGHT(W12,2)="N1")),0.5)+IF(AND(LEN(X12)&gt;2,OR(LEFT(X12,2)="N1",RIGHT(X12,2)="N1")),0.5)+IF(AND(LEN(Y12)&gt;2,OR(LEFT(Y12,2)="N1",RIGHT(Y12,2)="N1")),0.5)+IF(AND(LEN(Z12)&gt;2,OR(LEFT(Z12,2)="N1",RIGHT(Z12,2)="N1")),0.5)+IF(AND(LEN(AA12)&gt;2,OR(LEFT(AA12,2)="N1",RIGHT(AA12,2)="N1")),0.5)+IF(AND(LEN(AB12)&gt;2,OR(LEFT(AB12,2)="N1",RIGHT(AB12,2)="N1")),0.5)+IF(AND(LEN(AC12)&gt;2,OR(LEFT(AC12,2)="N1",RIGHT(AC12,2)="N1")),0.5)+IF(AND(LEN(AD12)&gt;2,OR(LEFT(AD12,2)="N1",RIGHT(AD12,2)="N1")),0.5)+IF(AND(LEN(AE12)&gt;2,OR(LEFT(AE12,2)="N1",RIGHT(AE12,2)="N1")),0.5)+IF(AND(LEN(AF12)&gt;2,OR(LEFT(AF12,2)="N1",RIGHT(AF12,2)="N1")),0.5)+IF(AND(LEN(AG12)&gt;2,OR(LEFT(AG12,2)="N1",RIGHT(AG12,2)="N1")),0.5)+IF(AND(LEN(AH12)&gt;2,OR(LEFT(AH12,2)="N1",RIGHT(AH12,2)="N1")),0.5)+IF(AND(LEN(AI12)&gt;2,OR(LEFT(AI12,2)="N1",RIGHT(AI12,2)="N1")),0.5)+IF(AND(LEN(AJ12)&gt;2,OR(LEFT(AJ12,2)="N1",RIGHT(AJ12,2)="N1")),0.5)+IF(AND(LEN(AK12)&gt;2,OR(LEFT(AK12,2)="N1",RIGHT(AK12,2)="N1")),0.5)+IF(AND(LEN(AL12)&gt;2,OR(LEFT(AL12,2)="N1",RIGHT(AL12,2)="N1")),0.5))</f>
        <v>0</v>
      </c>
      <c r="AO12" s="109">
        <f t="shared" ref="AO12" si="13">COUNTIF(H12:AL12,"ON")+COUNTIF(H12:AL12,"ON/2")/2</f>
        <v>0</v>
      </c>
      <c r="AP12" s="110">
        <f t="shared" ref="AP12" si="14">IF(F12="","",COUNTIF($H12:$AL12,AP$8))+IF(F12="","",COUNTIF($H12:$AL12,$V$5)/2)</f>
        <v>0</v>
      </c>
      <c r="AQ12" s="111">
        <f t="shared" ref="AQ12:AQ19" si="15">COUNTIF($H12:$AL12,"P")+COUNTIF($H12:$AL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358,2)="P1",RIGHT(AE12,2)="P1")),0.5)+IF(AND(LEN(AF12)&gt;2,OR(LEFT(AF12,2)="P1",RIGHT(AF12,2)="P1")),0.5)+IF(AND(LEN(AG12)&gt;2,OR(LEFT(AG12,2)="P1",RIGHT(AG12,2)="P1")),0.5)+IF(AND(LEN(AH12)&gt;2,OR(LEFT(AH12,2)="P1",RIGHT(AH12,2)="P1")),0.5)+IF(AND(LEN(AI12)&gt;2,OR(LEFT(AI12,2)="P1",RIGHT(AI12,2)="P1")),0.5)+IF(AND(LEN(AJ12)&gt;2,OR(LEFT(AJ12,2)="P1",RIGHT(AJ12,2)="P1")),0.5)+IF(AND(LEN(AK12)&gt;2,OR(LEFT(AK12,2)="P1",RIGHT(AK12,2)="P1")),0.5)+IF(AND(LEN(AL12)&gt;2,OR(LEFT(AL12,2)="P1",RIGHT(AL12,2)="P1")),0.5)</f>
        <v>1</v>
      </c>
      <c r="AR12" s="112">
        <f t="shared" si="9"/>
        <v>21</v>
      </c>
      <c r="AS12" s="113">
        <f t="shared" ref="AS12" si="16">IF(F12="","",COUNTIF($H12:$AL12,AS$8))++IF(F12="","",COUNTIF($H12:$AL12,"L1")/2)</f>
        <v>1</v>
      </c>
      <c r="AT12" s="114">
        <f t="shared" si="11"/>
        <v>0</v>
      </c>
      <c r="AU12" s="115">
        <v>22</v>
      </c>
      <c r="AV12" s="116"/>
    </row>
    <row r="13" spans="1:48" ht="39" customHeight="1" x14ac:dyDescent="0.25">
      <c r="A13" s="100">
        <f t="shared" si="4"/>
        <v>3</v>
      </c>
      <c r="B13" s="101" t="s">
        <v>335</v>
      </c>
      <c r="C13" s="379" t="s">
        <v>338</v>
      </c>
      <c r="D13" s="103" t="s">
        <v>336</v>
      </c>
      <c r="E13" s="104"/>
      <c r="F13" s="35" t="s">
        <v>337</v>
      </c>
      <c r="G13" s="105" t="s">
        <v>100</v>
      </c>
      <c r="H13" s="106" t="s">
        <v>81</v>
      </c>
      <c r="I13" s="106" t="s">
        <v>74</v>
      </c>
      <c r="J13" s="106" t="s">
        <v>74</v>
      </c>
      <c r="K13" s="106" t="s">
        <v>74</v>
      </c>
      <c r="L13" s="106" t="s">
        <v>74</v>
      </c>
      <c r="M13" s="106"/>
      <c r="N13" s="106"/>
      <c r="O13" s="106" t="s">
        <v>73</v>
      </c>
      <c r="P13" s="106" t="s">
        <v>73</v>
      </c>
      <c r="Q13" s="106" t="s">
        <v>73</v>
      </c>
      <c r="R13" s="106" t="s">
        <v>77</v>
      </c>
      <c r="S13" s="106" t="s">
        <v>83</v>
      </c>
      <c r="T13" s="106"/>
      <c r="U13" s="106"/>
      <c r="V13" s="106" t="s">
        <v>73</v>
      </c>
      <c r="W13" s="106" t="s">
        <v>74</v>
      </c>
      <c r="X13" s="106" t="s">
        <v>73</v>
      </c>
      <c r="Y13" s="106" t="s">
        <v>73</v>
      </c>
      <c r="Z13" s="106" t="s">
        <v>73</v>
      </c>
      <c r="AA13" s="106"/>
      <c r="AB13" s="106"/>
      <c r="AC13" s="106" t="s">
        <v>73</v>
      </c>
      <c r="AD13" s="106" t="s">
        <v>73</v>
      </c>
      <c r="AE13" s="106" t="s">
        <v>73</v>
      </c>
      <c r="AF13" s="106" t="s">
        <v>73</v>
      </c>
      <c r="AG13" s="106" t="s">
        <v>73</v>
      </c>
      <c r="AH13" s="106"/>
      <c r="AI13" s="106"/>
      <c r="AJ13" s="106" t="s">
        <v>73</v>
      </c>
      <c r="AK13" s="106" t="s">
        <v>73</v>
      </c>
      <c r="AL13" s="106"/>
      <c r="AM13" s="107">
        <f t="shared" ref="AM13" si="17">IF(F13="","",COUNTIF($H13:$AL13,AM$8))</f>
        <v>14</v>
      </c>
      <c r="AN13" s="108">
        <f t="shared" ref="AN13" si="18">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2.5</v>
      </c>
      <c r="AO13" s="109">
        <f t="shared" ref="AO13" si="19">COUNTIF(H13:AL13,"ON")+COUNTIF(H13:AL13,"ON/2")/2</f>
        <v>0</v>
      </c>
      <c r="AP13" s="110">
        <f t="shared" ref="AP13" si="20">IF(F13="","",COUNTIF($H13:$AL13,AP$8))+IF(F13="","",COUNTIF($H13:$AL13,$V$5)/2)</f>
        <v>0</v>
      </c>
      <c r="AQ13" s="111">
        <f t="shared" si="15"/>
        <v>1</v>
      </c>
      <c r="AR13" s="112">
        <f t="shared" ref="AR13" si="21">IF(G13="","",AM13+AN13+AP13+AQ13)</f>
        <v>17.5</v>
      </c>
      <c r="AS13" s="113">
        <f t="shared" ref="AS13" si="22">IF(F13="","",COUNTIF($H13:$AL13,AS$8))++IF(F13="","",COUNTIF($H13:$AL13,"L1")/2)</f>
        <v>1</v>
      </c>
      <c r="AT13" s="114">
        <f t="shared" si="11"/>
        <v>3.5</v>
      </c>
      <c r="AU13" s="115">
        <v>22</v>
      </c>
      <c r="AV13" s="116"/>
    </row>
    <row r="14" spans="1:48" ht="39" customHeight="1" x14ac:dyDescent="0.25">
      <c r="A14" s="100">
        <f t="shared" si="4"/>
        <v>4</v>
      </c>
      <c r="B14" s="101" t="s">
        <v>353</v>
      </c>
      <c r="C14" s="379" t="s">
        <v>320</v>
      </c>
      <c r="D14" s="103" t="s">
        <v>352</v>
      </c>
      <c r="E14" s="104"/>
      <c r="F14" s="35" t="s">
        <v>354</v>
      </c>
      <c r="G14" s="105" t="s">
        <v>100</v>
      </c>
      <c r="H14" s="106" t="s">
        <v>81</v>
      </c>
      <c r="I14" s="106" t="s">
        <v>73</v>
      </c>
      <c r="J14" s="106" t="s">
        <v>73</v>
      </c>
      <c r="K14" s="106" t="s">
        <v>73</v>
      </c>
      <c r="L14" s="106" t="s">
        <v>73</v>
      </c>
      <c r="M14" s="106"/>
      <c r="N14" s="106"/>
      <c r="O14" s="106" t="s">
        <v>73</v>
      </c>
      <c r="P14" s="106" t="s">
        <v>73</v>
      </c>
      <c r="Q14" s="106" t="s">
        <v>73</v>
      </c>
      <c r="R14" s="106" t="s">
        <v>73</v>
      </c>
      <c r="S14" s="106" t="s">
        <v>73</v>
      </c>
      <c r="T14" s="106"/>
      <c r="U14" s="106"/>
      <c r="V14" s="106" t="s">
        <v>73</v>
      </c>
      <c r="W14" s="106" t="s">
        <v>73</v>
      </c>
      <c r="X14" s="106" t="s">
        <v>73</v>
      </c>
      <c r="Y14" s="106" t="s">
        <v>73</v>
      </c>
      <c r="Z14" s="106" t="s">
        <v>73</v>
      </c>
      <c r="AA14" s="106"/>
      <c r="AB14" s="106"/>
      <c r="AC14" s="106" t="s">
        <v>73</v>
      </c>
      <c r="AD14" s="106" t="s">
        <v>73</v>
      </c>
      <c r="AE14" s="106" t="s">
        <v>73</v>
      </c>
      <c r="AF14" s="106" t="s">
        <v>73</v>
      </c>
      <c r="AG14" s="106" t="s">
        <v>73</v>
      </c>
      <c r="AH14" s="106"/>
      <c r="AI14" s="106"/>
      <c r="AJ14" s="106" t="s">
        <v>73</v>
      </c>
      <c r="AK14" s="106" t="s">
        <v>73</v>
      </c>
      <c r="AL14" s="106"/>
      <c r="AM14" s="107">
        <f t="shared" ref="AM14" si="23">IF(F14="","",COUNTIF($H14:$AL14,AM$8))</f>
        <v>21</v>
      </c>
      <c r="AN14" s="108">
        <f t="shared" ref="AN14" si="24">IF(OR(G14="",G14="Đã nghỉ"),0,COUNTIF($H14:$AL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IF(AND(LEN(AL14)&gt;2,OR(LEFT(AL14,2)="N1",RIGHT(AL14,2)="N1")),0.5))</f>
        <v>0</v>
      </c>
      <c r="AO14" s="109">
        <f t="shared" ref="AO14" si="25">COUNTIF(H14:AL14,"ON")+COUNTIF(H14:AL14,"ON/2")/2</f>
        <v>0</v>
      </c>
      <c r="AP14" s="110">
        <f t="shared" ref="AP14" si="26">IF(F14="","",COUNTIF($H14:$AL14,AP$8))+IF(F14="","",COUNTIF($H14:$AL14,$V$5)/2)</f>
        <v>0</v>
      </c>
      <c r="AQ14" s="111">
        <f t="shared" si="15"/>
        <v>0</v>
      </c>
      <c r="AR14" s="112">
        <f t="shared" ref="AR14" si="27">IF(G14="","",AM14+AN14+AP14+AQ14)</f>
        <v>21</v>
      </c>
      <c r="AS14" s="113">
        <f t="shared" ref="AS14" si="28">IF(F14="","",COUNTIF($H14:$AL14,AS$8))++IF(F14="","",COUNTIF($H14:$AL14,"L1")/2)</f>
        <v>1</v>
      </c>
      <c r="AT14" s="114">
        <f t="shared" ref="AT14" si="29">AU14-AR14-AS14</f>
        <v>0</v>
      </c>
      <c r="AU14" s="115">
        <v>22</v>
      </c>
      <c r="AV14" s="116"/>
    </row>
    <row r="15" spans="1:48" ht="39" customHeight="1" x14ac:dyDescent="0.25">
      <c r="A15" s="100">
        <f t="shared" si="4"/>
        <v>5</v>
      </c>
      <c r="B15" s="101" t="s">
        <v>339</v>
      </c>
      <c r="C15" s="379" t="s">
        <v>320</v>
      </c>
      <c r="D15" s="103" t="s">
        <v>343</v>
      </c>
      <c r="E15" s="104"/>
      <c r="F15" s="35" t="s">
        <v>340</v>
      </c>
      <c r="G15" s="105" t="s">
        <v>100</v>
      </c>
      <c r="H15" s="106" t="s">
        <v>81</v>
      </c>
      <c r="I15" s="106" t="s">
        <v>73</v>
      </c>
      <c r="J15" s="106" t="s">
        <v>73</v>
      </c>
      <c r="K15" s="106" t="s">
        <v>73</v>
      </c>
      <c r="L15" s="106" t="s">
        <v>73</v>
      </c>
      <c r="M15" s="106"/>
      <c r="N15" s="106"/>
      <c r="O15" s="106" t="s">
        <v>73</v>
      </c>
      <c r="P15" s="106" t="s">
        <v>73</v>
      </c>
      <c r="Q15" s="106" t="s">
        <v>73</v>
      </c>
      <c r="R15" s="106" t="s">
        <v>73</v>
      </c>
      <c r="S15" s="106" t="s">
        <v>73</v>
      </c>
      <c r="T15" s="106"/>
      <c r="U15" s="106"/>
      <c r="V15" s="106" t="s">
        <v>73</v>
      </c>
      <c r="W15" s="106" t="s">
        <v>73</v>
      </c>
      <c r="X15" s="106" t="s">
        <v>73</v>
      </c>
      <c r="Y15" s="106" t="s">
        <v>73</v>
      </c>
      <c r="Z15" s="106" t="s">
        <v>73</v>
      </c>
      <c r="AA15" s="106"/>
      <c r="AB15" s="106"/>
      <c r="AC15" s="106" t="s">
        <v>73</v>
      </c>
      <c r="AD15" s="106" t="s">
        <v>73</v>
      </c>
      <c r="AE15" s="106" t="s">
        <v>73</v>
      </c>
      <c r="AF15" s="106" t="s">
        <v>73</v>
      </c>
      <c r="AG15" s="106" t="s">
        <v>73</v>
      </c>
      <c r="AH15" s="106"/>
      <c r="AI15" s="106"/>
      <c r="AJ15" s="106" t="s">
        <v>73</v>
      </c>
      <c r="AK15" s="106" t="s">
        <v>73</v>
      </c>
      <c r="AL15" s="106"/>
      <c r="AM15" s="107">
        <f t="shared" si="5"/>
        <v>21</v>
      </c>
      <c r="AN15" s="108">
        <f t="shared" ref="AN15" si="30">IF(OR(G15="",G15="Đã nghỉ"),0,COUNTIF($H15:$AL15,"N1")/2++IF(AND(LEN(H15)&gt;2,OR(LEFT(H15,2)="N1",RIGHT(H15,2)="N1")),0.5)+IF(AND(LEN(I15)&gt;2,OR(LEFT(I15,2)="N1",RIGHT(I15,2)="N1")),0.5)+IF(AND(LEN(J15)&gt;2,OR(LEFT(J15,2)="N1",RIGHT(J15,2)="N1")),0.5)+IF(AND(LEN(K15)&gt;2,OR(LEFT(K15,2)="N1",RIGHT(K15,2)="N1")),0.5)+IF(AND(LEN(L15)&gt;2,OR(LEFT(L15,2)="N1",RIGHT(L15,2)="N1")),0.5)+IF(AND(LEN(M15)&gt;2,OR(LEFT(M15,2)="N1",RIGHT(M15,2)="N1")),0.5)+IF(AND(LEN(N15)&gt;2,OR(LEFT(N15,2)="N1",RIGHT(N15,2)="N1")),0.5)+IF(AND(LEN(O15)&gt;2,OR(LEFT(O15,2)="N1",RIGHT(O15,2)="N1")),0.5)+IF(AND(LEN(P15)&gt;2,OR(LEFT(P15,2)="N1",RIGHT(P15,2)="N1")),0.5)+IF(AND(LEN(Q15)&gt;2,OR(LEFT(Q15,2)="N1",RIGHT(Q15,2)="N1")),0.5)+IF(AND(LEN(R15)&gt;2,OR(LEFT(R15,2)="N1",RIGHT(R15,2)="N1")),0.5)+IF(AND(LEN(S15)&gt;2,OR(LEFT(S15,2)="N1",RIGHT(S15,2)="N1")),0.5)+IF(AND(LEN(T15)&gt;2,OR(LEFT(T15,2)="N1",RIGHT(T15,2)="N1")),0.5)+IF(AND(LEN(U15)&gt;2,OR(LEFT(U15,2)="N1",RIGHT(U15,2)="N1")),0.5)+IF(AND(LEN(V15)&gt;2,OR(LEFT(V15,2)="N1",RIGHT(V15,2)="N1")),0.5)+IF(AND(LEN(W15)&gt;2,OR(LEFT(W15,2)="N1",RIGHT(W15,2)="N1")),0.5)+IF(AND(LEN(X15)&gt;2,OR(LEFT(X15,2)="N1",RIGHT(X15,2)="N1")),0.5)+IF(AND(LEN(Y15)&gt;2,OR(LEFT(Y15,2)="N1",RIGHT(Y15,2)="N1")),0.5)+IF(AND(LEN(Z15)&gt;2,OR(LEFT(Z15,2)="N1",RIGHT(Z15,2)="N1")),0.5)+IF(AND(LEN(AA15)&gt;2,OR(LEFT(AA15,2)="N1",RIGHT(AA15,2)="N1")),0.5)+IF(AND(LEN(AB15)&gt;2,OR(LEFT(AB15,2)="N1",RIGHT(AB15,2)="N1")),0.5)+IF(AND(LEN(AC15)&gt;2,OR(LEFT(AC15,2)="N1",RIGHT(AC15,2)="N1")),0.5)+IF(AND(LEN(AD15)&gt;2,OR(LEFT(AD15,2)="N1",RIGHT(AD15,2)="N1")),0.5)+IF(AND(LEN(AE15)&gt;2,OR(LEFT(AE15,2)="N1",RIGHT(AE15,2)="N1")),0.5)+IF(AND(LEN(AF15)&gt;2,OR(LEFT(AF15,2)="N1",RIGHT(AF15,2)="N1")),0.5)+IF(AND(LEN(AG15)&gt;2,OR(LEFT(AG15,2)="N1",RIGHT(AG15,2)="N1")),0.5)+IF(AND(LEN(AH15)&gt;2,OR(LEFT(AH15,2)="N1",RIGHT(AH15,2)="N1")),0.5)+IF(AND(LEN(AI15)&gt;2,OR(LEFT(AI15,2)="N1",RIGHT(AI15,2)="N1")),0.5)+IF(AND(LEN(AJ15)&gt;2,OR(LEFT(AJ15,2)="N1",RIGHT(AJ15,2)="N1")),0.5)+IF(AND(LEN(AK15)&gt;2,OR(LEFT(AK15,2)="N1",RIGHT(AK15,2)="N1")),0.5)+IF(AND(LEN(AL15)&gt;2,OR(LEFT(AL15,2)="N1",RIGHT(AL15,2)="N1")),0.5))</f>
        <v>0</v>
      </c>
      <c r="AO15" s="109">
        <f t="shared" ref="AO15" si="31">COUNTIF(H15:AL15,"ON")+COUNTIF(H15:AL15,"ON/2")/2</f>
        <v>0</v>
      </c>
      <c r="AP15" s="110">
        <f t="shared" ref="AP15" si="32">IF(F15="","",COUNTIF($H15:$AL15,AP$8))+IF(F15="","",COUNTIF($H15:$AL15,$V$5)/2)</f>
        <v>0</v>
      </c>
      <c r="AQ15" s="111">
        <f t="shared" si="15"/>
        <v>0</v>
      </c>
      <c r="AR15" s="112">
        <f t="shared" ref="AR15" si="33">IF(G15="","",AM15+AN15+AP15+AQ15)</f>
        <v>21</v>
      </c>
      <c r="AS15" s="113">
        <f t="shared" ref="AS15" si="34">IF(F15="","",COUNTIF($H15:$AL15,AS$8))++IF(F15="","",COUNTIF($H15:$AL15,"L1")/2)</f>
        <v>1</v>
      </c>
      <c r="AT15" s="114">
        <f t="shared" ref="AT15" si="35">AU15-AR15-AS15</f>
        <v>0</v>
      </c>
      <c r="AU15" s="115">
        <v>22</v>
      </c>
      <c r="AV15" s="116"/>
    </row>
    <row r="16" spans="1:48" ht="39" customHeight="1" x14ac:dyDescent="0.25">
      <c r="A16" s="100">
        <f t="shared" si="4"/>
        <v>6</v>
      </c>
      <c r="B16" s="101" t="s">
        <v>362</v>
      </c>
      <c r="C16" s="379" t="s">
        <v>338</v>
      </c>
      <c r="D16" s="103" t="s">
        <v>349</v>
      </c>
      <c r="E16" s="104"/>
      <c r="F16" s="35" t="s">
        <v>361</v>
      </c>
      <c r="G16" s="105" t="s">
        <v>100</v>
      </c>
      <c r="H16" s="106" t="s">
        <v>81</v>
      </c>
      <c r="I16" s="106" t="s">
        <v>73</v>
      </c>
      <c r="J16" s="106" t="s">
        <v>73</v>
      </c>
      <c r="K16" s="106" t="s">
        <v>73</v>
      </c>
      <c r="L16" s="106" t="s">
        <v>73</v>
      </c>
      <c r="M16" s="106"/>
      <c r="N16" s="106"/>
      <c r="O16" s="106" t="s">
        <v>73</v>
      </c>
      <c r="P16" s="106" t="s">
        <v>73</v>
      </c>
      <c r="Q16" s="106" t="s">
        <v>73</v>
      </c>
      <c r="R16" s="106" t="s">
        <v>73</v>
      </c>
      <c r="S16" s="106" t="s">
        <v>73</v>
      </c>
      <c r="T16" s="106"/>
      <c r="U16" s="106"/>
      <c r="V16" s="106" t="s">
        <v>78</v>
      </c>
      <c r="W16" s="106" t="s">
        <v>73</v>
      </c>
      <c r="X16" s="106" t="s">
        <v>73</v>
      </c>
      <c r="Y16" s="106" t="s">
        <v>73</v>
      </c>
      <c r="Z16" s="106" t="s">
        <v>73</v>
      </c>
      <c r="AA16" s="106"/>
      <c r="AB16" s="106"/>
      <c r="AC16" s="106" t="s">
        <v>73</v>
      </c>
      <c r="AD16" s="106" t="s">
        <v>73</v>
      </c>
      <c r="AE16" s="106" t="s">
        <v>73</v>
      </c>
      <c r="AF16" s="106" t="s">
        <v>73</v>
      </c>
      <c r="AG16" s="106" t="s">
        <v>73</v>
      </c>
      <c r="AH16" s="106"/>
      <c r="AI16" s="106"/>
      <c r="AJ16" s="106" t="s">
        <v>73</v>
      </c>
      <c r="AK16" s="106" t="s">
        <v>73</v>
      </c>
      <c r="AL16" s="106"/>
      <c r="AM16" s="107">
        <f t="shared" ref="AM16" si="36">IF(F16="","",COUNTIF($H16:$AL16,AM$8))</f>
        <v>20</v>
      </c>
      <c r="AN16" s="108">
        <f t="shared" ref="AN16" si="37">IF(OR(G16="",G16="Đã nghỉ"),0,COUNTIF($H16:$AL16,"N1")/2++IF(AND(LEN(H16)&gt;2,OR(LEFT(H16,2)="N1",RIGHT(H16,2)="N1")),0.5)+IF(AND(LEN(I16)&gt;2,OR(LEFT(I16,2)="N1",RIGHT(I16,2)="N1")),0.5)+IF(AND(LEN(J16)&gt;2,OR(LEFT(J16,2)="N1",RIGHT(J16,2)="N1")),0.5)+IF(AND(LEN(K16)&gt;2,OR(LEFT(K16,2)="N1",RIGHT(K16,2)="N1")),0.5)+IF(AND(LEN(L16)&gt;2,OR(LEFT(L16,2)="N1",RIGHT(L16,2)="N1")),0.5)+IF(AND(LEN(M16)&gt;2,OR(LEFT(M16,2)="N1",RIGHT(M16,2)="N1")),0.5)+IF(AND(LEN(N16)&gt;2,OR(LEFT(N16,2)="N1",RIGHT(N16,2)="N1")),0.5)+IF(AND(LEN(O16)&gt;2,OR(LEFT(O16,2)="N1",RIGHT(O16,2)="N1")),0.5)+IF(AND(LEN(P16)&gt;2,OR(LEFT(P16,2)="N1",RIGHT(P16,2)="N1")),0.5)+IF(AND(LEN(Q16)&gt;2,OR(LEFT(Q16,2)="N1",RIGHT(Q16,2)="N1")),0.5)+IF(AND(LEN(R16)&gt;2,OR(LEFT(R16,2)="N1",RIGHT(R16,2)="N1")),0.5)+IF(AND(LEN(S16)&gt;2,OR(LEFT(S16,2)="N1",RIGHT(S16,2)="N1")),0.5)+IF(AND(LEN(T16)&gt;2,OR(LEFT(T16,2)="N1",RIGHT(T16,2)="N1")),0.5)+IF(AND(LEN(U16)&gt;2,OR(LEFT(U16,2)="N1",RIGHT(U16,2)="N1")),0.5)+IF(AND(LEN(V16)&gt;2,OR(LEFT(V16,2)="N1",RIGHT(V16,2)="N1")),0.5)+IF(AND(LEN(W16)&gt;2,OR(LEFT(W16,2)="N1",RIGHT(W16,2)="N1")),0.5)+IF(AND(LEN(X16)&gt;2,OR(LEFT(X16,2)="N1",RIGHT(X16,2)="N1")),0.5)+IF(AND(LEN(Y16)&gt;2,OR(LEFT(Y16,2)="N1",RIGHT(Y16,2)="N1")),0.5)+IF(AND(LEN(Z16)&gt;2,OR(LEFT(Z16,2)="N1",RIGHT(Z16,2)="N1")),0.5)+IF(AND(LEN(AA16)&gt;2,OR(LEFT(AA16,2)="N1",RIGHT(AA16,2)="N1")),0.5)+IF(AND(LEN(AB16)&gt;2,OR(LEFT(AB16,2)="N1",RIGHT(AB16,2)="N1")),0.5)+IF(AND(LEN(AC16)&gt;2,OR(LEFT(AC16,2)="N1",RIGHT(AC16,2)="N1")),0.5)+IF(AND(LEN(AD16)&gt;2,OR(LEFT(AD16,2)="N1",RIGHT(AD16,2)="N1")),0.5)+IF(AND(LEN(AE16)&gt;2,OR(LEFT(AE16,2)="N1",RIGHT(AE16,2)="N1")),0.5)+IF(AND(LEN(AF16)&gt;2,OR(LEFT(AF16,2)="N1",RIGHT(AF16,2)="N1")),0.5)+IF(AND(LEN(AG16)&gt;2,OR(LEFT(AG16,2)="N1",RIGHT(AG16,2)="N1")),0.5)+IF(AND(LEN(AH16)&gt;2,OR(LEFT(AH16,2)="N1",RIGHT(AH16,2)="N1")),0.5)+IF(AND(LEN(AI16)&gt;2,OR(LEFT(AI16,2)="N1",RIGHT(AI16,2)="N1")),0.5)+IF(AND(LEN(AJ16)&gt;2,OR(LEFT(AJ16,2)="N1",RIGHT(AJ16,2)="N1")),0.5)+IF(AND(LEN(AK16)&gt;2,OR(LEFT(AK16,2)="N1",RIGHT(AK16,2)="N1")),0.5)+IF(AND(LEN(AL16)&gt;2,OR(LEFT(AL16,2)="N1",RIGHT(AL16,2)="N1")),0.5))</f>
        <v>0</v>
      </c>
      <c r="AO16" s="109">
        <f t="shared" ref="AO16" si="38">COUNTIF(H16:AL16,"ON")+COUNTIF(H16:AL16,"ON/2")/2</f>
        <v>0</v>
      </c>
      <c r="AP16" s="110">
        <f t="shared" ref="AP16" si="39">IF(F16="","",COUNTIF($H16:$AL16,AP$8))+IF(F16="","",COUNTIF($H16:$AL16,$V$5)/2)</f>
        <v>0</v>
      </c>
      <c r="AQ16" s="111">
        <f t="shared" si="15"/>
        <v>0.5</v>
      </c>
      <c r="AR16" s="112">
        <f t="shared" ref="AR16" si="40">IF(G16="","",AM16+AN16+AP16+AQ16)</f>
        <v>20.5</v>
      </c>
      <c r="AS16" s="113">
        <f t="shared" ref="AS16" si="41">IF(F16="","",COUNTIF($H16:$AL16,AS$8))++IF(F16="","",COUNTIF($H16:$AL16,"L1")/2)</f>
        <v>1</v>
      </c>
      <c r="AT16" s="114">
        <f t="shared" ref="AT16" si="42">AU16-AR16-AS16</f>
        <v>0.5</v>
      </c>
      <c r="AU16" s="115">
        <v>22</v>
      </c>
      <c r="AV16" s="116"/>
    </row>
    <row r="17" spans="1:48" ht="39" customHeight="1" x14ac:dyDescent="0.25">
      <c r="A17" s="100">
        <f t="shared" si="4"/>
        <v>7</v>
      </c>
      <c r="B17" s="101" t="s">
        <v>364</v>
      </c>
      <c r="C17" s="379" t="s">
        <v>319</v>
      </c>
      <c r="D17" s="103" t="s">
        <v>363</v>
      </c>
      <c r="E17" s="104"/>
      <c r="F17" s="35" t="s">
        <v>365</v>
      </c>
      <c r="G17" s="105" t="s">
        <v>100</v>
      </c>
      <c r="H17" s="106" t="s">
        <v>81</v>
      </c>
      <c r="I17" s="106" t="s">
        <v>77</v>
      </c>
      <c r="J17" s="106" t="s">
        <v>73</v>
      </c>
      <c r="K17" s="106" t="s">
        <v>73</v>
      </c>
      <c r="L17" s="106" t="s">
        <v>73</v>
      </c>
      <c r="M17" s="106"/>
      <c r="N17" s="106"/>
      <c r="O17" s="106" t="s">
        <v>73</v>
      </c>
      <c r="P17" s="106" t="s">
        <v>73</v>
      </c>
      <c r="Q17" s="106" t="s">
        <v>73</v>
      </c>
      <c r="R17" s="106" t="s">
        <v>73</v>
      </c>
      <c r="S17" s="106" t="s">
        <v>73</v>
      </c>
      <c r="T17" s="106"/>
      <c r="U17" s="106"/>
      <c r="V17" s="106" t="s">
        <v>73</v>
      </c>
      <c r="W17" s="106" t="s">
        <v>73</v>
      </c>
      <c r="X17" s="106" t="s">
        <v>73</v>
      </c>
      <c r="Y17" s="106" t="s">
        <v>73</v>
      </c>
      <c r="Z17" s="106" t="s">
        <v>73</v>
      </c>
      <c r="AA17" s="106"/>
      <c r="AB17" s="106"/>
      <c r="AC17" s="106" t="s">
        <v>73</v>
      </c>
      <c r="AD17" s="106" t="s">
        <v>73</v>
      </c>
      <c r="AE17" s="106" t="s">
        <v>73</v>
      </c>
      <c r="AF17" s="106" t="s">
        <v>73</v>
      </c>
      <c r="AG17" s="106" t="s">
        <v>73</v>
      </c>
      <c r="AH17" s="106"/>
      <c r="AI17" s="106"/>
      <c r="AJ17" s="106" t="s">
        <v>73</v>
      </c>
      <c r="AK17" s="106" t="s">
        <v>73</v>
      </c>
      <c r="AL17" s="106"/>
      <c r="AM17" s="107">
        <f t="shared" ref="AM17:AM19" si="43">IF(F17="","",COUNTIF($H17:$AL17,AM$8))</f>
        <v>20</v>
      </c>
      <c r="AN17" s="108">
        <f t="shared" ref="AN17:AN19" si="44">IF(OR(G17="",G17="Đã nghỉ"),0,COUNTIF($H17:$AL17,"N1")/2++IF(AND(LEN(H17)&gt;2,OR(LEFT(H17,2)="N1",RIGHT(H17,2)="N1")),0.5)+IF(AND(LEN(I17)&gt;2,OR(LEFT(I17,2)="N1",RIGHT(I17,2)="N1")),0.5)+IF(AND(LEN(J17)&gt;2,OR(LEFT(J17,2)="N1",RIGHT(J17,2)="N1")),0.5)+IF(AND(LEN(K17)&gt;2,OR(LEFT(K17,2)="N1",RIGHT(K17,2)="N1")),0.5)+IF(AND(LEN(L17)&gt;2,OR(LEFT(L17,2)="N1",RIGHT(L17,2)="N1")),0.5)+IF(AND(LEN(M17)&gt;2,OR(LEFT(M17,2)="N1",RIGHT(M17,2)="N1")),0.5)+IF(AND(LEN(N17)&gt;2,OR(LEFT(N17,2)="N1",RIGHT(N17,2)="N1")),0.5)+IF(AND(LEN(O17)&gt;2,OR(LEFT(O17,2)="N1",RIGHT(O17,2)="N1")),0.5)+IF(AND(LEN(P17)&gt;2,OR(LEFT(P17,2)="N1",RIGHT(P17,2)="N1")),0.5)+IF(AND(LEN(Q17)&gt;2,OR(LEFT(Q17,2)="N1",RIGHT(Q17,2)="N1")),0.5)+IF(AND(LEN(R17)&gt;2,OR(LEFT(R17,2)="N1",RIGHT(R17,2)="N1")),0.5)+IF(AND(LEN(S17)&gt;2,OR(LEFT(S17,2)="N1",RIGHT(S17,2)="N1")),0.5)+IF(AND(LEN(T17)&gt;2,OR(LEFT(T17,2)="N1",RIGHT(T17,2)="N1")),0.5)+IF(AND(LEN(U17)&gt;2,OR(LEFT(U17,2)="N1",RIGHT(U17,2)="N1")),0.5)+IF(AND(LEN(V17)&gt;2,OR(LEFT(V17,2)="N1",RIGHT(V17,2)="N1")),0.5)+IF(AND(LEN(W17)&gt;2,OR(LEFT(W17,2)="N1",RIGHT(W17,2)="N1")),0.5)+IF(AND(LEN(X17)&gt;2,OR(LEFT(X17,2)="N1",RIGHT(X17,2)="N1")),0.5)+IF(AND(LEN(Y17)&gt;2,OR(LEFT(Y17,2)="N1",RIGHT(Y17,2)="N1")),0.5)+IF(AND(LEN(Z17)&gt;2,OR(LEFT(Z17,2)="N1",RIGHT(Z17,2)="N1")),0.5)+IF(AND(LEN(AA17)&gt;2,OR(LEFT(AA17,2)="N1",RIGHT(AA17,2)="N1")),0.5)+IF(AND(LEN(AB17)&gt;2,OR(LEFT(AB17,2)="N1",RIGHT(AB17,2)="N1")),0.5)+IF(AND(LEN(AC17)&gt;2,OR(LEFT(AC17,2)="N1",RIGHT(AC17,2)="N1")),0.5)+IF(AND(LEN(AD17)&gt;2,OR(LEFT(AD17,2)="N1",RIGHT(AD17,2)="N1")),0.5)+IF(AND(LEN(AE17)&gt;2,OR(LEFT(AE17,2)="N1",RIGHT(AE17,2)="N1")),0.5)+IF(AND(LEN(AF17)&gt;2,OR(LEFT(AF17,2)="N1",RIGHT(AF17,2)="N1")),0.5)+IF(AND(LEN(AG17)&gt;2,OR(LEFT(AG17,2)="N1",RIGHT(AG17,2)="N1")),0.5)+IF(AND(LEN(AH17)&gt;2,OR(LEFT(AH17,2)="N1",RIGHT(AH17,2)="N1")),0.5)+IF(AND(LEN(AI17)&gt;2,OR(LEFT(AI17,2)="N1",RIGHT(AI17,2)="N1")),0.5)+IF(AND(LEN(AJ17)&gt;2,OR(LEFT(AJ17,2)="N1",RIGHT(AJ17,2)="N1")),0.5)+IF(AND(LEN(AK17)&gt;2,OR(LEFT(AK17,2)="N1",RIGHT(AK17,2)="N1")),0.5)+IF(AND(LEN(AL17)&gt;2,OR(LEFT(AL17,2)="N1",RIGHT(AL17,2)="N1")),0.5))</f>
        <v>0</v>
      </c>
      <c r="AO17" s="109">
        <f t="shared" ref="AO17:AO19" si="45">COUNTIF(H17:AL17,"ON")+COUNTIF(H17:AL17,"ON/2")/2</f>
        <v>0</v>
      </c>
      <c r="AP17" s="110">
        <f t="shared" ref="AP17:AP19" si="46">IF(F17="","",COUNTIF($H17:$AL17,AP$8))+IF(F17="","",COUNTIF($H17:$AL17,$V$5)/2)</f>
        <v>0</v>
      </c>
      <c r="AQ17" s="111">
        <f t="shared" si="15"/>
        <v>1</v>
      </c>
      <c r="AR17" s="112">
        <f t="shared" ref="AR17:AR19" si="47">IF(G17="","",AM17+AN17+AP17+AQ17)</f>
        <v>21</v>
      </c>
      <c r="AS17" s="113">
        <f t="shared" ref="AS17:AS19" si="48">IF(F17="","",COUNTIF($H17:$AL17,AS$8))++IF(F17="","",COUNTIF($H17:$AL17,"L1")/2)</f>
        <v>1</v>
      </c>
      <c r="AT17" s="114">
        <f t="shared" ref="AT17:AT19" si="49">AU17-AR17-AS17</f>
        <v>0</v>
      </c>
      <c r="AU17" s="115">
        <v>22</v>
      </c>
      <c r="AV17" s="116"/>
    </row>
    <row r="18" spans="1:48" ht="39" customHeight="1" x14ac:dyDescent="0.25">
      <c r="A18" s="100">
        <f t="shared" si="4"/>
        <v>8</v>
      </c>
      <c r="B18" s="101" t="s">
        <v>366</v>
      </c>
      <c r="C18" s="379" t="s">
        <v>319</v>
      </c>
      <c r="D18" s="103" t="s">
        <v>372</v>
      </c>
      <c r="E18" s="104"/>
      <c r="F18" s="35" t="s">
        <v>367</v>
      </c>
      <c r="G18" s="105" t="s">
        <v>100</v>
      </c>
      <c r="H18" s="106" t="s">
        <v>81</v>
      </c>
      <c r="I18" s="106" t="s">
        <v>73</v>
      </c>
      <c r="J18" s="106" t="s">
        <v>73</v>
      </c>
      <c r="K18" s="106" t="s">
        <v>73</v>
      </c>
      <c r="L18" s="106" t="s">
        <v>73</v>
      </c>
      <c r="M18" s="106"/>
      <c r="N18" s="106"/>
      <c r="O18" s="106" t="s">
        <v>73</v>
      </c>
      <c r="P18" s="106" t="s">
        <v>73</v>
      </c>
      <c r="Q18" s="106" t="s">
        <v>73</v>
      </c>
      <c r="R18" s="106" t="s">
        <v>73</v>
      </c>
      <c r="S18" s="106" t="s">
        <v>73</v>
      </c>
      <c r="T18" s="106"/>
      <c r="U18" s="106"/>
      <c r="V18" s="106" t="s">
        <v>73</v>
      </c>
      <c r="W18" s="106" t="s">
        <v>73</v>
      </c>
      <c r="X18" s="106" t="s">
        <v>73</v>
      </c>
      <c r="Y18" s="106" t="s">
        <v>73</v>
      </c>
      <c r="Z18" s="106" t="s">
        <v>73</v>
      </c>
      <c r="AA18" s="106"/>
      <c r="AB18" s="106"/>
      <c r="AC18" s="106" t="s">
        <v>73</v>
      </c>
      <c r="AD18" s="106" t="s">
        <v>73</v>
      </c>
      <c r="AE18" s="106" t="s">
        <v>73</v>
      </c>
      <c r="AF18" s="106" t="s">
        <v>73</v>
      </c>
      <c r="AG18" s="106" t="s">
        <v>73</v>
      </c>
      <c r="AH18" s="106"/>
      <c r="AI18" s="106"/>
      <c r="AJ18" s="106" t="s">
        <v>73</v>
      </c>
      <c r="AK18" s="106" t="s">
        <v>73</v>
      </c>
      <c r="AL18" s="106"/>
      <c r="AM18" s="107">
        <f t="shared" ref="AM18" si="50">IF(F18="","",COUNTIF($H18:$AL18,AM$8))</f>
        <v>21</v>
      </c>
      <c r="AN18" s="108">
        <f t="shared" ref="AN18" si="51">IF(OR(G18="",G18="Đã nghỉ"),0,COUNTIF($H18:$AL18,"N1")/2++IF(AND(LEN(H18)&gt;2,OR(LEFT(H18,2)="N1",RIGHT(H18,2)="N1")),0.5)+IF(AND(LEN(I18)&gt;2,OR(LEFT(I18,2)="N1",RIGHT(I18,2)="N1")),0.5)+IF(AND(LEN(J18)&gt;2,OR(LEFT(J18,2)="N1",RIGHT(J18,2)="N1")),0.5)+IF(AND(LEN(K18)&gt;2,OR(LEFT(K18,2)="N1",RIGHT(K18,2)="N1")),0.5)+IF(AND(LEN(L18)&gt;2,OR(LEFT(L18,2)="N1",RIGHT(L18,2)="N1")),0.5)+IF(AND(LEN(M18)&gt;2,OR(LEFT(M18,2)="N1",RIGHT(M18,2)="N1")),0.5)+IF(AND(LEN(N18)&gt;2,OR(LEFT(N18,2)="N1",RIGHT(N18,2)="N1")),0.5)+IF(AND(LEN(O18)&gt;2,OR(LEFT(O18,2)="N1",RIGHT(O18,2)="N1")),0.5)+IF(AND(LEN(P18)&gt;2,OR(LEFT(P18,2)="N1",RIGHT(P18,2)="N1")),0.5)+IF(AND(LEN(Q18)&gt;2,OR(LEFT(Q18,2)="N1",RIGHT(Q18,2)="N1")),0.5)+IF(AND(LEN(R18)&gt;2,OR(LEFT(R18,2)="N1",RIGHT(R18,2)="N1")),0.5)+IF(AND(LEN(S18)&gt;2,OR(LEFT(S18,2)="N1",RIGHT(S18,2)="N1")),0.5)+IF(AND(LEN(T18)&gt;2,OR(LEFT(T18,2)="N1",RIGHT(T18,2)="N1")),0.5)+IF(AND(LEN(U18)&gt;2,OR(LEFT(U18,2)="N1",RIGHT(U18,2)="N1")),0.5)+IF(AND(LEN(V18)&gt;2,OR(LEFT(V18,2)="N1",RIGHT(V18,2)="N1")),0.5)+IF(AND(LEN(W18)&gt;2,OR(LEFT(W18,2)="N1",RIGHT(W18,2)="N1")),0.5)+IF(AND(LEN(X18)&gt;2,OR(LEFT(X18,2)="N1",RIGHT(X18,2)="N1")),0.5)+IF(AND(LEN(Y18)&gt;2,OR(LEFT(Y18,2)="N1",RIGHT(Y18,2)="N1")),0.5)+IF(AND(LEN(Z18)&gt;2,OR(LEFT(Z18,2)="N1",RIGHT(Z18,2)="N1")),0.5)+IF(AND(LEN(AA18)&gt;2,OR(LEFT(AA18,2)="N1",RIGHT(AA18,2)="N1")),0.5)+IF(AND(LEN(AB18)&gt;2,OR(LEFT(AB18,2)="N1",RIGHT(AB18,2)="N1")),0.5)+IF(AND(LEN(AC18)&gt;2,OR(LEFT(AC18,2)="N1",RIGHT(AC18,2)="N1")),0.5)+IF(AND(LEN(AD18)&gt;2,OR(LEFT(AD18,2)="N1",RIGHT(AD18,2)="N1")),0.5)+IF(AND(LEN(AE18)&gt;2,OR(LEFT(AE18,2)="N1",RIGHT(AE18,2)="N1")),0.5)+IF(AND(LEN(AF18)&gt;2,OR(LEFT(AF18,2)="N1",RIGHT(AF18,2)="N1")),0.5)+IF(AND(LEN(AG18)&gt;2,OR(LEFT(AG18,2)="N1",RIGHT(AG18,2)="N1")),0.5)+IF(AND(LEN(AH18)&gt;2,OR(LEFT(AH18,2)="N1",RIGHT(AH18,2)="N1")),0.5)+IF(AND(LEN(AI18)&gt;2,OR(LEFT(AI18,2)="N1",RIGHT(AI18,2)="N1")),0.5)+IF(AND(LEN(AJ18)&gt;2,OR(LEFT(AJ18,2)="N1",RIGHT(AJ18,2)="N1")),0.5)+IF(AND(LEN(AK18)&gt;2,OR(LEFT(AK18,2)="N1",RIGHT(AK18,2)="N1")),0.5)+IF(AND(LEN(AL18)&gt;2,OR(LEFT(AL18,2)="N1",RIGHT(AL18,2)="N1")),0.5))</f>
        <v>0</v>
      </c>
      <c r="AO18" s="109">
        <f t="shared" ref="AO18" si="52">COUNTIF(H18:AL18,"ON")+COUNTIF(H18:AL18,"ON/2")/2</f>
        <v>0</v>
      </c>
      <c r="AP18" s="110">
        <f t="shared" ref="AP18" si="53">IF(F18="","",COUNTIF($H18:$AL18,AP$8))+IF(F18="","",COUNTIF($H18:$AL18,$V$5)/2)</f>
        <v>0</v>
      </c>
      <c r="AQ18" s="111">
        <f t="shared" si="15"/>
        <v>0</v>
      </c>
      <c r="AR18" s="112">
        <f t="shared" ref="AR18" si="54">IF(G18="","",AM18+AN18+AP18+AQ18)</f>
        <v>21</v>
      </c>
      <c r="AS18" s="113">
        <f t="shared" ref="AS18" si="55">IF(F18="","",COUNTIF($H18:$AL18,AS$8))++IF(F18="","",COUNTIF($H18:$AL18,"L1")/2)</f>
        <v>1</v>
      </c>
      <c r="AT18" s="114">
        <f t="shared" ref="AT18" si="56">AU18-AR18-AS18</f>
        <v>0</v>
      </c>
      <c r="AU18" s="115">
        <v>22</v>
      </c>
      <c r="AV18" s="116"/>
    </row>
    <row r="19" spans="1:48" ht="39" customHeight="1" x14ac:dyDescent="0.25">
      <c r="A19" s="100">
        <f t="shared" si="4"/>
        <v>9</v>
      </c>
      <c r="B19" s="101" t="s">
        <v>368</v>
      </c>
      <c r="C19" s="379" t="s">
        <v>319</v>
      </c>
      <c r="D19" s="103" t="s">
        <v>373</v>
      </c>
      <c r="E19" s="104"/>
      <c r="F19" s="35" t="s">
        <v>369</v>
      </c>
      <c r="G19" s="105" t="s">
        <v>100</v>
      </c>
      <c r="H19" s="106" t="s">
        <v>81</v>
      </c>
      <c r="I19" s="106" t="s">
        <v>73</v>
      </c>
      <c r="J19" s="106" t="s">
        <v>73</v>
      </c>
      <c r="K19" s="106" t="s">
        <v>73</v>
      </c>
      <c r="L19" s="106" t="s">
        <v>73</v>
      </c>
      <c r="M19" s="106"/>
      <c r="N19" s="106"/>
      <c r="O19" s="106" t="s">
        <v>73</v>
      </c>
      <c r="P19" s="106" t="s">
        <v>73</v>
      </c>
      <c r="Q19" s="106" t="s">
        <v>73</v>
      </c>
      <c r="R19" s="106" t="s">
        <v>73</v>
      </c>
      <c r="S19" s="106" t="s">
        <v>73</v>
      </c>
      <c r="T19" s="106"/>
      <c r="U19" s="106"/>
      <c r="V19" s="106" t="s">
        <v>73</v>
      </c>
      <c r="W19" s="106" t="s">
        <v>73</v>
      </c>
      <c r="X19" s="106" t="s">
        <v>73</v>
      </c>
      <c r="Y19" s="106" t="s">
        <v>73</v>
      </c>
      <c r="Z19" s="106" t="s">
        <v>73</v>
      </c>
      <c r="AA19" s="106"/>
      <c r="AB19" s="106"/>
      <c r="AC19" s="106" t="s">
        <v>73</v>
      </c>
      <c r="AD19" s="106" t="s">
        <v>73</v>
      </c>
      <c r="AE19" s="106" t="s">
        <v>73</v>
      </c>
      <c r="AF19" s="106" t="s">
        <v>73</v>
      </c>
      <c r="AG19" s="106" t="s">
        <v>73</v>
      </c>
      <c r="AH19" s="106"/>
      <c r="AI19" s="106"/>
      <c r="AJ19" s="106" t="s">
        <v>73</v>
      </c>
      <c r="AK19" s="106" t="s">
        <v>73</v>
      </c>
      <c r="AL19" s="106"/>
      <c r="AM19" s="107">
        <f t="shared" si="43"/>
        <v>21</v>
      </c>
      <c r="AN19" s="108">
        <f t="shared" si="44"/>
        <v>0</v>
      </c>
      <c r="AO19" s="109">
        <f t="shared" si="45"/>
        <v>0</v>
      </c>
      <c r="AP19" s="110">
        <f t="shared" si="46"/>
        <v>0</v>
      </c>
      <c r="AQ19" s="111">
        <f t="shared" si="15"/>
        <v>0</v>
      </c>
      <c r="AR19" s="112">
        <f t="shared" si="47"/>
        <v>21</v>
      </c>
      <c r="AS19" s="113">
        <f t="shared" si="48"/>
        <v>1</v>
      </c>
      <c r="AT19" s="114">
        <f t="shared" si="49"/>
        <v>0</v>
      </c>
      <c r="AU19" s="115">
        <v>22</v>
      </c>
      <c r="AV19" s="116"/>
    </row>
    <row r="20" spans="1:48" ht="39" customHeight="1" x14ac:dyDescent="0.25">
      <c r="A20" s="100">
        <f t="shared" si="4"/>
        <v>10</v>
      </c>
      <c r="B20" s="101" t="s">
        <v>381</v>
      </c>
      <c r="C20" s="379" t="s">
        <v>338</v>
      </c>
      <c r="D20" s="103" t="s">
        <v>349</v>
      </c>
      <c r="E20" s="104"/>
      <c r="F20" s="374" t="s">
        <v>382</v>
      </c>
      <c r="G20" s="105" t="s">
        <v>100</v>
      </c>
      <c r="H20" s="106" t="s">
        <v>81</v>
      </c>
      <c r="I20" s="106" t="s">
        <v>73</v>
      </c>
      <c r="J20" s="106" t="s">
        <v>73</v>
      </c>
      <c r="K20" s="106" t="s">
        <v>73</v>
      </c>
      <c r="L20" s="106" t="s">
        <v>73</v>
      </c>
      <c r="M20" s="106"/>
      <c r="N20" s="106"/>
      <c r="O20" s="106" t="s">
        <v>73</v>
      </c>
      <c r="P20" s="106" t="s">
        <v>73</v>
      </c>
      <c r="Q20" s="106" t="s">
        <v>73</v>
      </c>
      <c r="R20" s="106" t="s">
        <v>73</v>
      </c>
      <c r="S20" s="106" t="s">
        <v>73</v>
      </c>
      <c r="T20" s="106"/>
      <c r="U20" s="106"/>
      <c r="V20" s="106" t="s">
        <v>73</v>
      </c>
      <c r="W20" s="106" t="s">
        <v>73</v>
      </c>
      <c r="X20" s="106" t="s">
        <v>73</v>
      </c>
      <c r="Y20" s="106" t="s">
        <v>73</v>
      </c>
      <c r="Z20" s="106" t="s">
        <v>73</v>
      </c>
      <c r="AA20" s="106"/>
      <c r="AB20" s="106"/>
      <c r="AC20" s="106" t="s">
        <v>73</v>
      </c>
      <c r="AD20" s="106" t="s">
        <v>73</v>
      </c>
      <c r="AE20" s="106" t="s">
        <v>73</v>
      </c>
      <c r="AF20" s="106" t="s">
        <v>73</v>
      </c>
      <c r="AG20" s="106" t="s">
        <v>73</v>
      </c>
      <c r="AH20" s="106"/>
      <c r="AI20" s="106"/>
      <c r="AJ20" s="106" t="s">
        <v>77</v>
      </c>
      <c r="AK20" s="106" t="s">
        <v>77</v>
      </c>
      <c r="AL20" s="380"/>
      <c r="AM20" s="107">
        <f t="shared" ref="AM20" si="57">IF(F20="","",COUNTIF($H20:$AL20,AM$8))</f>
        <v>19</v>
      </c>
      <c r="AN20" s="108">
        <f t="shared" ref="AN20" si="58">IF(OR(G20="",G20="Đã nghỉ"),0,COUNTIF($H20:$AL20,"N1")/2++IF(AND(LEN(H20)&gt;2,OR(LEFT(H20,2)="N1",RIGHT(H20,2)="N1")),0.5)+IF(AND(LEN(I20)&gt;2,OR(LEFT(I20,2)="N1",RIGHT(I20,2)="N1")),0.5)+IF(AND(LEN(J20)&gt;2,OR(LEFT(J20,2)="N1",RIGHT(J20,2)="N1")),0.5)+IF(AND(LEN(K20)&gt;2,OR(LEFT(K20,2)="N1",RIGHT(K20,2)="N1")),0.5)+IF(AND(LEN(L20)&gt;2,OR(LEFT(L20,2)="N1",RIGHT(L20,2)="N1")),0.5)+IF(AND(LEN(M20)&gt;2,OR(LEFT(M20,2)="N1",RIGHT(M20,2)="N1")),0.5)+IF(AND(LEN(N20)&gt;2,OR(LEFT(N20,2)="N1",RIGHT(N20,2)="N1")),0.5)+IF(AND(LEN(O20)&gt;2,OR(LEFT(O20,2)="N1",RIGHT(O20,2)="N1")),0.5)+IF(AND(LEN(P20)&gt;2,OR(LEFT(P20,2)="N1",RIGHT(P20,2)="N1")),0.5)+IF(AND(LEN(Q20)&gt;2,OR(LEFT(Q20,2)="N1",RIGHT(Q20,2)="N1")),0.5)+IF(AND(LEN(R20)&gt;2,OR(LEFT(R20,2)="N1",RIGHT(R20,2)="N1")),0.5)+IF(AND(LEN(S20)&gt;2,OR(LEFT(S20,2)="N1",RIGHT(S20,2)="N1")),0.5)+IF(AND(LEN(T20)&gt;2,OR(LEFT(T20,2)="N1",RIGHT(T20,2)="N1")),0.5)+IF(AND(LEN(U20)&gt;2,OR(LEFT(U20,2)="N1",RIGHT(U20,2)="N1")),0.5)+IF(AND(LEN(V20)&gt;2,OR(LEFT(V20,2)="N1",RIGHT(V20,2)="N1")),0.5)+IF(AND(LEN(W20)&gt;2,OR(LEFT(W20,2)="N1",RIGHT(W20,2)="N1")),0.5)+IF(AND(LEN(X20)&gt;2,OR(LEFT(X20,2)="N1",RIGHT(X20,2)="N1")),0.5)+IF(AND(LEN(Y20)&gt;2,OR(LEFT(Y20,2)="N1",RIGHT(Y20,2)="N1")),0.5)+IF(AND(LEN(Z20)&gt;2,OR(LEFT(Z20,2)="N1",RIGHT(Z20,2)="N1")),0.5)+IF(AND(LEN(AA20)&gt;2,OR(LEFT(AA20,2)="N1",RIGHT(AA20,2)="N1")),0.5)+IF(AND(LEN(AB20)&gt;2,OR(LEFT(AB20,2)="N1",RIGHT(AB20,2)="N1")),0.5)+IF(AND(LEN(AC20)&gt;2,OR(LEFT(AC20,2)="N1",RIGHT(AC20,2)="N1")),0.5)+IF(AND(LEN(AD20)&gt;2,OR(LEFT(AD20,2)="N1",RIGHT(AD20,2)="N1")),0.5)+IF(AND(LEN(AE20)&gt;2,OR(LEFT(AE20,2)="N1",RIGHT(AE20,2)="N1")),0.5)+IF(AND(LEN(AF20)&gt;2,OR(LEFT(AF20,2)="N1",RIGHT(AF20,2)="N1")),0.5)+IF(AND(LEN(AG20)&gt;2,OR(LEFT(AG20,2)="N1",RIGHT(AG20,2)="N1")),0.5)+IF(AND(LEN(AH20)&gt;2,OR(LEFT(AH20,2)="N1",RIGHT(AH20,2)="N1")),0.5)+IF(AND(LEN(AI20)&gt;2,OR(LEFT(AI20,2)="N1",RIGHT(AI20,2)="N1")),0.5)+IF(AND(LEN(AJ20)&gt;2,OR(LEFT(AJ20,2)="N1",RIGHT(AJ20,2)="N1")),0.5)+IF(AND(LEN(AK20)&gt;2,OR(LEFT(AK20,2)="N1",RIGHT(AK20,2)="N1")),0.5)+IF(AND(LEN(AL20)&gt;2,OR(LEFT(AL20,2)="N1",RIGHT(AL20,2)="N1")),0.5))</f>
        <v>0</v>
      </c>
      <c r="AO20" s="109">
        <f t="shared" ref="AO20" si="59">COUNTIF(H20:AL20,"ON")+COUNTIF(H20:AL20,"ON/2")/2</f>
        <v>0</v>
      </c>
      <c r="AP20" s="110">
        <f t="shared" ref="AP20" si="60">IF(F20="","",COUNTIF($H20:$AL20,AP$8))+IF(F20="","",COUNTIF($H20:$AL20,$V$5)/2)</f>
        <v>0</v>
      </c>
      <c r="AQ20" s="111">
        <f>COUNTIF($H20:$AL20,"P")+COUNTIF($H20:$AL20,"P1")/2+IF(AND(LEN(I20)&gt;2,OR(LEFT(I20,2)="P1",RIGHT(I20,2)="P1")),0.5)+IF(AND(LEN(J20)&gt;2,OR(LEFT(J20,2)="P1",RIGHT(J20,2)="P1")),0.5)+IF(AND(LEN(K20)&gt;2,OR(LEFT(K20,2)="P1",RIGHT(K20,2)="P1")),0.5)+IF(AND(LEN(L20)&gt;2,OR(LEFT(L20,2)="P1",RIGHT(L20,2)="P1")),0.5)+IF(AND(LEN(M20)&gt;2,OR(LEFT(M20,2)="P1",RIGHT(M20,2)="P1")),0.5)+IF(AND(LEN(N20)&gt;2,OR(LEFT(N20,2)="P1",RIGHT(N20,2)="P1")),0.5)+IF(AND(LEN(O20)&gt;2,OR(LEFT(O20,2)="P1",RIGHT(O20,2)="P1")),0.5)+IF(AND(LEN(P20)&gt;2,OR(LEFT(P20,2)="P1",RIGHT(P20,2)="P1")),0.5)+IF(AND(LEN(Q20)&gt;2,OR(LEFT(Q20,2)="P1",RIGHT(Q20,2)="P1")),0.5)+IF(AND(LEN(R20)&gt;2,OR(LEFT(R20,2)="P1",RIGHT(R20,2)="P1")),0.5)+IF(AND(LEN(S20)&gt;2,OR(LEFT(S20,2)="P1",RIGHT(S20,2)="P1")),0.5)+IF(AND(LEN(T20)&gt;2,OR(LEFT(T20,2)="P1",RIGHT(T20,2)="P1")),0.5)+IF(AND(LEN(U20)&gt;2,OR(LEFT(U20,2)="P1",RIGHT(U20,2)="P1")),0.5)+IF(AND(LEN(V20)&gt;2,OR(LEFT(V20,2)="P1",RIGHT(V20,2)="P1")),0.5)+IF(AND(LEN(W20)&gt;2,OR(LEFT(W20,2)="P1",RIGHT(W20,2)="P1")),0.5)+IF(AND(LEN(X20)&gt;2,OR(LEFT(X20,2)="P1",RIGHT(X20,2)="P1")),0.5)+IF(AND(LEN(Y20)&gt;2,OR(LEFT(Y20,2)="P1",RIGHT(Y20,2)="P1")),0.5)+IF(AND(LEN(Z20)&gt;2,OR(LEFT(Z20,2)="P1",RIGHT(Z20,2)="P1")),0.5)+IF(AND(LEN(AA20)&gt;2,OR(LEFT(AA20,2)="P1",RIGHT(AA20,2)="P1")),0.5)+IF(AND(LEN(AB20)&gt;2,OR(LEFT(AB20,2)="P1",RIGHT(AB20,2)="P1")),0.5)+IF(AND(LEN(AC20)&gt;2,OR(LEFT(AC20,2)="P1",RIGHT(AC20,2)="P1")),0.5)+IF(AND(LEN(AD20)&gt;2,OR(LEFT(AD20,2)="P1",RIGHT(AD20,2)="P1")),0.5)+IF(AND(LEN(AE20)&gt;2,OR(LEFT(AE367,2)="P1",RIGHT(AE20,2)="P1")),0.5)+IF(AND(LEN(AF20)&gt;2,OR(LEFT(AF20,2)="P1",RIGHT(AF20,2)="P1")),0.5)+IF(AND(LEN(AG20)&gt;2,OR(LEFT(AG20,2)="P1",RIGHT(AG20,2)="P1")),0.5)+IF(AND(LEN(AH20)&gt;2,OR(LEFT(AH20,2)="P1",RIGHT(AH20,2)="P1")),0.5)+IF(AND(LEN(AI20)&gt;2,OR(LEFT(AI20,2)="P1",RIGHT(AI20,2)="P1")),0.5)+IF(AND(LEN(AJ20)&gt;2,OR(LEFT(AJ20,2)="P1",RIGHT(AJ20,2)="P1")),0.5)+IF(AND(LEN(AK20)&gt;2,OR(LEFT(AK20,2)="P1",RIGHT(AK20,2)="P1")),0.5)+IF(AND(LEN(AL20)&gt;2,OR(LEFT(AL20,2)="P1",RIGHT(AL20,2)="P1")),0.5)</f>
        <v>2</v>
      </c>
      <c r="AR20" s="112">
        <f t="shared" ref="AR20" si="61">IF(G20="","",AM20+AN20+AP20+AQ20)</f>
        <v>21</v>
      </c>
      <c r="AS20" s="113">
        <f t="shared" ref="AS20" si="62">IF(F20="","",COUNTIF($H20:$AL20,AS$8))++IF(F20="","",COUNTIF($H20:$AL20,"L1")/2)</f>
        <v>1</v>
      </c>
      <c r="AT20" s="114">
        <f t="shared" ref="AT20" si="63">AU20-AR20-AS20</f>
        <v>0</v>
      </c>
      <c r="AU20" s="115">
        <v>22</v>
      </c>
      <c r="AV20" s="116"/>
    </row>
    <row r="21" spans="1:48" ht="39" customHeight="1" x14ac:dyDescent="0.25">
      <c r="A21" s="457">
        <f t="shared" si="4"/>
        <v>11</v>
      </c>
      <c r="B21" s="458" t="s">
        <v>383</v>
      </c>
      <c r="C21" s="381" t="s">
        <v>338</v>
      </c>
      <c r="D21" s="459" t="s">
        <v>349</v>
      </c>
      <c r="E21" s="460"/>
      <c r="F21" s="461" t="s">
        <v>384</v>
      </c>
      <c r="G21" s="462" t="s">
        <v>100</v>
      </c>
      <c r="H21" s="106" t="s">
        <v>81</v>
      </c>
      <c r="I21" s="106" t="s">
        <v>73</v>
      </c>
      <c r="J21" s="106" t="s">
        <v>73</v>
      </c>
      <c r="K21" s="106" t="s">
        <v>73</v>
      </c>
      <c r="L21" s="464" t="s">
        <v>77</v>
      </c>
      <c r="M21" s="464"/>
      <c r="N21" s="463"/>
      <c r="O21" s="463" t="s">
        <v>73</v>
      </c>
      <c r="P21" s="463" t="s">
        <v>73</v>
      </c>
      <c r="Q21" s="463" t="s">
        <v>73</v>
      </c>
      <c r="R21" s="463" t="s">
        <v>73</v>
      </c>
      <c r="S21" s="463" t="s">
        <v>73</v>
      </c>
      <c r="T21" s="463"/>
      <c r="U21" s="463"/>
      <c r="V21" s="463" t="s">
        <v>74</v>
      </c>
      <c r="W21" s="106" t="s">
        <v>73</v>
      </c>
      <c r="X21" s="106" t="s">
        <v>73</v>
      </c>
      <c r="Y21" s="463" t="s">
        <v>73</v>
      </c>
      <c r="Z21" s="463" t="s">
        <v>77</v>
      </c>
      <c r="AA21" s="463"/>
      <c r="AB21" s="463"/>
      <c r="AC21" s="463" t="s">
        <v>73</v>
      </c>
      <c r="AD21" s="463" t="s">
        <v>73</v>
      </c>
      <c r="AE21" s="463" t="s">
        <v>73</v>
      </c>
      <c r="AF21" s="463" t="s">
        <v>73</v>
      </c>
      <c r="AG21" s="463" t="s">
        <v>73</v>
      </c>
      <c r="AH21" s="463"/>
      <c r="AI21" s="463"/>
      <c r="AJ21" s="463" t="s">
        <v>83</v>
      </c>
      <c r="AK21" s="464" t="s">
        <v>83</v>
      </c>
      <c r="AL21" s="464"/>
      <c r="AM21" s="465">
        <f t="shared" ref="AM21" si="64">IF(F21="","",COUNTIF($H21:$AL21,AM$8))</f>
        <v>16</v>
      </c>
      <c r="AN21" s="466">
        <f t="shared" ref="AN21" si="65">IF(OR(G21="",G21="Đã nghỉ"),0,COUNTIF($H21:$AL21,"N1")/2++IF(AND(LEN(H21)&gt;2,OR(LEFT(H21,2)="N1",RIGHT(H21,2)="N1")),0.5)+IF(AND(LEN(I21)&gt;2,OR(LEFT(I21,2)="N1",RIGHT(I21,2)="N1")),0.5)+IF(AND(LEN(J21)&gt;2,OR(LEFT(J21,2)="N1",RIGHT(J21,2)="N1")),0.5)+IF(AND(LEN(K21)&gt;2,OR(LEFT(K21,2)="N1",RIGHT(K21,2)="N1")),0.5)+IF(AND(LEN(L21)&gt;2,OR(LEFT(L21,2)="N1",RIGHT(L21,2)="N1")),0.5)+IF(AND(LEN(M21)&gt;2,OR(LEFT(M21,2)="N1",RIGHT(M21,2)="N1")),0.5)+IF(AND(LEN(N21)&gt;2,OR(LEFT(N21,2)="N1",RIGHT(N21,2)="N1")),0.5)+IF(AND(LEN(O21)&gt;2,OR(LEFT(O21,2)="N1",RIGHT(O21,2)="N1")),0.5)+IF(AND(LEN(P21)&gt;2,OR(LEFT(P21,2)="N1",RIGHT(P21,2)="N1")),0.5)+IF(AND(LEN(Q21)&gt;2,OR(LEFT(Q21,2)="N1",RIGHT(Q21,2)="N1")),0.5)+IF(AND(LEN(R21)&gt;2,OR(LEFT(R21,2)="N1",RIGHT(R21,2)="N1")),0.5)+IF(AND(LEN(S21)&gt;2,OR(LEFT(S21,2)="N1",RIGHT(S21,2)="N1")),0.5)+IF(AND(LEN(T21)&gt;2,OR(LEFT(T21,2)="N1",RIGHT(T21,2)="N1")),0.5)+IF(AND(LEN(U21)&gt;2,OR(LEFT(U21,2)="N1",RIGHT(U21,2)="N1")),0.5)+IF(AND(LEN(V21)&gt;2,OR(LEFT(V21,2)="N1",RIGHT(V21,2)="N1")),0.5)+IF(AND(LEN(W21)&gt;2,OR(LEFT(W21,2)="N1",RIGHT(W21,2)="N1")),0.5)+IF(AND(LEN(X21)&gt;2,OR(LEFT(X21,2)="N1",RIGHT(X21,2)="N1")),0.5)+IF(AND(LEN(Y21)&gt;2,OR(LEFT(Y21,2)="N1",RIGHT(Y21,2)="N1")),0.5)+IF(AND(LEN(Z21)&gt;2,OR(LEFT(Z21,2)="N1",RIGHT(Z21,2)="N1")),0.5)+IF(AND(LEN(AA21)&gt;2,OR(LEFT(AA21,2)="N1",RIGHT(AA21,2)="N1")),0.5)+IF(AND(LEN(AB21)&gt;2,OR(LEFT(AB21,2)="N1",RIGHT(AB21,2)="N1")),0.5)+IF(AND(LEN(AC21)&gt;2,OR(LEFT(AC21,2)="N1",RIGHT(AC21,2)="N1")),0.5)+IF(AND(LEN(AD21)&gt;2,OR(LEFT(AD21,2)="N1",RIGHT(AD21,2)="N1")),0.5)+IF(AND(LEN(AE21)&gt;2,OR(LEFT(AE21,2)="N1",RIGHT(AE21,2)="N1")),0.5)+IF(AND(LEN(AF21)&gt;2,OR(LEFT(AF21,2)="N1",RIGHT(AF21,2)="N1")),0.5)+IF(AND(LEN(AG21)&gt;2,OR(LEFT(AG21,2)="N1",RIGHT(AG21,2)="N1")),0.5)+IF(AND(LEN(AH21)&gt;2,OR(LEFT(AH21,2)="N1",RIGHT(AH21,2)="N1")),0.5)+IF(AND(LEN(AI21)&gt;2,OR(LEFT(AI21,2)="N1",RIGHT(AI21,2)="N1")),0.5)+IF(AND(LEN(AJ21)&gt;2,OR(LEFT(AJ21,2)="N1",RIGHT(AJ21,2)="N1")),0.5)+IF(AND(LEN(AK21)&gt;2,OR(LEFT(AK21,2)="N1",RIGHT(AK21,2)="N1")),0.5)+IF(AND(LEN(AL21)&gt;2,OR(LEFT(AL21,2)="N1",RIGHT(AL21,2)="N1")),0.5))</f>
        <v>0.5</v>
      </c>
      <c r="AO21" s="467">
        <f t="shared" ref="AO21" si="66">COUNTIF(H21:AL21,"ON")+COUNTIF(H21:AL21,"ON/2")/2</f>
        <v>0</v>
      </c>
      <c r="AP21" s="468">
        <f t="shared" ref="AP21" si="67">IF(F21="","",COUNTIF($H21:$AL21,AP$8))+IF(F21="","",COUNTIF($H21:$AL21,$V$5)/2)</f>
        <v>0</v>
      </c>
      <c r="AQ21" s="488">
        <f>COUNTIF($H21:$AL21,"P")+COUNTIF($H21:$AL21,"P1")/2+IF(AND(LEN(I21)&gt;2,OR(LEFT(I21,2)="P1",RIGHT(I21,2)="P1")),0.5)+IF(AND(LEN(J21)&gt;2,OR(LEFT(J21,2)="P1",RIGHT(J21,2)="P1")),0.5)+IF(AND(LEN(K21)&gt;2,OR(LEFT(K21,2)="P1",RIGHT(K21,2)="P1")),0.5)+IF(AND(LEN(L21)&gt;2,OR(LEFT(L21,2)="P1",RIGHT(L21,2)="P1")),0.5)+IF(AND(LEN(M21)&gt;2,OR(LEFT(M21,2)="P1",RIGHT(M21,2)="P1")),0.5)+IF(AND(LEN(N21)&gt;2,OR(LEFT(N21,2)="P1",RIGHT(N21,2)="P1")),0.5)+IF(AND(LEN(O21)&gt;2,OR(LEFT(O21,2)="P1",RIGHT(O21,2)="P1")),0.5)+IF(AND(LEN(P21)&gt;2,OR(LEFT(P21,2)="P1",RIGHT(P21,2)="P1")),0.5)+IF(AND(LEN(Q21)&gt;2,OR(LEFT(Q21,2)="P1",RIGHT(Q21,2)="P1")),0.5)+IF(AND(LEN(R21)&gt;2,OR(LEFT(R21,2)="P1",RIGHT(R21,2)="P1")),0.5)+IF(AND(LEN(S21)&gt;2,OR(LEFT(S21,2)="P1",RIGHT(S21,2)="P1")),0.5)+IF(AND(LEN(T21)&gt;2,OR(LEFT(T21,2)="P1",RIGHT(T21,2)="P1")),0.5)+IF(AND(LEN(U21)&gt;2,OR(LEFT(U21,2)="P1",RIGHT(U21,2)="P1")),0.5)+IF(AND(LEN(V21)&gt;2,OR(LEFT(V21,2)="P1",RIGHT(V21,2)="P1")),0.5)+IF(AND(LEN(W21)&gt;2,OR(LEFT(W21,2)="P1",RIGHT(W21,2)="P1")),0.5)+IF(AND(LEN(X21)&gt;2,OR(LEFT(X21,2)="P1",RIGHT(X21,2)="P1")),0.5)+IF(AND(LEN(Y21)&gt;2,OR(LEFT(Y21,2)="P1",RIGHT(Y21,2)="P1")),0.5)+IF(AND(LEN(Z21)&gt;2,OR(LEFT(Z21,2)="P1",RIGHT(Z21,2)="P1")),0.5)+IF(AND(LEN(AA21)&gt;2,OR(LEFT(AA21,2)="P1",RIGHT(AA21,2)="P1")),0.5)+IF(AND(LEN(AB21)&gt;2,OR(LEFT(AB21,2)="P1",RIGHT(AB21,2)="P1")),0.5)+IF(AND(LEN(AC21)&gt;2,OR(LEFT(AC21,2)="P1",RIGHT(AC21,2)="P1")),0.5)+IF(AND(LEN(AD21)&gt;2,OR(LEFT(AD21,2)="P1",RIGHT(AD21,2)="P1")),0.5)+IF(AND(LEN(AE21)&gt;2,OR(LEFT(AE369,2)="P1",RIGHT(AE21,2)="P1")),0.5)+IF(AND(LEN(AF21)&gt;2,OR(LEFT(AF21,2)="P1",RIGHT(AF21,2)="P1")),0.5)+IF(AND(LEN(AG21)&gt;2,OR(LEFT(AG21,2)="P1",RIGHT(AG21,2)="P1")),0.5)+IF(AND(LEN(AH21)&gt;2,OR(LEFT(AH21,2)="P1",RIGHT(AH21,2)="P1")),0.5)+IF(AND(LEN(AI21)&gt;2,OR(LEFT(AI21,2)="P1",RIGHT(AI21,2)="P1")),0.5)+IF(AND(LEN(AJ21)&gt;2,OR(LEFT(AJ21,2)="P1",RIGHT(AJ21,2)="P1")),0.5)+IF(AND(LEN(AK21)&gt;2,OR(LEFT(AK21,2)="P1",RIGHT(AK21,2)="P1")),0.5)+IF(AND(LEN(AL21)&gt;2,OR(LEFT(AL21,2)="P1",RIGHT(AL21,2)="P1")),0.5)</f>
        <v>2</v>
      </c>
      <c r="AR21" s="469">
        <f t="shared" ref="AR21" si="68">IF(G21="","",AM21+AN21+AP21+AQ21)</f>
        <v>18.5</v>
      </c>
      <c r="AS21" s="470">
        <f t="shared" ref="AS21" si="69">IF(F21="","",COUNTIF($H21:$AL21,AS$8))++IF(F21="","",COUNTIF($H21:$AL21,"L1")/2)</f>
        <v>1</v>
      </c>
      <c r="AT21" s="471">
        <f t="shared" ref="AT21" si="70">AU21-AR21-AS21</f>
        <v>2.5</v>
      </c>
      <c r="AU21" s="115">
        <v>22</v>
      </c>
      <c r="AV21" s="116"/>
    </row>
    <row r="22" spans="1:48" ht="39" customHeight="1" x14ac:dyDescent="0.25">
      <c r="A22" s="450">
        <f t="shared" si="4"/>
        <v>12</v>
      </c>
      <c r="B22" s="476" t="s">
        <v>388</v>
      </c>
      <c r="C22" s="389" t="s">
        <v>319</v>
      </c>
      <c r="D22" s="389" t="s">
        <v>385</v>
      </c>
      <c r="E22" s="477"/>
      <c r="F22" s="374" t="s">
        <v>389</v>
      </c>
      <c r="G22" s="478" t="s">
        <v>100</v>
      </c>
      <c r="H22" s="106" t="s">
        <v>81</v>
      </c>
      <c r="I22" s="106" t="s">
        <v>73</v>
      </c>
      <c r="J22" s="106" t="s">
        <v>73</v>
      </c>
      <c r="K22" s="106" t="s">
        <v>73</v>
      </c>
      <c r="L22" s="106" t="s">
        <v>73</v>
      </c>
      <c r="M22" s="106"/>
      <c r="N22" s="106"/>
      <c r="O22" s="106" t="s">
        <v>73</v>
      </c>
      <c r="P22" s="106" t="s">
        <v>73</v>
      </c>
      <c r="Q22" s="106" t="s">
        <v>73</v>
      </c>
      <c r="R22" s="106" t="s">
        <v>73</v>
      </c>
      <c r="S22" s="106" t="s">
        <v>73</v>
      </c>
      <c r="T22" s="106"/>
      <c r="U22" s="106"/>
      <c r="V22" s="106" t="s">
        <v>73</v>
      </c>
      <c r="W22" s="106" t="s">
        <v>73</v>
      </c>
      <c r="X22" s="106" t="s">
        <v>73</v>
      </c>
      <c r="Y22" s="106" t="s">
        <v>73</v>
      </c>
      <c r="Z22" s="106" t="s">
        <v>73</v>
      </c>
      <c r="AA22" s="106"/>
      <c r="AB22" s="106"/>
      <c r="AC22" s="106" t="s">
        <v>73</v>
      </c>
      <c r="AD22" s="106" t="s">
        <v>73</v>
      </c>
      <c r="AE22" s="106" t="s">
        <v>73</v>
      </c>
      <c r="AF22" s="106" t="s">
        <v>73</v>
      </c>
      <c r="AG22" s="106" t="s">
        <v>73</v>
      </c>
      <c r="AH22" s="479"/>
      <c r="AI22" s="479"/>
      <c r="AJ22" s="479" t="s">
        <v>73</v>
      </c>
      <c r="AK22" s="479" t="s">
        <v>73</v>
      </c>
      <c r="AL22" s="479"/>
      <c r="AM22" s="480">
        <f t="shared" ref="AM22" si="71">IF(F22="","",COUNTIF($H22:$AL22,AM$8))</f>
        <v>21</v>
      </c>
      <c r="AN22" s="481">
        <f t="shared" ref="AN22" si="72">IF(OR(G22="",G22="Đã nghỉ"),0,COUNTIF($H22:$AL22,"N1")/2++IF(AND(LEN(H22)&gt;2,OR(LEFT(H22,2)="N1",RIGHT(H22,2)="N1")),0.5)+IF(AND(LEN(I22)&gt;2,OR(LEFT(I22,2)="N1",RIGHT(I22,2)="N1")),0.5)+IF(AND(LEN(J22)&gt;2,OR(LEFT(J22,2)="N1",RIGHT(J22,2)="N1")),0.5)+IF(AND(LEN(K22)&gt;2,OR(LEFT(K22,2)="N1",RIGHT(K22,2)="N1")),0.5)+IF(AND(LEN(L22)&gt;2,OR(LEFT(L22,2)="N1",RIGHT(L22,2)="N1")),0.5)+IF(AND(LEN(M22)&gt;2,OR(LEFT(M22,2)="N1",RIGHT(M22,2)="N1")),0.5)+IF(AND(LEN(N22)&gt;2,OR(LEFT(N22,2)="N1",RIGHT(N22,2)="N1")),0.5)+IF(AND(LEN(O22)&gt;2,OR(LEFT(O22,2)="N1",RIGHT(O22,2)="N1")),0.5)+IF(AND(LEN(P22)&gt;2,OR(LEFT(P22,2)="N1",RIGHT(P22,2)="N1")),0.5)+IF(AND(LEN(Q22)&gt;2,OR(LEFT(Q22,2)="N1",RIGHT(Q22,2)="N1")),0.5)+IF(AND(LEN(R22)&gt;2,OR(LEFT(R22,2)="N1",RIGHT(R22,2)="N1")),0.5)+IF(AND(LEN(S22)&gt;2,OR(LEFT(S22,2)="N1",RIGHT(S22,2)="N1")),0.5)+IF(AND(LEN(T22)&gt;2,OR(LEFT(T22,2)="N1",RIGHT(T22,2)="N1")),0.5)+IF(AND(LEN(U22)&gt;2,OR(LEFT(U22,2)="N1",RIGHT(U22,2)="N1")),0.5)+IF(AND(LEN(V22)&gt;2,OR(LEFT(V22,2)="N1",RIGHT(V22,2)="N1")),0.5)+IF(AND(LEN(W22)&gt;2,OR(LEFT(W22,2)="N1",RIGHT(W22,2)="N1")),0.5)+IF(AND(LEN(X22)&gt;2,OR(LEFT(X22,2)="N1",RIGHT(X22,2)="N1")),0.5)+IF(AND(LEN(Y22)&gt;2,OR(LEFT(Y22,2)="N1",RIGHT(Y22,2)="N1")),0.5)+IF(AND(LEN(Z22)&gt;2,OR(LEFT(Z22,2)="N1",RIGHT(Z22,2)="N1")),0.5)+IF(AND(LEN(AA22)&gt;2,OR(LEFT(AA22,2)="N1",RIGHT(AA22,2)="N1")),0.5)+IF(AND(LEN(AB22)&gt;2,OR(LEFT(AB22,2)="N1",RIGHT(AB22,2)="N1")),0.5)+IF(AND(LEN(AC22)&gt;2,OR(LEFT(AC22,2)="N1",RIGHT(AC22,2)="N1")),0.5)+IF(AND(LEN(AD22)&gt;2,OR(LEFT(AD22,2)="N1",RIGHT(AD22,2)="N1")),0.5)+IF(AND(LEN(AE22)&gt;2,OR(LEFT(AE22,2)="N1",RIGHT(AE22,2)="N1")),0.5)+IF(AND(LEN(AF22)&gt;2,OR(LEFT(AF22,2)="N1",RIGHT(AF22,2)="N1")),0.5)+IF(AND(LEN(AG22)&gt;2,OR(LEFT(AG22,2)="N1",RIGHT(AG22,2)="N1")),0.5)+IF(AND(LEN(AH22)&gt;2,OR(LEFT(AH22,2)="N1",RIGHT(AH22,2)="N1")),0.5)+IF(AND(LEN(AI22)&gt;2,OR(LEFT(AI22,2)="N1",RIGHT(AI22,2)="N1")),0.5)+IF(AND(LEN(AJ22)&gt;2,OR(LEFT(AJ22,2)="N1",RIGHT(AJ22,2)="N1")),0.5)+IF(AND(LEN(AK22)&gt;2,OR(LEFT(AK22,2)="N1",RIGHT(AK22,2)="N1")),0.5)+IF(AND(LEN(AL22)&gt;2,OR(LEFT(AL22,2)="N1",RIGHT(AL22,2)="N1")),0.5))</f>
        <v>0</v>
      </c>
      <c r="AO22" s="482">
        <f t="shared" ref="AO22" si="73">COUNTIF(H22:AL22,"ON")+COUNTIF(H22:AL22,"ON/2")/2</f>
        <v>0</v>
      </c>
      <c r="AP22" s="483">
        <f t="shared" ref="AP22" si="74">IF(F22="","",COUNTIF($H22:$AL22,AP$8))+IF(F22="","",COUNTIF($H22:$AL22,$V$5)/2)</f>
        <v>0</v>
      </c>
      <c r="AQ22" s="489">
        <f>COUNTIF($H22:$AL22,"P")+COUNTIF($H22:$AL22,"P1")/2+IF(AND(LEN(I22)&gt;2,OR(LEFT(I22,2)="P1",RIGHT(I22,2)="P1")),0.5)+IF(AND(LEN(J22)&gt;2,OR(LEFT(J22,2)="P1",RIGHT(J22,2)="P1")),0.5)+IF(AND(LEN(K22)&gt;2,OR(LEFT(K22,2)="P1",RIGHT(K22,2)="P1")),0.5)+IF(AND(LEN(L22)&gt;2,OR(LEFT(L22,2)="P1",RIGHT(L22,2)="P1")),0.5)+IF(AND(LEN(M22)&gt;2,OR(LEFT(M22,2)="P1",RIGHT(M22,2)="P1")),0.5)+IF(AND(LEN(N22)&gt;2,OR(LEFT(N22,2)="P1",RIGHT(N22,2)="P1")),0.5)+IF(AND(LEN(O22)&gt;2,OR(LEFT(O22,2)="P1",RIGHT(O22,2)="P1")),0.5)+IF(AND(LEN(P22)&gt;2,OR(LEFT(P22,2)="P1",RIGHT(P22,2)="P1")),0.5)+IF(AND(LEN(Q22)&gt;2,OR(LEFT(Q22,2)="P1",RIGHT(Q22,2)="P1")),0.5)+IF(AND(LEN(R22)&gt;2,OR(LEFT(R22,2)="P1",RIGHT(R22,2)="P1")),0.5)+IF(AND(LEN(S22)&gt;2,OR(LEFT(S22,2)="P1",RIGHT(S22,2)="P1")),0.5)+IF(AND(LEN(T22)&gt;2,OR(LEFT(T22,2)="P1",RIGHT(T22,2)="P1")),0.5)+IF(AND(LEN(U22)&gt;2,OR(LEFT(U22,2)="P1",RIGHT(U22,2)="P1")),0.5)+IF(AND(LEN(V22)&gt;2,OR(LEFT(V22,2)="P1",RIGHT(V22,2)="P1")),0.5)+IF(AND(LEN(W22)&gt;2,OR(LEFT(W22,2)="P1",RIGHT(W22,2)="P1")),0.5)+IF(AND(LEN(X22)&gt;2,OR(LEFT(X22,2)="P1",RIGHT(X22,2)="P1")),0.5)+IF(AND(LEN(Y22)&gt;2,OR(LEFT(Y22,2)="P1",RIGHT(Y22,2)="P1")),0.5)+IF(AND(LEN(Z22)&gt;2,OR(LEFT(Z22,2)="P1",RIGHT(Z22,2)="P1")),0.5)+IF(AND(LEN(AA22)&gt;2,OR(LEFT(AA22,2)="P1",RIGHT(AA22,2)="P1")),0.5)+IF(AND(LEN(AB22)&gt;2,OR(LEFT(AB22,2)="P1",RIGHT(AB22,2)="P1")),0.5)+IF(AND(LEN(AC22)&gt;2,OR(LEFT(AC22,2)="P1",RIGHT(AC22,2)="P1")),0.5)+IF(AND(LEN(AD22)&gt;2,OR(LEFT(AD22,2)="P1",RIGHT(AD22,2)="P1")),0.5)+IF(AND(LEN(AE22)&gt;2,OR(LEFT(AE372,2)="P1",RIGHT(AE22,2)="P1")),0.5)+IF(AND(LEN(AF22)&gt;2,OR(LEFT(AF22,2)="P1",RIGHT(AF22,2)="P1")),0.5)+IF(AND(LEN(AG22)&gt;2,OR(LEFT(AG22,2)="P1",RIGHT(AG22,2)="P1")),0.5)+IF(AND(LEN(AH22)&gt;2,OR(LEFT(AH22,2)="P1",RIGHT(AH22,2)="P1")),0.5)+IF(AND(LEN(AI22)&gt;2,OR(LEFT(AI22,2)="P1",RIGHT(AI22,2)="P1")),0.5)+IF(AND(LEN(AJ22)&gt;2,OR(LEFT(AJ22,2)="P1",RIGHT(AJ22,2)="P1")),0.5)+IF(AND(LEN(AK22)&gt;2,OR(LEFT(AK22,2)="P1",RIGHT(AK22,2)="P1")),0.5)+IF(AND(LEN(AL22)&gt;2,OR(LEFT(AL22,2)="P1",RIGHT(AL22,2)="P1")),0.5)</f>
        <v>0</v>
      </c>
      <c r="AR22" s="484">
        <f t="shared" ref="AR22" si="75">IF(G22="","",AM22+AN22+AP22+AQ22)</f>
        <v>21</v>
      </c>
      <c r="AS22" s="485">
        <f t="shared" ref="AS22" si="76">IF(F22="","",COUNTIF($H22:$AL22,AS$8))++IF(F22="","",COUNTIF($H22:$AL22,"L1")/2)</f>
        <v>1</v>
      </c>
      <c r="AT22" s="486">
        <f t="shared" ref="AT22" si="77">AU22-AR22-AS22</f>
        <v>0</v>
      </c>
      <c r="AU22" s="115">
        <v>22</v>
      </c>
      <c r="AV22" s="456"/>
    </row>
    <row r="23" spans="1:48" ht="39" customHeight="1" x14ac:dyDescent="0.25">
      <c r="A23" s="450">
        <f t="shared" si="4"/>
        <v>13</v>
      </c>
      <c r="B23" s="476" t="s">
        <v>392</v>
      </c>
      <c r="C23" s="381" t="s">
        <v>338</v>
      </c>
      <c r="D23" s="459" t="s">
        <v>349</v>
      </c>
      <c r="E23" s="490"/>
      <c r="F23" s="461" t="s">
        <v>394</v>
      </c>
      <c r="G23" s="478" t="s">
        <v>100</v>
      </c>
      <c r="H23" s="106" t="s">
        <v>81</v>
      </c>
      <c r="I23" s="479" t="s">
        <v>77</v>
      </c>
      <c r="J23" s="106" t="s">
        <v>83</v>
      </c>
      <c r="K23" s="106" t="s">
        <v>73</v>
      </c>
      <c r="L23" s="106" t="s">
        <v>73</v>
      </c>
      <c r="M23" s="479"/>
      <c r="N23" s="479"/>
      <c r="O23" s="106" t="s">
        <v>73</v>
      </c>
      <c r="P23" s="106" t="s">
        <v>73</v>
      </c>
      <c r="Q23" s="106" t="s">
        <v>74</v>
      </c>
      <c r="R23" s="106" t="s">
        <v>73</v>
      </c>
      <c r="S23" s="106" t="s">
        <v>73</v>
      </c>
      <c r="T23" s="479"/>
      <c r="U23" s="479"/>
      <c r="V23" s="106" t="s">
        <v>73</v>
      </c>
      <c r="W23" s="106" t="s">
        <v>73</v>
      </c>
      <c r="X23" s="106" t="s">
        <v>73</v>
      </c>
      <c r="Y23" s="106" t="s">
        <v>73</v>
      </c>
      <c r="Z23" s="106" t="s">
        <v>73</v>
      </c>
      <c r="AA23" s="479"/>
      <c r="AB23" s="479"/>
      <c r="AC23" s="106" t="s">
        <v>73</v>
      </c>
      <c r="AD23" s="106" t="s">
        <v>73</v>
      </c>
      <c r="AE23" s="106" t="s">
        <v>73</v>
      </c>
      <c r="AF23" s="106" t="s">
        <v>73</v>
      </c>
      <c r="AG23" s="106" t="s">
        <v>73</v>
      </c>
      <c r="AH23" s="479"/>
      <c r="AI23" s="479"/>
      <c r="AJ23" s="106" t="s">
        <v>73</v>
      </c>
      <c r="AK23" s="106" t="s">
        <v>73</v>
      </c>
      <c r="AL23" s="479"/>
      <c r="AM23" s="480">
        <f t="shared" ref="AM23:AM26" si="78">IF(F23="","",COUNTIF($H23:$AL23,AM$8))</f>
        <v>18</v>
      </c>
      <c r="AN23" s="481">
        <f t="shared" ref="AN23:AN26" si="79">IF(OR(G23="",G23="Đã nghỉ"),0,COUNTIF($H23:$AL23,"N1")/2++IF(AND(LEN(H23)&gt;2,OR(LEFT(H23,2)="N1",RIGHT(H23,2)="N1")),0.5)+IF(AND(LEN(I23)&gt;2,OR(LEFT(I23,2)="N1",RIGHT(I23,2)="N1")),0.5)+IF(AND(LEN(J23)&gt;2,OR(LEFT(J23,2)="N1",RIGHT(J23,2)="N1")),0.5)+IF(AND(LEN(K23)&gt;2,OR(LEFT(K23,2)="N1",RIGHT(K23,2)="N1")),0.5)+IF(AND(LEN(L23)&gt;2,OR(LEFT(L23,2)="N1",RIGHT(L23,2)="N1")),0.5)+IF(AND(LEN(M23)&gt;2,OR(LEFT(M23,2)="N1",RIGHT(M23,2)="N1")),0.5)+IF(AND(LEN(N23)&gt;2,OR(LEFT(N23,2)="N1",RIGHT(N23,2)="N1")),0.5)+IF(AND(LEN(O23)&gt;2,OR(LEFT(O23,2)="N1",RIGHT(O23,2)="N1")),0.5)+IF(AND(LEN(P23)&gt;2,OR(LEFT(P23,2)="N1",RIGHT(P23,2)="N1")),0.5)+IF(AND(LEN(Q23)&gt;2,OR(LEFT(Q23,2)="N1",RIGHT(Q23,2)="N1")),0.5)+IF(AND(LEN(R23)&gt;2,OR(LEFT(R23,2)="N1",RIGHT(R23,2)="N1")),0.5)+IF(AND(LEN(S23)&gt;2,OR(LEFT(S23,2)="N1",RIGHT(S23,2)="N1")),0.5)+IF(AND(LEN(T23)&gt;2,OR(LEFT(T23,2)="N1",RIGHT(T23,2)="N1")),0.5)+IF(AND(LEN(U23)&gt;2,OR(LEFT(U23,2)="N1",RIGHT(U23,2)="N1")),0.5)+IF(AND(LEN(V23)&gt;2,OR(LEFT(V23,2)="N1",RIGHT(V23,2)="N1")),0.5)+IF(AND(LEN(W23)&gt;2,OR(LEFT(W23,2)="N1",RIGHT(W23,2)="N1")),0.5)+IF(AND(LEN(X23)&gt;2,OR(LEFT(X23,2)="N1",RIGHT(X23,2)="N1")),0.5)+IF(AND(LEN(Y23)&gt;2,OR(LEFT(Y23,2)="N1",RIGHT(Y23,2)="N1")),0.5)+IF(AND(LEN(Z23)&gt;2,OR(LEFT(Z23,2)="N1",RIGHT(Z23,2)="N1")),0.5)+IF(AND(LEN(AA23)&gt;2,OR(LEFT(AA23,2)="N1",RIGHT(AA23,2)="N1")),0.5)+IF(AND(LEN(AB23)&gt;2,OR(LEFT(AB23,2)="N1",RIGHT(AB23,2)="N1")),0.5)+IF(AND(LEN(AC23)&gt;2,OR(LEFT(AC23,2)="N1",RIGHT(AC23,2)="N1")),0.5)+IF(AND(LEN(AD23)&gt;2,OR(LEFT(AD23,2)="N1",RIGHT(AD23,2)="N1")),0.5)+IF(AND(LEN(AE23)&gt;2,OR(LEFT(AE23,2)="N1",RIGHT(AE23,2)="N1")),0.5)+IF(AND(LEN(AF23)&gt;2,OR(LEFT(AF23,2)="N1",RIGHT(AF23,2)="N1")),0.5)+IF(AND(LEN(AG23)&gt;2,OR(LEFT(AG23,2)="N1",RIGHT(AG23,2)="N1")),0.5)+IF(AND(LEN(AH23)&gt;2,OR(LEFT(AH23,2)="N1",RIGHT(AH23,2)="N1")),0.5)+IF(AND(LEN(AI23)&gt;2,OR(LEFT(AI23,2)="N1",RIGHT(AI23,2)="N1")),0.5)+IF(AND(LEN(AJ23)&gt;2,OR(LEFT(AJ23,2)="N1",RIGHT(AJ23,2)="N1")),0.5)+IF(AND(LEN(AK23)&gt;2,OR(LEFT(AK23,2)="N1",RIGHT(AK23,2)="N1")),0.5)+IF(AND(LEN(AL23)&gt;2,OR(LEFT(AL23,2)="N1",RIGHT(AL23,2)="N1")),0.5))</f>
        <v>0.5</v>
      </c>
      <c r="AO23" s="482">
        <f t="shared" ref="AO23:AO26" si="80">COUNTIF(H23:AL23,"ON")+COUNTIF(H23:AL23,"ON/2")/2</f>
        <v>0</v>
      </c>
      <c r="AP23" s="483">
        <f t="shared" ref="AP23:AP26" si="81">IF(F23="","",COUNTIF($H23:$AL23,AP$8))+IF(F23="","",COUNTIF($H23:$AL23,$V$5)/2)</f>
        <v>0</v>
      </c>
      <c r="AQ23" s="489">
        <f t="shared" ref="AQ23:AQ26" si="82">COUNTIF($H23:$AL23,"P")+COUNTIF($H23:$AL23,"P1")/2+IF(AND(LEN(I23)&gt;2,OR(LEFT(I23,2)="P1",RIGHT(I23,2)="P1")),0.5)+IF(AND(LEN(J23)&gt;2,OR(LEFT(J23,2)="P1",RIGHT(J23,2)="P1")),0.5)+IF(AND(LEN(K23)&gt;2,OR(LEFT(K23,2)="P1",RIGHT(K23,2)="P1")),0.5)+IF(AND(LEN(L23)&gt;2,OR(LEFT(L23,2)="P1",RIGHT(L23,2)="P1")),0.5)+IF(AND(LEN(M23)&gt;2,OR(LEFT(M23,2)="P1",RIGHT(M23,2)="P1")),0.5)+IF(AND(LEN(N23)&gt;2,OR(LEFT(N23,2)="P1",RIGHT(N23,2)="P1")),0.5)+IF(AND(LEN(O23)&gt;2,OR(LEFT(O23,2)="P1",RIGHT(O23,2)="P1")),0.5)+IF(AND(LEN(P23)&gt;2,OR(LEFT(P23,2)="P1",RIGHT(P23,2)="P1")),0.5)+IF(AND(LEN(Q23)&gt;2,OR(LEFT(Q23,2)="P1",RIGHT(Q23,2)="P1")),0.5)+IF(AND(LEN(R23)&gt;2,OR(LEFT(R23,2)="P1",RIGHT(R23,2)="P1")),0.5)+IF(AND(LEN(S23)&gt;2,OR(LEFT(S23,2)="P1",RIGHT(S23,2)="P1")),0.5)+IF(AND(LEN(T23)&gt;2,OR(LEFT(T23,2)="P1",RIGHT(T23,2)="P1")),0.5)+IF(AND(LEN(U23)&gt;2,OR(LEFT(U23,2)="P1",RIGHT(U23,2)="P1")),0.5)+IF(AND(LEN(V23)&gt;2,OR(LEFT(V23,2)="P1",RIGHT(V23,2)="P1")),0.5)+IF(AND(LEN(W23)&gt;2,OR(LEFT(W23,2)="P1",RIGHT(W23,2)="P1")),0.5)+IF(AND(LEN(X23)&gt;2,OR(LEFT(X23,2)="P1",RIGHT(X23,2)="P1")),0.5)+IF(AND(LEN(Y23)&gt;2,OR(LEFT(Y23,2)="P1",RIGHT(Y23,2)="P1")),0.5)+IF(AND(LEN(Z23)&gt;2,OR(LEFT(Z23,2)="P1",RIGHT(Z23,2)="P1")),0.5)+IF(AND(LEN(AA23)&gt;2,OR(LEFT(AA23,2)="P1",RIGHT(AA23,2)="P1")),0.5)+IF(AND(LEN(AB23)&gt;2,OR(LEFT(AB23,2)="P1",RIGHT(AB23,2)="P1")),0.5)+IF(AND(LEN(AC23)&gt;2,OR(LEFT(AC23,2)="P1",RIGHT(AC23,2)="P1")),0.5)+IF(AND(LEN(AD23)&gt;2,OR(LEFT(AD23,2)="P1",RIGHT(AD23,2)="P1")),0.5)+IF(AND(LEN(AE23)&gt;2,OR(LEFT(AE373,2)="P1",RIGHT(AE23,2)="P1")),0.5)+IF(AND(LEN(AF23)&gt;2,OR(LEFT(AF23,2)="P1",RIGHT(AF23,2)="P1")),0.5)+IF(AND(LEN(AG23)&gt;2,OR(LEFT(AG23,2)="P1",RIGHT(AG23,2)="P1")),0.5)+IF(AND(LEN(AH23)&gt;2,OR(LEFT(AH23,2)="P1",RIGHT(AH23,2)="P1")),0.5)+IF(AND(LEN(AI23)&gt;2,OR(LEFT(AI23,2)="P1",RIGHT(AI23,2)="P1")),0.5)+IF(AND(LEN(AJ23)&gt;2,OR(LEFT(AJ23,2)="P1",RIGHT(AJ23,2)="P1")),0.5)+IF(AND(LEN(AK23)&gt;2,OR(LEFT(AK23,2)="P1",RIGHT(AK23,2)="P1")),0.5)+IF(AND(LEN(AL23)&gt;2,OR(LEFT(AL23,2)="P1",RIGHT(AL23,2)="P1")),0.5)</f>
        <v>1</v>
      </c>
      <c r="AR23" s="484">
        <f t="shared" ref="AR23:AR26" si="83">IF(G23="","",AM23+AN23+AP23+AQ23)</f>
        <v>19.5</v>
      </c>
      <c r="AS23" s="485">
        <f t="shared" ref="AS23:AS26" si="84">IF(F23="","",COUNTIF($H23:$AL23,AS$8))++IF(F23="","",COUNTIF($H23:$AL23,"L1")/2)</f>
        <v>1</v>
      </c>
      <c r="AT23" s="486">
        <f t="shared" ref="AT23:AT26" si="85">AU23-AR23-AS23</f>
        <v>1.5</v>
      </c>
      <c r="AU23" s="115">
        <v>22</v>
      </c>
      <c r="AV23" s="456"/>
    </row>
    <row r="24" spans="1:48" ht="39" customHeight="1" x14ac:dyDescent="0.25">
      <c r="A24" s="450">
        <f t="shared" si="4"/>
        <v>14</v>
      </c>
      <c r="B24" s="476" t="s">
        <v>393</v>
      </c>
      <c r="C24" s="389" t="s">
        <v>338</v>
      </c>
      <c r="D24" s="389" t="s">
        <v>349</v>
      </c>
      <c r="E24" s="477"/>
      <c r="F24" s="374" t="s">
        <v>395</v>
      </c>
      <c r="G24" s="478" t="s">
        <v>100</v>
      </c>
      <c r="H24" s="106" t="s">
        <v>81</v>
      </c>
      <c r="I24" s="479" t="s">
        <v>77</v>
      </c>
      <c r="J24" s="106" t="s">
        <v>73</v>
      </c>
      <c r="K24" s="106" t="s">
        <v>73</v>
      </c>
      <c r="L24" s="106" t="s">
        <v>73</v>
      </c>
      <c r="M24" s="479"/>
      <c r="N24" s="479"/>
      <c r="O24" s="106" t="s">
        <v>73</v>
      </c>
      <c r="P24" s="106" t="s">
        <v>73</v>
      </c>
      <c r="Q24" s="106" t="s">
        <v>73</v>
      </c>
      <c r="R24" s="106" t="s">
        <v>73</v>
      </c>
      <c r="S24" s="106" t="s">
        <v>73</v>
      </c>
      <c r="T24" s="479"/>
      <c r="U24" s="479"/>
      <c r="V24" s="106" t="s">
        <v>73</v>
      </c>
      <c r="W24" s="106" t="s">
        <v>73</v>
      </c>
      <c r="X24" s="106" t="s">
        <v>73</v>
      </c>
      <c r="Y24" s="106" t="s">
        <v>73</v>
      </c>
      <c r="Z24" s="106" t="s">
        <v>73</v>
      </c>
      <c r="AA24" s="479"/>
      <c r="AB24" s="479"/>
      <c r="AC24" s="106" t="s">
        <v>73</v>
      </c>
      <c r="AD24" s="106" t="s">
        <v>73</v>
      </c>
      <c r="AE24" s="106" t="s">
        <v>73</v>
      </c>
      <c r="AF24" s="106" t="s">
        <v>73</v>
      </c>
      <c r="AG24" s="106" t="s">
        <v>73</v>
      </c>
      <c r="AH24" s="479"/>
      <c r="AI24" s="479"/>
      <c r="AJ24" s="106" t="s">
        <v>73</v>
      </c>
      <c r="AK24" s="106" t="s">
        <v>73</v>
      </c>
      <c r="AL24" s="479"/>
      <c r="AM24" s="480">
        <f t="shared" si="78"/>
        <v>20</v>
      </c>
      <c r="AN24" s="481">
        <f t="shared" si="79"/>
        <v>0</v>
      </c>
      <c r="AO24" s="482">
        <f t="shared" si="80"/>
        <v>0</v>
      </c>
      <c r="AP24" s="483">
        <f t="shared" si="81"/>
        <v>0</v>
      </c>
      <c r="AQ24" s="489">
        <f t="shared" si="82"/>
        <v>1</v>
      </c>
      <c r="AR24" s="484">
        <f t="shared" si="83"/>
        <v>21</v>
      </c>
      <c r="AS24" s="485">
        <f t="shared" si="84"/>
        <v>1</v>
      </c>
      <c r="AT24" s="486">
        <f t="shared" si="85"/>
        <v>0</v>
      </c>
      <c r="AU24" s="115">
        <v>22</v>
      </c>
      <c r="AV24" s="456"/>
    </row>
    <row r="25" spans="1:48" ht="39" customHeight="1" x14ac:dyDescent="0.25">
      <c r="A25" s="450">
        <f t="shared" si="4"/>
        <v>15</v>
      </c>
      <c r="B25" s="476" t="s">
        <v>396</v>
      </c>
      <c r="C25" s="389" t="s">
        <v>338</v>
      </c>
      <c r="D25" s="389" t="s">
        <v>349</v>
      </c>
      <c r="E25" s="477"/>
      <c r="F25" s="374" t="s">
        <v>397</v>
      </c>
      <c r="G25" s="478" t="s">
        <v>398</v>
      </c>
      <c r="H25" s="106"/>
      <c r="I25" s="106" t="s">
        <v>73</v>
      </c>
      <c r="J25" s="106" t="s">
        <v>73</v>
      </c>
      <c r="K25" s="106" t="s">
        <v>73</v>
      </c>
      <c r="L25" s="106" t="s">
        <v>73</v>
      </c>
      <c r="M25" s="479"/>
      <c r="N25" s="479"/>
      <c r="O25" s="106" t="s">
        <v>73</v>
      </c>
      <c r="P25" s="106" t="s">
        <v>73</v>
      </c>
      <c r="Q25" s="106" t="s">
        <v>73</v>
      </c>
      <c r="R25" s="106" t="s">
        <v>73</v>
      </c>
      <c r="S25" s="106" t="s">
        <v>73</v>
      </c>
      <c r="T25" s="479"/>
      <c r="U25" s="479"/>
      <c r="V25" s="106" t="s">
        <v>73</v>
      </c>
      <c r="W25" s="106" t="s">
        <v>73</v>
      </c>
      <c r="X25" s="106" t="s">
        <v>73</v>
      </c>
      <c r="Y25" s="479" t="s">
        <v>74</v>
      </c>
      <c r="Z25" s="106" t="s">
        <v>73</v>
      </c>
      <c r="AA25" s="479"/>
      <c r="AB25" s="479"/>
      <c r="AC25" s="106" t="s">
        <v>73</v>
      </c>
      <c r="AD25" s="106" t="s">
        <v>73</v>
      </c>
      <c r="AE25" s="106" t="s">
        <v>73</v>
      </c>
      <c r="AF25" s="106" t="s">
        <v>73</v>
      </c>
      <c r="AG25" s="106" t="s">
        <v>73</v>
      </c>
      <c r="AH25" s="479"/>
      <c r="AI25" s="479"/>
      <c r="AJ25" s="106" t="s">
        <v>73</v>
      </c>
      <c r="AK25" s="106" t="s">
        <v>73</v>
      </c>
      <c r="AL25" s="479"/>
      <c r="AM25" s="480">
        <f t="shared" si="78"/>
        <v>20</v>
      </c>
      <c r="AN25" s="481">
        <f t="shared" si="79"/>
        <v>0.5</v>
      </c>
      <c r="AO25" s="482">
        <f t="shared" si="80"/>
        <v>0</v>
      </c>
      <c r="AP25" s="483">
        <f t="shared" si="81"/>
        <v>0</v>
      </c>
      <c r="AQ25" s="489">
        <f t="shared" si="82"/>
        <v>0</v>
      </c>
      <c r="AR25" s="484">
        <f t="shared" si="83"/>
        <v>20.5</v>
      </c>
      <c r="AS25" s="485">
        <f t="shared" si="84"/>
        <v>0</v>
      </c>
      <c r="AT25" s="486">
        <f t="shared" si="85"/>
        <v>1.5</v>
      </c>
      <c r="AU25" s="115">
        <v>22</v>
      </c>
      <c r="AV25" s="456"/>
    </row>
    <row r="26" spans="1:48" ht="39" customHeight="1" x14ac:dyDescent="0.25">
      <c r="A26" s="450">
        <v>16</v>
      </c>
      <c r="B26" s="476" t="s">
        <v>406</v>
      </c>
      <c r="C26" s="389" t="s">
        <v>320</v>
      </c>
      <c r="D26" s="389" t="s">
        <v>324</v>
      </c>
      <c r="E26" s="477"/>
      <c r="F26" s="374" t="s">
        <v>407</v>
      </c>
      <c r="G26" s="478" t="s">
        <v>398</v>
      </c>
      <c r="H26" s="106"/>
      <c r="I26" s="479"/>
      <c r="J26" s="479"/>
      <c r="K26" s="479"/>
      <c r="L26" s="479"/>
      <c r="M26" s="479"/>
      <c r="N26" s="479"/>
      <c r="O26" s="479"/>
      <c r="P26" s="479"/>
      <c r="Q26" s="479"/>
      <c r="R26" s="479"/>
      <c r="S26" s="479"/>
      <c r="T26" s="479"/>
      <c r="U26" s="479"/>
      <c r="V26" s="479"/>
      <c r="W26" s="479"/>
      <c r="X26" s="479"/>
      <c r="Y26" s="479"/>
      <c r="Z26" s="479"/>
      <c r="AA26" s="479"/>
      <c r="AB26" s="479"/>
      <c r="AC26" s="479"/>
      <c r="AD26" s="479"/>
      <c r="AE26" s="479"/>
      <c r="AF26" s="479"/>
      <c r="AG26" s="479"/>
      <c r="AH26" s="479"/>
      <c r="AI26" s="479"/>
      <c r="AJ26" s="479" t="s">
        <v>73</v>
      </c>
      <c r="AK26" s="479" t="s">
        <v>73</v>
      </c>
      <c r="AL26" s="479"/>
      <c r="AM26" s="480">
        <f t="shared" si="78"/>
        <v>2</v>
      </c>
      <c r="AN26" s="481">
        <f t="shared" si="79"/>
        <v>0</v>
      </c>
      <c r="AO26" s="482">
        <f t="shared" si="80"/>
        <v>0</v>
      </c>
      <c r="AP26" s="483">
        <f t="shared" si="81"/>
        <v>0</v>
      </c>
      <c r="AQ26" s="489">
        <f t="shared" si="82"/>
        <v>0</v>
      </c>
      <c r="AR26" s="484">
        <f t="shared" si="83"/>
        <v>2</v>
      </c>
      <c r="AS26" s="485">
        <f t="shared" si="84"/>
        <v>0</v>
      </c>
      <c r="AT26" s="486">
        <f t="shared" si="85"/>
        <v>20</v>
      </c>
      <c r="AU26" s="115">
        <v>22</v>
      </c>
      <c r="AV26" s="456"/>
    </row>
    <row r="27" spans="1:48" ht="21.75" customHeight="1" x14ac:dyDescent="0.25">
      <c r="A27" s="455" t="s">
        <v>51</v>
      </c>
      <c r="B27" s="455"/>
      <c r="C27" s="455"/>
      <c r="D27" s="455"/>
      <c r="E27" s="455"/>
      <c r="F27" s="455"/>
      <c r="G27" s="455"/>
      <c r="H27" s="472"/>
      <c r="I27" s="472"/>
      <c r="J27" s="473"/>
      <c r="K27" s="472"/>
      <c r="L27" s="472"/>
      <c r="M27" s="472"/>
      <c r="N27" s="472"/>
      <c r="O27" s="472"/>
      <c r="P27" s="472"/>
      <c r="Q27" s="473"/>
      <c r="R27" s="472"/>
      <c r="S27" s="472"/>
      <c r="T27" s="472"/>
      <c r="U27" s="472"/>
      <c r="V27" s="472"/>
      <c r="W27" s="474"/>
      <c r="X27" s="473"/>
      <c r="Y27" s="472"/>
      <c r="Z27" s="472"/>
      <c r="AA27" s="472"/>
      <c r="AB27" s="472"/>
      <c r="AC27" s="472"/>
      <c r="AD27" s="474"/>
      <c r="AE27" s="473"/>
      <c r="AF27" s="472"/>
      <c r="AG27" s="472"/>
      <c r="AH27" s="472"/>
      <c r="AI27" s="472"/>
      <c r="AJ27" s="472"/>
      <c r="AK27" s="474"/>
      <c r="AL27" s="473"/>
      <c r="AM27" s="475">
        <f>SUBTOTAL(9,AM11:AM11)</f>
        <v>21</v>
      </c>
      <c r="AN27" s="475">
        <f>SUBTOTAL(9,AN11:AN19)</f>
        <v>2.5</v>
      </c>
      <c r="AO27" s="475">
        <f>SUBTOTAL(9,AO11:AO19)</f>
        <v>0</v>
      </c>
      <c r="AP27" s="475">
        <f>SUBTOTAL(9,AP11:AP19)</f>
        <v>0</v>
      </c>
      <c r="AQ27" s="475">
        <f>SUBTOTAL(9,AQ11:AQ11)</f>
        <v>0</v>
      </c>
      <c r="AR27" s="475">
        <f>SUBTOTAL(9,AR11:AR19)</f>
        <v>185</v>
      </c>
      <c r="AS27" s="475">
        <f>SUBTOTAL(9,AS11:AS19)</f>
        <v>9</v>
      </c>
      <c r="AT27" s="475">
        <f>SUBTOTAL(9,AT11:AT19)</f>
        <v>4</v>
      </c>
      <c r="AU27" s="475">
        <f>SUBTOTAL(9,AU11:AU19)</f>
        <v>198</v>
      </c>
      <c r="AV27" s="119"/>
    </row>
    <row r="28" spans="1:48" ht="14.25" customHeight="1" x14ac:dyDescent="0.25">
      <c r="A28" s="120"/>
      <c r="B28" s="121" t="s">
        <v>104</v>
      </c>
      <c r="C28" s="122">
        <f t="shared" ref="C28:AV28" si="86">B28+1</f>
        <v>2</v>
      </c>
      <c r="D28" s="122">
        <f t="shared" si="86"/>
        <v>3</v>
      </c>
      <c r="E28" s="122">
        <f t="shared" si="86"/>
        <v>4</v>
      </c>
      <c r="F28" s="122">
        <f t="shared" si="86"/>
        <v>5</v>
      </c>
      <c r="G28" s="122">
        <f t="shared" si="86"/>
        <v>6</v>
      </c>
      <c r="H28" s="122">
        <f t="shared" si="86"/>
        <v>7</v>
      </c>
      <c r="I28" s="122">
        <f t="shared" si="86"/>
        <v>8</v>
      </c>
      <c r="J28" s="122">
        <f t="shared" si="86"/>
        <v>9</v>
      </c>
      <c r="K28" s="122">
        <f t="shared" si="86"/>
        <v>10</v>
      </c>
      <c r="L28" s="122">
        <f t="shared" si="86"/>
        <v>11</v>
      </c>
      <c r="M28" s="122">
        <f t="shared" si="86"/>
        <v>12</v>
      </c>
      <c r="N28" s="122">
        <f t="shared" si="86"/>
        <v>13</v>
      </c>
      <c r="O28" s="122">
        <f t="shared" si="86"/>
        <v>14</v>
      </c>
      <c r="P28" s="122">
        <f t="shared" si="86"/>
        <v>15</v>
      </c>
      <c r="Q28" s="122">
        <f t="shared" si="86"/>
        <v>16</v>
      </c>
      <c r="R28" s="122">
        <f t="shared" si="86"/>
        <v>17</v>
      </c>
      <c r="S28" s="122">
        <f t="shared" si="86"/>
        <v>18</v>
      </c>
      <c r="T28" s="122">
        <f t="shared" si="86"/>
        <v>19</v>
      </c>
      <c r="U28" s="122">
        <f t="shared" si="86"/>
        <v>20</v>
      </c>
      <c r="V28" s="122">
        <f t="shared" si="86"/>
        <v>21</v>
      </c>
      <c r="W28" s="122">
        <f t="shared" si="86"/>
        <v>22</v>
      </c>
      <c r="X28" s="122">
        <f t="shared" si="86"/>
        <v>23</v>
      </c>
      <c r="Y28" s="122">
        <f t="shared" si="86"/>
        <v>24</v>
      </c>
      <c r="Z28" s="122">
        <f t="shared" si="86"/>
        <v>25</v>
      </c>
      <c r="AA28" s="122">
        <f t="shared" si="86"/>
        <v>26</v>
      </c>
      <c r="AB28" s="122">
        <f t="shared" si="86"/>
        <v>27</v>
      </c>
      <c r="AC28" s="122">
        <f t="shared" si="86"/>
        <v>28</v>
      </c>
      <c r="AD28" s="122">
        <f t="shared" si="86"/>
        <v>29</v>
      </c>
      <c r="AE28" s="122">
        <f t="shared" si="86"/>
        <v>30</v>
      </c>
      <c r="AF28" s="122">
        <f t="shared" si="86"/>
        <v>31</v>
      </c>
      <c r="AG28" s="122">
        <f t="shared" si="86"/>
        <v>32</v>
      </c>
      <c r="AH28" s="122">
        <f t="shared" si="86"/>
        <v>33</v>
      </c>
      <c r="AI28" s="122">
        <f t="shared" si="86"/>
        <v>34</v>
      </c>
      <c r="AJ28" s="122">
        <f t="shared" si="86"/>
        <v>35</v>
      </c>
      <c r="AK28" s="122">
        <f t="shared" si="86"/>
        <v>36</v>
      </c>
      <c r="AL28" s="122">
        <f t="shared" si="86"/>
        <v>37</v>
      </c>
      <c r="AM28" s="122">
        <f>AL28+1</f>
        <v>38</v>
      </c>
      <c r="AN28" s="122">
        <f t="shared" si="86"/>
        <v>39</v>
      </c>
      <c r="AO28" s="122">
        <f t="shared" si="86"/>
        <v>40</v>
      </c>
      <c r="AP28" s="122">
        <f t="shared" si="86"/>
        <v>41</v>
      </c>
      <c r="AQ28" s="122">
        <f t="shared" si="86"/>
        <v>42</v>
      </c>
      <c r="AR28" s="122">
        <f t="shared" si="86"/>
        <v>43</v>
      </c>
      <c r="AS28" s="122">
        <f t="shared" si="86"/>
        <v>44</v>
      </c>
      <c r="AT28" s="122">
        <f t="shared" si="86"/>
        <v>45</v>
      </c>
      <c r="AU28" s="122">
        <f t="shared" si="86"/>
        <v>46</v>
      </c>
      <c r="AV28" s="122">
        <f t="shared" si="86"/>
        <v>47</v>
      </c>
    </row>
    <row r="29" spans="1:48" ht="21.75" customHeight="1" x14ac:dyDescent="0.25">
      <c r="A29" s="120"/>
      <c r="B29" s="121"/>
      <c r="C29" s="123"/>
      <c r="D29" s="123"/>
      <c r="E29" s="118"/>
      <c r="F29" s="124"/>
      <c r="G29" s="120"/>
      <c r="H29" s="125"/>
      <c r="I29" s="125"/>
      <c r="J29" s="125"/>
      <c r="K29" s="125"/>
      <c r="L29" s="125"/>
      <c r="M29" s="125"/>
      <c r="N29" s="125"/>
      <c r="O29" s="125"/>
      <c r="P29" s="125"/>
      <c r="Q29" s="125"/>
      <c r="R29" s="125"/>
      <c r="S29" s="125"/>
      <c r="T29" s="125"/>
      <c r="U29" s="125"/>
      <c r="V29" s="125"/>
      <c r="W29" s="125"/>
      <c r="X29" s="125"/>
      <c r="Y29" s="125"/>
      <c r="Z29" s="125"/>
      <c r="AA29" s="125"/>
      <c r="AB29" s="125"/>
      <c r="AC29" s="125"/>
      <c r="AJ29" s="126"/>
      <c r="AK29" s="126"/>
      <c r="AL29" s="126"/>
      <c r="AM29" s="557" t="s">
        <v>346</v>
      </c>
      <c r="AN29" s="509"/>
      <c r="AO29" s="509"/>
      <c r="AP29" s="509"/>
      <c r="AQ29" s="509"/>
      <c r="AR29" s="509"/>
      <c r="AS29" s="510"/>
      <c r="AT29" s="127"/>
      <c r="AU29" s="128"/>
      <c r="AV29" s="129"/>
    </row>
    <row r="30" spans="1:48" ht="32.25" customHeight="1" x14ac:dyDescent="0.25">
      <c r="A30" s="120"/>
      <c r="B30" s="121"/>
      <c r="C30" s="130"/>
      <c r="D30" s="577" t="s">
        <v>99</v>
      </c>
      <c r="E30" s="507"/>
      <c r="F30" s="507"/>
      <c r="G30" s="130"/>
      <c r="I30" s="130"/>
      <c r="J30" s="132"/>
      <c r="K30" s="132"/>
      <c r="L30" s="132"/>
      <c r="M30" s="556" t="s">
        <v>105</v>
      </c>
      <c r="N30" s="509"/>
      <c r="O30" s="509"/>
      <c r="P30" s="509"/>
      <c r="Q30" s="509"/>
      <c r="R30" s="509"/>
      <c r="S30" s="509"/>
      <c r="T30" s="509"/>
      <c r="U30" s="510"/>
      <c r="V30" s="133"/>
      <c r="W30" s="133"/>
      <c r="X30" s="133"/>
      <c r="Y30" s="133"/>
      <c r="Z30" s="556" t="s">
        <v>106</v>
      </c>
      <c r="AA30" s="509"/>
      <c r="AB30" s="509"/>
      <c r="AC30" s="509"/>
      <c r="AD30" s="509"/>
      <c r="AE30" s="509"/>
      <c r="AF30" s="509"/>
      <c r="AG30" s="509"/>
      <c r="AH30" s="510"/>
      <c r="AJ30" s="134"/>
      <c r="AK30" s="134"/>
      <c r="AL30" s="134"/>
      <c r="AM30" s="556" t="s">
        <v>38</v>
      </c>
      <c r="AN30" s="509"/>
      <c r="AO30" s="509"/>
      <c r="AP30" s="509"/>
      <c r="AQ30" s="509"/>
      <c r="AR30" s="509"/>
      <c r="AS30" s="510"/>
      <c r="AT30" s="127"/>
      <c r="AU30" s="128"/>
      <c r="AV30" s="129"/>
    </row>
    <row r="31" spans="1:48" ht="33.75" customHeight="1" x14ac:dyDescent="0.25">
      <c r="A31" s="120"/>
      <c r="B31" s="121"/>
      <c r="C31" s="123"/>
      <c r="D31" s="125"/>
      <c r="E31" s="125"/>
      <c r="F31" s="125"/>
      <c r="G31" s="131"/>
      <c r="H31" s="125"/>
      <c r="I31" s="125"/>
      <c r="J31" s="125"/>
      <c r="K31" s="125"/>
      <c r="L31" s="125"/>
      <c r="M31" s="125"/>
      <c r="N31" s="125"/>
      <c r="O31" s="125"/>
      <c r="P31" s="125"/>
      <c r="Q31" s="125"/>
      <c r="R31" s="125"/>
      <c r="S31" s="125"/>
      <c r="T31" s="125"/>
      <c r="V31" s="125"/>
      <c r="W31" s="125"/>
      <c r="X31" s="125"/>
      <c r="Y31" s="125"/>
      <c r="Z31" s="125"/>
      <c r="AA31" s="125"/>
      <c r="AB31" s="125"/>
      <c r="AC31" s="125"/>
      <c r="AD31" s="125"/>
      <c r="AE31" s="125"/>
      <c r="AF31" s="125"/>
      <c r="AG31" s="125"/>
      <c r="AH31" s="125"/>
      <c r="AI31" s="125"/>
      <c r="AJ31" s="125"/>
      <c r="AK31" s="125"/>
      <c r="AL31" s="125"/>
      <c r="AM31" s="125"/>
      <c r="AN31" s="125"/>
      <c r="AO31" s="125"/>
      <c r="AP31" s="135"/>
      <c r="AQ31" s="136"/>
      <c r="AR31" s="137"/>
      <c r="AS31" s="138"/>
      <c r="AT31" s="127"/>
      <c r="AU31" s="128"/>
      <c r="AV31" s="129"/>
    </row>
    <row r="32" spans="1:48" ht="33.75" customHeight="1" x14ac:dyDescent="0.25">
      <c r="A32" s="120"/>
      <c r="B32" s="121"/>
      <c r="C32" s="130"/>
      <c r="D32" s="577"/>
      <c r="E32" s="507"/>
      <c r="F32" s="507"/>
      <c r="G32" s="130"/>
      <c r="H32" s="130"/>
      <c r="I32" s="132"/>
      <c r="J32" s="132"/>
      <c r="K32" s="132"/>
      <c r="L32" s="132"/>
      <c r="M32" s="556"/>
      <c r="N32" s="509"/>
      <c r="O32" s="509"/>
      <c r="P32" s="509"/>
      <c r="Q32" s="509"/>
      <c r="R32" s="509"/>
      <c r="S32" s="509"/>
      <c r="T32" s="509"/>
      <c r="U32" s="510"/>
      <c r="V32" s="133"/>
      <c r="W32" s="133"/>
      <c r="X32" s="133"/>
      <c r="Y32" s="133"/>
      <c r="Z32" s="133"/>
      <c r="AC32" s="556"/>
      <c r="AD32" s="509"/>
      <c r="AE32" s="509"/>
      <c r="AF32" s="509"/>
      <c r="AG32" s="509"/>
      <c r="AH32" s="510"/>
      <c r="AJ32" s="134"/>
      <c r="AK32" s="134"/>
      <c r="AL32" s="134"/>
      <c r="AM32" s="556"/>
      <c r="AN32" s="509"/>
      <c r="AO32" s="509"/>
      <c r="AP32" s="509"/>
      <c r="AQ32" s="509"/>
      <c r="AR32" s="509"/>
      <c r="AS32" s="510"/>
      <c r="AT32" s="127"/>
      <c r="AU32" s="128"/>
      <c r="AV32" s="129"/>
    </row>
    <row r="33" spans="2:7" ht="15.75" customHeight="1" x14ac:dyDescent="0.25">
      <c r="B33" s="139"/>
      <c r="G33" s="140"/>
    </row>
    <row r="34" spans="2:7" ht="15.75" customHeight="1" x14ac:dyDescent="0.25">
      <c r="B34" s="139"/>
      <c r="G34" s="140"/>
    </row>
    <row r="35" spans="2:7" ht="15.75" customHeight="1" x14ac:dyDescent="0.25">
      <c r="B35" s="139"/>
      <c r="G35" s="140"/>
    </row>
    <row r="36" spans="2:7" ht="15.75" customHeight="1" x14ac:dyDescent="0.25">
      <c r="B36" s="139"/>
      <c r="G36" s="140"/>
    </row>
    <row r="37" spans="2:7" ht="15.75" customHeight="1" x14ac:dyDescent="0.25">
      <c r="B37" s="139"/>
      <c r="G37" s="140"/>
    </row>
    <row r="38" spans="2:7" ht="15.75" customHeight="1" x14ac:dyDescent="0.25">
      <c r="B38" s="139"/>
      <c r="G38" s="140"/>
    </row>
    <row r="39" spans="2:7" ht="15.75" customHeight="1" x14ac:dyDescent="0.25">
      <c r="B39" s="139"/>
      <c r="G39" s="140"/>
    </row>
    <row r="40" spans="2:7" ht="15.75" customHeight="1" x14ac:dyDescent="0.25">
      <c r="B40" s="139"/>
      <c r="G40" s="140"/>
    </row>
    <row r="41" spans="2:7" ht="15.75" customHeight="1" x14ac:dyDescent="0.25">
      <c r="B41" s="139"/>
      <c r="G41" s="140"/>
    </row>
    <row r="42" spans="2:7" ht="15.75" customHeight="1" x14ac:dyDescent="0.25">
      <c r="B42" s="139"/>
      <c r="G42" s="140"/>
    </row>
    <row r="43" spans="2:7" ht="15.75" customHeight="1" x14ac:dyDescent="0.25">
      <c r="B43" s="139"/>
      <c r="G43" s="140"/>
    </row>
    <row r="44" spans="2:7" ht="15.75" customHeight="1" x14ac:dyDescent="0.25">
      <c r="B44" s="139"/>
      <c r="G44" s="140"/>
    </row>
    <row r="45" spans="2:7" ht="15.75" customHeight="1" x14ac:dyDescent="0.25">
      <c r="B45" s="139"/>
      <c r="G45" s="140"/>
    </row>
    <row r="46" spans="2:7" ht="15.75" customHeight="1" x14ac:dyDescent="0.25">
      <c r="B46" s="139"/>
      <c r="G46" s="140"/>
    </row>
    <row r="47" spans="2:7" ht="15.75" customHeight="1" x14ac:dyDescent="0.25">
      <c r="B47" s="139"/>
      <c r="G47" s="140"/>
    </row>
    <row r="48" spans="2:7" ht="15.75" customHeight="1" x14ac:dyDescent="0.25">
      <c r="B48" s="139"/>
      <c r="G48" s="140"/>
    </row>
    <row r="49" spans="2:7" ht="15.75" customHeight="1" x14ac:dyDescent="0.25">
      <c r="B49" s="139"/>
      <c r="G49" s="140"/>
    </row>
    <row r="50" spans="2:7" ht="15.75" customHeight="1" x14ac:dyDescent="0.25">
      <c r="B50" s="139"/>
      <c r="G50" s="140"/>
    </row>
    <row r="51" spans="2:7" ht="15.75" customHeight="1" x14ac:dyDescent="0.25">
      <c r="B51" s="139"/>
      <c r="G51" s="140"/>
    </row>
    <row r="52" spans="2:7" ht="15.75" customHeight="1" x14ac:dyDescent="0.25">
      <c r="B52" s="139"/>
      <c r="G52" s="140"/>
    </row>
    <row r="53" spans="2:7" ht="15.75" customHeight="1" x14ac:dyDescent="0.25">
      <c r="B53" s="139"/>
      <c r="G53" s="140"/>
    </row>
    <row r="54" spans="2:7" ht="15.75" customHeight="1" x14ac:dyDescent="0.25">
      <c r="B54" s="139"/>
      <c r="G54" s="140"/>
    </row>
    <row r="55" spans="2:7" ht="15.75" customHeight="1" x14ac:dyDescent="0.25">
      <c r="B55" s="139"/>
      <c r="G55" s="140"/>
    </row>
    <row r="56" spans="2:7" ht="15.75" customHeight="1" x14ac:dyDescent="0.25">
      <c r="B56" s="139"/>
      <c r="G56" s="140"/>
    </row>
    <row r="57" spans="2:7" ht="15.75" customHeight="1" x14ac:dyDescent="0.25">
      <c r="B57" s="139"/>
      <c r="G57" s="140"/>
    </row>
    <row r="58" spans="2:7" ht="15.75" customHeight="1" x14ac:dyDescent="0.25">
      <c r="B58" s="139"/>
      <c r="G58" s="140"/>
    </row>
    <row r="59" spans="2:7" ht="15.75" customHeight="1" x14ac:dyDescent="0.25">
      <c r="B59" s="139"/>
      <c r="G59" s="140"/>
    </row>
    <row r="60" spans="2:7" ht="15.75" customHeight="1" x14ac:dyDescent="0.25">
      <c r="B60" s="139"/>
      <c r="G60" s="140"/>
    </row>
    <row r="61" spans="2:7" ht="15.75" customHeight="1" x14ac:dyDescent="0.25">
      <c r="B61" s="139"/>
      <c r="G61" s="140"/>
    </row>
    <row r="62" spans="2:7" ht="15.75" customHeight="1" x14ac:dyDescent="0.25">
      <c r="B62" s="139"/>
      <c r="G62" s="140"/>
    </row>
    <row r="63" spans="2:7" ht="15.75" customHeight="1" x14ac:dyDescent="0.25">
      <c r="B63" s="139"/>
      <c r="G63" s="140"/>
    </row>
    <row r="64" spans="2:7" ht="15.75" customHeight="1" x14ac:dyDescent="0.25">
      <c r="B64" s="139"/>
      <c r="G64" s="140"/>
    </row>
    <row r="65" spans="2:7" ht="15.75" customHeight="1" x14ac:dyDescent="0.25">
      <c r="B65" s="139"/>
      <c r="G65" s="140"/>
    </row>
    <row r="66" spans="2:7" ht="15.75" customHeight="1" x14ac:dyDescent="0.25">
      <c r="B66" s="139"/>
      <c r="G66" s="140"/>
    </row>
    <row r="67" spans="2:7" ht="15.75" customHeight="1" x14ac:dyDescent="0.25">
      <c r="B67" s="139"/>
      <c r="G67" s="140"/>
    </row>
    <row r="68" spans="2:7" ht="15.75" customHeight="1" x14ac:dyDescent="0.25">
      <c r="B68" s="139"/>
      <c r="G68" s="140"/>
    </row>
    <row r="69" spans="2:7" ht="15.75" customHeight="1" x14ac:dyDescent="0.25">
      <c r="B69" s="139"/>
      <c r="G69" s="140"/>
    </row>
    <row r="70" spans="2:7" ht="15.75" customHeight="1" x14ac:dyDescent="0.25">
      <c r="B70" s="139"/>
      <c r="G70" s="140"/>
    </row>
    <row r="71" spans="2:7" ht="15.75" customHeight="1" x14ac:dyDescent="0.25">
      <c r="B71" s="139"/>
      <c r="G71" s="140"/>
    </row>
    <row r="72" spans="2:7" ht="15.75" customHeight="1" x14ac:dyDescent="0.25">
      <c r="B72" s="139"/>
      <c r="G72" s="140"/>
    </row>
    <row r="73" spans="2:7" ht="15.75" customHeight="1" x14ac:dyDescent="0.25">
      <c r="B73" s="139"/>
      <c r="G73" s="140"/>
    </row>
    <row r="74" spans="2:7" ht="15.75" customHeight="1" x14ac:dyDescent="0.25">
      <c r="B74" s="139"/>
      <c r="G74" s="140"/>
    </row>
    <row r="75" spans="2:7" ht="15.75" customHeight="1" x14ac:dyDescent="0.25">
      <c r="B75" s="139"/>
      <c r="G75" s="140"/>
    </row>
    <row r="76" spans="2:7" ht="15.75" customHeight="1" x14ac:dyDescent="0.25">
      <c r="B76" s="139"/>
      <c r="G76" s="140"/>
    </row>
    <row r="77" spans="2:7" ht="15.75" customHeight="1" x14ac:dyDescent="0.25">
      <c r="B77" s="139"/>
      <c r="G77" s="140"/>
    </row>
    <row r="78" spans="2:7" ht="15.75" customHeight="1" x14ac:dyDescent="0.25">
      <c r="B78" s="139"/>
      <c r="G78" s="140"/>
    </row>
    <row r="79" spans="2:7" ht="15.75" customHeight="1" x14ac:dyDescent="0.25">
      <c r="B79" s="139"/>
      <c r="G79" s="140"/>
    </row>
    <row r="80" spans="2:7" ht="15.75" customHeight="1" x14ac:dyDescent="0.25">
      <c r="B80" s="139"/>
      <c r="G80" s="140"/>
    </row>
    <row r="81" spans="2:7" ht="15.75" customHeight="1" x14ac:dyDescent="0.25">
      <c r="B81" s="139"/>
      <c r="G81" s="140"/>
    </row>
    <row r="82" spans="2:7" ht="15.75" customHeight="1" x14ac:dyDescent="0.25">
      <c r="B82" s="139"/>
      <c r="G82" s="140"/>
    </row>
    <row r="83" spans="2:7" ht="15.75" customHeight="1" x14ac:dyDescent="0.25">
      <c r="B83" s="139"/>
      <c r="G83" s="140"/>
    </row>
    <row r="84" spans="2:7" ht="15.75" customHeight="1" x14ac:dyDescent="0.25">
      <c r="B84" s="139"/>
      <c r="G84" s="140"/>
    </row>
    <row r="85" spans="2:7" ht="15.75" customHeight="1" x14ac:dyDescent="0.25">
      <c r="B85" s="139"/>
      <c r="G85" s="140"/>
    </row>
    <row r="86" spans="2:7" ht="15.75" customHeight="1" x14ac:dyDescent="0.25">
      <c r="B86" s="139"/>
      <c r="G86" s="140"/>
    </row>
    <row r="87" spans="2:7" ht="15.75" customHeight="1" x14ac:dyDescent="0.25">
      <c r="B87" s="139"/>
      <c r="G87" s="140"/>
    </row>
    <row r="88" spans="2:7" ht="15.75" customHeight="1" x14ac:dyDescent="0.25">
      <c r="B88" s="139"/>
      <c r="G88" s="140"/>
    </row>
    <row r="89" spans="2:7" ht="15.75" customHeight="1" x14ac:dyDescent="0.25">
      <c r="B89" s="139"/>
      <c r="G89" s="140"/>
    </row>
    <row r="90" spans="2:7" ht="15.75" customHeight="1" x14ac:dyDescent="0.25">
      <c r="B90" s="139"/>
      <c r="G90" s="140"/>
    </row>
    <row r="91" spans="2:7" ht="15.75" customHeight="1" x14ac:dyDescent="0.25">
      <c r="B91" s="139"/>
      <c r="G91" s="140"/>
    </row>
    <row r="92" spans="2:7" ht="15.75" customHeight="1" x14ac:dyDescent="0.25">
      <c r="B92" s="139"/>
      <c r="G92" s="140"/>
    </row>
    <row r="93" spans="2:7" ht="15.75" customHeight="1" x14ac:dyDescent="0.25">
      <c r="B93" s="139"/>
      <c r="G93" s="140"/>
    </row>
    <row r="94" spans="2:7" ht="15.75" customHeight="1" x14ac:dyDescent="0.25">
      <c r="B94" s="139"/>
      <c r="G94" s="140"/>
    </row>
    <row r="95" spans="2:7" ht="15.75" customHeight="1" x14ac:dyDescent="0.25">
      <c r="B95" s="139"/>
      <c r="G95" s="140"/>
    </row>
    <row r="96" spans="2:7" ht="15.75" customHeight="1" x14ac:dyDescent="0.25">
      <c r="B96" s="139"/>
      <c r="G96" s="140"/>
    </row>
    <row r="97" spans="2:7" ht="15.75" customHeight="1" x14ac:dyDescent="0.25">
      <c r="B97" s="139"/>
      <c r="G97" s="140"/>
    </row>
    <row r="98" spans="2:7" ht="15.75" customHeight="1" x14ac:dyDescent="0.25">
      <c r="B98" s="139"/>
      <c r="G98" s="140"/>
    </row>
    <row r="99" spans="2:7" ht="15.75" customHeight="1" x14ac:dyDescent="0.25">
      <c r="B99" s="139"/>
      <c r="G99" s="140"/>
    </row>
    <row r="100" spans="2:7" ht="15.75" customHeight="1" x14ac:dyDescent="0.25">
      <c r="B100" s="139"/>
      <c r="G100" s="140"/>
    </row>
    <row r="101" spans="2:7" ht="15.75" customHeight="1" x14ac:dyDescent="0.25">
      <c r="B101" s="139"/>
      <c r="G101" s="140"/>
    </row>
    <row r="102" spans="2:7" ht="15.75" customHeight="1" x14ac:dyDescent="0.25">
      <c r="B102" s="139"/>
      <c r="G102" s="140"/>
    </row>
    <row r="103" spans="2:7" ht="15.75" customHeight="1" x14ac:dyDescent="0.25">
      <c r="B103" s="139"/>
      <c r="G103" s="140"/>
    </row>
    <row r="104" spans="2:7" ht="15.75" customHeight="1" x14ac:dyDescent="0.25">
      <c r="B104" s="139"/>
      <c r="G104" s="140"/>
    </row>
    <row r="105" spans="2:7" ht="15.75" customHeight="1" x14ac:dyDescent="0.25">
      <c r="B105" s="139"/>
      <c r="G105" s="140"/>
    </row>
    <row r="106" spans="2:7" ht="15.75" customHeight="1" x14ac:dyDescent="0.25">
      <c r="B106" s="139"/>
      <c r="G106" s="140"/>
    </row>
    <row r="107" spans="2:7" ht="15.75" customHeight="1" x14ac:dyDescent="0.25">
      <c r="B107" s="139"/>
      <c r="G107" s="140"/>
    </row>
    <row r="108" spans="2:7" ht="15.75" customHeight="1" x14ac:dyDescent="0.25">
      <c r="B108" s="139"/>
      <c r="G108" s="140"/>
    </row>
    <row r="109" spans="2:7" ht="15.75" customHeight="1" x14ac:dyDescent="0.25">
      <c r="B109" s="139"/>
      <c r="G109" s="140"/>
    </row>
    <row r="110" spans="2:7" ht="15.75" customHeight="1" x14ac:dyDescent="0.25">
      <c r="B110" s="139"/>
      <c r="G110" s="140"/>
    </row>
    <row r="111" spans="2:7" ht="15.75" customHeight="1" x14ac:dyDescent="0.25">
      <c r="B111" s="139"/>
      <c r="G111" s="140"/>
    </row>
    <row r="112" spans="2:7" ht="15.75" customHeight="1" x14ac:dyDescent="0.25">
      <c r="B112" s="139"/>
      <c r="G112" s="140"/>
    </row>
    <row r="113" spans="2:7" ht="15.75" customHeight="1" x14ac:dyDescent="0.25">
      <c r="B113" s="139"/>
      <c r="G113" s="140"/>
    </row>
    <row r="114" spans="2:7" ht="15.75" customHeight="1" x14ac:dyDescent="0.25">
      <c r="B114" s="139"/>
      <c r="G114" s="140"/>
    </row>
    <row r="115" spans="2:7" ht="15.75" customHeight="1" x14ac:dyDescent="0.25">
      <c r="B115" s="139"/>
      <c r="G115" s="140"/>
    </row>
    <row r="116" spans="2:7" ht="15.75" customHeight="1" x14ac:dyDescent="0.25">
      <c r="B116" s="139"/>
      <c r="G116" s="140"/>
    </row>
    <row r="117" spans="2:7" ht="15.75" customHeight="1" x14ac:dyDescent="0.25">
      <c r="B117" s="139"/>
      <c r="G117" s="140"/>
    </row>
    <row r="118" spans="2:7" ht="15.75" customHeight="1" x14ac:dyDescent="0.25">
      <c r="B118" s="139"/>
      <c r="G118" s="140"/>
    </row>
    <row r="119" spans="2:7" ht="15.75" customHeight="1" x14ac:dyDescent="0.25">
      <c r="B119" s="139"/>
      <c r="G119" s="140"/>
    </row>
    <row r="120" spans="2:7" ht="15.75" customHeight="1" x14ac:dyDescent="0.25">
      <c r="B120" s="139"/>
      <c r="G120" s="140"/>
    </row>
    <row r="121" spans="2:7" ht="15.75" customHeight="1" x14ac:dyDescent="0.25">
      <c r="B121" s="139"/>
      <c r="G121" s="140"/>
    </row>
    <row r="122" spans="2:7" ht="15.75" customHeight="1" x14ac:dyDescent="0.25">
      <c r="B122" s="139"/>
      <c r="G122" s="140"/>
    </row>
    <row r="123" spans="2:7" ht="15.75" customHeight="1" x14ac:dyDescent="0.25">
      <c r="B123" s="139"/>
      <c r="G123" s="140"/>
    </row>
    <row r="124" spans="2:7" ht="15.75" customHeight="1" x14ac:dyDescent="0.25">
      <c r="B124" s="139"/>
      <c r="G124" s="140"/>
    </row>
    <row r="125" spans="2:7" ht="15.75" customHeight="1" x14ac:dyDescent="0.25">
      <c r="B125" s="139"/>
      <c r="G125" s="140"/>
    </row>
    <row r="126" spans="2:7" ht="15.75" customHeight="1" x14ac:dyDescent="0.25">
      <c r="B126" s="139"/>
      <c r="G126" s="140"/>
    </row>
    <row r="127" spans="2:7" ht="15.75" customHeight="1" x14ac:dyDescent="0.25">
      <c r="B127" s="139"/>
      <c r="G127" s="140"/>
    </row>
    <row r="128" spans="2:7" ht="15.75" customHeight="1" x14ac:dyDescent="0.25">
      <c r="B128" s="139"/>
      <c r="G128" s="140"/>
    </row>
    <row r="129" spans="2:7" ht="15.75" customHeight="1" x14ac:dyDescent="0.25">
      <c r="B129" s="139"/>
      <c r="G129" s="140"/>
    </row>
    <row r="130" spans="2:7" ht="15.75" customHeight="1" x14ac:dyDescent="0.25">
      <c r="B130" s="139"/>
      <c r="G130" s="140"/>
    </row>
    <row r="131" spans="2:7" ht="15.75" customHeight="1" x14ac:dyDescent="0.25">
      <c r="B131" s="139"/>
      <c r="G131" s="140"/>
    </row>
    <row r="132" spans="2:7" ht="15.75" customHeight="1" x14ac:dyDescent="0.25">
      <c r="B132" s="139"/>
      <c r="G132" s="140"/>
    </row>
    <row r="133" spans="2:7" ht="15.75" customHeight="1" x14ac:dyDescent="0.25">
      <c r="B133" s="139"/>
      <c r="G133" s="140"/>
    </row>
    <row r="134" spans="2:7" ht="15.75" customHeight="1" x14ac:dyDescent="0.25">
      <c r="B134" s="139"/>
      <c r="G134" s="140"/>
    </row>
    <row r="135" spans="2:7" ht="15.75" customHeight="1" x14ac:dyDescent="0.25">
      <c r="B135" s="139"/>
      <c r="G135" s="140"/>
    </row>
    <row r="136" spans="2:7" ht="15.75" customHeight="1" x14ac:dyDescent="0.25">
      <c r="B136" s="139"/>
      <c r="G136" s="140"/>
    </row>
    <row r="137" spans="2:7" ht="15.75" customHeight="1" x14ac:dyDescent="0.25">
      <c r="B137" s="139"/>
      <c r="G137" s="140"/>
    </row>
    <row r="138" spans="2:7" ht="15.75" customHeight="1" x14ac:dyDescent="0.25">
      <c r="B138" s="139"/>
      <c r="G138" s="140"/>
    </row>
    <row r="139" spans="2:7" ht="15.75" customHeight="1" x14ac:dyDescent="0.25">
      <c r="B139" s="139"/>
      <c r="G139" s="140"/>
    </row>
    <row r="140" spans="2:7" ht="15.75" customHeight="1" x14ac:dyDescent="0.25">
      <c r="B140" s="139"/>
      <c r="G140" s="140"/>
    </row>
    <row r="141" spans="2:7" ht="15.75" customHeight="1" x14ac:dyDescent="0.25">
      <c r="B141" s="139"/>
      <c r="G141" s="140"/>
    </row>
    <row r="142" spans="2:7" ht="15.75" customHeight="1" x14ac:dyDescent="0.25">
      <c r="B142" s="139"/>
      <c r="G142" s="140"/>
    </row>
    <row r="143" spans="2:7" ht="15.75" customHeight="1" x14ac:dyDescent="0.25">
      <c r="B143" s="139"/>
      <c r="G143" s="140"/>
    </row>
    <row r="144" spans="2:7" ht="15.75" customHeight="1" x14ac:dyDescent="0.25">
      <c r="B144" s="139"/>
      <c r="G144" s="140"/>
    </row>
    <row r="145" spans="2:7" ht="15.75" customHeight="1" x14ac:dyDescent="0.25">
      <c r="B145" s="139"/>
      <c r="G145" s="140"/>
    </row>
    <row r="146" spans="2:7" ht="15.75" customHeight="1" x14ac:dyDescent="0.25">
      <c r="B146" s="139"/>
      <c r="G146" s="140"/>
    </row>
    <row r="147" spans="2:7" ht="15.75" customHeight="1" x14ac:dyDescent="0.25">
      <c r="B147" s="139"/>
      <c r="G147" s="140"/>
    </row>
    <row r="148" spans="2:7" ht="15.75" customHeight="1" x14ac:dyDescent="0.25">
      <c r="B148" s="139"/>
      <c r="G148" s="140"/>
    </row>
    <row r="149" spans="2:7" ht="15.75" customHeight="1" x14ac:dyDescent="0.25">
      <c r="B149" s="139"/>
      <c r="G149" s="140"/>
    </row>
    <row r="150" spans="2:7" ht="15.75" customHeight="1" x14ac:dyDescent="0.25">
      <c r="B150" s="139"/>
      <c r="G150" s="140"/>
    </row>
    <row r="151" spans="2:7" ht="15.75" customHeight="1" x14ac:dyDescent="0.25">
      <c r="B151" s="139"/>
      <c r="G151" s="140"/>
    </row>
    <row r="152" spans="2:7" ht="15.75" customHeight="1" x14ac:dyDescent="0.25">
      <c r="B152" s="139"/>
      <c r="G152" s="140"/>
    </row>
    <row r="153" spans="2:7" ht="15.75" customHeight="1" x14ac:dyDescent="0.25">
      <c r="B153" s="139"/>
      <c r="G153" s="140"/>
    </row>
    <row r="154" spans="2:7" ht="15.75" customHeight="1" x14ac:dyDescent="0.25">
      <c r="B154" s="139"/>
      <c r="G154" s="140"/>
    </row>
    <row r="155" spans="2:7" ht="15.75" customHeight="1" x14ac:dyDescent="0.25">
      <c r="B155" s="139"/>
      <c r="G155" s="140"/>
    </row>
    <row r="156" spans="2:7" ht="15.75" customHeight="1" x14ac:dyDescent="0.25">
      <c r="B156" s="139"/>
      <c r="G156" s="140"/>
    </row>
    <row r="157" spans="2:7" ht="15.75" customHeight="1" x14ac:dyDescent="0.25">
      <c r="B157" s="139"/>
      <c r="G157" s="140"/>
    </row>
    <row r="158" spans="2:7" ht="15.75" customHeight="1" x14ac:dyDescent="0.25">
      <c r="B158" s="139"/>
      <c r="G158" s="140"/>
    </row>
    <row r="159" spans="2:7" ht="15.75" customHeight="1" x14ac:dyDescent="0.25">
      <c r="B159" s="139"/>
      <c r="G159" s="140"/>
    </row>
    <row r="160" spans="2:7" ht="15.75" customHeight="1" x14ac:dyDescent="0.25">
      <c r="B160" s="139"/>
      <c r="G160" s="140"/>
    </row>
    <row r="161" spans="2:7" ht="15.75" customHeight="1" x14ac:dyDescent="0.25">
      <c r="B161" s="139"/>
      <c r="G161" s="140"/>
    </row>
    <row r="162" spans="2:7" ht="15.75" customHeight="1" x14ac:dyDescent="0.25">
      <c r="B162" s="139"/>
      <c r="G162" s="140"/>
    </row>
    <row r="163" spans="2:7" ht="15.75" customHeight="1" x14ac:dyDescent="0.25">
      <c r="B163" s="139"/>
      <c r="G163" s="140"/>
    </row>
    <row r="164" spans="2:7" ht="15.75" customHeight="1" x14ac:dyDescent="0.25">
      <c r="B164" s="139"/>
      <c r="G164" s="140"/>
    </row>
    <row r="165" spans="2:7" ht="15.75" customHeight="1" x14ac:dyDescent="0.25">
      <c r="B165" s="139"/>
      <c r="G165" s="140"/>
    </row>
    <row r="166" spans="2:7" ht="15.75" customHeight="1" x14ac:dyDescent="0.25">
      <c r="B166" s="139"/>
      <c r="G166" s="140"/>
    </row>
    <row r="167" spans="2:7" ht="15.75" customHeight="1" x14ac:dyDescent="0.25">
      <c r="B167" s="139"/>
      <c r="G167" s="140"/>
    </row>
    <row r="168" spans="2:7" ht="15.75" customHeight="1" x14ac:dyDescent="0.25">
      <c r="B168" s="139"/>
      <c r="G168" s="140"/>
    </row>
    <row r="169" spans="2:7" ht="15.75" customHeight="1" x14ac:dyDescent="0.25">
      <c r="B169" s="139"/>
      <c r="G169" s="140"/>
    </row>
    <row r="170" spans="2:7" ht="15.75" customHeight="1" x14ac:dyDescent="0.25">
      <c r="B170" s="139"/>
      <c r="G170" s="140"/>
    </row>
    <row r="171" spans="2:7" ht="15.75" customHeight="1" x14ac:dyDescent="0.25">
      <c r="B171" s="139"/>
      <c r="G171" s="140"/>
    </row>
    <row r="172" spans="2:7" ht="15.75" customHeight="1" x14ac:dyDescent="0.25">
      <c r="B172" s="139"/>
      <c r="G172" s="140"/>
    </row>
    <row r="173" spans="2:7" ht="15.75" customHeight="1" x14ac:dyDescent="0.25">
      <c r="B173" s="139"/>
      <c r="G173" s="140"/>
    </row>
    <row r="174" spans="2:7" ht="15.75" customHeight="1" x14ac:dyDescent="0.25">
      <c r="B174" s="139"/>
      <c r="G174" s="140"/>
    </row>
    <row r="175" spans="2:7" ht="15.75" customHeight="1" x14ac:dyDescent="0.25">
      <c r="B175" s="139"/>
      <c r="G175" s="140"/>
    </row>
    <row r="176" spans="2:7" ht="15.75" customHeight="1" x14ac:dyDescent="0.25">
      <c r="B176" s="139"/>
      <c r="G176" s="140"/>
    </row>
    <row r="177" spans="2:7" ht="15.75" customHeight="1" x14ac:dyDescent="0.25">
      <c r="B177" s="139"/>
      <c r="G177" s="140"/>
    </row>
    <row r="178" spans="2:7" ht="15.75" customHeight="1" x14ac:dyDescent="0.25">
      <c r="B178" s="139"/>
      <c r="G178" s="140"/>
    </row>
    <row r="179" spans="2:7" ht="15.75" customHeight="1" x14ac:dyDescent="0.25">
      <c r="B179" s="139"/>
      <c r="G179" s="140"/>
    </row>
    <row r="180" spans="2:7" ht="15.75" customHeight="1" x14ac:dyDescent="0.25">
      <c r="B180" s="139"/>
      <c r="G180" s="140"/>
    </row>
    <row r="181" spans="2:7" ht="15.75" customHeight="1" x14ac:dyDescent="0.25">
      <c r="B181" s="139"/>
      <c r="G181" s="140"/>
    </row>
    <row r="182" spans="2:7" ht="15.75" customHeight="1" x14ac:dyDescent="0.25">
      <c r="B182" s="139"/>
      <c r="G182" s="140"/>
    </row>
    <row r="183" spans="2:7" ht="15.75" customHeight="1" x14ac:dyDescent="0.25">
      <c r="B183" s="139"/>
      <c r="G183" s="140"/>
    </row>
    <row r="184" spans="2:7" ht="15.75" customHeight="1" x14ac:dyDescent="0.25">
      <c r="B184" s="139"/>
      <c r="G184" s="140"/>
    </row>
    <row r="185" spans="2:7" ht="15.75" customHeight="1" x14ac:dyDescent="0.25">
      <c r="B185" s="139"/>
      <c r="G185" s="140"/>
    </row>
    <row r="186" spans="2:7" ht="15.75" customHeight="1" x14ac:dyDescent="0.25">
      <c r="B186" s="139"/>
      <c r="G186" s="140"/>
    </row>
    <row r="187" spans="2:7" ht="15.75" customHeight="1" x14ac:dyDescent="0.25">
      <c r="B187" s="139"/>
      <c r="G187" s="140"/>
    </row>
    <row r="188" spans="2:7" ht="15.75" customHeight="1" x14ac:dyDescent="0.25">
      <c r="B188" s="139"/>
      <c r="G188" s="140"/>
    </row>
    <row r="189" spans="2:7" ht="15.75" customHeight="1" x14ac:dyDescent="0.25">
      <c r="B189" s="139"/>
      <c r="G189" s="140"/>
    </row>
    <row r="190" spans="2:7" ht="15.75" customHeight="1" x14ac:dyDescent="0.25">
      <c r="B190" s="139"/>
      <c r="G190" s="140"/>
    </row>
    <row r="191" spans="2:7" ht="15.75" customHeight="1" x14ac:dyDescent="0.25">
      <c r="B191" s="139"/>
      <c r="G191" s="140"/>
    </row>
    <row r="192" spans="2:7" ht="15.75" customHeight="1" x14ac:dyDescent="0.25">
      <c r="B192" s="139"/>
      <c r="G192" s="140"/>
    </row>
    <row r="193" spans="2:7" ht="15.75" customHeight="1" x14ac:dyDescent="0.25">
      <c r="B193" s="139"/>
      <c r="G193" s="140"/>
    </row>
    <row r="194" spans="2:7" ht="15.75" customHeight="1" x14ac:dyDescent="0.25">
      <c r="B194" s="139"/>
      <c r="G194" s="140"/>
    </row>
    <row r="195" spans="2:7" ht="15.75" customHeight="1" x14ac:dyDescent="0.25">
      <c r="B195" s="139"/>
      <c r="G195" s="140"/>
    </row>
    <row r="196" spans="2:7" ht="15.75" customHeight="1" x14ac:dyDescent="0.25">
      <c r="B196" s="139"/>
      <c r="G196" s="140"/>
    </row>
    <row r="197" spans="2:7" ht="15.75" customHeight="1" x14ac:dyDescent="0.25">
      <c r="B197" s="139"/>
      <c r="G197" s="140"/>
    </row>
    <row r="198" spans="2:7" ht="15.75" customHeight="1" x14ac:dyDescent="0.25">
      <c r="B198" s="139"/>
      <c r="G198" s="140"/>
    </row>
    <row r="199" spans="2:7" ht="15.75" customHeight="1" x14ac:dyDescent="0.25">
      <c r="B199" s="139"/>
      <c r="G199" s="140"/>
    </row>
    <row r="200" spans="2:7" ht="15.75" customHeight="1" x14ac:dyDescent="0.25">
      <c r="B200" s="139"/>
      <c r="G200" s="140"/>
    </row>
    <row r="201" spans="2:7" ht="15.75" customHeight="1" x14ac:dyDescent="0.25">
      <c r="B201" s="139"/>
      <c r="G201" s="140"/>
    </row>
    <row r="202" spans="2:7" ht="15.75" customHeight="1" x14ac:dyDescent="0.25">
      <c r="B202" s="139"/>
      <c r="G202" s="140"/>
    </row>
    <row r="203" spans="2:7" ht="15.75" customHeight="1" x14ac:dyDescent="0.25">
      <c r="B203" s="139"/>
      <c r="G203" s="140"/>
    </row>
    <row r="204" spans="2:7" ht="15.75" customHeight="1" x14ac:dyDescent="0.25">
      <c r="B204" s="139"/>
      <c r="G204" s="140"/>
    </row>
    <row r="205" spans="2:7" ht="15.75" customHeight="1" x14ac:dyDescent="0.25">
      <c r="B205" s="139"/>
      <c r="G205" s="140"/>
    </row>
    <row r="206" spans="2:7" ht="15.75" customHeight="1" x14ac:dyDescent="0.25">
      <c r="B206" s="139"/>
      <c r="G206" s="140"/>
    </row>
    <row r="207" spans="2:7" ht="15.75" customHeight="1" x14ac:dyDescent="0.25">
      <c r="B207" s="139"/>
      <c r="G207" s="140"/>
    </row>
    <row r="208" spans="2:7" ht="15.75" customHeight="1" x14ac:dyDescent="0.25">
      <c r="B208" s="139"/>
      <c r="G208" s="140"/>
    </row>
    <row r="209" spans="2:7" ht="15.75" customHeight="1" x14ac:dyDescent="0.25">
      <c r="B209" s="139"/>
      <c r="G209" s="140"/>
    </row>
    <row r="210" spans="2:7" ht="15.75" customHeight="1" x14ac:dyDescent="0.25">
      <c r="B210" s="139"/>
      <c r="G210" s="140"/>
    </row>
    <row r="211" spans="2:7" ht="15.75" customHeight="1" x14ac:dyDescent="0.25">
      <c r="B211" s="139"/>
      <c r="G211" s="140"/>
    </row>
    <row r="212" spans="2:7" ht="15.75" customHeight="1" x14ac:dyDescent="0.25">
      <c r="B212" s="139"/>
      <c r="G212" s="140"/>
    </row>
    <row r="213" spans="2:7" ht="15.75" customHeight="1" x14ac:dyDescent="0.25">
      <c r="B213" s="139"/>
      <c r="G213" s="140"/>
    </row>
    <row r="214" spans="2:7" ht="15.75" customHeight="1" x14ac:dyDescent="0.25">
      <c r="B214" s="139"/>
      <c r="G214" s="140"/>
    </row>
    <row r="215" spans="2:7" ht="15.75" customHeight="1" x14ac:dyDescent="0.25">
      <c r="B215" s="139"/>
      <c r="G215" s="140"/>
    </row>
    <row r="216" spans="2:7" ht="15.75" customHeight="1" x14ac:dyDescent="0.25">
      <c r="B216" s="139"/>
      <c r="G216" s="140"/>
    </row>
    <row r="217" spans="2:7" ht="15.75" customHeight="1" x14ac:dyDescent="0.25">
      <c r="B217" s="139"/>
      <c r="G217" s="140"/>
    </row>
    <row r="218" spans="2:7" ht="15.75" customHeight="1" x14ac:dyDescent="0.25">
      <c r="B218" s="139"/>
      <c r="G218" s="140"/>
    </row>
    <row r="219" spans="2:7" ht="15.75" customHeight="1" x14ac:dyDescent="0.25">
      <c r="B219" s="139"/>
      <c r="G219" s="140"/>
    </row>
    <row r="220" spans="2:7" ht="15.75" customHeight="1" x14ac:dyDescent="0.25">
      <c r="B220" s="139"/>
      <c r="G220" s="140"/>
    </row>
    <row r="221" spans="2:7" ht="15.75" customHeight="1" x14ac:dyDescent="0.25">
      <c r="B221" s="139"/>
      <c r="G221" s="140"/>
    </row>
    <row r="222" spans="2:7" ht="15.75" customHeight="1" x14ac:dyDescent="0.25">
      <c r="B222" s="139"/>
      <c r="G222" s="140"/>
    </row>
    <row r="223" spans="2:7" ht="15.75" customHeight="1" x14ac:dyDescent="0.25">
      <c r="B223" s="139"/>
      <c r="G223" s="140"/>
    </row>
    <row r="224" spans="2:7" ht="15.75" customHeight="1" x14ac:dyDescent="0.25">
      <c r="B224" s="139"/>
      <c r="G224" s="140"/>
    </row>
    <row r="225" spans="2:7" ht="15.75" customHeight="1" x14ac:dyDescent="0.25">
      <c r="B225" s="139"/>
      <c r="G225" s="140"/>
    </row>
    <row r="226" spans="2:7" ht="15.75" customHeight="1" x14ac:dyDescent="0.25">
      <c r="B226" s="139"/>
      <c r="G226" s="140"/>
    </row>
    <row r="227" spans="2:7" ht="15.75" customHeight="1" x14ac:dyDescent="0.25">
      <c r="B227" s="139"/>
      <c r="G227" s="140"/>
    </row>
    <row r="228" spans="2:7" ht="15.75" customHeight="1" x14ac:dyDescent="0.25">
      <c r="B228" s="139"/>
      <c r="G228" s="140"/>
    </row>
    <row r="229" spans="2:7" ht="15.75" customHeight="1" x14ac:dyDescent="0.25">
      <c r="B229" s="139"/>
      <c r="G229" s="140"/>
    </row>
    <row r="230" spans="2:7" ht="15.75" customHeight="1" x14ac:dyDescent="0.25">
      <c r="B230" s="139"/>
      <c r="G230" s="140"/>
    </row>
    <row r="231" spans="2:7" ht="15.75" customHeight="1" x14ac:dyDescent="0.25">
      <c r="B231" s="139"/>
      <c r="G231" s="140"/>
    </row>
    <row r="232" spans="2:7" ht="15.75" customHeight="1" x14ac:dyDescent="0.25">
      <c r="B232" s="139"/>
      <c r="G232" s="140"/>
    </row>
    <row r="233" spans="2:7" ht="15.75" customHeight="1" x14ac:dyDescent="0.25">
      <c r="B233" s="139"/>
      <c r="G233" s="140"/>
    </row>
    <row r="234" spans="2:7" ht="15.75" customHeight="1" x14ac:dyDescent="0.25">
      <c r="B234" s="139"/>
      <c r="G234" s="140"/>
    </row>
    <row r="235" spans="2:7" ht="15.75" customHeight="1" x14ac:dyDescent="0.25">
      <c r="B235" s="139"/>
      <c r="G235" s="140"/>
    </row>
    <row r="236" spans="2:7" ht="15.75" customHeight="1" x14ac:dyDescent="0.25">
      <c r="B236" s="139"/>
      <c r="G236" s="140"/>
    </row>
    <row r="237" spans="2:7" ht="15.75" customHeight="1" x14ac:dyDescent="0.25">
      <c r="B237" s="139"/>
      <c r="G237" s="140"/>
    </row>
    <row r="238" spans="2:7" ht="15.75" customHeight="1" x14ac:dyDescent="0.25">
      <c r="B238" s="139"/>
      <c r="G238" s="140"/>
    </row>
    <row r="239" spans="2:7" ht="15.75" customHeight="1" x14ac:dyDescent="0.25">
      <c r="B239" s="139"/>
      <c r="G239" s="140"/>
    </row>
    <row r="240" spans="2:7" ht="15.75" customHeight="1" x14ac:dyDescent="0.25">
      <c r="B240" s="139"/>
      <c r="G240" s="140"/>
    </row>
    <row r="241" spans="2:7" ht="15.75" customHeight="1" x14ac:dyDescent="0.25">
      <c r="B241" s="139"/>
      <c r="G241" s="140"/>
    </row>
    <row r="242" spans="2:7" ht="15.75" customHeight="1" x14ac:dyDescent="0.25">
      <c r="B242" s="139"/>
      <c r="G242" s="140"/>
    </row>
    <row r="243" spans="2:7" ht="15.75" customHeight="1" x14ac:dyDescent="0.25">
      <c r="B243" s="139"/>
      <c r="G243" s="140"/>
    </row>
    <row r="244" spans="2:7" ht="15.75" customHeight="1" x14ac:dyDescent="0.25">
      <c r="B244" s="139"/>
      <c r="G244" s="140"/>
    </row>
    <row r="245" spans="2:7" ht="15.75" customHeight="1" x14ac:dyDescent="0.25">
      <c r="B245" s="139"/>
      <c r="G245" s="140"/>
    </row>
    <row r="246" spans="2:7" ht="15.75" customHeight="1" x14ac:dyDescent="0.25">
      <c r="B246" s="139"/>
      <c r="G246" s="140"/>
    </row>
    <row r="247" spans="2:7" ht="15.75" customHeight="1" x14ac:dyDescent="0.25">
      <c r="B247" s="139"/>
      <c r="G247" s="140"/>
    </row>
    <row r="248" spans="2:7" ht="15.75" customHeight="1" x14ac:dyDescent="0.25">
      <c r="B248" s="139"/>
      <c r="G248" s="140"/>
    </row>
    <row r="249" spans="2:7" ht="15.75" customHeight="1" x14ac:dyDescent="0.25">
      <c r="B249" s="139"/>
      <c r="G249" s="140"/>
    </row>
    <row r="250" spans="2:7" ht="15.75" customHeight="1" x14ac:dyDescent="0.25">
      <c r="B250" s="139"/>
      <c r="G250" s="140"/>
    </row>
    <row r="251" spans="2:7" ht="15.75" customHeight="1" x14ac:dyDescent="0.25">
      <c r="B251" s="139"/>
      <c r="G251" s="140"/>
    </row>
    <row r="252" spans="2:7" ht="15.75" customHeight="1" x14ac:dyDescent="0.25">
      <c r="B252" s="139"/>
      <c r="G252" s="140"/>
    </row>
    <row r="253" spans="2:7" ht="15.75" customHeight="1" x14ac:dyDescent="0.25">
      <c r="B253" s="139"/>
      <c r="G253" s="140"/>
    </row>
    <row r="254" spans="2:7" ht="15.75" customHeight="1" x14ac:dyDescent="0.25">
      <c r="B254" s="139"/>
      <c r="G254" s="140"/>
    </row>
    <row r="255" spans="2:7" ht="15.75" customHeight="1" x14ac:dyDescent="0.25">
      <c r="B255" s="139"/>
      <c r="G255" s="140"/>
    </row>
    <row r="256" spans="2:7" ht="15.75" customHeight="1" x14ac:dyDescent="0.25">
      <c r="B256" s="139"/>
      <c r="G256" s="140"/>
    </row>
    <row r="257" spans="2:7" ht="15.75" customHeight="1" x14ac:dyDescent="0.25">
      <c r="B257" s="139"/>
      <c r="G257" s="140"/>
    </row>
    <row r="258" spans="2:7" ht="15.75" customHeight="1" x14ac:dyDescent="0.25">
      <c r="B258" s="139"/>
      <c r="G258" s="140"/>
    </row>
    <row r="259" spans="2:7" ht="15.75" customHeight="1" x14ac:dyDescent="0.25">
      <c r="B259" s="139"/>
      <c r="G259" s="140"/>
    </row>
    <row r="260" spans="2:7" ht="15.75" customHeight="1" x14ac:dyDescent="0.25">
      <c r="B260" s="139"/>
      <c r="G260" s="140"/>
    </row>
    <row r="261" spans="2:7" ht="15.75" customHeight="1" x14ac:dyDescent="0.25">
      <c r="B261" s="139"/>
      <c r="G261" s="140"/>
    </row>
    <row r="262" spans="2:7" ht="15.75" customHeight="1" x14ac:dyDescent="0.25">
      <c r="B262" s="139"/>
      <c r="G262" s="140"/>
    </row>
    <row r="263" spans="2:7" ht="15.75" customHeight="1" x14ac:dyDescent="0.25">
      <c r="B263" s="139"/>
      <c r="G263" s="140"/>
    </row>
    <row r="264" spans="2:7" ht="15.75" customHeight="1" x14ac:dyDescent="0.25">
      <c r="B264" s="139"/>
      <c r="G264" s="140"/>
    </row>
    <row r="265" spans="2:7" ht="15.75" customHeight="1" x14ac:dyDescent="0.25">
      <c r="B265" s="139"/>
      <c r="G265" s="140"/>
    </row>
    <row r="266" spans="2:7" ht="15.75" customHeight="1" x14ac:dyDescent="0.25">
      <c r="B266" s="139"/>
      <c r="G266" s="140"/>
    </row>
    <row r="267" spans="2:7" ht="15.75" customHeight="1" x14ac:dyDescent="0.25">
      <c r="B267" s="139"/>
      <c r="G267" s="140"/>
    </row>
    <row r="268" spans="2:7" ht="15.75" customHeight="1" x14ac:dyDescent="0.25">
      <c r="B268" s="139"/>
      <c r="G268" s="140"/>
    </row>
    <row r="269" spans="2:7" ht="15.75" customHeight="1" x14ac:dyDescent="0.25">
      <c r="B269" s="139"/>
      <c r="G269" s="140"/>
    </row>
    <row r="270" spans="2:7" ht="15.75" customHeight="1" x14ac:dyDescent="0.25">
      <c r="B270" s="139"/>
      <c r="G270" s="140"/>
    </row>
    <row r="271" spans="2:7" ht="15.75" customHeight="1" x14ac:dyDescent="0.25">
      <c r="B271" s="139"/>
      <c r="G271" s="140"/>
    </row>
    <row r="272" spans="2:7" ht="15.75" customHeight="1" x14ac:dyDescent="0.25">
      <c r="B272" s="139"/>
      <c r="G272" s="140"/>
    </row>
    <row r="273" spans="2:7" ht="15.75" customHeight="1" x14ac:dyDescent="0.25">
      <c r="B273" s="139"/>
      <c r="G273" s="140"/>
    </row>
    <row r="274" spans="2:7" ht="15.75" customHeight="1" x14ac:dyDescent="0.25">
      <c r="B274" s="139"/>
      <c r="G274" s="140"/>
    </row>
    <row r="275" spans="2:7" ht="15.75" customHeight="1" x14ac:dyDescent="0.25">
      <c r="B275" s="139"/>
      <c r="G275" s="140"/>
    </row>
    <row r="276" spans="2:7" ht="15.75" customHeight="1" x14ac:dyDescent="0.25">
      <c r="B276" s="139"/>
      <c r="G276" s="140"/>
    </row>
    <row r="277" spans="2:7" ht="15.75" customHeight="1" x14ac:dyDescent="0.25">
      <c r="B277" s="139"/>
      <c r="G277" s="140"/>
    </row>
    <row r="278" spans="2:7" ht="15.75" customHeight="1" x14ac:dyDescent="0.25">
      <c r="B278" s="139"/>
      <c r="G278" s="140"/>
    </row>
    <row r="279" spans="2:7" ht="15.75" customHeight="1" x14ac:dyDescent="0.25">
      <c r="B279" s="139"/>
      <c r="G279" s="140"/>
    </row>
    <row r="280" spans="2:7" ht="15.75" customHeight="1" x14ac:dyDescent="0.25">
      <c r="B280" s="139"/>
      <c r="G280" s="140"/>
    </row>
    <row r="281" spans="2:7" ht="15.75" customHeight="1" x14ac:dyDescent="0.25">
      <c r="B281" s="139"/>
      <c r="G281" s="140"/>
    </row>
    <row r="282" spans="2:7" ht="15.75" customHeight="1" x14ac:dyDescent="0.25">
      <c r="B282" s="139"/>
      <c r="G282" s="140"/>
    </row>
    <row r="283" spans="2:7" ht="15.75" customHeight="1" x14ac:dyDescent="0.25">
      <c r="B283" s="139"/>
      <c r="G283" s="140"/>
    </row>
    <row r="284" spans="2:7" ht="15.75" customHeight="1" x14ac:dyDescent="0.25">
      <c r="B284" s="139"/>
      <c r="G284" s="140"/>
    </row>
    <row r="285" spans="2:7" ht="15.75" customHeight="1" x14ac:dyDescent="0.25">
      <c r="B285" s="139"/>
      <c r="G285" s="140"/>
    </row>
    <row r="286" spans="2:7" ht="15.75" customHeight="1" x14ac:dyDescent="0.25">
      <c r="B286" s="139"/>
      <c r="G286" s="140"/>
    </row>
    <row r="287" spans="2:7" ht="15.75" customHeight="1" x14ac:dyDescent="0.25">
      <c r="B287" s="139"/>
      <c r="G287" s="140"/>
    </row>
    <row r="288" spans="2:7" ht="15.75" customHeight="1" x14ac:dyDescent="0.25">
      <c r="B288" s="139"/>
      <c r="G288" s="140"/>
    </row>
    <row r="289" spans="2:7" ht="15.75" customHeight="1" x14ac:dyDescent="0.25">
      <c r="B289" s="139"/>
      <c r="G289" s="140"/>
    </row>
    <row r="290" spans="2:7" ht="15.75" customHeight="1" x14ac:dyDescent="0.25">
      <c r="B290" s="139"/>
      <c r="G290" s="140"/>
    </row>
    <row r="291" spans="2:7" ht="15.75" customHeight="1" x14ac:dyDescent="0.25">
      <c r="B291" s="139"/>
      <c r="G291" s="140"/>
    </row>
    <row r="292" spans="2:7" ht="15.75" customHeight="1" x14ac:dyDescent="0.25">
      <c r="B292" s="139"/>
      <c r="G292" s="140"/>
    </row>
    <row r="293" spans="2:7" ht="15.75" customHeight="1" x14ac:dyDescent="0.25">
      <c r="B293" s="139"/>
      <c r="G293" s="140"/>
    </row>
    <row r="294" spans="2:7" ht="15.75" customHeight="1" x14ac:dyDescent="0.25">
      <c r="B294" s="139"/>
      <c r="G294" s="140"/>
    </row>
    <row r="295" spans="2:7" ht="15.75" customHeight="1" x14ac:dyDescent="0.25">
      <c r="B295" s="139"/>
      <c r="G295" s="140"/>
    </row>
    <row r="296" spans="2:7" ht="15.75" customHeight="1" x14ac:dyDescent="0.25">
      <c r="B296" s="139"/>
      <c r="G296" s="140"/>
    </row>
    <row r="297" spans="2:7" ht="15.75" customHeight="1" x14ac:dyDescent="0.25">
      <c r="B297" s="139"/>
      <c r="G297" s="140"/>
    </row>
    <row r="298" spans="2:7" ht="15.75" customHeight="1" x14ac:dyDescent="0.25">
      <c r="B298" s="139"/>
      <c r="G298" s="140"/>
    </row>
    <row r="299" spans="2:7" ht="15.75" customHeight="1" x14ac:dyDescent="0.25">
      <c r="B299" s="139"/>
      <c r="G299" s="140"/>
    </row>
    <row r="300" spans="2:7" ht="15.75" customHeight="1" x14ac:dyDescent="0.25">
      <c r="B300" s="139"/>
      <c r="G300" s="140"/>
    </row>
    <row r="301" spans="2:7" ht="15.75" customHeight="1" x14ac:dyDescent="0.25">
      <c r="B301" s="139"/>
      <c r="G301" s="140"/>
    </row>
    <row r="302" spans="2:7" ht="15.75" customHeight="1" x14ac:dyDescent="0.25">
      <c r="B302" s="139"/>
      <c r="G302" s="140"/>
    </row>
    <row r="303" spans="2:7" ht="15.75" customHeight="1" x14ac:dyDescent="0.25">
      <c r="B303" s="139"/>
      <c r="G303" s="140"/>
    </row>
    <row r="304" spans="2:7" ht="15.75" customHeight="1" x14ac:dyDescent="0.25">
      <c r="B304" s="139"/>
      <c r="G304" s="140"/>
    </row>
    <row r="305" spans="2:7" ht="15.75" customHeight="1" x14ac:dyDescent="0.25">
      <c r="B305" s="139"/>
      <c r="G305" s="140"/>
    </row>
    <row r="306" spans="2:7" ht="15.75" customHeight="1" x14ac:dyDescent="0.25">
      <c r="B306" s="139"/>
      <c r="G306" s="140"/>
    </row>
    <row r="307" spans="2:7" ht="15.75" customHeight="1" x14ac:dyDescent="0.25">
      <c r="B307" s="139"/>
      <c r="G307" s="140"/>
    </row>
    <row r="308" spans="2:7" ht="15.75" customHeight="1" x14ac:dyDescent="0.25">
      <c r="B308" s="139"/>
      <c r="G308" s="140"/>
    </row>
    <row r="309" spans="2:7" ht="15.75" customHeight="1" x14ac:dyDescent="0.25">
      <c r="B309" s="139"/>
      <c r="G309" s="140"/>
    </row>
    <row r="310" spans="2:7" ht="15.75" customHeight="1" x14ac:dyDescent="0.25">
      <c r="B310" s="139"/>
      <c r="G310" s="140"/>
    </row>
    <row r="311" spans="2:7" ht="15.75" customHeight="1" x14ac:dyDescent="0.25">
      <c r="B311" s="139"/>
      <c r="G311" s="140"/>
    </row>
    <row r="312" spans="2:7" ht="15.75" customHeight="1" x14ac:dyDescent="0.25">
      <c r="B312" s="139"/>
      <c r="G312" s="140"/>
    </row>
    <row r="313" spans="2:7" ht="15.75" customHeight="1" x14ac:dyDescent="0.25">
      <c r="B313" s="139"/>
      <c r="G313" s="140"/>
    </row>
    <row r="314" spans="2:7" ht="15.75" customHeight="1" x14ac:dyDescent="0.25">
      <c r="B314" s="139"/>
      <c r="G314" s="140"/>
    </row>
    <row r="315" spans="2:7" ht="15.75" customHeight="1" x14ac:dyDescent="0.25">
      <c r="B315" s="139"/>
      <c r="G315" s="140"/>
    </row>
    <row r="316" spans="2:7" ht="15.75" customHeight="1" x14ac:dyDescent="0.25">
      <c r="B316" s="139"/>
      <c r="G316" s="140"/>
    </row>
    <row r="317" spans="2:7" ht="15.75" customHeight="1" x14ac:dyDescent="0.25">
      <c r="B317" s="139"/>
      <c r="G317" s="140"/>
    </row>
    <row r="318" spans="2:7" ht="15.75" customHeight="1" x14ac:dyDescent="0.25">
      <c r="B318" s="139"/>
      <c r="G318" s="140"/>
    </row>
    <row r="319" spans="2:7" ht="15.75" customHeight="1" x14ac:dyDescent="0.25">
      <c r="B319" s="139"/>
      <c r="G319" s="140"/>
    </row>
    <row r="320" spans="2:7" ht="15.75" customHeight="1" x14ac:dyDescent="0.25">
      <c r="B320" s="139"/>
      <c r="G320" s="140"/>
    </row>
    <row r="321" spans="2:7" ht="15.75" customHeight="1" x14ac:dyDescent="0.25">
      <c r="B321" s="139"/>
      <c r="G321" s="140"/>
    </row>
    <row r="322" spans="2:7" ht="15.75" customHeight="1" x14ac:dyDescent="0.25">
      <c r="B322" s="139"/>
      <c r="G322" s="140"/>
    </row>
    <row r="323" spans="2:7" ht="15.75" customHeight="1" x14ac:dyDescent="0.25">
      <c r="B323" s="139"/>
      <c r="G323" s="140"/>
    </row>
    <row r="324" spans="2:7" ht="15.75" customHeight="1" x14ac:dyDescent="0.25">
      <c r="B324" s="139"/>
      <c r="G324" s="140"/>
    </row>
    <row r="325" spans="2:7" ht="15.75" customHeight="1" x14ac:dyDescent="0.25">
      <c r="B325" s="139"/>
      <c r="G325" s="140"/>
    </row>
    <row r="326" spans="2:7" ht="15.75" customHeight="1" x14ac:dyDescent="0.25">
      <c r="B326" s="139"/>
      <c r="G326" s="140"/>
    </row>
    <row r="327" spans="2:7" ht="15.75" customHeight="1" x14ac:dyDescent="0.25">
      <c r="B327" s="139"/>
      <c r="G327" s="140"/>
    </row>
    <row r="328" spans="2:7" ht="15.75" customHeight="1" x14ac:dyDescent="0.25">
      <c r="B328" s="139"/>
      <c r="G328" s="140"/>
    </row>
    <row r="329" spans="2:7" ht="15.75" customHeight="1" x14ac:dyDescent="0.25">
      <c r="B329" s="139"/>
      <c r="G329" s="140"/>
    </row>
    <row r="330" spans="2:7" ht="15.75" customHeight="1" x14ac:dyDescent="0.25">
      <c r="B330" s="139"/>
      <c r="G330" s="140"/>
    </row>
    <row r="331" spans="2:7" ht="15.75" customHeight="1" x14ac:dyDescent="0.25">
      <c r="B331" s="139"/>
      <c r="G331" s="140"/>
    </row>
    <row r="332" spans="2:7" ht="15.75" customHeight="1" x14ac:dyDescent="0.25">
      <c r="B332" s="139"/>
      <c r="G332" s="140"/>
    </row>
    <row r="333" spans="2:7" ht="15.75" customHeight="1" x14ac:dyDescent="0.25">
      <c r="B333" s="139"/>
      <c r="G333" s="140"/>
    </row>
    <row r="334" spans="2:7" ht="15.75" customHeight="1" x14ac:dyDescent="0.25">
      <c r="B334" s="139"/>
      <c r="G334" s="140"/>
    </row>
    <row r="335" spans="2:7" ht="15.75" customHeight="1" x14ac:dyDescent="0.25">
      <c r="B335" s="139"/>
      <c r="G335" s="140"/>
    </row>
    <row r="336" spans="2:7" ht="15.75" customHeight="1" x14ac:dyDescent="0.25">
      <c r="B336" s="139"/>
      <c r="G336" s="140"/>
    </row>
    <row r="337" spans="2:7" ht="15.75" customHeight="1" x14ac:dyDescent="0.25">
      <c r="B337" s="139"/>
      <c r="G337" s="140"/>
    </row>
    <row r="338" spans="2:7" ht="15.75" customHeight="1" x14ac:dyDescent="0.25">
      <c r="B338" s="139"/>
      <c r="G338" s="140"/>
    </row>
    <row r="339" spans="2:7" ht="15.75" customHeight="1" x14ac:dyDescent="0.25">
      <c r="B339" s="139"/>
      <c r="G339" s="140"/>
    </row>
    <row r="340" spans="2:7" ht="15.75" customHeight="1" x14ac:dyDescent="0.25">
      <c r="B340" s="139"/>
      <c r="G340" s="140"/>
    </row>
    <row r="341" spans="2:7" ht="15.75" customHeight="1" x14ac:dyDescent="0.25">
      <c r="B341" s="139"/>
      <c r="G341" s="140"/>
    </row>
    <row r="342" spans="2:7" ht="15.75" customHeight="1" x14ac:dyDescent="0.25">
      <c r="B342" s="139"/>
      <c r="G342" s="140"/>
    </row>
    <row r="343" spans="2:7" ht="15.75" customHeight="1" x14ac:dyDescent="0.25">
      <c r="B343" s="139"/>
      <c r="G343" s="140"/>
    </row>
    <row r="344" spans="2:7" ht="15.75" customHeight="1" x14ac:dyDescent="0.25">
      <c r="B344" s="139"/>
      <c r="G344" s="140"/>
    </row>
    <row r="345" spans="2:7" ht="15.75" customHeight="1" x14ac:dyDescent="0.25">
      <c r="B345" s="139"/>
      <c r="G345" s="140"/>
    </row>
    <row r="346" spans="2:7" ht="15.75" customHeight="1" x14ac:dyDescent="0.25">
      <c r="B346" s="139"/>
      <c r="G346" s="140"/>
    </row>
    <row r="347" spans="2:7" ht="15.75" customHeight="1" x14ac:dyDescent="0.25">
      <c r="B347" s="139"/>
      <c r="G347" s="140"/>
    </row>
    <row r="348" spans="2:7" ht="15.75" customHeight="1" x14ac:dyDescent="0.25">
      <c r="B348" s="139"/>
      <c r="G348" s="140"/>
    </row>
    <row r="349" spans="2:7" ht="15.75" customHeight="1" x14ac:dyDescent="0.25">
      <c r="B349" s="139"/>
      <c r="G349" s="140"/>
    </row>
    <row r="350" spans="2:7" ht="15.75" customHeight="1" x14ac:dyDescent="0.25">
      <c r="B350" s="139"/>
      <c r="G350" s="140"/>
    </row>
    <row r="351" spans="2:7" ht="15.75" customHeight="1" x14ac:dyDescent="0.25">
      <c r="B351" s="139"/>
      <c r="G351" s="140"/>
    </row>
    <row r="352" spans="2:7" ht="15.75" customHeight="1" x14ac:dyDescent="0.25">
      <c r="B352" s="139"/>
      <c r="G352" s="140"/>
    </row>
    <row r="353" spans="2:7" ht="15.75" customHeight="1" x14ac:dyDescent="0.25">
      <c r="B353" s="139"/>
      <c r="G353" s="140"/>
    </row>
    <row r="354" spans="2:7" ht="15.75" customHeight="1" x14ac:dyDescent="0.25">
      <c r="B354" s="139"/>
      <c r="G354" s="140"/>
    </row>
    <row r="355" spans="2:7" ht="15.75" customHeight="1" x14ac:dyDescent="0.25">
      <c r="B355" s="139"/>
      <c r="G355" s="140"/>
    </row>
    <row r="356" spans="2:7" ht="15.75" customHeight="1" x14ac:dyDescent="0.25">
      <c r="B356" s="139"/>
      <c r="G356" s="140"/>
    </row>
    <row r="357" spans="2:7" ht="15.75" customHeight="1" x14ac:dyDescent="0.25">
      <c r="B357" s="139"/>
      <c r="G357" s="140"/>
    </row>
    <row r="358" spans="2:7" ht="15.75" customHeight="1" x14ac:dyDescent="0.25">
      <c r="B358" s="139"/>
      <c r="G358" s="140"/>
    </row>
    <row r="359" spans="2:7" ht="15.75" customHeight="1" x14ac:dyDescent="0.25">
      <c r="B359" s="139"/>
      <c r="G359" s="140"/>
    </row>
    <row r="360" spans="2:7" ht="15.75" customHeight="1" x14ac:dyDescent="0.25">
      <c r="B360" s="139"/>
      <c r="G360" s="140"/>
    </row>
    <row r="361" spans="2:7" ht="15.75" customHeight="1" x14ac:dyDescent="0.25">
      <c r="B361" s="139"/>
      <c r="G361" s="140"/>
    </row>
    <row r="362" spans="2:7" ht="15.75" customHeight="1" x14ac:dyDescent="0.25">
      <c r="B362" s="139"/>
      <c r="G362" s="140"/>
    </row>
    <row r="363" spans="2:7" ht="15.75" customHeight="1" x14ac:dyDescent="0.25">
      <c r="B363" s="139"/>
      <c r="G363" s="140"/>
    </row>
    <row r="364" spans="2:7" ht="15.75" customHeight="1" x14ac:dyDescent="0.25">
      <c r="B364" s="139"/>
      <c r="G364" s="140"/>
    </row>
    <row r="365" spans="2:7" ht="15.75" customHeight="1" x14ac:dyDescent="0.25">
      <c r="B365" s="139"/>
      <c r="G365" s="140"/>
    </row>
    <row r="366" spans="2:7" ht="15.75" customHeight="1" x14ac:dyDescent="0.25">
      <c r="B366" s="139"/>
      <c r="G366" s="140"/>
    </row>
    <row r="367" spans="2:7" ht="15.75" customHeight="1" x14ac:dyDescent="0.25">
      <c r="B367" s="139"/>
      <c r="G367" s="140"/>
    </row>
    <row r="368" spans="2:7" ht="15.75" customHeight="1" x14ac:dyDescent="0.25">
      <c r="B368" s="139"/>
      <c r="G368" s="140"/>
    </row>
    <row r="369" spans="2:7" ht="15.75" customHeight="1" x14ac:dyDescent="0.25">
      <c r="B369" s="139"/>
      <c r="G369" s="140"/>
    </row>
    <row r="370" spans="2:7" ht="15.75" customHeight="1" x14ac:dyDescent="0.25">
      <c r="B370" s="139"/>
      <c r="G370" s="140"/>
    </row>
    <row r="371" spans="2:7" ht="15.75" customHeight="1" x14ac:dyDescent="0.25">
      <c r="B371" s="139"/>
      <c r="G371" s="140"/>
    </row>
    <row r="372" spans="2:7" ht="15.75" customHeight="1" x14ac:dyDescent="0.25">
      <c r="B372" s="139"/>
      <c r="G372" s="140"/>
    </row>
    <row r="373" spans="2:7" ht="15.75" customHeight="1" x14ac:dyDescent="0.25">
      <c r="B373" s="139"/>
      <c r="G373" s="140"/>
    </row>
    <row r="374" spans="2:7" ht="15.75" customHeight="1" x14ac:dyDescent="0.25">
      <c r="B374" s="139"/>
      <c r="G374" s="140"/>
    </row>
    <row r="375" spans="2:7" ht="15.75" customHeight="1" x14ac:dyDescent="0.25">
      <c r="B375" s="139"/>
      <c r="G375" s="140"/>
    </row>
    <row r="376" spans="2:7" ht="15.75" customHeight="1" x14ac:dyDescent="0.25">
      <c r="B376" s="139"/>
      <c r="G376" s="140"/>
    </row>
    <row r="377" spans="2:7" ht="15.75" customHeight="1" x14ac:dyDescent="0.25">
      <c r="B377" s="139"/>
      <c r="G377" s="140"/>
    </row>
    <row r="378" spans="2:7" ht="15.75" customHeight="1" x14ac:dyDescent="0.25">
      <c r="B378" s="139"/>
      <c r="G378" s="140"/>
    </row>
    <row r="379" spans="2:7" ht="15.75" customHeight="1" x14ac:dyDescent="0.25">
      <c r="B379" s="139"/>
      <c r="G379" s="140"/>
    </row>
    <row r="380" spans="2:7" ht="15.75" customHeight="1" x14ac:dyDescent="0.25">
      <c r="B380" s="139"/>
      <c r="G380" s="140"/>
    </row>
    <row r="381" spans="2:7" ht="15.75" customHeight="1" x14ac:dyDescent="0.25">
      <c r="B381" s="139"/>
      <c r="G381" s="140"/>
    </row>
    <row r="382" spans="2:7" ht="15.75" customHeight="1" x14ac:dyDescent="0.25">
      <c r="B382" s="139"/>
      <c r="G382" s="140"/>
    </row>
    <row r="383" spans="2:7" ht="15.75" customHeight="1" x14ac:dyDescent="0.25">
      <c r="B383" s="139"/>
      <c r="G383" s="140"/>
    </row>
    <row r="384" spans="2:7" ht="15.75" customHeight="1" x14ac:dyDescent="0.25">
      <c r="B384" s="139"/>
      <c r="G384" s="140"/>
    </row>
    <row r="385" spans="2:7" ht="15.75" customHeight="1" x14ac:dyDescent="0.25">
      <c r="B385" s="139"/>
      <c r="G385" s="140"/>
    </row>
    <row r="386" spans="2:7" ht="15.75" customHeight="1" x14ac:dyDescent="0.25">
      <c r="B386" s="139"/>
      <c r="G386" s="140"/>
    </row>
    <row r="387" spans="2:7" ht="15.75" customHeight="1" x14ac:dyDescent="0.25">
      <c r="B387" s="139"/>
      <c r="G387" s="140"/>
    </row>
    <row r="388" spans="2:7" ht="15.75" customHeight="1" x14ac:dyDescent="0.25">
      <c r="B388" s="139"/>
      <c r="G388" s="140"/>
    </row>
    <row r="389" spans="2:7" ht="15.75" customHeight="1" x14ac:dyDescent="0.25">
      <c r="B389" s="139"/>
      <c r="G389" s="140"/>
    </row>
    <row r="390" spans="2:7" ht="15.75" customHeight="1" x14ac:dyDescent="0.25">
      <c r="B390" s="139"/>
      <c r="G390" s="140"/>
    </row>
    <row r="391" spans="2:7" ht="15.75" customHeight="1" x14ac:dyDescent="0.25">
      <c r="B391" s="139"/>
      <c r="G391" s="140"/>
    </row>
    <row r="392" spans="2:7" ht="15.75" customHeight="1" x14ac:dyDescent="0.25">
      <c r="B392" s="139"/>
      <c r="G392" s="140"/>
    </row>
    <row r="393" spans="2:7" ht="15.75" customHeight="1" x14ac:dyDescent="0.25">
      <c r="B393" s="139"/>
      <c r="G393" s="140"/>
    </row>
    <row r="394" spans="2:7" ht="15.75" customHeight="1" x14ac:dyDescent="0.25">
      <c r="B394" s="139"/>
      <c r="G394" s="140"/>
    </row>
    <row r="395" spans="2:7" ht="15.75" customHeight="1" x14ac:dyDescent="0.25">
      <c r="B395" s="139"/>
      <c r="G395" s="140"/>
    </row>
    <row r="396" spans="2:7" ht="15.75" customHeight="1" x14ac:dyDescent="0.25">
      <c r="B396" s="139"/>
      <c r="G396" s="140"/>
    </row>
    <row r="397" spans="2:7" ht="15.75" customHeight="1" x14ac:dyDescent="0.25">
      <c r="B397" s="139"/>
      <c r="G397" s="140"/>
    </row>
    <row r="398" spans="2:7" ht="15.75" customHeight="1" x14ac:dyDescent="0.25">
      <c r="B398" s="139"/>
      <c r="G398" s="140"/>
    </row>
    <row r="399" spans="2:7" ht="15.75" customHeight="1" x14ac:dyDescent="0.25">
      <c r="B399" s="139"/>
      <c r="G399" s="140"/>
    </row>
    <row r="400" spans="2:7" ht="15.75" customHeight="1" x14ac:dyDescent="0.25">
      <c r="B400" s="139"/>
      <c r="G400" s="140"/>
    </row>
    <row r="401" spans="2:7" ht="15.75" customHeight="1" x14ac:dyDescent="0.25">
      <c r="B401" s="139"/>
      <c r="G401" s="140"/>
    </row>
    <row r="402" spans="2:7" ht="15.75" customHeight="1" x14ac:dyDescent="0.25">
      <c r="B402" s="139"/>
      <c r="G402" s="140"/>
    </row>
    <row r="403" spans="2:7" ht="15.75" customHeight="1" x14ac:dyDescent="0.25">
      <c r="B403" s="139"/>
      <c r="G403" s="140"/>
    </row>
    <row r="404" spans="2:7" ht="15.75" customHeight="1" x14ac:dyDescent="0.25">
      <c r="B404" s="139"/>
      <c r="G404" s="140"/>
    </row>
    <row r="405" spans="2:7" ht="15.75" customHeight="1" x14ac:dyDescent="0.25">
      <c r="B405" s="139"/>
      <c r="G405" s="140"/>
    </row>
    <row r="406" spans="2:7" ht="15.75" customHeight="1" x14ac:dyDescent="0.25">
      <c r="B406" s="139"/>
      <c r="G406" s="140"/>
    </row>
    <row r="407" spans="2:7" ht="15.75" customHeight="1" x14ac:dyDescent="0.25">
      <c r="B407" s="139"/>
      <c r="G407" s="140"/>
    </row>
    <row r="408" spans="2:7" ht="15.75" customHeight="1" x14ac:dyDescent="0.25">
      <c r="B408" s="139"/>
      <c r="G408" s="140"/>
    </row>
    <row r="409" spans="2:7" ht="15.75" customHeight="1" x14ac:dyDescent="0.25">
      <c r="B409" s="139"/>
      <c r="G409" s="140"/>
    </row>
    <row r="410" spans="2:7" ht="15.75" customHeight="1" x14ac:dyDescent="0.25">
      <c r="B410" s="139"/>
      <c r="G410" s="140"/>
    </row>
    <row r="411" spans="2:7" ht="15.75" customHeight="1" x14ac:dyDescent="0.25">
      <c r="B411" s="139"/>
      <c r="G411" s="140"/>
    </row>
    <row r="412" spans="2:7" ht="15.75" customHeight="1" x14ac:dyDescent="0.25">
      <c r="B412" s="139"/>
      <c r="G412" s="140"/>
    </row>
    <row r="413" spans="2:7" ht="15.75" customHeight="1" x14ac:dyDescent="0.25">
      <c r="B413" s="139"/>
      <c r="G413" s="140"/>
    </row>
    <row r="414" spans="2:7" ht="15.75" customHeight="1" x14ac:dyDescent="0.25">
      <c r="B414" s="139"/>
      <c r="G414" s="140"/>
    </row>
    <row r="415" spans="2:7" ht="15.75" customHeight="1" x14ac:dyDescent="0.25">
      <c r="B415" s="139"/>
      <c r="G415" s="140"/>
    </row>
    <row r="416" spans="2:7" ht="15.75" customHeight="1" x14ac:dyDescent="0.25">
      <c r="B416" s="139"/>
      <c r="G416" s="140"/>
    </row>
    <row r="417" spans="2:7" ht="15.75" customHeight="1" x14ac:dyDescent="0.25">
      <c r="B417" s="139"/>
      <c r="G417" s="140"/>
    </row>
    <row r="418" spans="2:7" ht="15.75" customHeight="1" x14ac:dyDescent="0.25">
      <c r="B418" s="139"/>
      <c r="G418" s="140"/>
    </row>
    <row r="419" spans="2:7" ht="15.75" customHeight="1" x14ac:dyDescent="0.25">
      <c r="B419" s="139"/>
      <c r="G419" s="140"/>
    </row>
    <row r="420" spans="2:7" ht="15.75" customHeight="1" x14ac:dyDescent="0.25">
      <c r="B420" s="139"/>
      <c r="G420" s="140"/>
    </row>
    <row r="421" spans="2:7" ht="15.75" customHeight="1" x14ac:dyDescent="0.25">
      <c r="B421" s="139"/>
      <c r="G421" s="140"/>
    </row>
    <row r="422" spans="2:7" ht="15.75" customHeight="1" x14ac:dyDescent="0.25">
      <c r="B422" s="139"/>
      <c r="G422" s="140"/>
    </row>
    <row r="423" spans="2:7" ht="15.75" customHeight="1" x14ac:dyDescent="0.25">
      <c r="B423" s="139"/>
      <c r="G423" s="140"/>
    </row>
    <row r="424" spans="2:7" ht="15.75" customHeight="1" x14ac:dyDescent="0.25">
      <c r="B424" s="139"/>
      <c r="G424" s="140"/>
    </row>
    <row r="425" spans="2:7" ht="15.75" customHeight="1" x14ac:dyDescent="0.25">
      <c r="B425" s="139"/>
      <c r="G425" s="140"/>
    </row>
    <row r="426" spans="2:7" ht="15.75" customHeight="1" x14ac:dyDescent="0.25">
      <c r="B426" s="139"/>
      <c r="G426" s="140"/>
    </row>
    <row r="427" spans="2:7" ht="15.75" customHeight="1" x14ac:dyDescent="0.25">
      <c r="B427" s="139"/>
      <c r="G427" s="140"/>
    </row>
    <row r="428" spans="2:7" ht="15.75" customHeight="1" x14ac:dyDescent="0.25">
      <c r="B428" s="139"/>
      <c r="G428" s="140"/>
    </row>
    <row r="429" spans="2:7" ht="15.75" customHeight="1" x14ac:dyDescent="0.25">
      <c r="B429" s="139"/>
      <c r="G429" s="140"/>
    </row>
    <row r="430" spans="2:7" ht="15.75" customHeight="1" x14ac:dyDescent="0.25">
      <c r="B430" s="139"/>
      <c r="G430" s="140"/>
    </row>
    <row r="431" spans="2:7" ht="15.75" customHeight="1" x14ac:dyDescent="0.25">
      <c r="B431" s="139"/>
      <c r="G431" s="140"/>
    </row>
    <row r="432" spans="2:7" ht="15.75" customHeight="1" x14ac:dyDescent="0.25">
      <c r="B432" s="139"/>
      <c r="G432" s="140"/>
    </row>
    <row r="433" spans="2:7" ht="15.75" customHeight="1" x14ac:dyDescent="0.25">
      <c r="B433" s="139"/>
      <c r="G433" s="140"/>
    </row>
    <row r="434" spans="2:7" ht="15.75" customHeight="1" x14ac:dyDescent="0.25">
      <c r="B434" s="139"/>
      <c r="G434" s="140"/>
    </row>
    <row r="435" spans="2:7" ht="15.75" customHeight="1" x14ac:dyDescent="0.25">
      <c r="B435" s="139"/>
      <c r="G435" s="140"/>
    </row>
    <row r="436" spans="2:7" ht="15.75" customHeight="1" x14ac:dyDescent="0.25">
      <c r="B436" s="139"/>
      <c r="G436" s="140"/>
    </row>
    <row r="437" spans="2:7" ht="15.75" customHeight="1" x14ac:dyDescent="0.25">
      <c r="B437" s="139"/>
      <c r="G437" s="140"/>
    </row>
    <row r="438" spans="2:7" ht="15.75" customHeight="1" x14ac:dyDescent="0.25">
      <c r="B438" s="139"/>
      <c r="G438" s="140"/>
    </row>
    <row r="439" spans="2:7" ht="15.75" customHeight="1" x14ac:dyDescent="0.25">
      <c r="B439" s="139"/>
      <c r="G439" s="140"/>
    </row>
    <row r="440" spans="2:7" ht="15.75" customHeight="1" x14ac:dyDescent="0.25">
      <c r="B440" s="139"/>
      <c r="G440" s="140"/>
    </row>
    <row r="441" spans="2:7" ht="15.75" customHeight="1" x14ac:dyDescent="0.25">
      <c r="B441" s="139"/>
      <c r="G441" s="140"/>
    </row>
    <row r="442" spans="2:7" ht="15.75" customHeight="1" x14ac:dyDescent="0.25">
      <c r="B442" s="139"/>
      <c r="G442" s="140"/>
    </row>
    <row r="443" spans="2:7" ht="15.75" customHeight="1" x14ac:dyDescent="0.25">
      <c r="B443" s="139"/>
      <c r="G443" s="140"/>
    </row>
    <row r="444" spans="2:7" ht="15.75" customHeight="1" x14ac:dyDescent="0.25">
      <c r="B444" s="139"/>
      <c r="G444" s="140"/>
    </row>
    <row r="445" spans="2:7" ht="15.75" customHeight="1" x14ac:dyDescent="0.25">
      <c r="B445" s="139"/>
      <c r="G445" s="140"/>
    </row>
    <row r="446" spans="2:7" ht="15.75" customHeight="1" x14ac:dyDescent="0.25">
      <c r="B446" s="139"/>
      <c r="G446" s="140"/>
    </row>
    <row r="447" spans="2:7" ht="15.75" customHeight="1" x14ac:dyDescent="0.25">
      <c r="B447" s="139"/>
      <c r="G447" s="140"/>
    </row>
    <row r="448" spans="2:7" ht="15.75" customHeight="1" x14ac:dyDescent="0.25">
      <c r="B448" s="139"/>
      <c r="G448" s="140"/>
    </row>
    <row r="449" spans="2:7" ht="15.75" customHeight="1" x14ac:dyDescent="0.25">
      <c r="B449" s="139"/>
      <c r="G449" s="140"/>
    </row>
    <row r="450" spans="2:7" ht="15.75" customHeight="1" x14ac:dyDescent="0.25">
      <c r="B450" s="139"/>
      <c r="G450" s="140"/>
    </row>
    <row r="451" spans="2:7" ht="15.75" customHeight="1" x14ac:dyDescent="0.25">
      <c r="B451" s="139"/>
      <c r="G451" s="140"/>
    </row>
    <row r="452" spans="2:7" ht="15.75" customHeight="1" x14ac:dyDescent="0.25">
      <c r="B452" s="139"/>
      <c r="G452" s="140"/>
    </row>
    <row r="453" spans="2:7" ht="15.75" customHeight="1" x14ac:dyDescent="0.25">
      <c r="B453" s="139"/>
      <c r="G453" s="140"/>
    </row>
    <row r="454" spans="2:7" ht="15.75" customHeight="1" x14ac:dyDescent="0.25">
      <c r="B454" s="139"/>
      <c r="G454" s="140"/>
    </row>
    <row r="455" spans="2:7" ht="15.75" customHeight="1" x14ac:dyDescent="0.25">
      <c r="B455" s="139"/>
      <c r="G455" s="140"/>
    </row>
    <row r="456" spans="2:7" ht="15.75" customHeight="1" x14ac:dyDescent="0.25">
      <c r="B456" s="139"/>
      <c r="G456" s="140"/>
    </row>
    <row r="457" spans="2:7" ht="15.75" customHeight="1" x14ac:dyDescent="0.25">
      <c r="B457" s="139"/>
      <c r="G457" s="140"/>
    </row>
    <row r="458" spans="2:7" ht="15.75" customHeight="1" x14ac:dyDescent="0.25">
      <c r="B458" s="139"/>
      <c r="G458" s="140"/>
    </row>
    <row r="459" spans="2:7" ht="15.75" customHeight="1" x14ac:dyDescent="0.25">
      <c r="B459" s="139"/>
      <c r="G459" s="140"/>
    </row>
    <row r="460" spans="2:7" ht="15.75" customHeight="1" x14ac:dyDescent="0.25">
      <c r="B460" s="139"/>
      <c r="G460" s="140"/>
    </row>
    <row r="461" spans="2:7" ht="15.75" customHeight="1" x14ac:dyDescent="0.25">
      <c r="B461" s="139"/>
      <c r="G461" s="140"/>
    </row>
    <row r="462" spans="2:7" ht="15.75" customHeight="1" x14ac:dyDescent="0.25">
      <c r="B462" s="139"/>
      <c r="G462" s="140"/>
    </row>
    <row r="463" spans="2:7" ht="15.75" customHeight="1" x14ac:dyDescent="0.25">
      <c r="B463" s="139"/>
      <c r="G463" s="140"/>
    </row>
    <row r="464" spans="2:7" ht="15.75" customHeight="1" x14ac:dyDescent="0.25">
      <c r="B464" s="139"/>
      <c r="G464" s="140"/>
    </row>
    <row r="465" spans="2:7" ht="15.75" customHeight="1" x14ac:dyDescent="0.25">
      <c r="B465" s="139"/>
      <c r="G465" s="140"/>
    </row>
    <row r="466" spans="2:7" ht="15.75" customHeight="1" x14ac:dyDescent="0.25">
      <c r="B466" s="139"/>
      <c r="G466" s="140"/>
    </row>
    <row r="467" spans="2:7" ht="15.75" customHeight="1" x14ac:dyDescent="0.25">
      <c r="B467" s="139"/>
      <c r="G467" s="140"/>
    </row>
    <row r="468" spans="2:7" ht="15.75" customHeight="1" x14ac:dyDescent="0.25">
      <c r="B468" s="139"/>
      <c r="G468" s="140"/>
    </row>
    <row r="469" spans="2:7" ht="15.75" customHeight="1" x14ac:dyDescent="0.25">
      <c r="B469" s="139"/>
      <c r="G469" s="140"/>
    </row>
    <row r="470" spans="2:7" ht="15.75" customHeight="1" x14ac:dyDescent="0.25">
      <c r="B470" s="139"/>
      <c r="G470" s="140"/>
    </row>
    <row r="471" spans="2:7" ht="15.75" customHeight="1" x14ac:dyDescent="0.25">
      <c r="B471" s="139"/>
      <c r="G471" s="140"/>
    </row>
    <row r="472" spans="2:7" ht="15.75" customHeight="1" x14ac:dyDescent="0.25">
      <c r="B472" s="139"/>
      <c r="G472" s="140"/>
    </row>
    <row r="473" spans="2:7" ht="15.75" customHeight="1" x14ac:dyDescent="0.25">
      <c r="B473" s="139"/>
      <c r="G473" s="140"/>
    </row>
    <row r="474" spans="2:7" ht="15.75" customHeight="1" x14ac:dyDescent="0.25">
      <c r="B474" s="139"/>
      <c r="G474" s="140"/>
    </row>
    <row r="475" spans="2:7" ht="15.75" customHeight="1" x14ac:dyDescent="0.25">
      <c r="B475" s="139"/>
      <c r="G475" s="140"/>
    </row>
    <row r="476" spans="2:7" ht="15.75" customHeight="1" x14ac:dyDescent="0.25">
      <c r="B476" s="139"/>
      <c r="G476" s="140"/>
    </row>
    <row r="477" spans="2:7" ht="15.75" customHeight="1" x14ac:dyDescent="0.25">
      <c r="B477" s="139"/>
      <c r="G477" s="140"/>
    </row>
    <row r="478" spans="2:7" ht="15.75" customHeight="1" x14ac:dyDescent="0.25">
      <c r="B478" s="139"/>
      <c r="G478" s="140"/>
    </row>
    <row r="479" spans="2:7" ht="15.75" customHeight="1" x14ac:dyDescent="0.25">
      <c r="B479" s="139"/>
      <c r="G479" s="140"/>
    </row>
    <row r="480" spans="2:7" ht="15.75" customHeight="1" x14ac:dyDescent="0.25">
      <c r="B480" s="139"/>
      <c r="G480" s="140"/>
    </row>
    <row r="481" spans="2:7" ht="15.75" customHeight="1" x14ac:dyDescent="0.25">
      <c r="B481" s="139"/>
      <c r="G481" s="140"/>
    </row>
    <row r="482" spans="2:7" ht="15.75" customHeight="1" x14ac:dyDescent="0.25">
      <c r="B482" s="139"/>
      <c r="G482" s="140"/>
    </row>
    <row r="483" spans="2:7" ht="15.75" customHeight="1" x14ac:dyDescent="0.25">
      <c r="B483" s="139"/>
      <c r="G483" s="140"/>
    </row>
    <row r="484" spans="2:7" ht="15.75" customHeight="1" x14ac:dyDescent="0.25">
      <c r="B484" s="139"/>
      <c r="G484" s="140"/>
    </row>
    <row r="485" spans="2:7" ht="15.75" customHeight="1" x14ac:dyDescent="0.25">
      <c r="B485" s="139"/>
      <c r="G485" s="140"/>
    </row>
    <row r="486" spans="2:7" ht="15.75" customHeight="1" x14ac:dyDescent="0.25">
      <c r="B486" s="139"/>
      <c r="G486" s="140"/>
    </row>
    <row r="487" spans="2:7" ht="15.75" customHeight="1" x14ac:dyDescent="0.25">
      <c r="B487" s="139"/>
      <c r="G487" s="140"/>
    </row>
    <row r="488" spans="2:7" ht="15.75" customHeight="1" x14ac:dyDescent="0.25">
      <c r="B488" s="139"/>
      <c r="G488" s="140"/>
    </row>
    <row r="489" spans="2:7" ht="15.75" customHeight="1" x14ac:dyDescent="0.25">
      <c r="B489" s="139"/>
      <c r="G489" s="140"/>
    </row>
    <row r="490" spans="2:7" ht="15.75" customHeight="1" x14ac:dyDescent="0.25">
      <c r="B490" s="139"/>
      <c r="G490" s="140"/>
    </row>
    <row r="491" spans="2:7" ht="15.75" customHeight="1" x14ac:dyDescent="0.25">
      <c r="B491" s="139"/>
      <c r="G491" s="140"/>
    </row>
    <row r="492" spans="2:7" ht="15.75" customHeight="1" x14ac:dyDescent="0.25">
      <c r="B492" s="139"/>
      <c r="G492" s="140"/>
    </row>
    <row r="493" spans="2:7" ht="15.75" customHeight="1" x14ac:dyDescent="0.25">
      <c r="B493" s="139"/>
      <c r="G493" s="140"/>
    </row>
    <row r="494" spans="2:7" ht="15.75" customHeight="1" x14ac:dyDescent="0.25">
      <c r="B494" s="139"/>
      <c r="G494" s="140"/>
    </row>
    <row r="495" spans="2:7" ht="15.75" customHeight="1" x14ac:dyDescent="0.25">
      <c r="B495" s="139"/>
      <c r="G495" s="140"/>
    </row>
    <row r="496" spans="2:7" ht="15.75" customHeight="1" x14ac:dyDescent="0.25">
      <c r="B496" s="139"/>
      <c r="G496" s="140"/>
    </row>
    <row r="497" spans="2:7" ht="15.75" customHeight="1" x14ac:dyDescent="0.25">
      <c r="B497" s="139"/>
      <c r="G497" s="140"/>
    </row>
    <row r="498" spans="2:7" ht="15.75" customHeight="1" x14ac:dyDescent="0.25">
      <c r="B498" s="139"/>
      <c r="G498" s="140"/>
    </row>
    <row r="499" spans="2:7" ht="15.75" customHeight="1" x14ac:dyDescent="0.25">
      <c r="B499" s="139"/>
      <c r="G499" s="140"/>
    </row>
    <row r="500" spans="2:7" ht="15.75" customHeight="1" x14ac:dyDescent="0.25">
      <c r="B500" s="139"/>
      <c r="G500" s="140"/>
    </row>
    <row r="501" spans="2:7" ht="15.75" customHeight="1" x14ac:dyDescent="0.25">
      <c r="B501" s="139"/>
      <c r="G501" s="140"/>
    </row>
    <row r="502" spans="2:7" ht="15.75" customHeight="1" x14ac:dyDescent="0.25">
      <c r="B502" s="139"/>
      <c r="G502" s="140"/>
    </row>
    <row r="503" spans="2:7" ht="15.75" customHeight="1" x14ac:dyDescent="0.25">
      <c r="B503" s="139"/>
      <c r="G503" s="140"/>
    </row>
    <row r="504" spans="2:7" ht="15.75" customHeight="1" x14ac:dyDescent="0.25">
      <c r="B504" s="139"/>
      <c r="G504" s="140"/>
    </row>
    <row r="505" spans="2:7" ht="15.75" customHeight="1" x14ac:dyDescent="0.25">
      <c r="B505" s="139"/>
      <c r="G505" s="140"/>
    </row>
    <row r="506" spans="2:7" ht="15.75" customHeight="1" x14ac:dyDescent="0.25">
      <c r="B506" s="139"/>
      <c r="G506" s="140"/>
    </row>
    <row r="507" spans="2:7" ht="15.75" customHeight="1" x14ac:dyDescent="0.25">
      <c r="B507" s="139"/>
      <c r="G507" s="140"/>
    </row>
    <row r="508" spans="2:7" ht="15.75" customHeight="1" x14ac:dyDescent="0.25">
      <c r="B508" s="139"/>
      <c r="G508" s="140"/>
    </row>
    <row r="509" spans="2:7" ht="15.75" customHeight="1" x14ac:dyDescent="0.25">
      <c r="B509" s="139"/>
      <c r="G509" s="140"/>
    </row>
    <row r="510" spans="2:7" ht="15.75" customHeight="1" x14ac:dyDescent="0.25">
      <c r="B510" s="139"/>
      <c r="G510" s="140"/>
    </row>
    <row r="511" spans="2:7" ht="15.75" customHeight="1" x14ac:dyDescent="0.25">
      <c r="B511" s="139"/>
      <c r="G511" s="140"/>
    </row>
    <row r="512" spans="2:7" ht="15.75" customHeight="1" x14ac:dyDescent="0.25">
      <c r="B512" s="139"/>
      <c r="G512" s="140"/>
    </row>
    <row r="513" spans="2:7" ht="15.75" customHeight="1" x14ac:dyDescent="0.25">
      <c r="B513" s="139"/>
      <c r="G513" s="140"/>
    </row>
    <row r="514" spans="2:7" ht="15.75" customHeight="1" x14ac:dyDescent="0.25">
      <c r="B514" s="139"/>
      <c r="G514" s="140"/>
    </row>
    <row r="515" spans="2:7" ht="15.75" customHeight="1" x14ac:dyDescent="0.25">
      <c r="B515" s="139"/>
      <c r="G515" s="140"/>
    </row>
    <row r="516" spans="2:7" ht="15.75" customHeight="1" x14ac:dyDescent="0.25">
      <c r="B516" s="139"/>
      <c r="G516" s="140"/>
    </row>
    <row r="517" spans="2:7" ht="15.75" customHeight="1" x14ac:dyDescent="0.25">
      <c r="B517" s="139"/>
      <c r="G517" s="140"/>
    </row>
    <row r="518" spans="2:7" ht="15.75" customHeight="1" x14ac:dyDescent="0.25">
      <c r="B518" s="139"/>
      <c r="G518" s="140"/>
    </row>
    <row r="519" spans="2:7" ht="15.75" customHeight="1" x14ac:dyDescent="0.25">
      <c r="B519" s="139"/>
      <c r="G519" s="140"/>
    </row>
    <row r="520" spans="2:7" ht="15.75" customHeight="1" x14ac:dyDescent="0.25">
      <c r="B520" s="139"/>
      <c r="G520" s="140"/>
    </row>
    <row r="521" spans="2:7" ht="15.75" customHeight="1" x14ac:dyDescent="0.25">
      <c r="B521" s="139"/>
      <c r="G521" s="140"/>
    </row>
    <row r="522" spans="2:7" ht="15.75" customHeight="1" x14ac:dyDescent="0.25">
      <c r="B522" s="139"/>
      <c r="G522" s="140"/>
    </row>
    <row r="523" spans="2:7" ht="15.75" customHeight="1" x14ac:dyDescent="0.25">
      <c r="B523" s="139"/>
      <c r="G523" s="140"/>
    </row>
    <row r="524" spans="2:7" ht="15.75" customHeight="1" x14ac:dyDescent="0.25">
      <c r="B524" s="139"/>
      <c r="G524" s="140"/>
    </row>
    <row r="525" spans="2:7" ht="15.75" customHeight="1" x14ac:dyDescent="0.25">
      <c r="B525" s="139"/>
      <c r="G525" s="140"/>
    </row>
    <row r="526" spans="2:7" ht="15.75" customHeight="1" x14ac:dyDescent="0.25">
      <c r="B526" s="139"/>
      <c r="G526" s="140"/>
    </row>
    <row r="527" spans="2:7" ht="15.75" customHeight="1" x14ac:dyDescent="0.25">
      <c r="B527" s="139"/>
      <c r="G527" s="140"/>
    </row>
    <row r="528" spans="2:7" ht="15.75" customHeight="1" x14ac:dyDescent="0.25">
      <c r="B528" s="139"/>
      <c r="G528" s="140"/>
    </row>
    <row r="529" spans="2:7" ht="15.75" customHeight="1" x14ac:dyDescent="0.25">
      <c r="B529" s="139"/>
      <c r="G529" s="140"/>
    </row>
    <row r="530" spans="2:7" ht="15.75" customHeight="1" x14ac:dyDescent="0.25">
      <c r="B530" s="139"/>
      <c r="G530" s="140"/>
    </row>
    <row r="531" spans="2:7" ht="15.75" customHeight="1" x14ac:dyDescent="0.25">
      <c r="B531" s="139"/>
      <c r="G531" s="140"/>
    </row>
    <row r="532" spans="2:7" ht="15.75" customHeight="1" x14ac:dyDescent="0.25">
      <c r="B532" s="139"/>
      <c r="G532" s="140"/>
    </row>
    <row r="533" spans="2:7" ht="15.75" customHeight="1" x14ac:dyDescent="0.25">
      <c r="B533" s="139"/>
      <c r="G533" s="140"/>
    </row>
    <row r="534" spans="2:7" ht="15.75" customHeight="1" x14ac:dyDescent="0.25">
      <c r="B534" s="139"/>
      <c r="G534" s="140"/>
    </row>
    <row r="535" spans="2:7" ht="15.75" customHeight="1" x14ac:dyDescent="0.25">
      <c r="B535" s="139"/>
      <c r="G535" s="140"/>
    </row>
    <row r="536" spans="2:7" ht="15.75" customHeight="1" x14ac:dyDescent="0.25">
      <c r="B536" s="139"/>
      <c r="G536" s="140"/>
    </row>
    <row r="537" spans="2:7" ht="15.75" customHeight="1" x14ac:dyDescent="0.25">
      <c r="B537" s="139"/>
      <c r="G537" s="140"/>
    </row>
    <row r="538" spans="2:7" ht="15.75" customHeight="1" x14ac:dyDescent="0.25">
      <c r="B538" s="139"/>
      <c r="G538" s="140"/>
    </row>
    <row r="539" spans="2:7" ht="15.75" customHeight="1" x14ac:dyDescent="0.25">
      <c r="B539" s="139"/>
      <c r="G539" s="140"/>
    </row>
    <row r="540" spans="2:7" ht="15.75" customHeight="1" x14ac:dyDescent="0.25">
      <c r="B540" s="139"/>
      <c r="G540" s="140"/>
    </row>
    <row r="541" spans="2:7" ht="15.75" customHeight="1" x14ac:dyDescent="0.25">
      <c r="B541" s="139"/>
      <c r="G541" s="140"/>
    </row>
    <row r="542" spans="2:7" ht="15.75" customHeight="1" x14ac:dyDescent="0.25">
      <c r="B542" s="139"/>
      <c r="G542" s="140"/>
    </row>
    <row r="543" spans="2:7" ht="15.75" customHeight="1" x14ac:dyDescent="0.25">
      <c r="B543" s="139"/>
      <c r="G543" s="140"/>
    </row>
    <row r="544" spans="2:7" ht="15.75" customHeight="1" x14ac:dyDescent="0.25">
      <c r="B544" s="139"/>
      <c r="G544" s="140"/>
    </row>
    <row r="545" spans="2:7" ht="15.75" customHeight="1" x14ac:dyDescent="0.25">
      <c r="B545" s="139"/>
      <c r="G545" s="140"/>
    </row>
    <row r="546" spans="2:7" ht="15.75" customHeight="1" x14ac:dyDescent="0.25">
      <c r="B546" s="139"/>
      <c r="G546" s="140"/>
    </row>
    <row r="547" spans="2:7" ht="15.75" customHeight="1" x14ac:dyDescent="0.25">
      <c r="B547" s="139"/>
      <c r="G547" s="140"/>
    </row>
    <row r="548" spans="2:7" ht="15.75" customHeight="1" x14ac:dyDescent="0.25">
      <c r="B548" s="139"/>
      <c r="G548" s="140"/>
    </row>
    <row r="549" spans="2:7" ht="15.75" customHeight="1" x14ac:dyDescent="0.25">
      <c r="B549" s="139"/>
      <c r="G549" s="140"/>
    </row>
    <row r="550" spans="2:7" ht="15.75" customHeight="1" x14ac:dyDescent="0.25">
      <c r="B550" s="139"/>
      <c r="G550" s="140"/>
    </row>
    <row r="551" spans="2:7" ht="15.75" customHeight="1" x14ac:dyDescent="0.25">
      <c r="B551" s="139"/>
      <c r="G551" s="140"/>
    </row>
    <row r="552" spans="2:7" ht="15.75" customHeight="1" x14ac:dyDescent="0.25">
      <c r="B552" s="139"/>
      <c r="G552" s="140"/>
    </row>
    <row r="553" spans="2:7" ht="15.75" customHeight="1" x14ac:dyDescent="0.25">
      <c r="B553" s="139"/>
      <c r="G553" s="140"/>
    </row>
    <row r="554" spans="2:7" ht="15.75" customHeight="1" x14ac:dyDescent="0.25">
      <c r="B554" s="139"/>
      <c r="G554" s="140"/>
    </row>
    <row r="555" spans="2:7" ht="15.75" customHeight="1" x14ac:dyDescent="0.25">
      <c r="B555" s="139"/>
      <c r="G555" s="140"/>
    </row>
    <row r="556" spans="2:7" ht="15.75" customHeight="1" x14ac:dyDescent="0.25">
      <c r="B556" s="139"/>
      <c r="G556" s="140"/>
    </row>
    <row r="557" spans="2:7" ht="15.75" customHeight="1" x14ac:dyDescent="0.25">
      <c r="B557" s="139"/>
      <c r="G557" s="140"/>
    </row>
    <row r="558" spans="2:7" ht="15.75" customHeight="1" x14ac:dyDescent="0.25">
      <c r="B558" s="139"/>
      <c r="G558" s="140"/>
    </row>
    <row r="559" spans="2:7" ht="15.75" customHeight="1" x14ac:dyDescent="0.25">
      <c r="B559" s="139"/>
      <c r="G559" s="140"/>
    </row>
    <row r="560" spans="2:7" ht="15.75" customHeight="1" x14ac:dyDescent="0.25">
      <c r="B560" s="139"/>
      <c r="G560" s="140"/>
    </row>
    <row r="561" spans="2:7" ht="15.75" customHeight="1" x14ac:dyDescent="0.25">
      <c r="B561" s="139"/>
      <c r="G561" s="140"/>
    </row>
    <row r="562" spans="2:7" ht="15.75" customHeight="1" x14ac:dyDescent="0.25">
      <c r="B562" s="139"/>
      <c r="G562" s="140"/>
    </row>
    <row r="563" spans="2:7" ht="15.75" customHeight="1" x14ac:dyDescent="0.25">
      <c r="B563" s="139"/>
      <c r="G563" s="140"/>
    </row>
    <row r="564" spans="2:7" ht="15.75" customHeight="1" x14ac:dyDescent="0.25">
      <c r="B564" s="139"/>
      <c r="G564" s="140"/>
    </row>
    <row r="565" spans="2:7" ht="15.75" customHeight="1" x14ac:dyDescent="0.25">
      <c r="B565" s="139"/>
      <c r="G565" s="140"/>
    </row>
    <row r="566" spans="2:7" ht="15.75" customHeight="1" x14ac:dyDescent="0.25">
      <c r="B566" s="139"/>
      <c r="G566" s="140"/>
    </row>
    <row r="567" spans="2:7" ht="15.75" customHeight="1" x14ac:dyDescent="0.25">
      <c r="B567" s="139"/>
      <c r="G567" s="140"/>
    </row>
    <row r="568" spans="2:7" ht="15.75" customHeight="1" x14ac:dyDescent="0.25">
      <c r="B568" s="139"/>
      <c r="G568" s="140"/>
    </row>
    <row r="569" spans="2:7" ht="15.75" customHeight="1" x14ac:dyDescent="0.25">
      <c r="B569" s="139"/>
      <c r="G569" s="140"/>
    </row>
    <row r="570" spans="2:7" ht="15.75" customHeight="1" x14ac:dyDescent="0.25">
      <c r="B570" s="139"/>
      <c r="G570" s="140"/>
    </row>
    <row r="571" spans="2:7" ht="15.75" customHeight="1" x14ac:dyDescent="0.25">
      <c r="B571" s="139"/>
      <c r="G571" s="140"/>
    </row>
    <row r="572" spans="2:7" ht="15.75" customHeight="1" x14ac:dyDescent="0.25">
      <c r="B572" s="139"/>
      <c r="G572" s="140"/>
    </row>
    <row r="573" spans="2:7" ht="15.75" customHeight="1" x14ac:dyDescent="0.25">
      <c r="B573" s="139"/>
      <c r="G573" s="140"/>
    </row>
    <row r="574" spans="2:7" ht="15.75" customHeight="1" x14ac:dyDescent="0.25">
      <c r="B574" s="139"/>
      <c r="G574" s="140"/>
    </row>
    <row r="575" spans="2:7" ht="15.75" customHeight="1" x14ac:dyDescent="0.25">
      <c r="B575" s="139"/>
      <c r="G575" s="140"/>
    </row>
    <row r="576" spans="2:7" ht="15.75" customHeight="1" x14ac:dyDescent="0.25">
      <c r="B576" s="139"/>
      <c r="G576" s="140"/>
    </row>
    <row r="577" spans="2:7" ht="15.75" customHeight="1" x14ac:dyDescent="0.25">
      <c r="B577" s="139"/>
      <c r="G577" s="140"/>
    </row>
    <row r="578" spans="2:7" ht="15.75" customHeight="1" x14ac:dyDescent="0.25">
      <c r="B578" s="139"/>
      <c r="G578" s="140"/>
    </row>
    <row r="579" spans="2:7" ht="15.75" customHeight="1" x14ac:dyDescent="0.25">
      <c r="B579" s="139"/>
      <c r="G579" s="140"/>
    </row>
    <row r="580" spans="2:7" ht="15.75" customHeight="1" x14ac:dyDescent="0.25">
      <c r="B580" s="139"/>
      <c r="G580" s="140"/>
    </row>
    <row r="581" spans="2:7" ht="15.75" customHeight="1" x14ac:dyDescent="0.25">
      <c r="B581" s="139"/>
      <c r="G581" s="140"/>
    </row>
    <row r="582" spans="2:7" ht="15.75" customHeight="1" x14ac:dyDescent="0.25">
      <c r="B582" s="139"/>
      <c r="G582" s="140"/>
    </row>
    <row r="583" spans="2:7" ht="15.75" customHeight="1" x14ac:dyDescent="0.25">
      <c r="B583" s="139"/>
      <c r="G583" s="140"/>
    </row>
    <row r="584" spans="2:7" ht="15.75" customHeight="1" x14ac:dyDescent="0.25">
      <c r="B584" s="139"/>
      <c r="G584" s="140"/>
    </row>
    <row r="585" spans="2:7" ht="15.75" customHeight="1" x14ac:dyDescent="0.25">
      <c r="B585" s="139"/>
      <c r="G585" s="140"/>
    </row>
    <row r="586" spans="2:7" ht="15.75" customHeight="1" x14ac:dyDescent="0.25">
      <c r="B586" s="139"/>
      <c r="G586" s="140"/>
    </row>
    <row r="587" spans="2:7" ht="15.75" customHeight="1" x14ac:dyDescent="0.25">
      <c r="B587" s="139"/>
      <c r="G587" s="140"/>
    </row>
    <row r="588" spans="2:7" ht="15.75" customHeight="1" x14ac:dyDescent="0.25">
      <c r="B588" s="139"/>
      <c r="G588" s="140"/>
    </row>
    <row r="589" spans="2:7" ht="15.75" customHeight="1" x14ac:dyDescent="0.25">
      <c r="B589" s="139"/>
      <c r="G589" s="140"/>
    </row>
    <row r="590" spans="2:7" ht="15.75" customHeight="1" x14ac:dyDescent="0.25">
      <c r="B590" s="139"/>
      <c r="G590" s="140"/>
    </row>
    <row r="591" spans="2:7" ht="15.75" customHeight="1" x14ac:dyDescent="0.25">
      <c r="B591" s="139"/>
      <c r="G591" s="140"/>
    </row>
    <row r="592" spans="2:7" ht="15.75" customHeight="1" x14ac:dyDescent="0.25">
      <c r="B592" s="139"/>
      <c r="G592" s="140"/>
    </row>
    <row r="593" spans="2:7" ht="15.75" customHeight="1" x14ac:dyDescent="0.25">
      <c r="B593" s="139"/>
      <c r="G593" s="140"/>
    </row>
    <row r="594" spans="2:7" ht="15.75" customHeight="1" x14ac:dyDescent="0.25">
      <c r="B594" s="139"/>
      <c r="G594" s="140"/>
    </row>
    <row r="595" spans="2:7" ht="15.75" customHeight="1" x14ac:dyDescent="0.25">
      <c r="B595" s="139"/>
      <c r="G595" s="140"/>
    </row>
    <row r="596" spans="2:7" ht="15.75" customHeight="1" x14ac:dyDescent="0.25">
      <c r="B596" s="139"/>
      <c r="G596" s="140"/>
    </row>
    <row r="597" spans="2:7" ht="15.75" customHeight="1" x14ac:dyDescent="0.25">
      <c r="B597" s="139"/>
      <c r="G597" s="140"/>
    </row>
    <row r="598" spans="2:7" ht="15.75" customHeight="1" x14ac:dyDescent="0.25">
      <c r="B598" s="139"/>
      <c r="G598" s="140"/>
    </row>
    <row r="599" spans="2:7" ht="15.75" customHeight="1" x14ac:dyDescent="0.25">
      <c r="B599" s="139"/>
      <c r="G599" s="140"/>
    </row>
    <row r="600" spans="2:7" ht="15.75" customHeight="1" x14ac:dyDescent="0.25">
      <c r="B600" s="139"/>
      <c r="G600" s="140"/>
    </row>
    <row r="601" spans="2:7" ht="15.75" customHeight="1" x14ac:dyDescent="0.25">
      <c r="B601" s="139"/>
      <c r="G601" s="140"/>
    </row>
    <row r="602" spans="2:7" ht="15.75" customHeight="1" x14ac:dyDescent="0.25">
      <c r="B602" s="139"/>
      <c r="G602" s="140"/>
    </row>
    <row r="603" spans="2:7" ht="15.75" customHeight="1" x14ac:dyDescent="0.25">
      <c r="B603" s="139"/>
      <c r="G603" s="140"/>
    </row>
    <row r="604" spans="2:7" ht="15.75" customHeight="1" x14ac:dyDescent="0.25">
      <c r="B604" s="139"/>
      <c r="G604" s="140"/>
    </row>
    <row r="605" spans="2:7" ht="15.75" customHeight="1" x14ac:dyDescent="0.25">
      <c r="B605" s="139"/>
      <c r="G605" s="140"/>
    </row>
    <row r="606" spans="2:7" ht="15.75" customHeight="1" x14ac:dyDescent="0.25">
      <c r="B606" s="139"/>
      <c r="G606" s="140"/>
    </row>
    <row r="607" spans="2:7" ht="15.75" customHeight="1" x14ac:dyDescent="0.25">
      <c r="B607" s="139"/>
      <c r="G607" s="140"/>
    </row>
    <row r="608" spans="2:7" ht="15.75" customHeight="1" x14ac:dyDescent="0.25">
      <c r="B608" s="139"/>
      <c r="G608" s="140"/>
    </row>
    <row r="609" spans="2:7" ht="15.75" customHeight="1" x14ac:dyDescent="0.25">
      <c r="B609" s="139"/>
      <c r="G609" s="140"/>
    </row>
    <row r="610" spans="2:7" ht="15.75" customHeight="1" x14ac:dyDescent="0.25">
      <c r="B610" s="139"/>
      <c r="G610" s="140"/>
    </row>
    <row r="611" spans="2:7" ht="15.75" customHeight="1" x14ac:dyDescent="0.25">
      <c r="B611" s="139"/>
      <c r="G611" s="140"/>
    </row>
    <row r="612" spans="2:7" ht="15.75" customHeight="1" x14ac:dyDescent="0.25">
      <c r="B612" s="139"/>
      <c r="G612" s="140"/>
    </row>
    <row r="613" spans="2:7" ht="15.75" customHeight="1" x14ac:dyDescent="0.25">
      <c r="B613" s="139"/>
      <c r="G613" s="140"/>
    </row>
    <row r="614" spans="2:7" ht="15.75" customHeight="1" x14ac:dyDescent="0.25">
      <c r="B614" s="139"/>
      <c r="G614" s="140"/>
    </row>
    <row r="615" spans="2:7" ht="15.75" customHeight="1" x14ac:dyDescent="0.25">
      <c r="B615" s="139"/>
      <c r="G615" s="140"/>
    </row>
    <row r="616" spans="2:7" ht="15.75" customHeight="1" x14ac:dyDescent="0.25">
      <c r="B616" s="139"/>
      <c r="G616" s="140"/>
    </row>
    <row r="617" spans="2:7" ht="15.75" customHeight="1" x14ac:dyDescent="0.25">
      <c r="B617" s="139"/>
      <c r="G617" s="140"/>
    </row>
    <row r="618" spans="2:7" ht="15.75" customHeight="1" x14ac:dyDescent="0.25">
      <c r="B618" s="139"/>
      <c r="G618" s="140"/>
    </row>
    <row r="619" spans="2:7" ht="15.75" customHeight="1" x14ac:dyDescent="0.25">
      <c r="B619" s="139"/>
      <c r="G619" s="140"/>
    </row>
    <row r="620" spans="2:7" ht="15.75" customHeight="1" x14ac:dyDescent="0.25">
      <c r="B620" s="139"/>
      <c r="G620" s="140"/>
    </row>
    <row r="621" spans="2:7" ht="15.75" customHeight="1" x14ac:dyDescent="0.25">
      <c r="B621" s="139"/>
      <c r="G621" s="140"/>
    </row>
    <row r="622" spans="2:7" ht="15.75" customHeight="1" x14ac:dyDescent="0.25">
      <c r="B622" s="139"/>
      <c r="G622" s="140"/>
    </row>
    <row r="623" spans="2:7" ht="15.75" customHeight="1" x14ac:dyDescent="0.25">
      <c r="B623" s="139"/>
      <c r="G623" s="140"/>
    </row>
    <row r="624" spans="2:7" ht="15.75" customHeight="1" x14ac:dyDescent="0.25">
      <c r="B624" s="139"/>
      <c r="G624" s="140"/>
    </row>
    <row r="625" spans="2:7" ht="15.75" customHeight="1" x14ac:dyDescent="0.25">
      <c r="B625" s="139"/>
      <c r="G625" s="140"/>
    </row>
    <row r="626" spans="2:7" ht="15.75" customHeight="1" x14ac:dyDescent="0.25">
      <c r="B626" s="139"/>
      <c r="G626" s="140"/>
    </row>
    <row r="627" spans="2:7" ht="15.75" customHeight="1" x14ac:dyDescent="0.25">
      <c r="B627" s="139"/>
      <c r="G627" s="140"/>
    </row>
    <row r="628" spans="2:7" ht="15.75" customHeight="1" x14ac:dyDescent="0.25">
      <c r="B628" s="139"/>
      <c r="G628" s="140"/>
    </row>
    <row r="629" spans="2:7" ht="15.75" customHeight="1" x14ac:dyDescent="0.25">
      <c r="B629" s="139"/>
      <c r="G629" s="140"/>
    </row>
    <row r="630" spans="2:7" ht="15.75" customHeight="1" x14ac:dyDescent="0.25">
      <c r="B630" s="139"/>
      <c r="G630" s="140"/>
    </row>
    <row r="631" spans="2:7" ht="15.75" customHeight="1" x14ac:dyDescent="0.25">
      <c r="B631" s="139"/>
      <c r="G631" s="140"/>
    </row>
    <row r="632" spans="2:7" ht="15.75" customHeight="1" x14ac:dyDescent="0.25">
      <c r="B632" s="139"/>
      <c r="G632" s="140"/>
    </row>
    <row r="633" spans="2:7" ht="15.75" customHeight="1" x14ac:dyDescent="0.25">
      <c r="B633" s="139"/>
      <c r="G633" s="140"/>
    </row>
    <row r="634" spans="2:7" ht="15.75" customHeight="1" x14ac:dyDescent="0.25">
      <c r="B634" s="139"/>
      <c r="G634" s="140"/>
    </row>
    <row r="635" spans="2:7" ht="15.75" customHeight="1" x14ac:dyDescent="0.25">
      <c r="B635" s="139"/>
      <c r="G635" s="140"/>
    </row>
    <row r="636" spans="2:7" ht="15.75" customHeight="1" x14ac:dyDescent="0.25">
      <c r="B636" s="139"/>
      <c r="G636" s="140"/>
    </row>
    <row r="637" spans="2:7" ht="15.75" customHeight="1" x14ac:dyDescent="0.25">
      <c r="B637" s="139"/>
      <c r="G637" s="140"/>
    </row>
    <row r="638" spans="2:7" ht="15.75" customHeight="1" x14ac:dyDescent="0.25">
      <c r="B638" s="139"/>
      <c r="G638" s="140"/>
    </row>
    <row r="639" spans="2:7" ht="15.75" customHeight="1" x14ac:dyDescent="0.25">
      <c r="B639" s="139"/>
      <c r="G639" s="140"/>
    </row>
    <row r="640" spans="2:7" ht="15.75" customHeight="1" x14ac:dyDescent="0.25">
      <c r="B640" s="139"/>
      <c r="G640" s="140"/>
    </row>
    <row r="641" spans="2:7" ht="15.75" customHeight="1" x14ac:dyDescent="0.25">
      <c r="B641" s="139"/>
      <c r="G641" s="140"/>
    </row>
    <row r="642" spans="2:7" ht="15.75" customHeight="1" x14ac:dyDescent="0.25">
      <c r="B642" s="139"/>
      <c r="G642" s="140"/>
    </row>
    <row r="643" spans="2:7" ht="15.75" customHeight="1" x14ac:dyDescent="0.25">
      <c r="B643" s="139"/>
      <c r="G643" s="140"/>
    </row>
    <row r="644" spans="2:7" ht="15.75" customHeight="1" x14ac:dyDescent="0.25">
      <c r="B644" s="139"/>
      <c r="G644" s="140"/>
    </row>
    <row r="645" spans="2:7" ht="15.75" customHeight="1" x14ac:dyDescent="0.25">
      <c r="B645" s="139"/>
      <c r="G645" s="140"/>
    </row>
    <row r="646" spans="2:7" ht="15.75" customHeight="1" x14ac:dyDescent="0.25">
      <c r="B646" s="139"/>
      <c r="G646" s="140"/>
    </row>
    <row r="647" spans="2:7" ht="15.75" customHeight="1" x14ac:dyDescent="0.25">
      <c r="B647" s="139"/>
      <c r="G647" s="140"/>
    </row>
    <row r="648" spans="2:7" ht="15.75" customHeight="1" x14ac:dyDescent="0.25">
      <c r="B648" s="139"/>
      <c r="G648" s="140"/>
    </row>
    <row r="649" spans="2:7" ht="15.75" customHeight="1" x14ac:dyDescent="0.25">
      <c r="B649" s="139"/>
      <c r="G649" s="140"/>
    </row>
    <row r="650" spans="2:7" ht="15.75" customHeight="1" x14ac:dyDescent="0.25">
      <c r="B650" s="139"/>
      <c r="G650" s="140"/>
    </row>
    <row r="651" spans="2:7" ht="15.75" customHeight="1" x14ac:dyDescent="0.25">
      <c r="B651" s="139"/>
      <c r="G651" s="140"/>
    </row>
    <row r="652" spans="2:7" ht="15.75" customHeight="1" x14ac:dyDescent="0.25">
      <c r="B652" s="139"/>
      <c r="G652" s="140"/>
    </row>
    <row r="653" spans="2:7" ht="15.75" customHeight="1" x14ac:dyDescent="0.25">
      <c r="B653" s="139"/>
      <c r="G653" s="140"/>
    </row>
    <row r="654" spans="2:7" ht="15.75" customHeight="1" x14ac:dyDescent="0.25">
      <c r="B654" s="139"/>
      <c r="G654" s="140"/>
    </row>
    <row r="655" spans="2:7" ht="15.75" customHeight="1" x14ac:dyDescent="0.25">
      <c r="B655" s="139"/>
      <c r="G655" s="140"/>
    </row>
    <row r="656" spans="2:7" ht="15.75" customHeight="1" x14ac:dyDescent="0.25">
      <c r="B656" s="139"/>
      <c r="G656" s="140"/>
    </row>
    <row r="657" spans="2:7" ht="15.75" customHeight="1" x14ac:dyDescent="0.25">
      <c r="B657" s="139"/>
      <c r="G657" s="140"/>
    </row>
    <row r="658" spans="2:7" ht="15.75" customHeight="1" x14ac:dyDescent="0.25">
      <c r="B658" s="139"/>
      <c r="G658" s="140"/>
    </row>
    <row r="659" spans="2:7" ht="15.75" customHeight="1" x14ac:dyDescent="0.25">
      <c r="B659" s="139"/>
      <c r="G659" s="140"/>
    </row>
    <row r="660" spans="2:7" ht="15.75" customHeight="1" x14ac:dyDescent="0.25">
      <c r="B660" s="139"/>
      <c r="G660" s="140"/>
    </row>
    <row r="661" spans="2:7" ht="15.75" customHeight="1" x14ac:dyDescent="0.25">
      <c r="B661" s="139"/>
      <c r="G661" s="140"/>
    </row>
    <row r="662" spans="2:7" ht="15.75" customHeight="1" x14ac:dyDescent="0.25">
      <c r="B662" s="139"/>
      <c r="G662" s="140"/>
    </row>
    <row r="663" spans="2:7" ht="15.75" customHeight="1" x14ac:dyDescent="0.25">
      <c r="B663" s="139"/>
      <c r="G663" s="140"/>
    </row>
    <row r="664" spans="2:7" ht="15.75" customHeight="1" x14ac:dyDescent="0.25">
      <c r="B664" s="139"/>
      <c r="G664" s="140"/>
    </row>
    <row r="665" spans="2:7" ht="15.75" customHeight="1" x14ac:dyDescent="0.25">
      <c r="B665" s="139"/>
      <c r="G665" s="140"/>
    </row>
    <row r="666" spans="2:7" ht="15.75" customHeight="1" x14ac:dyDescent="0.25">
      <c r="B666" s="139"/>
      <c r="G666" s="140"/>
    </row>
    <row r="667" spans="2:7" ht="15.75" customHeight="1" x14ac:dyDescent="0.25">
      <c r="B667" s="139"/>
      <c r="G667" s="140"/>
    </row>
    <row r="668" spans="2:7" ht="15.75" customHeight="1" x14ac:dyDescent="0.25">
      <c r="B668" s="139"/>
      <c r="G668" s="140"/>
    </row>
    <row r="669" spans="2:7" ht="15.75" customHeight="1" x14ac:dyDescent="0.25">
      <c r="B669" s="139"/>
      <c r="G669" s="140"/>
    </row>
    <row r="670" spans="2:7" ht="15.75" customHeight="1" x14ac:dyDescent="0.25">
      <c r="B670" s="139"/>
      <c r="G670" s="140"/>
    </row>
    <row r="671" spans="2:7" ht="15.75" customHeight="1" x14ac:dyDescent="0.25">
      <c r="B671" s="139"/>
      <c r="G671" s="140"/>
    </row>
    <row r="672" spans="2:7" ht="15.75" customHeight="1" x14ac:dyDescent="0.25">
      <c r="B672" s="139"/>
      <c r="G672" s="140"/>
    </row>
    <row r="673" spans="2:7" ht="15.75" customHeight="1" x14ac:dyDescent="0.25">
      <c r="B673" s="139"/>
      <c r="G673" s="140"/>
    </row>
    <row r="674" spans="2:7" ht="15.75" customHeight="1" x14ac:dyDescent="0.25">
      <c r="B674" s="139"/>
      <c r="G674" s="140"/>
    </row>
    <row r="675" spans="2:7" ht="15.75" customHeight="1" x14ac:dyDescent="0.25">
      <c r="B675" s="139"/>
      <c r="G675" s="140"/>
    </row>
    <row r="676" spans="2:7" ht="15.75" customHeight="1" x14ac:dyDescent="0.25">
      <c r="B676" s="139"/>
      <c r="G676" s="140"/>
    </row>
    <row r="677" spans="2:7" ht="15.75" customHeight="1" x14ac:dyDescent="0.25">
      <c r="B677" s="139"/>
      <c r="G677" s="140"/>
    </row>
    <row r="678" spans="2:7" ht="15.75" customHeight="1" x14ac:dyDescent="0.25">
      <c r="B678" s="139"/>
      <c r="G678" s="140"/>
    </row>
    <row r="679" spans="2:7" ht="15.75" customHeight="1" x14ac:dyDescent="0.25">
      <c r="B679" s="139"/>
      <c r="G679" s="140"/>
    </row>
    <row r="680" spans="2:7" ht="15.75" customHeight="1" x14ac:dyDescent="0.25">
      <c r="B680" s="139"/>
      <c r="G680" s="140"/>
    </row>
    <row r="681" spans="2:7" ht="15.75" customHeight="1" x14ac:dyDescent="0.25">
      <c r="B681" s="139"/>
      <c r="G681" s="140"/>
    </row>
    <row r="682" spans="2:7" ht="15.75" customHeight="1" x14ac:dyDescent="0.25">
      <c r="B682" s="139"/>
      <c r="G682" s="140"/>
    </row>
    <row r="683" spans="2:7" ht="15.75" customHeight="1" x14ac:dyDescent="0.25">
      <c r="B683" s="139"/>
      <c r="G683" s="140"/>
    </row>
    <row r="684" spans="2:7" ht="15.75" customHeight="1" x14ac:dyDescent="0.25">
      <c r="B684" s="139"/>
      <c r="G684" s="140"/>
    </row>
    <row r="685" spans="2:7" ht="15.75" customHeight="1" x14ac:dyDescent="0.25">
      <c r="B685" s="139"/>
      <c r="G685" s="140"/>
    </row>
    <row r="686" spans="2:7" ht="15.75" customHeight="1" x14ac:dyDescent="0.25">
      <c r="B686" s="139"/>
      <c r="G686" s="140"/>
    </row>
    <row r="687" spans="2:7" ht="15.75" customHeight="1" x14ac:dyDescent="0.25">
      <c r="B687" s="139"/>
      <c r="G687" s="140"/>
    </row>
    <row r="688" spans="2:7" ht="15.75" customHeight="1" x14ac:dyDescent="0.25">
      <c r="B688" s="139"/>
      <c r="G688" s="140"/>
    </row>
    <row r="689" spans="2:7" ht="15.75" customHeight="1" x14ac:dyDescent="0.25">
      <c r="B689" s="139"/>
      <c r="G689" s="140"/>
    </row>
    <row r="690" spans="2:7" ht="15.75" customHeight="1" x14ac:dyDescent="0.25">
      <c r="B690" s="139"/>
      <c r="G690" s="140"/>
    </row>
    <row r="691" spans="2:7" ht="15.75" customHeight="1" x14ac:dyDescent="0.25">
      <c r="B691" s="139"/>
      <c r="G691" s="140"/>
    </row>
    <row r="692" spans="2:7" ht="15.75" customHeight="1" x14ac:dyDescent="0.25">
      <c r="B692" s="139"/>
      <c r="G692" s="140"/>
    </row>
    <row r="693" spans="2:7" ht="15.75" customHeight="1" x14ac:dyDescent="0.25">
      <c r="B693" s="139"/>
      <c r="G693" s="140"/>
    </row>
    <row r="694" spans="2:7" ht="15.75" customHeight="1" x14ac:dyDescent="0.25">
      <c r="B694" s="139"/>
      <c r="G694" s="140"/>
    </row>
    <row r="695" spans="2:7" ht="15.75" customHeight="1" x14ac:dyDescent="0.25">
      <c r="B695" s="139"/>
      <c r="G695" s="140"/>
    </row>
    <row r="696" spans="2:7" ht="15.75" customHeight="1" x14ac:dyDescent="0.25">
      <c r="B696" s="139"/>
      <c r="G696" s="140"/>
    </row>
    <row r="697" spans="2:7" ht="15.75" customHeight="1" x14ac:dyDescent="0.25">
      <c r="B697" s="139"/>
      <c r="G697" s="140"/>
    </row>
    <row r="698" spans="2:7" ht="15.75" customHeight="1" x14ac:dyDescent="0.25">
      <c r="B698" s="139"/>
      <c r="G698" s="140"/>
    </row>
    <row r="699" spans="2:7" ht="15.75" customHeight="1" x14ac:dyDescent="0.25">
      <c r="B699" s="139"/>
      <c r="G699" s="140"/>
    </row>
    <row r="700" spans="2:7" ht="15.75" customHeight="1" x14ac:dyDescent="0.25">
      <c r="B700" s="139"/>
      <c r="G700" s="140"/>
    </row>
    <row r="701" spans="2:7" ht="15.75" customHeight="1" x14ac:dyDescent="0.25">
      <c r="B701" s="139"/>
      <c r="G701" s="140"/>
    </row>
    <row r="702" spans="2:7" ht="15.75" customHeight="1" x14ac:dyDescent="0.25">
      <c r="B702" s="139"/>
      <c r="G702" s="140"/>
    </row>
    <row r="703" spans="2:7" ht="15.75" customHeight="1" x14ac:dyDescent="0.25">
      <c r="B703" s="139"/>
      <c r="G703" s="140"/>
    </row>
    <row r="704" spans="2:7" ht="15.75" customHeight="1" x14ac:dyDescent="0.25">
      <c r="B704" s="139"/>
      <c r="G704" s="140"/>
    </row>
    <row r="705" spans="2:7" ht="15.75" customHeight="1" x14ac:dyDescent="0.25">
      <c r="B705" s="139"/>
      <c r="G705" s="140"/>
    </row>
    <row r="706" spans="2:7" ht="15.75" customHeight="1" x14ac:dyDescent="0.25">
      <c r="B706" s="139"/>
      <c r="G706" s="140"/>
    </row>
    <row r="707" spans="2:7" ht="15.75" customHeight="1" x14ac:dyDescent="0.25">
      <c r="B707" s="139"/>
      <c r="G707" s="140"/>
    </row>
    <row r="708" spans="2:7" ht="15.75" customHeight="1" x14ac:dyDescent="0.25">
      <c r="B708" s="139"/>
      <c r="G708" s="140"/>
    </row>
    <row r="709" spans="2:7" ht="15.75" customHeight="1" x14ac:dyDescent="0.25">
      <c r="B709" s="139"/>
      <c r="G709" s="140"/>
    </row>
    <row r="710" spans="2:7" ht="15.75" customHeight="1" x14ac:dyDescent="0.25">
      <c r="B710" s="139"/>
      <c r="G710" s="140"/>
    </row>
    <row r="711" spans="2:7" ht="15.75" customHeight="1" x14ac:dyDescent="0.25">
      <c r="B711" s="139"/>
      <c r="G711" s="140"/>
    </row>
    <row r="712" spans="2:7" ht="15.75" customHeight="1" x14ac:dyDescent="0.25">
      <c r="B712" s="139"/>
      <c r="G712" s="140"/>
    </row>
    <row r="713" spans="2:7" ht="15.75" customHeight="1" x14ac:dyDescent="0.25">
      <c r="B713" s="139"/>
      <c r="G713" s="140"/>
    </row>
    <row r="714" spans="2:7" ht="15.75" customHeight="1" x14ac:dyDescent="0.25">
      <c r="B714" s="139"/>
      <c r="G714" s="140"/>
    </row>
    <row r="715" spans="2:7" ht="15.75" customHeight="1" x14ac:dyDescent="0.25">
      <c r="B715" s="139"/>
      <c r="G715" s="140"/>
    </row>
    <row r="716" spans="2:7" ht="15.75" customHeight="1" x14ac:dyDescent="0.25">
      <c r="B716" s="139"/>
      <c r="G716" s="140"/>
    </row>
    <row r="717" spans="2:7" ht="15.75" customHeight="1" x14ac:dyDescent="0.25">
      <c r="B717" s="139"/>
      <c r="G717" s="140"/>
    </row>
    <row r="718" spans="2:7" ht="15.75" customHeight="1" x14ac:dyDescent="0.25">
      <c r="B718" s="139"/>
      <c r="G718" s="140"/>
    </row>
    <row r="719" spans="2:7" ht="15.75" customHeight="1" x14ac:dyDescent="0.25">
      <c r="B719" s="139"/>
      <c r="G719" s="140"/>
    </row>
    <row r="720" spans="2:7" ht="15.75" customHeight="1" x14ac:dyDescent="0.25">
      <c r="B720" s="139"/>
      <c r="G720" s="140"/>
    </row>
    <row r="721" spans="2:7" ht="15.75" customHeight="1" x14ac:dyDescent="0.25">
      <c r="B721" s="139"/>
      <c r="G721" s="140"/>
    </row>
    <row r="722" spans="2:7" ht="15.75" customHeight="1" x14ac:dyDescent="0.25">
      <c r="B722" s="139"/>
      <c r="G722" s="140"/>
    </row>
    <row r="723" spans="2:7" ht="15.75" customHeight="1" x14ac:dyDescent="0.25">
      <c r="B723" s="139"/>
      <c r="G723" s="140"/>
    </row>
    <row r="724" spans="2:7" ht="15.75" customHeight="1" x14ac:dyDescent="0.25">
      <c r="B724" s="139"/>
      <c r="G724" s="140"/>
    </row>
    <row r="725" spans="2:7" ht="15.75" customHeight="1" x14ac:dyDescent="0.25">
      <c r="B725" s="139"/>
      <c r="G725" s="140"/>
    </row>
    <row r="726" spans="2:7" ht="15.75" customHeight="1" x14ac:dyDescent="0.25">
      <c r="B726" s="139"/>
      <c r="G726" s="140"/>
    </row>
    <row r="727" spans="2:7" ht="15.75" customHeight="1" x14ac:dyDescent="0.25">
      <c r="B727" s="139"/>
      <c r="G727" s="140"/>
    </row>
    <row r="728" spans="2:7" ht="15.75" customHeight="1" x14ac:dyDescent="0.25">
      <c r="B728" s="139"/>
      <c r="G728" s="140"/>
    </row>
    <row r="729" spans="2:7" ht="15.75" customHeight="1" x14ac:dyDescent="0.25">
      <c r="B729" s="139"/>
      <c r="G729" s="140"/>
    </row>
    <row r="730" spans="2:7" ht="15.75" customHeight="1" x14ac:dyDescent="0.25">
      <c r="B730" s="139"/>
      <c r="G730" s="140"/>
    </row>
    <row r="731" spans="2:7" ht="15.75" customHeight="1" x14ac:dyDescent="0.25">
      <c r="B731" s="139"/>
      <c r="G731" s="140"/>
    </row>
    <row r="732" spans="2:7" ht="15.75" customHeight="1" x14ac:dyDescent="0.25">
      <c r="B732" s="139"/>
      <c r="G732" s="140"/>
    </row>
    <row r="733" spans="2:7" ht="15.75" customHeight="1" x14ac:dyDescent="0.25">
      <c r="B733" s="139"/>
      <c r="G733" s="140"/>
    </row>
    <row r="734" spans="2:7" ht="15.75" customHeight="1" x14ac:dyDescent="0.25">
      <c r="B734" s="139"/>
      <c r="G734" s="140"/>
    </row>
    <row r="735" spans="2:7" ht="15.75" customHeight="1" x14ac:dyDescent="0.25">
      <c r="B735" s="139"/>
      <c r="G735" s="140"/>
    </row>
    <row r="736" spans="2:7" ht="15.75" customHeight="1" x14ac:dyDescent="0.25">
      <c r="B736" s="139"/>
      <c r="G736" s="140"/>
    </row>
    <row r="737" spans="2:7" ht="15.75" customHeight="1" x14ac:dyDescent="0.25">
      <c r="B737" s="139"/>
      <c r="G737" s="140"/>
    </row>
    <row r="738" spans="2:7" ht="15.75" customHeight="1" x14ac:dyDescent="0.25">
      <c r="B738" s="139"/>
      <c r="G738" s="140"/>
    </row>
    <row r="739" spans="2:7" ht="15.75" customHeight="1" x14ac:dyDescent="0.25">
      <c r="B739" s="139"/>
      <c r="G739" s="140"/>
    </row>
    <row r="740" spans="2:7" ht="15.75" customHeight="1" x14ac:dyDescent="0.25">
      <c r="B740" s="139"/>
      <c r="G740" s="140"/>
    </row>
    <row r="741" spans="2:7" ht="15.75" customHeight="1" x14ac:dyDescent="0.25">
      <c r="B741" s="139"/>
      <c r="G741" s="140"/>
    </row>
    <row r="742" spans="2:7" ht="15.75" customHeight="1" x14ac:dyDescent="0.25">
      <c r="B742" s="139"/>
      <c r="G742" s="140"/>
    </row>
    <row r="743" spans="2:7" ht="15.75" customHeight="1" x14ac:dyDescent="0.25">
      <c r="B743" s="139"/>
      <c r="G743" s="140"/>
    </row>
    <row r="744" spans="2:7" ht="15.75" customHeight="1" x14ac:dyDescent="0.25">
      <c r="B744" s="139"/>
      <c r="G744" s="140"/>
    </row>
    <row r="745" spans="2:7" ht="15.75" customHeight="1" x14ac:dyDescent="0.25">
      <c r="B745" s="139"/>
      <c r="G745" s="140"/>
    </row>
    <row r="746" spans="2:7" ht="15.75" customHeight="1" x14ac:dyDescent="0.25">
      <c r="B746" s="139"/>
      <c r="G746" s="140"/>
    </row>
    <row r="747" spans="2:7" ht="15.75" customHeight="1" x14ac:dyDescent="0.25">
      <c r="B747" s="139"/>
      <c r="G747" s="140"/>
    </row>
    <row r="748" spans="2:7" ht="15.75" customHeight="1" x14ac:dyDescent="0.25">
      <c r="B748" s="139"/>
      <c r="G748" s="140"/>
    </row>
    <row r="749" spans="2:7" ht="15.75" customHeight="1" x14ac:dyDescent="0.25">
      <c r="B749" s="139"/>
      <c r="G749" s="140"/>
    </row>
    <row r="750" spans="2:7" ht="15.75" customHeight="1" x14ac:dyDescent="0.25">
      <c r="B750" s="139"/>
      <c r="G750" s="140"/>
    </row>
    <row r="751" spans="2:7" ht="15.75" customHeight="1" x14ac:dyDescent="0.25">
      <c r="B751" s="139"/>
      <c r="G751" s="140"/>
    </row>
    <row r="752" spans="2:7" ht="15.75" customHeight="1" x14ac:dyDescent="0.25">
      <c r="B752" s="139"/>
      <c r="G752" s="140"/>
    </row>
    <row r="753" spans="2:7" ht="15.75" customHeight="1" x14ac:dyDescent="0.25">
      <c r="B753" s="139"/>
      <c r="G753" s="140"/>
    </row>
    <row r="754" spans="2:7" ht="15.75" customHeight="1" x14ac:dyDescent="0.25">
      <c r="B754" s="139"/>
      <c r="G754" s="140"/>
    </row>
    <row r="755" spans="2:7" ht="15.75" customHeight="1" x14ac:dyDescent="0.25">
      <c r="B755" s="139"/>
      <c r="G755" s="140"/>
    </row>
    <row r="756" spans="2:7" ht="15.75" customHeight="1" x14ac:dyDescent="0.25">
      <c r="B756" s="139"/>
      <c r="G756" s="140"/>
    </row>
    <row r="757" spans="2:7" ht="15.75" customHeight="1" x14ac:dyDescent="0.25">
      <c r="B757" s="139"/>
      <c r="G757" s="140"/>
    </row>
    <row r="758" spans="2:7" ht="15.75" customHeight="1" x14ac:dyDescent="0.25">
      <c r="B758" s="139"/>
      <c r="G758" s="140"/>
    </row>
    <row r="759" spans="2:7" ht="15.75" customHeight="1" x14ac:dyDescent="0.25">
      <c r="B759" s="139"/>
      <c r="G759" s="140"/>
    </row>
    <row r="760" spans="2:7" ht="15.75" customHeight="1" x14ac:dyDescent="0.25">
      <c r="B760" s="139"/>
      <c r="G760" s="140"/>
    </row>
    <row r="761" spans="2:7" ht="15.75" customHeight="1" x14ac:dyDescent="0.25">
      <c r="B761" s="139"/>
      <c r="G761" s="140"/>
    </row>
    <row r="762" spans="2:7" ht="15.75" customHeight="1" x14ac:dyDescent="0.25">
      <c r="B762" s="139"/>
      <c r="G762" s="140"/>
    </row>
    <row r="763" spans="2:7" ht="15.75" customHeight="1" x14ac:dyDescent="0.25">
      <c r="B763" s="139"/>
      <c r="G763" s="140"/>
    </row>
    <row r="764" spans="2:7" ht="15.75" customHeight="1" x14ac:dyDescent="0.25">
      <c r="B764" s="139"/>
      <c r="G764" s="140"/>
    </row>
    <row r="765" spans="2:7" ht="15.75" customHeight="1" x14ac:dyDescent="0.25">
      <c r="B765" s="139"/>
      <c r="G765" s="140"/>
    </row>
    <row r="766" spans="2:7" ht="15.75" customHeight="1" x14ac:dyDescent="0.25">
      <c r="B766" s="139"/>
      <c r="G766" s="140"/>
    </row>
    <row r="767" spans="2:7" ht="15.75" customHeight="1" x14ac:dyDescent="0.25">
      <c r="B767" s="139"/>
      <c r="G767" s="140"/>
    </row>
    <row r="768" spans="2:7" ht="15.75" customHeight="1" x14ac:dyDescent="0.25">
      <c r="B768" s="139"/>
      <c r="G768" s="140"/>
    </row>
    <row r="769" spans="2:7" ht="15.75" customHeight="1" x14ac:dyDescent="0.25">
      <c r="B769" s="139"/>
      <c r="G769" s="140"/>
    </row>
    <row r="770" spans="2:7" ht="15.75" customHeight="1" x14ac:dyDescent="0.25">
      <c r="B770" s="139"/>
      <c r="G770" s="140"/>
    </row>
    <row r="771" spans="2:7" ht="15.75" customHeight="1" x14ac:dyDescent="0.25">
      <c r="B771" s="139"/>
      <c r="G771" s="140"/>
    </row>
    <row r="772" spans="2:7" ht="15.75" customHeight="1" x14ac:dyDescent="0.25">
      <c r="B772" s="139"/>
      <c r="G772" s="140"/>
    </row>
    <row r="773" spans="2:7" ht="15.75" customHeight="1" x14ac:dyDescent="0.25">
      <c r="B773" s="139"/>
      <c r="G773" s="140"/>
    </row>
    <row r="774" spans="2:7" ht="15.75" customHeight="1" x14ac:dyDescent="0.25">
      <c r="B774" s="139"/>
      <c r="G774" s="140"/>
    </row>
    <row r="775" spans="2:7" ht="15.75" customHeight="1" x14ac:dyDescent="0.25">
      <c r="B775" s="139"/>
      <c r="G775" s="140"/>
    </row>
    <row r="776" spans="2:7" ht="15.75" customHeight="1" x14ac:dyDescent="0.25">
      <c r="B776" s="139"/>
      <c r="G776" s="140"/>
    </row>
    <row r="777" spans="2:7" ht="15.75" customHeight="1" x14ac:dyDescent="0.25">
      <c r="B777" s="139"/>
      <c r="G777" s="140"/>
    </row>
    <row r="778" spans="2:7" ht="15.75" customHeight="1" x14ac:dyDescent="0.25">
      <c r="B778" s="139"/>
      <c r="G778" s="140"/>
    </row>
    <row r="779" spans="2:7" ht="15.75" customHeight="1" x14ac:dyDescent="0.25">
      <c r="B779" s="139"/>
      <c r="G779" s="140"/>
    </row>
    <row r="780" spans="2:7" ht="15.75" customHeight="1" x14ac:dyDescent="0.25">
      <c r="B780" s="139"/>
      <c r="G780" s="140"/>
    </row>
    <row r="781" spans="2:7" ht="15.75" customHeight="1" x14ac:dyDescent="0.25">
      <c r="B781" s="139"/>
      <c r="G781" s="140"/>
    </row>
    <row r="782" spans="2:7" ht="15.75" customHeight="1" x14ac:dyDescent="0.25">
      <c r="B782" s="139"/>
      <c r="G782" s="140"/>
    </row>
    <row r="783" spans="2:7" ht="15.75" customHeight="1" x14ac:dyDescent="0.25">
      <c r="B783" s="139"/>
      <c r="G783" s="140"/>
    </row>
    <row r="784" spans="2:7" ht="15.75" customHeight="1" x14ac:dyDescent="0.25">
      <c r="B784" s="139"/>
      <c r="G784" s="140"/>
    </row>
    <row r="785" spans="2:7" ht="15.75" customHeight="1" x14ac:dyDescent="0.25">
      <c r="B785" s="139"/>
      <c r="G785" s="140"/>
    </row>
    <row r="786" spans="2:7" ht="15.75" customHeight="1" x14ac:dyDescent="0.25">
      <c r="B786" s="139"/>
      <c r="G786" s="140"/>
    </row>
    <row r="787" spans="2:7" ht="15.75" customHeight="1" x14ac:dyDescent="0.25">
      <c r="B787" s="139"/>
      <c r="G787" s="140"/>
    </row>
    <row r="788" spans="2:7" ht="15.75" customHeight="1" x14ac:dyDescent="0.25">
      <c r="B788" s="139"/>
      <c r="G788" s="140"/>
    </row>
    <row r="789" spans="2:7" ht="15.75" customHeight="1" x14ac:dyDescent="0.25">
      <c r="B789" s="139"/>
      <c r="G789" s="140"/>
    </row>
    <row r="790" spans="2:7" ht="15.75" customHeight="1" x14ac:dyDescent="0.25">
      <c r="B790" s="139"/>
      <c r="G790" s="140"/>
    </row>
    <row r="791" spans="2:7" ht="15.75" customHeight="1" x14ac:dyDescent="0.25">
      <c r="B791" s="139"/>
      <c r="G791" s="140"/>
    </row>
    <row r="792" spans="2:7" ht="15.75" customHeight="1" x14ac:dyDescent="0.25">
      <c r="B792" s="139"/>
      <c r="G792" s="140"/>
    </row>
    <row r="793" spans="2:7" ht="15.75" customHeight="1" x14ac:dyDescent="0.25">
      <c r="B793" s="139"/>
      <c r="G793" s="140"/>
    </row>
    <row r="794" spans="2:7" ht="15.75" customHeight="1" x14ac:dyDescent="0.25">
      <c r="B794" s="139"/>
      <c r="G794" s="140"/>
    </row>
    <row r="795" spans="2:7" ht="15.75" customHeight="1" x14ac:dyDescent="0.25">
      <c r="B795" s="139"/>
      <c r="G795" s="140"/>
    </row>
    <row r="796" spans="2:7" ht="15.75" customHeight="1" x14ac:dyDescent="0.25">
      <c r="B796" s="139"/>
      <c r="G796" s="140"/>
    </row>
    <row r="797" spans="2:7" ht="15.75" customHeight="1" x14ac:dyDescent="0.25">
      <c r="B797" s="139"/>
      <c r="G797" s="140"/>
    </row>
    <row r="798" spans="2:7" ht="15.75" customHeight="1" x14ac:dyDescent="0.25">
      <c r="B798" s="139"/>
      <c r="G798" s="140"/>
    </row>
    <row r="799" spans="2:7" ht="15.75" customHeight="1" x14ac:dyDescent="0.25">
      <c r="B799" s="139"/>
      <c r="G799" s="140"/>
    </row>
    <row r="800" spans="2:7" ht="15.75" customHeight="1" x14ac:dyDescent="0.25">
      <c r="B800" s="139"/>
      <c r="G800" s="140"/>
    </row>
    <row r="801" spans="2:7" ht="15.75" customHeight="1" x14ac:dyDescent="0.25">
      <c r="B801" s="139"/>
      <c r="G801" s="140"/>
    </row>
    <row r="802" spans="2:7" ht="15.75" customHeight="1" x14ac:dyDescent="0.25">
      <c r="B802" s="139"/>
      <c r="G802" s="140"/>
    </row>
    <row r="803" spans="2:7" ht="15.75" customHeight="1" x14ac:dyDescent="0.25">
      <c r="B803" s="139"/>
      <c r="G803" s="140"/>
    </row>
    <row r="804" spans="2:7" ht="15.75" customHeight="1" x14ac:dyDescent="0.25">
      <c r="B804" s="139"/>
      <c r="G804" s="140"/>
    </row>
    <row r="805" spans="2:7" ht="15.75" customHeight="1" x14ac:dyDescent="0.25">
      <c r="B805" s="139"/>
      <c r="G805" s="140"/>
    </row>
    <row r="806" spans="2:7" ht="15.75" customHeight="1" x14ac:dyDescent="0.25">
      <c r="B806" s="139"/>
      <c r="G806" s="140"/>
    </row>
    <row r="807" spans="2:7" ht="15.75" customHeight="1" x14ac:dyDescent="0.25">
      <c r="B807" s="139"/>
      <c r="G807" s="140"/>
    </row>
    <row r="808" spans="2:7" ht="15.75" customHeight="1" x14ac:dyDescent="0.25">
      <c r="B808" s="139"/>
      <c r="G808" s="140"/>
    </row>
    <row r="809" spans="2:7" ht="15.75" customHeight="1" x14ac:dyDescent="0.25">
      <c r="B809" s="139"/>
      <c r="G809" s="140"/>
    </row>
    <row r="810" spans="2:7" ht="15.75" customHeight="1" x14ac:dyDescent="0.25">
      <c r="B810" s="139"/>
      <c r="G810" s="140"/>
    </row>
    <row r="811" spans="2:7" ht="15.75" customHeight="1" x14ac:dyDescent="0.25">
      <c r="B811" s="139"/>
      <c r="G811" s="140"/>
    </row>
    <row r="812" spans="2:7" ht="15.75" customHeight="1" x14ac:dyDescent="0.25">
      <c r="B812" s="139"/>
      <c r="G812" s="140"/>
    </row>
    <row r="813" spans="2:7" ht="15.75" customHeight="1" x14ac:dyDescent="0.25">
      <c r="B813" s="139"/>
      <c r="G813" s="140"/>
    </row>
    <row r="814" spans="2:7" ht="15.75" customHeight="1" x14ac:dyDescent="0.25">
      <c r="B814" s="139"/>
      <c r="G814" s="140"/>
    </row>
    <row r="815" spans="2:7" ht="15.75" customHeight="1" x14ac:dyDescent="0.25">
      <c r="B815" s="139"/>
      <c r="G815" s="140"/>
    </row>
    <row r="816" spans="2:7" ht="15.75" customHeight="1" x14ac:dyDescent="0.25">
      <c r="B816" s="139"/>
      <c r="G816" s="140"/>
    </row>
    <row r="817" spans="2:7" ht="15.75" customHeight="1" x14ac:dyDescent="0.25">
      <c r="B817" s="139"/>
      <c r="G817" s="140"/>
    </row>
    <row r="818" spans="2:7" ht="15.75" customHeight="1" x14ac:dyDescent="0.25">
      <c r="B818" s="139"/>
      <c r="G818" s="140"/>
    </row>
    <row r="819" spans="2:7" ht="15.75" customHeight="1" x14ac:dyDescent="0.25">
      <c r="B819" s="139"/>
      <c r="G819" s="140"/>
    </row>
    <row r="820" spans="2:7" ht="15.75" customHeight="1" x14ac:dyDescent="0.25">
      <c r="B820" s="139"/>
      <c r="G820" s="140"/>
    </row>
    <row r="821" spans="2:7" ht="15.75" customHeight="1" x14ac:dyDescent="0.25">
      <c r="B821" s="139"/>
      <c r="G821" s="140"/>
    </row>
    <row r="822" spans="2:7" ht="15.75" customHeight="1" x14ac:dyDescent="0.25">
      <c r="B822" s="139"/>
      <c r="G822" s="140"/>
    </row>
    <row r="823" spans="2:7" ht="15.75" customHeight="1" x14ac:dyDescent="0.25">
      <c r="B823" s="139"/>
      <c r="G823" s="140"/>
    </row>
    <row r="824" spans="2:7" ht="15.75" customHeight="1" x14ac:dyDescent="0.25">
      <c r="B824" s="139"/>
      <c r="G824" s="140"/>
    </row>
    <row r="825" spans="2:7" ht="15.75" customHeight="1" x14ac:dyDescent="0.25">
      <c r="B825" s="139"/>
      <c r="G825" s="140"/>
    </row>
    <row r="826" spans="2:7" ht="15.75" customHeight="1" x14ac:dyDescent="0.25">
      <c r="B826" s="139"/>
      <c r="G826" s="140"/>
    </row>
    <row r="827" spans="2:7" ht="15.75" customHeight="1" x14ac:dyDescent="0.25">
      <c r="B827" s="139"/>
      <c r="G827" s="140"/>
    </row>
    <row r="828" spans="2:7" ht="15.75" customHeight="1" x14ac:dyDescent="0.25">
      <c r="B828" s="139"/>
      <c r="G828" s="140"/>
    </row>
    <row r="829" spans="2:7" ht="15.75" customHeight="1" x14ac:dyDescent="0.25">
      <c r="B829" s="139"/>
      <c r="G829" s="140"/>
    </row>
    <row r="830" spans="2:7" ht="15.75" customHeight="1" x14ac:dyDescent="0.25">
      <c r="B830" s="139"/>
      <c r="G830" s="140"/>
    </row>
    <row r="831" spans="2:7" ht="15.75" customHeight="1" x14ac:dyDescent="0.25">
      <c r="B831" s="139"/>
      <c r="G831" s="140"/>
    </row>
    <row r="832" spans="2:7" ht="15.75" customHeight="1" x14ac:dyDescent="0.25">
      <c r="B832" s="139"/>
      <c r="G832" s="140"/>
    </row>
    <row r="833" spans="2:7" ht="15.75" customHeight="1" x14ac:dyDescent="0.25">
      <c r="B833" s="139"/>
      <c r="G833" s="140"/>
    </row>
    <row r="834" spans="2:7" ht="15.75" customHeight="1" x14ac:dyDescent="0.25">
      <c r="B834" s="139"/>
      <c r="G834" s="140"/>
    </row>
    <row r="835" spans="2:7" ht="15.75" customHeight="1" x14ac:dyDescent="0.25">
      <c r="B835" s="139"/>
      <c r="G835" s="140"/>
    </row>
    <row r="836" spans="2:7" ht="15.75" customHeight="1" x14ac:dyDescent="0.25">
      <c r="B836" s="139"/>
      <c r="G836" s="140"/>
    </row>
    <row r="837" spans="2:7" ht="15.75" customHeight="1" x14ac:dyDescent="0.25">
      <c r="B837" s="139"/>
      <c r="G837" s="140"/>
    </row>
    <row r="838" spans="2:7" ht="15.75" customHeight="1" x14ac:dyDescent="0.25">
      <c r="B838" s="139"/>
      <c r="G838" s="140"/>
    </row>
    <row r="839" spans="2:7" ht="15.75" customHeight="1" x14ac:dyDescent="0.25">
      <c r="B839" s="139"/>
      <c r="G839" s="140"/>
    </row>
    <row r="840" spans="2:7" ht="15.75" customHeight="1" x14ac:dyDescent="0.25">
      <c r="B840" s="139"/>
      <c r="G840" s="140"/>
    </row>
    <row r="841" spans="2:7" ht="15.75" customHeight="1" x14ac:dyDescent="0.25">
      <c r="B841" s="139"/>
      <c r="G841" s="140"/>
    </row>
    <row r="842" spans="2:7" ht="15.75" customHeight="1" x14ac:dyDescent="0.25">
      <c r="B842" s="139"/>
      <c r="G842" s="140"/>
    </row>
    <row r="843" spans="2:7" ht="15.75" customHeight="1" x14ac:dyDescent="0.25">
      <c r="B843" s="139"/>
      <c r="G843" s="140"/>
    </row>
    <row r="844" spans="2:7" ht="15.75" customHeight="1" x14ac:dyDescent="0.25">
      <c r="B844" s="139"/>
      <c r="G844" s="140"/>
    </row>
    <row r="845" spans="2:7" ht="15.75" customHeight="1" x14ac:dyDescent="0.25">
      <c r="B845" s="139"/>
      <c r="G845" s="140"/>
    </row>
    <row r="846" spans="2:7" ht="15.75" customHeight="1" x14ac:dyDescent="0.25">
      <c r="B846" s="139"/>
      <c r="G846" s="140"/>
    </row>
    <row r="847" spans="2:7" ht="15.75" customHeight="1" x14ac:dyDescent="0.25">
      <c r="B847" s="139"/>
      <c r="G847" s="140"/>
    </row>
    <row r="848" spans="2:7" ht="15.75" customHeight="1" x14ac:dyDescent="0.25">
      <c r="B848" s="139"/>
      <c r="G848" s="140"/>
    </row>
    <row r="849" spans="2:7" ht="15.75" customHeight="1" x14ac:dyDescent="0.25">
      <c r="B849" s="139"/>
      <c r="G849" s="140"/>
    </row>
    <row r="850" spans="2:7" ht="15.75" customHeight="1" x14ac:dyDescent="0.25">
      <c r="B850" s="139"/>
      <c r="G850" s="140"/>
    </row>
    <row r="851" spans="2:7" ht="15.75" customHeight="1" x14ac:dyDescent="0.25">
      <c r="B851" s="139"/>
      <c r="G851" s="140"/>
    </row>
    <row r="852" spans="2:7" ht="15.75" customHeight="1" x14ac:dyDescent="0.25">
      <c r="B852" s="139"/>
      <c r="G852" s="140"/>
    </row>
    <row r="853" spans="2:7" ht="15.75" customHeight="1" x14ac:dyDescent="0.25">
      <c r="B853" s="139"/>
      <c r="G853" s="140"/>
    </row>
    <row r="854" spans="2:7" ht="15.75" customHeight="1" x14ac:dyDescent="0.25">
      <c r="B854" s="139"/>
      <c r="G854" s="140"/>
    </row>
    <row r="855" spans="2:7" ht="15.75" customHeight="1" x14ac:dyDescent="0.25">
      <c r="B855" s="139"/>
      <c r="G855" s="140"/>
    </row>
    <row r="856" spans="2:7" ht="15.75" customHeight="1" x14ac:dyDescent="0.25">
      <c r="B856" s="139"/>
      <c r="G856" s="140"/>
    </row>
    <row r="857" spans="2:7" ht="15.75" customHeight="1" x14ac:dyDescent="0.25">
      <c r="B857" s="139"/>
      <c r="G857" s="140"/>
    </row>
    <row r="858" spans="2:7" ht="15.75" customHeight="1" x14ac:dyDescent="0.25">
      <c r="B858" s="139"/>
      <c r="G858" s="140"/>
    </row>
    <row r="859" spans="2:7" ht="15.75" customHeight="1" x14ac:dyDescent="0.25">
      <c r="B859" s="139"/>
      <c r="G859" s="140"/>
    </row>
    <row r="860" spans="2:7" ht="15.75" customHeight="1" x14ac:dyDescent="0.25">
      <c r="B860" s="139"/>
      <c r="G860" s="140"/>
    </row>
    <row r="861" spans="2:7" ht="15.75" customHeight="1" x14ac:dyDescent="0.25">
      <c r="B861" s="139"/>
      <c r="G861" s="140"/>
    </row>
    <row r="862" spans="2:7" ht="15.75" customHeight="1" x14ac:dyDescent="0.25">
      <c r="B862" s="139"/>
      <c r="G862" s="140"/>
    </row>
    <row r="863" spans="2:7" ht="15.75" customHeight="1" x14ac:dyDescent="0.25">
      <c r="B863" s="139"/>
      <c r="G863" s="140"/>
    </row>
    <row r="864" spans="2:7" ht="15.75" customHeight="1" x14ac:dyDescent="0.25">
      <c r="B864" s="139"/>
      <c r="G864" s="140"/>
    </row>
    <row r="865" spans="2:7" ht="15.75" customHeight="1" x14ac:dyDescent="0.25">
      <c r="B865" s="139"/>
      <c r="G865" s="140"/>
    </row>
    <row r="866" spans="2:7" ht="15.75" customHeight="1" x14ac:dyDescent="0.25">
      <c r="B866" s="139"/>
      <c r="G866" s="140"/>
    </row>
    <row r="867" spans="2:7" ht="15.75" customHeight="1" x14ac:dyDescent="0.25">
      <c r="B867" s="139"/>
      <c r="G867" s="140"/>
    </row>
    <row r="868" spans="2:7" ht="15.75" customHeight="1" x14ac:dyDescent="0.25">
      <c r="B868" s="139"/>
      <c r="G868" s="140"/>
    </row>
    <row r="869" spans="2:7" ht="15.75" customHeight="1" x14ac:dyDescent="0.25">
      <c r="B869" s="139"/>
      <c r="G869" s="140"/>
    </row>
    <row r="870" spans="2:7" ht="15.75" customHeight="1" x14ac:dyDescent="0.25">
      <c r="B870" s="139"/>
      <c r="G870" s="140"/>
    </row>
    <row r="871" spans="2:7" ht="15.75" customHeight="1" x14ac:dyDescent="0.25">
      <c r="B871" s="139"/>
      <c r="G871" s="140"/>
    </row>
    <row r="872" spans="2:7" ht="15.75" customHeight="1" x14ac:dyDescent="0.25">
      <c r="B872" s="139"/>
      <c r="G872" s="140"/>
    </row>
    <row r="873" spans="2:7" ht="15.75" customHeight="1" x14ac:dyDescent="0.25">
      <c r="B873" s="139"/>
      <c r="G873" s="140"/>
    </row>
    <row r="874" spans="2:7" ht="15.75" customHeight="1" x14ac:dyDescent="0.25">
      <c r="B874" s="139"/>
      <c r="G874" s="140"/>
    </row>
    <row r="875" spans="2:7" ht="15.75" customHeight="1" x14ac:dyDescent="0.25">
      <c r="B875" s="139"/>
      <c r="G875" s="140"/>
    </row>
    <row r="876" spans="2:7" ht="15.75" customHeight="1" x14ac:dyDescent="0.25">
      <c r="B876" s="139"/>
      <c r="G876" s="140"/>
    </row>
    <row r="877" spans="2:7" ht="15.75" customHeight="1" x14ac:dyDescent="0.25">
      <c r="B877" s="139"/>
      <c r="G877" s="140"/>
    </row>
    <row r="878" spans="2:7" ht="15.75" customHeight="1" x14ac:dyDescent="0.25">
      <c r="B878" s="139"/>
      <c r="G878" s="140"/>
    </row>
    <row r="879" spans="2:7" ht="15.75" customHeight="1" x14ac:dyDescent="0.25">
      <c r="B879" s="139"/>
      <c r="G879" s="140"/>
    </row>
    <row r="880" spans="2:7" ht="15.75" customHeight="1" x14ac:dyDescent="0.25">
      <c r="B880" s="139"/>
      <c r="G880" s="140"/>
    </row>
    <row r="881" spans="2:7" ht="15.75" customHeight="1" x14ac:dyDescent="0.25">
      <c r="B881" s="139"/>
      <c r="G881" s="140"/>
    </row>
    <row r="882" spans="2:7" ht="15.75" customHeight="1" x14ac:dyDescent="0.25">
      <c r="B882" s="139"/>
      <c r="G882" s="140"/>
    </row>
    <row r="883" spans="2:7" ht="15.75" customHeight="1" x14ac:dyDescent="0.25">
      <c r="B883" s="139"/>
      <c r="G883" s="140"/>
    </row>
    <row r="884" spans="2:7" ht="15.75" customHeight="1" x14ac:dyDescent="0.25">
      <c r="B884" s="139"/>
      <c r="G884" s="140"/>
    </row>
    <row r="885" spans="2:7" ht="15.75" customHeight="1" x14ac:dyDescent="0.25">
      <c r="B885" s="139"/>
      <c r="G885" s="140"/>
    </row>
    <row r="886" spans="2:7" ht="15.75" customHeight="1" x14ac:dyDescent="0.25">
      <c r="B886" s="139"/>
      <c r="G886" s="140"/>
    </row>
    <row r="887" spans="2:7" ht="15.75" customHeight="1" x14ac:dyDescent="0.25">
      <c r="B887" s="139"/>
      <c r="G887" s="140"/>
    </row>
    <row r="888" spans="2:7" ht="15.75" customHeight="1" x14ac:dyDescent="0.25">
      <c r="B888" s="139"/>
      <c r="G888" s="140"/>
    </row>
    <row r="889" spans="2:7" ht="15.75" customHeight="1" x14ac:dyDescent="0.25">
      <c r="B889" s="139"/>
      <c r="G889" s="140"/>
    </row>
    <row r="890" spans="2:7" ht="15.75" customHeight="1" x14ac:dyDescent="0.25">
      <c r="B890" s="139"/>
      <c r="G890" s="140"/>
    </row>
    <row r="891" spans="2:7" ht="15.75" customHeight="1" x14ac:dyDescent="0.25">
      <c r="B891" s="139"/>
      <c r="G891" s="140"/>
    </row>
    <row r="892" spans="2:7" ht="15.75" customHeight="1" x14ac:dyDescent="0.25">
      <c r="B892" s="139"/>
      <c r="G892" s="140"/>
    </row>
    <row r="893" spans="2:7" ht="15.75" customHeight="1" x14ac:dyDescent="0.25">
      <c r="B893" s="139"/>
      <c r="G893" s="140"/>
    </row>
    <row r="894" spans="2:7" ht="15.75" customHeight="1" x14ac:dyDescent="0.25">
      <c r="B894" s="139"/>
      <c r="G894" s="140"/>
    </row>
    <row r="895" spans="2:7" ht="15.75" customHeight="1" x14ac:dyDescent="0.25">
      <c r="B895" s="139"/>
      <c r="G895" s="140"/>
    </row>
    <row r="896" spans="2:7" ht="15.75" customHeight="1" x14ac:dyDescent="0.25">
      <c r="B896" s="139"/>
      <c r="G896" s="140"/>
    </row>
    <row r="897" spans="2:7" ht="15.75" customHeight="1" x14ac:dyDescent="0.25">
      <c r="B897" s="139"/>
      <c r="G897" s="140"/>
    </row>
    <row r="898" spans="2:7" ht="15.75" customHeight="1" x14ac:dyDescent="0.25">
      <c r="B898" s="139"/>
      <c r="G898" s="140"/>
    </row>
    <row r="899" spans="2:7" ht="15.75" customHeight="1" x14ac:dyDescent="0.25">
      <c r="B899" s="139"/>
      <c r="G899" s="140"/>
    </row>
    <row r="900" spans="2:7" ht="15.75" customHeight="1" x14ac:dyDescent="0.25">
      <c r="B900" s="139"/>
      <c r="G900" s="140"/>
    </row>
    <row r="901" spans="2:7" ht="15.75" customHeight="1" x14ac:dyDescent="0.25">
      <c r="B901" s="139"/>
      <c r="G901" s="140"/>
    </row>
    <row r="902" spans="2:7" ht="15.75" customHeight="1" x14ac:dyDescent="0.25">
      <c r="B902" s="139"/>
      <c r="G902" s="140"/>
    </row>
    <row r="903" spans="2:7" ht="15.75" customHeight="1" x14ac:dyDescent="0.25">
      <c r="B903" s="139"/>
      <c r="G903" s="140"/>
    </row>
    <row r="904" spans="2:7" ht="15.75" customHeight="1" x14ac:dyDescent="0.25">
      <c r="B904" s="139"/>
      <c r="G904" s="140"/>
    </row>
    <row r="905" spans="2:7" ht="15.75" customHeight="1" x14ac:dyDescent="0.25">
      <c r="B905" s="139"/>
      <c r="G905" s="140"/>
    </row>
    <row r="906" spans="2:7" ht="15.75" customHeight="1" x14ac:dyDescent="0.25">
      <c r="B906" s="139"/>
      <c r="G906" s="140"/>
    </row>
    <row r="907" spans="2:7" ht="15.75" customHeight="1" x14ac:dyDescent="0.25">
      <c r="B907" s="139"/>
      <c r="G907" s="140"/>
    </row>
    <row r="908" spans="2:7" ht="15.75" customHeight="1" x14ac:dyDescent="0.25">
      <c r="B908" s="139"/>
      <c r="G908" s="140"/>
    </row>
    <row r="909" spans="2:7" ht="15.75" customHeight="1" x14ac:dyDescent="0.25">
      <c r="B909" s="139"/>
      <c r="G909" s="140"/>
    </row>
    <row r="910" spans="2:7" ht="15.75" customHeight="1" x14ac:dyDescent="0.25">
      <c r="B910" s="139"/>
      <c r="G910" s="140"/>
    </row>
    <row r="911" spans="2:7" ht="15.75" customHeight="1" x14ac:dyDescent="0.25">
      <c r="B911" s="139"/>
      <c r="G911" s="140"/>
    </row>
    <row r="912" spans="2:7" ht="15.75" customHeight="1" x14ac:dyDescent="0.25">
      <c r="B912" s="139"/>
      <c r="G912" s="140"/>
    </row>
    <row r="913" spans="2:7" ht="15.75" customHeight="1" x14ac:dyDescent="0.25">
      <c r="B913" s="139"/>
      <c r="G913" s="140"/>
    </row>
    <row r="914" spans="2:7" ht="15.75" customHeight="1" x14ac:dyDescent="0.25">
      <c r="B914" s="139"/>
      <c r="G914" s="140"/>
    </row>
    <row r="915" spans="2:7" ht="15.75" customHeight="1" x14ac:dyDescent="0.25">
      <c r="B915" s="139"/>
      <c r="G915" s="140"/>
    </row>
    <row r="916" spans="2:7" ht="15.75" customHeight="1" x14ac:dyDescent="0.25">
      <c r="B916" s="139"/>
      <c r="G916" s="140"/>
    </row>
    <row r="917" spans="2:7" ht="15.75" customHeight="1" x14ac:dyDescent="0.25">
      <c r="B917" s="139"/>
      <c r="G917" s="140"/>
    </row>
    <row r="918" spans="2:7" ht="15.75" customHeight="1" x14ac:dyDescent="0.25">
      <c r="B918" s="139"/>
      <c r="G918" s="140"/>
    </row>
    <row r="919" spans="2:7" ht="15.75" customHeight="1" x14ac:dyDescent="0.25">
      <c r="B919" s="139"/>
      <c r="G919" s="140"/>
    </row>
    <row r="920" spans="2:7" ht="15.75" customHeight="1" x14ac:dyDescent="0.25">
      <c r="B920" s="139"/>
      <c r="G920" s="140"/>
    </row>
    <row r="921" spans="2:7" ht="15.75" customHeight="1" x14ac:dyDescent="0.25">
      <c r="B921" s="139"/>
      <c r="G921" s="140"/>
    </row>
    <row r="922" spans="2:7" ht="15.75" customHeight="1" x14ac:dyDescent="0.25">
      <c r="B922" s="139"/>
      <c r="G922" s="140"/>
    </row>
    <row r="923" spans="2:7" ht="15.75" customHeight="1" x14ac:dyDescent="0.25">
      <c r="B923" s="139"/>
      <c r="G923" s="140"/>
    </row>
    <row r="924" spans="2:7" ht="15.75" customHeight="1" x14ac:dyDescent="0.25">
      <c r="B924" s="139"/>
      <c r="G924" s="140"/>
    </row>
    <row r="925" spans="2:7" ht="15.75" customHeight="1" x14ac:dyDescent="0.25">
      <c r="B925" s="139"/>
      <c r="G925" s="140"/>
    </row>
    <row r="926" spans="2:7" ht="15.75" customHeight="1" x14ac:dyDescent="0.25">
      <c r="B926" s="139"/>
      <c r="G926" s="140"/>
    </row>
    <row r="927" spans="2:7" ht="15.75" customHeight="1" x14ac:dyDescent="0.25">
      <c r="B927" s="139"/>
      <c r="G927" s="140"/>
    </row>
    <row r="928" spans="2:7" ht="15.75" customHeight="1" x14ac:dyDescent="0.25">
      <c r="B928" s="139"/>
      <c r="G928" s="140"/>
    </row>
    <row r="929" spans="2:7" ht="15.75" customHeight="1" x14ac:dyDescent="0.25">
      <c r="B929" s="139"/>
      <c r="G929" s="140"/>
    </row>
    <row r="930" spans="2:7" ht="15.75" customHeight="1" x14ac:dyDescent="0.25">
      <c r="B930" s="139"/>
      <c r="G930" s="140"/>
    </row>
    <row r="931" spans="2:7" ht="15.75" customHeight="1" x14ac:dyDescent="0.25">
      <c r="B931" s="139"/>
      <c r="G931" s="140"/>
    </row>
    <row r="932" spans="2:7" ht="15.75" customHeight="1" x14ac:dyDescent="0.25">
      <c r="B932" s="139"/>
      <c r="G932" s="140"/>
    </row>
    <row r="933" spans="2:7" ht="15.75" customHeight="1" x14ac:dyDescent="0.25">
      <c r="B933" s="139"/>
      <c r="G933" s="140"/>
    </row>
    <row r="934" spans="2:7" ht="15.75" customHeight="1" x14ac:dyDescent="0.25">
      <c r="B934" s="139"/>
      <c r="G934" s="140"/>
    </row>
    <row r="935" spans="2:7" ht="15.75" customHeight="1" x14ac:dyDescent="0.25">
      <c r="B935" s="139"/>
      <c r="G935" s="140"/>
    </row>
    <row r="936" spans="2:7" ht="15.75" customHeight="1" x14ac:dyDescent="0.25">
      <c r="B936" s="139"/>
      <c r="G936" s="140"/>
    </row>
    <row r="937" spans="2:7" ht="15.75" customHeight="1" x14ac:dyDescent="0.25">
      <c r="B937" s="139"/>
      <c r="G937" s="140"/>
    </row>
    <row r="938" spans="2:7" ht="15.75" customHeight="1" x14ac:dyDescent="0.25">
      <c r="B938" s="139"/>
      <c r="G938" s="140"/>
    </row>
    <row r="939" spans="2:7" ht="15.75" customHeight="1" x14ac:dyDescent="0.25">
      <c r="B939" s="139"/>
      <c r="G939" s="140"/>
    </row>
    <row r="940" spans="2:7" ht="15.75" customHeight="1" x14ac:dyDescent="0.25">
      <c r="B940" s="139"/>
      <c r="G940" s="140"/>
    </row>
    <row r="941" spans="2:7" ht="15.75" customHeight="1" x14ac:dyDescent="0.25">
      <c r="B941" s="139"/>
      <c r="G941" s="140"/>
    </row>
    <row r="942" spans="2:7" ht="15.75" customHeight="1" x14ac:dyDescent="0.25">
      <c r="B942" s="139"/>
      <c r="G942" s="140"/>
    </row>
    <row r="943" spans="2:7" ht="15.75" customHeight="1" x14ac:dyDescent="0.25">
      <c r="B943" s="139"/>
      <c r="G943" s="140"/>
    </row>
    <row r="944" spans="2:7" ht="15.75" customHeight="1" x14ac:dyDescent="0.25">
      <c r="B944" s="139"/>
      <c r="G944" s="140"/>
    </row>
    <row r="945" spans="2:7" ht="15.75" customHeight="1" x14ac:dyDescent="0.25">
      <c r="B945" s="139"/>
      <c r="G945" s="140"/>
    </row>
    <row r="946" spans="2:7" ht="15.75" customHeight="1" x14ac:dyDescent="0.25">
      <c r="B946" s="139"/>
      <c r="G946" s="140"/>
    </row>
    <row r="947" spans="2:7" ht="15.75" customHeight="1" x14ac:dyDescent="0.25">
      <c r="B947" s="139"/>
      <c r="G947" s="140"/>
    </row>
    <row r="948" spans="2:7" ht="15.75" customHeight="1" x14ac:dyDescent="0.25">
      <c r="B948" s="139"/>
      <c r="G948" s="140"/>
    </row>
    <row r="949" spans="2:7" ht="15.75" customHeight="1" x14ac:dyDescent="0.25">
      <c r="B949" s="139"/>
      <c r="G949" s="140"/>
    </row>
    <row r="950" spans="2:7" ht="15.75" customHeight="1" x14ac:dyDescent="0.25">
      <c r="B950" s="139"/>
      <c r="G950" s="140"/>
    </row>
    <row r="951" spans="2:7" ht="15.75" customHeight="1" x14ac:dyDescent="0.25">
      <c r="B951" s="139"/>
      <c r="G951" s="140"/>
    </row>
    <row r="952" spans="2:7" ht="15.75" customHeight="1" x14ac:dyDescent="0.25">
      <c r="B952" s="139"/>
      <c r="G952" s="140"/>
    </row>
    <row r="953" spans="2:7" ht="15.75" customHeight="1" x14ac:dyDescent="0.25">
      <c r="B953" s="139"/>
      <c r="G953" s="140"/>
    </row>
    <row r="954" spans="2:7" ht="15.75" customHeight="1" x14ac:dyDescent="0.25">
      <c r="B954" s="139"/>
      <c r="G954" s="140"/>
    </row>
    <row r="955" spans="2:7" ht="15.75" customHeight="1" x14ac:dyDescent="0.25">
      <c r="B955" s="139"/>
      <c r="G955" s="140"/>
    </row>
    <row r="956" spans="2:7" ht="15.75" customHeight="1" x14ac:dyDescent="0.25">
      <c r="B956" s="139"/>
      <c r="G956" s="140"/>
    </row>
    <row r="957" spans="2:7" ht="15.75" customHeight="1" x14ac:dyDescent="0.25">
      <c r="B957" s="139"/>
      <c r="G957" s="140"/>
    </row>
    <row r="958" spans="2:7" ht="15.75" customHeight="1" x14ac:dyDescent="0.25">
      <c r="B958" s="139"/>
      <c r="G958" s="140"/>
    </row>
    <row r="959" spans="2:7" ht="15.75" customHeight="1" x14ac:dyDescent="0.25">
      <c r="B959" s="139"/>
      <c r="G959" s="140"/>
    </row>
    <row r="960" spans="2:7" ht="15.75" customHeight="1" x14ac:dyDescent="0.25">
      <c r="B960" s="139"/>
      <c r="G960" s="140"/>
    </row>
    <row r="961" spans="2:7" ht="15.75" customHeight="1" x14ac:dyDescent="0.25">
      <c r="B961" s="139"/>
      <c r="G961" s="140"/>
    </row>
    <row r="962" spans="2:7" ht="15.75" customHeight="1" x14ac:dyDescent="0.25">
      <c r="B962" s="139"/>
      <c r="G962" s="140"/>
    </row>
    <row r="963" spans="2:7" ht="15.75" customHeight="1" x14ac:dyDescent="0.25">
      <c r="B963" s="139"/>
      <c r="G963" s="140"/>
    </row>
    <row r="964" spans="2:7" ht="15.75" customHeight="1" x14ac:dyDescent="0.25">
      <c r="B964" s="139"/>
      <c r="G964" s="140"/>
    </row>
    <row r="965" spans="2:7" ht="15.75" customHeight="1" x14ac:dyDescent="0.25">
      <c r="B965" s="139"/>
      <c r="G965" s="140"/>
    </row>
    <row r="966" spans="2:7" ht="15.75" customHeight="1" x14ac:dyDescent="0.25">
      <c r="B966" s="139"/>
      <c r="G966" s="140"/>
    </row>
    <row r="967" spans="2:7" ht="15.75" customHeight="1" x14ac:dyDescent="0.25">
      <c r="B967" s="139"/>
      <c r="G967" s="140"/>
    </row>
    <row r="968" spans="2:7" ht="15.75" customHeight="1" x14ac:dyDescent="0.25">
      <c r="B968" s="139"/>
      <c r="G968" s="140"/>
    </row>
    <row r="969" spans="2:7" ht="15.75" customHeight="1" x14ac:dyDescent="0.25">
      <c r="B969" s="139"/>
      <c r="G969" s="140"/>
    </row>
    <row r="970" spans="2:7" ht="15.75" customHeight="1" x14ac:dyDescent="0.25">
      <c r="B970" s="139"/>
      <c r="G970" s="140"/>
    </row>
    <row r="971" spans="2:7" ht="15.75" customHeight="1" x14ac:dyDescent="0.25">
      <c r="B971" s="139"/>
      <c r="G971" s="140"/>
    </row>
    <row r="972" spans="2:7" ht="15.75" customHeight="1" x14ac:dyDescent="0.25">
      <c r="B972" s="139"/>
      <c r="G972" s="140"/>
    </row>
    <row r="973" spans="2:7" ht="15.75" customHeight="1" x14ac:dyDescent="0.25">
      <c r="B973" s="139"/>
      <c r="G973" s="140"/>
    </row>
    <row r="974" spans="2:7" ht="15.75" customHeight="1" x14ac:dyDescent="0.25">
      <c r="B974" s="139"/>
      <c r="G974" s="140"/>
    </row>
    <row r="975" spans="2:7" ht="15.75" customHeight="1" x14ac:dyDescent="0.25">
      <c r="B975" s="139"/>
      <c r="G975" s="140"/>
    </row>
    <row r="976" spans="2:7" ht="15.75" customHeight="1" x14ac:dyDescent="0.25">
      <c r="B976" s="139"/>
      <c r="G976" s="140"/>
    </row>
    <row r="977" spans="2:7" ht="15.75" customHeight="1" x14ac:dyDescent="0.25">
      <c r="B977" s="139"/>
      <c r="G977" s="140"/>
    </row>
    <row r="978" spans="2:7" ht="15.75" customHeight="1" x14ac:dyDescent="0.25">
      <c r="B978" s="139"/>
      <c r="G978" s="140"/>
    </row>
    <row r="979" spans="2:7" ht="15.75" customHeight="1" x14ac:dyDescent="0.25">
      <c r="B979" s="139"/>
      <c r="G979" s="140"/>
    </row>
    <row r="980" spans="2:7" ht="15.75" customHeight="1" x14ac:dyDescent="0.25">
      <c r="B980" s="139"/>
      <c r="G980" s="140"/>
    </row>
    <row r="981" spans="2:7" ht="15.75" customHeight="1" x14ac:dyDescent="0.25">
      <c r="B981" s="139"/>
      <c r="G981" s="140"/>
    </row>
    <row r="982" spans="2:7" ht="15.75" customHeight="1" x14ac:dyDescent="0.25">
      <c r="B982" s="139"/>
      <c r="G982" s="140"/>
    </row>
    <row r="983" spans="2:7" ht="15.75" customHeight="1" x14ac:dyDescent="0.25">
      <c r="B983" s="139"/>
      <c r="G983" s="140"/>
    </row>
    <row r="984" spans="2:7" ht="15.75" customHeight="1" x14ac:dyDescent="0.25">
      <c r="B984" s="139"/>
      <c r="G984" s="140"/>
    </row>
    <row r="985" spans="2:7" ht="15.75" customHeight="1" x14ac:dyDescent="0.25">
      <c r="B985" s="139"/>
      <c r="G985" s="140"/>
    </row>
    <row r="986" spans="2:7" ht="15.75" customHeight="1" x14ac:dyDescent="0.25">
      <c r="B986" s="139"/>
      <c r="G986" s="140"/>
    </row>
    <row r="987" spans="2:7" ht="15.75" customHeight="1" x14ac:dyDescent="0.25">
      <c r="B987" s="139"/>
      <c r="G987" s="140"/>
    </row>
    <row r="988" spans="2:7" ht="15.75" customHeight="1" x14ac:dyDescent="0.25">
      <c r="B988" s="139"/>
      <c r="G988" s="140"/>
    </row>
    <row r="989" spans="2:7" ht="15.75" customHeight="1" x14ac:dyDescent="0.25">
      <c r="B989" s="139"/>
      <c r="G989" s="140"/>
    </row>
    <row r="990" spans="2:7" ht="15.75" customHeight="1" x14ac:dyDescent="0.25">
      <c r="B990" s="139"/>
      <c r="G990" s="140"/>
    </row>
    <row r="991" spans="2:7" ht="15.75" customHeight="1" x14ac:dyDescent="0.25">
      <c r="B991" s="139"/>
      <c r="G991" s="140"/>
    </row>
    <row r="992" spans="2:7" ht="15.75" customHeight="1" x14ac:dyDescent="0.25">
      <c r="B992" s="139"/>
      <c r="G992" s="140"/>
    </row>
    <row r="993" spans="2:7" ht="15.75" customHeight="1" x14ac:dyDescent="0.25">
      <c r="B993" s="139"/>
      <c r="G993" s="140"/>
    </row>
    <row r="994" spans="2:7" ht="15.75" customHeight="1" x14ac:dyDescent="0.25">
      <c r="B994" s="139"/>
      <c r="G994" s="140"/>
    </row>
    <row r="995" spans="2:7" ht="15.75" customHeight="1" x14ac:dyDescent="0.25">
      <c r="B995" s="139"/>
      <c r="G995" s="140"/>
    </row>
    <row r="996" spans="2:7" ht="15.75" customHeight="1" x14ac:dyDescent="0.25">
      <c r="B996" s="139"/>
      <c r="G996" s="140"/>
    </row>
  </sheetData>
  <autoFilter ref="A10:AV30" xr:uid="{00000000-0009-0000-0000-000003000000}"/>
  <customSheetViews>
    <customSheetView guid="{56E9B80D-243F-40B6-91B9-5464FF1EEE5D}" filter="1" showAutoFilter="1">
      <pageMargins left="0.7" right="0.7" top="0.75" bottom="0.75" header="0.3" footer="0.3"/>
      <autoFilter ref="C10:H15" xr:uid="{B481E8A4-63DC-451C-A8BC-B2D8773B36A7}"/>
      <extLst>
        <ext uri="GoogleSheetsCustomDataVersion1">
          <go:sheetsCustomData xmlns:go="http://customooxmlschemas.google.com/" filterViewId="1264675821"/>
        </ext>
      </extLst>
    </customSheetView>
    <customSheetView guid="{F0D95686-377B-4362-ADF9-0A7D9547883D}" filter="1" showAutoFilter="1">
      <pageMargins left="0.7" right="0.7" top="0.75" bottom="0.75" header="0.3" footer="0.3"/>
      <autoFilter ref="C10:H15" xr:uid="{8D664618-2FF5-4CC9-AADA-04DC625CD6A3}"/>
      <extLst>
        <ext uri="GoogleSheetsCustomDataVersion1">
          <go:sheetsCustomData xmlns:go="http://customooxmlschemas.google.com/" filterViewId="1800887591"/>
        </ext>
      </extLst>
    </customSheetView>
    <customSheetView guid="{3D93CEF9-49E9-4DC4-8F19-88A64F2D43A5}" filter="1" showAutoFilter="1">
      <pageMargins left="0.7" right="0.7" top="0.75" bottom="0.75" header="0.3" footer="0.3"/>
      <autoFilter ref="A10:AV17" xr:uid="{6717BB6A-8EB4-49A2-AEDD-9044EFA624CC}"/>
      <extLst>
        <ext uri="GoogleSheetsCustomDataVersion1">
          <go:sheetsCustomData xmlns:go="http://customooxmlschemas.google.com/" filterViewId="419318502"/>
        </ext>
      </extLst>
    </customSheetView>
    <customSheetView guid="{F001DCF7-7858-4452-B989-2BC2E25DF2FD}" filter="1" showAutoFilter="1">
      <pageMargins left="0.7" right="0.7" top="0.75" bottom="0.75" header="0.3" footer="0.3"/>
      <autoFilter ref="C10:H15" xr:uid="{5E2F3831-BF22-418B-B1D0-51193775363B}"/>
      <extLst>
        <ext uri="GoogleSheetsCustomDataVersion1">
          <go:sheetsCustomData xmlns:go="http://customooxmlschemas.google.com/" filterViewId="57283807"/>
        </ext>
      </extLst>
    </customSheetView>
  </customSheetViews>
  <mergeCells count="52">
    <mergeCell ref="Z3:AA4"/>
    <mergeCell ref="T3:T4"/>
    <mergeCell ref="U3:U4"/>
    <mergeCell ref="V3:W4"/>
    <mergeCell ref="X3:X4"/>
    <mergeCell ref="Y3:Y4"/>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S5:S6"/>
    <mergeCell ref="T5:T6"/>
    <mergeCell ref="U5:U6"/>
    <mergeCell ref="V5:W6"/>
    <mergeCell ref="X5:X6"/>
    <mergeCell ref="M5:N6"/>
    <mergeCell ref="O5:O6"/>
    <mergeCell ref="P5:P6"/>
    <mergeCell ref="Q5:Q6"/>
    <mergeCell ref="R5:R6"/>
    <mergeCell ref="A6:G9"/>
    <mergeCell ref="D30:F30"/>
    <mergeCell ref="D32:F32"/>
    <mergeCell ref="I4:J5"/>
    <mergeCell ref="K4:L5"/>
    <mergeCell ref="AB5:AC6"/>
    <mergeCell ref="AH5:AH6"/>
    <mergeCell ref="AI5:AI6"/>
    <mergeCell ref="AR8:AR9"/>
    <mergeCell ref="Y5:Y6"/>
    <mergeCell ref="Z5:AA6"/>
    <mergeCell ref="AU8:AU9"/>
    <mergeCell ref="AV8:AV9"/>
    <mergeCell ref="M30:U30"/>
    <mergeCell ref="M32:U32"/>
    <mergeCell ref="AC32:AH32"/>
    <mergeCell ref="Z30:AH30"/>
    <mergeCell ref="AM29:AS29"/>
    <mergeCell ref="AM30:AS30"/>
    <mergeCell ref="AM32:AS32"/>
  </mergeCells>
  <conditionalFormatting sqref="D31:F31 H31:T31 V31:Z31">
    <cfRule type="containsText" dxfId="8118" priority="11049" operator="containsText" text="K">
      <formula>NOT(ISERROR(SEARCH(("K"),(#REF!))))</formula>
    </cfRule>
    <cfRule type="containsText" dxfId="8117" priority="11045" operator="containsText" text="N">
      <formula>NOT(ISERROR(SEARCH(("N"),(#REF!))))</formula>
    </cfRule>
    <cfRule type="containsText" dxfId="8116" priority="11046" operator="containsText" text="O">
      <formula>NOT(ISERROR(SEARCH(("O"),(#REF!))))</formula>
    </cfRule>
    <cfRule type="containsText" dxfId="8115" priority="11047" operator="containsText" text="C">
      <formula>NOT(ISERROR(SEARCH(("C"),(#REF!))))</formula>
    </cfRule>
    <cfRule type="containsText" dxfId="8114" priority="11044" operator="containsText" text="L">
      <formula>NOT(ISERROR(SEARCH(("L"),(#REF!))))</formula>
    </cfRule>
    <cfRule type="containsText" dxfId="8113" priority="11050" operator="containsText" text="X">
      <formula>NOT(ISERROR(SEARCH(("X"),(#REF!))))</formula>
    </cfRule>
    <cfRule type="containsText" dxfId="8112" priority="11048" operator="containsText" text="P">
      <formula>NOT(ISERROR(SEARCH(("P"),(#REF!))))</formula>
    </cfRule>
  </conditionalFormatting>
  <conditionalFormatting sqref="G29 G31 G10:G26">
    <cfRule type="containsText" dxfId="8111" priority="10993" operator="containsText" text="Thử Việc">
      <formula>NOT(ISERROR(SEARCH(("Thử Việc"),(G10))))</formula>
    </cfRule>
    <cfRule type="containsText" dxfId="8110" priority="10992" operator="containsText" text="Chính Thức">
      <formula>NOT(ISERROR(SEARCH(("Chính Thức"),(G10))))</formula>
    </cfRule>
  </conditionalFormatting>
  <conditionalFormatting sqref="G29 G31 G11:G26">
    <cfRule type="containsText" dxfId="8109" priority="10996" operator="containsText" text="Đã Nghỉ">
      <formula>NOT(ISERROR(SEARCH(("Đã Nghỉ"),(G11))))</formula>
    </cfRule>
    <cfRule type="containsText" dxfId="8108" priority="10998" operator="containsText" text="Thực tập sinh">
      <formula>NOT(ISERROR(SEARCH(("Thực tập sinh"),(G11))))</formula>
    </cfRule>
    <cfRule type="containsText" dxfId="8107" priority="10997" operator="containsText" text="Part Time">
      <formula>NOT(ISERROR(SEARCH(("Part Time"),(G11))))</formula>
    </cfRule>
    <cfRule type="containsText" dxfId="8106" priority="10995" operator="containsText" text="Học Việc">
      <formula>NOT(ISERROR(SEARCH(("Học Việc"),(G11))))</formula>
    </cfRule>
    <cfRule type="containsText" dxfId="8105" priority="10994" operator="containsText" text="Part Time">
      <formula>NOT(ISERROR(SEARCH(("Part Time"),(G11))))</formula>
    </cfRule>
  </conditionalFormatting>
  <conditionalFormatting sqref="H12:H26">
    <cfRule type="containsText" dxfId="8104" priority="4355" operator="containsText" text="L">
      <formula>NOT(ISERROR(SEARCH(("L"),(H12))))</formula>
    </cfRule>
    <cfRule type="containsText" dxfId="8103" priority="4356" operator="containsText" text="N">
      <formula>NOT(ISERROR(SEARCH(("N"),(H12))))</formula>
    </cfRule>
    <cfRule type="containsText" dxfId="8102" priority="4357" operator="containsText" text="O">
      <formula>NOT(ISERROR(SEARCH(("O"),(H12))))</formula>
    </cfRule>
    <cfRule type="containsText" dxfId="8101" priority="4358" operator="containsText" text="C">
      <formula>NOT(ISERROR(SEARCH(("C"),(H12))))</formula>
    </cfRule>
    <cfRule type="containsText" dxfId="8100" priority="4359" operator="containsText" text="P">
      <formula>NOT(ISERROR(SEARCH(("P"),(H12))))</formula>
    </cfRule>
    <cfRule type="containsText" dxfId="8099" priority="4360" operator="containsText" text="K">
      <formula>NOT(ISERROR(SEARCH(("K"),(H12))))</formula>
    </cfRule>
    <cfRule type="containsText" dxfId="8098" priority="4345" operator="containsText" text="P">
      <formula>NOT(ISERROR(SEARCH(("P"),(H12))))</formula>
    </cfRule>
    <cfRule type="containsText" dxfId="8097" priority="4346" operator="containsText" text="K">
      <formula>NOT(ISERROR(SEARCH(("K"),(H12))))</formula>
    </cfRule>
    <cfRule type="containsText" dxfId="8096" priority="4347" operator="containsText" text="X">
      <formula>NOT(ISERROR(SEARCH(("X"),(H12))))</formula>
    </cfRule>
    <cfRule type="containsText" dxfId="8095" priority="4361" operator="containsText" text="X">
      <formula>NOT(ISERROR(SEARCH(("X"),(H12))))</formula>
    </cfRule>
    <cfRule type="containsText" dxfId="8094" priority="4362" operator="containsText" text="L">
      <formula>NOT(ISERROR(SEARCH(("L"),(H12))))</formula>
    </cfRule>
    <cfRule type="containsText" dxfId="8093" priority="4348" operator="containsText" text="L">
      <formula>NOT(ISERROR(SEARCH(("L"),(H12))))</formula>
    </cfRule>
    <cfRule type="containsText" dxfId="8092" priority="4349" operator="containsText" text="N">
      <formula>NOT(ISERROR(SEARCH(("N"),(H12))))</formula>
    </cfRule>
    <cfRule type="containsText" dxfId="8091" priority="4335" operator="containsText" text="N">
      <formula>NOT(ISERROR(SEARCH(("N"),(H12))))</formula>
    </cfRule>
    <cfRule type="containsText" dxfId="8090" priority="4336" operator="containsText" text="O">
      <formula>NOT(ISERROR(SEARCH(("O"),(H12))))</formula>
    </cfRule>
    <cfRule type="containsText" dxfId="8089" priority="4337" operator="containsText" text="C">
      <formula>NOT(ISERROR(SEARCH(("C"),(H12))))</formula>
    </cfRule>
    <cfRule type="containsText" dxfId="8088" priority="4354" operator="containsText" text="X">
      <formula>NOT(ISERROR(SEARCH(("X"),(H12))))</formula>
    </cfRule>
    <cfRule type="containsText" dxfId="8087" priority="4350" operator="containsText" text="O">
      <formula>NOT(ISERROR(SEARCH(("O"),(H12))))</formula>
    </cfRule>
    <cfRule type="containsText" dxfId="8086" priority="4351" operator="containsText" text="C">
      <formula>NOT(ISERROR(SEARCH(("C"),(H12))))</formula>
    </cfRule>
    <cfRule type="containsText" dxfId="8085" priority="4338" operator="containsText" text="P">
      <formula>NOT(ISERROR(SEARCH(("P"),(H12))))</formula>
    </cfRule>
    <cfRule type="containsText" dxfId="8084" priority="4353" operator="containsText" text="K">
      <formula>NOT(ISERROR(SEARCH(("K"),(H12))))</formula>
    </cfRule>
    <cfRule type="containsText" dxfId="8083" priority="4339" operator="containsText" text="K">
      <formula>NOT(ISERROR(SEARCH(("K"),(H12))))</formula>
    </cfRule>
    <cfRule type="containsText" dxfId="8082" priority="4340" operator="containsText" text="X">
      <formula>NOT(ISERROR(SEARCH(("X"),(H12))))</formula>
    </cfRule>
    <cfRule type="containsText" dxfId="8081" priority="4341" operator="containsText" text="L">
      <formula>NOT(ISERROR(SEARCH(("L"),(H12))))</formula>
    </cfRule>
    <cfRule type="containsText" dxfId="8080" priority="4352" operator="containsText" text="P">
      <formula>NOT(ISERROR(SEARCH(("P"),(H12))))</formula>
    </cfRule>
    <cfRule type="containsText" dxfId="8079" priority="4342" operator="containsText" text="N">
      <formula>NOT(ISERROR(SEARCH(("N"),(H12))))</formula>
    </cfRule>
    <cfRule type="containsText" dxfId="8078" priority="4343" operator="containsText" text="O">
      <formula>NOT(ISERROR(SEARCH(("O"),(H12))))</formula>
    </cfRule>
    <cfRule type="containsText" dxfId="8077" priority="4344" operator="containsText" text="C">
      <formula>NOT(ISERROR(SEARCH(("C"),(H12))))</formula>
    </cfRule>
  </conditionalFormatting>
  <conditionalFormatting sqref="H11:J11">
    <cfRule type="containsText" dxfId="8076" priority="9396" operator="containsText" text="X">
      <formula>NOT(ISERROR(SEARCH(("X"),(H11))))</formula>
    </cfRule>
    <cfRule type="containsText" dxfId="8075" priority="9099" operator="containsText" text="C">
      <formula>NOT(ISERROR(SEARCH(("C"),(H11))))</formula>
    </cfRule>
    <cfRule type="containsText" dxfId="8074" priority="9098" operator="containsText" text="O">
      <formula>NOT(ISERROR(SEARCH(("O"),(H11))))</formula>
    </cfRule>
    <cfRule type="containsText" dxfId="8073" priority="9097" operator="containsText" text="N">
      <formula>NOT(ISERROR(SEARCH(("N"),(H11))))</formula>
    </cfRule>
    <cfRule type="containsText" dxfId="8072" priority="9392" operator="containsText" text="O">
      <formula>NOT(ISERROR(SEARCH(("O"),(H11))))</formula>
    </cfRule>
    <cfRule type="containsText" dxfId="8071" priority="9106" operator="containsText" text="C">
      <formula>NOT(ISERROR(SEARCH(("C"),(H11))))</formula>
    </cfRule>
    <cfRule type="containsText" dxfId="8070" priority="9391" operator="containsText" text="N">
      <formula>NOT(ISERROR(SEARCH(("N"),(H11))))</formula>
    </cfRule>
    <cfRule type="containsText" dxfId="8069" priority="9404" operator="containsText" text="L">
      <formula>NOT(ISERROR(SEARCH(("L"),(H11))))</formula>
    </cfRule>
    <cfRule type="containsText" dxfId="8068" priority="9403" operator="containsText" text="X">
      <formula>NOT(ISERROR(SEARCH(("X"),(H11))))</formula>
    </cfRule>
    <cfRule type="containsText" dxfId="8067" priority="9402" operator="containsText" text="K">
      <formula>NOT(ISERROR(SEARCH(("K"),(H11))))</formula>
    </cfRule>
    <cfRule type="containsText" dxfId="8066" priority="9110" operator="containsText" text="L">
      <formula>NOT(ISERROR(SEARCH(("L"),(H11))))</formula>
    </cfRule>
    <cfRule type="containsText" dxfId="8065" priority="9395" operator="containsText" text="K">
      <formula>NOT(ISERROR(SEARCH(("K"),(H11))))</formula>
    </cfRule>
    <cfRule type="containsText" dxfId="8064" priority="9394" operator="containsText" text="P">
      <formula>NOT(ISERROR(SEARCH(("P"),(H11))))</formula>
    </cfRule>
    <cfRule type="containsText" dxfId="8063" priority="9109" operator="containsText" text="X">
      <formula>NOT(ISERROR(SEARCH(("X"),(H11))))</formula>
    </cfRule>
    <cfRule type="containsText" dxfId="8062" priority="9108" operator="containsText" text="K">
      <formula>NOT(ISERROR(SEARCH(("K"),(H11))))</formula>
    </cfRule>
    <cfRule type="containsText" dxfId="8061" priority="9107" operator="containsText" text="P">
      <formula>NOT(ISERROR(SEARCH(("P"),(H11))))</formula>
    </cfRule>
    <cfRule type="containsText" dxfId="8060" priority="9105" operator="containsText" text="O">
      <formula>NOT(ISERROR(SEARCH(("O"),(H11))))</formula>
    </cfRule>
    <cfRule type="containsText" dxfId="8059" priority="9104" operator="containsText" text="N">
      <formula>NOT(ISERROR(SEARCH(("N"),(H11))))</formula>
    </cfRule>
    <cfRule type="containsText" dxfId="8058" priority="9103" operator="containsText" text="L">
      <formula>NOT(ISERROR(SEARCH(("L"),(H11))))</formula>
    </cfRule>
    <cfRule type="containsText" dxfId="8057" priority="9102" operator="containsText" text="X">
      <formula>NOT(ISERROR(SEARCH(("X"),(H11))))</formula>
    </cfRule>
    <cfRule type="containsText" dxfId="8056" priority="9101" operator="containsText" text="K">
      <formula>NOT(ISERROR(SEARCH(("K"),(H11))))</formula>
    </cfRule>
    <cfRule type="containsText" dxfId="8055" priority="9397" operator="containsText" text="L">
      <formula>NOT(ISERROR(SEARCH(("L"),(H11))))</formula>
    </cfRule>
    <cfRule type="containsText" dxfId="8054" priority="9398" operator="containsText" text="N">
      <formula>NOT(ISERROR(SEARCH(("N"),(H11))))</formula>
    </cfRule>
    <cfRule type="containsText" dxfId="8053" priority="9100" operator="containsText" text="P">
      <formula>NOT(ISERROR(SEARCH(("P"),(H11))))</formula>
    </cfRule>
    <cfRule type="containsText" dxfId="8052" priority="9399" operator="containsText" text="O">
      <formula>NOT(ISERROR(SEARCH(("O"),(H11))))</formula>
    </cfRule>
    <cfRule type="containsText" dxfId="8051" priority="9393" operator="containsText" text="C">
      <formula>NOT(ISERROR(SEARCH(("C"),(H11))))</formula>
    </cfRule>
    <cfRule type="containsText" dxfId="8050" priority="9400" operator="containsText" text="C">
      <formula>NOT(ISERROR(SEARCH(("C"),(H11))))</formula>
    </cfRule>
    <cfRule type="containsText" dxfId="8049" priority="9401" operator="containsText" text="P">
      <formula>NOT(ISERROR(SEARCH(("P"),(H11))))</formula>
    </cfRule>
  </conditionalFormatting>
  <conditionalFormatting sqref="H11:M11 I12:M12 H12:H26 AK14:AL26 AD14:AH26 O24:S25 V25:X25 W11:AA26 AC25:AG25 AJ25:AK26 I14:M26 P14:T26">
    <cfRule type="containsText" dxfId="8048" priority="10874" operator="containsText" text="O">
      <formula>NOT(ISERROR(SEARCH(("O"),(H11))))</formula>
    </cfRule>
  </conditionalFormatting>
  <conditionalFormatting sqref="H11:M11">
    <cfRule type="containsText" dxfId="8047" priority="10879" operator="containsText" text="L">
      <formula>NOT(ISERROR(SEARCH(("L"),(H11))))</formula>
    </cfRule>
  </conditionalFormatting>
  <conditionalFormatting sqref="H9:AL9">
    <cfRule type="containsText" dxfId="8046" priority="11019" operator="containsText" text="Chủ Nhật">
      <formula>NOT(ISERROR(SEARCH(("Chủ Nhật"),(H9))))</formula>
    </cfRule>
  </conditionalFormatting>
  <conditionalFormatting sqref="H11:AL11 I12:AL12 H12:H26 I13:K13 I14:AL26">
    <cfRule type="containsText" dxfId="8045" priority="11004" operator="containsText" text="K">
      <formula>NOT(ISERROR(SEARCH(("K"),(H11))))</formula>
    </cfRule>
    <cfRule type="containsText" dxfId="8044" priority="11005" operator="containsText" text="X">
      <formula>NOT(ISERROR(SEARCH(("X"),(H11))))</formula>
    </cfRule>
    <cfRule type="containsText" dxfId="8043" priority="11002" operator="containsText" text="C">
      <formula>NOT(ISERROR(SEARCH(("C"),(H11))))</formula>
    </cfRule>
    <cfRule type="containsText" dxfId="8042" priority="11003" operator="containsText" text="P">
      <formula>NOT(ISERROR(SEARCH(("P"),(H11))))</formula>
    </cfRule>
  </conditionalFormatting>
  <conditionalFormatting sqref="H11:AL11 W11:AA20 I14:AL26 N13:T13 H12:H26">
    <cfRule type="containsText" dxfId="8041" priority="7887" operator="containsText" text="N">
      <formula>NOT(ISERROR(SEARCH(("N"),(H11))))</formula>
    </cfRule>
  </conditionalFormatting>
  <conditionalFormatting sqref="H27:AL27 I14:AL26 I12:AL12 I13:K13 H11:AL11 H12:H26 H8:AL8">
    <cfRule type="expression" dxfId="8040" priority="11034">
      <formula>WEEKDAY(H$8)=1</formula>
    </cfRule>
  </conditionalFormatting>
  <conditionalFormatting sqref="H27:AL27">
    <cfRule type="containsText" dxfId="8039" priority="11030" operator="containsText" text="C">
      <formula>NOT(ISERROR(SEARCH(("C"),(H31))))</formula>
    </cfRule>
    <cfRule type="containsText" dxfId="8038" priority="11029" operator="containsText" text="O">
      <formula>NOT(ISERROR(SEARCH(("O"),(H31))))</formula>
    </cfRule>
    <cfRule type="containsText" dxfId="8037" priority="11028" operator="containsText" text="N">
      <formula>NOT(ISERROR(SEARCH(("N"),(H31))))</formula>
    </cfRule>
    <cfRule type="containsText" dxfId="8036" priority="11027" operator="containsText" text="L">
      <formula>NOT(ISERROR(SEARCH(("L"),(H31))))</formula>
    </cfRule>
    <cfRule type="containsText" dxfId="8035" priority="11033" operator="containsText" text="X">
      <formula>NOT(ISERROR(SEARCH(("X"),(H31))))</formula>
    </cfRule>
    <cfRule type="containsText" dxfId="8034" priority="11032" operator="containsText" text="K">
      <formula>NOT(ISERROR(SEARCH(("K"),(H31))))</formula>
    </cfRule>
    <cfRule type="containsText" dxfId="8033" priority="11031" operator="containsText" text="P">
      <formula>NOT(ISERROR(SEARCH(("P"),(H31))))</formula>
    </cfRule>
  </conditionalFormatting>
  <conditionalFormatting sqref="I13">
    <cfRule type="containsText" dxfId="8032" priority="9872" operator="containsText" text="O">
      <formula>NOT(ISERROR(SEARCH(("O"),(I13))))</formula>
    </cfRule>
    <cfRule type="containsText" dxfId="8031" priority="9876" operator="containsText" text="X">
      <formula>NOT(ISERROR(SEARCH(("X"),(I13))))</formula>
    </cfRule>
    <cfRule type="containsText" dxfId="8030" priority="9875" operator="containsText" text="K">
      <formula>NOT(ISERROR(SEARCH(("K"),(I13))))</formula>
    </cfRule>
    <cfRule type="containsText" dxfId="8029" priority="9874" operator="containsText" text="P">
      <formula>NOT(ISERROR(SEARCH(("P"),(I13))))</formula>
    </cfRule>
    <cfRule type="containsText" dxfId="8028" priority="9873" operator="containsText" text="C">
      <formula>NOT(ISERROR(SEARCH(("C"),(I13))))</formula>
    </cfRule>
  </conditionalFormatting>
  <conditionalFormatting sqref="I20:I26 K14:K26 H11:M11 I12:M12 H12:H26 I14:M20 I21:K21 I22:M22 AK14:AL26 I25:L25 J23:L24">
    <cfRule type="containsText" dxfId="8027" priority="10876" operator="containsText" text="P">
      <formula>NOT(ISERROR(SEARCH(("P"),(H11))))</formula>
    </cfRule>
    <cfRule type="containsText" dxfId="8026" priority="10875" operator="containsText" text="C">
      <formula>NOT(ISERROR(SEARCH(("C"),(H11))))</formula>
    </cfRule>
    <cfRule type="containsText" dxfId="8025" priority="10877" operator="containsText" text="K">
      <formula>NOT(ISERROR(SEARCH(("K"),(H11))))</formula>
    </cfRule>
    <cfRule type="containsText" dxfId="8024" priority="10878" operator="containsText" text="X">
      <formula>NOT(ISERROR(SEARCH(("X"),(H11))))</formula>
    </cfRule>
  </conditionalFormatting>
  <conditionalFormatting sqref="I11:J11">
    <cfRule type="containsText" dxfId="8023" priority="5484" operator="containsText" text="P">
      <formula>NOT(ISERROR(SEARCH(("P"),(I11))))</formula>
    </cfRule>
    <cfRule type="containsText" dxfId="8022" priority="5485" operator="containsText" text="K">
      <formula>NOT(ISERROR(SEARCH(("K"),(I11))))</formula>
    </cfRule>
    <cfRule type="containsText" dxfId="8021" priority="5487" operator="containsText" text="L">
      <formula>NOT(ISERROR(SEARCH(("L"),(I11))))</formula>
    </cfRule>
    <cfRule type="containsText" dxfId="8020" priority="5482" operator="containsText" text="O">
      <formula>NOT(ISERROR(SEARCH(("O"),(I11))))</formula>
    </cfRule>
    <cfRule type="containsText" dxfId="8019" priority="5483" operator="containsText" text="C">
      <formula>NOT(ISERROR(SEARCH(("C"),(I11))))</formula>
    </cfRule>
    <cfRule type="containsText" dxfId="8018" priority="5486" operator="containsText" text="X">
      <formula>NOT(ISERROR(SEARCH(("X"),(I11))))</formula>
    </cfRule>
  </conditionalFormatting>
  <conditionalFormatting sqref="I12:J12 I13:K13 M20">
    <cfRule type="containsText" dxfId="8017" priority="11006" operator="containsText" text="N">
      <formula>NOT(ISERROR(SEARCH(("N"),(I12))))</formula>
    </cfRule>
  </conditionalFormatting>
  <conditionalFormatting sqref="I12:J12 AB12:AD12 AI12 U22:X26 AA22:AB26 V23:Z23 V24:AB24">
    <cfRule type="containsText" dxfId="8016" priority="5905" operator="containsText" text="N">
      <formula>NOT(ISERROR(SEARCH(("N"),(I12))))</formula>
    </cfRule>
  </conditionalFormatting>
  <conditionalFormatting sqref="I12:J12">
    <cfRule type="containsText" dxfId="8015" priority="5911" operator="containsText" text="L">
      <formula>NOT(ISERROR(SEARCH(("L"),(I12))))</formula>
    </cfRule>
    <cfRule type="containsText" dxfId="8014" priority="5882" operator="containsText" text="L">
      <formula>NOT(ISERROR(SEARCH(("L"),(I12))))</formula>
    </cfRule>
    <cfRule type="containsText" dxfId="8013" priority="5884" operator="containsText" text="O">
      <formula>NOT(ISERROR(SEARCH(("O"),(I12))))</formula>
    </cfRule>
    <cfRule type="containsText" dxfId="8012" priority="5885" operator="containsText" text="C">
      <formula>NOT(ISERROR(SEARCH(("C"),(I12))))</formula>
    </cfRule>
    <cfRule type="containsText" dxfId="8011" priority="5886" operator="containsText" text="P">
      <formula>NOT(ISERROR(SEARCH(("P"),(I12))))</formula>
    </cfRule>
    <cfRule type="containsText" dxfId="8010" priority="5881" operator="containsText" text="X">
      <formula>NOT(ISERROR(SEARCH(("X"),(I12))))</formula>
    </cfRule>
    <cfRule type="containsText" dxfId="8009" priority="5887" operator="containsText" text="K">
      <formula>NOT(ISERROR(SEARCH(("K"),(I12))))</formula>
    </cfRule>
    <cfRule type="containsText" dxfId="8008" priority="5146" operator="containsText" text="O">
      <formula>NOT(ISERROR(SEARCH(("O"),(I12))))</formula>
    </cfRule>
    <cfRule type="containsText" dxfId="8007" priority="5902" operator="containsText" text="K">
      <formula>NOT(ISERROR(SEARCH(("K"),(I12))))</formula>
    </cfRule>
    <cfRule type="containsText" dxfId="8006" priority="5147" operator="containsText" text="C">
      <formula>NOT(ISERROR(SEARCH(("C"),(I12))))</formula>
    </cfRule>
    <cfRule type="containsText" dxfId="8005" priority="5883" operator="containsText" text="N">
      <formula>NOT(ISERROR(SEARCH(("N"),(I12))))</formula>
    </cfRule>
    <cfRule type="containsText" dxfId="8004" priority="5903" operator="containsText" text="X">
      <formula>NOT(ISERROR(SEARCH(("X"),(I12))))</formula>
    </cfRule>
    <cfRule type="containsText" dxfId="8003" priority="5148" operator="containsText" text="P">
      <formula>NOT(ISERROR(SEARCH(("P"),(I12))))</formula>
    </cfRule>
    <cfRule type="containsText" dxfId="8002" priority="5904" operator="containsText" text="L">
      <formula>NOT(ISERROR(SEARCH(("L"),(I12))))</formula>
    </cfRule>
    <cfRule type="containsText" dxfId="8001" priority="5149" operator="containsText" text="K">
      <formula>NOT(ISERROR(SEARCH(("K"),(I12))))</formula>
    </cfRule>
    <cfRule type="containsText" dxfId="8000" priority="5150" operator="containsText" text="X">
      <formula>NOT(ISERROR(SEARCH(("X"),(I12))))</formula>
    </cfRule>
    <cfRule type="containsText" dxfId="7999" priority="5151" operator="containsText" text="L">
      <formula>NOT(ISERROR(SEARCH(("L"),(I12))))</formula>
    </cfRule>
    <cfRule type="containsText" dxfId="7998" priority="5876" operator="containsText" text="N">
      <formula>NOT(ISERROR(SEARCH(("N"),(I12))))</formula>
    </cfRule>
    <cfRule type="containsText" dxfId="7997" priority="5901" operator="containsText" text="P">
      <formula>NOT(ISERROR(SEARCH(("P"),(I12))))</formula>
    </cfRule>
    <cfRule type="containsText" dxfId="7996" priority="5900" operator="containsText" text="C">
      <formula>NOT(ISERROR(SEARCH(("C"),(I12))))</formula>
    </cfRule>
    <cfRule type="containsText" dxfId="7995" priority="5897" operator="containsText" text="N">
      <formula>NOT(ISERROR(SEARCH(("N"),(I12))))</formula>
    </cfRule>
    <cfRule type="containsText" dxfId="7994" priority="5889" operator="containsText" text="L">
      <formula>NOT(ISERROR(SEARCH(("L"),(I12))))</formula>
    </cfRule>
    <cfRule type="containsText" dxfId="7993" priority="5888" operator="containsText" text="X">
      <formula>NOT(ISERROR(SEARCH(("X"),(I12))))</formula>
    </cfRule>
    <cfRule type="containsText" dxfId="7992" priority="5877" operator="containsText" text="O">
      <formula>NOT(ISERROR(SEARCH(("O"),(I12))))</formula>
    </cfRule>
    <cfRule type="containsText" dxfId="7991" priority="5878" operator="containsText" text="C">
      <formula>NOT(ISERROR(SEARCH(("C"),(I12))))</formula>
    </cfRule>
    <cfRule type="containsText" dxfId="7990" priority="5879" operator="containsText" text="P">
      <formula>NOT(ISERROR(SEARCH(("P"),(I12))))</formula>
    </cfRule>
    <cfRule type="containsText" dxfId="7989" priority="5880" operator="containsText" text="K">
      <formula>NOT(ISERROR(SEARCH(("K"),(I12))))</formula>
    </cfRule>
    <cfRule type="containsText" dxfId="7988" priority="5899" operator="containsText" text="O">
      <formula>NOT(ISERROR(SEARCH(("O"),(I12))))</formula>
    </cfRule>
  </conditionalFormatting>
  <conditionalFormatting sqref="I14:J14">
    <cfRule type="containsText" dxfId="7987" priority="7491" operator="containsText" text="K">
      <formula>NOT(ISERROR(SEARCH(("K"),(I14))))</formula>
    </cfRule>
    <cfRule type="containsText" dxfId="7986" priority="7490" operator="containsText" text="P">
      <formula>NOT(ISERROR(SEARCH(("P"),(I14))))</formula>
    </cfRule>
    <cfRule type="containsText" dxfId="7985" priority="7489" operator="containsText" text="C">
      <formula>NOT(ISERROR(SEARCH(("C"),(I14))))</formula>
    </cfRule>
    <cfRule type="containsText" dxfId="7984" priority="7488" operator="containsText" text="O">
      <formula>NOT(ISERROR(SEARCH(("O"),(I14))))</formula>
    </cfRule>
    <cfRule type="containsText" dxfId="7983" priority="7487" operator="containsText" text="N">
      <formula>NOT(ISERROR(SEARCH(("N"),(I14))))</formula>
    </cfRule>
    <cfRule type="containsText" dxfId="7982" priority="7486" operator="containsText" text="L">
      <formula>NOT(ISERROR(SEARCH(("L"),(I14))))</formula>
    </cfRule>
    <cfRule type="containsText" dxfId="7981" priority="7485" operator="containsText" text="X">
      <formula>NOT(ISERROR(SEARCH(("X"),(I14))))</formula>
    </cfRule>
    <cfRule type="containsText" dxfId="7980" priority="7484" operator="containsText" text="K">
      <formula>NOT(ISERROR(SEARCH(("K"),(I14))))</formula>
    </cfRule>
    <cfRule type="containsText" dxfId="7979" priority="7483" operator="containsText" text="P">
      <formula>NOT(ISERROR(SEARCH(("P"),(I14))))</formula>
    </cfRule>
    <cfRule type="containsText" dxfId="7978" priority="7482" operator="containsText" text="C">
      <formula>NOT(ISERROR(SEARCH(("C"),(I14))))</formula>
    </cfRule>
    <cfRule type="containsText" dxfId="7977" priority="7481" operator="containsText" text="O">
      <formula>NOT(ISERROR(SEARCH(("O"),(I14))))</formula>
    </cfRule>
    <cfRule type="containsText" dxfId="7976" priority="7517" operator="containsText" text="O">
      <formula>NOT(ISERROR(SEARCH(("O"),(I14))))</formula>
    </cfRule>
    <cfRule type="containsText" dxfId="7975" priority="7520" operator="containsText" text="K">
      <formula>NOT(ISERROR(SEARCH(("K"),(I14))))</formula>
    </cfRule>
    <cfRule type="containsText" dxfId="7974" priority="7518" operator="containsText" text="C">
      <formula>NOT(ISERROR(SEARCH(("C"),(I14))))</formula>
    </cfRule>
    <cfRule type="containsText" dxfId="7973" priority="7519" operator="containsText" text="P">
      <formula>NOT(ISERROR(SEARCH(("P"),(I14))))</formula>
    </cfRule>
    <cfRule type="containsText" dxfId="7972" priority="7494" operator="containsText" text="N">
      <formula>NOT(ISERROR(SEARCH(("N"),(I14))))</formula>
    </cfRule>
    <cfRule type="containsText" dxfId="7971" priority="7521" operator="containsText" text="X">
      <formula>NOT(ISERROR(SEARCH(("X"),(I14))))</formula>
    </cfRule>
    <cfRule type="containsText" dxfId="7970" priority="7515" operator="containsText" text="L">
      <formula>NOT(ISERROR(SEARCH(("L"),(I14))))</formula>
    </cfRule>
    <cfRule type="containsText" dxfId="7969" priority="7513" operator="containsText" text="K">
      <formula>NOT(ISERROR(SEARCH(("K"),(I14))))</formula>
    </cfRule>
    <cfRule type="containsText" dxfId="7968" priority="7512" operator="containsText" text="P">
      <formula>NOT(ISERROR(SEARCH(("P"),(I14))))</formula>
    </cfRule>
    <cfRule type="containsText" dxfId="7967" priority="7511" operator="containsText" text="C">
      <formula>NOT(ISERROR(SEARCH(("C"),(I14))))</formula>
    </cfRule>
    <cfRule type="containsText" dxfId="7966" priority="7510" operator="containsText" text="O">
      <formula>NOT(ISERROR(SEARCH(("O"),(I14))))</formula>
    </cfRule>
    <cfRule type="containsText" dxfId="7965" priority="7508" operator="containsText" text="N">
      <formula>NOT(ISERROR(SEARCH(("N"),(I14))))</formula>
    </cfRule>
    <cfRule type="containsText" dxfId="7964" priority="7500" operator="containsText" text="L">
      <formula>NOT(ISERROR(SEARCH(("L"),(I14))))</formula>
    </cfRule>
    <cfRule type="containsText" dxfId="7963" priority="7499" operator="containsText" text="X">
      <formula>NOT(ISERROR(SEARCH(("X"),(I14))))</formula>
    </cfRule>
    <cfRule type="containsText" dxfId="7962" priority="7498" operator="containsText" text="K">
      <formula>NOT(ISERROR(SEARCH(("K"),(I14))))</formula>
    </cfRule>
    <cfRule type="containsText" dxfId="7961" priority="7497" operator="containsText" text="P">
      <formula>NOT(ISERROR(SEARCH(("P"),(I14))))</formula>
    </cfRule>
    <cfRule type="containsText" dxfId="7960" priority="7516" operator="containsText" text="N">
      <formula>NOT(ISERROR(SEARCH(("N"),(I14))))</formula>
    </cfRule>
    <cfRule type="containsText" dxfId="7959" priority="7514" operator="containsText" text="X">
      <formula>NOT(ISERROR(SEARCH(("X"),(I14))))</formula>
    </cfRule>
    <cfRule type="containsText" dxfId="7958" priority="7496" operator="containsText" text="C">
      <formula>NOT(ISERROR(SEARCH(("C"),(I14))))</formula>
    </cfRule>
    <cfRule type="containsText" dxfId="7957" priority="7495" operator="containsText" text="O">
      <formula>NOT(ISERROR(SEARCH(("O"),(I14))))</formula>
    </cfRule>
    <cfRule type="containsText" dxfId="7956" priority="7493" operator="containsText" text="L">
      <formula>NOT(ISERROR(SEARCH(("L"),(I14))))</formula>
    </cfRule>
    <cfRule type="containsText" dxfId="7955" priority="7492" operator="containsText" text="X">
      <formula>NOT(ISERROR(SEARCH(("X"),(I14))))</formula>
    </cfRule>
  </conditionalFormatting>
  <conditionalFormatting sqref="I14:J16">
    <cfRule type="containsText" dxfId="7954" priority="4552" operator="containsText" text="N">
      <formula>NOT(ISERROR(SEARCH(("N"),(I14))))</formula>
    </cfRule>
  </conditionalFormatting>
  <conditionalFormatting sqref="I15:J15">
    <cfRule type="containsText" dxfId="7953" priority="7321" operator="containsText" text="O">
      <formula>NOT(ISERROR(SEARCH(("O"),(I15))))</formula>
    </cfRule>
    <cfRule type="containsText" dxfId="7952" priority="7322" operator="containsText" text="C">
      <formula>NOT(ISERROR(SEARCH(("C"),(I15))))</formula>
    </cfRule>
    <cfRule type="containsText" dxfId="7951" priority="7323" operator="containsText" text="P">
      <formula>NOT(ISERROR(SEARCH(("P"),(I15))))</formula>
    </cfRule>
    <cfRule type="containsText" dxfId="7950" priority="7324" operator="containsText" text="K">
      <formula>NOT(ISERROR(SEARCH(("K"),(I15))))</formula>
    </cfRule>
    <cfRule type="containsText" dxfId="7949" priority="7325" operator="containsText" text="X">
      <formula>NOT(ISERROR(SEARCH(("X"),(I15))))</formula>
    </cfRule>
    <cfRule type="containsText" dxfId="7948" priority="7326" operator="containsText" text="L">
      <formula>NOT(ISERROR(SEARCH(("L"),(I15))))</formula>
    </cfRule>
    <cfRule type="containsText" dxfId="7947" priority="7302" operator="containsText" text="K">
      <formula>NOT(ISERROR(SEARCH(("K"),(I15))))</formula>
    </cfRule>
    <cfRule type="containsText" dxfId="7946" priority="7319" operator="containsText" text="L">
      <formula>NOT(ISERROR(SEARCH(("L"),(I15))))</formula>
    </cfRule>
    <cfRule type="containsText" dxfId="7945" priority="7291" operator="containsText" text="N">
      <formula>NOT(ISERROR(SEARCH(("N"),(I15))))</formula>
    </cfRule>
    <cfRule type="containsText" dxfId="7944" priority="7289" operator="containsText" text="X">
      <formula>NOT(ISERROR(SEARCH(("X"),(I15))))</formula>
    </cfRule>
    <cfRule type="containsText" dxfId="7943" priority="7288" operator="containsText" text="K">
      <formula>NOT(ISERROR(SEARCH(("K"),(I15))))</formula>
    </cfRule>
    <cfRule type="containsText" dxfId="7942" priority="7320" operator="containsText" text="N">
      <formula>NOT(ISERROR(SEARCH(("N"),(I15))))</formula>
    </cfRule>
    <cfRule type="containsText" dxfId="7941" priority="7301" operator="containsText" text="P">
      <formula>NOT(ISERROR(SEARCH(("P"),(I15))))</formula>
    </cfRule>
    <cfRule type="containsText" dxfId="7940" priority="7292" operator="containsText" text="O">
      <formula>NOT(ISERROR(SEARCH(("O"),(I15))))</formula>
    </cfRule>
    <cfRule type="containsText" dxfId="7939" priority="7293" operator="containsText" text="C">
      <formula>NOT(ISERROR(SEARCH(("C"),(I15))))</formula>
    </cfRule>
    <cfRule type="containsText" dxfId="7938" priority="7294" operator="containsText" text="P">
      <formula>NOT(ISERROR(SEARCH(("P"),(I15))))</formula>
    </cfRule>
    <cfRule type="containsText" dxfId="7937" priority="7295" operator="containsText" text="K">
      <formula>NOT(ISERROR(SEARCH(("K"),(I15))))</formula>
    </cfRule>
    <cfRule type="containsText" dxfId="7936" priority="7286" operator="containsText" text="C">
      <formula>NOT(ISERROR(SEARCH(("C"),(I15))))</formula>
    </cfRule>
    <cfRule type="containsText" dxfId="7935" priority="7296" operator="containsText" text="X">
      <formula>NOT(ISERROR(SEARCH(("X"),(I15))))</formula>
    </cfRule>
    <cfRule type="containsText" dxfId="7934" priority="7297" operator="containsText" text="L">
      <formula>NOT(ISERROR(SEARCH(("L"),(I15))))</formula>
    </cfRule>
    <cfRule type="containsText" dxfId="7933" priority="7298" operator="containsText" text="N">
      <formula>NOT(ISERROR(SEARCH(("N"),(I15))))</formula>
    </cfRule>
    <cfRule type="containsText" dxfId="7932" priority="7299" operator="containsText" text="O">
      <formula>NOT(ISERROR(SEARCH(("O"),(I15))))</formula>
    </cfRule>
    <cfRule type="containsText" dxfId="7931" priority="7300" operator="containsText" text="C">
      <formula>NOT(ISERROR(SEARCH(("C"),(I15))))</formula>
    </cfRule>
    <cfRule type="containsText" dxfId="7930" priority="7317" operator="containsText" text="K">
      <formula>NOT(ISERROR(SEARCH(("K"),(I15))))</formula>
    </cfRule>
    <cfRule type="containsText" dxfId="7929" priority="7315" operator="containsText" text="C">
      <formula>NOT(ISERROR(SEARCH(("C"),(I15))))</formula>
    </cfRule>
    <cfRule type="containsText" dxfId="7928" priority="7285" operator="containsText" text="O">
      <formula>NOT(ISERROR(SEARCH(("O"),(I15))))</formula>
    </cfRule>
    <cfRule type="containsText" dxfId="7927" priority="7287" operator="containsText" text="P">
      <formula>NOT(ISERROR(SEARCH(("P"),(I15))))</formula>
    </cfRule>
    <cfRule type="containsText" dxfId="7926" priority="7316" operator="containsText" text="P">
      <formula>NOT(ISERROR(SEARCH(("P"),(I15))))</formula>
    </cfRule>
    <cfRule type="containsText" dxfId="7925" priority="7290" operator="containsText" text="L">
      <formula>NOT(ISERROR(SEARCH(("L"),(I15))))</formula>
    </cfRule>
    <cfRule type="containsText" dxfId="7924" priority="7314" operator="containsText" text="O">
      <formula>NOT(ISERROR(SEARCH(("O"),(I15))))</formula>
    </cfRule>
    <cfRule type="containsText" dxfId="7923" priority="9334" operator="containsText" text="O">
      <formula>NOT(ISERROR(SEARCH(("O"),(I15))))</formula>
    </cfRule>
    <cfRule type="containsText" dxfId="7922" priority="9335" operator="containsText" text="C">
      <formula>NOT(ISERROR(SEARCH(("C"),(I15))))</formula>
    </cfRule>
    <cfRule type="containsText" dxfId="7921" priority="9336" operator="containsText" text="P">
      <formula>NOT(ISERROR(SEARCH(("P"),(I15))))</formula>
    </cfRule>
    <cfRule type="containsText" dxfId="7920" priority="9337" operator="containsText" text="K">
      <formula>NOT(ISERROR(SEARCH(("K"),(I15))))</formula>
    </cfRule>
    <cfRule type="containsText" dxfId="7919" priority="9338" operator="containsText" text="X">
      <formula>NOT(ISERROR(SEARCH(("X"),(I15))))</formula>
    </cfRule>
    <cfRule type="containsText" dxfId="7918" priority="9339" operator="containsText" text="L">
      <formula>NOT(ISERROR(SEARCH(("L"),(I15))))</formula>
    </cfRule>
    <cfRule type="containsText" dxfId="7917" priority="7313" operator="containsText" text="N">
      <formula>NOT(ISERROR(SEARCH(("N"),(I15))))</formula>
    </cfRule>
    <cfRule type="containsText" dxfId="7916" priority="7304" operator="containsText" text="L">
      <formula>NOT(ISERROR(SEARCH(("L"),(I15))))</formula>
    </cfRule>
    <cfRule type="containsText" dxfId="7915" priority="7303" operator="containsText" text="X">
      <formula>NOT(ISERROR(SEARCH(("X"),(I15))))</formula>
    </cfRule>
    <cfRule type="containsText" dxfId="7914" priority="7318" operator="containsText" text="X">
      <formula>NOT(ISERROR(SEARCH(("X"),(I15))))</formula>
    </cfRule>
  </conditionalFormatting>
  <conditionalFormatting sqref="I15:J16">
    <cfRule type="containsText" dxfId="7913" priority="8670" operator="containsText" text="N">
      <formula>NOT(ISERROR(SEARCH(("N"),(I15))))</formula>
    </cfRule>
  </conditionalFormatting>
  <conditionalFormatting sqref="I15:J17">
    <cfRule type="containsText" dxfId="7912" priority="7003" operator="containsText" text="N">
      <formula>NOT(ISERROR(SEARCH(("N"),(I15))))</formula>
    </cfRule>
  </conditionalFormatting>
  <conditionalFormatting sqref="I16:J16">
    <cfRule type="containsText" dxfId="7911" priority="4298" operator="containsText" text="N">
      <formula>NOT(ISERROR(SEARCH(("N"),(I16))))</formula>
    </cfRule>
    <cfRule type="containsText" dxfId="7910" priority="4297" operator="containsText" text="L">
      <formula>NOT(ISERROR(SEARCH(("L"),(I16))))</formula>
    </cfRule>
    <cfRule type="containsText" dxfId="7909" priority="4296" operator="containsText" text="X">
      <formula>NOT(ISERROR(SEARCH(("X"),(I16))))</formula>
    </cfRule>
    <cfRule type="containsText" dxfId="7908" priority="4295" operator="containsText" text="K">
      <formula>NOT(ISERROR(SEARCH(("K"),(I16))))</formula>
    </cfRule>
    <cfRule type="containsText" dxfId="7907" priority="4320" operator="containsText" text="O">
      <formula>NOT(ISERROR(SEARCH(("O"),(I16))))</formula>
    </cfRule>
    <cfRule type="containsText" dxfId="7906" priority="4321" operator="containsText" text="C">
      <formula>NOT(ISERROR(SEARCH(("C"),(I16))))</formula>
    </cfRule>
    <cfRule type="containsText" dxfId="7905" priority="4322" operator="containsText" text="P">
      <formula>NOT(ISERROR(SEARCH(("P"),(I16))))</formula>
    </cfRule>
    <cfRule type="containsText" dxfId="7904" priority="4323" operator="containsText" text="K">
      <formula>NOT(ISERROR(SEARCH(("K"),(I16))))</formula>
    </cfRule>
    <cfRule type="containsText" dxfId="7903" priority="4324" operator="containsText" text="X">
      <formula>NOT(ISERROR(SEARCH(("X"),(I16))))</formula>
    </cfRule>
    <cfRule type="containsText" dxfId="7902" priority="4325" operator="containsText" text="L">
      <formula>NOT(ISERROR(SEARCH(("L"),(I16))))</formula>
    </cfRule>
    <cfRule type="containsText" dxfId="7901" priority="4326" operator="containsText" text="N">
      <formula>NOT(ISERROR(SEARCH(("N"),(I16))))</formula>
    </cfRule>
    <cfRule type="containsText" dxfId="7900" priority="4294" operator="containsText" text="P">
      <formula>NOT(ISERROR(SEARCH(("P"),(I16))))</formula>
    </cfRule>
    <cfRule type="containsText" dxfId="7899" priority="4293" operator="containsText" text="C">
      <formula>NOT(ISERROR(SEARCH(("C"),(I16))))</formula>
    </cfRule>
    <cfRule type="containsText" dxfId="7898" priority="4292" operator="containsText" text="O">
      <formula>NOT(ISERROR(SEARCH(("O"),(I16))))</formula>
    </cfRule>
    <cfRule type="containsText" dxfId="7897" priority="4289" operator="containsText" text="N">
      <formula>NOT(ISERROR(SEARCH(("N"),(I16))))</formula>
    </cfRule>
    <cfRule type="containsText" dxfId="7896" priority="4327" operator="containsText" text="L">
      <formula>NOT(ISERROR(SEARCH(("L"),(I16))))</formula>
    </cfRule>
    <cfRule type="containsText" dxfId="7895" priority="4330" operator="containsText" text="C">
      <formula>NOT(ISERROR(SEARCH(("C"),(I16))))</formula>
    </cfRule>
    <cfRule type="containsText" dxfId="7894" priority="4331" operator="containsText" text="P">
      <formula>NOT(ISERROR(SEARCH(("P"),(I16))))</formula>
    </cfRule>
    <cfRule type="containsText" dxfId="7893" priority="4332" operator="containsText" text="K">
      <formula>NOT(ISERROR(SEARCH(("K"),(I16))))</formula>
    </cfRule>
    <cfRule type="containsText" dxfId="7892" priority="4333" operator="containsText" text="X">
      <formula>NOT(ISERROR(SEARCH(("X"),(I16))))</formula>
    </cfRule>
    <cfRule type="containsText" dxfId="7891" priority="6978" operator="containsText" text="P">
      <formula>NOT(ISERROR(SEARCH(("P"),(I16))))</formula>
    </cfRule>
    <cfRule type="containsText" dxfId="7890" priority="6979" operator="containsText" text="K">
      <formula>NOT(ISERROR(SEARCH(("K"),(I16))))</formula>
    </cfRule>
    <cfRule type="containsText" dxfId="7889" priority="6980" operator="containsText" text="X">
      <formula>NOT(ISERROR(SEARCH(("X"),(I16))))</formula>
    </cfRule>
    <cfRule type="containsText" dxfId="7888" priority="6981" operator="containsText" text="L">
      <formula>NOT(ISERROR(SEARCH(("L"),(I16))))</formula>
    </cfRule>
    <cfRule type="containsText" dxfId="7887" priority="6982" operator="containsText" text="N">
      <formula>NOT(ISERROR(SEARCH(("N"),(I16))))</formula>
    </cfRule>
    <cfRule type="containsText" dxfId="7886" priority="6976" operator="containsText" text="O">
      <formula>NOT(ISERROR(SEARCH(("O"),(I16))))</formula>
    </cfRule>
    <cfRule type="containsText" dxfId="7885" priority="6977" operator="containsText" text="C">
      <formula>NOT(ISERROR(SEARCH(("C"),(I16))))</formula>
    </cfRule>
    <cfRule type="containsText" dxfId="7884" priority="6983" operator="containsText" text="O">
      <formula>NOT(ISERROR(SEARCH(("O"),(I16))))</formula>
    </cfRule>
    <cfRule type="containsText" dxfId="7883" priority="6984" operator="containsText" text="C">
      <formula>NOT(ISERROR(SEARCH(("C"),(I16))))</formula>
    </cfRule>
    <cfRule type="containsText" dxfId="7882" priority="6985" operator="containsText" text="P">
      <formula>NOT(ISERROR(SEARCH(("P"),(I16))))</formula>
    </cfRule>
    <cfRule type="containsText" dxfId="7881" priority="6986" operator="containsText" text="K">
      <formula>NOT(ISERROR(SEARCH(("K"),(I16))))</formula>
    </cfRule>
    <cfRule type="containsText" dxfId="7880" priority="6987" operator="containsText" text="X">
      <formula>NOT(ISERROR(SEARCH(("X"),(I16))))</formula>
    </cfRule>
    <cfRule type="containsText" dxfId="7879" priority="6988" operator="containsText" text="L">
      <formula>NOT(ISERROR(SEARCH(("L"),(I16))))</formula>
    </cfRule>
    <cfRule type="containsText" dxfId="7878" priority="6996" operator="containsText" text="N">
      <formula>NOT(ISERROR(SEARCH(("N"),(I16))))</formula>
    </cfRule>
    <cfRule type="containsText" dxfId="7877" priority="6997" operator="containsText" text="O">
      <formula>NOT(ISERROR(SEARCH(("O"),(I16))))</formula>
    </cfRule>
    <cfRule type="containsText" dxfId="7876" priority="6998" operator="containsText" text="C">
      <formula>NOT(ISERROR(SEARCH(("C"),(I16))))</formula>
    </cfRule>
    <cfRule type="containsText" dxfId="7875" priority="6999" operator="containsText" text="P">
      <formula>NOT(ISERROR(SEARCH(("P"),(I16))))</formula>
    </cfRule>
    <cfRule type="containsText" dxfId="7874" priority="7000" operator="containsText" text="K">
      <formula>NOT(ISERROR(SEARCH(("K"),(I16))))</formula>
    </cfRule>
    <cfRule type="containsText" dxfId="7873" priority="7001" operator="containsText" text="X">
      <formula>NOT(ISERROR(SEARCH(("X"),(I16))))</formula>
    </cfRule>
    <cfRule type="containsText" dxfId="7872" priority="7002" operator="containsText" text="L">
      <formula>NOT(ISERROR(SEARCH(("L"),(I16))))</formula>
    </cfRule>
    <cfRule type="containsText" dxfId="7871" priority="4334" operator="containsText" text="L">
      <formula>NOT(ISERROR(SEARCH(("L"),(I16))))</formula>
    </cfRule>
    <cfRule type="containsText" dxfId="7870" priority="4317" operator="containsText" text="X">
      <formula>NOT(ISERROR(SEARCH(("X"),(I16))))</formula>
    </cfRule>
    <cfRule type="containsText" dxfId="7869" priority="8671" operator="containsText" text="L">
      <formula>NOT(ISERROR(SEARCH(("L"),(I16))))</formula>
    </cfRule>
    <cfRule type="containsText" dxfId="7868" priority="8672" operator="containsText" text="O">
      <formula>NOT(ISERROR(SEARCH(("O"),(I16))))</formula>
    </cfRule>
    <cfRule type="containsText" dxfId="7867" priority="8673" operator="containsText" text="C">
      <formula>NOT(ISERROR(SEARCH(("C"),(I16))))</formula>
    </cfRule>
    <cfRule type="containsText" dxfId="7866" priority="8674" operator="containsText" text="P">
      <formula>NOT(ISERROR(SEARCH(("P"),(I16))))</formula>
    </cfRule>
    <cfRule type="containsText" dxfId="7865" priority="8675" operator="containsText" text="K">
      <formula>NOT(ISERROR(SEARCH(("K"),(I16))))</formula>
    </cfRule>
    <cfRule type="containsText" dxfId="7864" priority="8676" operator="containsText" text="X">
      <formula>NOT(ISERROR(SEARCH(("X"),(I16))))</formula>
    </cfRule>
    <cfRule type="containsText" dxfId="7863" priority="8677" operator="containsText" text="L">
      <formula>NOT(ISERROR(SEARCH(("L"),(I16))))</formula>
    </cfRule>
    <cfRule type="containsText" dxfId="7862" priority="4329" operator="containsText" text="O">
      <formula>NOT(ISERROR(SEARCH(("O"),(I16))))</formula>
    </cfRule>
    <cfRule type="containsText" dxfId="7861" priority="4318" operator="containsText" text="L">
      <formula>NOT(ISERROR(SEARCH(("L"),(I16))))</formula>
    </cfRule>
    <cfRule type="containsText" dxfId="7860" priority="4319" operator="containsText" text="N">
      <formula>NOT(ISERROR(SEARCH(("N"),(I16))))</formula>
    </cfRule>
    <cfRule type="containsText" dxfId="7859" priority="4307" operator="containsText" text="C">
      <formula>NOT(ISERROR(SEARCH(("C"),(I16))))</formula>
    </cfRule>
    <cfRule type="containsText" dxfId="7858" priority="4306" operator="containsText" text="O">
      <formula>NOT(ISERROR(SEARCH(("O"),(I16))))</formula>
    </cfRule>
    <cfRule type="containsText" dxfId="7857" priority="4305" operator="containsText" text="N">
      <formula>NOT(ISERROR(SEARCH(("N"),(I16))))</formula>
    </cfRule>
    <cfRule type="containsText" dxfId="7856" priority="4308" operator="containsText" text="P">
      <formula>NOT(ISERROR(SEARCH(("P"),(I16))))</formula>
    </cfRule>
    <cfRule type="containsText" dxfId="7855" priority="4304" operator="containsText" text="L">
      <formula>NOT(ISERROR(SEARCH(("L"),(I16))))</formula>
    </cfRule>
    <cfRule type="containsText" dxfId="7854" priority="4303" operator="containsText" text="X">
      <formula>NOT(ISERROR(SEARCH(("X"),(I16))))</formula>
    </cfRule>
    <cfRule type="containsText" dxfId="7853" priority="4302" operator="containsText" text="K">
      <formula>NOT(ISERROR(SEARCH(("K"),(I16))))</formula>
    </cfRule>
    <cfRule type="containsText" dxfId="7852" priority="4301" operator="containsText" text="P">
      <formula>NOT(ISERROR(SEARCH(("P"),(I16))))</formula>
    </cfRule>
    <cfRule type="containsText" dxfId="7851" priority="4300" operator="containsText" text="C">
      <formula>NOT(ISERROR(SEARCH(("C"),(I16))))</formula>
    </cfRule>
    <cfRule type="containsText" dxfId="7850" priority="4299" operator="containsText" text="O">
      <formula>NOT(ISERROR(SEARCH(("O"),(I16))))</formula>
    </cfRule>
    <cfRule type="containsText" dxfId="7849" priority="4316" operator="containsText" text="K">
      <formula>NOT(ISERROR(SEARCH(("K"),(I16))))</formula>
    </cfRule>
    <cfRule type="containsText" dxfId="7848" priority="4315" operator="containsText" text="P">
      <formula>NOT(ISERROR(SEARCH(("P"),(I16))))</formula>
    </cfRule>
    <cfRule type="containsText" dxfId="7847" priority="4314" operator="containsText" text="C">
      <formula>NOT(ISERROR(SEARCH(("C"),(I16))))</formula>
    </cfRule>
    <cfRule type="containsText" dxfId="7846" priority="4313" operator="containsText" text="O">
      <formula>NOT(ISERROR(SEARCH(("O"),(I16))))</formula>
    </cfRule>
    <cfRule type="containsText" dxfId="7845" priority="4312" operator="containsText" text="N">
      <formula>NOT(ISERROR(SEARCH(("N"),(I16))))</formula>
    </cfRule>
    <cfRule type="containsText" dxfId="7844" priority="4311" operator="containsText" text="L">
      <formula>NOT(ISERROR(SEARCH(("L"),(I16))))</formula>
    </cfRule>
    <cfRule type="containsText" dxfId="7843" priority="4310" operator="containsText" text="X">
      <formula>NOT(ISERROR(SEARCH(("X"),(I16))))</formula>
    </cfRule>
    <cfRule type="containsText" dxfId="7842" priority="4309" operator="containsText" text="K">
      <formula>NOT(ISERROR(SEARCH(("K"),(I16))))</formula>
    </cfRule>
  </conditionalFormatting>
  <conditionalFormatting sqref="I16:J17">
    <cfRule type="containsText" dxfId="7841" priority="7008" operator="containsText" text="X">
      <formula>NOT(ISERROR(SEARCH(("X"),(I16))))</formula>
    </cfRule>
    <cfRule type="containsText" dxfId="7840" priority="7007" operator="containsText" text="K">
      <formula>NOT(ISERROR(SEARCH(("K"),(I16))))</formula>
    </cfRule>
    <cfRule type="containsText" dxfId="7839" priority="7006" operator="containsText" text="P">
      <formula>NOT(ISERROR(SEARCH(("P"),(I16))))</formula>
    </cfRule>
    <cfRule type="containsText" dxfId="7838" priority="7005" operator="containsText" text="C">
      <formula>NOT(ISERROR(SEARCH(("C"),(I16))))</formula>
    </cfRule>
    <cfRule type="containsText" dxfId="7837" priority="7004" operator="containsText" text="O">
      <formula>NOT(ISERROR(SEARCH(("O"),(I16))))</formula>
    </cfRule>
    <cfRule type="containsText" dxfId="7836" priority="7009" operator="containsText" text="L">
      <formula>NOT(ISERROR(SEARCH(("L"),(I16))))</formula>
    </cfRule>
  </conditionalFormatting>
  <conditionalFormatting sqref="I17:J17">
    <cfRule type="containsText" dxfId="7835" priority="7153" operator="containsText" text="C">
      <formula>NOT(ISERROR(SEARCH(("C"),(I17))))</formula>
    </cfRule>
    <cfRule type="containsText" dxfId="7834" priority="7152" operator="containsText" text="O">
      <formula>NOT(ISERROR(SEARCH(("O"),(I17))))</formula>
    </cfRule>
    <cfRule type="containsText" dxfId="7833" priority="7151" operator="containsText" text="N">
      <formula>NOT(ISERROR(SEARCH(("N"),(I17))))</formula>
    </cfRule>
    <cfRule type="containsText" dxfId="7832" priority="7150" operator="containsText" text="L">
      <formula>NOT(ISERROR(SEARCH(("L"),(I17))))</formula>
    </cfRule>
    <cfRule type="containsText" dxfId="7831" priority="7149" operator="containsText" text="X">
      <formula>NOT(ISERROR(SEARCH(("X"),(I17))))</formula>
    </cfRule>
    <cfRule type="containsText" dxfId="7830" priority="7148" operator="containsText" text="K">
      <formula>NOT(ISERROR(SEARCH(("K"),(I17))))</formula>
    </cfRule>
    <cfRule type="containsText" dxfId="7829" priority="7147" operator="containsText" text="P">
      <formula>NOT(ISERROR(SEARCH(("P"),(I17))))</formula>
    </cfRule>
    <cfRule type="containsText" dxfId="7828" priority="7146" operator="containsText" text="C">
      <formula>NOT(ISERROR(SEARCH(("C"),(I17))))</formula>
    </cfRule>
    <cfRule type="containsText" dxfId="7827" priority="7145" operator="containsText" text="O">
      <formula>NOT(ISERROR(SEARCH(("O"),(I17))))</formula>
    </cfRule>
    <cfRule type="containsText" dxfId="7826" priority="7144" operator="containsText" text="N">
      <formula>NOT(ISERROR(SEARCH(("N"),(I17))))</formula>
    </cfRule>
    <cfRule type="containsText" dxfId="7825" priority="7136" operator="containsText" text="L">
      <formula>NOT(ISERROR(SEARCH(("L"),(I17))))</formula>
    </cfRule>
    <cfRule type="containsText" dxfId="7824" priority="7135" operator="containsText" text="X">
      <formula>NOT(ISERROR(SEARCH(("X"),(I17))))</formula>
    </cfRule>
    <cfRule type="containsText" dxfId="7823" priority="7134" operator="containsText" text="K">
      <formula>NOT(ISERROR(SEARCH(("K"),(I17))))</formula>
    </cfRule>
    <cfRule type="containsText" dxfId="7822" priority="7133" operator="containsText" text="P">
      <formula>NOT(ISERROR(SEARCH(("P"),(I17))))</formula>
    </cfRule>
    <cfRule type="containsText" dxfId="7821" priority="7132" operator="containsText" text="C">
      <formula>NOT(ISERROR(SEARCH(("C"),(I17))))</formula>
    </cfRule>
    <cfRule type="containsText" dxfId="7820" priority="7131" operator="containsText" text="O">
      <formula>NOT(ISERROR(SEARCH(("O"),(I17))))</formula>
    </cfRule>
    <cfRule type="containsText" dxfId="7819" priority="7130" operator="containsText" text="N">
      <formula>NOT(ISERROR(SEARCH(("N"),(I17))))</formula>
    </cfRule>
    <cfRule type="containsText" dxfId="7818" priority="7157" operator="containsText" text="L">
      <formula>NOT(ISERROR(SEARCH(("L"),(I17))))</formula>
    </cfRule>
    <cfRule type="containsText" dxfId="7817" priority="7156" operator="containsText" text="X">
      <formula>NOT(ISERROR(SEARCH(("X"),(I17))))</formula>
    </cfRule>
    <cfRule type="containsText" dxfId="7816" priority="7155" operator="containsText" text="K">
      <formula>NOT(ISERROR(SEARCH(("K"),(I17))))</formula>
    </cfRule>
    <cfRule type="containsText" dxfId="7815" priority="7154" operator="containsText" text="P">
      <formula>NOT(ISERROR(SEARCH(("P"),(I17))))</formula>
    </cfRule>
  </conditionalFormatting>
  <conditionalFormatting sqref="I18:J18">
    <cfRule type="containsText" dxfId="7814" priority="3558" operator="containsText" text="P">
      <formula>NOT(ISERROR(SEARCH(("P"),(I18))))</formula>
    </cfRule>
    <cfRule type="containsText" dxfId="7813" priority="3559" operator="containsText" text="K">
      <formula>NOT(ISERROR(SEARCH(("K"),(I18))))</formula>
    </cfRule>
    <cfRule type="containsText" dxfId="7812" priority="3560" operator="containsText" text="X">
      <formula>NOT(ISERROR(SEARCH(("X"),(I18))))</formula>
    </cfRule>
    <cfRule type="containsText" dxfId="7811" priority="3561" operator="containsText" text="L">
      <formula>NOT(ISERROR(SEARCH(("L"),(I18))))</formula>
    </cfRule>
    <cfRule type="containsText" dxfId="7810" priority="3557" operator="containsText" text="C">
      <formula>NOT(ISERROR(SEARCH(("C"),(I18))))</formula>
    </cfRule>
    <cfRule type="containsText" dxfId="7809" priority="3321" operator="containsText" text="N">
      <formula>NOT(ISERROR(SEARCH(("N"),(I18))))</formula>
    </cfRule>
    <cfRule type="containsText" dxfId="7808" priority="3354" operator="containsText" text="O">
      <formula>NOT(ISERROR(SEARCH(("O"),(I18))))</formula>
    </cfRule>
    <cfRule type="containsText" dxfId="7807" priority="3355" operator="containsText" text="C">
      <formula>NOT(ISERROR(SEARCH(("C"),(I18))))</formula>
    </cfRule>
    <cfRule type="containsText" dxfId="7806" priority="3356" operator="containsText" text="P">
      <formula>NOT(ISERROR(SEARCH(("P"),(I18))))</formula>
    </cfRule>
    <cfRule type="containsText" dxfId="7805" priority="3357" operator="containsText" text="K">
      <formula>NOT(ISERROR(SEARCH(("K"),(I18))))</formula>
    </cfRule>
    <cfRule type="containsText" dxfId="7804" priority="3358" operator="containsText" text="X">
      <formula>NOT(ISERROR(SEARCH(("X"),(I18))))</formula>
    </cfRule>
    <cfRule type="containsText" dxfId="7803" priority="3359" operator="containsText" text="L">
      <formula>NOT(ISERROR(SEARCH(("L"),(I18))))</formula>
    </cfRule>
    <cfRule type="containsText" dxfId="7802" priority="3360" operator="containsText" text="N">
      <formula>NOT(ISERROR(SEARCH(("N"),(I18))))</formula>
    </cfRule>
    <cfRule type="containsText" dxfId="7801" priority="3361" operator="containsText" text="O">
      <formula>NOT(ISERROR(SEARCH(("O"),(I18))))</formula>
    </cfRule>
    <cfRule type="containsText" dxfId="7800" priority="3362" operator="containsText" text="C">
      <formula>NOT(ISERROR(SEARCH(("C"),(I18))))</formula>
    </cfRule>
    <cfRule type="containsText" dxfId="7799" priority="3363" operator="containsText" text="P">
      <formula>NOT(ISERROR(SEARCH(("P"),(I18))))</formula>
    </cfRule>
    <cfRule type="containsText" dxfId="7798" priority="3364" operator="containsText" text="K">
      <formula>NOT(ISERROR(SEARCH(("K"),(I18))))</formula>
    </cfRule>
    <cfRule type="containsText" dxfId="7797" priority="3365" operator="containsText" text="X">
      <formula>NOT(ISERROR(SEARCH(("X"),(I18))))</formula>
    </cfRule>
    <cfRule type="containsText" dxfId="7796" priority="3366" operator="containsText" text="L">
      <formula>NOT(ISERROR(SEARCH(("L"),(I18))))</formula>
    </cfRule>
    <cfRule type="containsText" dxfId="7795" priority="3367" operator="containsText" text="N">
      <formula>NOT(ISERROR(SEARCH(("N"),(I18))))</formula>
    </cfRule>
    <cfRule type="containsText" dxfId="7794" priority="3368" operator="containsText" text="O">
      <formula>NOT(ISERROR(SEARCH(("O"),(I18))))</formula>
    </cfRule>
    <cfRule type="containsText" dxfId="7793" priority="3369" operator="containsText" text="C">
      <formula>NOT(ISERROR(SEARCH(("C"),(I18))))</formula>
    </cfRule>
    <cfRule type="containsText" dxfId="7792" priority="3370" operator="containsText" text="P">
      <formula>NOT(ISERROR(SEARCH(("P"),(I18))))</formula>
    </cfRule>
    <cfRule type="containsText" dxfId="7791" priority="3371" operator="containsText" text="K">
      <formula>NOT(ISERROR(SEARCH(("K"),(I18))))</formula>
    </cfRule>
    <cfRule type="containsText" dxfId="7790" priority="3372" operator="containsText" text="X">
      <formula>NOT(ISERROR(SEARCH(("X"),(I18))))</formula>
    </cfRule>
    <cfRule type="containsText" dxfId="7789" priority="3373" operator="containsText" text="L">
      <formula>NOT(ISERROR(SEARCH(("L"),(I18))))</formula>
    </cfRule>
    <cfRule type="containsText" dxfId="7788" priority="3381" operator="containsText" text="N">
      <formula>NOT(ISERROR(SEARCH(("N"),(I18))))</formula>
    </cfRule>
    <cfRule type="containsText" dxfId="7787" priority="3382" operator="containsText" text="O">
      <formula>NOT(ISERROR(SEARCH(("O"),(I18))))</formula>
    </cfRule>
    <cfRule type="containsText" dxfId="7786" priority="3383" operator="containsText" text="C">
      <formula>NOT(ISERROR(SEARCH(("C"),(I18))))</formula>
    </cfRule>
    <cfRule type="containsText" dxfId="7785" priority="3384" operator="containsText" text="P">
      <formula>NOT(ISERROR(SEARCH(("P"),(I18))))</formula>
    </cfRule>
    <cfRule type="containsText" dxfId="7784" priority="3385" operator="containsText" text="K">
      <formula>NOT(ISERROR(SEARCH(("K"),(I18))))</formula>
    </cfRule>
    <cfRule type="containsText" dxfId="7783" priority="3386" operator="containsText" text="X">
      <formula>NOT(ISERROR(SEARCH(("X"),(I18))))</formula>
    </cfRule>
    <cfRule type="containsText" dxfId="7782" priority="3387" operator="containsText" text="L">
      <formula>NOT(ISERROR(SEARCH(("L"),(I18))))</formula>
    </cfRule>
    <cfRule type="containsText" dxfId="7781" priority="3388" operator="containsText" text="N">
      <formula>NOT(ISERROR(SEARCH(("N"),(I18))))</formula>
    </cfRule>
    <cfRule type="containsText" dxfId="7780" priority="3389" operator="containsText" text="O">
      <formula>NOT(ISERROR(SEARCH(("O"),(I18))))</formula>
    </cfRule>
    <cfRule type="containsText" dxfId="7779" priority="7718" operator="containsText" text="L">
      <formula>NOT(ISERROR(SEARCH(("L"),(I18))))</formula>
    </cfRule>
    <cfRule type="containsText" dxfId="7778" priority="7717" operator="containsText" text="X">
      <formula>NOT(ISERROR(SEARCH(("X"),(I18))))</formula>
    </cfRule>
    <cfRule type="containsText" dxfId="7777" priority="7716" operator="containsText" text="K">
      <formula>NOT(ISERROR(SEARCH(("K"),(I18))))</formula>
    </cfRule>
    <cfRule type="containsText" dxfId="7776" priority="7715" operator="containsText" text="P">
      <formula>NOT(ISERROR(SEARCH(("P"),(I18))))</formula>
    </cfRule>
    <cfRule type="containsText" dxfId="7775" priority="7714" operator="containsText" text="C">
      <formula>NOT(ISERROR(SEARCH(("C"),(I18))))</formula>
    </cfRule>
    <cfRule type="containsText" dxfId="7774" priority="7713" operator="containsText" text="O">
      <formula>NOT(ISERROR(SEARCH(("O"),(I18))))</formula>
    </cfRule>
    <cfRule type="containsText" dxfId="7773" priority="7712" operator="containsText" text="N">
      <formula>NOT(ISERROR(SEARCH(("N"),(I18))))</formula>
    </cfRule>
    <cfRule type="containsText" dxfId="7772" priority="7711" operator="containsText" text="L">
      <formula>NOT(ISERROR(SEARCH(("L"),(I18))))</formula>
    </cfRule>
    <cfRule type="containsText" dxfId="7771" priority="7710" operator="containsText" text="X">
      <formula>NOT(ISERROR(SEARCH(("X"),(I18))))</formula>
    </cfRule>
    <cfRule type="containsText" dxfId="7770" priority="7709" operator="containsText" text="K">
      <formula>NOT(ISERROR(SEARCH(("K"),(I18))))</formula>
    </cfRule>
    <cfRule type="containsText" dxfId="7769" priority="7708" operator="containsText" text="P">
      <formula>NOT(ISERROR(SEARCH(("P"),(I18))))</formula>
    </cfRule>
    <cfRule type="containsText" dxfId="7768" priority="7707" operator="containsText" text="C">
      <formula>NOT(ISERROR(SEARCH(("C"),(I18))))</formula>
    </cfRule>
    <cfRule type="containsText" dxfId="7767" priority="7706" operator="containsText" text="O">
      <formula>NOT(ISERROR(SEARCH(("O"),(I18))))</formula>
    </cfRule>
    <cfRule type="containsText" dxfId="7766" priority="7705" operator="containsText" text="N">
      <formula>NOT(ISERROR(SEARCH(("N"),(I18))))</formula>
    </cfRule>
    <cfRule type="containsText" dxfId="7765" priority="3390" operator="containsText" text="C">
      <formula>NOT(ISERROR(SEARCH(("C"),(I18))))</formula>
    </cfRule>
    <cfRule type="containsText" dxfId="7764" priority="7696" operator="containsText" text="L">
      <formula>NOT(ISERROR(SEARCH(("L"),(I18))))</formula>
    </cfRule>
    <cfRule type="containsText" dxfId="7763" priority="7695" operator="containsText" text="X">
      <formula>NOT(ISERROR(SEARCH(("X"),(I18))))</formula>
    </cfRule>
    <cfRule type="containsText" dxfId="7762" priority="7694" operator="containsText" text="K">
      <formula>NOT(ISERROR(SEARCH(("K"),(I18))))</formula>
    </cfRule>
    <cfRule type="containsText" dxfId="7761" priority="7693" operator="containsText" text="P">
      <formula>NOT(ISERROR(SEARCH(("P"),(I18))))</formula>
    </cfRule>
    <cfRule type="containsText" dxfId="7760" priority="7692" operator="containsText" text="C">
      <formula>NOT(ISERROR(SEARCH(("C"),(I18))))</formula>
    </cfRule>
    <cfRule type="containsText" dxfId="7759" priority="7691" operator="containsText" text="O">
      <formula>NOT(ISERROR(SEARCH(("O"),(I18))))</formula>
    </cfRule>
    <cfRule type="containsText" dxfId="7758" priority="7690" operator="containsText" text="N">
      <formula>NOT(ISERROR(SEARCH(("N"),(I18))))</formula>
    </cfRule>
    <cfRule type="containsText" dxfId="7757" priority="7689" operator="containsText" text="L">
      <formula>NOT(ISERROR(SEARCH(("L"),(I18))))</formula>
    </cfRule>
    <cfRule type="containsText" dxfId="7756" priority="7688" operator="containsText" text="X">
      <formula>NOT(ISERROR(SEARCH(("X"),(I18))))</formula>
    </cfRule>
    <cfRule type="containsText" dxfId="7755" priority="7687" operator="containsText" text="K">
      <formula>NOT(ISERROR(SEARCH(("K"),(I18))))</formula>
    </cfRule>
    <cfRule type="containsText" dxfId="7754" priority="7686" operator="containsText" text="P">
      <formula>NOT(ISERROR(SEARCH(("P"),(I18))))</formula>
    </cfRule>
    <cfRule type="containsText" dxfId="7753" priority="7685" operator="containsText" text="C">
      <formula>NOT(ISERROR(SEARCH(("C"),(I18))))</formula>
    </cfRule>
    <cfRule type="containsText" dxfId="7752" priority="7684" operator="containsText" text="O">
      <formula>NOT(ISERROR(SEARCH(("O"),(I18))))</formula>
    </cfRule>
    <cfRule type="containsText" dxfId="7751" priority="7683" operator="containsText" text="N">
      <formula>NOT(ISERROR(SEARCH(("N"),(I18))))</formula>
    </cfRule>
    <cfRule type="containsText" dxfId="7750" priority="3391" operator="containsText" text="P">
      <formula>NOT(ISERROR(SEARCH(("P"),(I18))))</formula>
    </cfRule>
    <cfRule type="containsText" dxfId="7749" priority="3392" operator="containsText" text="K">
      <formula>NOT(ISERROR(SEARCH(("K"),(I18))))</formula>
    </cfRule>
    <cfRule type="containsText" dxfId="7748" priority="3393" operator="containsText" text="X">
      <formula>NOT(ISERROR(SEARCH(("X"),(I18))))</formula>
    </cfRule>
    <cfRule type="containsText" dxfId="7747" priority="3394" operator="containsText" text="L">
      <formula>NOT(ISERROR(SEARCH(("L"),(I18))))</formula>
    </cfRule>
    <cfRule type="containsText" dxfId="7746" priority="3555" operator="containsText" text="L">
      <formula>NOT(ISERROR(SEARCH(("L"),(I18))))</formula>
    </cfRule>
    <cfRule type="containsText" dxfId="7745" priority="3556" operator="containsText" text="O">
      <formula>NOT(ISERROR(SEARCH(("O"),(I18))))</formula>
    </cfRule>
  </conditionalFormatting>
  <conditionalFormatting sqref="I18:J19">
    <cfRule type="containsText" dxfId="7744" priority="3486" operator="containsText" text="N">
      <formula>NOT(ISERROR(SEARCH(("N"),(I18))))</formula>
    </cfRule>
  </conditionalFormatting>
  <conditionalFormatting sqref="I19:J19">
    <cfRule type="containsText" dxfId="7743" priority="2872" operator="containsText" text="N">
      <formula>NOT(ISERROR(SEARCH(("N"),(I19))))</formula>
    </cfRule>
    <cfRule type="containsText" dxfId="7742" priority="2873" operator="containsText" text="N">
      <formula>NOT(ISERROR(SEARCH(("N"),(I19))))</formula>
    </cfRule>
    <cfRule type="containsText" dxfId="7741" priority="2904" operator="containsText" text="N">
      <formula>NOT(ISERROR(SEARCH(("N"),(I19))))</formula>
    </cfRule>
    <cfRule type="containsText" dxfId="7740" priority="2905" operator="containsText" text="O">
      <formula>NOT(ISERROR(SEARCH(("O"),(I19))))</formula>
    </cfRule>
    <cfRule type="containsText" dxfId="7739" priority="2906" operator="containsText" text="C">
      <formula>NOT(ISERROR(SEARCH(("C"),(I19))))</formula>
    </cfRule>
    <cfRule type="containsText" dxfId="7738" priority="2921" operator="containsText" text="P">
      <formula>NOT(ISERROR(SEARCH(("P"),(I19))))</formula>
    </cfRule>
    <cfRule type="containsText" dxfId="7737" priority="2920" operator="containsText" text="C">
      <formula>NOT(ISERROR(SEARCH(("C"),(I19))))</formula>
    </cfRule>
    <cfRule type="containsText" dxfId="7736" priority="2919" operator="containsText" text="O">
      <formula>NOT(ISERROR(SEARCH(("O"),(I19))))</formula>
    </cfRule>
    <cfRule type="containsText" dxfId="7735" priority="2918" operator="containsText" text="N">
      <formula>NOT(ISERROR(SEARCH(("N"),(I19))))</formula>
    </cfRule>
    <cfRule type="containsText" dxfId="7734" priority="2917" operator="containsText" text="L">
      <formula>NOT(ISERROR(SEARCH(("L"),(I19))))</formula>
    </cfRule>
    <cfRule type="containsText" dxfId="7733" priority="2916" operator="containsText" text="X">
      <formula>NOT(ISERROR(SEARCH(("X"),(I19))))</formula>
    </cfRule>
    <cfRule type="containsText" dxfId="7732" priority="2915" operator="containsText" text="K">
      <formula>NOT(ISERROR(SEARCH(("K"),(I19))))</formula>
    </cfRule>
    <cfRule type="containsText" dxfId="7731" priority="5729" operator="containsText" text="N">
      <formula>NOT(ISERROR(SEARCH(("N"),(I19))))</formula>
    </cfRule>
    <cfRule type="containsText" dxfId="7730" priority="5730" operator="containsText" text="O">
      <formula>NOT(ISERROR(SEARCH(("O"),(I19))))</formula>
    </cfRule>
    <cfRule type="containsText" dxfId="7729" priority="5731" operator="containsText" text="C">
      <formula>NOT(ISERROR(SEARCH(("C"),(I19))))</formula>
    </cfRule>
    <cfRule type="containsText" dxfId="7728" priority="5732" operator="containsText" text="P">
      <formula>NOT(ISERROR(SEARCH(("P"),(I19))))</formula>
    </cfRule>
    <cfRule type="containsText" dxfId="7727" priority="5733" operator="containsText" text="K">
      <formula>NOT(ISERROR(SEARCH(("K"),(I19))))</formula>
    </cfRule>
    <cfRule type="containsText" dxfId="7726" priority="2914" operator="containsText" text="P">
      <formula>NOT(ISERROR(SEARCH(("P"),(I19))))</formula>
    </cfRule>
    <cfRule type="containsText" dxfId="7725" priority="2913" operator="containsText" text="C">
      <formula>NOT(ISERROR(SEARCH(("C"),(I19))))</formula>
    </cfRule>
    <cfRule type="containsText" dxfId="7724" priority="2912" operator="containsText" text="O">
      <formula>NOT(ISERROR(SEARCH(("O"),(I19))))</formula>
    </cfRule>
    <cfRule type="containsText" dxfId="7723" priority="5734" operator="containsText" text="X">
      <formula>NOT(ISERROR(SEARCH(("X"),(I19))))</formula>
    </cfRule>
    <cfRule type="containsText" dxfId="7722" priority="5735" operator="containsText" text="L">
      <formula>NOT(ISERROR(SEARCH(("L"),(I19))))</formula>
    </cfRule>
    <cfRule type="containsText" dxfId="7721" priority="2922" operator="containsText" text="K">
      <formula>NOT(ISERROR(SEARCH(("K"),(I19))))</formula>
    </cfRule>
    <cfRule type="containsText" dxfId="7720" priority="5744" operator="containsText" text="O">
      <formula>NOT(ISERROR(SEARCH(("O"),(I19))))</formula>
    </cfRule>
    <cfRule type="containsText" dxfId="7719" priority="5745" operator="containsText" text="C">
      <formula>NOT(ISERROR(SEARCH(("C"),(I19))))</formula>
    </cfRule>
    <cfRule type="containsText" dxfId="7718" priority="5746" operator="containsText" text="P">
      <formula>NOT(ISERROR(SEARCH(("P"),(I19))))</formula>
    </cfRule>
    <cfRule type="containsText" dxfId="7717" priority="5747" operator="containsText" text="K">
      <formula>NOT(ISERROR(SEARCH(("K"),(I19))))</formula>
    </cfRule>
    <cfRule type="containsText" dxfId="7716" priority="5748" operator="containsText" text="X">
      <formula>NOT(ISERROR(SEARCH(("X"),(I19))))</formula>
    </cfRule>
    <cfRule type="containsText" dxfId="7715" priority="5749" operator="containsText" text="L">
      <formula>NOT(ISERROR(SEARCH(("L"),(I19))))</formula>
    </cfRule>
    <cfRule type="containsText" dxfId="7714" priority="5750" operator="containsText" text="N">
      <formula>NOT(ISERROR(SEARCH(("N"),(I19))))</formula>
    </cfRule>
    <cfRule type="containsText" dxfId="7713" priority="5751" operator="containsText" text="O">
      <formula>NOT(ISERROR(SEARCH(("O"),(I19))))</formula>
    </cfRule>
    <cfRule type="containsText" dxfId="7712" priority="5752" operator="containsText" text="C">
      <formula>NOT(ISERROR(SEARCH(("C"),(I19))))</formula>
    </cfRule>
    <cfRule type="containsText" dxfId="7711" priority="5753" operator="containsText" text="P">
      <formula>NOT(ISERROR(SEARCH(("P"),(I19))))</formula>
    </cfRule>
    <cfRule type="containsText" dxfId="7710" priority="2907" operator="containsText" text="P">
      <formula>NOT(ISERROR(SEARCH(("P"),(I19))))</formula>
    </cfRule>
    <cfRule type="containsText" dxfId="7709" priority="5727" operator="containsText" text="X">
      <formula>NOT(ISERROR(SEARCH(("X"),(I19))))</formula>
    </cfRule>
    <cfRule type="containsText" dxfId="7708" priority="5726" operator="containsText" text="K">
      <formula>NOT(ISERROR(SEARCH(("K"),(I19))))</formula>
    </cfRule>
    <cfRule type="containsText" dxfId="7707" priority="2908" operator="containsText" text="K">
      <formula>NOT(ISERROR(SEARCH(("K"),(I19))))</formula>
    </cfRule>
    <cfRule type="containsText" dxfId="7706" priority="5724" operator="containsText" text="C">
      <formula>NOT(ISERROR(SEARCH(("C"),(I19))))</formula>
    </cfRule>
    <cfRule type="containsText" dxfId="7705" priority="8295" operator="containsText" text="C">
      <formula>NOT(ISERROR(SEARCH(("C"),(I19))))</formula>
    </cfRule>
    <cfRule type="containsText" dxfId="7704" priority="5754" operator="containsText" text="K">
      <formula>NOT(ISERROR(SEARCH(("K"),(I19))))</formula>
    </cfRule>
    <cfRule type="containsText" dxfId="7703" priority="5755" operator="containsText" text="X">
      <formula>NOT(ISERROR(SEARCH(("X"),(I19))))</formula>
    </cfRule>
    <cfRule type="containsText" dxfId="7702" priority="5756" operator="containsText" text="L">
      <formula>NOT(ISERROR(SEARCH(("L"),(I19))))</formula>
    </cfRule>
    <cfRule type="containsText" dxfId="7701" priority="2923" operator="containsText" text="X">
      <formula>NOT(ISERROR(SEARCH(("X"),(I19))))</formula>
    </cfRule>
    <cfRule type="containsText" dxfId="7700" priority="2924" operator="containsText" text="L">
      <formula>NOT(ISERROR(SEARCH(("L"),(I19))))</formula>
    </cfRule>
    <cfRule type="containsText" dxfId="7699" priority="2932" operator="containsText" text="N">
      <formula>NOT(ISERROR(SEARCH(("N"),(I19))))</formula>
    </cfRule>
    <cfRule type="containsText" dxfId="7698" priority="2933" operator="containsText" text="O">
      <formula>NOT(ISERROR(SEARCH(("O"),(I19))))</formula>
    </cfRule>
    <cfRule type="containsText" dxfId="7697" priority="2934" operator="containsText" text="C">
      <formula>NOT(ISERROR(SEARCH(("C"),(I19))))</formula>
    </cfRule>
    <cfRule type="containsText" dxfId="7696" priority="2935" operator="containsText" text="P">
      <formula>NOT(ISERROR(SEARCH(("P"),(I19))))</formula>
    </cfRule>
    <cfRule type="containsText" dxfId="7695" priority="2936" operator="containsText" text="K">
      <formula>NOT(ISERROR(SEARCH(("K"),(I19))))</formula>
    </cfRule>
    <cfRule type="containsText" dxfId="7694" priority="2937" operator="containsText" text="X">
      <formula>NOT(ISERROR(SEARCH(("X"),(I19))))</formula>
    </cfRule>
    <cfRule type="containsText" dxfId="7693" priority="2938" operator="containsText" text="L">
      <formula>NOT(ISERROR(SEARCH(("L"),(I19))))</formula>
    </cfRule>
    <cfRule type="containsText" dxfId="7692" priority="2939" operator="containsText" text="N">
      <formula>NOT(ISERROR(SEARCH(("N"),(I19))))</formula>
    </cfRule>
    <cfRule type="containsText" dxfId="7691" priority="2940" operator="containsText" text="O">
      <formula>NOT(ISERROR(SEARCH(("O"),(I19))))</formula>
    </cfRule>
    <cfRule type="containsText" dxfId="7690" priority="2941" operator="containsText" text="C">
      <formula>NOT(ISERROR(SEARCH(("C"),(I19))))</formula>
    </cfRule>
    <cfRule type="containsText" dxfId="7689" priority="2942" operator="containsText" text="P">
      <formula>NOT(ISERROR(SEARCH(("P"),(I19))))</formula>
    </cfRule>
    <cfRule type="containsText" dxfId="7688" priority="2943" operator="containsText" text="K">
      <formula>NOT(ISERROR(SEARCH(("K"),(I19))))</formula>
    </cfRule>
    <cfRule type="containsText" dxfId="7687" priority="2944" operator="containsText" text="X">
      <formula>NOT(ISERROR(SEARCH(("X"),(I19))))</formula>
    </cfRule>
    <cfRule type="containsText" dxfId="7686" priority="2945" operator="containsText" text="L">
      <formula>NOT(ISERROR(SEARCH(("L"),(I19))))</formula>
    </cfRule>
    <cfRule type="containsText" dxfId="7685" priority="5728" operator="containsText" text="L">
      <formula>NOT(ISERROR(SEARCH(("L"),(I19))))</formula>
    </cfRule>
    <cfRule type="containsText" dxfId="7684" priority="5743" operator="containsText" text="N">
      <formula>NOT(ISERROR(SEARCH(("N"),(I19))))</formula>
    </cfRule>
    <cfRule type="containsText" dxfId="7683" priority="3106" operator="containsText" text="L">
      <formula>NOT(ISERROR(SEARCH(("L"),(I19))))</formula>
    </cfRule>
    <cfRule type="containsText" dxfId="7682" priority="8291" operator="containsText" text="N">
      <formula>NOT(ISERROR(SEARCH(("N"),(I19))))</formula>
    </cfRule>
    <cfRule type="containsText" dxfId="7681" priority="8293" operator="containsText" text="L">
      <formula>NOT(ISERROR(SEARCH(("L"),(I19))))</formula>
    </cfRule>
    <cfRule type="containsText" dxfId="7680" priority="8294" operator="containsText" text="O">
      <formula>NOT(ISERROR(SEARCH(("O"),(I19))))</formula>
    </cfRule>
    <cfRule type="containsText" dxfId="7679" priority="8296" operator="containsText" text="P">
      <formula>NOT(ISERROR(SEARCH(("P"),(I19))))</formula>
    </cfRule>
    <cfRule type="containsText" dxfId="7678" priority="8297" operator="containsText" text="K">
      <formula>NOT(ISERROR(SEARCH(("K"),(I19))))</formula>
    </cfRule>
    <cfRule type="containsText" dxfId="7677" priority="8298" operator="containsText" text="X">
      <formula>NOT(ISERROR(SEARCH(("X"),(I19))))</formula>
    </cfRule>
    <cfRule type="containsText" dxfId="7676" priority="8299" operator="containsText" text="L">
      <formula>NOT(ISERROR(SEARCH(("L"),(I19))))</formula>
    </cfRule>
    <cfRule type="containsText" dxfId="7675" priority="3107" operator="containsText" text="O">
      <formula>NOT(ISERROR(SEARCH(("O"),(I19))))</formula>
    </cfRule>
    <cfRule type="containsText" dxfId="7674" priority="3037" operator="containsText" text="N">
      <formula>NOT(ISERROR(SEARCH(("N"),(I19))))</formula>
    </cfRule>
    <cfRule type="containsText" dxfId="7673" priority="3108" operator="containsText" text="C">
      <formula>NOT(ISERROR(SEARCH(("C"),(I19))))</formula>
    </cfRule>
    <cfRule type="containsText" dxfId="7672" priority="3109" operator="containsText" text="P">
      <formula>NOT(ISERROR(SEARCH(("P"),(I19))))</formula>
    </cfRule>
    <cfRule type="containsText" dxfId="7671" priority="3110" operator="containsText" text="K">
      <formula>NOT(ISERROR(SEARCH(("K"),(I19))))</formula>
    </cfRule>
    <cfRule type="containsText" dxfId="7670" priority="3111" operator="containsText" text="X">
      <formula>NOT(ISERROR(SEARCH(("X"),(I19))))</formula>
    </cfRule>
    <cfRule type="containsText" dxfId="7669" priority="2911" operator="containsText" text="N">
      <formula>NOT(ISERROR(SEARCH(("N"),(I19))))</formula>
    </cfRule>
    <cfRule type="containsText" dxfId="7668" priority="2910" operator="containsText" text="L">
      <formula>NOT(ISERROR(SEARCH(("L"),(I19))))</formula>
    </cfRule>
    <cfRule type="containsText" dxfId="7667" priority="5725" operator="containsText" text="P">
      <formula>NOT(ISERROR(SEARCH(("P"),(I19))))</formula>
    </cfRule>
    <cfRule type="containsText" dxfId="7666" priority="5723" operator="containsText" text="O">
      <formula>NOT(ISERROR(SEARCH(("O"),(I19))))</formula>
    </cfRule>
    <cfRule type="containsText" dxfId="7665" priority="3112" operator="containsText" text="L">
      <formula>NOT(ISERROR(SEARCH(("L"),(I19))))</formula>
    </cfRule>
    <cfRule type="containsText" dxfId="7664" priority="2909" operator="containsText" text="X">
      <formula>NOT(ISERROR(SEARCH(("X"),(I19))))</formula>
    </cfRule>
  </conditionalFormatting>
  <conditionalFormatting sqref="I22:J26 I25:L25">
    <cfRule type="containsText" dxfId="7663" priority="8110" operator="containsText" text="K">
      <formula>NOT(ISERROR(SEARCH(("K"),(I22))))</formula>
    </cfRule>
    <cfRule type="containsText" dxfId="7662" priority="8109" operator="containsText" text="P">
      <formula>NOT(ISERROR(SEARCH(("P"),(I22))))</formula>
    </cfRule>
    <cfRule type="containsText" dxfId="7661" priority="8108" operator="containsText" text="C">
      <formula>NOT(ISERROR(SEARCH(("C"),(I22))))</formula>
    </cfRule>
    <cfRule type="containsText" dxfId="7660" priority="8107" operator="containsText" text="O">
      <formula>NOT(ISERROR(SEARCH(("O"),(I22))))</formula>
    </cfRule>
    <cfRule type="containsText" dxfId="7659" priority="8106" operator="containsText" text="L">
      <formula>NOT(ISERROR(SEARCH(("L"),(I22))))</formula>
    </cfRule>
    <cfRule type="containsText" dxfId="7658" priority="8111" operator="containsText" text="X">
      <formula>NOT(ISERROR(SEARCH(("X"),(I22))))</formula>
    </cfRule>
  </conditionalFormatting>
  <conditionalFormatting sqref="I12:K12">
    <cfRule type="containsText" dxfId="7657" priority="11011" operator="containsText" text="X">
      <formula>NOT(ISERROR(SEARCH(("X"),(I12))))</formula>
    </cfRule>
    <cfRule type="containsText" dxfId="7656" priority="11036" operator="containsText" text="L">
      <formula>NOT(ISERROR(SEARCH(("L"),(I12))))</formula>
    </cfRule>
    <cfRule type="containsText" dxfId="7655" priority="11010" operator="containsText" text="K">
      <formula>NOT(ISERROR(SEARCH(("K"),(I12))))</formula>
    </cfRule>
    <cfRule type="containsText" dxfId="7654" priority="11008" operator="containsText" text="C">
      <formula>NOT(ISERROR(SEARCH(("C"),(I12))))</formula>
    </cfRule>
    <cfRule type="containsText" dxfId="7653" priority="11009" operator="containsText" text="P">
      <formula>NOT(ISERROR(SEARCH(("P"),(I12))))</formula>
    </cfRule>
    <cfRule type="containsText" dxfId="7652" priority="11007" operator="containsText" text="O">
      <formula>NOT(ISERROR(SEARCH(("O"),(I12))))</formula>
    </cfRule>
  </conditionalFormatting>
  <conditionalFormatting sqref="I13:K13 H11:AL11 I12:AL12 H12:H26 I14:AL26">
    <cfRule type="containsText" dxfId="7651" priority="11001" operator="containsText" text="O">
      <formula>NOT(ISERROR(SEARCH(("O"),(H11))))</formula>
    </cfRule>
  </conditionalFormatting>
  <conditionalFormatting sqref="I13:K13">
    <cfRule type="containsText" dxfId="7650" priority="11000" operator="containsText" text="N">
      <formula>NOT(ISERROR(SEARCH(("N"),(I13))))</formula>
    </cfRule>
  </conditionalFormatting>
  <conditionalFormatting sqref="I21:K21">
    <cfRule type="containsText" dxfId="7649" priority="2088" operator="containsText" text="O">
      <formula>NOT(ISERROR(SEARCH(("O"),(I21))))</formula>
    </cfRule>
    <cfRule type="containsText" dxfId="7648" priority="2089" operator="containsText" text="C">
      <formula>NOT(ISERROR(SEARCH(("C"),(I21))))</formula>
    </cfRule>
    <cfRule type="containsText" dxfId="7647" priority="2090" operator="containsText" text="P">
      <formula>NOT(ISERROR(SEARCH(("P"),(I21))))</formula>
    </cfRule>
    <cfRule type="containsText" dxfId="7646" priority="2091" operator="containsText" text="K">
      <formula>NOT(ISERROR(SEARCH(("K"),(I21))))</formula>
    </cfRule>
    <cfRule type="containsText" dxfId="7645" priority="2138" operator="containsText" text="L">
      <formula>NOT(ISERROR(SEARCH(("L"),(I21))))</formula>
    </cfRule>
    <cfRule type="containsText" dxfId="7644" priority="2139" operator="containsText" text="N">
      <formula>NOT(ISERROR(SEARCH(("N"),(I21))))</formula>
    </cfRule>
    <cfRule type="containsText" dxfId="7643" priority="2140" operator="containsText" text="O">
      <formula>NOT(ISERROR(SEARCH(("O"),(I21))))</formula>
    </cfRule>
    <cfRule type="containsText" dxfId="7642" priority="2141" operator="containsText" text="C">
      <formula>NOT(ISERROR(SEARCH(("C"),(I21))))</formula>
    </cfRule>
    <cfRule type="containsText" dxfId="7641" priority="2142" operator="containsText" text="P">
      <formula>NOT(ISERROR(SEARCH(("P"),(I21))))</formula>
    </cfRule>
    <cfRule type="containsText" dxfId="7640" priority="2143" operator="containsText" text="K">
      <formula>NOT(ISERROR(SEARCH(("K"),(I21))))</formula>
    </cfRule>
    <cfRule type="containsText" dxfId="7639" priority="2144" operator="containsText" text="X">
      <formula>NOT(ISERROR(SEARCH(("X"),(I21))))</formula>
    </cfRule>
    <cfRule type="containsText" dxfId="7638" priority="2145" operator="containsText" text="L">
      <formula>NOT(ISERROR(SEARCH(("L"),(I21))))</formula>
    </cfRule>
    <cfRule type="containsText" dxfId="7637" priority="2146" operator="containsText" text="N">
      <formula>NOT(ISERROR(SEARCH(("N"),(I21))))</formula>
    </cfRule>
    <cfRule type="containsText" dxfId="7636" priority="2147" operator="containsText" text="O">
      <formula>NOT(ISERROR(SEARCH(("O"),(I21))))</formula>
    </cfRule>
    <cfRule type="containsText" dxfId="7635" priority="2148" operator="containsText" text="C">
      <formula>NOT(ISERROR(SEARCH(("C"),(I21))))</formula>
    </cfRule>
    <cfRule type="containsText" dxfId="7634" priority="2149" operator="containsText" text="P">
      <formula>NOT(ISERROR(SEARCH(("P"),(I21))))</formula>
    </cfRule>
    <cfRule type="containsText" dxfId="7633" priority="2150" operator="containsText" text="K">
      <formula>NOT(ISERROR(SEARCH(("K"),(I21))))</formula>
    </cfRule>
    <cfRule type="containsText" dxfId="7632" priority="2151" operator="containsText" text="X">
      <formula>NOT(ISERROR(SEARCH(("X"),(I21))))</formula>
    </cfRule>
    <cfRule type="containsText" dxfId="7631" priority="2152" operator="containsText" text="L">
      <formula>NOT(ISERROR(SEARCH(("L"),(I21))))</formula>
    </cfRule>
    <cfRule type="containsText" dxfId="7630" priority="2153" operator="containsText" text="N">
      <formula>NOT(ISERROR(SEARCH(("N"),(I21))))</formula>
    </cfRule>
    <cfRule type="containsText" dxfId="7629" priority="2154" operator="containsText" text="O">
      <formula>NOT(ISERROR(SEARCH(("O"),(I21))))</formula>
    </cfRule>
    <cfRule type="containsText" dxfId="7628" priority="2155" operator="containsText" text="C">
      <formula>NOT(ISERROR(SEARCH(("C"),(I21))))</formula>
    </cfRule>
    <cfRule type="containsText" dxfId="7627" priority="2156" operator="containsText" text="P">
      <formula>NOT(ISERROR(SEARCH(("P"),(I21))))</formula>
    </cfRule>
    <cfRule type="containsText" dxfId="7626" priority="2157" operator="containsText" text="K">
      <formula>NOT(ISERROR(SEARCH(("K"),(I21))))</formula>
    </cfRule>
    <cfRule type="containsText" dxfId="7625" priority="2158" operator="containsText" text="X">
      <formula>NOT(ISERROR(SEARCH(("X"),(I21))))</formula>
    </cfRule>
    <cfRule type="containsText" dxfId="7624" priority="2159" operator="containsText" text="L">
      <formula>NOT(ISERROR(SEARCH(("L"),(I21))))</formula>
    </cfRule>
    <cfRule type="containsText" dxfId="7623" priority="2160" operator="containsText" text="N">
      <formula>NOT(ISERROR(SEARCH(("N"),(I21))))</formula>
    </cfRule>
    <cfRule type="containsText" dxfId="7622" priority="2161" operator="containsText" text="L">
      <formula>NOT(ISERROR(SEARCH(("L"),(I21))))</formula>
    </cfRule>
    <cfRule type="containsText" dxfId="7621" priority="2162" operator="containsText" text="N">
      <formula>NOT(ISERROR(SEARCH(("N"),(I21))))</formula>
    </cfRule>
    <cfRule type="containsText" dxfId="7620" priority="2163" operator="containsText" text="L">
      <formula>NOT(ISERROR(SEARCH(("L"),(I21))))</formula>
    </cfRule>
    <cfRule type="containsText" dxfId="7619" priority="2164" operator="containsText" text="O">
      <formula>NOT(ISERROR(SEARCH(("O"),(I21))))</formula>
    </cfRule>
    <cfRule type="containsText" dxfId="7618" priority="2165" operator="containsText" text="C">
      <formula>NOT(ISERROR(SEARCH(("C"),(I21))))</formula>
    </cfRule>
    <cfRule type="containsText" dxfId="7617" priority="2166" operator="containsText" text="P">
      <formula>NOT(ISERROR(SEARCH(("P"),(I21))))</formula>
    </cfRule>
    <cfRule type="containsText" dxfId="7616" priority="2167" operator="containsText" text="K">
      <formula>NOT(ISERROR(SEARCH(("K"),(I21))))</formula>
    </cfRule>
    <cfRule type="containsText" dxfId="7615" priority="2168" operator="containsText" text="X">
      <formula>NOT(ISERROR(SEARCH(("X"),(I21))))</formula>
    </cfRule>
    <cfRule type="containsText" dxfId="7614" priority="2170" operator="containsText" text="N">
      <formula>NOT(ISERROR(SEARCH(("N"),(I21))))</formula>
    </cfRule>
    <cfRule type="containsText" dxfId="7613" priority="2171" operator="containsText" text="O">
      <formula>NOT(ISERROR(SEARCH(("O"),(I21))))</formula>
    </cfRule>
    <cfRule type="containsText" dxfId="7612" priority="2137" operator="containsText" text="X">
      <formula>NOT(ISERROR(SEARCH(("X"),(I21))))</formula>
    </cfRule>
    <cfRule type="containsText" dxfId="7611" priority="2136" operator="containsText" text="K">
      <formula>NOT(ISERROR(SEARCH(("K"),(I21))))</formula>
    </cfRule>
    <cfRule type="containsText" dxfId="7610" priority="2135" operator="containsText" text="P">
      <formula>NOT(ISERROR(SEARCH(("P"),(I21))))</formula>
    </cfRule>
    <cfRule type="containsText" dxfId="7609" priority="2176" operator="containsText" text="L">
      <formula>NOT(ISERROR(SEARCH(("L"),(I21))))</formula>
    </cfRule>
    <cfRule type="containsText" dxfId="7608" priority="2175" operator="containsText" text="X">
      <formula>NOT(ISERROR(SEARCH(("X"),(I21))))</formula>
    </cfRule>
    <cfRule type="containsText" dxfId="7607" priority="2169" operator="containsText" text="L">
      <formula>NOT(ISERROR(SEARCH(("L"),(I21))))</formula>
    </cfRule>
    <cfRule type="containsText" dxfId="7606" priority="2085" operator="containsText" text="N">
      <formula>NOT(ISERROR(SEARCH(("N"),(I21))))</formula>
    </cfRule>
    <cfRule type="containsText" dxfId="7605" priority="2086" operator="containsText" text="N">
      <formula>NOT(ISERROR(SEARCH(("N"),(I21))))</formula>
    </cfRule>
    <cfRule type="containsText" dxfId="7604" priority="2134" operator="containsText" text="C">
      <formula>NOT(ISERROR(SEARCH(("C"),(I21))))</formula>
    </cfRule>
    <cfRule type="containsText" dxfId="7603" priority="2133" operator="containsText" text="O">
      <formula>NOT(ISERROR(SEARCH(("O"),(I21))))</formula>
    </cfRule>
    <cfRule type="containsText" dxfId="7602" priority="2132" operator="containsText" text="N">
      <formula>NOT(ISERROR(SEARCH(("N"),(I21))))</formula>
    </cfRule>
    <cfRule type="containsText" dxfId="7601" priority="2131" operator="containsText" text="L">
      <formula>NOT(ISERROR(SEARCH(("L"),(I21))))</formula>
    </cfRule>
    <cfRule type="containsText" dxfId="7600" priority="2130" operator="containsText" text="X">
      <formula>NOT(ISERROR(SEARCH(("X"),(I21))))</formula>
    </cfRule>
    <cfRule type="containsText" dxfId="7599" priority="2129" operator="containsText" text="K">
      <formula>NOT(ISERROR(SEARCH(("K"),(I21))))</formula>
    </cfRule>
    <cfRule type="containsText" dxfId="7598" priority="2128" operator="containsText" text="P">
      <formula>NOT(ISERROR(SEARCH(("P"),(I21))))</formula>
    </cfRule>
    <cfRule type="containsText" dxfId="7597" priority="2127" operator="containsText" text="C">
      <formula>NOT(ISERROR(SEARCH(("C"),(I21))))</formula>
    </cfRule>
    <cfRule type="containsText" dxfId="7596" priority="2126" operator="containsText" text="O">
      <formula>NOT(ISERROR(SEARCH(("O"),(I21))))</formula>
    </cfRule>
    <cfRule type="containsText" dxfId="7595" priority="2174" operator="containsText" text="K">
      <formula>NOT(ISERROR(SEARCH(("K"),(I21))))</formula>
    </cfRule>
    <cfRule type="containsText" dxfId="7594" priority="2125" operator="containsText" text="L">
      <formula>NOT(ISERROR(SEARCH(("L"),(I21))))</formula>
    </cfRule>
    <cfRule type="containsText" dxfId="7593" priority="2124" operator="containsText" text="N">
      <formula>NOT(ISERROR(SEARCH(("N"),(I21))))</formula>
    </cfRule>
    <cfRule type="containsText" dxfId="7592" priority="2123" operator="containsText" text="L">
      <formula>NOT(ISERROR(SEARCH(("L"),(I21))))</formula>
    </cfRule>
    <cfRule type="containsText" dxfId="7591" priority="2122" operator="containsText" text="N">
      <formula>NOT(ISERROR(SEARCH(("N"),(I21))))</formula>
    </cfRule>
    <cfRule type="containsText" dxfId="7590" priority="2121" operator="containsText" text="L">
      <formula>NOT(ISERROR(SEARCH(("L"),(I21))))</formula>
    </cfRule>
    <cfRule type="containsText" dxfId="7589" priority="2120" operator="containsText" text="X">
      <formula>NOT(ISERROR(SEARCH(("X"),(I21))))</formula>
    </cfRule>
    <cfRule type="containsText" dxfId="7588" priority="2118" operator="containsText" text="P">
      <formula>NOT(ISERROR(SEARCH(("P"),(I21))))</formula>
    </cfRule>
    <cfRule type="containsText" dxfId="7587" priority="2117" operator="containsText" text="C">
      <formula>NOT(ISERROR(SEARCH(("C"),(I21))))</formula>
    </cfRule>
    <cfRule type="containsText" dxfId="7586" priority="2116" operator="containsText" text="O">
      <formula>NOT(ISERROR(SEARCH(("O"),(I21))))</formula>
    </cfRule>
    <cfRule type="containsText" dxfId="7585" priority="2115" operator="containsText" text="N">
      <formula>NOT(ISERROR(SEARCH(("N"),(I21))))</formula>
    </cfRule>
    <cfRule type="containsText" dxfId="7584" priority="2173" operator="containsText" text="P">
      <formula>NOT(ISERROR(SEARCH(("P"),(I21))))</formula>
    </cfRule>
    <cfRule type="containsText" dxfId="7583" priority="2172" operator="containsText" text="C">
      <formula>NOT(ISERROR(SEARCH(("C"),(I21))))</formula>
    </cfRule>
    <cfRule type="containsText" dxfId="7582" priority="2087" operator="containsText" text="N">
      <formula>NOT(ISERROR(SEARCH(("N"),(I21))))</formula>
    </cfRule>
    <cfRule type="containsText" dxfId="7581" priority="2119" operator="containsText" text="K">
      <formula>NOT(ISERROR(SEARCH(("K"),(I21))))</formula>
    </cfRule>
    <cfRule type="containsText" dxfId="7580" priority="2113" operator="containsText" text="X">
      <formula>NOT(ISERROR(SEARCH(("X"),(I21))))</formula>
    </cfRule>
    <cfRule type="containsText" dxfId="7579" priority="2112" operator="containsText" text="K">
      <formula>NOT(ISERROR(SEARCH(("K"),(I21))))</formula>
    </cfRule>
    <cfRule type="containsText" dxfId="7578" priority="2111" operator="containsText" text="P">
      <formula>NOT(ISERROR(SEARCH(("P"),(I21))))</formula>
    </cfRule>
    <cfRule type="containsText" dxfId="7577" priority="2110" operator="containsText" text="C">
      <formula>NOT(ISERROR(SEARCH(("C"),(I21))))</formula>
    </cfRule>
    <cfRule type="containsText" dxfId="7576" priority="2109" operator="containsText" text="O">
      <formula>NOT(ISERROR(SEARCH(("O"),(I21))))</formula>
    </cfRule>
    <cfRule type="containsText" dxfId="7575" priority="2108" operator="containsText" text="N">
      <formula>NOT(ISERROR(SEARCH(("N"),(I21))))</formula>
    </cfRule>
    <cfRule type="containsText" dxfId="7574" priority="2107" operator="containsText" text="L">
      <formula>NOT(ISERROR(SEARCH(("L"),(I21))))</formula>
    </cfRule>
    <cfRule type="containsText" dxfId="7573" priority="2106" operator="containsText" text="X">
      <formula>NOT(ISERROR(SEARCH(("X"),(I21))))</formula>
    </cfRule>
    <cfRule type="containsText" dxfId="7572" priority="2105" operator="containsText" text="K">
      <formula>NOT(ISERROR(SEARCH(("K"),(I21))))</formula>
    </cfRule>
    <cfRule type="containsText" dxfId="7571" priority="2104" operator="containsText" text="P">
      <formula>NOT(ISERROR(SEARCH(("P"),(I21))))</formula>
    </cfRule>
    <cfRule type="containsText" dxfId="7570" priority="2114" operator="containsText" text="L">
      <formula>NOT(ISERROR(SEARCH(("L"),(I21))))</formula>
    </cfRule>
    <cfRule type="containsText" dxfId="7569" priority="2102" operator="containsText" text="O">
      <formula>NOT(ISERROR(SEARCH(("O"),(I21))))</formula>
    </cfRule>
    <cfRule type="containsText" dxfId="7568" priority="2101" operator="containsText" text="N">
      <formula>NOT(ISERROR(SEARCH(("N"),(I21))))</formula>
    </cfRule>
    <cfRule type="containsText" dxfId="7567" priority="2100" operator="containsText" text="L">
      <formula>NOT(ISERROR(SEARCH(("L"),(I21))))</formula>
    </cfRule>
    <cfRule type="containsText" dxfId="7566" priority="2099" operator="containsText" text="X">
      <formula>NOT(ISERROR(SEARCH(("X"),(I21))))</formula>
    </cfRule>
    <cfRule type="containsText" dxfId="7565" priority="2098" operator="containsText" text="K">
      <formula>NOT(ISERROR(SEARCH(("K"),(I21))))</formula>
    </cfRule>
    <cfRule type="containsText" dxfId="7564" priority="2097" operator="containsText" text="P">
      <formula>NOT(ISERROR(SEARCH(("P"),(I21))))</formula>
    </cfRule>
    <cfRule type="containsText" dxfId="7563" priority="2096" operator="containsText" text="C">
      <formula>NOT(ISERROR(SEARCH(("C"),(I21))))</formula>
    </cfRule>
    <cfRule type="containsText" dxfId="7562" priority="2095" operator="containsText" text="O">
      <formula>NOT(ISERROR(SEARCH(("O"),(I21))))</formula>
    </cfRule>
    <cfRule type="containsText" dxfId="7561" priority="2094" operator="containsText" text="N">
      <formula>NOT(ISERROR(SEARCH(("N"),(I21))))</formula>
    </cfRule>
    <cfRule type="containsText" dxfId="7560" priority="2093" operator="containsText" text="L">
      <formula>NOT(ISERROR(SEARCH(("L"),(I21))))</formula>
    </cfRule>
    <cfRule type="containsText" dxfId="7559" priority="2092" operator="containsText" text="X">
      <formula>NOT(ISERROR(SEARCH(("X"),(I21))))</formula>
    </cfRule>
    <cfRule type="containsText" dxfId="7558" priority="2103" operator="containsText" text="C">
      <formula>NOT(ISERROR(SEARCH(("C"),(I21))))</formula>
    </cfRule>
  </conditionalFormatting>
  <conditionalFormatting sqref="I20:L20">
    <cfRule type="containsText" dxfId="7557" priority="2609" operator="containsText" text="O">
      <formula>NOT(ISERROR(SEARCH(("O"),(I20))))</formula>
    </cfRule>
    <cfRule type="containsText" dxfId="7556" priority="2608" operator="containsText" text="N">
      <formula>NOT(ISERROR(SEARCH(("N"),(I20))))</formula>
    </cfRule>
    <cfRule type="containsText" dxfId="7555" priority="2607" operator="containsText" text="L">
      <formula>NOT(ISERROR(SEARCH(("L"),(I20))))</formula>
    </cfRule>
    <cfRule type="containsText" dxfId="7554" priority="2606" operator="containsText" text="X">
      <formula>NOT(ISERROR(SEARCH(("X"),(I20))))</formula>
    </cfRule>
    <cfRule type="containsText" dxfId="7553" priority="2605" operator="containsText" text="K">
      <formula>NOT(ISERROR(SEARCH(("K"),(I20))))</formula>
    </cfRule>
    <cfRule type="containsText" dxfId="7552" priority="2604" operator="containsText" text="P">
      <formula>NOT(ISERROR(SEARCH(("P"),(I20))))</formula>
    </cfRule>
    <cfRule type="containsText" dxfId="7551" priority="2603" operator="containsText" text="C">
      <formula>NOT(ISERROR(SEARCH(("C"),(I20))))</formula>
    </cfRule>
    <cfRule type="containsText" dxfId="7550" priority="2602" operator="containsText" text="O">
      <formula>NOT(ISERROR(SEARCH(("O"),(I20))))</formula>
    </cfRule>
    <cfRule type="containsText" dxfId="7549" priority="2601" operator="containsText" text="N">
      <formula>NOT(ISERROR(SEARCH(("N"),(I20))))</formula>
    </cfRule>
    <cfRule type="containsText" dxfId="7548" priority="2663" operator="containsText" text="P">
      <formula>NOT(ISERROR(SEARCH(("P"),(I20))))</formula>
    </cfRule>
    <cfRule type="containsText" dxfId="7547" priority="2664" operator="containsText" text="K">
      <formula>NOT(ISERROR(SEARCH(("K"),(I20))))</formula>
    </cfRule>
    <cfRule type="containsText" dxfId="7546" priority="2665" operator="containsText" text="X">
      <formula>NOT(ISERROR(SEARCH(("X"),(I20))))</formula>
    </cfRule>
    <cfRule type="containsText" dxfId="7545" priority="2666" operator="containsText" text="L">
      <formula>NOT(ISERROR(SEARCH(("L"),(I20))))</formula>
    </cfRule>
    <cfRule type="containsText" dxfId="7544" priority="2667" operator="containsText" text="N">
      <formula>NOT(ISERROR(SEARCH(("N"),(I20))))</formula>
    </cfRule>
    <cfRule type="containsText" dxfId="7543" priority="2668" operator="containsText" text="L">
      <formula>NOT(ISERROR(SEARCH(("L"),(I20))))</formula>
    </cfRule>
    <cfRule type="containsText" dxfId="7542" priority="2669" operator="containsText" text="N">
      <formula>NOT(ISERROR(SEARCH(("N"),(I20))))</formula>
    </cfRule>
    <cfRule type="containsText" dxfId="7541" priority="2670" operator="containsText" text="L">
      <formula>NOT(ISERROR(SEARCH(("L"),(I20))))</formula>
    </cfRule>
    <cfRule type="containsText" dxfId="7540" priority="2671" operator="containsText" text="O">
      <formula>NOT(ISERROR(SEARCH(("O"),(I20))))</formula>
    </cfRule>
    <cfRule type="containsText" dxfId="7539" priority="2672" operator="containsText" text="C">
      <formula>NOT(ISERROR(SEARCH(("C"),(I20))))</formula>
    </cfRule>
    <cfRule type="containsText" dxfId="7538" priority="2673" operator="containsText" text="P">
      <formula>NOT(ISERROR(SEARCH(("P"),(I20))))</formula>
    </cfRule>
    <cfRule type="containsText" dxfId="7537" priority="2674" operator="containsText" text="K">
      <formula>NOT(ISERROR(SEARCH(("K"),(I20))))</formula>
    </cfRule>
    <cfRule type="containsText" dxfId="7536" priority="2675" operator="containsText" text="X">
      <formula>NOT(ISERROR(SEARCH(("X"),(I20))))</formula>
    </cfRule>
    <cfRule type="containsText" dxfId="7535" priority="2600" operator="containsText" text="L">
      <formula>NOT(ISERROR(SEARCH(("L"),(I20))))</formula>
    </cfRule>
    <cfRule type="containsText" dxfId="7534" priority="2599" operator="containsText" text="X">
      <formula>NOT(ISERROR(SEARCH(("X"),(I20))))</formula>
    </cfRule>
    <cfRule type="containsText" dxfId="7533" priority="2598" operator="containsText" text="K">
      <formula>NOT(ISERROR(SEARCH(("K"),(I20))))</formula>
    </cfRule>
    <cfRule type="containsText" dxfId="7532" priority="2597" operator="containsText" text="P">
      <formula>NOT(ISERROR(SEARCH(("P"),(I20))))</formula>
    </cfRule>
    <cfRule type="containsText" dxfId="7531" priority="2596" operator="containsText" text="C">
      <formula>NOT(ISERROR(SEARCH(("C"),(I20))))</formula>
    </cfRule>
    <cfRule type="containsText" dxfId="7530" priority="2595" operator="containsText" text="O">
      <formula>NOT(ISERROR(SEARCH(("O"),(I20))))</formula>
    </cfRule>
    <cfRule type="containsText" dxfId="7529" priority="2594" operator="containsText" text="N">
      <formula>NOT(ISERROR(SEARCH(("N"),(I20))))</formula>
    </cfRule>
    <cfRule type="containsText" dxfId="7528" priority="2593" operator="containsText" text="N">
      <formula>NOT(ISERROR(SEARCH(("N"),(I20))))</formula>
    </cfRule>
    <cfRule type="containsText" dxfId="7527" priority="2676" operator="containsText" text="L">
      <formula>NOT(ISERROR(SEARCH(("L"),(I20))))</formula>
    </cfRule>
    <cfRule type="containsText" dxfId="7526" priority="2677" operator="containsText" text="N">
      <formula>NOT(ISERROR(SEARCH(("N"),(I20))))</formula>
    </cfRule>
    <cfRule type="containsText" dxfId="7525" priority="2592" operator="containsText" text="N">
      <formula>NOT(ISERROR(SEARCH(("N"),(I20))))</formula>
    </cfRule>
    <cfRule type="containsText" dxfId="7524" priority="2679" operator="containsText" text="C">
      <formula>NOT(ISERROR(SEARCH(("C"),(I20))))</formula>
    </cfRule>
    <cfRule type="containsText" dxfId="7523" priority="2680" operator="containsText" text="P">
      <formula>NOT(ISERROR(SEARCH(("P"),(I20))))</formula>
    </cfRule>
    <cfRule type="containsText" dxfId="7522" priority="2681" operator="containsText" text="K">
      <formula>NOT(ISERROR(SEARCH(("K"),(I20))))</formula>
    </cfRule>
    <cfRule type="containsText" dxfId="7521" priority="2682" operator="containsText" text="X">
      <formula>NOT(ISERROR(SEARCH(("X"),(I20))))</formula>
    </cfRule>
    <cfRule type="containsText" dxfId="7520" priority="2683" operator="containsText" text="L">
      <formula>NOT(ISERROR(SEARCH(("L"),(I20))))</formula>
    </cfRule>
    <cfRule type="containsText" dxfId="7519" priority="2611" operator="containsText" text="P">
      <formula>NOT(ISERROR(SEARCH(("P"),(I20))))</formula>
    </cfRule>
    <cfRule type="containsText" dxfId="7518" priority="2636" operator="containsText" text="K">
      <formula>NOT(ISERROR(SEARCH(("K"),(I20))))</formula>
    </cfRule>
    <cfRule type="containsText" dxfId="7517" priority="2651" operator="containsText" text="X">
      <formula>NOT(ISERROR(SEARCH(("X"),(I20))))</formula>
    </cfRule>
    <cfRule type="containsText" dxfId="7516" priority="2652" operator="containsText" text="L">
      <formula>NOT(ISERROR(SEARCH(("L"),(I20))))</formula>
    </cfRule>
    <cfRule type="containsText" dxfId="7515" priority="2653" operator="containsText" text="N">
      <formula>NOT(ISERROR(SEARCH(("N"),(I20))))</formula>
    </cfRule>
    <cfRule type="containsText" dxfId="7514" priority="2654" operator="containsText" text="O">
      <formula>NOT(ISERROR(SEARCH(("O"),(I20))))</formula>
    </cfRule>
    <cfRule type="containsText" dxfId="7513" priority="2655" operator="containsText" text="C">
      <formula>NOT(ISERROR(SEARCH(("C"),(I20))))</formula>
    </cfRule>
    <cfRule type="containsText" dxfId="7512" priority="2656" operator="containsText" text="P">
      <formula>NOT(ISERROR(SEARCH(("P"),(I20))))</formula>
    </cfRule>
    <cfRule type="containsText" dxfId="7511" priority="2637" operator="containsText" text="X">
      <formula>NOT(ISERROR(SEARCH(("X"),(I20))))</formula>
    </cfRule>
    <cfRule type="containsText" dxfId="7510" priority="2657" operator="containsText" text="K">
      <formula>NOT(ISERROR(SEARCH(("K"),(I20))))</formula>
    </cfRule>
    <cfRule type="containsText" dxfId="7509" priority="2658" operator="containsText" text="X">
      <formula>NOT(ISERROR(SEARCH(("X"),(I20))))</formula>
    </cfRule>
    <cfRule type="containsText" dxfId="7508" priority="2659" operator="containsText" text="L">
      <formula>NOT(ISERROR(SEARCH(("L"),(I20))))</formula>
    </cfRule>
    <cfRule type="containsText" dxfId="7507" priority="2660" operator="containsText" text="N">
      <formula>NOT(ISERROR(SEARCH(("N"),(I20))))</formula>
    </cfRule>
    <cfRule type="containsText" dxfId="7506" priority="2661" operator="containsText" text="O">
      <formula>NOT(ISERROR(SEARCH(("O"),(I20))))</formula>
    </cfRule>
    <cfRule type="containsText" dxfId="7505" priority="2662" operator="containsText" text="C">
      <formula>NOT(ISERROR(SEARCH(("C"),(I20))))</formula>
    </cfRule>
    <cfRule type="containsText" dxfId="7504" priority="2638" operator="containsText" text="L">
      <formula>NOT(ISERROR(SEARCH(("L"),(I20))))</formula>
    </cfRule>
    <cfRule type="containsText" dxfId="7503" priority="2639" operator="containsText" text="N">
      <formula>NOT(ISERROR(SEARCH(("N"),(I20))))</formula>
    </cfRule>
    <cfRule type="containsText" dxfId="7502" priority="2640" operator="containsText" text="O">
      <formula>NOT(ISERROR(SEARCH(("O"),(I20))))</formula>
    </cfRule>
    <cfRule type="containsText" dxfId="7501" priority="2641" operator="containsText" text="C">
      <formula>NOT(ISERROR(SEARCH(("C"),(I20))))</formula>
    </cfRule>
    <cfRule type="containsText" dxfId="7500" priority="2642" operator="containsText" text="P">
      <formula>NOT(ISERROR(SEARCH(("P"),(I20))))</formula>
    </cfRule>
    <cfRule type="containsText" dxfId="7499" priority="2643" operator="containsText" text="K">
      <formula>NOT(ISERROR(SEARCH(("K"),(I20))))</formula>
    </cfRule>
    <cfRule type="containsText" dxfId="7498" priority="2644" operator="containsText" text="X">
      <formula>NOT(ISERROR(SEARCH(("X"),(I20))))</formula>
    </cfRule>
    <cfRule type="containsText" dxfId="7497" priority="2645" operator="containsText" text="L">
      <formula>NOT(ISERROR(SEARCH(("L"),(I20))))</formula>
    </cfRule>
    <cfRule type="containsText" dxfId="7496" priority="2646" operator="containsText" text="N">
      <formula>NOT(ISERROR(SEARCH(("N"),(I20))))</formula>
    </cfRule>
    <cfRule type="containsText" dxfId="7495" priority="2647" operator="containsText" text="O">
      <formula>NOT(ISERROR(SEARCH(("O"),(I20))))</formula>
    </cfRule>
    <cfRule type="containsText" dxfId="7494" priority="2635" operator="containsText" text="P">
      <formula>NOT(ISERROR(SEARCH(("P"),(I20))))</formula>
    </cfRule>
    <cfRule type="containsText" dxfId="7493" priority="2634" operator="containsText" text="C">
      <formula>NOT(ISERROR(SEARCH(("C"),(I20))))</formula>
    </cfRule>
    <cfRule type="containsText" dxfId="7492" priority="2648" operator="containsText" text="C">
      <formula>NOT(ISERROR(SEARCH(("C"),(I20))))</formula>
    </cfRule>
    <cfRule type="containsText" dxfId="7491" priority="2633" operator="containsText" text="O">
      <formula>NOT(ISERROR(SEARCH(("O"),(I20))))</formula>
    </cfRule>
    <cfRule type="containsText" dxfId="7490" priority="2678" operator="containsText" text="O">
      <formula>NOT(ISERROR(SEARCH(("O"),(I20))))</formula>
    </cfRule>
    <cfRule type="containsText" dxfId="7489" priority="2649" operator="containsText" text="P">
      <formula>NOT(ISERROR(SEARCH(("P"),(I20))))</formula>
    </cfRule>
    <cfRule type="containsText" dxfId="7488" priority="2632" operator="containsText" text="L">
      <formula>NOT(ISERROR(SEARCH(("L"),(I20))))</formula>
    </cfRule>
    <cfRule type="containsText" dxfId="7487" priority="2631" operator="containsText" text="N">
      <formula>NOT(ISERROR(SEARCH(("N"),(I20))))</formula>
    </cfRule>
    <cfRule type="containsText" dxfId="7486" priority="2630" operator="containsText" text="L">
      <formula>NOT(ISERROR(SEARCH(("L"),(I20))))</formula>
    </cfRule>
    <cfRule type="containsText" dxfId="7485" priority="2629" operator="containsText" text="N">
      <formula>NOT(ISERROR(SEARCH(("N"),(I20))))</formula>
    </cfRule>
    <cfRule type="containsText" dxfId="7484" priority="2628" operator="containsText" text="L">
      <formula>NOT(ISERROR(SEARCH(("L"),(I20))))</formula>
    </cfRule>
    <cfRule type="containsText" dxfId="7483" priority="2627" operator="containsText" text="X">
      <formula>NOT(ISERROR(SEARCH(("X"),(I20))))</formula>
    </cfRule>
    <cfRule type="containsText" dxfId="7482" priority="2626" operator="containsText" text="K">
      <formula>NOT(ISERROR(SEARCH(("K"),(I20))))</formula>
    </cfRule>
    <cfRule type="containsText" dxfId="7481" priority="2625" operator="containsText" text="P">
      <formula>NOT(ISERROR(SEARCH(("P"),(I20))))</formula>
    </cfRule>
    <cfRule type="containsText" dxfId="7480" priority="2624" operator="containsText" text="C">
      <formula>NOT(ISERROR(SEARCH(("C"),(I20))))</formula>
    </cfRule>
    <cfRule type="containsText" dxfId="7479" priority="2623" operator="containsText" text="O">
      <formula>NOT(ISERROR(SEARCH(("O"),(I20))))</formula>
    </cfRule>
    <cfRule type="containsText" dxfId="7478" priority="2622" operator="containsText" text="N">
      <formula>NOT(ISERROR(SEARCH(("N"),(I20))))</formula>
    </cfRule>
    <cfRule type="containsText" dxfId="7477" priority="2621" operator="containsText" text="L">
      <formula>NOT(ISERROR(SEARCH(("L"),(I20))))</formula>
    </cfRule>
    <cfRule type="containsText" dxfId="7476" priority="2620" operator="containsText" text="X">
      <formula>NOT(ISERROR(SEARCH(("X"),(I20))))</formula>
    </cfRule>
    <cfRule type="containsText" dxfId="7475" priority="2619" operator="containsText" text="K">
      <formula>NOT(ISERROR(SEARCH(("K"),(I20))))</formula>
    </cfRule>
    <cfRule type="containsText" dxfId="7474" priority="2618" operator="containsText" text="P">
      <formula>NOT(ISERROR(SEARCH(("P"),(I20))))</formula>
    </cfRule>
    <cfRule type="containsText" dxfId="7473" priority="2617" operator="containsText" text="C">
      <formula>NOT(ISERROR(SEARCH(("C"),(I20))))</formula>
    </cfRule>
    <cfRule type="containsText" dxfId="7472" priority="2616" operator="containsText" text="O">
      <formula>NOT(ISERROR(SEARCH(("O"),(I20))))</formula>
    </cfRule>
    <cfRule type="containsText" dxfId="7471" priority="2615" operator="containsText" text="N">
      <formula>NOT(ISERROR(SEARCH(("N"),(I20))))</formula>
    </cfRule>
    <cfRule type="containsText" dxfId="7470" priority="2614" operator="containsText" text="L">
      <formula>NOT(ISERROR(SEARCH(("L"),(I20))))</formula>
    </cfRule>
    <cfRule type="containsText" dxfId="7469" priority="2613" operator="containsText" text="X">
      <formula>NOT(ISERROR(SEARCH(("X"),(I20))))</formula>
    </cfRule>
    <cfRule type="containsText" dxfId="7468" priority="2612" operator="containsText" text="K">
      <formula>NOT(ISERROR(SEARCH(("K"),(I20))))</formula>
    </cfRule>
    <cfRule type="containsText" dxfId="7467" priority="2650" operator="containsText" text="K">
      <formula>NOT(ISERROR(SEARCH(("K"),(I20))))</formula>
    </cfRule>
    <cfRule type="containsText" dxfId="7466" priority="2610" operator="containsText" text="C">
      <formula>NOT(ISERROR(SEARCH(("C"),(I20))))</formula>
    </cfRule>
  </conditionalFormatting>
  <conditionalFormatting sqref="I22:L22">
    <cfRule type="containsText" dxfId="7465" priority="1753" operator="containsText" text="L">
      <formula>NOT(ISERROR(SEARCH(("L"),(I22))))</formula>
    </cfRule>
    <cfRule type="containsText" dxfId="7464" priority="1703" operator="containsText" text="O">
      <formula>NOT(ISERROR(SEARCH(("O"),(I22))))</formula>
    </cfRule>
    <cfRule type="containsText" dxfId="7463" priority="1704" operator="containsText" text="C">
      <formula>NOT(ISERROR(SEARCH(("C"),(I22))))</formula>
    </cfRule>
    <cfRule type="containsText" dxfId="7462" priority="1705" operator="containsText" text="P">
      <formula>NOT(ISERROR(SEARCH(("P"),(I22))))</formula>
    </cfRule>
    <cfRule type="containsText" dxfId="7461" priority="1706" operator="containsText" text="K">
      <formula>NOT(ISERROR(SEARCH(("K"),(I22))))</formula>
    </cfRule>
    <cfRule type="containsText" dxfId="7460" priority="1707" operator="containsText" text="X">
      <formula>NOT(ISERROR(SEARCH(("X"),(I22))))</formula>
    </cfRule>
    <cfRule type="containsText" dxfId="7459" priority="1681" operator="containsText" text="P">
      <formula>NOT(ISERROR(SEARCH(("P"),(I22))))</formula>
    </cfRule>
    <cfRule type="containsText" dxfId="7458" priority="1682" operator="containsText" text="K">
      <formula>NOT(ISERROR(SEARCH(("K"),(I22))))</formula>
    </cfRule>
    <cfRule type="containsText" dxfId="7457" priority="1683" operator="containsText" text="X">
      <formula>NOT(ISERROR(SEARCH(("X"),(I22))))</formula>
    </cfRule>
    <cfRule type="containsText" dxfId="7456" priority="1684" operator="containsText" text="L">
      <formula>NOT(ISERROR(SEARCH(("L"),(I22))))</formula>
    </cfRule>
    <cfRule type="containsText" dxfId="7455" priority="1685" operator="containsText" text="N">
      <formula>NOT(ISERROR(SEARCH(("N"),(I22))))</formula>
    </cfRule>
    <cfRule type="containsText" dxfId="7454" priority="1708" operator="containsText" text="L">
      <formula>NOT(ISERROR(SEARCH(("L"),(I22))))</formula>
    </cfRule>
    <cfRule type="containsText" dxfId="7453" priority="1686" operator="containsText" text="O">
      <formula>NOT(ISERROR(SEARCH(("O"),(I22))))</formula>
    </cfRule>
    <cfRule type="containsText" dxfId="7452" priority="1687" operator="containsText" text="C">
      <formula>NOT(ISERROR(SEARCH(("C"),(I22))))</formula>
    </cfRule>
    <cfRule type="containsText" dxfId="7451" priority="1688" operator="containsText" text="P">
      <formula>NOT(ISERROR(SEARCH(("P"),(I22))))</formula>
    </cfRule>
    <cfRule type="containsText" dxfId="7450" priority="1689" operator="containsText" text="K">
      <formula>NOT(ISERROR(SEARCH(("K"),(I22))))</formula>
    </cfRule>
    <cfRule type="containsText" dxfId="7449" priority="1690" operator="containsText" text="X">
      <formula>NOT(ISERROR(SEARCH(("X"),(I22))))</formula>
    </cfRule>
    <cfRule type="containsText" dxfId="7448" priority="1691" operator="containsText" text="L">
      <formula>NOT(ISERROR(SEARCH(("L"),(I22))))</formula>
    </cfRule>
    <cfRule type="containsText" dxfId="7447" priority="1692" operator="containsText" text="N">
      <formula>NOT(ISERROR(SEARCH(("N"),(I22))))</formula>
    </cfRule>
    <cfRule type="containsText" dxfId="7446" priority="1693" operator="containsText" text="O">
      <formula>NOT(ISERROR(SEARCH(("O"),(I22))))</formula>
    </cfRule>
    <cfRule type="containsText" dxfId="7445" priority="1694" operator="containsText" text="C">
      <formula>NOT(ISERROR(SEARCH(("C"),(I22))))</formula>
    </cfRule>
    <cfRule type="containsText" dxfId="7444" priority="1662" operator="containsText" text="N">
      <formula>NOT(ISERROR(SEARCH(("N"),(I22))))</formula>
    </cfRule>
    <cfRule type="containsText" dxfId="7443" priority="1663" operator="containsText" text="N">
      <formula>NOT(ISERROR(SEARCH(("N"),(I22))))</formula>
    </cfRule>
    <cfRule type="containsText" dxfId="7442" priority="1664" operator="containsText" text="N">
      <formula>NOT(ISERROR(SEARCH(("N"),(I22))))</formula>
    </cfRule>
    <cfRule type="containsText" dxfId="7441" priority="1665" operator="containsText" text="O">
      <formula>NOT(ISERROR(SEARCH(("O"),(I22))))</formula>
    </cfRule>
    <cfRule type="containsText" dxfId="7440" priority="1666" operator="containsText" text="C">
      <formula>NOT(ISERROR(SEARCH(("C"),(I22))))</formula>
    </cfRule>
    <cfRule type="containsText" dxfId="7439" priority="1667" operator="containsText" text="P">
      <formula>NOT(ISERROR(SEARCH(("P"),(I22))))</formula>
    </cfRule>
    <cfRule type="containsText" dxfId="7438" priority="1668" operator="containsText" text="K">
      <formula>NOT(ISERROR(SEARCH(("K"),(I22))))</formula>
    </cfRule>
    <cfRule type="containsText" dxfId="7437" priority="1669" operator="containsText" text="X">
      <formula>NOT(ISERROR(SEARCH(("X"),(I22))))</formula>
    </cfRule>
    <cfRule type="containsText" dxfId="7436" priority="1670" operator="containsText" text="L">
      <formula>NOT(ISERROR(SEARCH(("L"),(I22))))</formula>
    </cfRule>
    <cfRule type="containsText" dxfId="7435" priority="1671" operator="containsText" text="N">
      <formula>NOT(ISERROR(SEARCH(("N"),(I22))))</formula>
    </cfRule>
    <cfRule type="containsText" dxfId="7434" priority="1672" operator="containsText" text="O">
      <formula>NOT(ISERROR(SEARCH(("O"),(I22))))</formula>
    </cfRule>
    <cfRule type="containsText" dxfId="7433" priority="1673" operator="containsText" text="C">
      <formula>NOT(ISERROR(SEARCH(("C"),(I22))))</formula>
    </cfRule>
    <cfRule type="containsText" dxfId="7432" priority="1674" operator="containsText" text="P">
      <formula>NOT(ISERROR(SEARCH(("P"),(I22))))</formula>
    </cfRule>
    <cfRule type="containsText" dxfId="7431" priority="1675" operator="containsText" text="K">
      <formula>NOT(ISERROR(SEARCH(("K"),(I22))))</formula>
    </cfRule>
    <cfRule type="containsText" dxfId="7430" priority="1716" operator="containsText" text="N">
      <formula>NOT(ISERROR(SEARCH(("N"),(I22))))</formula>
    </cfRule>
    <cfRule type="containsText" dxfId="7429" priority="1676" operator="containsText" text="X">
      <formula>NOT(ISERROR(SEARCH(("X"),(I22))))</formula>
    </cfRule>
    <cfRule type="containsText" dxfId="7428" priority="1677" operator="containsText" text="L">
      <formula>NOT(ISERROR(SEARCH(("L"),(I22))))</formula>
    </cfRule>
    <cfRule type="containsText" dxfId="7427" priority="1678" operator="containsText" text="N">
      <formula>NOT(ISERROR(SEARCH(("N"),(I22))))</formula>
    </cfRule>
    <cfRule type="containsText" dxfId="7426" priority="1679" operator="containsText" text="O">
      <formula>NOT(ISERROR(SEARCH(("O"),(I22))))</formula>
    </cfRule>
    <cfRule type="containsText" dxfId="7425" priority="1695" operator="containsText" text="P">
      <formula>NOT(ISERROR(SEARCH(("P"),(I22))))</formula>
    </cfRule>
    <cfRule type="containsText" dxfId="7424" priority="1696" operator="containsText" text="K">
      <formula>NOT(ISERROR(SEARCH(("K"),(I22))))</formula>
    </cfRule>
    <cfRule type="containsText" dxfId="7423" priority="1697" operator="containsText" text="X">
      <formula>NOT(ISERROR(SEARCH(("X"),(I22))))</formula>
    </cfRule>
    <cfRule type="containsText" dxfId="7422" priority="1698" operator="containsText" text="L">
      <formula>NOT(ISERROR(SEARCH(("L"),(I22))))</formula>
    </cfRule>
    <cfRule type="containsText" dxfId="7421" priority="1699" operator="containsText" text="N">
      <formula>NOT(ISERROR(SEARCH(("N"),(I22))))</formula>
    </cfRule>
    <cfRule type="containsText" dxfId="7420" priority="1709" operator="containsText" text="N">
      <formula>NOT(ISERROR(SEARCH(("N"),(I22))))</formula>
    </cfRule>
    <cfRule type="containsText" dxfId="7419" priority="1700" operator="containsText" text="L">
      <formula>NOT(ISERROR(SEARCH(("L"),(I22))))</formula>
    </cfRule>
    <cfRule type="containsText" dxfId="7418" priority="1701" operator="containsText" text="N">
      <formula>NOT(ISERROR(SEARCH(("N"),(I22))))</formula>
    </cfRule>
    <cfRule type="containsText" dxfId="7417" priority="1717" operator="containsText" text="O">
      <formula>NOT(ISERROR(SEARCH(("O"),(I22))))</formula>
    </cfRule>
    <cfRule type="containsText" dxfId="7416" priority="1718" operator="containsText" text="C">
      <formula>NOT(ISERROR(SEARCH(("C"),(I22))))</formula>
    </cfRule>
    <cfRule type="containsText" dxfId="7415" priority="1719" operator="containsText" text="P">
      <formula>NOT(ISERROR(SEARCH(("P"),(I22))))</formula>
    </cfRule>
    <cfRule type="containsText" dxfId="7414" priority="1720" operator="containsText" text="K">
      <formula>NOT(ISERROR(SEARCH(("K"),(I22))))</formula>
    </cfRule>
    <cfRule type="containsText" dxfId="7413" priority="1721" operator="containsText" text="X">
      <formula>NOT(ISERROR(SEARCH(("X"),(I22))))</formula>
    </cfRule>
    <cfRule type="containsText" dxfId="7412" priority="1722" operator="containsText" text="L">
      <formula>NOT(ISERROR(SEARCH(("L"),(I22))))</formula>
    </cfRule>
    <cfRule type="containsText" dxfId="7411" priority="1723" operator="containsText" text="N">
      <formula>NOT(ISERROR(SEARCH(("N"),(I22))))</formula>
    </cfRule>
    <cfRule type="containsText" dxfId="7410" priority="1724" operator="containsText" text="O">
      <formula>NOT(ISERROR(SEARCH(("O"),(I22))))</formula>
    </cfRule>
    <cfRule type="containsText" dxfId="7409" priority="1725" operator="containsText" text="C">
      <formula>NOT(ISERROR(SEARCH(("C"),(I22))))</formula>
    </cfRule>
    <cfRule type="containsText" dxfId="7408" priority="1726" operator="containsText" text="P">
      <formula>NOT(ISERROR(SEARCH(("P"),(I22))))</formula>
    </cfRule>
    <cfRule type="containsText" dxfId="7407" priority="1727" operator="containsText" text="K">
      <formula>NOT(ISERROR(SEARCH(("K"),(I22))))</formula>
    </cfRule>
    <cfRule type="containsText" dxfId="7406" priority="1728" operator="containsText" text="X">
      <formula>NOT(ISERROR(SEARCH(("X"),(I22))))</formula>
    </cfRule>
    <cfRule type="containsText" dxfId="7405" priority="1729" operator="containsText" text="L">
      <formula>NOT(ISERROR(SEARCH(("L"),(I22))))</formula>
    </cfRule>
    <cfRule type="containsText" dxfId="7404" priority="1730" operator="containsText" text="N">
      <formula>NOT(ISERROR(SEARCH(("N"),(I22))))</formula>
    </cfRule>
    <cfRule type="containsText" dxfId="7403" priority="1731" operator="containsText" text="O">
      <formula>NOT(ISERROR(SEARCH(("O"),(I22))))</formula>
    </cfRule>
    <cfRule type="containsText" dxfId="7402" priority="1732" operator="containsText" text="C">
      <formula>NOT(ISERROR(SEARCH(("C"),(I22))))</formula>
    </cfRule>
    <cfRule type="containsText" dxfId="7401" priority="1733" operator="containsText" text="P">
      <formula>NOT(ISERROR(SEARCH(("P"),(I22))))</formula>
    </cfRule>
    <cfRule type="containsText" dxfId="7400" priority="1734" operator="containsText" text="K">
      <formula>NOT(ISERROR(SEARCH(("K"),(I22))))</formula>
    </cfRule>
    <cfRule type="containsText" dxfId="7399" priority="1735" operator="containsText" text="X">
      <formula>NOT(ISERROR(SEARCH(("X"),(I22))))</formula>
    </cfRule>
    <cfRule type="containsText" dxfId="7398" priority="1736" operator="containsText" text="L">
      <formula>NOT(ISERROR(SEARCH(("L"),(I22))))</formula>
    </cfRule>
    <cfRule type="containsText" dxfId="7397" priority="1737" operator="containsText" text="N">
      <formula>NOT(ISERROR(SEARCH(("N"),(I22))))</formula>
    </cfRule>
    <cfRule type="containsText" dxfId="7396" priority="1738" operator="containsText" text="L">
      <formula>NOT(ISERROR(SEARCH(("L"),(I22))))</formula>
    </cfRule>
    <cfRule type="containsText" dxfId="7395" priority="1739" operator="containsText" text="N">
      <formula>NOT(ISERROR(SEARCH(("N"),(I22))))</formula>
    </cfRule>
    <cfRule type="containsText" dxfId="7394" priority="1710" operator="containsText" text="O">
      <formula>NOT(ISERROR(SEARCH(("O"),(I22))))</formula>
    </cfRule>
    <cfRule type="containsText" dxfId="7393" priority="1711" operator="containsText" text="C">
      <formula>NOT(ISERROR(SEARCH(("C"),(I22))))</formula>
    </cfRule>
    <cfRule type="containsText" dxfId="7392" priority="1740" operator="containsText" text="L">
      <formula>NOT(ISERROR(SEARCH(("L"),(I22))))</formula>
    </cfRule>
    <cfRule type="containsText" dxfId="7391" priority="1741" operator="containsText" text="O">
      <formula>NOT(ISERROR(SEARCH(("O"),(I22))))</formula>
    </cfRule>
    <cfRule type="containsText" dxfId="7390" priority="1742" operator="containsText" text="C">
      <formula>NOT(ISERROR(SEARCH(("C"),(I22))))</formula>
    </cfRule>
    <cfRule type="containsText" dxfId="7389" priority="1743" operator="containsText" text="P">
      <formula>NOT(ISERROR(SEARCH(("P"),(I22))))</formula>
    </cfRule>
    <cfRule type="containsText" dxfId="7388" priority="1744" operator="containsText" text="K">
      <formula>NOT(ISERROR(SEARCH(("K"),(I22))))</formula>
    </cfRule>
    <cfRule type="containsText" dxfId="7387" priority="1745" operator="containsText" text="X">
      <formula>NOT(ISERROR(SEARCH(("X"),(I22))))</formula>
    </cfRule>
    <cfRule type="containsText" dxfId="7386" priority="1746" operator="containsText" text="L">
      <formula>NOT(ISERROR(SEARCH(("L"),(I22))))</formula>
    </cfRule>
    <cfRule type="containsText" dxfId="7385" priority="1747" operator="containsText" text="N">
      <formula>NOT(ISERROR(SEARCH(("N"),(I22))))</formula>
    </cfRule>
    <cfRule type="containsText" dxfId="7384" priority="1748" operator="containsText" text="O">
      <formula>NOT(ISERROR(SEARCH(("O"),(I22))))</formula>
    </cfRule>
    <cfRule type="containsText" dxfId="7383" priority="1702" operator="containsText" text="L">
      <formula>NOT(ISERROR(SEARCH(("L"),(I22))))</formula>
    </cfRule>
    <cfRule type="containsText" dxfId="7382" priority="1749" operator="containsText" text="C">
      <formula>NOT(ISERROR(SEARCH(("C"),(I22))))</formula>
    </cfRule>
    <cfRule type="containsText" dxfId="7381" priority="1750" operator="containsText" text="P">
      <formula>NOT(ISERROR(SEARCH(("P"),(I22))))</formula>
    </cfRule>
    <cfRule type="containsText" dxfId="7380" priority="1751" operator="containsText" text="K">
      <formula>NOT(ISERROR(SEARCH(("K"),(I22))))</formula>
    </cfRule>
    <cfRule type="containsText" dxfId="7379" priority="1752" operator="containsText" text="X">
      <formula>NOT(ISERROR(SEARCH(("X"),(I22))))</formula>
    </cfRule>
    <cfRule type="containsText" dxfId="7378" priority="1712" operator="containsText" text="P">
      <formula>NOT(ISERROR(SEARCH(("P"),(I22))))</formula>
    </cfRule>
    <cfRule type="containsText" dxfId="7377" priority="1680" operator="containsText" text="C">
      <formula>NOT(ISERROR(SEARCH(("C"),(I22))))</formula>
    </cfRule>
    <cfRule type="containsText" dxfId="7376" priority="1713" operator="containsText" text="K">
      <formula>NOT(ISERROR(SEARCH(("K"),(I22))))</formula>
    </cfRule>
    <cfRule type="containsText" dxfId="7375" priority="1714" operator="containsText" text="X">
      <formula>NOT(ISERROR(SEARCH(("X"),(I22))))</formula>
    </cfRule>
    <cfRule type="containsText" dxfId="7374" priority="1715" operator="containsText" text="L">
      <formula>NOT(ISERROR(SEARCH(("L"),(I22))))</formula>
    </cfRule>
  </conditionalFormatting>
  <conditionalFormatting sqref="I25:L25">
    <cfRule type="containsText" dxfId="7373" priority="484" operator="containsText" text="N">
      <formula>NOT(ISERROR(SEARCH(("N"),(I25))))</formula>
    </cfRule>
    <cfRule type="containsText" dxfId="7372" priority="513" operator="containsText" text="X">
      <formula>NOT(ISERROR(SEARCH(("X"),(I25))))</formula>
    </cfRule>
    <cfRule type="containsText" dxfId="7371" priority="514" operator="containsText" text="L">
      <formula>NOT(ISERROR(SEARCH(("L"),(I25))))</formula>
    </cfRule>
    <cfRule type="containsText" dxfId="7370" priority="507" operator="containsText" text="L">
      <formula>NOT(ISERROR(SEARCH(("L"),(I25))))</formula>
    </cfRule>
    <cfRule type="containsText" dxfId="7369" priority="506" operator="containsText" text="X">
      <formula>NOT(ISERROR(SEARCH(("X"),(I25))))</formula>
    </cfRule>
    <cfRule type="containsText" dxfId="7368" priority="505" operator="containsText" text="K">
      <formula>NOT(ISERROR(SEARCH(("K"),(I25))))</formula>
    </cfRule>
    <cfRule type="containsText" dxfId="7367" priority="504" operator="containsText" text="P">
      <formula>NOT(ISERROR(SEARCH(("P"),(I25))))</formula>
    </cfRule>
    <cfRule type="containsText" dxfId="7366" priority="503" operator="containsText" text="C">
      <formula>NOT(ISERROR(SEARCH(("C"),(I25))))</formula>
    </cfRule>
    <cfRule type="containsText" dxfId="7365" priority="502" operator="containsText" text="O">
      <formula>NOT(ISERROR(SEARCH(("O"),(I25))))</formula>
    </cfRule>
    <cfRule type="containsText" dxfId="7364" priority="501" operator="containsText" text="L">
      <formula>NOT(ISERROR(SEARCH(("L"),(I25))))</formula>
    </cfRule>
    <cfRule type="containsText" dxfId="7363" priority="500" operator="containsText" text="N">
      <formula>NOT(ISERROR(SEARCH(("N"),(I25))))</formula>
    </cfRule>
    <cfRule type="containsText" dxfId="7362" priority="499" operator="containsText" text="L">
      <formula>NOT(ISERROR(SEARCH(("L"),(I25))))</formula>
    </cfRule>
    <cfRule type="containsText" dxfId="7361" priority="498" operator="containsText" text="N">
      <formula>NOT(ISERROR(SEARCH(("N"),(I25))))</formula>
    </cfRule>
    <cfRule type="containsText" dxfId="7360" priority="497" operator="containsText" text="L">
      <formula>NOT(ISERROR(SEARCH(("L"),(I25))))</formula>
    </cfRule>
    <cfRule type="containsText" dxfId="7359" priority="496" operator="containsText" text="X">
      <formula>NOT(ISERROR(SEARCH(("X"),(I25))))</formula>
    </cfRule>
    <cfRule type="containsText" dxfId="7358" priority="495" operator="containsText" text="K">
      <formula>NOT(ISERROR(SEARCH(("K"),(I25))))</formula>
    </cfRule>
    <cfRule type="containsText" dxfId="7357" priority="494" operator="containsText" text="P">
      <formula>NOT(ISERROR(SEARCH(("P"),(I25))))</formula>
    </cfRule>
    <cfRule type="containsText" dxfId="7356" priority="493" operator="containsText" text="C">
      <formula>NOT(ISERROR(SEARCH(("C"),(I25))))</formula>
    </cfRule>
    <cfRule type="containsText" dxfId="7355" priority="491" operator="containsText" text="N">
      <formula>NOT(ISERROR(SEARCH(("N"),(I25))))</formula>
    </cfRule>
    <cfRule type="containsText" dxfId="7354" priority="490" operator="containsText" text="L">
      <formula>NOT(ISERROR(SEARCH(("L"),(I25))))</formula>
    </cfRule>
    <cfRule type="containsText" dxfId="7353" priority="489" operator="containsText" text="X">
      <formula>NOT(ISERROR(SEARCH(("X"),(I25))))</formula>
    </cfRule>
    <cfRule type="containsText" dxfId="7352" priority="488" operator="containsText" text="K">
      <formula>NOT(ISERROR(SEARCH(("K"),(I25))))</formula>
    </cfRule>
    <cfRule type="containsText" dxfId="7351" priority="487" operator="containsText" text="P">
      <formula>NOT(ISERROR(SEARCH(("P"),(I25))))</formula>
    </cfRule>
    <cfRule type="containsText" dxfId="7350" priority="486" operator="containsText" text="C">
      <formula>NOT(ISERROR(SEARCH(("C"),(I25))))</formula>
    </cfRule>
    <cfRule type="containsText" dxfId="7349" priority="485" operator="containsText" text="O">
      <formula>NOT(ISERROR(SEARCH(("O"),(I25))))</formula>
    </cfRule>
    <cfRule type="containsText" dxfId="7348" priority="440" operator="containsText" text="O">
      <formula>NOT(ISERROR(SEARCH(("O"),(I25))))</formula>
    </cfRule>
    <cfRule type="containsText" dxfId="7347" priority="483" operator="containsText" text="L">
      <formula>NOT(ISERROR(SEARCH(("L"),(I25))))</formula>
    </cfRule>
    <cfRule type="containsText" dxfId="7346" priority="482" operator="containsText" text="X">
      <formula>NOT(ISERROR(SEARCH(("X"),(I25))))</formula>
    </cfRule>
    <cfRule type="containsText" dxfId="7345" priority="481" operator="containsText" text="K">
      <formula>NOT(ISERROR(SEARCH(("K"),(I25))))</formula>
    </cfRule>
    <cfRule type="containsText" dxfId="7344" priority="480" operator="containsText" text="P">
      <formula>NOT(ISERROR(SEARCH(("P"),(I25))))</formula>
    </cfRule>
    <cfRule type="containsText" dxfId="7343" priority="479" operator="containsText" text="C">
      <formula>NOT(ISERROR(SEARCH(("C"),(I25))))</formula>
    </cfRule>
    <cfRule type="containsText" dxfId="7342" priority="478" operator="containsText" text="O">
      <formula>NOT(ISERROR(SEARCH(("O"),(I25))))</formula>
    </cfRule>
    <cfRule type="containsText" dxfId="7341" priority="477" operator="containsText" text="N">
      <formula>NOT(ISERROR(SEARCH(("N"),(I25))))</formula>
    </cfRule>
    <cfRule type="containsText" dxfId="7340" priority="476" operator="containsText" text="L">
      <formula>NOT(ISERROR(SEARCH(("L"),(I25))))</formula>
    </cfRule>
    <cfRule type="containsText" dxfId="7339" priority="475" operator="containsText" text="X">
      <formula>NOT(ISERROR(SEARCH(("X"),(I25))))</formula>
    </cfRule>
    <cfRule type="containsText" dxfId="7338" priority="474" operator="containsText" text="K">
      <formula>NOT(ISERROR(SEARCH(("K"),(I25))))</formula>
    </cfRule>
    <cfRule type="containsText" dxfId="7337" priority="473" operator="containsText" text="P">
      <formula>NOT(ISERROR(SEARCH(("P"),(I25))))</formula>
    </cfRule>
    <cfRule type="containsText" dxfId="7336" priority="472" operator="containsText" text="C">
      <formula>NOT(ISERROR(SEARCH(("C"),(I25))))</formula>
    </cfRule>
    <cfRule type="containsText" dxfId="7335" priority="471" operator="containsText" text="O">
      <formula>NOT(ISERROR(SEARCH(("O"),(I25))))</formula>
    </cfRule>
    <cfRule type="containsText" dxfId="7334" priority="470" operator="containsText" text="N">
      <formula>NOT(ISERROR(SEARCH(("N"),(I25))))</formula>
    </cfRule>
    <cfRule type="containsText" dxfId="7333" priority="469" operator="containsText" text="L">
      <formula>NOT(ISERROR(SEARCH(("L"),(I25))))</formula>
    </cfRule>
    <cfRule type="containsText" dxfId="7332" priority="468" operator="containsText" text="X">
      <formula>NOT(ISERROR(SEARCH(("X"),(I25))))</formula>
    </cfRule>
    <cfRule type="containsText" dxfId="7331" priority="467" operator="containsText" text="K">
      <formula>NOT(ISERROR(SEARCH(("K"),(I25))))</formula>
    </cfRule>
    <cfRule type="containsText" dxfId="7330" priority="466" operator="containsText" text="P">
      <formula>NOT(ISERROR(SEARCH(("P"),(I25))))</formula>
    </cfRule>
    <cfRule type="containsText" dxfId="7329" priority="465" operator="containsText" text="C">
      <formula>NOT(ISERROR(SEARCH(("C"),(I25))))</formula>
    </cfRule>
    <cfRule type="containsText" dxfId="7328" priority="464" operator="containsText" text="O">
      <formula>NOT(ISERROR(SEARCH(("O"),(I25))))</formula>
    </cfRule>
    <cfRule type="containsText" dxfId="7327" priority="463" operator="containsText" text="L">
      <formula>NOT(ISERROR(SEARCH(("L"),(I25))))</formula>
    </cfRule>
    <cfRule type="containsText" dxfId="7326" priority="462" operator="containsText" text="N">
      <formula>NOT(ISERROR(SEARCH(("N"),(I25))))</formula>
    </cfRule>
    <cfRule type="containsText" dxfId="7325" priority="461" operator="containsText" text="L">
      <formula>NOT(ISERROR(SEARCH(("L"),(I25))))</formula>
    </cfRule>
    <cfRule type="containsText" dxfId="7324" priority="460" operator="containsText" text="N">
      <formula>NOT(ISERROR(SEARCH(("N"),(I25))))</formula>
    </cfRule>
    <cfRule type="containsText" dxfId="7323" priority="459" operator="containsText" text="L">
      <formula>NOT(ISERROR(SEARCH(("L"),(I25))))</formula>
    </cfRule>
    <cfRule type="containsText" dxfId="7322" priority="458" operator="containsText" text="X">
      <formula>NOT(ISERROR(SEARCH(("X"),(I25))))</formula>
    </cfRule>
    <cfRule type="containsText" dxfId="7321" priority="457" operator="containsText" text="K">
      <formula>NOT(ISERROR(SEARCH(("K"),(I25))))</formula>
    </cfRule>
    <cfRule type="containsText" dxfId="7320" priority="456" operator="containsText" text="P">
      <formula>NOT(ISERROR(SEARCH(("P"),(I25))))</formula>
    </cfRule>
    <cfRule type="containsText" dxfId="7319" priority="455" operator="containsText" text="C">
      <formula>NOT(ISERROR(SEARCH(("C"),(I25))))</formula>
    </cfRule>
    <cfRule type="containsText" dxfId="7318" priority="454" operator="containsText" text="O">
      <formula>NOT(ISERROR(SEARCH(("O"),(I25))))</formula>
    </cfRule>
    <cfRule type="containsText" dxfId="7317" priority="453" operator="containsText" text="N">
      <formula>NOT(ISERROR(SEARCH(("N"),(I25))))</formula>
    </cfRule>
    <cfRule type="containsText" dxfId="7316" priority="452" operator="containsText" text="L">
      <formula>NOT(ISERROR(SEARCH(("L"),(I25))))</formula>
    </cfRule>
    <cfRule type="containsText" dxfId="7315" priority="451" operator="containsText" text="X">
      <formula>NOT(ISERROR(SEARCH(("X"),(I25))))</formula>
    </cfRule>
    <cfRule type="containsText" dxfId="7314" priority="450" operator="containsText" text="K">
      <formula>NOT(ISERROR(SEARCH(("K"),(I25))))</formula>
    </cfRule>
    <cfRule type="containsText" dxfId="7313" priority="449" operator="containsText" text="P">
      <formula>NOT(ISERROR(SEARCH(("P"),(I25))))</formula>
    </cfRule>
    <cfRule type="containsText" dxfId="7312" priority="448" operator="containsText" text="C">
      <formula>NOT(ISERROR(SEARCH(("C"),(I25))))</formula>
    </cfRule>
    <cfRule type="containsText" dxfId="7311" priority="447" operator="containsText" text="O">
      <formula>NOT(ISERROR(SEARCH(("O"),(I25))))</formula>
    </cfRule>
    <cfRule type="containsText" dxfId="7310" priority="446" operator="containsText" text="N">
      <formula>NOT(ISERROR(SEARCH(("N"),(I25))))</formula>
    </cfRule>
    <cfRule type="containsText" dxfId="7309" priority="445" operator="containsText" text="L">
      <formula>NOT(ISERROR(SEARCH(("L"),(I25))))</formula>
    </cfRule>
    <cfRule type="containsText" dxfId="7308" priority="444" operator="containsText" text="X">
      <formula>NOT(ISERROR(SEARCH(("X"),(I25))))</formula>
    </cfRule>
    <cfRule type="containsText" dxfId="7307" priority="443" operator="containsText" text="K">
      <formula>NOT(ISERROR(SEARCH(("K"),(I25))))</formula>
    </cfRule>
    <cfRule type="containsText" dxfId="7306" priority="442" operator="containsText" text="P">
      <formula>NOT(ISERROR(SEARCH(("P"),(I25))))</formula>
    </cfRule>
    <cfRule type="containsText" dxfId="7305" priority="441" operator="containsText" text="C">
      <formula>NOT(ISERROR(SEARCH(("C"),(I25))))</formula>
    </cfRule>
    <cfRule type="containsText" dxfId="7304" priority="439" operator="containsText" text="N">
      <formula>NOT(ISERROR(SEARCH(("N"),(I25))))</formula>
    </cfRule>
    <cfRule type="containsText" dxfId="7303" priority="438" operator="containsText" text="L">
      <formula>NOT(ISERROR(SEARCH(("L"),(I25))))</formula>
    </cfRule>
    <cfRule type="containsText" dxfId="7302" priority="437" operator="containsText" text="X">
      <formula>NOT(ISERROR(SEARCH(("X"),(I25))))</formula>
    </cfRule>
    <cfRule type="containsText" dxfId="7301" priority="436" operator="containsText" text="K">
      <formula>NOT(ISERROR(SEARCH(("K"),(I25))))</formula>
    </cfRule>
    <cfRule type="containsText" dxfId="7300" priority="435" operator="containsText" text="P">
      <formula>NOT(ISERROR(SEARCH(("P"),(I25))))</formula>
    </cfRule>
    <cfRule type="containsText" dxfId="7299" priority="434" operator="containsText" text="C">
      <formula>NOT(ISERROR(SEARCH(("C"),(I25))))</formula>
    </cfRule>
    <cfRule type="containsText" dxfId="7298" priority="433" operator="containsText" text="O">
      <formula>NOT(ISERROR(SEARCH(("O"),(I25))))</formula>
    </cfRule>
    <cfRule type="containsText" dxfId="7297" priority="432" operator="containsText" text="N">
      <formula>NOT(ISERROR(SEARCH(("N"),(I25))))</formula>
    </cfRule>
    <cfRule type="containsText" dxfId="7296" priority="508" operator="containsText" text="N">
      <formula>NOT(ISERROR(SEARCH(("N"),(I25))))</formula>
    </cfRule>
    <cfRule type="containsText" dxfId="7295" priority="431" operator="containsText" text="L">
      <formula>NOT(ISERROR(SEARCH(("L"),(I25))))</formula>
    </cfRule>
    <cfRule type="containsText" dxfId="7294" priority="430" operator="containsText" text="X">
      <formula>NOT(ISERROR(SEARCH(("X"),(I25))))</formula>
    </cfRule>
    <cfRule type="containsText" dxfId="7293" priority="429" operator="containsText" text="K">
      <formula>NOT(ISERROR(SEARCH(("K"),(I25))))</formula>
    </cfRule>
    <cfRule type="containsText" dxfId="7292" priority="428" operator="containsText" text="P">
      <formula>NOT(ISERROR(SEARCH(("P"),(I25))))</formula>
    </cfRule>
    <cfRule type="containsText" dxfId="7291" priority="427" operator="containsText" text="C">
      <formula>NOT(ISERROR(SEARCH(("C"),(I25))))</formula>
    </cfRule>
    <cfRule type="containsText" dxfId="7290" priority="426" operator="containsText" text="O">
      <formula>NOT(ISERROR(SEARCH(("O"),(I25))))</formula>
    </cfRule>
    <cfRule type="containsText" dxfId="7289" priority="425" operator="containsText" text="N">
      <formula>NOT(ISERROR(SEARCH(("N"),(I25))))</formula>
    </cfRule>
    <cfRule type="containsText" dxfId="7288" priority="424" operator="containsText" text="N">
      <formula>NOT(ISERROR(SEARCH(("N"),(I25))))</formula>
    </cfRule>
    <cfRule type="containsText" dxfId="7287" priority="492" operator="containsText" text="O">
      <formula>NOT(ISERROR(SEARCH(("O"),(I25))))</formula>
    </cfRule>
    <cfRule type="containsText" dxfId="7286" priority="423" operator="containsText" text="N">
      <formula>NOT(ISERROR(SEARCH(("N"),(I25))))</formula>
    </cfRule>
    <cfRule type="containsText" dxfId="7285" priority="509" operator="containsText" text="O">
      <formula>NOT(ISERROR(SEARCH(("O"),(I25))))</formula>
    </cfRule>
    <cfRule type="containsText" dxfId="7284" priority="510" operator="containsText" text="C">
      <formula>NOT(ISERROR(SEARCH(("C"),(I25))))</formula>
    </cfRule>
    <cfRule type="containsText" dxfId="7283" priority="511" operator="containsText" text="P">
      <formula>NOT(ISERROR(SEARCH(("P"),(I25))))</formula>
    </cfRule>
    <cfRule type="containsText" dxfId="7282" priority="512" operator="containsText" text="K">
      <formula>NOT(ISERROR(SEARCH(("K"),(I25))))</formula>
    </cfRule>
  </conditionalFormatting>
  <conditionalFormatting sqref="I26:L26">
    <cfRule type="containsText" dxfId="7281" priority="5335" operator="containsText" text="L">
      <formula>NOT(ISERROR(SEARCH(("L"),(I26))))</formula>
    </cfRule>
    <cfRule type="containsText" dxfId="7280" priority="5313" operator="containsText" text="N">
      <formula>NOT(ISERROR(SEARCH(("N"),(I26))))</formula>
    </cfRule>
    <cfRule type="containsText" dxfId="7279" priority="5314" operator="containsText" text="O">
      <formula>NOT(ISERROR(SEARCH(("O"),(I26))))</formula>
    </cfRule>
    <cfRule type="containsText" dxfId="7278" priority="5315" operator="containsText" text="C">
      <formula>NOT(ISERROR(SEARCH(("C"),(I26))))</formula>
    </cfRule>
    <cfRule type="containsText" dxfId="7277" priority="5316" operator="containsText" text="P">
      <formula>NOT(ISERROR(SEARCH(("P"),(I26))))</formula>
    </cfRule>
    <cfRule type="containsText" dxfId="7276" priority="5317" operator="containsText" text="K">
      <formula>NOT(ISERROR(SEARCH(("K"),(I26))))</formula>
    </cfRule>
    <cfRule type="containsText" dxfId="7275" priority="5318" operator="containsText" text="X">
      <formula>NOT(ISERROR(SEARCH(("X"),(I26))))</formula>
    </cfRule>
    <cfRule type="containsText" dxfId="7274" priority="5319" operator="containsText" text="L">
      <formula>NOT(ISERROR(SEARCH(("L"),(I26))))</formula>
    </cfRule>
    <cfRule type="containsText" dxfId="7273" priority="5320" operator="containsText" text="N">
      <formula>NOT(ISERROR(SEARCH(("N"),(I26))))</formula>
    </cfRule>
    <cfRule type="containsText" dxfId="7272" priority="5321" operator="containsText" text="O">
      <formula>NOT(ISERROR(SEARCH(("O"),(I26))))</formula>
    </cfRule>
    <cfRule type="containsText" dxfId="7271" priority="5322" operator="containsText" text="C">
      <formula>NOT(ISERROR(SEARCH(("C"),(I26))))</formula>
    </cfRule>
    <cfRule type="containsText" dxfId="7270" priority="5324" operator="containsText" text="K">
      <formula>NOT(ISERROR(SEARCH(("K"),(I26))))</formula>
    </cfRule>
    <cfRule type="containsText" dxfId="7269" priority="5325" operator="containsText" text="X">
      <formula>NOT(ISERROR(SEARCH(("X"),(I26))))</formula>
    </cfRule>
    <cfRule type="containsText" dxfId="7268" priority="5326" operator="containsText" text="L">
      <formula>NOT(ISERROR(SEARCH(("L"),(I26))))</formula>
    </cfRule>
    <cfRule type="containsText" dxfId="7267" priority="5309" operator="containsText" text="P">
      <formula>NOT(ISERROR(SEARCH(("P"),(I26))))</formula>
    </cfRule>
    <cfRule type="containsText" dxfId="7266" priority="5307" operator="containsText" text="O">
      <formula>NOT(ISERROR(SEARCH(("O"),(I26))))</formula>
    </cfRule>
    <cfRule type="containsText" dxfId="7265" priority="5333" operator="containsText" text="K">
      <formula>NOT(ISERROR(SEARCH(("K"),(I26))))</formula>
    </cfRule>
    <cfRule type="containsText" dxfId="7264" priority="5310" operator="containsText" text="K">
      <formula>NOT(ISERROR(SEARCH(("K"),(I26))))</formula>
    </cfRule>
    <cfRule type="containsText" dxfId="7263" priority="5311" operator="containsText" text="X">
      <formula>NOT(ISERROR(SEARCH(("X"),(I26))))</formula>
    </cfRule>
    <cfRule type="containsText" dxfId="7262" priority="5328" operator="containsText" text="L">
      <formula>NOT(ISERROR(SEARCH(("L"),(I26))))</formula>
    </cfRule>
    <cfRule type="containsText" dxfId="7261" priority="5337" operator="containsText" text="C">
      <formula>NOT(ISERROR(SEARCH(("C"),(I26))))</formula>
    </cfRule>
    <cfRule type="containsText" dxfId="7260" priority="5308" operator="containsText" text="C">
      <formula>NOT(ISERROR(SEARCH(("C"),(I26))))</formula>
    </cfRule>
    <cfRule type="containsText" dxfId="7259" priority="5338" operator="containsText" text="P">
      <formula>NOT(ISERROR(SEARCH(("P"),(I26))))</formula>
    </cfRule>
    <cfRule type="containsText" dxfId="7258" priority="5339" operator="containsText" text="K">
      <formula>NOT(ISERROR(SEARCH(("K"),(I26))))</formula>
    </cfRule>
    <cfRule type="containsText" dxfId="7257" priority="5327" operator="containsText" text="N">
      <formula>NOT(ISERROR(SEARCH(("N"),(I26))))</formula>
    </cfRule>
    <cfRule type="containsText" dxfId="7256" priority="5334" operator="containsText" text="X">
      <formula>NOT(ISERROR(SEARCH(("X"),(I26))))</formula>
    </cfRule>
    <cfRule type="containsText" dxfId="7255" priority="5323" operator="containsText" text="P">
      <formula>NOT(ISERROR(SEARCH(("P"),(I26))))</formula>
    </cfRule>
    <cfRule type="containsText" dxfId="7254" priority="5336" operator="containsText" text="O">
      <formula>NOT(ISERROR(SEARCH(("O"),(I26))))</formula>
    </cfRule>
    <cfRule type="containsText" dxfId="7253" priority="5329" operator="containsText" text="N">
      <formula>NOT(ISERROR(SEARCH(("N"),(I26))))</formula>
    </cfRule>
    <cfRule type="containsText" dxfId="7252" priority="5330" operator="containsText" text="O">
      <formula>NOT(ISERROR(SEARCH(("O"),(I26))))</formula>
    </cfRule>
    <cfRule type="containsText" dxfId="7251" priority="5340" operator="containsText" text="X">
      <formula>NOT(ISERROR(SEARCH(("X"),(I26))))</formula>
    </cfRule>
    <cfRule type="containsText" dxfId="7250" priority="5331" operator="containsText" text="C">
      <formula>NOT(ISERROR(SEARCH(("C"),(I26))))</formula>
    </cfRule>
    <cfRule type="containsText" dxfId="7249" priority="5332" operator="containsText" text="P">
      <formula>NOT(ISERROR(SEARCH(("P"),(I26))))</formula>
    </cfRule>
    <cfRule type="containsText" dxfId="7248" priority="5312" operator="containsText" text="L">
      <formula>NOT(ISERROR(SEARCH(("L"),(I26))))</formula>
    </cfRule>
  </conditionalFormatting>
  <conditionalFormatting sqref="I13:M13">
    <cfRule type="containsText" dxfId="7247" priority="8207" operator="containsText" text="N">
      <formula>NOT(ISERROR(SEARCH(("N"),(I13))))</formula>
    </cfRule>
  </conditionalFormatting>
  <conditionalFormatting sqref="I14:M22 I22:Q26 O24:S25">
    <cfRule type="containsText" dxfId="7246" priority="10823" operator="containsText" text="L">
      <formula>NOT(ISERROR(SEARCH(("L"),(I14))))</formula>
    </cfRule>
    <cfRule type="containsText" dxfId="7245" priority="10817" operator="containsText" text="N">
      <formula>NOT(ISERROR(SEARCH(("N"),(I14))))</formula>
    </cfRule>
  </conditionalFormatting>
  <conditionalFormatting sqref="I14:M22 O24:S25 I22:Q26">
    <cfRule type="containsText" dxfId="7244" priority="10822" operator="containsText" text="X">
      <formula>NOT(ISERROR(SEARCH(("X"),(I14))))</formula>
    </cfRule>
    <cfRule type="containsText" dxfId="7243" priority="10821" operator="containsText" text="K">
      <formula>NOT(ISERROR(SEARCH(("K"),(I14))))</formula>
    </cfRule>
    <cfRule type="containsText" dxfId="7242" priority="10820" operator="containsText" text="P">
      <formula>NOT(ISERROR(SEARCH(("P"),(I14))))</formula>
    </cfRule>
    <cfRule type="containsText" dxfId="7241" priority="10819" operator="containsText" text="C">
      <formula>NOT(ISERROR(SEARCH(("C"),(I14))))</formula>
    </cfRule>
  </conditionalFormatting>
  <conditionalFormatting sqref="I19:M19">
    <cfRule type="containsText" dxfId="7240" priority="9755" operator="containsText" text="L">
      <formula>NOT(ISERROR(SEARCH(("L"),(I19))))</formula>
    </cfRule>
    <cfRule type="containsText" dxfId="7239" priority="9754" operator="containsText" text="X">
      <formula>NOT(ISERROR(SEARCH(("X"),(I19))))</formula>
    </cfRule>
    <cfRule type="containsText" dxfId="7238" priority="9753" operator="containsText" text="K">
      <formula>NOT(ISERROR(SEARCH(("K"),(I19))))</formula>
    </cfRule>
    <cfRule type="containsText" dxfId="7237" priority="9752" operator="containsText" text="P">
      <formula>NOT(ISERROR(SEARCH(("P"),(I19))))</formula>
    </cfRule>
    <cfRule type="containsText" dxfId="7236" priority="9751" operator="containsText" text="C">
      <formula>NOT(ISERROR(SEARCH(("C"),(I19))))</formula>
    </cfRule>
    <cfRule type="containsText" dxfId="7235" priority="9750" operator="containsText" text="O">
      <formula>NOT(ISERROR(SEARCH(("O"),(I19))))</formula>
    </cfRule>
    <cfRule type="containsText" dxfId="7234" priority="9748" operator="containsText" text="N">
      <formula>NOT(ISERROR(SEARCH(("N"),(I19))))</formula>
    </cfRule>
  </conditionalFormatting>
  <conditionalFormatting sqref="I13:N13 AL13 R13:AB13 AH13:AI13">
    <cfRule type="expression" dxfId="7233" priority="9898">
      <formula>WEEKDAY(I$8)=1</formula>
    </cfRule>
  </conditionalFormatting>
  <conditionalFormatting sqref="I13:N13 AL13">
    <cfRule type="containsText" dxfId="7232" priority="9892" operator="containsText" text="N">
      <formula>NOT(ISERROR(SEARCH(("N"),(I13))))</formula>
    </cfRule>
    <cfRule type="containsText" dxfId="7231" priority="9877" operator="containsText" text="L">
      <formula>NOT(ISERROR(SEARCH(("L"),(I13))))</formula>
    </cfRule>
  </conditionalFormatting>
  <conditionalFormatting sqref="I13:N13">
    <cfRule type="containsText" dxfId="7230" priority="9855" operator="containsText" text="P">
      <formula>NOT(ISERROR(SEARCH(("P"),(I13))))</formula>
    </cfRule>
    <cfRule type="containsText" dxfId="7229" priority="9856" operator="containsText" text="K">
      <formula>NOT(ISERROR(SEARCH(("K"),(I13))))</formula>
    </cfRule>
    <cfRule type="containsText" dxfId="7228" priority="9897" operator="containsText" text="X">
      <formula>NOT(ISERROR(SEARCH(("X"),(I13))))</formula>
    </cfRule>
    <cfRule type="containsText" dxfId="7227" priority="9857" operator="containsText" text="X">
      <formula>NOT(ISERROR(SEARCH(("X"),(I13))))</formula>
    </cfRule>
    <cfRule type="containsText" dxfId="7226" priority="9893" operator="containsText" text="O">
      <formula>NOT(ISERROR(SEARCH(("O"),(I13))))</formula>
    </cfRule>
    <cfRule type="containsText" dxfId="7225" priority="9894" operator="containsText" text="C">
      <formula>NOT(ISERROR(SEARCH(("C"),(I13))))</formula>
    </cfRule>
    <cfRule type="containsText" dxfId="7224" priority="9895" operator="containsText" text="P">
      <formula>NOT(ISERROR(SEARCH(("P"),(I13))))</formula>
    </cfRule>
    <cfRule type="containsText" dxfId="7223" priority="9896" operator="containsText" text="K">
      <formula>NOT(ISERROR(SEARCH(("K"),(I13))))</formula>
    </cfRule>
    <cfRule type="containsText" dxfId="7222" priority="9899" operator="containsText" text="L">
      <formula>NOT(ISERROR(SEARCH(("L"),(I13))))</formula>
    </cfRule>
    <cfRule type="containsText" dxfId="7221" priority="9853" operator="containsText" text="O">
      <formula>NOT(ISERROR(SEARCH(("O"),(I13))))</formula>
    </cfRule>
    <cfRule type="containsText" dxfId="7220" priority="9854" operator="containsText" text="C">
      <formula>NOT(ISERROR(SEARCH(("C"),(I13))))</formula>
    </cfRule>
  </conditionalFormatting>
  <conditionalFormatting sqref="I11:O11">
    <cfRule type="containsText" dxfId="7219" priority="10873" operator="containsText" text="N">
      <formula>NOT(ISERROR(SEARCH(("N"),(I11))))</formula>
    </cfRule>
  </conditionalFormatting>
  <conditionalFormatting sqref="I12:O12 N13">
    <cfRule type="containsText" dxfId="7218" priority="6104" operator="containsText" text="L">
      <formula>NOT(ISERROR(SEARCH(("L"),(I12))))</formula>
    </cfRule>
  </conditionalFormatting>
  <conditionalFormatting sqref="I12:O12">
    <cfRule type="containsText" dxfId="7217" priority="5975" operator="containsText" text="N">
      <formula>NOT(ISERROR(SEARCH(("N"),(I12))))</formula>
    </cfRule>
    <cfRule type="containsText" dxfId="7216" priority="6103" operator="containsText" text="X">
      <formula>NOT(ISERROR(SEARCH(("X"),(I12))))</formula>
    </cfRule>
    <cfRule type="containsText" dxfId="7215" priority="6102" operator="containsText" text="K">
      <formula>NOT(ISERROR(SEARCH(("K"),(I12))))</formula>
    </cfRule>
    <cfRule type="containsText" dxfId="7214" priority="6101" operator="containsText" text="P">
      <formula>NOT(ISERROR(SEARCH(("P"),(I12))))</formula>
    </cfRule>
    <cfRule type="containsText" dxfId="7213" priority="6100" operator="containsText" text="C">
      <formula>NOT(ISERROR(SEARCH(("C"),(I12))))</formula>
    </cfRule>
  </conditionalFormatting>
  <conditionalFormatting sqref="I14:O14">
    <cfRule type="containsText" dxfId="7212" priority="7586" operator="containsText" text="N">
      <formula>NOT(ISERROR(SEARCH(("N"),(I14))))</formula>
    </cfRule>
  </conditionalFormatting>
  <conditionalFormatting sqref="I15:O15">
    <cfRule type="containsText" dxfId="7211" priority="7390" operator="containsText" text="N">
      <formula>NOT(ISERROR(SEARCH(("N"),(I15))))</formula>
    </cfRule>
  </conditionalFormatting>
  <conditionalFormatting sqref="I16:O16">
    <cfRule type="containsText" dxfId="7210" priority="7059" operator="containsText" text="N">
      <formula>NOT(ISERROR(SEARCH(("N"),(I16))))</formula>
    </cfRule>
  </conditionalFormatting>
  <conditionalFormatting sqref="I17:O17">
    <cfRule type="containsText" dxfId="7209" priority="7207" operator="containsText" text="N">
      <formula>NOT(ISERROR(SEARCH(("N"),(I17))))</formula>
    </cfRule>
  </conditionalFormatting>
  <conditionalFormatting sqref="I18:O18">
    <cfRule type="containsText" dxfId="7208" priority="7782" operator="containsText" text="N">
      <formula>NOT(ISERROR(SEARCH(("N"),(I18))))</formula>
    </cfRule>
    <cfRule type="containsText" dxfId="7207" priority="3430" operator="containsText" text="N">
      <formula>NOT(ISERROR(SEARCH(("N"),(I18))))</formula>
    </cfRule>
  </conditionalFormatting>
  <conditionalFormatting sqref="I19:O19">
    <cfRule type="containsText" dxfId="7206" priority="2981" operator="containsText" text="N">
      <formula>NOT(ISERROR(SEARCH(("N"),(I19))))</formula>
    </cfRule>
    <cfRule type="containsText" dxfId="7205" priority="5806" operator="containsText" text="N">
      <formula>NOT(ISERROR(SEARCH(("N"),(I19))))</formula>
    </cfRule>
  </conditionalFormatting>
  <conditionalFormatting sqref="I12:Q12">
    <cfRule type="containsText" dxfId="7204" priority="6033" operator="containsText" text="N">
      <formula>NOT(ISERROR(SEARCH(("N"),(I12))))</formula>
    </cfRule>
  </conditionalFormatting>
  <conditionalFormatting sqref="I12:AJ12">
    <cfRule type="containsText" dxfId="7203" priority="5976" operator="containsText" text="L">
      <formula>NOT(ISERROR(SEARCH(("L"),(I12))))</formula>
    </cfRule>
    <cfRule type="containsText" dxfId="7202" priority="6031" operator="containsText" text="L">
      <formula>NOT(ISERROR(SEARCH(("L"),(I12))))</formula>
    </cfRule>
  </conditionalFormatting>
  <conditionalFormatting sqref="I16:AJ16">
    <cfRule type="containsText" dxfId="7201" priority="7060" operator="containsText" text="L">
      <formula>NOT(ISERROR(SEARCH(("L"),(I16))))</formula>
    </cfRule>
  </conditionalFormatting>
  <conditionalFormatting sqref="I17:AJ17">
    <cfRule type="containsText" dxfId="7200" priority="7208" operator="containsText" text="L">
      <formula>NOT(ISERROR(SEARCH(("L"),(I17))))</formula>
    </cfRule>
  </conditionalFormatting>
  <conditionalFormatting sqref="I18:AJ18">
    <cfRule type="containsText" dxfId="7199" priority="7783" operator="containsText" text="L">
      <formula>NOT(ISERROR(SEARCH(("L"),(I18))))</formula>
    </cfRule>
  </conditionalFormatting>
  <conditionalFormatting sqref="I19:AJ19">
    <cfRule type="containsText" dxfId="7198" priority="5807" operator="containsText" text="L">
      <formula>NOT(ISERROR(SEARCH(("L"),(I19))))</formula>
    </cfRule>
  </conditionalFormatting>
  <conditionalFormatting sqref="I14:AK14">
    <cfRule type="containsText" dxfId="7197" priority="7587" operator="containsText" text="L">
      <formula>NOT(ISERROR(SEARCH(("L"),(I14))))</formula>
    </cfRule>
  </conditionalFormatting>
  <conditionalFormatting sqref="I15:AK15">
    <cfRule type="containsText" dxfId="7196" priority="7391" operator="containsText" text="L">
      <formula>NOT(ISERROR(SEARCH(("L"),(I15))))</formula>
    </cfRule>
  </conditionalFormatting>
  <conditionalFormatting sqref="I18:AK18">
    <cfRule type="containsText" dxfId="7195" priority="3431" operator="containsText" text="L">
      <formula>NOT(ISERROR(SEARCH(("L"),(I18))))</formula>
    </cfRule>
  </conditionalFormatting>
  <conditionalFormatting sqref="I19:AK19">
    <cfRule type="containsText" dxfId="7194" priority="2982" operator="containsText" text="L">
      <formula>NOT(ISERROR(SEARCH(("L"),(I19))))</formula>
    </cfRule>
  </conditionalFormatting>
  <conditionalFormatting sqref="I12:AL12">
    <cfRule type="containsText" dxfId="7193" priority="7846" operator="containsText" text="N">
      <formula>NOT(ISERROR(SEARCH(("N"),(I12))))</formula>
    </cfRule>
    <cfRule type="containsText" dxfId="7192" priority="9390" operator="containsText" text="N">
      <formula>NOT(ISERROR(SEARCH(("N"),(I12))))</formula>
    </cfRule>
  </conditionalFormatting>
  <conditionalFormatting sqref="I14:AL26 I12:AL12 H11:AL11 I13:K13">
    <cfRule type="containsText" dxfId="7191" priority="7522" operator="containsText" text="L">
      <formula>NOT(ISERROR(SEARCH(("L"),(H11))))</formula>
    </cfRule>
  </conditionalFormatting>
  <conditionalFormatting sqref="J17">
    <cfRule type="containsText" dxfId="7190" priority="3959" operator="containsText" text="P">
      <formula>NOT(ISERROR(SEARCH(("P"),(J17))))</formula>
    </cfRule>
    <cfRule type="containsText" dxfId="7189" priority="3960" operator="containsText" text="K">
      <formula>NOT(ISERROR(SEARCH(("K"),(J17))))</formula>
    </cfRule>
    <cfRule type="containsText" dxfId="7188" priority="3961" operator="containsText" text="X">
      <formula>NOT(ISERROR(SEARCH(("X"),(J17))))</formula>
    </cfRule>
    <cfRule type="containsText" dxfId="7187" priority="3962" operator="containsText" text="L">
      <formula>NOT(ISERROR(SEARCH(("L"),(J17))))</formula>
    </cfRule>
    <cfRule type="containsText" dxfId="7186" priority="3963" operator="containsText" text="N">
      <formula>NOT(ISERROR(SEARCH(("N"),(J17))))</formula>
    </cfRule>
    <cfRule type="containsText" dxfId="7185" priority="3974" operator="containsText" text="K">
      <formula>NOT(ISERROR(SEARCH(("K"),(J17))))</formula>
    </cfRule>
    <cfRule type="containsText" dxfId="7184" priority="4012" operator="containsText" text="C">
      <formula>NOT(ISERROR(SEARCH(("C"),(J17))))</formula>
    </cfRule>
    <cfRule type="containsText" dxfId="7183" priority="4013" operator="containsText" text="P">
      <formula>NOT(ISERROR(SEARCH(("P"),(J17))))</formula>
    </cfRule>
    <cfRule type="containsText" dxfId="7182" priority="4014" operator="containsText" text="K">
      <formula>NOT(ISERROR(SEARCH(("K"),(J17))))</formula>
    </cfRule>
    <cfRule type="containsText" dxfId="7181" priority="4015" operator="containsText" text="X">
      <formula>NOT(ISERROR(SEARCH(("X"),(J17))))</formula>
    </cfRule>
    <cfRule type="containsText" dxfId="7180" priority="4016" operator="containsText" text="L">
      <formula>NOT(ISERROR(SEARCH(("L"),(J17))))</formula>
    </cfRule>
    <cfRule type="containsText" dxfId="7179" priority="3949" operator="containsText" text="N">
      <formula>NOT(ISERROR(SEARCH(("N"),(J17))))</formula>
    </cfRule>
    <cfRule type="containsText" dxfId="7178" priority="3944" operator="containsText" text="C">
      <formula>NOT(ISERROR(SEARCH(("C"),(J17))))</formula>
    </cfRule>
    <cfRule type="containsText" dxfId="7177" priority="3943" operator="containsText" text="O">
      <formula>NOT(ISERROR(SEARCH(("O"),(J17))))</formula>
    </cfRule>
    <cfRule type="containsText" dxfId="7176" priority="3940" operator="containsText" text="N">
      <formula>NOT(ISERROR(SEARCH(("N"),(J17))))</formula>
    </cfRule>
    <cfRule type="containsText" dxfId="7175" priority="3950" operator="containsText" text="O">
      <formula>NOT(ISERROR(SEARCH(("O"),(J17))))</formula>
    </cfRule>
    <cfRule type="containsText" dxfId="7174" priority="3946" operator="containsText" text="K">
      <formula>NOT(ISERROR(SEARCH(("K"),(J17))))</formula>
    </cfRule>
    <cfRule type="containsText" dxfId="7173" priority="3945" operator="containsText" text="P">
      <formula>NOT(ISERROR(SEARCH(("P"),(J17))))</formula>
    </cfRule>
    <cfRule type="containsText" dxfId="7172" priority="3948" operator="containsText" text="L">
      <formula>NOT(ISERROR(SEARCH(("L"),(J17))))</formula>
    </cfRule>
    <cfRule type="containsText" dxfId="7171" priority="3952" operator="containsText" text="P">
      <formula>NOT(ISERROR(SEARCH(("P"),(J17))))</formula>
    </cfRule>
    <cfRule type="containsText" dxfId="7170" priority="3947" operator="containsText" text="X">
      <formula>NOT(ISERROR(SEARCH(("X"),(J17))))</formula>
    </cfRule>
    <cfRule type="containsText" dxfId="7169" priority="3953" operator="containsText" text="K">
      <formula>NOT(ISERROR(SEARCH(("K"),(J17))))</formula>
    </cfRule>
    <cfRule type="containsText" dxfId="7168" priority="3954" operator="containsText" text="X">
      <formula>NOT(ISERROR(SEARCH(("X"),(J17))))</formula>
    </cfRule>
    <cfRule type="containsText" dxfId="7167" priority="3955" operator="containsText" text="L">
      <formula>NOT(ISERROR(SEARCH(("L"),(J17))))</formula>
    </cfRule>
    <cfRule type="containsText" dxfId="7166" priority="3956" operator="containsText" text="N">
      <formula>NOT(ISERROR(SEARCH(("N"),(J17))))</formula>
    </cfRule>
    <cfRule type="containsText" dxfId="7165" priority="3957" operator="containsText" text="O">
      <formula>NOT(ISERROR(SEARCH(("O"),(J17))))</formula>
    </cfRule>
    <cfRule type="containsText" dxfId="7164" priority="3964" operator="containsText" text="O">
      <formula>NOT(ISERROR(SEARCH(("O"),(J17))))</formula>
    </cfRule>
    <cfRule type="containsText" dxfId="7163" priority="3965" operator="containsText" text="C">
      <formula>NOT(ISERROR(SEARCH(("C"),(J17))))</formula>
    </cfRule>
    <cfRule type="containsText" dxfId="7162" priority="3966" operator="containsText" text="P">
      <formula>NOT(ISERROR(SEARCH(("P"),(J17))))</formula>
    </cfRule>
    <cfRule type="containsText" dxfId="7161" priority="3967" operator="containsText" text="K">
      <formula>NOT(ISERROR(SEARCH(("K"),(J17))))</formula>
    </cfRule>
    <cfRule type="containsText" dxfId="7160" priority="3968" operator="containsText" text="X">
      <formula>NOT(ISERROR(SEARCH(("X"),(J17))))</formula>
    </cfRule>
    <cfRule type="containsText" dxfId="7159" priority="3969" operator="containsText" text="L">
      <formula>NOT(ISERROR(SEARCH(("L"),(J17))))</formula>
    </cfRule>
    <cfRule type="containsText" dxfId="7158" priority="3970" operator="containsText" text="N">
      <formula>NOT(ISERROR(SEARCH(("N"),(J17))))</formula>
    </cfRule>
    <cfRule type="containsText" dxfId="7157" priority="3971" operator="containsText" text="O">
      <formula>NOT(ISERROR(SEARCH(("O"),(J17))))</formula>
    </cfRule>
    <cfRule type="containsText" dxfId="7156" priority="3972" operator="containsText" text="C">
      <formula>NOT(ISERROR(SEARCH(("C"),(J17))))</formula>
    </cfRule>
    <cfRule type="containsText" dxfId="7155" priority="3973" operator="containsText" text="P">
      <formula>NOT(ISERROR(SEARCH(("P"),(J17))))</formula>
    </cfRule>
    <cfRule type="containsText" dxfId="7154" priority="3951" operator="containsText" text="C">
      <formula>NOT(ISERROR(SEARCH(("C"),(J17))))</formula>
    </cfRule>
    <cfRule type="containsText" dxfId="7153" priority="3975" operator="containsText" text="X">
      <formula>NOT(ISERROR(SEARCH(("X"),(J17))))</formula>
    </cfRule>
    <cfRule type="containsText" dxfId="7152" priority="3976" operator="containsText" text="L">
      <formula>NOT(ISERROR(SEARCH(("L"),(J17))))</formula>
    </cfRule>
    <cfRule type="containsText" dxfId="7151" priority="3977" operator="containsText" text="N">
      <formula>NOT(ISERROR(SEARCH(("N"),(J17))))</formula>
    </cfRule>
    <cfRule type="containsText" dxfId="7150" priority="3978" operator="containsText" text="L">
      <formula>NOT(ISERROR(SEARCH(("L"),(J17))))</formula>
    </cfRule>
    <cfRule type="containsText" dxfId="7149" priority="3980" operator="containsText" text="O">
      <formula>NOT(ISERROR(SEARCH(("O"),(J17))))</formula>
    </cfRule>
    <cfRule type="containsText" dxfId="7148" priority="3981" operator="containsText" text="C">
      <formula>NOT(ISERROR(SEARCH(("C"),(J17))))</formula>
    </cfRule>
    <cfRule type="containsText" dxfId="7147" priority="3982" operator="containsText" text="P">
      <formula>NOT(ISERROR(SEARCH(("P"),(J17))))</formula>
    </cfRule>
    <cfRule type="containsText" dxfId="7146" priority="3983" operator="containsText" text="K">
      <formula>NOT(ISERROR(SEARCH(("K"),(J17))))</formula>
    </cfRule>
    <cfRule type="containsText" dxfId="7145" priority="3984" operator="containsText" text="X">
      <formula>NOT(ISERROR(SEARCH(("X"),(J17))))</formula>
    </cfRule>
    <cfRule type="containsText" dxfId="7144" priority="3985" operator="containsText" text="L">
      <formula>NOT(ISERROR(SEARCH(("L"),(J17))))</formula>
    </cfRule>
    <cfRule type="containsText" dxfId="7143" priority="3986" operator="containsText" text="N">
      <formula>NOT(ISERROR(SEARCH(("N"),(J17))))</formula>
    </cfRule>
    <cfRule type="containsText" dxfId="7142" priority="3987" operator="containsText" text="O">
      <formula>NOT(ISERROR(SEARCH(("O"),(J17))))</formula>
    </cfRule>
    <cfRule type="containsText" dxfId="7141" priority="3988" operator="containsText" text="C">
      <formula>NOT(ISERROR(SEARCH(("C"),(J17))))</formula>
    </cfRule>
    <cfRule type="containsText" dxfId="7140" priority="3989" operator="containsText" text="P">
      <formula>NOT(ISERROR(SEARCH(("P"),(J17))))</formula>
    </cfRule>
    <cfRule type="containsText" dxfId="7139" priority="3990" operator="containsText" text="K">
      <formula>NOT(ISERROR(SEARCH(("K"),(J17))))</formula>
    </cfRule>
    <cfRule type="containsText" dxfId="7138" priority="3991" operator="containsText" text="X">
      <formula>NOT(ISERROR(SEARCH(("X"),(J17))))</formula>
    </cfRule>
    <cfRule type="containsText" dxfId="7137" priority="3992" operator="containsText" text="L">
      <formula>NOT(ISERROR(SEARCH(("L"),(J17))))</formula>
    </cfRule>
    <cfRule type="containsText" dxfId="7136" priority="3993" operator="containsText" text="N">
      <formula>NOT(ISERROR(SEARCH(("N"),(J17))))</formula>
    </cfRule>
    <cfRule type="containsText" dxfId="7135" priority="3994" operator="containsText" text="O">
      <formula>NOT(ISERROR(SEARCH(("O"),(J17))))</formula>
    </cfRule>
    <cfRule type="containsText" dxfId="7134" priority="3995" operator="containsText" text="C">
      <formula>NOT(ISERROR(SEARCH(("C"),(J17))))</formula>
    </cfRule>
    <cfRule type="containsText" dxfId="7133" priority="3996" operator="containsText" text="P">
      <formula>NOT(ISERROR(SEARCH(("P"),(J17))))</formula>
    </cfRule>
    <cfRule type="containsText" dxfId="7132" priority="3997" operator="containsText" text="K">
      <formula>NOT(ISERROR(SEARCH(("K"),(J17))))</formula>
    </cfRule>
    <cfRule type="containsText" dxfId="7131" priority="3998" operator="containsText" text="X">
      <formula>NOT(ISERROR(SEARCH(("X"),(J17))))</formula>
    </cfRule>
    <cfRule type="containsText" dxfId="7130" priority="3999" operator="containsText" text="L">
      <formula>NOT(ISERROR(SEARCH(("L"),(J17))))</formula>
    </cfRule>
    <cfRule type="containsText" dxfId="7129" priority="4000" operator="containsText" text="N">
      <formula>NOT(ISERROR(SEARCH(("N"),(J17))))</formula>
    </cfRule>
    <cfRule type="containsText" dxfId="7128" priority="4001" operator="containsText" text="O">
      <formula>NOT(ISERROR(SEARCH(("O"),(J17))))</formula>
    </cfRule>
    <cfRule type="containsText" dxfId="7127" priority="4002" operator="containsText" text="C">
      <formula>NOT(ISERROR(SEARCH(("C"),(J17))))</formula>
    </cfRule>
    <cfRule type="containsText" dxfId="7126" priority="4003" operator="containsText" text="P">
      <formula>NOT(ISERROR(SEARCH(("P"),(J17))))</formula>
    </cfRule>
    <cfRule type="containsText" dxfId="7125" priority="4004" operator="containsText" text="K">
      <formula>NOT(ISERROR(SEARCH(("K"),(J17))))</formula>
    </cfRule>
    <cfRule type="containsText" dxfId="7124" priority="4005" operator="containsText" text="X">
      <formula>NOT(ISERROR(SEARCH(("X"),(J17))))</formula>
    </cfRule>
    <cfRule type="containsText" dxfId="7123" priority="4006" operator="containsText" text="L">
      <formula>NOT(ISERROR(SEARCH(("L"),(J17))))</formula>
    </cfRule>
    <cfRule type="containsText" dxfId="7122" priority="4007" operator="containsText" text="N">
      <formula>NOT(ISERROR(SEARCH(("N"),(J17))))</formula>
    </cfRule>
    <cfRule type="containsText" dxfId="7121" priority="4008" operator="containsText" text="L">
      <formula>NOT(ISERROR(SEARCH(("L"),(J17))))</formula>
    </cfRule>
    <cfRule type="containsText" dxfId="7120" priority="4009" operator="containsText" text="N">
      <formula>NOT(ISERROR(SEARCH(("N"),(J17))))</formula>
    </cfRule>
    <cfRule type="containsText" dxfId="7119" priority="4010" operator="containsText" text="L">
      <formula>NOT(ISERROR(SEARCH(("L"),(J17))))</formula>
    </cfRule>
    <cfRule type="containsText" dxfId="7118" priority="4011" operator="containsText" text="O">
      <formula>NOT(ISERROR(SEARCH(("O"),(J17))))</formula>
    </cfRule>
    <cfRule type="containsText" dxfId="7117" priority="3958" operator="containsText" text="C">
      <formula>NOT(ISERROR(SEARCH(("C"),(J17))))</formula>
    </cfRule>
  </conditionalFormatting>
  <conditionalFormatting sqref="J22:J26 I25:L25">
    <cfRule type="containsText" dxfId="7116" priority="8102" operator="containsText" text="C">
      <formula>NOT(ISERROR(SEARCH(("C"),(I22))))</formula>
    </cfRule>
    <cfRule type="containsText" dxfId="7115" priority="8101" operator="containsText" text="O">
      <formula>NOT(ISERROR(SEARCH(("O"),(I22))))</formula>
    </cfRule>
    <cfRule type="containsText" dxfId="7114" priority="8100" operator="containsText" text="L">
      <formula>NOT(ISERROR(SEARCH(("L"),(I22))))</formula>
    </cfRule>
    <cfRule type="containsText" dxfId="7113" priority="8099" operator="containsText" text="N">
      <formula>NOT(ISERROR(SEARCH(("N"),(I22))))</formula>
    </cfRule>
    <cfRule type="containsText" dxfId="7112" priority="8103" operator="containsText" text="P">
      <formula>NOT(ISERROR(SEARCH(("P"),(I22))))</formula>
    </cfRule>
    <cfRule type="containsText" dxfId="7111" priority="8104" operator="containsText" text="K">
      <formula>NOT(ISERROR(SEARCH(("K"),(I22))))</formula>
    </cfRule>
    <cfRule type="containsText" dxfId="7110" priority="8105" operator="containsText" text="X">
      <formula>NOT(ISERROR(SEARCH(("X"),(I22))))</formula>
    </cfRule>
  </conditionalFormatting>
  <conditionalFormatting sqref="J23:L23">
    <cfRule type="containsText" dxfId="7109" priority="1307" operator="containsText" text="L">
      <formula>NOT(ISERROR(SEARCH(("L"),(J23))))</formula>
    </cfRule>
    <cfRule type="containsText" dxfId="7108" priority="1308" operator="containsText" text="N">
      <formula>NOT(ISERROR(SEARCH(("N"),(J23))))</formula>
    </cfRule>
    <cfRule type="containsText" dxfId="7107" priority="1309" operator="containsText" text="L">
      <formula>NOT(ISERROR(SEARCH(("L"),(J23))))</formula>
    </cfRule>
    <cfRule type="containsText" dxfId="7106" priority="1310" operator="containsText" text="N">
      <formula>NOT(ISERROR(SEARCH(("N"),(J23))))</formula>
    </cfRule>
    <cfRule type="containsText" dxfId="7105" priority="1311" operator="containsText" text="L">
      <formula>NOT(ISERROR(SEARCH(("L"),(J23))))</formula>
    </cfRule>
    <cfRule type="containsText" dxfId="7104" priority="1312" operator="containsText" text="O">
      <formula>NOT(ISERROR(SEARCH(("O"),(J23))))</formula>
    </cfRule>
    <cfRule type="containsText" dxfId="7103" priority="1313" operator="containsText" text="C">
      <formula>NOT(ISERROR(SEARCH(("C"),(J23))))</formula>
    </cfRule>
    <cfRule type="containsText" dxfId="7102" priority="1314" operator="containsText" text="P">
      <formula>NOT(ISERROR(SEARCH(("P"),(J23))))</formula>
    </cfRule>
    <cfRule type="containsText" dxfId="7101" priority="1315" operator="containsText" text="K">
      <formula>NOT(ISERROR(SEARCH(("K"),(J23))))</formula>
    </cfRule>
    <cfRule type="containsText" dxfId="7100" priority="1316" operator="containsText" text="X">
      <formula>NOT(ISERROR(SEARCH(("X"),(J23))))</formula>
    </cfRule>
    <cfRule type="containsText" dxfId="7099" priority="1317" operator="containsText" text="L">
      <formula>NOT(ISERROR(SEARCH(("L"),(J23))))</formula>
    </cfRule>
    <cfRule type="containsText" dxfId="7098" priority="1318" operator="containsText" text="N">
      <formula>NOT(ISERROR(SEARCH(("N"),(J23))))</formula>
    </cfRule>
    <cfRule type="containsText" dxfId="7097" priority="1319" operator="containsText" text="O">
      <formula>NOT(ISERROR(SEARCH(("O"),(J23))))</formula>
    </cfRule>
    <cfRule type="containsText" dxfId="7096" priority="1320" operator="containsText" text="C">
      <formula>NOT(ISERROR(SEARCH(("C"),(J23))))</formula>
    </cfRule>
    <cfRule type="containsText" dxfId="7095" priority="1321" operator="containsText" text="P">
      <formula>NOT(ISERROR(SEARCH(("P"),(J23))))</formula>
    </cfRule>
    <cfRule type="containsText" dxfId="7094" priority="1322" operator="containsText" text="K">
      <formula>NOT(ISERROR(SEARCH(("K"),(J23))))</formula>
    </cfRule>
    <cfRule type="containsText" dxfId="7093" priority="1323" operator="containsText" text="X">
      <formula>NOT(ISERROR(SEARCH(("X"),(J23))))</formula>
    </cfRule>
    <cfRule type="containsText" dxfId="7092" priority="1324" operator="containsText" text="L">
      <formula>NOT(ISERROR(SEARCH(("L"),(J23))))</formula>
    </cfRule>
    <cfRule type="containsText" dxfId="7091" priority="1294" operator="containsText" text="N">
      <formula>NOT(ISERROR(SEARCH(("N"),(J23))))</formula>
    </cfRule>
    <cfRule type="containsText" dxfId="7090" priority="1233" operator="containsText" text="N">
      <formula>NOT(ISERROR(SEARCH(("N"),(J23))))</formula>
    </cfRule>
    <cfRule type="containsText" dxfId="7089" priority="1234" operator="containsText" text="N">
      <formula>NOT(ISERROR(SEARCH(("N"),(J23))))</formula>
    </cfRule>
    <cfRule type="containsText" dxfId="7088" priority="1235" operator="containsText" text="N">
      <formula>NOT(ISERROR(SEARCH(("N"),(J23))))</formula>
    </cfRule>
    <cfRule type="containsText" dxfId="7087" priority="1236" operator="containsText" text="O">
      <formula>NOT(ISERROR(SEARCH(("O"),(J23))))</formula>
    </cfRule>
    <cfRule type="containsText" dxfId="7086" priority="1237" operator="containsText" text="C">
      <formula>NOT(ISERROR(SEARCH(("C"),(J23))))</formula>
    </cfRule>
    <cfRule type="containsText" dxfId="7085" priority="1238" operator="containsText" text="P">
      <formula>NOT(ISERROR(SEARCH(("P"),(J23))))</formula>
    </cfRule>
    <cfRule type="containsText" dxfId="7084" priority="1239" operator="containsText" text="K">
      <formula>NOT(ISERROR(SEARCH(("K"),(J23))))</formula>
    </cfRule>
    <cfRule type="containsText" dxfId="7083" priority="1240" operator="containsText" text="X">
      <formula>NOT(ISERROR(SEARCH(("X"),(J23))))</formula>
    </cfRule>
    <cfRule type="containsText" dxfId="7082" priority="1241" operator="containsText" text="L">
      <formula>NOT(ISERROR(SEARCH(("L"),(J23))))</formula>
    </cfRule>
    <cfRule type="containsText" dxfId="7081" priority="1242" operator="containsText" text="N">
      <formula>NOT(ISERROR(SEARCH(("N"),(J23))))</formula>
    </cfRule>
    <cfRule type="containsText" dxfId="7080" priority="1243" operator="containsText" text="O">
      <formula>NOT(ISERROR(SEARCH(("O"),(J23))))</formula>
    </cfRule>
    <cfRule type="containsText" dxfId="7079" priority="1244" operator="containsText" text="C">
      <formula>NOT(ISERROR(SEARCH(("C"),(J23))))</formula>
    </cfRule>
    <cfRule type="containsText" dxfId="7078" priority="1245" operator="containsText" text="P">
      <formula>NOT(ISERROR(SEARCH(("P"),(J23))))</formula>
    </cfRule>
    <cfRule type="containsText" dxfId="7077" priority="1246" operator="containsText" text="K">
      <formula>NOT(ISERROR(SEARCH(("K"),(J23))))</formula>
    </cfRule>
    <cfRule type="containsText" dxfId="7076" priority="1247" operator="containsText" text="X">
      <formula>NOT(ISERROR(SEARCH(("X"),(J23))))</formula>
    </cfRule>
    <cfRule type="containsText" dxfId="7075" priority="1248" operator="containsText" text="L">
      <formula>NOT(ISERROR(SEARCH(("L"),(J23))))</formula>
    </cfRule>
    <cfRule type="containsText" dxfId="7074" priority="1249" operator="containsText" text="N">
      <formula>NOT(ISERROR(SEARCH(("N"),(J23))))</formula>
    </cfRule>
    <cfRule type="containsText" dxfId="7073" priority="1250" operator="containsText" text="O">
      <formula>NOT(ISERROR(SEARCH(("O"),(J23))))</formula>
    </cfRule>
    <cfRule type="containsText" dxfId="7072" priority="1251" operator="containsText" text="C">
      <formula>NOT(ISERROR(SEARCH(("C"),(J23))))</formula>
    </cfRule>
    <cfRule type="containsText" dxfId="7071" priority="1252" operator="containsText" text="P">
      <formula>NOT(ISERROR(SEARCH(("P"),(J23))))</formula>
    </cfRule>
    <cfRule type="containsText" dxfId="7070" priority="1253" operator="containsText" text="K">
      <formula>NOT(ISERROR(SEARCH(("K"),(J23))))</formula>
    </cfRule>
    <cfRule type="containsText" dxfId="7069" priority="1254" operator="containsText" text="X">
      <formula>NOT(ISERROR(SEARCH(("X"),(J23))))</formula>
    </cfRule>
    <cfRule type="containsText" dxfId="7068" priority="1255" operator="containsText" text="L">
      <formula>NOT(ISERROR(SEARCH(("L"),(J23))))</formula>
    </cfRule>
    <cfRule type="containsText" dxfId="7067" priority="1256" operator="containsText" text="N">
      <formula>NOT(ISERROR(SEARCH(("N"),(J23))))</formula>
    </cfRule>
    <cfRule type="containsText" dxfId="7066" priority="1257" operator="containsText" text="O">
      <formula>NOT(ISERROR(SEARCH(("O"),(J23))))</formula>
    </cfRule>
    <cfRule type="containsText" dxfId="7065" priority="1258" operator="containsText" text="C">
      <formula>NOT(ISERROR(SEARCH(("C"),(J23))))</formula>
    </cfRule>
    <cfRule type="containsText" dxfId="7064" priority="1259" operator="containsText" text="P">
      <formula>NOT(ISERROR(SEARCH(("P"),(J23))))</formula>
    </cfRule>
    <cfRule type="containsText" dxfId="7063" priority="1260" operator="containsText" text="K">
      <formula>NOT(ISERROR(SEARCH(("K"),(J23))))</formula>
    </cfRule>
    <cfRule type="containsText" dxfId="7062" priority="1261" operator="containsText" text="X">
      <formula>NOT(ISERROR(SEARCH(("X"),(J23))))</formula>
    </cfRule>
    <cfRule type="containsText" dxfId="7061" priority="1262" operator="containsText" text="L">
      <formula>NOT(ISERROR(SEARCH(("L"),(J23))))</formula>
    </cfRule>
    <cfRule type="containsText" dxfId="7060" priority="1263" operator="containsText" text="N">
      <formula>NOT(ISERROR(SEARCH(("N"),(J23))))</formula>
    </cfRule>
    <cfRule type="containsText" dxfId="7059" priority="1264" operator="containsText" text="O">
      <formula>NOT(ISERROR(SEARCH(("O"),(J23))))</formula>
    </cfRule>
    <cfRule type="containsText" dxfId="7058" priority="1265" operator="containsText" text="C">
      <formula>NOT(ISERROR(SEARCH(("C"),(J23))))</formula>
    </cfRule>
    <cfRule type="containsText" dxfId="7057" priority="1266" operator="containsText" text="P">
      <formula>NOT(ISERROR(SEARCH(("P"),(J23))))</formula>
    </cfRule>
    <cfRule type="containsText" dxfId="7056" priority="1267" operator="containsText" text="K">
      <formula>NOT(ISERROR(SEARCH(("K"),(J23))))</formula>
    </cfRule>
    <cfRule type="containsText" dxfId="7055" priority="1268" operator="containsText" text="X">
      <formula>NOT(ISERROR(SEARCH(("X"),(J23))))</formula>
    </cfRule>
    <cfRule type="containsText" dxfId="7054" priority="1269" operator="containsText" text="L">
      <formula>NOT(ISERROR(SEARCH(("L"),(J23))))</formula>
    </cfRule>
    <cfRule type="containsText" dxfId="7053" priority="1270" operator="containsText" text="N">
      <formula>NOT(ISERROR(SEARCH(("N"),(J23))))</formula>
    </cfRule>
    <cfRule type="containsText" dxfId="7052" priority="1271" operator="containsText" text="L">
      <formula>NOT(ISERROR(SEARCH(("L"),(J23))))</formula>
    </cfRule>
    <cfRule type="containsText" dxfId="7051" priority="1272" operator="containsText" text="N">
      <formula>NOT(ISERROR(SEARCH(("N"),(J23))))</formula>
    </cfRule>
    <cfRule type="containsText" dxfId="7050" priority="1273" operator="containsText" text="L">
      <formula>NOT(ISERROR(SEARCH(("L"),(J23))))</formula>
    </cfRule>
    <cfRule type="containsText" dxfId="7049" priority="1274" operator="containsText" text="O">
      <formula>NOT(ISERROR(SEARCH(("O"),(J23))))</formula>
    </cfRule>
    <cfRule type="containsText" dxfId="7048" priority="1275" operator="containsText" text="C">
      <formula>NOT(ISERROR(SEARCH(("C"),(J23))))</formula>
    </cfRule>
    <cfRule type="containsText" dxfId="7047" priority="1276" operator="containsText" text="P">
      <formula>NOT(ISERROR(SEARCH(("P"),(J23))))</formula>
    </cfRule>
    <cfRule type="containsText" dxfId="7046" priority="1277" operator="containsText" text="K">
      <formula>NOT(ISERROR(SEARCH(("K"),(J23))))</formula>
    </cfRule>
    <cfRule type="containsText" dxfId="7045" priority="1278" operator="containsText" text="X">
      <formula>NOT(ISERROR(SEARCH(("X"),(J23))))</formula>
    </cfRule>
    <cfRule type="containsText" dxfId="7044" priority="1279" operator="containsText" text="L">
      <formula>NOT(ISERROR(SEARCH(("L"),(J23))))</formula>
    </cfRule>
    <cfRule type="containsText" dxfId="7043" priority="1280" operator="containsText" text="N">
      <formula>NOT(ISERROR(SEARCH(("N"),(J23))))</formula>
    </cfRule>
    <cfRule type="containsText" dxfId="7042" priority="1281" operator="containsText" text="O">
      <formula>NOT(ISERROR(SEARCH(("O"),(J23))))</formula>
    </cfRule>
    <cfRule type="containsText" dxfId="7041" priority="1282" operator="containsText" text="C">
      <formula>NOT(ISERROR(SEARCH(("C"),(J23))))</formula>
    </cfRule>
    <cfRule type="containsText" dxfId="7040" priority="1283" operator="containsText" text="P">
      <formula>NOT(ISERROR(SEARCH(("P"),(J23))))</formula>
    </cfRule>
    <cfRule type="containsText" dxfId="7039" priority="1284" operator="containsText" text="K">
      <formula>NOT(ISERROR(SEARCH(("K"),(J23))))</formula>
    </cfRule>
    <cfRule type="containsText" dxfId="7038" priority="1285" operator="containsText" text="X">
      <formula>NOT(ISERROR(SEARCH(("X"),(J23))))</formula>
    </cfRule>
    <cfRule type="containsText" dxfId="7037" priority="1286" operator="containsText" text="L">
      <formula>NOT(ISERROR(SEARCH(("L"),(J23))))</formula>
    </cfRule>
    <cfRule type="containsText" dxfId="7036" priority="1287" operator="containsText" text="N">
      <formula>NOT(ISERROR(SEARCH(("N"),(J23))))</formula>
    </cfRule>
    <cfRule type="containsText" dxfId="7035" priority="1288" operator="containsText" text="O">
      <formula>NOT(ISERROR(SEARCH(("O"),(J23))))</formula>
    </cfRule>
    <cfRule type="containsText" dxfId="7034" priority="1289" operator="containsText" text="C">
      <formula>NOT(ISERROR(SEARCH(("C"),(J23))))</formula>
    </cfRule>
    <cfRule type="containsText" dxfId="7033" priority="1290" operator="containsText" text="P">
      <formula>NOT(ISERROR(SEARCH(("P"),(J23))))</formula>
    </cfRule>
    <cfRule type="containsText" dxfId="7032" priority="1291" operator="containsText" text="K">
      <formula>NOT(ISERROR(SEARCH(("K"),(J23))))</formula>
    </cfRule>
    <cfRule type="containsText" dxfId="7031" priority="1292" operator="containsText" text="X">
      <formula>NOT(ISERROR(SEARCH(("X"),(J23))))</formula>
    </cfRule>
    <cfRule type="containsText" dxfId="7030" priority="1293" operator="containsText" text="L">
      <formula>NOT(ISERROR(SEARCH(("L"),(J23))))</formula>
    </cfRule>
    <cfRule type="containsText" dxfId="7029" priority="1295" operator="containsText" text="O">
      <formula>NOT(ISERROR(SEARCH(("O"),(J23))))</formula>
    </cfRule>
    <cfRule type="containsText" dxfId="7028" priority="1296" operator="containsText" text="C">
      <formula>NOT(ISERROR(SEARCH(("C"),(J23))))</formula>
    </cfRule>
    <cfRule type="containsText" dxfId="7027" priority="1297" operator="containsText" text="P">
      <formula>NOT(ISERROR(SEARCH(("P"),(J23))))</formula>
    </cfRule>
    <cfRule type="containsText" dxfId="7026" priority="1298" operator="containsText" text="K">
      <formula>NOT(ISERROR(SEARCH(("K"),(J23))))</formula>
    </cfRule>
    <cfRule type="containsText" dxfId="7025" priority="1299" operator="containsText" text="X">
      <formula>NOT(ISERROR(SEARCH(("X"),(J23))))</formula>
    </cfRule>
    <cfRule type="containsText" dxfId="7024" priority="1300" operator="containsText" text="L">
      <formula>NOT(ISERROR(SEARCH(("L"),(J23))))</formula>
    </cfRule>
    <cfRule type="containsText" dxfId="7023" priority="1301" operator="containsText" text="N">
      <formula>NOT(ISERROR(SEARCH(("N"),(J23))))</formula>
    </cfRule>
    <cfRule type="containsText" dxfId="7022" priority="1302" operator="containsText" text="O">
      <formula>NOT(ISERROR(SEARCH(("O"),(J23))))</formula>
    </cfRule>
    <cfRule type="containsText" dxfId="7021" priority="1303" operator="containsText" text="C">
      <formula>NOT(ISERROR(SEARCH(("C"),(J23))))</formula>
    </cfRule>
    <cfRule type="containsText" dxfId="7020" priority="1304" operator="containsText" text="P">
      <formula>NOT(ISERROR(SEARCH(("P"),(J23))))</formula>
    </cfRule>
    <cfRule type="containsText" dxfId="7019" priority="1305" operator="containsText" text="K">
      <formula>NOT(ISERROR(SEARCH(("K"),(J23))))</formula>
    </cfRule>
    <cfRule type="containsText" dxfId="7018" priority="1306" operator="containsText" text="X">
      <formula>NOT(ISERROR(SEARCH(("X"),(J23))))</formula>
    </cfRule>
  </conditionalFormatting>
  <conditionalFormatting sqref="J24:L24">
    <cfRule type="containsText" dxfId="7017" priority="864" operator="containsText" text="C">
      <formula>NOT(ISERROR(SEARCH(("C"),(J24))))</formula>
    </cfRule>
    <cfRule type="containsText" dxfId="7016" priority="778" operator="containsText" text="N">
      <formula>NOT(ISERROR(SEARCH(("N"),(J24))))</formula>
    </cfRule>
    <cfRule type="containsText" dxfId="7015" priority="830" operator="containsText" text="L">
      <formula>NOT(ISERROR(SEARCH(("L"),(J24))))</formula>
    </cfRule>
    <cfRule type="containsText" dxfId="7014" priority="829" operator="containsText" text="X">
      <formula>NOT(ISERROR(SEARCH(("X"),(J24))))</formula>
    </cfRule>
    <cfRule type="containsText" dxfId="7013" priority="828" operator="containsText" text="K">
      <formula>NOT(ISERROR(SEARCH(("K"),(J24))))</formula>
    </cfRule>
    <cfRule type="containsText" dxfId="7012" priority="827" operator="containsText" text="P">
      <formula>NOT(ISERROR(SEARCH(("P"),(J24))))</formula>
    </cfRule>
    <cfRule type="containsText" dxfId="7011" priority="777" operator="containsText" text="N">
      <formula>NOT(ISERROR(SEARCH(("N"),(J24))))</formula>
    </cfRule>
    <cfRule type="containsText" dxfId="7010" priority="779" operator="containsText" text="N">
      <formula>NOT(ISERROR(SEARCH(("N"),(J24))))</formula>
    </cfRule>
    <cfRule type="containsText" dxfId="7009" priority="781" operator="containsText" text="C">
      <formula>NOT(ISERROR(SEARCH(("C"),(J24))))</formula>
    </cfRule>
    <cfRule type="containsText" dxfId="7008" priority="782" operator="containsText" text="P">
      <formula>NOT(ISERROR(SEARCH(("P"),(J24))))</formula>
    </cfRule>
    <cfRule type="containsText" dxfId="7007" priority="826" operator="containsText" text="C">
      <formula>NOT(ISERROR(SEARCH(("C"),(J24))))</formula>
    </cfRule>
    <cfRule type="containsText" dxfId="7006" priority="825" operator="containsText" text="O">
      <formula>NOT(ISERROR(SEARCH(("O"),(J24))))</formula>
    </cfRule>
    <cfRule type="containsText" dxfId="7005" priority="783" operator="containsText" text="K">
      <formula>NOT(ISERROR(SEARCH(("K"),(J24))))</formula>
    </cfRule>
    <cfRule type="containsText" dxfId="7004" priority="784" operator="containsText" text="X">
      <formula>NOT(ISERROR(SEARCH(("X"),(J24))))</formula>
    </cfRule>
    <cfRule type="containsText" dxfId="7003" priority="785" operator="containsText" text="L">
      <formula>NOT(ISERROR(SEARCH(("L"),(J24))))</formula>
    </cfRule>
    <cfRule type="containsText" dxfId="7002" priority="786" operator="containsText" text="N">
      <formula>NOT(ISERROR(SEARCH(("N"),(J24))))</formula>
    </cfRule>
    <cfRule type="containsText" dxfId="7001" priority="787" operator="containsText" text="O">
      <formula>NOT(ISERROR(SEARCH(("O"),(J24))))</formula>
    </cfRule>
    <cfRule type="containsText" dxfId="7000" priority="824" operator="containsText" text="N">
      <formula>NOT(ISERROR(SEARCH(("N"),(J24))))</formula>
    </cfRule>
    <cfRule type="containsText" dxfId="6999" priority="788" operator="containsText" text="C">
      <formula>NOT(ISERROR(SEARCH(("C"),(J24))))</formula>
    </cfRule>
    <cfRule type="containsText" dxfId="6998" priority="789" operator="containsText" text="P">
      <formula>NOT(ISERROR(SEARCH(("P"),(J24))))</formula>
    </cfRule>
    <cfRule type="containsText" dxfId="6997" priority="823" operator="containsText" text="L">
      <formula>NOT(ISERROR(SEARCH(("L"),(J24))))</formula>
    </cfRule>
    <cfRule type="containsText" dxfId="6996" priority="822" operator="containsText" text="X">
      <formula>NOT(ISERROR(SEARCH(("X"),(J24))))</formula>
    </cfRule>
    <cfRule type="containsText" dxfId="6995" priority="868" operator="containsText" text="L">
      <formula>NOT(ISERROR(SEARCH(("L"),(J24))))</formula>
    </cfRule>
    <cfRule type="containsText" dxfId="6994" priority="867" operator="containsText" text="X">
      <formula>NOT(ISERROR(SEARCH(("X"),(J24))))</formula>
    </cfRule>
    <cfRule type="containsText" dxfId="6993" priority="821" operator="containsText" text="K">
      <formula>NOT(ISERROR(SEARCH(("K"),(J24))))</formula>
    </cfRule>
    <cfRule type="containsText" dxfId="6992" priority="820" operator="containsText" text="P">
      <formula>NOT(ISERROR(SEARCH(("P"),(J24))))</formula>
    </cfRule>
    <cfRule type="containsText" dxfId="6991" priority="866" operator="containsText" text="K">
      <formula>NOT(ISERROR(SEARCH(("K"),(J24))))</formula>
    </cfRule>
    <cfRule type="containsText" dxfId="6990" priority="865" operator="containsText" text="P">
      <formula>NOT(ISERROR(SEARCH(("P"),(J24))))</formula>
    </cfRule>
    <cfRule type="containsText" dxfId="6989" priority="819" operator="containsText" text="C">
      <formula>NOT(ISERROR(SEARCH(("C"),(J24))))</formula>
    </cfRule>
    <cfRule type="containsText" dxfId="6988" priority="818" operator="containsText" text="O">
      <formula>NOT(ISERROR(SEARCH(("O"),(J24))))</formula>
    </cfRule>
    <cfRule type="containsText" dxfId="6987" priority="817" operator="containsText" text="L">
      <formula>NOT(ISERROR(SEARCH(("L"),(J24))))</formula>
    </cfRule>
    <cfRule type="containsText" dxfId="6986" priority="816" operator="containsText" text="N">
      <formula>NOT(ISERROR(SEARCH(("N"),(J24))))</formula>
    </cfRule>
    <cfRule type="containsText" dxfId="6985" priority="815" operator="containsText" text="L">
      <formula>NOT(ISERROR(SEARCH(("L"),(J24))))</formula>
    </cfRule>
    <cfRule type="containsText" dxfId="6984" priority="814" operator="containsText" text="N">
      <formula>NOT(ISERROR(SEARCH(("N"),(J24))))</formula>
    </cfRule>
    <cfRule type="containsText" dxfId="6983" priority="813" operator="containsText" text="L">
      <formula>NOT(ISERROR(SEARCH(("L"),(J24))))</formula>
    </cfRule>
    <cfRule type="containsText" dxfId="6982" priority="812" operator="containsText" text="X">
      <formula>NOT(ISERROR(SEARCH(("X"),(J24))))</formula>
    </cfRule>
    <cfRule type="containsText" dxfId="6981" priority="862" operator="containsText" text="N">
      <formula>NOT(ISERROR(SEARCH(("N"),(J24))))</formula>
    </cfRule>
    <cfRule type="containsText" dxfId="6980" priority="861" operator="containsText" text="L">
      <formula>NOT(ISERROR(SEARCH(("L"),(J24))))</formula>
    </cfRule>
    <cfRule type="containsText" dxfId="6979" priority="860" operator="containsText" text="X">
      <formula>NOT(ISERROR(SEARCH(("X"),(J24))))</formula>
    </cfRule>
    <cfRule type="containsText" dxfId="6978" priority="859" operator="containsText" text="K">
      <formula>NOT(ISERROR(SEARCH(("K"),(J24))))</formula>
    </cfRule>
    <cfRule type="containsText" dxfId="6977" priority="858" operator="containsText" text="P">
      <formula>NOT(ISERROR(SEARCH(("P"),(J24))))</formula>
    </cfRule>
    <cfRule type="containsText" dxfId="6976" priority="857" operator="containsText" text="C">
      <formula>NOT(ISERROR(SEARCH(("C"),(J24))))</formula>
    </cfRule>
    <cfRule type="containsText" dxfId="6975" priority="856" operator="containsText" text="O">
      <formula>NOT(ISERROR(SEARCH(("O"),(J24))))</formula>
    </cfRule>
    <cfRule type="containsText" dxfId="6974" priority="855" operator="containsText" text="L">
      <formula>NOT(ISERROR(SEARCH(("L"),(J24))))</formula>
    </cfRule>
    <cfRule type="containsText" dxfId="6973" priority="854" operator="containsText" text="N">
      <formula>NOT(ISERROR(SEARCH(("N"),(J24))))</formula>
    </cfRule>
    <cfRule type="containsText" dxfId="6972" priority="853" operator="containsText" text="L">
      <formula>NOT(ISERROR(SEARCH(("L"),(J24))))</formula>
    </cfRule>
    <cfRule type="containsText" dxfId="6971" priority="852" operator="containsText" text="N">
      <formula>NOT(ISERROR(SEARCH(("N"),(J24))))</formula>
    </cfRule>
    <cfRule type="containsText" dxfId="6970" priority="851" operator="containsText" text="L">
      <formula>NOT(ISERROR(SEARCH(("L"),(J24))))</formula>
    </cfRule>
    <cfRule type="containsText" dxfId="6969" priority="850" operator="containsText" text="X">
      <formula>NOT(ISERROR(SEARCH(("X"),(J24))))</formula>
    </cfRule>
    <cfRule type="containsText" dxfId="6968" priority="849" operator="containsText" text="K">
      <formula>NOT(ISERROR(SEARCH(("K"),(J24))))</formula>
    </cfRule>
    <cfRule type="containsText" dxfId="6967" priority="848" operator="containsText" text="P">
      <formula>NOT(ISERROR(SEARCH(("P"),(J24))))</formula>
    </cfRule>
    <cfRule type="containsText" dxfId="6966" priority="847" operator="containsText" text="C">
      <formula>NOT(ISERROR(SEARCH(("C"),(J24))))</formula>
    </cfRule>
    <cfRule type="containsText" dxfId="6965" priority="846" operator="containsText" text="O">
      <formula>NOT(ISERROR(SEARCH(("O"),(J24))))</formula>
    </cfRule>
    <cfRule type="containsText" dxfId="6964" priority="845" operator="containsText" text="N">
      <formula>NOT(ISERROR(SEARCH(("N"),(J24))))</formula>
    </cfRule>
    <cfRule type="containsText" dxfId="6963" priority="811" operator="containsText" text="K">
      <formula>NOT(ISERROR(SEARCH(("K"),(J24))))</formula>
    </cfRule>
    <cfRule type="containsText" dxfId="6962" priority="810" operator="containsText" text="P">
      <formula>NOT(ISERROR(SEARCH(("P"),(J24))))</formula>
    </cfRule>
    <cfRule type="containsText" dxfId="6961" priority="844" operator="containsText" text="L">
      <formula>NOT(ISERROR(SEARCH(("L"),(J24))))</formula>
    </cfRule>
    <cfRule type="containsText" dxfId="6960" priority="843" operator="containsText" text="X">
      <formula>NOT(ISERROR(SEARCH(("X"),(J24))))</formula>
    </cfRule>
    <cfRule type="containsText" dxfId="6959" priority="809" operator="containsText" text="C">
      <formula>NOT(ISERROR(SEARCH(("C"),(J24))))</formula>
    </cfRule>
    <cfRule type="containsText" dxfId="6958" priority="808" operator="containsText" text="O">
      <formula>NOT(ISERROR(SEARCH(("O"),(J24))))</formula>
    </cfRule>
    <cfRule type="containsText" dxfId="6957" priority="863" operator="containsText" text="O">
      <formula>NOT(ISERROR(SEARCH(("O"),(J24))))</formula>
    </cfRule>
    <cfRule type="containsText" dxfId="6956" priority="807" operator="containsText" text="N">
      <formula>NOT(ISERROR(SEARCH(("N"),(J24))))</formula>
    </cfRule>
    <cfRule type="containsText" dxfId="6955" priority="806" operator="containsText" text="L">
      <formula>NOT(ISERROR(SEARCH(("L"),(J24))))</formula>
    </cfRule>
    <cfRule type="containsText" dxfId="6954" priority="805" operator="containsText" text="X">
      <formula>NOT(ISERROR(SEARCH(("X"),(J24))))</formula>
    </cfRule>
    <cfRule type="containsText" dxfId="6953" priority="804" operator="containsText" text="K">
      <formula>NOT(ISERROR(SEARCH(("K"),(J24))))</formula>
    </cfRule>
    <cfRule type="containsText" dxfId="6952" priority="780" operator="containsText" text="O">
      <formula>NOT(ISERROR(SEARCH(("O"),(J24))))</formula>
    </cfRule>
    <cfRule type="containsText" dxfId="6951" priority="842" operator="containsText" text="K">
      <formula>NOT(ISERROR(SEARCH(("K"),(J24))))</formula>
    </cfRule>
    <cfRule type="containsText" dxfId="6950" priority="803" operator="containsText" text="P">
      <formula>NOT(ISERROR(SEARCH(("P"),(J24))))</formula>
    </cfRule>
    <cfRule type="containsText" dxfId="6949" priority="841" operator="containsText" text="P">
      <formula>NOT(ISERROR(SEARCH(("P"),(J24))))</formula>
    </cfRule>
    <cfRule type="containsText" dxfId="6948" priority="840" operator="containsText" text="C">
      <formula>NOT(ISERROR(SEARCH(("C"),(J24))))</formula>
    </cfRule>
    <cfRule type="containsText" dxfId="6947" priority="839" operator="containsText" text="O">
      <formula>NOT(ISERROR(SEARCH(("O"),(J24))))</formula>
    </cfRule>
    <cfRule type="containsText" dxfId="6946" priority="838" operator="containsText" text="N">
      <formula>NOT(ISERROR(SEARCH(("N"),(J24))))</formula>
    </cfRule>
    <cfRule type="containsText" dxfId="6945" priority="837" operator="containsText" text="L">
      <formula>NOT(ISERROR(SEARCH(("L"),(J24))))</formula>
    </cfRule>
    <cfRule type="containsText" dxfId="6944" priority="836" operator="containsText" text="X">
      <formula>NOT(ISERROR(SEARCH(("X"),(J24))))</formula>
    </cfRule>
    <cfRule type="containsText" dxfId="6943" priority="835" operator="containsText" text="K">
      <formula>NOT(ISERROR(SEARCH(("K"),(J24))))</formula>
    </cfRule>
    <cfRule type="containsText" dxfId="6942" priority="802" operator="containsText" text="C">
      <formula>NOT(ISERROR(SEARCH(("C"),(J24))))</formula>
    </cfRule>
    <cfRule type="containsText" dxfId="6941" priority="801" operator="containsText" text="O">
      <formula>NOT(ISERROR(SEARCH(("O"),(J24))))</formula>
    </cfRule>
    <cfRule type="containsText" dxfId="6940" priority="800" operator="containsText" text="N">
      <formula>NOT(ISERROR(SEARCH(("N"),(J24))))</formula>
    </cfRule>
    <cfRule type="containsText" dxfId="6939" priority="790" operator="containsText" text="K">
      <formula>NOT(ISERROR(SEARCH(("K"),(J24))))</formula>
    </cfRule>
    <cfRule type="containsText" dxfId="6938" priority="799" operator="containsText" text="L">
      <formula>NOT(ISERROR(SEARCH(("L"),(J24))))</formula>
    </cfRule>
    <cfRule type="containsText" dxfId="6937" priority="798" operator="containsText" text="X">
      <formula>NOT(ISERROR(SEARCH(("X"),(J24))))</formula>
    </cfRule>
    <cfRule type="containsText" dxfId="6936" priority="797" operator="containsText" text="K">
      <formula>NOT(ISERROR(SEARCH(("K"),(J24))))</formula>
    </cfRule>
    <cfRule type="containsText" dxfId="6935" priority="796" operator="containsText" text="P">
      <formula>NOT(ISERROR(SEARCH(("P"),(J24))))</formula>
    </cfRule>
    <cfRule type="containsText" dxfId="6934" priority="795" operator="containsText" text="C">
      <formula>NOT(ISERROR(SEARCH(("C"),(J24))))</formula>
    </cfRule>
    <cfRule type="containsText" dxfId="6933" priority="794" operator="containsText" text="O">
      <formula>NOT(ISERROR(SEARCH(("O"),(J24))))</formula>
    </cfRule>
    <cfRule type="containsText" dxfId="6932" priority="793" operator="containsText" text="N">
      <formula>NOT(ISERROR(SEARCH(("N"),(J24))))</formula>
    </cfRule>
    <cfRule type="containsText" dxfId="6931" priority="792" operator="containsText" text="L">
      <formula>NOT(ISERROR(SEARCH(("L"),(J24))))</formula>
    </cfRule>
    <cfRule type="containsText" dxfId="6930" priority="791" operator="containsText" text="X">
      <formula>NOT(ISERROR(SEARCH(("X"),(J24))))</formula>
    </cfRule>
    <cfRule type="containsText" dxfId="6929" priority="834" operator="containsText" text="P">
      <formula>NOT(ISERROR(SEARCH(("P"),(J24))))</formula>
    </cfRule>
    <cfRule type="containsText" dxfId="6928" priority="833" operator="containsText" text="C">
      <formula>NOT(ISERROR(SEARCH(("C"),(J24))))</formula>
    </cfRule>
    <cfRule type="containsText" dxfId="6927" priority="832" operator="containsText" text="O">
      <formula>NOT(ISERROR(SEARCH(("O"),(J24))))</formula>
    </cfRule>
    <cfRule type="containsText" dxfId="6926" priority="831" operator="containsText" text="N">
      <formula>NOT(ISERROR(SEARCH(("N"),(J24))))</formula>
    </cfRule>
  </conditionalFormatting>
  <conditionalFormatting sqref="K12">
    <cfRule type="containsText" dxfId="6925" priority="6122" operator="containsText" text="P">
      <formula>NOT(ISERROR(SEARCH(("P"),(K12))))</formula>
    </cfRule>
    <cfRule type="containsText" dxfId="6924" priority="6123" operator="containsText" text="K">
      <formula>NOT(ISERROR(SEARCH(("K"),(K12))))</formula>
    </cfRule>
    <cfRule type="containsText" dxfId="6923" priority="6124" operator="containsText" text="X">
      <formula>NOT(ISERROR(SEARCH(("X"),(K12))))</formula>
    </cfRule>
    <cfRule type="containsText" dxfId="6922" priority="6119" operator="containsText" text="N">
      <formula>NOT(ISERROR(SEARCH(("N"),(K12))))</formula>
    </cfRule>
    <cfRule type="containsText" dxfId="6921" priority="6120" operator="containsText" text="O">
      <formula>NOT(ISERROR(SEARCH(("O"),(K12))))</formula>
    </cfRule>
    <cfRule type="containsText" dxfId="6920" priority="6121" operator="containsText" text="C">
      <formula>NOT(ISERROR(SEARCH(("C"),(K12))))</formula>
    </cfRule>
  </conditionalFormatting>
  <conditionalFormatting sqref="K14:K26 J23:L24 I25:L25 H29:AC29 AJ29:AL31 AA31:AI31 AI32:AL32">
    <cfRule type="containsText" dxfId="6919" priority="11015" operator="containsText" text="C">
      <formula>NOT(ISERROR(SEARCH(("C"),(H14))))</formula>
    </cfRule>
    <cfRule type="containsText" dxfId="6918" priority="11014" operator="containsText" text="O">
      <formula>NOT(ISERROR(SEARCH(("O"),(H14))))</formula>
    </cfRule>
    <cfRule type="containsText" dxfId="6917" priority="11013" operator="containsText" text="N">
      <formula>NOT(ISERROR(SEARCH(("N"),(H14))))</formula>
    </cfRule>
    <cfRule type="containsText" dxfId="6916" priority="11012" operator="containsText" text="L">
      <formula>NOT(ISERROR(SEARCH(("L"),(H14))))</formula>
    </cfRule>
    <cfRule type="containsText" dxfId="6915" priority="11018" operator="containsText" text="X">
      <formula>NOT(ISERROR(SEARCH(("X"),(H14))))</formula>
    </cfRule>
    <cfRule type="containsText" dxfId="6914" priority="11017" operator="containsText" text="K">
      <formula>NOT(ISERROR(SEARCH(("K"),(H14))))</formula>
    </cfRule>
    <cfRule type="containsText" dxfId="6913" priority="11016" operator="containsText" text="P">
      <formula>NOT(ISERROR(SEARCH(("P"),(H14))))</formula>
    </cfRule>
  </conditionalFormatting>
  <conditionalFormatting sqref="K12:O12">
    <cfRule type="containsText" dxfId="6912" priority="8594" operator="containsText" text="N">
      <formula>NOT(ISERROR(SEARCH(("N"),(K12))))</formula>
    </cfRule>
  </conditionalFormatting>
  <conditionalFormatting sqref="K14:O19">
    <cfRule type="containsText" dxfId="6911" priority="5717" operator="containsText" text="C">
      <formula>NOT(ISERROR(SEARCH(("C"),(K14))))</formula>
    </cfRule>
    <cfRule type="containsText" dxfId="6910" priority="5719" operator="containsText" text="K">
      <formula>NOT(ISERROR(SEARCH(("K"),(K14))))</formula>
    </cfRule>
    <cfRule type="containsText" dxfId="6909" priority="5718" operator="containsText" text="P">
      <formula>NOT(ISERROR(SEARCH(("P"),(K14))))</formula>
    </cfRule>
    <cfRule type="containsText" dxfId="6908" priority="5720" operator="containsText" text="X">
      <formula>NOT(ISERROR(SEARCH(("X"),(K14))))</formula>
    </cfRule>
    <cfRule type="containsText" dxfId="6907" priority="5721" operator="containsText" text="L">
      <formula>NOT(ISERROR(SEARCH(("L"),(K14))))</formula>
    </cfRule>
    <cfRule type="containsText" dxfId="6906" priority="5716" operator="containsText" text="O">
      <formula>NOT(ISERROR(SEARCH(("O"),(K14))))</formula>
    </cfRule>
  </conditionalFormatting>
  <conditionalFormatting sqref="K11:T12 W11:AA12 AK11:AL12 H11:H26 O13:T13 W19:AA21 I19:M22 AD19:AH26 AK19:AL26 U20:V21 AB20:AC21 U22:AG22 I22:Q26 T22:AA26 AC23:AG23 AJ23:AK26 AC24:AH24 O24:S25 AC25:AG25">
    <cfRule type="containsText" dxfId="6905" priority="7893" operator="containsText" text="L">
      <formula>NOT(ISERROR(SEARCH(("L"),(H11))))</formula>
    </cfRule>
  </conditionalFormatting>
  <conditionalFormatting sqref="L13:N13">
    <cfRule type="containsText" dxfId="6904" priority="8156" operator="containsText" text="L">
      <formula>NOT(ISERROR(SEARCH(("L"),(L13))))</formula>
    </cfRule>
  </conditionalFormatting>
  <conditionalFormatting sqref="L12:O12">
    <cfRule type="containsText" dxfId="6903" priority="8595" operator="containsText" text="O">
      <formula>NOT(ISERROR(SEARCH(("O"),(L12))))</formula>
    </cfRule>
    <cfRule type="containsText" dxfId="6902" priority="8596" operator="containsText" text="C">
      <formula>NOT(ISERROR(SEARCH(("C"),(L12))))</formula>
    </cfRule>
    <cfRule type="containsText" dxfId="6901" priority="8597" operator="containsText" text="P">
      <formula>NOT(ISERROR(SEARCH(("P"),(L12))))</formula>
    </cfRule>
    <cfRule type="containsText" dxfId="6900" priority="8599" operator="containsText" text="X">
      <formula>NOT(ISERROR(SEARCH(("X"),(L12))))</formula>
    </cfRule>
    <cfRule type="containsText" dxfId="6899" priority="8600" operator="containsText" text="L">
      <formula>NOT(ISERROR(SEARCH(("L"),(L12))))</formula>
    </cfRule>
    <cfRule type="containsText" dxfId="6898" priority="8598" operator="containsText" text="K">
      <formula>NOT(ISERROR(SEARCH(("K"),(L12))))</formula>
    </cfRule>
  </conditionalFormatting>
  <conditionalFormatting sqref="M22">
    <cfRule type="containsText" dxfId="6897" priority="1941" operator="containsText" text="N">
      <formula>NOT(ISERROR(SEARCH(("N"),(M22))))</formula>
    </cfRule>
  </conditionalFormatting>
  <conditionalFormatting sqref="M13:N13">
    <cfRule type="containsText" dxfId="6896" priority="5696" operator="containsText" text="C">
      <formula>NOT(ISERROR(SEARCH(("C"),(M13))))</formula>
    </cfRule>
    <cfRule type="containsText" dxfId="6895" priority="5695" operator="containsText" text="O">
      <formula>NOT(ISERROR(SEARCH(("O"),(M13))))</formula>
    </cfRule>
    <cfRule type="containsText" dxfId="6894" priority="5698" operator="containsText" text="K">
      <formula>NOT(ISERROR(SEARCH(("K"),(M13))))</formula>
    </cfRule>
    <cfRule type="expression" dxfId="6893" priority="5701">
      <formula>WEEKDAY(M$8)=1</formula>
    </cfRule>
    <cfRule type="containsText" dxfId="6892" priority="5700" operator="containsText" text="N">
      <formula>NOT(ISERROR(SEARCH(("N"),(M13))))</formula>
    </cfRule>
    <cfRule type="containsText" dxfId="6891" priority="5699" operator="containsText" text="X">
      <formula>NOT(ISERROR(SEARCH(("X"),(M13))))</formula>
    </cfRule>
    <cfRule type="containsText" dxfId="6890" priority="5697" operator="containsText" text="P">
      <formula>NOT(ISERROR(SEARCH(("P"),(M13))))</formula>
    </cfRule>
  </conditionalFormatting>
  <conditionalFormatting sqref="M11:Q11">
    <cfRule type="containsText" dxfId="6889" priority="9408" operator="containsText" text="P">
      <formula>NOT(ISERROR(SEARCH(("P"),(M11))))</formula>
    </cfRule>
    <cfRule type="containsText" dxfId="6888" priority="9407" operator="containsText" text="C">
      <formula>NOT(ISERROR(SEARCH(("C"),(M11))))</formula>
    </cfRule>
    <cfRule type="containsText" dxfId="6887" priority="9406" operator="containsText" text="O">
      <formula>NOT(ISERROR(SEARCH(("O"),(M11))))</formula>
    </cfRule>
    <cfRule type="containsText" dxfId="6886" priority="9410" operator="containsText" text="X">
      <formula>NOT(ISERROR(SEARCH(("X"),(M11))))</formula>
    </cfRule>
    <cfRule type="containsText" dxfId="6885" priority="9411" operator="containsText" text="L">
      <formula>NOT(ISERROR(SEARCH(("L"),(M11))))</formula>
    </cfRule>
    <cfRule type="containsText" dxfId="6884" priority="9409" operator="containsText" text="K">
      <formula>NOT(ISERROR(SEARCH(("K"),(M11))))</formula>
    </cfRule>
  </conditionalFormatting>
  <conditionalFormatting sqref="M12:Q12">
    <cfRule type="containsText" dxfId="6883" priority="5917" operator="containsText" text="X">
      <formula>NOT(ISERROR(SEARCH(("X"),(M12))))</formula>
    </cfRule>
    <cfRule type="containsText" dxfId="6882" priority="5916" operator="containsText" text="K">
      <formula>NOT(ISERROR(SEARCH(("K"),(M12))))</formula>
    </cfRule>
    <cfRule type="containsText" dxfId="6881" priority="5918" operator="containsText" text="L">
      <formula>NOT(ISERROR(SEARCH(("L"),(M12))))</formula>
    </cfRule>
    <cfRule type="containsText" dxfId="6880" priority="5915" operator="containsText" text="P">
      <formula>NOT(ISERROR(SEARCH(("P"),(M12))))</formula>
    </cfRule>
    <cfRule type="containsText" dxfId="6879" priority="5914" operator="containsText" text="C">
      <formula>NOT(ISERROR(SEARCH(("C"),(M12))))</formula>
    </cfRule>
    <cfRule type="containsText" dxfId="6878" priority="5913" operator="containsText" text="O">
      <formula>NOT(ISERROR(SEARCH(("O"),(M12))))</formula>
    </cfRule>
  </conditionalFormatting>
  <conditionalFormatting sqref="M14:Q17">
    <cfRule type="containsText" dxfId="6877" priority="7015" operator="containsText" text="X">
      <formula>NOT(ISERROR(SEARCH(("X"),(M14))))</formula>
    </cfRule>
    <cfRule type="containsText" dxfId="6876" priority="7016" operator="containsText" text="L">
      <formula>NOT(ISERROR(SEARCH(("L"),(M14))))</formula>
    </cfRule>
  </conditionalFormatting>
  <conditionalFormatting sqref="M14:Q19">
    <cfRule type="containsText" dxfId="6875" priority="5761" operator="containsText" text="K">
      <formula>NOT(ISERROR(SEARCH(("K"),(M14))))</formula>
    </cfRule>
    <cfRule type="containsText" dxfId="6874" priority="5760" operator="containsText" text="P">
      <formula>NOT(ISERROR(SEARCH(("P"),(M14))))</formula>
    </cfRule>
    <cfRule type="containsText" dxfId="6873" priority="5759" operator="containsText" text="C">
      <formula>NOT(ISERROR(SEARCH(("C"),(M14))))</formula>
    </cfRule>
    <cfRule type="containsText" dxfId="6872" priority="5758" operator="containsText" text="O">
      <formula>NOT(ISERROR(SEARCH(("O"),(M14))))</formula>
    </cfRule>
    <cfRule type="containsText" dxfId="6871" priority="5757" operator="containsText" text="N">
      <formula>NOT(ISERROR(SEARCH(("N"),(M14))))</formula>
    </cfRule>
  </conditionalFormatting>
  <conditionalFormatting sqref="M18:Q18">
    <cfRule type="containsText" dxfId="6870" priority="7724" operator="containsText" text="X">
      <formula>NOT(ISERROR(SEARCH(("X"),(M18))))</formula>
    </cfRule>
    <cfRule type="containsText" dxfId="6869" priority="7725" operator="containsText" text="L">
      <formula>NOT(ISERROR(SEARCH(("L"),(M18))))</formula>
    </cfRule>
    <cfRule type="containsText" dxfId="6868" priority="3324" operator="containsText" text="L">
      <formula>NOT(ISERROR(SEARCH(("L"),(M18))))</formula>
    </cfRule>
    <cfRule type="containsText" dxfId="6867" priority="3323" operator="containsText" text="X">
      <formula>NOT(ISERROR(SEARCH(("X"),(M18))))</formula>
    </cfRule>
  </conditionalFormatting>
  <conditionalFormatting sqref="M19:Q19">
    <cfRule type="containsText" dxfId="6866" priority="5762" operator="containsText" text="X">
      <formula>NOT(ISERROR(SEARCH(("X"),(M19))))</formula>
    </cfRule>
    <cfRule type="containsText" dxfId="6865" priority="2875" operator="containsText" text="L">
      <formula>NOT(ISERROR(SEARCH(("L"),(M19))))</formula>
    </cfRule>
    <cfRule type="containsText" dxfId="6864" priority="5763" operator="containsText" text="L">
      <formula>NOT(ISERROR(SEARCH(("L"),(M19))))</formula>
    </cfRule>
    <cfRule type="containsText" dxfId="6863" priority="2874" operator="containsText" text="X">
      <formula>NOT(ISERROR(SEARCH(("X"),(M19))))</formula>
    </cfRule>
  </conditionalFormatting>
  <conditionalFormatting sqref="M22:Q26">
    <cfRule type="containsText" dxfId="6862" priority="8098" operator="containsText" text="N">
      <formula>NOT(ISERROR(SEARCH(("N"),(M22))))</formula>
    </cfRule>
    <cfRule type="containsText" dxfId="6861" priority="8097" operator="containsText" text="X">
      <formula>NOT(ISERROR(SEARCH(("X"),(M22))))</formula>
    </cfRule>
    <cfRule type="containsText" dxfId="6860" priority="8096" operator="containsText" text="K">
      <formula>NOT(ISERROR(SEARCH(("K"),(M22))))</formula>
    </cfRule>
    <cfRule type="containsText" dxfId="6859" priority="9579" operator="containsText" text="L">
      <formula>NOT(ISERROR(SEARCH(("L"),(M22))))</formula>
    </cfRule>
    <cfRule type="containsText" dxfId="6858" priority="10818" operator="containsText" text="O">
      <formula>NOT(ISERROR(SEARCH(("O"),(M22))))</formula>
    </cfRule>
    <cfRule type="containsText" dxfId="6857" priority="9578" operator="containsText" text="X">
      <formula>NOT(ISERROR(SEARCH(("X"),(M22))))</formula>
    </cfRule>
    <cfRule type="containsText" dxfId="6856" priority="9559" operator="containsText" text="N">
      <formula>NOT(ISERROR(SEARCH(("N"),(M22))))</formula>
    </cfRule>
    <cfRule type="containsText" dxfId="6855" priority="9574" operator="containsText" text="O">
      <formula>NOT(ISERROR(SEARCH(("O"),(M22))))</formula>
    </cfRule>
    <cfRule type="containsText" dxfId="6854" priority="9576" operator="containsText" text="P">
      <formula>NOT(ISERROR(SEARCH(("P"),(M22))))</formula>
    </cfRule>
    <cfRule type="containsText" dxfId="6853" priority="8093" operator="containsText" text="O">
      <formula>NOT(ISERROR(SEARCH(("O"),(M22))))</formula>
    </cfRule>
    <cfRule type="containsText" dxfId="6852" priority="9575" operator="containsText" text="C">
      <formula>NOT(ISERROR(SEARCH(("C"),(M22))))</formula>
    </cfRule>
    <cfRule type="containsText" dxfId="6851" priority="9577" operator="containsText" text="K">
      <formula>NOT(ISERROR(SEARCH(("K"),(M22))))</formula>
    </cfRule>
    <cfRule type="containsText" dxfId="6850" priority="8094" operator="containsText" text="C">
      <formula>NOT(ISERROR(SEARCH(("C"),(M22))))</formula>
    </cfRule>
    <cfRule type="containsText" dxfId="6849" priority="8095" operator="containsText" text="P">
      <formula>NOT(ISERROR(SEARCH(("P"),(M22))))</formula>
    </cfRule>
  </conditionalFormatting>
  <conditionalFormatting sqref="M11:V11">
    <cfRule type="containsText" dxfId="6848" priority="9869" operator="containsText" text="K">
      <formula>NOT(ISERROR(SEARCH(("K"),(M11))))</formula>
    </cfRule>
    <cfRule type="containsText" dxfId="6847" priority="9868" operator="containsText" text="P">
      <formula>NOT(ISERROR(SEARCH(("P"),(M11))))</formula>
    </cfRule>
    <cfRule type="containsText" dxfId="6846" priority="9867" operator="containsText" text="C">
      <formula>NOT(ISERROR(SEARCH(("C"),(M11))))</formula>
    </cfRule>
    <cfRule type="containsText" dxfId="6845" priority="9866" operator="containsText" text="O">
      <formula>NOT(ISERROR(SEARCH(("O"),(M11))))</formula>
    </cfRule>
    <cfRule type="containsText" dxfId="6844" priority="9865" operator="containsText" text="N">
      <formula>NOT(ISERROR(SEARCH(("N"),(M11))))</formula>
    </cfRule>
    <cfRule type="containsText" dxfId="6843" priority="9871" operator="containsText" text="L">
      <formula>NOT(ISERROR(SEARCH(("L"),(M11))))</formula>
    </cfRule>
    <cfRule type="containsText" dxfId="6842" priority="9870" operator="containsText" text="X">
      <formula>NOT(ISERROR(SEARCH(("X"),(M11))))</formula>
    </cfRule>
  </conditionalFormatting>
  <conditionalFormatting sqref="M12:V12">
    <cfRule type="containsText" dxfId="6841" priority="5974" operator="containsText" text="L">
      <formula>NOT(ISERROR(SEARCH(("L"),(M12))))</formula>
    </cfRule>
    <cfRule type="containsText" dxfId="6840" priority="5973" operator="containsText" text="X">
      <formula>NOT(ISERROR(SEARCH(("X"),(M12))))</formula>
    </cfRule>
    <cfRule type="containsText" dxfId="6839" priority="5972" operator="containsText" text="K">
      <formula>NOT(ISERROR(SEARCH(("K"),(M12))))</formula>
    </cfRule>
    <cfRule type="containsText" dxfId="6838" priority="5971" operator="containsText" text="P">
      <formula>NOT(ISERROR(SEARCH(("P"),(M12))))</formula>
    </cfRule>
    <cfRule type="containsText" dxfId="6837" priority="5970" operator="containsText" text="C">
      <formula>NOT(ISERROR(SEARCH(("C"),(M12))))</formula>
    </cfRule>
    <cfRule type="containsText" dxfId="6836" priority="5969" operator="containsText" text="O">
      <formula>NOT(ISERROR(SEARCH(("O"),(M12))))</formula>
    </cfRule>
    <cfRule type="containsText" dxfId="6835" priority="5968" operator="containsText" text="N">
      <formula>NOT(ISERROR(SEARCH(("N"),(M12))))</formula>
    </cfRule>
  </conditionalFormatting>
  <conditionalFormatting sqref="M14:V14">
    <cfRule type="containsText" dxfId="6834" priority="7579" operator="containsText" text="N">
      <formula>NOT(ISERROR(SEARCH(("N"),(M14))))</formula>
    </cfRule>
    <cfRule type="containsText" dxfId="6833" priority="7585" operator="containsText" text="L">
      <formula>NOT(ISERROR(SEARCH(("L"),(M14))))</formula>
    </cfRule>
    <cfRule type="containsText" dxfId="6832" priority="7580" operator="containsText" text="O">
      <formula>NOT(ISERROR(SEARCH(("O"),(M14))))</formula>
    </cfRule>
    <cfRule type="containsText" dxfId="6831" priority="7581" operator="containsText" text="C">
      <formula>NOT(ISERROR(SEARCH(("C"),(M14))))</formula>
    </cfRule>
    <cfRule type="containsText" dxfId="6830" priority="7582" operator="containsText" text="P">
      <formula>NOT(ISERROR(SEARCH(("P"),(M14))))</formula>
    </cfRule>
    <cfRule type="containsText" dxfId="6829" priority="7583" operator="containsText" text="K">
      <formula>NOT(ISERROR(SEARCH(("K"),(M14))))</formula>
    </cfRule>
    <cfRule type="containsText" dxfId="6828" priority="7584" operator="containsText" text="X">
      <formula>NOT(ISERROR(SEARCH(("X"),(M14))))</formula>
    </cfRule>
  </conditionalFormatting>
  <conditionalFormatting sqref="M15:V15">
    <cfRule type="containsText" dxfId="6827" priority="7388" operator="containsText" text="X">
      <formula>NOT(ISERROR(SEARCH(("X"),(M15))))</formula>
    </cfRule>
    <cfRule type="containsText" dxfId="6826" priority="7385" operator="containsText" text="C">
      <formula>NOT(ISERROR(SEARCH(("C"),(M15))))</formula>
    </cfRule>
    <cfRule type="containsText" dxfId="6825" priority="7386" operator="containsText" text="P">
      <formula>NOT(ISERROR(SEARCH(("P"),(M15))))</formula>
    </cfRule>
    <cfRule type="containsText" dxfId="6824" priority="7387" operator="containsText" text="K">
      <formula>NOT(ISERROR(SEARCH(("K"),(M15))))</formula>
    </cfRule>
    <cfRule type="containsText" dxfId="6823" priority="7389" operator="containsText" text="L">
      <formula>NOT(ISERROR(SEARCH(("L"),(M15))))</formula>
    </cfRule>
    <cfRule type="containsText" dxfId="6822" priority="7384" operator="containsText" text="O">
      <formula>NOT(ISERROR(SEARCH(("O"),(M15))))</formula>
    </cfRule>
    <cfRule type="containsText" dxfId="6821" priority="7383" operator="containsText" text="N">
      <formula>NOT(ISERROR(SEARCH(("N"),(M15))))</formula>
    </cfRule>
  </conditionalFormatting>
  <conditionalFormatting sqref="M16:V16">
    <cfRule type="containsText" dxfId="6820" priority="7058" operator="containsText" text="L">
      <formula>NOT(ISERROR(SEARCH(("L"),(M16))))</formula>
    </cfRule>
    <cfRule type="containsText" dxfId="6819" priority="7056" operator="containsText" text="K">
      <formula>NOT(ISERROR(SEARCH(("K"),(M16))))</formula>
    </cfRule>
    <cfRule type="containsText" dxfId="6818" priority="7057" operator="containsText" text="X">
      <formula>NOT(ISERROR(SEARCH(("X"),(M16))))</formula>
    </cfRule>
    <cfRule type="containsText" dxfId="6817" priority="7052" operator="containsText" text="N">
      <formula>NOT(ISERROR(SEARCH(("N"),(M16))))</formula>
    </cfRule>
    <cfRule type="containsText" dxfId="6816" priority="7053" operator="containsText" text="O">
      <formula>NOT(ISERROR(SEARCH(("O"),(M16))))</formula>
    </cfRule>
    <cfRule type="containsText" dxfId="6815" priority="7054" operator="containsText" text="C">
      <formula>NOT(ISERROR(SEARCH(("C"),(M16))))</formula>
    </cfRule>
    <cfRule type="containsText" dxfId="6814" priority="7055" operator="containsText" text="P">
      <formula>NOT(ISERROR(SEARCH(("P"),(M16))))</formula>
    </cfRule>
  </conditionalFormatting>
  <conditionalFormatting sqref="M17:V17">
    <cfRule type="containsText" dxfId="6813" priority="7203" operator="containsText" text="P">
      <formula>NOT(ISERROR(SEARCH(("P"),(M17))))</formula>
    </cfRule>
    <cfRule type="containsText" dxfId="6812" priority="7201" operator="containsText" text="O">
      <formula>NOT(ISERROR(SEARCH(("O"),(M17))))</formula>
    </cfRule>
    <cfRule type="containsText" dxfId="6811" priority="7200" operator="containsText" text="N">
      <formula>NOT(ISERROR(SEARCH(("N"),(M17))))</formula>
    </cfRule>
    <cfRule type="containsText" dxfId="6810" priority="7204" operator="containsText" text="K">
      <formula>NOT(ISERROR(SEARCH(("K"),(M17))))</formula>
    </cfRule>
    <cfRule type="containsText" dxfId="6809" priority="7202" operator="containsText" text="C">
      <formula>NOT(ISERROR(SEARCH(("C"),(M17))))</formula>
    </cfRule>
    <cfRule type="containsText" dxfId="6808" priority="7205" operator="containsText" text="X">
      <formula>NOT(ISERROR(SEARCH(("X"),(M17))))</formula>
    </cfRule>
    <cfRule type="containsText" dxfId="6807" priority="7206" operator="containsText" text="L">
      <formula>NOT(ISERROR(SEARCH(("L"),(M17))))</formula>
    </cfRule>
  </conditionalFormatting>
  <conditionalFormatting sqref="M18:V18">
    <cfRule type="containsText" dxfId="6806" priority="7780" operator="containsText" text="X">
      <formula>NOT(ISERROR(SEARCH(("X"),(M18))))</formula>
    </cfRule>
    <cfRule type="containsText" dxfId="6805" priority="7779" operator="containsText" text="K">
      <formula>NOT(ISERROR(SEARCH(("K"),(M18))))</formula>
    </cfRule>
    <cfRule type="containsText" dxfId="6804" priority="7778" operator="containsText" text="P">
      <formula>NOT(ISERROR(SEARCH(("P"),(M18))))</formula>
    </cfRule>
    <cfRule type="containsText" dxfId="6803" priority="7777" operator="containsText" text="C">
      <formula>NOT(ISERROR(SEARCH(("C"),(M18))))</formula>
    </cfRule>
    <cfRule type="containsText" dxfId="6802" priority="7776" operator="containsText" text="O">
      <formula>NOT(ISERROR(SEARCH(("O"),(M18))))</formula>
    </cfRule>
    <cfRule type="containsText" dxfId="6801" priority="7775" operator="containsText" text="N">
      <formula>NOT(ISERROR(SEARCH(("N"),(M18))))</formula>
    </cfRule>
    <cfRule type="containsText" dxfId="6800" priority="3423" operator="containsText" text="N">
      <formula>NOT(ISERROR(SEARCH(("N"),(M18))))</formula>
    </cfRule>
    <cfRule type="containsText" dxfId="6799" priority="7781" operator="containsText" text="L">
      <formula>NOT(ISERROR(SEARCH(("L"),(M18))))</formula>
    </cfRule>
    <cfRule type="containsText" dxfId="6798" priority="3424" operator="containsText" text="O">
      <formula>NOT(ISERROR(SEARCH(("O"),(M18))))</formula>
    </cfRule>
    <cfRule type="containsText" dxfId="6797" priority="3425" operator="containsText" text="C">
      <formula>NOT(ISERROR(SEARCH(("C"),(M18))))</formula>
    </cfRule>
    <cfRule type="containsText" dxfId="6796" priority="3426" operator="containsText" text="P">
      <formula>NOT(ISERROR(SEARCH(("P"),(M18))))</formula>
    </cfRule>
    <cfRule type="containsText" dxfId="6795" priority="3427" operator="containsText" text="K">
      <formula>NOT(ISERROR(SEARCH(("K"),(M18))))</formula>
    </cfRule>
    <cfRule type="containsText" dxfId="6794" priority="3428" operator="containsText" text="X">
      <formula>NOT(ISERROR(SEARCH(("X"),(M18))))</formula>
    </cfRule>
    <cfRule type="containsText" dxfId="6793" priority="3429" operator="containsText" text="L">
      <formula>NOT(ISERROR(SEARCH(("L"),(M18))))</formula>
    </cfRule>
  </conditionalFormatting>
  <conditionalFormatting sqref="M19:V19">
    <cfRule type="containsText" dxfId="6792" priority="5801" operator="containsText" text="C">
      <formula>NOT(ISERROR(SEARCH(("C"),(M19))))</formula>
    </cfRule>
    <cfRule type="containsText" dxfId="6791" priority="5799" operator="containsText" text="N">
      <formula>NOT(ISERROR(SEARCH(("N"),(M19))))</formula>
    </cfRule>
    <cfRule type="containsText" dxfId="6790" priority="5800" operator="containsText" text="O">
      <formula>NOT(ISERROR(SEARCH(("O"),(M19))))</formula>
    </cfRule>
    <cfRule type="containsText" dxfId="6789" priority="5805" operator="containsText" text="L">
      <formula>NOT(ISERROR(SEARCH(("L"),(M19))))</formula>
    </cfRule>
    <cfRule type="containsText" dxfId="6788" priority="5804" operator="containsText" text="X">
      <formula>NOT(ISERROR(SEARCH(("X"),(M19))))</formula>
    </cfRule>
    <cfRule type="containsText" dxfId="6787" priority="2975" operator="containsText" text="O">
      <formula>NOT(ISERROR(SEARCH(("O"),(M19))))</formula>
    </cfRule>
    <cfRule type="containsText" dxfId="6786" priority="5803" operator="containsText" text="K">
      <formula>NOT(ISERROR(SEARCH(("K"),(M19))))</formula>
    </cfRule>
    <cfRule type="containsText" dxfId="6785" priority="5802" operator="containsText" text="P">
      <formula>NOT(ISERROR(SEARCH(("P"),(M19))))</formula>
    </cfRule>
    <cfRule type="containsText" dxfId="6784" priority="2974" operator="containsText" text="N">
      <formula>NOT(ISERROR(SEARCH(("N"),(M19))))</formula>
    </cfRule>
    <cfRule type="containsText" dxfId="6783" priority="2977" operator="containsText" text="P">
      <formula>NOT(ISERROR(SEARCH(("P"),(M19))))</formula>
    </cfRule>
    <cfRule type="containsText" dxfId="6782" priority="2980" operator="containsText" text="L">
      <formula>NOT(ISERROR(SEARCH(("L"),(M19))))</formula>
    </cfRule>
    <cfRule type="containsText" dxfId="6781" priority="2979" operator="containsText" text="X">
      <formula>NOT(ISERROR(SEARCH(("X"),(M19))))</formula>
    </cfRule>
    <cfRule type="containsText" dxfId="6780" priority="2978" operator="containsText" text="K">
      <formula>NOT(ISERROR(SEARCH(("K"),(M19))))</formula>
    </cfRule>
    <cfRule type="containsText" dxfId="6779" priority="2976" operator="containsText" text="C">
      <formula>NOT(ISERROR(SEARCH(("C"),(M19))))</formula>
    </cfRule>
  </conditionalFormatting>
  <conditionalFormatting sqref="M13:W13">
    <cfRule type="containsText" dxfId="6778" priority="5060" operator="containsText" text="N">
      <formula>NOT(ISERROR(SEARCH(("N"),(M13))))</formula>
    </cfRule>
    <cfRule type="containsText" dxfId="6777" priority="5058" operator="containsText" text="L">
      <formula>NOT(ISERROR(SEARCH(("L"),(M13))))</formula>
    </cfRule>
  </conditionalFormatting>
  <conditionalFormatting sqref="N13">
    <cfRule type="containsText" dxfId="6776" priority="8151" operator="containsText" text="O">
      <formula>NOT(ISERROR(SEARCH(("O"),(N13))))</formula>
    </cfRule>
    <cfRule type="containsText" dxfId="6775" priority="8147" operator="containsText" text="K">
      <formula>NOT(ISERROR(SEARCH(("K"),(N13))))</formula>
    </cfRule>
    <cfRule type="containsText" dxfId="6774" priority="8148" operator="containsText" text="X">
      <formula>NOT(ISERROR(SEARCH(("X"),(N13))))</formula>
    </cfRule>
    <cfRule type="containsText" dxfId="6773" priority="8131" operator="containsText" text="O">
      <formula>NOT(ISERROR(SEARCH(("O"),(N13))))</formula>
    </cfRule>
    <cfRule type="containsText" dxfId="6772" priority="8149" operator="containsText" text="L">
      <formula>NOT(ISERROR(SEARCH(("L"),(N13))))</formula>
    </cfRule>
    <cfRule type="containsText" dxfId="6771" priority="8150" operator="containsText" text="N">
      <formula>NOT(ISERROR(SEARCH(("N"),(N13))))</formula>
    </cfRule>
    <cfRule type="containsText" dxfId="6770" priority="8152" operator="containsText" text="C">
      <formula>NOT(ISERROR(SEARCH(("C"),(N13))))</formula>
    </cfRule>
    <cfRule type="containsText" dxfId="6769" priority="8153" operator="containsText" text="P">
      <formula>NOT(ISERROR(SEARCH(("P"),(N13))))</formula>
    </cfRule>
    <cfRule type="containsText" dxfId="6768" priority="8132" operator="containsText" text="C">
      <formula>NOT(ISERROR(SEARCH(("C"),(N13))))</formula>
    </cfRule>
    <cfRule type="containsText" dxfId="6767" priority="8154" operator="containsText" text="K">
      <formula>NOT(ISERROR(SEARCH(("K"),(N13))))</formula>
    </cfRule>
    <cfRule type="containsText" dxfId="6766" priority="8155" operator="containsText" text="X">
      <formula>NOT(ISERROR(SEARCH(("X"),(N13))))</formula>
    </cfRule>
    <cfRule type="containsText" dxfId="6765" priority="8133" operator="containsText" text="P">
      <formula>NOT(ISERROR(SEARCH(("P"),(N13))))</formula>
    </cfRule>
    <cfRule type="containsText" dxfId="6764" priority="8134" operator="containsText" text="K">
      <formula>NOT(ISERROR(SEARCH(("K"),(N13))))</formula>
    </cfRule>
    <cfRule type="containsText" dxfId="6763" priority="8135" operator="containsText" text="X">
      <formula>NOT(ISERROR(SEARCH(("X"),(N13))))</formula>
    </cfRule>
    <cfRule type="containsText" dxfId="6762" priority="8137" operator="containsText" text="O">
      <formula>NOT(ISERROR(SEARCH(("O"),(N13))))</formula>
    </cfRule>
    <cfRule type="containsText" dxfId="6761" priority="8141" operator="containsText" text="X">
      <formula>NOT(ISERROR(SEARCH(("X"),(N13))))</formula>
    </cfRule>
    <cfRule type="containsText" dxfId="6760" priority="8142" operator="containsText" text="L">
      <formula>NOT(ISERROR(SEARCH(("L"),(N13))))</formula>
    </cfRule>
    <cfRule type="containsText" dxfId="6759" priority="8140" operator="containsText" text="K">
      <formula>NOT(ISERROR(SEARCH(("K"),(N13))))</formula>
    </cfRule>
    <cfRule type="containsText" dxfId="6758" priority="8146" operator="containsText" text="P">
      <formula>NOT(ISERROR(SEARCH(("P"),(N13))))</formula>
    </cfRule>
    <cfRule type="containsText" dxfId="6757" priority="8136" operator="containsText" text="N">
      <formula>NOT(ISERROR(SEARCH(("N"),(N13))))</formula>
    </cfRule>
    <cfRule type="containsText" dxfId="6756" priority="8143" operator="containsText" text="N">
      <formula>NOT(ISERROR(SEARCH(("N"),(N13))))</formula>
    </cfRule>
    <cfRule type="containsText" dxfId="6755" priority="8138" operator="containsText" text="C">
      <formula>NOT(ISERROR(SEARCH(("C"),(N13))))</formula>
    </cfRule>
    <cfRule type="containsText" dxfId="6754" priority="8139" operator="containsText" text="P">
      <formula>NOT(ISERROR(SEARCH(("P"),(N13))))</formula>
    </cfRule>
    <cfRule type="containsText" dxfId="6753" priority="8144" operator="containsText" text="O">
      <formula>NOT(ISERROR(SEARCH(("O"),(N13))))</formula>
    </cfRule>
    <cfRule type="containsText" dxfId="6752" priority="8145" operator="containsText" text="C">
      <formula>NOT(ISERROR(SEARCH(("C"),(N13))))</formula>
    </cfRule>
  </conditionalFormatting>
  <conditionalFormatting sqref="N12:O12">
    <cfRule type="containsText" dxfId="6751" priority="6099" operator="containsText" text="O">
      <formula>NOT(ISERROR(SEARCH(("O"),(N12))))</formula>
    </cfRule>
  </conditionalFormatting>
  <conditionalFormatting sqref="N14:O16">
    <cfRule type="containsText" dxfId="6750" priority="9225" operator="containsText" text="K">
      <formula>NOT(ISERROR(SEARCH(("K"),(N14))))</formula>
    </cfRule>
    <cfRule type="containsText" dxfId="6749" priority="9227" operator="containsText" text="L">
      <formula>NOT(ISERROR(SEARCH(("L"),(N14))))</formula>
    </cfRule>
    <cfRule type="containsText" dxfId="6748" priority="9224" operator="containsText" text="P">
      <formula>NOT(ISERROR(SEARCH(("P"),(N14))))</formula>
    </cfRule>
    <cfRule type="containsText" dxfId="6747" priority="9223" operator="containsText" text="C">
      <formula>NOT(ISERROR(SEARCH(("C"),(N14))))</formula>
    </cfRule>
    <cfRule type="containsText" dxfId="6746" priority="9222" operator="containsText" text="O">
      <formula>NOT(ISERROR(SEARCH(("O"),(N14))))</formula>
    </cfRule>
    <cfRule type="containsText" dxfId="6745" priority="9226" operator="containsText" text="X">
      <formula>NOT(ISERROR(SEARCH(("X"),(N14))))</formula>
    </cfRule>
  </conditionalFormatting>
  <conditionalFormatting sqref="N14:O17">
    <cfRule type="containsText" dxfId="6744" priority="8756" operator="containsText" text="N">
      <formula>NOT(ISERROR(SEARCH(("N"),(N14))))</formula>
    </cfRule>
  </conditionalFormatting>
  <conditionalFormatting sqref="N17:O17 N21:Q21">
    <cfRule type="containsText" dxfId="6743" priority="8752" operator="containsText" text="C">
      <formula>NOT(ISERROR(SEARCH(("C"),(N17))))</formula>
    </cfRule>
    <cfRule type="containsText" dxfId="6742" priority="8753" operator="containsText" text="P">
      <formula>NOT(ISERROR(SEARCH(("P"),(N17))))</formula>
    </cfRule>
    <cfRule type="containsText" dxfId="6741" priority="8754" operator="containsText" text="K">
      <formula>NOT(ISERROR(SEARCH(("K"),(N17))))</formula>
    </cfRule>
    <cfRule type="containsText" dxfId="6740" priority="8755" operator="containsText" text="X">
      <formula>NOT(ISERROR(SEARCH(("X"),(N17))))</formula>
    </cfRule>
    <cfRule type="containsText" dxfId="6739" priority="8751" operator="containsText" text="O">
      <formula>NOT(ISERROR(SEARCH(("O"),(N17))))</formula>
    </cfRule>
  </conditionalFormatting>
  <conditionalFormatting sqref="N17:O17">
    <cfRule type="containsText" dxfId="6738" priority="8747" operator="containsText" text="P">
      <formula>NOT(ISERROR(SEARCH(("P"),(N17))))</formula>
    </cfRule>
    <cfRule type="containsText" dxfId="6737" priority="8749" operator="containsText" text="X">
      <formula>NOT(ISERROR(SEARCH(("X"),(N17))))</formula>
    </cfRule>
    <cfRule type="containsText" dxfId="6736" priority="8748" operator="containsText" text="K">
      <formula>NOT(ISERROR(SEARCH(("K"),(N17))))</formula>
    </cfRule>
    <cfRule type="containsText" dxfId="6735" priority="8746" operator="containsText" text="C">
      <formula>NOT(ISERROR(SEARCH(("C"),(N17))))</formula>
    </cfRule>
    <cfRule type="containsText" dxfId="6734" priority="8745" operator="containsText" text="O">
      <formula>NOT(ISERROR(SEARCH(("O"),(N17))))</formula>
    </cfRule>
    <cfRule type="containsText" dxfId="6733" priority="8744" operator="containsText" text="N">
      <formula>NOT(ISERROR(SEARCH(("N"),(N17))))</formula>
    </cfRule>
    <cfRule type="containsText" dxfId="6732" priority="8750" operator="containsText" text="L">
      <formula>NOT(ISERROR(SEARCH(("L"),(N17))))</formula>
    </cfRule>
  </conditionalFormatting>
  <conditionalFormatting sqref="N18:O18">
    <cfRule type="containsText" dxfId="6731" priority="3518" operator="containsText" text="P">
      <formula>NOT(ISERROR(SEARCH(("P"),(N18))))</formula>
    </cfRule>
    <cfRule type="containsText" dxfId="6730" priority="3517" operator="containsText" text="C">
      <formula>NOT(ISERROR(SEARCH(("C"),(N18))))</formula>
    </cfRule>
    <cfRule type="containsText" dxfId="6729" priority="3521" operator="containsText" text="L">
      <formula>NOT(ISERROR(SEARCH(("L"),(N18))))</formula>
    </cfRule>
    <cfRule type="containsText" dxfId="6728" priority="3520" operator="containsText" text="X">
      <formula>NOT(ISERROR(SEARCH(("X"),(N18))))</formula>
    </cfRule>
    <cfRule type="containsText" dxfId="6727" priority="3519" operator="containsText" text="K">
      <formula>NOT(ISERROR(SEARCH(("K"),(N18))))</formula>
    </cfRule>
    <cfRule type="containsText" dxfId="6726" priority="3516" operator="containsText" text="O">
      <formula>NOT(ISERROR(SEARCH(("O"),(N18))))</formula>
    </cfRule>
  </conditionalFormatting>
  <conditionalFormatting sqref="N19:O19">
    <cfRule type="containsText" dxfId="6725" priority="8279" operator="containsText" text="C">
      <formula>NOT(ISERROR(SEARCH(("C"),(N19))))</formula>
    </cfRule>
    <cfRule type="containsText" dxfId="6724" priority="8277" operator="containsText" text="N">
      <formula>NOT(ISERROR(SEARCH(("N"),(N19))))</formula>
    </cfRule>
    <cfRule type="containsText" dxfId="6723" priority="8278" operator="containsText" text="O">
      <formula>NOT(ISERROR(SEARCH(("O"),(N19))))</formula>
    </cfRule>
    <cfRule type="containsText" dxfId="6722" priority="3072" operator="containsText" text="L">
      <formula>NOT(ISERROR(SEARCH(("L"),(N19))))</formula>
    </cfRule>
    <cfRule type="containsText" dxfId="6721" priority="3071" operator="containsText" text="X">
      <formula>NOT(ISERROR(SEARCH(("X"),(N19))))</formula>
    </cfRule>
    <cfRule type="containsText" dxfId="6720" priority="3070" operator="containsText" text="K">
      <formula>NOT(ISERROR(SEARCH(("K"),(N19))))</formula>
    </cfRule>
    <cfRule type="containsText" dxfId="6719" priority="3069" operator="containsText" text="P">
      <formula>NOT(ISERROR(SEARCH(("P"),(N19))))</formula>
    </cfRule>
    <cfRule type="containsText" dxfId="6718" priority="3068" operator="containsText" text="C">
      <formula>NOT(ISERROR(SEARCH(("C"),(N19))))</formula>
    </cfRule>
    <cfRule type="containsText" dxfId="6717" priority="3067" operator="containsText" text="O">
      <formula>NOT(ISERROR(SEARCH(("O"),(N19))))</formula>
    </cfRule>
    <cfRule type="containsText" dxfId="6716" priority="3038" operator="containsText" text="N">
      <formula>NOT(ISERROR(SEARCH(("N"),(N19))))</formula>
    </cfRule>
    <cfRule type="containsText" dxfId="6715" priority="8283" operator="containsText" text="L">
      <formula>NOT(ISERROR(SEARCH(("L"),(N19))))</formula>
    </cfRule>
    <cfRule type="containsText" dxfId="6714" priority="8282" operator="containsText" text="X">
      <formula>NOT(ISERROR(SEARCH(("X"),(N19))))</formula>
    </cfRule>
    <cfRule type="containsText" dxfId="6713" priority="8281" operator="containsText" text="K">
      <formula>NOT(ISERROR(SEARCH(("K"),(N19))))</formula>
    </cfRule>
    <cfRule type="containsText" dxfId="6712" priority="8280" operator="containsText" text="P">
      <formula>NOT(ISERROR(SEARCH(("P"),(N19))))</formula>
    </cfRule>
  </conditionalFormatting>
  <conditionalFormatting sqref="N20:O20 AL14:AL26">
    <cfRule type="containsText" dxfId="6711" priority="6827" operator="containsText" text="N">
      <formula>NOT(ISERROR(SEARCH(("N"),(N14))))</formula>
    </cfRule>
  </conditionalFormatting>
  <conditionalFormatting sqref="N20:O21 AL14:AL26">
    <cfRule type="containsText" dxfId="6710" priority="8473" operator="containsText" text="O">
      <formula>NOT(ISERROR(SEARCH(("O"),(N14))))</formula>
    </cfRule>
  </conditionalFormatting>
  <conditionalFormatting sqref="N22:O22">
    <cfRule type="containsText" dxfId="6709" priority="1903" operator="containsText" text="L">
      <formula>NOT(ISERROR(SEARCH(("L"),(N22))))</formula>
    </cfRule>
    <cfRule type="containsText" dxfId="6708" priority="1816" operator="containsText" text="N">
      <formula>NOT(ISERROR(SEARCH(("N"),(N22))))</formula>
    </cfRule>
    <cfRule type="containsText" dxfId="6707" priority="1780" operator="containsText" text="L">
      <formula>NOT(ISERROR(SEARCH(("L"),(N22))))</formula>
    </cfRule>
    <cfRule type="containsText" dxfId="6706" priority="1777" operator="containsText" text="P">
      <formula>NOT(ISERROR(SEARCH(("P"),(N22))))</formula>
    </cfRule>
    <cfRule type="containsText" dxfId="6705" priority="1902" operator="containsText" text="X">
      <formula>NOT(ISERROR(SEARCH(("X"),(N22))))</formula>
    </cfRule>
    <cfRule type="containsText" dxfId="6704" priority="1901" operator="containsText" text="K">
      <formula>NOT(ISERROR(SEARCH(("K"),(N22))))</formula>
    </cfRule>
    <cfRule type="containsText" dxfId="6703" priority="1900" operator="containsText" text="P">
      <formula>NOT(ISERROR(SEARCH(("P"),(N22))))</formula>
    </cfRule>
    <cfRule type="containsText" dxfId="6702" priority="1899" operator="containsText" text="C">
      <formula>NOT(ISERROR(SEARCH(("C"),(N22))))</formula>
    </cfRule>
    <cfRule type="containsText" dxfId="6701" priority="1898" operator="containsText" text="O">
      <formula>NOT(ISERROR(SEARCH(("O"),(N22))))</formula>
    </cfRule>
    <cfRule type="containsText" dxfId="6700" priority="1776" operator="containsText" text="C">
      <formula>NOT(ISERROR(SEARCH(("C"),(N22))))</formula>
    </cfRule>
    <cfRule type="containsText" dxfId="6699" priority="1775" operator="containsText" text="O">
      <formula>NOT(ISERROR(SEARCH(("O"),(N22))))</formula>
    </cfRule>
    <cfRule type="containsText" dxfId="6698" priority="1778" operator="containsText" text="K">
      <formula>NOT(ISERROR(SEARCH(("K"),(N22))))</formula>
    </cfRule>
    <cfRule type="containsText" dxfId="6697" priority="1779" operator="containsText" text="X">
      <formula>NOT(ISERROR(SEARCH(("X"),(N22))))</formula>
    </cfRule>
  </conditionalFormatting>
  <conditionalFormatting sqref="N20:Q20">
    <cfRule type="containsText" dxfId="6696" priority="6764" operator="containsText" text="N">
      <formula>NOT(ISERROR(SEARCH(("N"),(N20))))</formula>
    </cfRule>
    <cfRule type="containsText" dxfId="6695" priority="6766" operator="containsText" text="C">
      <formula>NOT(ISERROR(SEARCH(("C"),(N20))))</formula>
    </cfRule>
    <cfRule type="containsText" dxfId="6694" priority="6768" operator="containsText" text="K">
      <formula>NOT(ISERROR(SEARCH(("K"),(N20))))</formula>
    </cfRule>
    <cfRule type="containsText" dxfId="6693" priority="6769" operator="containsText" text="X">
      <formula>NOT(ISERROR(SEARCH(("X"),(N20))))</formula>
    </cfRule>
    <cfRule type="containsText" dxfId="6692" priority="6770" operator="containsText" text="L">
      <formula>NOT(ISERROR(SEARCH(("L"),(N20))))</formula>
    </cfRule>
    <cfRule type="containsText" dxfId="6691" priority="6767" operator="containsText" text="P">
      <formula>NOT(ISERROR(SEARCH(("P"),(N20))))</formula>
    </cfRule>
    <cfRule type="containsText" dxfId="6690" priority="6765" operator="containsText" text="O">
      <formula>NOT(ISERROR(SEARCH(("O"),(N20))))</formula>
    </cfRule>
  </conditionalFormatting>
  <conditionalFormatting sqref="N22:Q22">
    <cfRule type="containsText" dxfId="6689" priority="1783" operator="containsText" text="C">
      <formula>NOT(ISERROR(SEARCH(("C"),(N22))))</formula>
    </cfRule>
    <cfRule type="containsText" dxfId="6688" priority="1781" operator="containsText" text="N">
      <formula>NOT(ISERROR(SEARCH(("N"),(N22))))</formula>
    </cfRule>
    <cfRule type="containsText" dxfId="6687" priority="1787" operator="containsText" text="L">
      <formula>NOT(ISERROR(SEARCH(("L"),(N22))))</formula>
    </cfRule>
    <cfRule type="containsText" dxfId="6686" priority="1785" operator="containsText" text="K">
      <formula>NOT(ISERROR(SEARCH(("K"),(N22))))</formula>
    </cfRule>
    <cfRule type="containsText" dxfId="6685" priority="1784" operator="containsText" text="P">
      <formula>NOT(ISERROR(SEARCH(("P"),(N22))))</formula>
    </cfRule>
    <cfRule type="containsText" dxfId="6684" priority="1782" operator="containsText" text="O">
      <formula>NOT(ISERROR(SEARCH(("O"),(N22))))</formula>
    </cfRule>
    <cfRule type="containsText" dxfId="6683" priority="1786" operator="containsText" text="X">
      <formula>NOT(ISERROR(SEARCH(("X"),(N22))))</formula>
    </cfRule>
  </conditionalFormatting>
  <conditionalFormatting sqref="N20:T20">
    <cfRule type="containsText" dxfId="6682" priority="8482" operator="containsText" text="K">
      <formula>NOT(ISERROR(SEARCH(("K"),(N20))))</formula>
    </cfRule>
    <cfRule type="containsText" dxfId="6681" priority="8483" operator="containsText" text="X">
      <formula>NOT(ISERROR(SEARCH(("X"),(N20))))</formula>
    </cfRule>
    <cfRule type="containsText" dxfId="6680" priority="8479" operator="containsText" text="O">
      <formula>NOT(ISERROR(SEARCH(("O"),(N20))))</formula>
    </cfRule>
    <cfRule type="containsText" dxfId="6679" priority="8480" operator="containsText" text="C">
      <formula>NOT(ISERROR(SEARCH(("C"),(N20))))</formula>
    </cfRule>
    <cfRule type="containsText" dxfId="6678" priority="8481" operator="containsText" text="P">
      <formula>NOT(ISERROR(SEARCH(("P"),(N20))))</formula>
    </cfRule>
  </conditionalFormatting>
  <conditionalFormatting sqref="N21:T21 T22:T26">
    <cfRule type="containsText" dxfId="6677" priority="8432" operator="containsText" text="N">
      <formula>NOT(ISERROR(SEARCH(("N"),(N21))))</formula>
    </cfRule>
  </conditionalFormatting>
  <conditionalFormatting sqref="N22:T22">
    <cfRule type="containsText" dxfId="6676" priority="1908" operator="containsText" text="X">
      <formula>NOT(ISERROR(SEARCH(("X"),(N22))))</formula>
    </cfRule>
    <cfRule type="containsText" dxfId="6675" priority="1907" operator="containsText" text="K">
      <formula>NOT(ISERROR(SEARCH(("K"),(N22))))</formula>
    </cfRule>
    <cfRule type="containsText" dxfId="6674" priority="1906" operator="containsText" text="P">
      <formula>NOT(ISERROR(SEARCH(("P"),(N22))))</formula>
    </cfRule>
    <cfRule type="containsText" dxfId="6673" priority="1905" operator="containsText" text="C">
      <formula>NOT(ISERROR(SEARCH(("C"),(N22))))</formula>
    </cfRule>
    <cfRule type="containsText" dxfId="6672" priority="1904" operator="containsText" text="O">
      <formula>NOT(ISERROR(SEARCH(("O"),(N22))))</formula>
    </cfRule>
  </conditionalFormatting>
  <conditionalFormatting sqref="N20:V20">
    <cfRule type="containsText" dxfId="6671" priority="6820" operator="containsText" text="N">
      <formula>NOT(ISERROR(SEARCH(("N"),(N20))))</formula>
    </cfRule>
    <cfRule type="containsText" dxfId="6670" priority="6825" operator="containsText" text="X">
      <formula>NOT(ISERROR(SEARCH(("X"),(N20))))</formula>
    </cfRule>
    <cfRule type="containsText" dxfId="6669" priority="6824" operator="containsText" text="K">
      <formula>NOT(ISERROR(SEARCH(("K"),(N20))))</formula>
    </cfRule>
    <cfRule type="containsText" dxfId="6668" priority="6823" operator="containsText" text="P">
      <formula>NOT(ISERROR(SEARCH(("P"),(N20))))</formula>
    </cfRule>
    <cfRule type="containsText" dxfId="6667" priority="6822" operator="containsText" text="C">
      <formula>NOT(ISERROR(SEARCH(("C"),(N20))))</formula>
    </cfRule>
    <cfRule type="containsText" dxfId="6666" priority="6821" operator="containsText" text="O">
      <formula>NOT(ISERROR(SEARCH(("O"),(N20))))</formula>
    </cfRule>
    <cfRule type="containsText" dxfId="6665" priority="6826" operator="containsText" text="L">
      <formula>NOT(ISERROR(SEARCH(("L"),(N20))))</formula>
    </cfRule>
  </conditionalFormatting>
  <conditionalFormatting sqref="N22:V22">
    <cfRule type="containsText" dxfId="6664" priority="1811" operator="containsText" text="C">
      <formula>NOT(ISERROR(SEARCH(("C"),(N22))))</formula>
    </cfRule>
    <cfRule type="containsText" dxfId="6663" priority="1810" operator="containsText" text="O">
      <formula>NOT(ISERROR(SEARCH(("O"),(N22))))</formula>
    </cfRule>
    <cfRule type="containsText" dxfId="6662" priority="1809" operator="containsText" text="N">
      <formula>NOT(ISERROR(SEARCH(("N"),(N22))))</formula>
    </cfRule>
    <cfRule type="containsText" dxfId="6661" priority="1815" operator="containsText" text="L">
      <formula>NOT(ISERROR(SEARCH(("L"),(N22))))</formula>
    </cfRule>
    <cfRule type="containsText" dxfId="6660" priority="1814" operator="containsText" text="X">
      <formula>NOT(ISERROR(SEARCH(("X"),(N22))))</formula>
    </cfRule>
    <cfRule type="containsText" dxfId="6659" priority="1813" operator="containsText" text="K">
      <formula>NOT(ISERROR(SEARCH(("K"),(N22))))</formula>
    </cfRule>
    <cfRule type="containsText" dxfId="6658" priority="1812" operator="containsText" text="P">
      <formula>NOT(ISERROR(SEARCH(("P"),(N22))))</formula>
    </cfRule>
  </conditionalFormatting>
  <conditionalFormatting sqref="N20:AA20">
    <cfRule type="containsText" dxfId="6657" priority="8471" operator="containsText" text="N">
      <formula>NOT(ISERROR(SEARCH(("N"),(N20))))</formula>
    </cfRule>
  </conditionalFormatting>
  <conditionalFormatting sqref="N22:AA22">
    <cfRule type="containsText" dxfId="6656" priority="1897" operator="containsText" text="N">
      <formula>NOT(ISERROR(SEARCH(("N"),(N22))))</formula>
    </cfRule>
  </conditionalFormatting>
  <conditionalFormatting sqref="N18:AC18">
    <cfRule type="containsText" dxfId="6655" priority="3453" operator="containsText" text="N">
      <formula>NOT(ISERROR(SEARCH(("N"),(N18))))</formula>
    </cfRule>
  </conditionalFormatting>
  <conditionalFormatting sqref="N20:AC20">
    <cfRule type="containsText" dxfId="6654" priority="6860" operator="containsText" text="P">
      <formula>NOT(ISERROR(SEARCH(("P"),(N20))))</formula>
    </cfRule>
    <cfRule type="containsText" dxfId="6653" priority="6863" operator="containsText" text="L">
      <formula>NOT(ISERROR(SEARCH(("L"),(N20))))</formula>
    </cfRule>
    <cfRule type="containsText" dxfId="6652" priority="6859" operator="containsText" text="C">
      <formula>NOT(ISERROR(SEARCH(("C"),(N20))))</formula>
    </cfRule>
    <cfRule type="containsText" dxfId="6651" priority="6861" operator="containsText" text="K">
      <formula>NOT(ISERROR(SEARCH(("K"),(N20))))</formula>
    </cfRule>
    <cfRule type="containsText" dxfId="6650" priority="6858" operator="containsText" text="O">
      <formula>NOT(ISERROR(SEARCH(("O"),(N20))))</formula>
    </cfRule>
    <cfRule type="containsText" dxfId="6649" priority="6851" operator="containsText" text="N">
      <formula>NOT(ISERROR(SEARCH(("N"),(N20))))</formula>
    </cfRule>
    <cfRule type="containsText" dxfId="6648" priority="6862" operator="containsText" text="X">
      <formula>NOT(ISERROR(SEARCH(("X"),(N20))))</formula>
    </cfRule>
  </conditionalFormatting>
  <conditionalFormatting sqref="N22:AC22">
    <cfRule type="containsText" dxfId="6647" priority="1825" operator="containsText" text="N">
      <formula>NOT(ISERROR(SEARCH(("N"),(N22))))</formula>
    </cfRule>
    <cfRule type="containsText" dxfId="6646" priority="1832" operator="containsText" text="O">
      <formula>NOT(ISERROR(SEARCH(("O"),(N22))))</formula>
    </cfRule>
    <cfRule type="containsText" dxfId="6645" priority="1833" operator="containsText" text="C">
      <formula>NOT(ISERROR(SEARCH(("C"),(N22))))</formula>
    </cfRule>
    <cfRule type="containsText" dxfId="6644" priority="1834" operator="containsText" text="P">
      <formula>NOT(ISERROR(SEARCH(("P"),(N22))))</formula>
    </cfRule>
    <cfRule type="containsText" dxfId="6643" priority="1835" operator="containsText" text="K">
      <formula>NOT(ISERROR(SEARCH(("K"),(N22))))</formula>
    </cfRule>
    <cfRule type="containsText" dxfId="6642" priority="1837" operator="containsText" text="L">
      <formula>NOT(ISERROR(SEARCH(("L"),(N22))))</formula>
    </cfRule>
    <cfRule type="containsText" dxfId="6641" priority="1836" operator="containsText" text="X">
      <formula>NOT(ISERROR(SEARCH(("X"),(N22))))</formula>
    </cfRule>
  </conditionalFormatting>
  <conditionalFormatting sqref="N22:AG22">
    <cfRule type="containsText" dxfId="6640" priority="1817" operator="containsText" text="L">
      <formula>NOT(ISERROR(SEARCH(("L"),(N22))))</formula>
    </cfRule>
  </conditionalFormatting>
  <conditionalFormatting sqref="N20:AJ20">
    <cfRule type="containsText" dxfId="6639" priority="6828" operator="containsText" text="L">
      <formula>NOT(ISERROR(SEARCH(("L"),(N20))))</formula>
    </cfRule>
  </conditionalFormatting>
  <conditionalFormatting sqref="O17">
    <cfRule type="containsText" dxfId="6638" priority="3937" operator="containsText" text="K">
      <formula>NOT(ISERROR(SEARCH(("K"),(O17))))</formula>
    </cfRule>
    <cfRule type="containsText" dxfId="6637" priority="3936" operator="containsText" text="P">
      <formula>NOT(ISERROR(SEARCH(("P"),(O17))))</formula>
    </cfRule>
    <cfRule type="containsText" dxfId="6636" priority="3934" operator="containsText" text="O">
      <formula>NOT(ISERROR(SEARCH(("O"),(O17))))</formula>
    </cfRule>
    <cfRule type="containsText" dxfId="6635" priority="3939" operator="containsText" text="L">
      <formula>NOT(ISERROR(SEARCH(("L"),(O17))))</formula>
    </cfRule>
    <cfRule type="containsText" dxfId="6634" priority="3935" operator="containsText" text="C">
      <formula>NOT(ISERROR(SEARCH(("C"),(O17))))</formula>
    </cfRule>
    <cfRule type="containsText" dxfId="6633" priority="3938" operator="containsText" text="X">
      <formula>NOT(ISERROR(SEARCH(("X"),(O17))))</formula>
    </cfRule>
    <cfRule type="containsText" dxfId="6632" priority="3919" operator="containsText" text="N">
      <formula>NOT(ISERROR(SEARCH(("N"),(O17))))</formula>
    </cfRule>
  </conditionalFormatting>
  <conditionalFormatting sqref="O23">
    <cfRule type="containsText" dxfId="6631" priority="1215" operator="containsText" text="C">
      <formula>NOT(ISERROR(SEARCH(("C"),(O23))))</formula>
    </cfRule>
    <cfRule type="containsText" dxfId="6630" priority="1214" operator="containsText" text="O">
      <formula>NOT(ISERROR(SEARCH(("O"),(O23))))</formula>
    </cfRule>
    <cfRule type="containsText" dxfId="6629" priority="1198" operator="containsText" text="N">
      <formula>NOT(ISERROR(SEARCH(("N"),(O23))))</formula>
    </cfRule>
    <cfRule type="containsText" dxfId="6628" priority="1183" operator="containsText" text="L">
      <formula>NOT(ISERROR(SEARCH(("L"),(O23))))</formula>
    </cfRule>
    <cfRule type="containsText" dxfId="6627" priority="1182" operator="containsText" text="X">
      <formula>NOT(ISERROR(SEARCH(("X"),(O23))))</formula>
    </cfRule>
    <cfRule type="containsText" dxfId="6626" priority="1181" operator="containsText" text="K">
      <formula>NOT(ISERROR(SEARCH(("K"),(O23))))</formula>
    </cfRule>
    <cfRule type="containsText" dxfId="6625" priority="1218" operator="containsText" text="X">
      <formula>NOT(ISERROR(SEARCH(("X"),(O23))))</formula>
    </cfRule>
    <cfRule type="containsText" dxfId="6624" priority="1216" operator="containsText" text="P">
      <formula>NOT(ISERROR(SEARCH(("P"),(O23))))</formula>
    </cfRule>
    <cfRule type="containsText" dxfId="6623" priority="1219" operator="containsText" text="L">
      <formula>NOT(ISERROR(SEARCH(("L"),(O23))))</formula>
    </cfRule>
    <cfRule type="containsText" dxfId="6622" priority="1180" operator="containsText" text="P">
      <formula>NOT(ISERROR(SEARCH(("P"),(O23))))</formula>
    </cfRule>
    <cfRule type="containsText" dxfId="6621" priority="1179" operator="containsText" text="C">
      <formula>NOT(ISERROR(SEARCH(("C"),(O23))))</formula>
    </cfRule>
    <cfRule type="containsText" dxfId="6620" priority="1178" operator="containsText" text="O">
      <formula>NOT(ISERROR(SEARCH(("O"),(O23))))</formula>
    </cfRule>
    <cfRule type="containsText" dxfId="6619" priority="1217" operator="containsText" text="K">
      <formula>NOT(ISERROR(SEARCH(("K"),(O23))))</formula>
    </cfRule>
  </conditionalFormatting>
  <conditionalFormatting sqref="O13:Q13">
    <cfRule type="containsText" dxfId="6618" priority="4987" operator="containsText" text="P">
      <formula>NOT(ISERROR(SEARCH(("P"),(O13))))</formula>
    </cfRule>
    <cfRule type="containsText" dxfId="6617" priority="5055" operator="containsText" text="P">
      <formula>NOT(ISERROR(SEARCH(("P"),(O13))))</formula>
    </cfRule>
    <cfRule type="containsText" dxfId="6616" priority="4988" operator="containsText" text="K">
      <formula>NOT(ISERROR(SEARCH(("K"),(O13))))</formula>
    </cfRule>
    <cfRule type="containsText" dxfId="6615" priority="4989" operator="containsText" text="X">
      <formula>NOT(ISERROR(SEARCH(("X"),(O13))))</formula>
    </cfRule>
    <cfRule type="containsText" dxfId="6614" priority="5056" operator="containsText" text="K">
      <formula>NOT(ISERROR(SEARCH(("K"),(O13))))</formula>
    </cfRule>
    <cfRule type="containsText" dxfId="6613" priority="5057" operator="containsText" text="X">
      <formula>NOT(ISERROR(SEARCH(("X"),(O13))))</formula>
    </cfRule>
    <cfRule type="containsText" dxfId="6612" priority="5045" operator="containsText" text="C">
      <formula>NOT(ISERROR(SEARCH(("C"),(O13))))</formula>
    </cfRule>
    <cfRule type="containsText" dxfId="6611" priority="4990" operator="containsText" text="L">
      <formula>NOT(ISERROR(SEARCH(("L"),(O13))))</formula>
    </cfRule>
    <cfRule type="containsText" dxfId="6610" priority="4991" operator="containsText" text="N">
      <formula>NOT(ISERROR(SEARCH(("N"),(O13))))</formula>
    </cfRule>
    <cfRule type="containsText" dxfId="6609" priority="4992" operator="containsText" text="O">
      <formula>NOT(ISERROR(SEARCH(("O"),(O13))))</formula>
    </cfRule>
    <cfRule type="containsText" dxfId="6608" priority="4997" operator="containsText" text="L">
      <formula>NOT(ISERROR(SEARCH(("L"),(O13))))</formula>
    </cfRule>
    <cfRule type="containsText" dxfId="6607" priority="4993" operator="containsText" text="C">
      <formula>NOT(ISERROR(SEARCH(("C"),(O13))))</formula>
    </cfRule>
    <cfRule type="containsText" dxfId="6606" priority="4994" operator="containsText" text="P">
      <formula>NOT(ISERROR(SEARCH(("P"),(O13))))</formula>
    </cfRule>
    <cfRule type="containsText" dxfId="6605" priority="5043" operator="containsText" text="L">
      <formula>NOT(ISERROR(SEARCH(("L"),(O13))))</formula>
    </cfRule>
    <cfRule type="containsText" dxfId="6604" priority="5042" operator="containsText" text="X">
      <formula>NOT(ISERROR(SEARCH(("X"),(O13))))</formula>
    </cfRule>
    <cfRule type="containsText" dxfId="6603" priority="5041" operator="containsText" text="K">
      <formula>NOT(ISERROR(SEARCH(("K"),(O13))))</formula>
    </cfRule>
    <cfRule type="containsText" dxfId="6602" priority="5040" operator="containsText" text="P">
      <formula>NOT(ISERROR(SEARCH(("P"),(O13))))</formula>
    </cfRule>
    <cfRule type="containsText" dxfId="6601" priority="5039" operator="containsText" text="C">
      <formula>NOT(ISERROR(SEARCH(("C"),(O13))))</formula>
    </cfRule>
    <cfRule type="containsText" dxfId="6600" priority="5038" operator="containsText" text="O">
      <formula>NOT(ISERROR(SEARCH(("O"),(O13))))</formula>
    </cfRule>
    <cfRule type="containsText" dxfId="6599" priority="5037" operator="containsText" text="N">
      <formula>NOT(ISERROR(SEARCH(("N"),(O13))))</formula>
    </cfRule>
    <cfRule type="containsText" dxfId="6598" priority="5035" operator="containsText" text="L">
      <formula>NOT(ISERROR(SEARCH(("L"),(O13))))</formula>
    </cfRule>
    <cfRule type="containsText" dxfId="6597" priority="4998" operator="containsText" text="N">
      <formula>NOT(ISERROR(SEARCH(("N"),(O13))))</formula>
    </cfRule>
    <cfRule type="containsText" dxfId="6596" priority="4999" operator="containsText" text="O">
      <formula>NOT(ISERROR(SEARCH(("O"),(O13))))</formula>
    </cfRule>
    <cfRule type="containsText" dxfId="6595" priority="4983" operator="containsText" text="L">
      <formula>NOT(ISERROR(SEARCH(("L"),(O13))))</formula>
    </cfRule>
    <cfRule type="containsText" dxfId="6594" priority="5000" operator="containsText" text="C">
      <formula>NOT(ISERROR(SEARCH(("C"),(O13))))</formula>
    </cfRule>
    <cfRule type="containsText" dxfId="6593" priority="5001" operator="containsText" text="P">
      <formula>NOT(ISERROR(SEARCH(("P"),(O13))))</formula>
    </cfRule>
    <cfRule type="containsText" dxfId="6592" priority="5002" operator="containsText" text="K">
      <formula>NOT(ISERROR(SEARCH(("K"),(O13))))</formula>
    </cfRule>
    <cfRule type="containsText" dxfId="6591" priority="5003" operator="containsText" text="X">
      <formula>NOT(ISERROR(SEARCH(("X"),(O13))))</formula>
    </cfRule>
    <cfRule type="containsText" dxfId="6590" priority="5034" operator="containsText" text="X">
      <formula>NOT(ISERROR(SEARCH(("X"),(O13))))</formula>
    </cfRule>
    <cfRule type="containsText" dxfId="6589" priority="5033" operator="containsText" text="K">
      <formula>NOT(ISERROR(SEARCH(("K"),(O13))))</formula>
    </cfRule>
    <cfRule type="containsText" dxfId="6588" priority="4995" operator="containsText" text="K">
      <formula>NOT(ISERROR(SEARCH(("K"),(O13))))</formula>
    </cfRule>
    <cfRule type="containsText" dxfId="6587" priority="5032" operator="containsText" text="P">
      <formula>NOT(ISERROR(SEARCH(("P"),(O13))))</formula>
    </cfRule>
    <cfRule type="containsText" dxfId="6586" priority="5031" operator="containsText" text="C">
      <formula>NOT(ISERROR(SEARCH(("C"),(O13))))</formula>
    </cfRule>
    <cfRule type="containsText" dxfId="6585" priority="5030" operator="containsText" text="O">
      <formula>NOT(ISERROR(SEARCH(("O"),(O13))))</formula>
    </cfRule>
    <cfRule type="containsText" dxfId="6584" priority="5029" operator="containsText" text="N">
      <formula>NOT(ISERROR(SEARCH(("N"),(O13))))</formula>
    </cfRule>
    <cfRule type="containsText" dxfId="6583" priority="4996" operator="containsText" text="X">
      <formula>NOT(ISERROR(SEARCH(("X"),(O13))))</formula>
    </cfRule>
    <cfRule type="containsText" dxfId="6582" priority="5028" operator="containsText" text="L">
      <formula>NOT(ISERROR(SEARCH(("L"),(O13))))</formula>
    </cfRule>
    <cfRule type="containsText" dxfId="6581" priority="5004" operator="containsText" text="L">
      <formula>NOT(ISERROR(SEARCH(("L"),(O13))))</formula>
    </cfRule>
    <cfRule type="containsText" dxfId="6580" priority="5005" operator="containsText" text="O">
      <formula>NOT(ISERROR(SEARCH(("O"),(O13))))</formula>
    </cfRule>
    <cfRule type="containsText" dxfId="6579" priority="5061" operator="containsText" text="O">
      <formula>NOT(ISERROR(SEARCH(("O"),(O13))))</formula>
    </cfRule>
    <cfRule type="containsText" dxfId="6578" priority="5007" operator="containsText" text="P">
      <formula>NOT(ISERROR(SEARCH(("P"),(O13))))</formula>
    </cfRule>
    <cfRule type="containsText" dxfId="6577" priority="5008" operator="containsText" text="K">
      <formula>NOT(ISERROR(SEARCH(("K"),(O13))))</formula>
    </cfRule>
    <cfRule type="containsText" dxfId="6576" priority="5009" operator="containsText" text="X">
      <formula>NOT(ISERROR(SEARCH(("X"),(O13))))</formula>
    </cfRule>
    <cfRule type="containsText" dxfId="6575" priority="5010" operator="containsText" text="O">
      <formula>NOT(ISERROR(SEARCH(("O"),(O13))))</formula>
    </cfRule>
    <cfRule type="containsText" dxfId="6574" priority="5062" operator="containsText" text="C">
      <formula>NOT(ISERROR(SEARCH(("C"),(O13))))</formula>
    </cfRule>
    <cfRule type="containsText" dxfId="6573" priority="5063" operator="containsText" text="P">
      <formula>NOT(ISERROR(SEARCH(("P"),(O13))))</formula>
    </cfRule>
    <cfRule type="containsText" dxfId="6572" priority="5064" operator="containsText" text="K">
      <formula>NOT(ISERROR(SEARCH(("K"),(O13))))</formula>
    </cfRule>
    <cfRule type="containsText" dxfId="6571" priority="4977" operator="containsText" text="N">
      <formula>NOT(ISERROR(SEARCH(("N"),(O13))))</formula>
    </cfRule>
    <cfRule type="containsText" dxfId="6570" priority="5065" operator="containsText" text="X">
      <formula>NOT(ISERROR(SEARCH(("X"),(O13))))</formula>
    </cfRule>
    <cfRule type="expression" dxfId="6569" priority="5066">
      <formula>WEEKDAY(O$8)=1</formula>
    </cfRule>
    <cfRule type="containsText" dxfId="6568" priority="5047" operator="containsText" text="K">
      <formula>NOT(ISERROR(SEARCH(("K"),(O13))))</formula>
    </cfRule>
    <cfRule type="containsText" dxfId="6567" priority="5011" operator="containsText" text="C">
      <formula>NOT(ISERROR(SEARCH(("C"),(O13))))</formula>
    </cfRule>
    <cfRule type="containsText" dxfId="6566" priority="5012" operator="containsText" text="P">
      <formula>NOT(ISERROR(SEARCH(("P"),(O13))))</formula>
    </cfRule>
    <cfRule type="containsText" dxfId="6565" priority="5013" operator="containsText" text="K">
      <formula>NOT(ISERROR(SEARCH(("K"),(O13))))</formula>
    </cfRule>
    <cfRule type="containsText" dxfId="6564" priority="5014" operator="containsText" text="X">
      <formula>NOT(ISERROR(SEARCH(("X"),(O13))))</formula>
    </cfRule>
    <cfRule type="containsText" dxfId="6563" priority="5015" operator="containsText" text="L">
      <formula>NOT(ISERROR(SEARCH(("L"),(O13))))</formula>
    </cfRule>
    <cfRule type="containsText" dxfId="6562" priority="5016" operator="containsText" text="N">
      <formula>NOT(ISERROR(SEARCH(("N"),(O13))))</formula>
    </cfRule>
    <cfRule type="containsText" dxfId="6561" priority="5017" operator="containsText" text="O">
      <formula>NOT(ISERROR(SEARCH(("O"),(O13))))</formula>
    </cfRule>
    <cfRule type="containsText" dxfId="6560" priority="5018" operator="containsText" text="C">
      <formula>NOT(ISERROR(SEARCH(("C"),(O13))))</formula>
    </cfRule>
    <cfRule type="containsText" dxfId="6559" priority="5019" operator="containsText" text="P">
      <formula>NOT(ISERROR(SEARCH(("P"),(O13))))</formula>
    </cfRule>
    <cfRule type="containsText" dxfId="6558" priority="5020" operator="containsText" text="K">
      <formula>NOT(ISERROR(SEARCH(("K"),(O13))))</formula>
    </cfRule>
    <cfRule type="containsText" dxfId="6557" priority="5006" operator="containsText" text="C">
      <formula>NOT(ISERROR(SEARCH(("C"),(O13))))</formula>
    </cfRule>
    <cfRule type="containsText" dxfId="6556" priority="5022" operator="containsText" text="L">
      <formula>NOT(ISERROR(SEARCH(("L"),(O13))))</formula>
    </cfRule>
    <cfRule type="containsText" dxfId="6555" priority="5023" operator="containsText" text="O">
      <formula>NOT(ISERROR(SEARCH(("O"),(O13))))</formula>
    </cfRule>
    <cfRule type="containsText" dxfId="6554" priority="5024" operator="containsText" text="C">
      <formula>NOT(ISERROR(SEARCH(("C"),(O13))))</formula>
    </cfRule>
    <cfRule type="containsText" dxfId="6553" priority="5027" operator="containsText" text="X">
      <formula>NOT(ISERROR(SEARCH(("X"),(O13))))</formula>
    </cfRule>
    <cfRule type="containsText" dxfId="6552" priority="5026" operator="containsText" text="K">
      <formula>NOT(ISERROR(SEARCH(("K"),(O13))))</formula>
    </cfRule>
    <cfRule type="containsText" dxfId="6551" priority="5025" operator="containsText" text="P">
      <formula>NOT(ISERROR(SEARCH(("P"),(O13))))</formula>
    </cfRule>
    <cfRule type="containsText" dxfId="6550" priority="4982" operator="containsText" text="X">
      <formula>NOT(ISERROR(SEARCH(("X"),(O13))))</formula>
    </cfRule>
    <cfRule type="containsText" dxfId="6549" priority="4981" operator="containsText" text="K">
      <formula>NOT(ISERROR(SEARCH(("K"),(O13))))</formula>
    </cfRule>
    <cfRule type="containsText" dxfId="6548" priority="4980" operator="containsText" text="P">
      <formula>NOT(ISERROR(SEARCH(("P"),(O13))))</formula>
    </cfRule>
    <cfRule type="containsText" dxfId="6547" priority="4979" operator="containsText" text="C">
      <formula>NOT(ISERROR(SEARCH(("C"),(O13))))</formula>
    </cfRule>
    <cfRule type="containsText" dxfId="6546" priority="4978" operator="containsText" text="O">
      <formula>NOT(ISERROR(SEARCH(("O"),(O13))))</formula>
    </cfRule>
    <cfRule type="containsText" dxfId="6545" priority="5048" operator="containsText" text="X">
      <formula>NOT(ISERROR(SEARCH(("X"),(O13))))</formula>
    </cfRule>
    <cfRule type="containsText" dxfId="6544" priority="5049" operator="containsText" text="L">
      <formula>NOT(ISERROR(SEARCH(("L"),(O13))))</formula>
    </cfRule>
    <cfRule type="containsText" dxfId="6543" priority="5051" operator="containsText" text="N">
      <formula>NOT(ISERROR(SEARCH(("N"),(O13))))</formula>
    </cfRule>
    <cfRule type="containsText" dxfId="6542" priority="5053" operator="containsText" text="O">
      <formula>NOT(ISERROR(SEARCH(("O"),(O13))))</formula>
    </cfRule>
    <cfRule type="containsText" dxfId="6541" priority="5054" operator="containsText" text="C">
      <formula>NOT(ISERROR(SEARCH(("C"),(O13))))</formula>
    </cfRule>
    <cfRule type="containsText" dxfId="6540" priority="5046" operator="containsText" text="P">
      <formula>NOT(ISERROR(SEARCH(("P"),(O13))))</formula>
    </cfRule>
    <cfRule type="containsText" dxfId="6539" priority="4984" operator="containsText" text="N">
      <formula>NOT(ISERROR(SEARCH(("N"),(O13))))</formula>
    </cfRule>
    <cfRule type="containsText" dxfId="6538" priority="4985" operator="containsText" text="O">
      <formula>NOT(ISERROR(SEARCH(("O"),(O13))))</formula>
    </cfRule>
    <cfRule type="containsText" dxfId="6537" priority="4986" operator="containsText" text="C">
      <formula>NOT(ISERROR(SEARCH(("C"),(O13))))</formula>
    </cfRule>
    <cfRule type="containsText" dxfId="6536" priority="5044" operator="containsText" text="O">
      <formula>NOT(ISERROR(SEARCH(("O"),(O13))))</formula>
    </cfRule>
    <cfRule type="containsText" dxfId="6535" priority="5021" operator="containsText" text="X">
      <formula>NOT(ISERROR(SEARCH(("X"),(O13))))</formula>
    </cfRule>
  </conditionalFormatting>
  <conditionalFormatting sqref="O21:Q21">
    <cfRule type="containsText" dxfId="6534" priority="6547" operator="containsText" text="O">
      <formula>NOT(ISERROR(SEARCH(("O"),(O21))))</formula>
    </cfRule>
    <cfRule type="containsText" dxfId="6533" priority="6546" operator="containsText" text="N">
      <formula>NOT(ISERROR(SEARCH(("N"),(O21))))</formula>
    </cfRule>
    <cfRule type="containsText" dxfId="6532" priority="6538" operator="containsText" text="L">
      <formula>NOT(ISERROR(SEARCH(("L"),(O21))))</formula>
    </cfRule>
    <cfRule type="containsText" dxfId="6531" priority="6537" operator="containsText" text="X">
      <formula>NOT(ISERROR(SEARCH(("X"),(O21))))</formula>
    </cfRule>
    <cfRule type="containsText" dxfId="6530" priority="6536" operator="containsText" text="K">
      <formula>NOT(ISERROR(SEARCH(("K"),(O21))))</formula>
    </cfRule>
    <cfRule type="containsText" dxfId="6529" priority="6535" operator="containsText" text="P">
      <formula>NOT(ISERROR(SEARCH(("P"),(O21))))</formula>
    </cfRule>
    <cfRule type="containsText" dxfId="6528" priority="6534" operator="containsText" text="C">
      <formula>NOT(ISERROR(SEARCH(("C"),(O21))))</formula>
    </cfRule>
    <cfRule type="containsText" dxfId="6527" priority="6533" operator="containsText" text="O">
      <formula>NOT(ISERROR(SEARCH(("O"),(O21))))</formula>
    </cfRule>
    <cfRule type="containsText" dxfId="6526" priority="6549" operator="containsText" text="P">
      <formula>NOT(ISERROR(SEARCH(("P"),(O21))))</formula>
    </cfRule>
    <cfRule type="containsText" dxfId="6525" priority="6609" operator="containsText" text="N">
      <formula>NOT(ISERROR(SEARCH(("N"),(O21))))</formula>
    </cfRule>
    <cfRule type="containsText" dxfId="6524" priority="6552" operator="containsText" text="L">
      <formula>NOT(ISERROR(SEARCH(("L"),(O21))))</formula>
    </cfRule>
    <cfRule type="containsText" dxfId="6523" priority="6551" operator="containsText" text="X">
      <formula>NOT(ISERROR(SEARCH(("X"),(O21))))</formula>
    </cfRule>
    <cfRule type="containsText" dxfId="6522" priority="6550" operator="containsText" text="K">
      <formula>NOT(ISERROR(SEARCH(("K"),(O21))))</formula>
    </cfRule>
    <cfRule type="containsText" dxfId="6521" priority="6548" operator="containsText" text="C">
      <formula>NOT(ISERROR(SEARCH(("C"),(O21))))</formula>
    </cfRule>
  </conditionalFormatting>
  <conditionalFormatting sqref="O23:Q23">
    <cfRule type="containsText" dxfId="6520" priority="1224" operator="containsText" text="X">
      <formula>NOT(ISERROR(SEARCH(("X"),(O23))))</formula>
    </cfRule>
    <cfRule type="containsText" dxfId="6519" priority="1208" operator="containsText" text="C">
      <formula>NOT(ISERROR(SEARCH(("C"),(O23))))</formula>
    </cfRule>
    <cfRule type="containsText" dxfId="6518" priority="1209" operator="containsText" text="P">
      <formula>NOT(ISERROR(SEARCH(("P"),(O23))))</formula>
    </cfRule>
    <cfRule type="containsText" dxfId="6517" priority="1210" operator="containsText" text="K">
      <formula>NOT(ISERROR(SEARCH(("K"),(O23))))</formula>
    </cfRule>
    <cfRule type="containsText" dxfId="6516" priority="1211" operator="containsText" text="X">
      <formula>NOT(ISERROR(SEARCH(("X"),(O23))))</formula>
    </cfRule>
    <cfRule type="containsText" dxfId="6515" priority="1212" operator="containsText" text="L">
      <formula>NOT(ISERROR(SEARCH(("L"),(O23))))</formula>
    </cfRule>
    <cfRule type="containsText" dxfId="6514" priority="1207" operator="containsText" text="O">
      <formula>NOT(ISERROR(SEARCH(("O"),(O23))))</formula>
    </cfRule>
    <cfRule type="containsText" dxfId="6513" priority="1194" operator="containsText" text="P">
      <formula>NOT(ISERROR(SEARCH(("P"),(O23))))</formula>
    </cfRule>
    <cfRule type="containsText" dxfId="6512" priority="1195" operator="containsText" text="K">
      <formula>NOT(ISERROR(SEARCH(("K"),(O23))))</formula>
    </cfRule>
    <cfRule type="containsText" dxfId="6511" priority="1196" operator="containsText" text="X">
      <formula>NOT(ISERROR(SEARCH(("X"),(O23))))</formula>
    </cfRule>
    <cfRule type="containsText" dxfId="6510" priority="1197" operator="containsText" text="L">
      <formula>NOT(ISERROR(SEARCH(("L"),(O23))))</formula>
    </cfRule>
    <cfRule type="containsText" dxfId="6509" priority="1222" operator="containsText" text="P">
      <formula>NOT(ISERROR(SEARCH(("P"),(O23))))</formula>
    </cfRule>
    <cfRule type="containsText" dxfId="6508" priority="1199" operator="containsText" text="L">
      <formula>NOT(ISERROR(SEARCH(("L"),(O23))))</formula>
    </cfRule>
    <cfRule type="containsText" dxfId="6507" priority="1200" operator="containsText" text="N">
      <formula>NOT(ISERROR(SEARCH(("N"),(O23))))</formula>
    </cfRule>
    <cfRule type="containsText" dxfId="6506" priority="1213" operator="containsText" text="N">
      <formula>NOT(ISERROR(SEARCH(("N"),(O23))))</formula>
    </cfRule>
    <cfRule type="containsText" dxfId="6505" priority="1220" operator="containsText" text="O">
      <formula>NOT(ISERROR(SEARCH(("O"),(O23))))</formula>
    </cfRule>
    <cfRule type="containsText" dxfId="6504" priority="1221" operator="containsText" text="C">
      <formula>NOT(ISERROR(SEARCH(("C"),(O23))))</formula>
    </cfRule>
    <cfRule type="containsText" dxfId="6503" priority="1193" operator="containsText" text="C">
      <formula>NOT(ISERROR(SEARCH(("C"),(O23))))</formula>
    </cfRule>
    <cfRule type="containsText" dxfId="6502" priority="1223" operator="containsText" text="K">
      <formula>NOT(ISERROR(SEARCH(("K"),(O23))))</formula>
    </cfRule>
    <cfRule type="containsText" dxfId="6501" priority="1184" operator="containsText" text="N">
      <formula>NOT(ISERROR(SEARCH(("N"),(O23))))</formula>
    </cfRule>
    <cfRule type="containsText" dxfId="6500" priority="1185" operator="containsText" text="O">
      <formula>NOT(ISERROR(SEARCH(("O"),(O23))))</formula>
    </cfRule>
    <cfRule type="containsText" dxfId="6499" priority="1186" operator="containsText" text="C">
      <formula>NOT(ISERROR(SEARCH(("C"),(O23))))</formula>
    </cfRule>
    <cfRule type="containsText" dxfId="6498" priority="1187" operator="containsText" text="P">
      <formula>NOT(ISERROR(SEARCH(("P"),(O23))))</formula>
    </cfRule>
    <cfRule type="containsText" dxfId="6497" priority="1188" operator="containsText" text="K">
      <formula>NOT(ISERROR(SEARCH(("K"),(O23))))</formula>
    </cfRule>
    <cfRule type="containsText" dxfId="6496" priority="1189" operator="containsText" text="X">
      <formula>NOT(ISERROR(SEARCH(("X"),(O23))))</formula>
    </cfRule>
    <cfRule type="containsText" dxfId="6495" priority="1190" operator="containsText" text="L">
      <formula>NOT(ISERROR(SEARCH(("L"),(O23))))</formula>
    </cfRule>
    <cfRule type="containsText" dxfId="6494" priority="1191" operator="containsText" text="N">
      <formula>NOT(ISERROR(SEARCH(("N"),(O23))))</formula>
    </cfRule>
    <cfRule type="containsText" dxfId="6493" priority="1192" operator="containsText" text="O">
      <formula>NOT(ISERROR(SEARCH(("O"),(O23))))</formula>
    </cfRule>
  </conditionalFormatting>
  <conditionalFormatting sqref="O17:S17">
    <cfRule type="containsText" dxfId="6492" priority="3920" operator="containsText" text="L">
      <formula>NOT(ISERROR(SEARCH(("L"),(O17))))</formula>
    </cfRule>
    <cfRule type="containsText" dxfId="6491" priority="3918" operator="containsText" text="L">
      <formula>NOT(ISERROR(SEARCH(("L"),(O17))))</formula>
    </cfRule>
    <cfRule type="containsText" dxfId="6490" priority="3917" operator="containsText" text="X">
      <formula>NOT(ISERROR(SEARCH(("X"),(O17))))</formula>
    </cfRule>
    <cfRule type="containsText" dxfId="6489" priority="3916" operator="containsText" text="K">
      <formula>NOT(ISERROR(SEARCH(("K"),(O17))))</formula>
    </cfRule>
    <cfRule type="containsText" dxfId="6488" priority="3915" operator="containsText" text="P">
      <formula>NOT(ISERROR(SEARCH(("P"),(O17))))</formula>
    </cfRule>
    <cfRule type="containsText" dxfId="6487" priority="3914" operator="containsText" text="C">
      <formula>NOT(ISERROR(SEARCH(("C"),(O17))))</formula>
    </cfRule>
    <cfRule type="containsText" dxfId="6486" priority="3913" operator="containsText" text="O">
      <formula>NOT(ISERROR(SEARCH(("O"),(O17))))</formula>
    </cfRule>
    <cfRule type="containsText" dxfId="6485" priority="3912" operator="containsText" text="N">
      <formula>NOT(ISERROR(SEARCH(("N"),(O17))))</formula>
    </cfRule>
  </conditionalFormatting>
  <conditionalFormatting sqref="O24:S24">
    <cfRule type="containsText" dxfId="6484" priority="769" operator="containsText" text="X">
      <formula>NOT(ISERROR(SEARCH(("X"),(O24))))</formula>
    </cfRule>
    <cfRule type="containsText" dxfId="6483" priority="768" operator="containsText" text="K">
      <formula>NOT(ISERROR(SEARCH(("K"),(O24))))</formula>
    </cfRule>
    <cfRule type="containsText" dxfId="6482" priority="767" operator="containsText" text="P">
      <formula>NOT(ISERROR(SEARCH(("P"),(O24))))</formula>
    </cfRule>
    <cfRule type="containsText" dxfId="6481" priority="766" operator="containsText" text="C">
      <formula>NOT(ISERROR(SEARCH(("C"),(O24))))</formula>
    </cfRule>
    <cfRule type="containsText" dxfId="6480" priority="765" operator="containsText" text="L">
      <formula>NOT(ISERROR(SEARCH(("L"),(O24))))</formula>
    </cfRule>
    <cfRule type="containsText" dxfId="6479" priority="764" operator="containsText" text="X">
      <formula>NOT(ISERROR(SEARCH(("X"),(O24))))</formula>
    </cfRule>
    <cfRule type="containsText" dxfId="6478" priority="763" operator="containsText" text="K">
      <formula>NOT(ISERROR(SEARCH(("K"),(O24))))</formula>
    </cfRule>
    <cfRule type="containsText" dxfId="6477" priority="762" operator="containsText" text="P">
      <formula>NOT(ISERROR(SEARCH(("P"),(O24))))</formula>
    </cfRule>
    <cfRule type="containsText" dxfId="6476" priority="761" operator="containsText" text="C">
      <formula>NOT(ISERROR(SEARCH(("C"),(O24))))</formula>
    </cfRule>
    <cfRule type="containsText" dxfId="6475" priority="760" operator="containsText" text="O">
      <formula>NOT(ISERROR(SEARCH(("O"),(O24))))</formula>
    </cfRule>
    <cfRule type="containsText" dxfId="6474" priority="759" operator="containsText" text="N">
      <formula>NOT(ISERROR(SEARCH(("N"),(O24))))</formula>
    </cfRule>
    <cfRule type="containsText" dxfId="6473" priority="758" operator="containsText" text="L">
      <formula>NOT(ISERROR(SEARCH(("L"),(O24))))</formula>
    </cfRule>
    <cfRule type="containsText" dxfId="6472" priority="757" operator="containsText" text="X">
      <formula>NOT(ISERROR(SEARCH(("X"),(O24))))</formula>
    </cfRule>
    <cfRule type="containsText" dxfId="6471" priority="756" operator="containsText" text="K">
      <formula>NOT(ISERROR(SEARCH(("K"),(O24))))</formula>
    </cfRule>
    <cfRule type="containsText" dxfId="6470" priority="755" operator="containsText" text="P">
      <formula>NOT(ISERROR(SEARCH(("P"),(O24))))</formula>
    </cfRule>
    <cfRule type="containsText" dxfId="6469" priority="754" operator="containsText" text="C">
      <formula>NOT(ISERROR(SEARCH(("C"),(O24))))</formula>
    </cfRule>
    <cfRule type="containsText" dxfId="6468" priority="753" operator="containsText" text="O">
      <formula>NOT(ISERROR(SEARCH(("O"),(O24))))</formula>
    </cfRule>
    <cfRule type="containsText" dxfId="6467" priority="752" operator="containsText" text="L">
      <formula>NOT(ISERROR(SEARCH(("L"),(O24))))</formula>
    </cfRule>
    <cfRule type="containsText" dxfId="6466" priority="751" operator="containsText" text="N">
      <formula>NOT(ISERROR(SEARCH(("N"),(O24))))</formula>
    </cfRule>
    <cfRule type="containsText" dxfId="6465" priority="750" operator="containsText" text="L">
      <formula>NOT(ISERROR(SEARCH(("L"),(O24))))</formula>
    </cfRule>
    <cfRule type="containsText" dxfId="6464" priority="749" operator="containsText" text="N">
      <formula>NOT(ISERROR(SEARCH(("N"),(O24))))</formula>
    </cfRule>
    <cfRule type="containsText" dxfId="6463" priority="691" operator="containsText" text="O">
      <formula>NOT(ISERROR(SEARCH(("O"),(O24))))</formula>
    </cfRule>
    <cfRule type="containsText" dxfId="6462" priority="747" operator="containsText" text="X">
      <formula>NOT(ISERROR(SEARCH(("X"),(O24))))</formula>
    </cfRule>
    <cfRule type="containsText" dxfId="6461" priority="746" operator="containsText" text="K">
      <formula>NOT(ISERROR(SEARCH(("K"),(O24))))</formula>
    </cfRule>
    <cfRule type="containsText" dxfId="6460" priority="745" operator="containsText" text="P">
      <formula>NOT(ISERROR(SEARCH(("P"),(O24))))</formula>
    </cfRule>
    <cfRule type="containsText" dxfId="6459" priority="744" operator="containsText" text="C">
      <formula>NOT(ISERROR(SEARCH(("C"),(O24))))</formula>
    </cfRule>
    <cfRule type="containsText" dxfId="6458" priority="743" operator="containsText" text="O">
      <formula>NOT(ISERROR(SEARCH(("O"),(O24))))</formula>
    </cfRule>
    <cfRule type="containsText" dxfId="6457" priority="742" operator="containsText" text="N">
      <formula>NOT(ISERROR(SEARCH(("N"),(O24))))</formula>
    </cfRule>
    <cfRule type="containsText" dxfId="6456" priority="741" operator="containsText" text="L">
      <formula>NOT(ISERROR(SEARCH(("L"),(O24))))</formula>
    </cfRule>
    <cfRule type="containsText" dxfId="6455" priority="740" operator="containsText" text="X">
      <formula>NOT(ISERROR(SEARCH(("X"),(O24))))</formula>
    </cfRule>
    <cfRule type="containsText" dxfId="6454" priority="739" operator="containsText" text="K">
      <formula>NOT(ISERROR(SEARCH(("K"),(O24))))</formula>
    </cfRule>
    <cfRule type="containsText" dxfId="6453" priority="738" operator="containsText" text="P">
      <formula>NOT(ISERROR(SEARCH(("P"),(O24))))</formula>
    </cfRule>
    <cfRule type="containsText" dxfId="6452" priority="737" operator="containsText" text="C">
      <formula>NOT(ISERROR(SEARCH(("C"),(O24))))</formula>
    </cfRule>
    <cfRule type="containsText" dxfId="6451" priority="736" operator="containsText" text="O">
      <formula>NOT(ISERROR(SEARCH(("O"),(O24))))</formula>
    </cfRule>
    <cfRule type="containsText" dxfId="6450" priority="735" operator="containsText" text="N">
      <formula>NOT(ISERROR(SEARCH(("N"),(O24))))</formula>
    </cfRule>
    <cfRule type="containsText" dxfId="6449" priority="734" operator="containsText" text="L">
      <formula>NOT(ISERROR(SEARCH(("L"),(O24))))</formula>
    </cfRule>
    <cfRule type="containsText" dxfId="6448" priority="733" operator="containsText" text="X">
      <formula>NOT(ISERROR(SEARCH(("X"),(O24))))</formula>
    </cfRule>
    <cfRule type="containsText" dxfId="6447" priority="732" operator="containsText" text="K">
      <formula>NOT(ISERROR(SEARCH(("K"),(O24))))</formula>
    </cfRule>
    <cfRule type="containsText" dxfId="6446" priority="731" operator="containsText" text="P">
      <formula>NOT(ISERROR(SEARCH(("P"),(O24))))</formula>
    </cfRule>
    <cfRule type="containsText" dxfId="6445" priority="730" operator="containsText" text="C">
      <formula>NOT(ISERROR(SEARCH(("C"),(O24))))</formula>
    </cfRule>
    <cfRule type="containsText" dxfId="6444" priority="729" operator="containsText" text="O">
      <formula>NOT(ISERROR(SEARCH(("O"),(O24))))</formula>
    </cfRule>
    <cfRule type="containsText" dxfId="6443" priority="728" operator="containsText" text="N">
      <formula>NOT(ISERROR(SEARCH(("N"),(O24))))</formula>
    </cfRule>
    <cfRule type="containsText" dxfId="6442" priority="727" operator="containsText" text="L">
      <formula>NOT(ISERROR(SEARCH(("L"),(O24))))</formula>
    </cfRule>
    <cfRule type="containsText" dxfId="6441" priority="726" operator="containsText" text="X">
      <formula>NOT(ISERROR(SEARCH(("X"),(O24))))</formula>
    </cfRule>
    <cfRule type="containsText" dxfId="6440" priority="725" operator="containsText" text="K">
      <formula>NOT(ISERROR(SEARCH(("K"),(O24))))</formula>
    </cfRule>
    <cfRule type="containsText" dxfId="6439" priority="724" operator="containsText" text="P">
      <formula>NOT(ISERROR(SEARCH(("P"),(O24))))</formula>
    </cfRule>
    <cfRule type="containsText" dxfId="6438" priority="723" operator="containsText" text="C">
      <formula>NOT(ISERROR(SEARCH(("C"),(O24))))</formula>
    </cfRule>
    <cfRule type="containsText" dxfId="6437" priority="722" operator="containsText" text="O">
      <formula>NOT(ISERROR(SEARCH(("O"),(O24))))</formula>
    </cfRule>
    <cfRule type="containsText" dxfId="6436" priority="721" operator="containsText" text="N">
      <formula>NOT(ISERROR(SEARCH(("N"),(O24))))</formula>
    </cfRule>
    <cfRule type="containsText" dxfId="6435" priority="720" operator="containsText" text="L">
      <formula>NOT(ISERROR(SEARCH(("L"),(O24))))</formula>
    </cfRule>
    <cfRule type="containsText" dxfId="6434" priority="719" operator="containsText" text="X">
      <formula>NOT(ISERROR(SEARCH(("X"),(O24))))</formula>
    </cfRule>
    <cfRule type="containsText" dxfId="6433" priority="718" operator="containsText" text="K">
      <formula>NOT(ISERROR(SEARCH(("K"),(O24))))</formula>
    </cfRule>
    <cfRule type="containsText" dxfId="6432" priority="717" operator="containsText" text="P">
      <formula>NOT(ISERROR(SEARCH(("P"),(O24))))</formula>
    </cfRule>
    <cfRule type="containsText" dxfId="6431" priority="716" operator="containsText" text="C">
      <formula>NOT(ISERROR(SEARCH(("C"),(O24))))</formula>
    </cfRule>
    <cfRule type="containsText" dxfId="6430" priority="715" operator="containsText" text="O">
      <formula>NOT(ISERROR(SEARCH(("O"),(O24))))</formula>
    </cfRule>
    <cfRule type="containsText" dxfId="6429" priority="714" operator="containsText" text="L">
      <formula>NOT(ISERROR(SEARCH(("L"),(O24))))</formula>
    </cfRule>
    <cfRule type="containsText" dxfId="6428" priority="713" operator="containsText" text="N">
      <formula>NOT(ISERROR(SEARCH(("N"),(O24))))</formula>
    </cfRule>
    <cfRule type="containsText" dxfId="6427" priority="712" operator="containsText" text="L">
      <formula>NOT(ISERROR(SEARCH(("L"),(O24))))</formula>
    </cfRule>
    <cfRule type="containsText" dxfId="6426" priority="711" operator="containsText" text="N">
      <formula>NOT(ISERROR(SEARCH(("N"),(O24))))</formula>
    </cfRule>
    <cfRule type="containsText" dxfId="6425" priority="710" operator="containsText" text="L">
      <formula>NOT(ISERROR(SEARCH(("L"),(O24))))</formula>
    </cfRule>
    <cfRule type="containsText" dxfId="6424" priority="709" operator="containsText" text="X">
      <formula>NOT(ISERROR(SEARCH(("X"),(O24))))</formula>
    </cfRule>
    <cfRule type="containsText" dxfId="6423" priority="708" operator="containsText" text="K">
      <formula>NOT(ISERROR(SEARCH(("K"),(O24))))</formula>
    </cfRule>
    <cfRule type="containsText" dxfId="6422" priority="707" operator="containsText" text="P">
      <formula>NOT(ISERROR(SEARCH(("P"),(O24))))</formula>
    </cfRule>
    <cfRule type="containsText" dxfId="6421" priority="706" operator="containsText" text="C">
      <formula>NOT(ISERROR(SEARCH(("C"),(O24))))</formula>
    </cfRule>
    <cfRule type="containsText" dxfId="6420" priority="705" operator="containsText" text="O">
      <formula>NOT(ISERROR(SEARCH(("O"),(O24))))</formula>
    </cfRule>
    <cfRule type="containsText" dxfId="6419" priority="704" operator="containsText" text="N">
      <formula>NOT(ISERROR(SEARCH(("N"),(O24))))</formula>
    </cfRule>
    <cfRule type="containsText" dxfId="6418" priority="703" operator="containsText" text="L">
      <formula>NOT(ISERROR(SEARCH(("L"),(O24))))</formula>
    </cfRule>
    <cfRule type="containsText" dxfId="6417" priority="702" operator="containsText" text="X">
      <formula>NOT(ISERROR(SEARCH(("X"),(O24))))</formula>
    </cfRule>
    <cfRule type="containsText" dxfId="6416" priority="748" operator="containsText" text="L">
      <formula>NOT(ISERROR(SEARCH(("L"),(O24))))</formula>
    </cfRule>
    <cfRule type="containsText" dxfId="6415" priority="700" operator="containsText" text="P">
      <formula>NOT(ISERROR(SEARCH(("P"),(O24))))</formula>
    </cfRule>
    <cfRule type="containsText" dxfId="6414" priority="699" operator="containsText" text="C">
      <formula>NOT(ISERROR(SEARCH(("C"),(O24))))</formula>
    </cfRule>
    <cfRule type="containsText" dxfId="6413" priority="698" operator="containsText" text="O">
      <formula>NOT(ISERROR(SEARCH(("O"),(O24))))</formula>
    </cfRule>
    <cfRule type="containsText" dxfId="6412" priority="697" operator="containsText" text="N">
      <formula>NOT(ISERROR(SEARCH(("N"),(O24))))</formula>
    </cfRule>
    <cfRule type="containsText" dxfId="6411" priority="696" operator="containsText" text="L">
      <formula>NOT(ISERROR(SEARCH(("L"),(O24))))</formula>
    </cfRule>
    <cfRule type="containsText" dxfId="6410" priority="695" operator="containsText" text="X">
      <formula>NOT(ISERROR(SEARCH(("X"),(O24))))</formula>
    </cfRule>
    <cfRule type="containsText" dxfId="6409" priority="694" operator="containsText" text="K">
      <formula>NOT(ISERROR(SEARCH(("K"),(O24))))</formula>
    </cfRule>
    <cfRule type="containsText" dxfId="6408" priority="693" operator="containsText" text="P">
      <formula>NOT(ISERROR(SEARCH(("P"),(O24))))</formula>
    </cfRule>
    <cfRule type="containsText" dxfId="6407" priority="692" operator="containsText" text="C">
      <formula>NOT(ISERROR(SEARCH(("C"),(O24))))</formula>
    </cfRule>
    <cfRule type="containsText" dxfId="6406" priority="776" operator="containsText" text="X">
      <formula>NOT(ISERROR(SEARCH(("X"),(O24))))</formula>
    </cfRule>
    <cfRule type="containsText" dxfId="6405" priority="690" operator="containsText" text="N">
      <formula>NOT(ISERROR(SEARCH(("N"),(O24))))</formula>
    </cfRule>
    <cfRule type="containsText" dxfId="6404" priority="689" operator="containsText" text="L">
      <formula>NOT(ISERROR(SEARCH(("L"),(O24))))</formula>
    </cfRule>
    <cfRule type="containsText" dxfId="6403" priority="688" operator="containsText" text="X">
      <formula>NOT(ISERROR(SEARCH(("X"),(O24))))</formula>
    </cfRule>
    <cfRule type="containsText" dxfId="6402" priority="687" operator="containsText" text="K">
      <formula>NOT(ISERROR(SEARCH(("K"),(O24))))</formula>
    </cfRule>
    <cfRule type="containsText" dxfId="6401" priority="686" operator="containsText" text="P">
      <formula>NOT(ISERROR(SEARCH(("P"),(O24))))</formula>
    </cfRule>
    <cfRule type="containsText" dxfId="6400" priority="685" operator="containsText" text="C">
      <formula>NOT(ISERROR(SEARCH(("C"),(O24))))</formula>
    </cfRule>
    <cfRule type="containsText" dxfId="6399" priority="701" operator="containsText" text="K">
      <formula>NOT(ISERROR(SEARCH(("K"),(O24))))</formula>
    </cfRule>
    <cfRule type="containsText" dxfId="6398" priority="683" operator="containsText" text="N">
      <formula>NOT(ISERROR(SEARCH(("N"),(O24))))</formula>
    </cfRule>
    <cfRule type="containsText" dxfId="6397" priority="682" operator="containsText" text="L">
      <formula>NOT(ISERROR(SEARCH(("L"),(O24))))</formula>
    </cfRule>
    <cfRule type="containsText" dxfId="6396" priority="681" operator="containsText" text="X">
      <formula>NOT(ISERROR(SEARCH(("X"),(O24))))</formula>
    </cfRule>
    <cfRule type="containsText" dxfId="6395" priority="680" operator="containsText" text="K">
      <formula>NOT(ISERROR(SEARCH(("K"),(O24))))</formula>
    </cfRule>
    <cfRule type="containsText" dxfId="6394" priority="679" operator="containsText" text="P">
      <formula>NOT(ISERROR(SEARCH(("P"),(O24))))</formula>
    </cfRule>
    <cfRule type="containsText" dxfId="6393" priority="678" operator="containsText" text="C">
      <formula>NOT(ISERROR(SEARCH(("C"),(O24))))</formula>
    </cfRule>
    <cfRule type="containsText" dxfId="6392" priority="677" operator="containsText" text="O">
      <formula>NOT(ISERROR(SEARCH(("O"),(O24))))</formula>
    </cfRule>
    <cfRule type="containsText" dxfId="6391" priority="676" operator="containsText" text="N">
      <formula>NOT(ISERROR(SEARCH(("N"),(O24))))</formula>
    </cfRule>
    <cfRule type="containsText" dxfId="6390" priority="675" operator="containsText" text="N">
      <formula>NOT(ISERROR(SEARCH(("N"),(O24))))</formula>
    </cfRule>
    <cfRule type="containsText" dxfId="6389" priority="674" operator="containsText" text="N">
      <formula>NOT(ISERROR(SEARCH(("N"),(O24))))</formula>
    </cfRule>
    <cfRule type="containsText" dxfId="6388" priority="775" operator="containsText" text="K">
      <formula>NOT(ISERROR(SEARCH(("K"),(O24))))</formula>
    </cfRule>
    <cfRule type="containsText" dxfId="6387" priority="774" operator="containsText" text="P">
      <formula>NOT(ISERROR(SEARCH(("P"),(O24))))</formula>
    </cfRule>
    <cfRule type="containsText" dxfId="6386" priority="773" operator="containsText" text="C">
      <formula>NOT(ISERROR(SEARCH(("C"),(O24))))</formula>
    </cfRule>
    <cfRule type="containsText" dxfId="6385" priority="772" operator="containsText" text="O">
      <formula>NOT(ISERROR(SEARCH(("O"),(O24))))</formula>
    </cfRule>
    <cfRule type="containsText" dxfId="6384" priority="771" operator="containsText" text="N">
      <formula>NOT(ISERROR(SEARCH(("N"),(O24))))</formula>
    </cfRule>
    <cfRule type="containsText" dxfId="6383" priority="770" operator="containsText" text="L">
      <formula>NOT(ISERROR(SEARCH(("L"),(O24))))</formula>
    </cfRule>
    <cfRule type="containsText" dxfId="6382" priority="684" operator="containsText" text="O">
      <formula>NOT(ISERROR(SEARCH(("O"),(O24))))</formula>
    </cfRule>
  </conditionalFormatting>
  <conditionalFormatting sqref="O25:S25">
    <cfRule type="containsText" dxfId="6381" priority="396" operator="containsText" text="K">
      <formula>NOT(ISERROR(SEARCH(("K"),(O25))))</formula>
    </cfRule>
    <cfRule type="containsText" dxfId="6380" priority="395" operator="containsText" text="P">
      <formula>NOT(ISERROR(SEARCH(("P"),(O25))))</formula>
    </cfRule>
    <cfRule type="containsText" dxfId="6379" priority="394" operator="containsText" text="C">
      <formula>NOT(ISERROR(SEARCH(("C"),(O25))))</formula>
    </cfRule>
    <cfRule type="containsText" dxfId="6378" priority="393" operator="containsText" text="O">
      <formula>NOT(ISERROR(SEARCH(("O"),(O25))))</formula>
    </cfRule>
    <cfRule type="containsText" dxfId="6377" priority="392" operator="containsText" text="N">
      <formula>NOT(ISERROR(SEARCH(("N"),(O25))))</formula>
    </cfRule>
    <cfRule type="containsText" dxfId="6376" priority="391" operator="containsText" text="L">
      <formula>NOT(ISERROR(SEARCH(("L"),(O25))))</formula>
    </cfRule>
    <cfRule type="containsText" dxfId="6375" priority="390" operator="containsText" text="X">
      <formula>NOT(ISERROR(SEARCH(("X"),(O25))))</formula>
    </cfRule>
    <cfRule type="containsText" dxfId="6374" priority="389" operator="containsText" text="K">
      <formula>NOT(ISERROR(SEARCH(("K"),(O25))))</formula>
    </cfRule>
    <cfRule type="containsText" dxfId="6373" priority="388" operator="containsText" text="P">
      <formula>NOT(ISERROR(SEARCH(("P"),(O25))))</formula>
    </cfRule>
    <cfRule type="containsText" dxfId="6372" priority="387" operator="containsText" text="C">
      <formula>NOT(ISERROR(SEARCH(("C"),(O25))))</formula>
    </cfRule>
    <cfRule type="containsText" dxfId="6371" priority="386" operator="containsText" text="O">
      <formula>NOT(ISERROR(SEARCH(("O"),(O25))))</formula>
    </cfRule>
    <cfRule type="containsText" dxfId="6370" priority="385" operator="containsText" text="L">
      <formula>NOT(ISERROR(SEARCH(("L"),(O25))))</formula>
    </cfRule>
    <cfRule type="containsText" dxfId="6369" priority="384" operator="containsText" text="N">
      <formula>NOT(ISERROR(SEARCH(("N"),(O25))))</formula>
    </cfRule>
    <cfRule type="containsText" dxfId="6368" priority="383" operator="containsText" text="L">
      <formula>NOT(ISERROR(SEARCH(("L"),(O25))))</formula>
    </cfRule>
    <cfRule type="containsText" dxfId="6367" priority="382" operator="containsText" text="N">
      <formula>NOT(ISERROR(SEARCH(("N"),(O25))))</formula>
    </cfRule>
    <cfRule type="containsText" dxfId="6366" priority="381" operator="containsText" text="L">
      <formula>NOT(ISERROR(SEARCH(("L"),(O25))))</formula>
    </cfRule>
    <cfRule type="containsText" dxfId="6365" priority="379" operator="containsText" text="K">
      <formula>NOT(ISERROR(SEARCH(("K"),(O25))))</formula>
    </cfRule>
    <cfRule type="containsText" dxfId="6364" priority="378" operator="containsText" text="P">
      <formula>NOT(ISERROR(SEARCH(("P"),(O25))))</formula>
    </cfRule>
    <cfRule type="containsText" dxfId="6363" priority="377" operator="containsText" text="C">
      <formula>NOT(ISERROR(SEARCH(("C"),(O25))))</formula>
    </cfRule>
    <cfRule type="containsText" dxfId="6362" priority="376" operator="containsText" text="O">
      <formula>NOT(ISERROR(SEARCH(("O"),(O25))))</formula>
    </cfRule>
    <cfRule type="containsText" dxfId="6361" priority="375" operator="containsText" text="N">
      <formula>NOT(ISERROR(SEARCH(("N"),(O25))))</formula>
    </cfRule>
    <cfRule type="containsText" dxfId="6360" priority="374" operator="containsText" text="L">
      <formula>NOT(ISERROR(SEARCH(("L"),(O25))))</formula>
    </cfRule>
    <cfRule type="containsText" dxfId="6359" priority="373" operator="containsText" text="X">
      <formula>NOT(ISERROR(SEARCH(("X"),(O25))))</formula>
    </cfRule>
    <cfRule type="containsText" dxfId="6358" priority="372" operator="containsText" text="K">
      <formula>NOT(ISERROR(SEARCH(("K"),(O25))))</formula>
    </cfRule>
    <cfRule type="containsText" dxfId="6357" priority="371" operator="containsText" text="P">
      <formula>NOT(ISERROR(SEARCH(("P"),(O25))))</formula>
    </cfRule>
    <cfRule type="containsText" dxfId="6356" priority="370" operator="containsText" text="C">
      <formula>NOT(ISERROR(SEARCH(("C"),(O25))))</formula>
    </cfRule>
    <cfRule type="containsText" dxfId="6355" priority="369" operator="containsText" text="O">
      <formula>NOT(ISERROR(SEARCH(("O"),(O25))))</formula>
    </cfRule>
    <cfRule type="containsText" dxfId="6354" priority="368" operator="containsText" text="N">
      <formula>NOT(ISERROR(SEARCH(("N"),(O25))))</formula>
    </cfRule>
    <cfRule type="containsText" dxfId="6353" priority="367" operator="containsText" text="L">
      <formula>NOT(ISERROR(SEARCH(("L"),(O25))))</formula>
    </cfRule>
    <cfRule type="containsText" dxfId="6352" priority="366" operator="containsText" text="X">
      <formula>NOT(ISERROR(SEARCH(("X"),(O25))))</formula>
    </cfRule>
    <cfRule type="containsText" dxfId="6351" priority="365" operator="containsText" text="K">
      <formula>NOT(ISERROR(SEARCH(("K"),(O25))))</formula>
    </cfRule>
    <cfRule type="containsText" dxfId="6350" priority="364" operator="containsText" text="P">
      <formula>NOT(ISERROR(SEARCH(("P"),(O25))))</formula>
    </cfRule>
    <cfRule type="containsText" dxfId="6349" priority="363" operator="containsText" text="C">
      <formula>NOT(ISERROR(SEARCH(("C"),(O25))))</formula>
    </cfRule>
    <cfRule type="containsText" dxfId="6348" priority="362" operator="containsText" text="O">
      <formula>NOT(ISERROR(SEARCH(("O"),(O25))))</formula>
    </cfRule>
    <cfRule type="containsText" dxfId="6347" priority="361" operator="containsText" text="N">
      <formula>NOT(ISERROR(SEARCH(("N"),(O25))))</formula>
    </cfRule>
    <cfRule type="containsText" dxfId="6346" priority="360" operator="containsText" text="L">
      <formula>NOT(ISERROR(SEARCH(("L"),(O25))))</formula>
    </cfRule>
    <cfRule type="containsText" dxfId="6345" priority="359" operator="containsText" text="X">
      <formula>NOT(ISERROR(SEARCH(("X"),(O25))))</formula>
    </cfRule>
    <cfRule type="containsText" dxfId="6344" priority="358" operator="containsText" text="K">
      <formula>NOT(ISERROR(SEARCH(("K"),(O25))))</formula>
    </cfRule>
    <cfRule type="containsText" dxfId="6343" priority="357" operator="containsText" text="P">
      <formula>NOT(ISERROR(SEARCH(("P"),(O25))))</formula>
    </cfRule>
    <cfRule type="containsText" dxfId="6342" priority="356" operator="containsText" text="C">
      <formula>NOT(ISERROR(SEARCH(("C"),(O25))))</formula>
    </cfRule>
    <cfRule type="containsText" dxfId="6341" priority="355" operator="containsText" text="O">
      <formula>NOT(ISERROR(SEARCH(("O"),(O25))))</formula>
    </cfRule>
    <cfRule type="containsText" dxfId="6340" priority="354" operator="containsText" text="N">
      <formula>NOT(ISERROR(SEARCH(("N"),(O25))))</formula>
    </cfRule>
    <cfRule type="containsText" dxfId="6339" priority="353" operator="containsText" text="L">
      <formula>NOT(ISERROR(SEARCH(("L"),(O25))))</formula>
    </cfRule>
    <cfRule type="containsText" dxfId="6338" priority="352" operator="containsText" text="X">
      <formula>NOT(ISERROR(SEARCH(("X"),(O25))))</formula>
    </cfRule>
    <cfRule type="containsText" dxfId="6337" priority="351" operator="containsText" text="K">
      <formula>NOT(ISERROR(SEARCH(("K"),(O25))))</formula>
    </cfRule>
    <cfRule type="containsText" dxfId="6336" priority="350" operator="containsText" text="P">
      <formula>NOT(ISERROR(SEARCH(("P"),(O25))))</formula>
    </cfRule>
    <cfRule type="containsText" dxfId="6335" priority="349" operator="containsText" text="C">
      <formula>NOT(ISERROR(SEARCH(("C"),(O25))))</formula>
    </cfRule>
    <cfRule type="containsText" dxfId="6334" priority="348" operator="containsText" text="O">
      <formula>NOT(ISERROR(SEARCH(("O"),(O25))))</formula>
    </cfRule>
    <cfRule type="containsText" dxfId="6333" priority="347" operator="containsText" text="L">
      <formula>NOT(ISERROR(SEARCH(("L"),(O25))))</formula>
    </cfRule>
    <cfRule type="containsText" dxfId="6332" priority="346" operator="containsText" text="N">
      <formula>NOT(ISERROR(SEARCH(("N"),(O25))))</formula>
    </cfRule>
    <cfRule type="containsText" dxfId="6331" priority="345" operator="containsText" text="L">
      <formula>NOT(ISERROR(SEARCH(("L"),(O25))))</formula>
    </cfRule>
    <cfRule type="containsText" dxfId="6330" priority="344" operator="containsText" text="N">
      <formula>NOT(ISERROR(SEARCH(("N"),(O25))))</formula>
    </cfRule>
    <cfRule type="containsText" dxfId="6329" priority="343" operator="containsText" text="L">
      <formula>NOT(ISERROR(SEARCH(("L"),(O25))))</formula>
    </cfRule>
    <cfRule type="containsText" dxfId="6328" priority="342" operator="containsText" text="X">
      <formula>NOT(ISERROR(SEARCH(("X"),(O25))))</formula>
    </cfRule>
    <cfRule type="containsText" dxfId="6327" priority="341" operator="containsText" text="K">
      <formula>NOT(ISERROR(SEARCH(("K"),(O25))))</formula>
    </cfRule>
    <cfRule type="containsText" dxfId="6326" priority="340" operator="containsText" text="P">
      <formula>NOT(ISERROR(SEARCH(("P"),(O25))))</formula>
    </cfRule>
    <cfRule type="containsText" dxfId="6325" priority="339" operator="containsText" text="C">
      <formula>NOT(ISERROR(SEARCH(("C"),(O25))))</formula>
    </cfRule>
    <cfRule type="containsText" dxfId="6324" priority="338" operator="containsText" text="O">
      <formula>NOT(ISERROR(SEARCH(("O"),(O25))))</formula>
    </cfRule>
    <cfRule type="containsText" dxfId="6323" priority="337" operator="containsText" text="N">
      <formula>NOT(ISERROR(SEARCH(("N"),(O25))))</formula>
    </cfRule>
    <cfRule type="containsText" dxfId="6322" priority="336" operator="containsText" text="L">
      <formula>NOT(ISERROR(SEARCH(("L"),(O25))))</formula>
    </cfRule>
    <cfRule type="containsText" dxfId="6321" priority="335" operator="containsText" text="X">
      <formula>NOT(ISERROR(SEARCH(("X"),(O25))))</formula>
    </cfRule>
    <cfRule type="containsText" dxfId="6320" priority="334" operator="containsText" text="K">
      <formula>NOT(ISERROR(SEARCH(("K"),(O25))))</formula>
    </cfRule>
    <cfRule type="containsText" dxfId="6319" priority="333" operator="containsText" text="P">
      <formula>NOT(ISERROR(SEARCH(("P"),(O25))))</formula>
    </cfRule>
    <cfRule type="containsText" dxfId="6318" priority="332" operator="containsText" text="C">
      <formula>NOT(ISERROR(SEARCH(("C"),(O25))))</formula>
    </cfRule>
    <cfRule type="containsText" dxfId="6317" priority="331" operator="containsText" text="O">
      <formula>NOT(ISERROR(SEARCH(("O"),(O25))))</formula>
    </cfRule>
    <cfRule type="containsText" dxfId="6316" priority="330" operator="containsText" text="N">
      <formula>NOT(ISERROR(SEARCH(("N"),(O25))))</formula>
    </cfRule>
    <cfRule type="containsText" dxfId="6315" priority="329" operator="containsText" text="L">
      <formula>NOT(ISERROR(SEARCH(("L"),(O25))))</formula>
    </cfRule>
    <cfRule type="containsText" dxfId="6314" priority="328" operator="containsText" text="X">
      <formula>NOT(ISERROR(SEARCH(("X"),(O25))))</formula>
    </cfRule>
    <cfRule type="containsText" dxfId="6313" priority="327" operator="containsText" text="K">
      <formula>NOT(ISERROR(SEARCH(("K"),(O25))))</formula>
    </cfRule>
    <cfRule type="containsText" dxfId="6312" priority="326" operator="containsText" text="P">
      <formula>NOT(ISERROR(SEARCH(("P"),(O25))))</formula>
    </cfRule>
    <cfRule type="containsText" dxfId="6311" priority="325" operator="containsText" text="C">
      <formula>NOT(ISERROR(SEARCH(("C"),(O25))))</formula>
    </cfRule>
    <cfRule type="containsText" dxfId="6310" priority="324" operator="containsText" text="O">
      <formula>NOT(ISERROR(SEARCH(("O"),(O25))))</formula>
    </cfRule>
    <cfRule type="containsText" dxfId="6309" priority="323" operator="containsText" text="N">
      <formula>NOT(ISERROR(SEARCH(("N"),(O25))))</formula>
    </cfRule>
    <cfRule type="containsText" dxfId="6308" priority="322" operator="containsText" text="L">
      <formula>NOT(ISERROR(SEARCH(("L"),(O25))))</formula>
    </cfRule>
    <cfRule type="containsText" dxfId="6307" priority="321" operator="containsText" text="X">
      <formula>NOT(ISERROR(SEARCH(("X"),(O25))))</formula>
    </cfRule>
    <cfRule type="containsText" dxfId="6306" priority="320" operator="containsText" text="K">
      <formula>NOT(ISERROR(SEARCH(("K"),(O25))))</formula>
    </cfRule>
    <cfRule type="containsText" dxfId="6305" priority="319" operator="containsText" text="P">
      <formula>NOT(ISERROR(SEARCH(("P"),(O25))))</formula>
    </cfRule>
    <cfRule type="containsText" dxfId="6304" priority="318" operator="containsText" text="C">
      <formula>NOT(ISERROR(SEARCH(("C"),(O25))))</formula>
    </cfRule>
    <cfRule type="containsText" dxfId="6303" priority="317" operator="containsText" text="O">
      <formula>NOT(ISERROR(SEARCH(("O"),(O25))))</formula>
    </cfRule>
    <cfRule type="containsText" dxfId="6302" priority="316" operator="containsText" text="N">
      <formula>NOT(ISERROR(SEARCH(("N"),(O25))))</formula>
    </cfRule>
    <cfRule type="containsText" dxfId="6301" priority="315" operator="containsText" text="L">
      <formula>NOT(ISERROR(SEARCH(("L"),(O25))))</formula>
    </cfRule>
    <cfRule type="containsText" dxfId="6300" priority="314" operator="containsText" text="X">
      <formula>NOT(ISERROR(SEARCH(("X"),(O25))))</formula>
    </cfRule>
    <cfRule type="containsText" dxfId="6299" priority="313" operator="containsText" text="K">
      <formula>NOT(ISERROR(SEARCH(("K"),(O25))))</formula>
    </cfRule>
    <cfRule type="containsText" dxfId="6298" priority="312" operator="containsText" text="P">
      <formula>NOT(ISERROR(SEARCH(("P"),(O25))))</formula>
    </cfRule>
    <cfRule type="containsText" dxfId="6297" priority="311" operator="containsText" text="C">
      <formula>NOT(ISERROR(SEARCH(("C"),(O25))))</formula>
    </cfRule>
    <cfRule type="containsText" dxfId="6296" priority="310" operator="containsText" text="O">
      <formula>NOT(ISERROR(SEARCH(("O"),(O25))))</formula>
    </cfRule>
    <cfRule type="containsText" dxfId="6295" priority="309" operator="containsText" text="N">
      <formula>NOT(ISERROR(SEARCH(("N"),(O25))))</formula>
    </cfRule>
    <cfRule type="containsText" dxfId="6294" priority="308" operator="containsText" text="N">
      <formula>NOT(ISERROR(SEARCH(("N"),(O25))))</formula>
    </cfRule>
    <cfRule type="containsText" dxfId="6293" priority="307" operator="containsText" text="N">
      <formula>NOT(ISERROR(SEARCH(("N"),(O25))))</formula>
    </cfRule>
    <cfRule type="containsText" dxfId="6292" priority="380" operator="containsText" text="X">
      <formula>NOT(ISERROR(SEARCH(("X"),(O25))))</formula>
    </cfRule>
    <cfRule type="containsText" dxfId="6291" priority="422" operator="containsText" text="X">
      <formula>NOT(ISERROR(SEARCH(("X"),(O25))))</formula>
    </cfRule>
    <cfRule type="containsText" dxfId="6290" priority="421" operator="containsText" text="K">
      <formula>NOT(ISERROR(SEARCH(("K"),(O25))))</formula>
    </cfRule>
    <cfRule type="containsText" dxfId="6289" priority="420" operator="containsText" text="P">
      <formula>NOT(ISERROR(SEARCH(("P"),(O25))))</formula>
    </cfRule>
    <cfRule type="containsText" dxfId="6288" priority="419" operator="containsText" text="C">
      <formula>NOT(ISERROR(SEARCH(("C"),(O25))))</formula>
    </cfRule>
    <cfRule type="containsText" dxfId="6287" priority="418" operator="containsText" text="O">
      <formula>NOT(ISERROR(SEARCH(("O"),(O25))))</formula>
    </cfRule>
    <cfRule type="containsText" dxfId="6286" priority="417" operator="containsText" text="N">
      <formula>NOT(ISERROR(SEARCH(("N"),(O25))))</formula>
    </cfRule>
    <cfRule type="containsText" dxfId="6285" priority="416" operator="containsText" text="L">
      <formula>NOT(ISERROR(SEARCH(("L"),(O25))))</formula>
    </cfRule>
    <cfRule type="containsText" dxfId="6284" priority="415" operator="containsText" text="X">
      <formula>NOT(ISERROR(SEARCH(("X"),(O25))))</formula>
    </cfRule>
    <cfRule type="containsText" dxfId="6283" priority="414" operator="containsText" text="K">
      <formula>NOT(ISERROR(SEARCH(("K"),(O25))))</formula>
    </cfRule>
    <cfRule type="containsText" dxfId="6282" priority="413" operator="containsText" text="P">
      <formula>NOT(ISERROR(SEARCH(("P"),(O25))))</formula>
    </cfRule>
    <cfRule type="containsText" dxfId="6281" priority="412" operator="containsText" text="C">
      <formula>NOT(ISERROR(SEARCH(("C"),(O25))))</formula>
    </cfRule>
    <cfRule type="containsText" dxfId="6280" priority="411" operator="containsText" text="X">
      <formula>NOT(ISERROR(SEARCH(("X"),(O25))))</formula>
    </cfRule>
    <cfRule type="containsText" dxfId="6279" priority="410" operator="containsText" text="K">
      <formula>NOT(ISERROR(SEARCH(("K"),(O25))))</formula>
    </cfRule>
    <cfRule type="containsText" dxfId="6278" priority="409" operator="containsText" text="P">
      <formula>NOT(ISERROR(SEARCH(("P"),(O25))))</formula>
    </cfRule>
    <cfRule type="containsText" dxfId="6277" priority="408" operator="containsText" text="C">
      <formula>NOT(ISERROR(SEARCH(("C"),(O25))))</formula>
    </cfRule>
    <cfRule type="containsText" dxfId="6276" priority="407" operator="containsText" text="O">
      <formula>NOT(ISERROR(SEARCH(("O"),(O25))))</formula>
    </cfRule>
    <cfRule type="containsText" dxfId="6275" priority="406" operator="containsText" text="L">
      <formula>NOT(ISERROR(SEARCH(("L"),(O25))))</formula>
    </cfRule>
    <cfRule type="containsText" dxfId="6274" priority="405" operator="containsText" text="X">
      <formula>NOT(ISERROR(SEARCH(("X"),(O25))))</formula>
    </cfRule>
    <cfRule type="containsText" dxfId="6273" priority="404" operator="containsText" text="K">
      <formula>NOT(ISERROR(SEARCH(("K"),(O25))))</formula>
    </cfRule>
    <cfRule type="containsText" dxfId="6272" priority="403" operator="containsText" text="P">
      <formula>NOT(ISERROR(SEARCH(("P"),(O25))))</formula>
    </cfRule>
    <cfRule type="containsText" dxfId="6271" priority="402" operator="containsText" text="C">
      <formula>NOT(ISERROR(SEARCH(("C"),(O25))))</formula>
    </cfRule>
    <cfRule type="containsText" dxfId="6270" priority="401" operator="containsText" text="O">
      <formula>NOT(ISERROR(SEARCH(("O"),(O25))))</formula>
    </cfRule>
    <cfRule type="containsText" dxfId="6269" priority="400" operator="containsText" text="L">
      <formula>NOT(ISERROR(SEARCH(("L"),(O25))))</formula>
    </cfRule>
    <cfRule type="containsText" dxfId="6268" priority="399" operator="containsText" text="N">
      <formula>NOT(ISERROR(SEARCH(("N"),(O25))))</formula>
    </cfRule>
    <cfRule type="containsText" dxfId="6267" priority="398" operator="containsText" text="L">
      <formula>NOT(ISERROR(SEARCH(("L"),(O25))))</formula>
    </cfRule>
    <cfRule type="containsText" dxfId="6266" priority="397" operator="containsText" text="X">
      <formula>NOT(ISERROR(SEARCH(("X"),(O25))))</formula>
    </cfRule>
  </conditionalFormatting>
  <conditionalFormatting sqref="O26:S26">
    <cfRule type="containsText" dxfId="6265" priority="5282" operator="containsText" text="P">
      <formula>NOT(ISERROR(SEARCH(("P"),(O26))))</formula>
    </cfRule>
    <cfRule type="containsText" dxfId="6264" priority="5283" operator="containsText" text="K">
      <formula>NOT(ISERROR(SEARCH(("K"),(O26))))</formula>
    </cfRule>
    <cfRule type="containsText" dxfId="6263" priority="5284" operator="containsText" text="X">
      <formula>NOT(ISERROR(SEARCH(("X"),(O26))))</formula>
    </cfRule>
    <cfRule type="containsText" dxfId="6262" priority="5285" operator="containsText" text="L">
      <formula>NOT(ISERROR(SEARCH(("L"),(O26))))</formula>
    </cfRule>
    <cfRule type="containsText" dxfId="6261" priority="5286" operator="containsText" text="N">
      <formula>NOT(ISERROR(SEARCH(("N"),(O26))))</formula>
    </cfRule>
    <cfRule type="containsText" dxfId="6260" priority="5287" operator="containsText" text="O">
      <formula>NOT(ISERROR(SEARCH(("O"),(O26))))</formula>
    </cfRule>
    <cfRule type="containsText" dxfId="6259" priority="5288" operator="containsText" text="C">
      <formula>NOT(ISERROR(SEARCH(("C"),(O26))))</formula>
    </cfRule>
    <cfRule type="containsText" dxfId="6258" priority="5289" operator="containsText" text="P">
      <formula>NOT(ISERROR(SEARCH(("P"),(O26))))</formula>
    </cfRule>
    <cfRule type="containsText" dxfId="6257" priority="5290" operator="containsText" text="K">
      <formula>NOT(ISERROR(SEARCH(("K"),(O26))))</formula>
    </cfRule>
    <cfRule type="containsText" dxfId="6256" priority="5291" operator="containsText" text="X">
      <formula>NOT(ISERROR(SEARCH(("X"),(O26))))</formula>
    </cfRule>
    <cfRule type="containsText" dxfId="6255" priority="5292" operator="containsText" text="L">
      <formula>NOT(ISERROR(SEARCH(("L"),(O26))))</formula>
    </cfRule>
    <cfRule type="containsText" dxfId="6254" priority="5293" operator="containsText" text="N">
      <formula>NOT(ISERROR(SEARCH(("N"),(O26))))</formula>
    </cfRule>
    <cfRule type="containsText" dxfId="6253" priority="5294" operator="containsText" text="L">
      <formula>NOT(ISERROR(SEARCH(("L"),(O26))))</formula>
    </cfRule>
    <cfRule type="containsText" dxfId="6252" priority="5295" operator="containsText" text="N">
      <formula>NOT(ISERROR(SEARCH(("N"),(O26))))</formula>
    </cfRule>
    <cfRule type="containsText" dxfId="6251" priority="5296" operator="containsText" text="O">
      <formula>NOT(ISERROR(SEARCH(("O"),(O26))))</formula>
    </cfRule>
    <cfRule type="containsText" dxfId="6250" priority="5297" operator="containsText" text="C">
      <formula>NOT(ISERROR(SEARCH(("C"),(O26))))</formula>
    </cfRule>
    <cfRule type="containsText" dxfId="6249" priority="5298" operator="containsText" text="P">
      <formula>NOT(ISERROR(SEARCH(("P"),(O26))))</formula>
    </cfRule>
    <cfRule type="containsText" dxfId="6248" priority="5299" operator="containsText" text="K">
      <formula>NOT(ISERROR(SEARCH(("K"),(O26))))</formula>
    </cfRule>
    <cfRule type="containsText" dxfId="6247" priority="5300" operator="containsText" text="X">
      <formula>NOT(ISERROR(SEARCH(("X"),(O26))))</formula>
    </cfRule>
    <cfRule type="containsText" dxfId="6246" priority="5301" operator="containsText" text="L">
      <formula>NOT(ISERROR(SEARCH(("L"),(O26))))</formula>
    </cfRule>
    <cfRule type="containsText" dxfId="6245" priority="5302" operator="containsText" text="O">
      <formula>NOT(ISERROR(SEARCH(("O"),(O26))))</formula>
    </cfRule>
    <cfRule type="containsText" dxfId="6244" priority="5303" operator="containsText" text="C">
      <formula>NOT(ISERROR(SEARCH(("C"),(O26))))</formula>
    </cfRule>
    <cfRule type="containsText" dxfId="6243" priority="5304" operator="containsText" text="P">
      <formula>NOT(ISERROR(SEARCH(("P"),(O26))))</formula>
    </cfRule>
    <cfRule type="containsText" dxfId="6242" priority="5305" operator="containsText" text="K">
      <formula>NOT(ISERROR(SEARCH(("K"),(O26))))</formula>
    </cfRule>
    <cfRule type="containsText" dxfId="6241" priority="5306" operator="containsText" text="X">
      <formula>NOT(ISERROR(SEARCH(("X"),(O26))))</formula>
    </cfRule>
    <cfRule type="containsText" dxfId="6240" priority="5277" operator="containsText" text="X">
      <formula>NOT(ISERROR(SEARCH(("X"),(O26))))</formula>
    </cfRule>
    <cfRule type="containsText" dxfId="6239" priority="5278" operator="containsText" text="L">
      <formula>NOT(ISERROR(SEARCH(("L"),(O26))))</formula>
    </cfRule>
    <cfRule type="containsText" dxfId="6238" priority="5279" operator="containsText" text="N">
      <formula>NOT(ISERROR(SEARCH(("N"),(O26))))</formula>
    </cfRule>
    <cfRule type="containsText" dxfId="6237" priority="5281" operator="containsText" text="C">
      <formula>NOT(ISERROR(SEARCH(("C"),(O26))))</formula>
    </cfRule>
    <cfRule type="containsText" dxfId="6236" priority="5280" operator="containsText" text="O">
      <formula>NOT(ISERROR(SEARCH(("O"),(O26))))</formula>
    </cfRule>
    <cfRule type="containsText" dxfId="6235" priority="5273" operator="containsText" text="O">
      <formula>NOT(ISERROR(SEARCH(("O"),(O26))))</formula>
    </cfRule>
    <cfRule type="containsText" dxfId="6234" priority="5274" operator="containsText" text="C">
      <formula>NOT(ISERROR(SEARCH(("C"),(O26))))</formula>
    </cfRule>
    <cfRule type="containsText" dxfId="6233" priority="5275" operator="containsText" text="P">
      <formula>NOT(ISERROR(SEARCH(("P"),(O26))))</formula>
    </cfRule>
    <cfRule type="containsText" dxfId="6232" priority="5276" operator="containsText" text="K">
      <formula>NOT(ISERROR(SEARCH(("K"),(O26))))</formula>
    </cfRule>
  </conditionalFormatting>
  <conditionalFormatting sqref="O21:V21">
    <cfRule type="containsText" dxfId="6231" priority="6603" operator="containsText" text="O">
      <formula>NOT(ISERROR(SEARCH(("O"),(O21))))</formula>
    </cfRule>
    <cfRule type="containsText" dxfId="6230" priority="6604" operator="containsText" text="C">
      <formula>NOT(ISERROR(SEARCH(("C"),(O21))))</formula>
    </cfRule>
    <cfRule type="containsText" dxfId="6229" priority="6605" operator="containsText" text="P">
      <formula>NOT(ISERROR(SEARCH(("P"),(O21))))</formula>
    </cfRule>
    <cfRule type="containsText" dxfId="6228" priority="6606" operator="containsText" text="K">
      <formula>NOT(ISERROR(SEARCH(("K"),(O21))))</formula>
    </cfRule>
    <cfRule type="containsText" dxfId="6227" priority="6607" operator="containsText" text="X">
      <formula>NOT(ISERROR(SEARCH(("X"),(O21))))</formula>
    </cfRule>
    <cfRule type="containsText" dxfId="6226" priority="6608" operator="containsText" text="L">
      <formula>NOT(ISERROR(SEARCH(("L"),(O21))))</formula>
    </cfRule>
    <cfRule type="containsText" dxfId="6225" priority="6602" operator="containsText" text="N">
      <formula>NOT(ISERROR(SEARCH(("N"),(O21))))</formula>
    </cfRule>
  </conditionalFormatting>
  <conditionalFormatting sqref="O21:AJ21">
    <cfRule type="containsText" dxfId="6224" priority="6610" operator="containsText" text="L">
      <formula>NOT(ISERROR(SEARCH(("L"),(O21))))</formula>
    </cfRule>
  </conditionalFormatting>
  <conditionalFormatting sqref="P20:P26 R20:R26 W20:W26 Y20:Y26 W21:X21 AB22:AB26 AE22:AE26 Q23:S23">
    <cfRule type="containsText" dxfId="6223" priority="7704" operator="containsText" text="N">
      <formula>NOT(ISERROR(SEARCH(("N"),(P20))))</formula>
    </cfRule>
    <cfRule type="containsText" dxfId="6222" priority="7682" operator="containsText" text="L">
      <formula>NOT(ISERROR(SEARCH(("L"),(P20))))</formula>
    </cfRule>
  </conditionalFormatting>
  <conditionalFormatting sqref="P11:Q11">
    <cfRule type="containsText" dxfId="6221" priority="5471" operator="containsText" text="C">
      <formula>NOT(ISERROR(SEARCH(("C"),(P11))))</formula>
    </cfRule>
    <cfRule type="containsText" dxfId="6220" priority="5470" operator="containsText" text="O">
      <formula>NOT(ISERROR(SEARCH(("O"),(P11))))</formula>
    </cfRule>
    <cfRule type="containsText" dxfId="6219" priority="5455" operator="containsText" text="N">
      <formula>NOT(ISERROR(SEARCH(("N"),(P11))))</formula>
    </cfRule>
    <cfRule type="containsText" dxfId="6218" priority="5454" operator="containsText" text="L">
      <formula>NOT(ISERROR(SEARCH(("L"),(P11))))</formula>
    </cfRule>
    <cfRule type="containsText" dxfId="6217" priority="5453" operator="containsText" text="X">
      <formula>NOT(ISERROR(SEARCH(("X"),(P11))))</formula>
    </cfRule>
    <cfRule type="containsText" dxfId="6216" priority="5452" operator="containsText" text="K">
      <formula>NOT(ISERROR(SEARCH(("K"),(P11))))</formula>
    </cfRule>
    <cfRule type="containsText" dxfId="6215" priority="5451" operator="containsText" text="P">
      <formula>NOT(ISERROR(SEARCH(("P"),(P11))))</formula>
    </cfRule>
    <cfRule type="containsText" dxfId="6214" priority="5450" operator="containsText" text="C">
      <formula>NOT(ISERROR(SEARCH(("C"),(P11))))</formula>
    </cfRule>
    <cfRule type="containsText" dxfId="6213" priority="5449" operator="containsText" text="O">
      <formula>NOT(ISERROR(SEARCH(("O"),(P11))))</formula>
    </cfRule>
    <cfRule type="containsText" dxfId="6212" priority="5461" operator="containsText" text="L">
      <formula>NOT(ISERROR(SEARCH(("L"),(P11))))</formula>
    </cfRule>
    <cfRule type="containsText" dxfId="6211" priority="5460" operator="containsText" text="X">
      <formula>NOT(ISERROR(SEARCH(("X"),(P11))))</formula>
    </cfRule>
    <cfRule type="containsText" dxfId="6210" priority="5459" operator="containsText" text="K">
      <formula>NOT(ISERROR(SEARCH(("K"),(P11))))</formula>
    </cfRule>
    <cfRule type="containsText" dxfId="6209" priority="5458" operator="containsText" text="P">
      <formula>NOT(ISERROR(SEARCH(("P"),(P11))))</formula>
    </cfRule>
    <cfRule type="containsText" dxfId="6208" priority="5457" operator="containsText" text="C">
      <formula>NOT(ISERROR(SEARCH(("C"),(P11))))</formula>
    </cfRule>
    <cfRule type="containsText" dxfId="6207" priority="5456" operator="containsText" text="O">
      <formula>NOT(ISERROR(SEARCH(("O"),(P11))))</formula>
    </cfRule>
    <cfRule type="containsText" dxfId="6206" priority="5481" operator="containsText" text="L">
      <formula>NOT(ISERROR(SEARCH(("L"),(P11))))</formula>
    </cfRule>
    <cfRule type="containsText" dxfId="6205" priority="5473" operator="containsText" text="K">
      <formula>NOT(ISERROR(SEARCH(("K"),(P11))))</formula>
    </cfRule>
    <cfRule type="containsText" dxfId="6204" priority="5464" operator="containsText" text="C">
      <formula>NOT(ISERROR(SEARCH(("C"),(P11))))</formula>
    </cfRule>
    <cfRule type="containsText" dxfId="6203" priority="5465" operator="containsText" text="P">
      <formula>NOT(ISERROR(SEARCH(("P"),(P11))))</formula>
    </cfRule>
    <cfRule type="containsText" dxfId="6202" priority="5466" operator="containsText" text="K">
      <formula>NOT(ISERROR(SEARCH(("K"),(P11))))</formula>
    </cfRule>
    <cfRule type="containsText" dxfId="6201" priority="5467" operator="containsText" text="X">
      <formula>NOT(ISERROR(SEARCH(("X"),(P11))))</formula>
    </cfRule>
    <cfRule type="containsText" dxfId="6200" priority="5468" operator="containsText" text="L">
      <formula>NOT(ISERROR(SEARCH(("L"),(P11))))</formula>
    </cfRule>
    <cfRule type="containsText" dxfId="6199" priority="5469" operator="containsText" text="N">
      <formula>NOT(ISERROR(SEARCH(("N"),(P11))))</formula>
    </cfRule>
    <cfRule type="containsText" dxfId="6198" priority="5462" operator="containsText" text="N">
      <formula>NOT(ISERROR(SEARCH(("N"),(P11))))</formula>
    </cfRule>
    <cfRule type="containsText" dxfId="6197" priority="5480" operator="containsText" text="X">
      <formula>NOT(ISERROR(SEARCH(("X"),(P11))))</formula>
    </cfRule>
    <cfRule type="containsText" dxfId="6196" priority="5479" operator="containsText" text="K">
      <formula>NOT(ISERROR(SEARCH(("K"),(P11))))</formula>
    </cfRule>
    <cfRule type="containsText" dxfId="6195" priority="5478" operator="containsText" text="P">
      <formula>NOT(ISERROR(SEARCH(("P"),(P11))))</formula>
    </cfRule>
    <cfRule type="containsText" dxfId="6194" priority="5477" operator="containsText" text="C">
      <formula>NOT(ISERROR(SEARCH(("C"),(P11))))</formula>
    </cfRule>
    <cfRule type="containsText" dxfId="6193" priority="5476" operator="containsText" text="O">
      <formula>NOT(ISERROR(SEARCH(("O"),(P11))))</formula>
    </cfRule>
    <cfRule type="containsText" dxfId="6192" priority="5475" operator="containsText" text="L">
      <formula>NOT(ISERROR(SEARCH(("L"),(P11))))</formula>
    </cfRule>
    <cfRule type="containsText" dxfId="6191" priority="5474" operator="containsText" text="X">
      <formula>NOT(ISERROR(SEARCH(("X"),(P11))))</formula>
    </cfRule>
    <cfRule type="containsText" dxfId="6190" priority="5472" operator="containsText" text="P">
      <formula>NOT(ISERROR(SEARCH(("P"),(P11))))</formula>
    </cfRule>
    <cfRule type="containsText" dxfId="6189" priority="5463" operator="containsText" text="O">
      <formula>NOT(ISERROR(SEARCH(("O"),(P11))))</formula>
    </cfRule>
  </conditionalFormatting>
  <conditionalFormatting sqref="P11:Q12">
    <cfRule type="containsText" dxfId="6188" priority="5128" operator="containsText" text="N">
      <formula>NOT(ISERROR(SEARCH(("N"),(P11))))</formula>
    </cfRule>
  </conditionalFormatting>
  <conditionalFormatting sqref="P12:Q12">
    <cfRule type="containsText" dxfId="6187" priority="5130" operator="containsText" text="C">
      <formula>NOT(ISERROR(SEARCH(("C"),(P12))))</formula>
    </cfRule>
    <cfRule type="containsText" dxfId="6186" priority="5129" operator="containsText" text="O">
      <formula>NOT(ISERROR(SEARCH(("O"),(P12))))</formula>
    </cfRule>
    <cfRule type="containsText" dxfId="6185" priority="5127" operator="containsText" text="L">
      <formula>NOT(ISERROR(SEARCH(("L"),(P12))))</formula>
    </cfRule>
    <cfRule type="containsText" dxfId="6184" priority="5126" operator="containsText" text="X">
      <formula>NOT(ISERROR(SEARCH(("X"),(P12))))</formula>
    </cfRule>
    <cfRule type="containsText" dxfId="6183" priority="5125" operator="containsText" text="K">
      <formula>NOT(ISERROR(SEARCH(("K"),(P12))))</formula>
    </cfRule>
    <cfRule type="containsText" dxfId="6182" priority="5124" operator="containsText" text="P">
      <formula>NOT(ISERROR(SEARCH(("P"),(P12))))</formula>
    </cfRule>
    <cfRule type="containsText" dxfId="6181" priority="5123" operator="containsText" text="C">
      <formula>NOT(ISERROR(SEARCH(("C"),(P12))))</formula>
    </cfRule>
    <cfRule type="containsText" dxfId="6180" priority="5122" operator="containsText" text="O">
      <formula>NOT(ISERROR(SEARCH(("O"),(P12))))</formula>
    </cfRule>
    <cfRule type="containsText" dxfId="6179" priority="5121" operator="containsText" text="N">
      <formula>NOT(ISERROR(SEARCH(("N"),(P12))))</formula>
    </cfRule>
    <cfRule type="containsText" dxfId="6178" priority="5120" operator="containsText" text="L">
      <formula>NOT(ISERROR(SEARCH(("L"),(P12))))</formula>
    </cfRule>
    <cfRule type="containsText" dxfId="6177" priority="5119" operator="containsText" text="X">
      <formula>NOT(ISERROR(SEARCH(("X"),(P12))))</formula>
    </cfRule>
    <cfRule type="containsText" dxfId="6176" priority="5118" operator="containsText" text="K">
      <formula>NOT(ISERROR(SEARCH(("K"),(P12))))</formula>
    </cfRule>
    <cfRule type="containsText" dxfId="6175" priority="5117" operator="containsText" text="P">
      <formula>NOT(ISERROR(SEARCH(("P"),(P12))))</formula>
    </cfRule>
    <cfRule type="containsText" dxfId="6174" priority="5116" operator="containsText" text="C">
      <formula>NOT(ISERROR(SEARCH(("C"),(P12))))</formula>
    </cfRule>
    <cfRule type="containsText" dxfId="6173" priority="5115" operator="containsText" text="O">
      <formula>NOT(ISERROR(SEARCH(("O"),(P12))))</formula>
    </cfRule>
    <cfRule type="containsText" dxfId="6172" priority="5114" operator="containsText" text="N">
      <formula>NOT(ISERROR(SEARCH(("N"),(P12))))</formula>
    </cfRule>
    <cfRule type="containsText" dxfId="6171" priority="5113" operator="containsText" text="L">
      <formula>NOT(ISERROR(SEARCH(("L"),(P12))))</formula>
    </cfRule>
    <cfRule type="containsText" dxfId="6170" priority="5112" operator="containsText" text="X">
      <formula>NOT(ISERROR(SEARCH(("X"),(P12))))</formula>
    </cfRule>
    <cfRule type="containsText" dxfId="6169" priority="5111" operator="containsText" text="K">
      <formula>NOT(ISERROR(SEARCH(("K"),(P12))))</formula>
    </cfRule>
    <cfRule type="containsText" dxfId="6168" priority="5110" operator="containsText" text="P">
      <formula>NOT(ISERROR(SEARCH(("P"),(P12))))</formula>
    </cfRule>
    <cfRule type="containsText" dxfId="6167" priority="5109" operator="containsText" text="C">
      <formula>NOT(ISERROR(SEARCH(("C"),(P12))))</formula>
    </cfRule>
    <cfRule type="containsText" dxfId="6166" priority="5108" operator="containsText" text="O">
      <formula>NOT(ISERROR(SEARCH(("O"),(P12))))</formula>
    </cfRule>
    <cfRule type="containsText" dxfId="6165" priority="5107" operator="containsText" text="N">
      <formula>NOT(ISERROR(SEARCH(("N"),(P12))))</formula>
    </cfRule>
    <cfRule type="containsText" dxfId="6164" priority="5133" operator="containsText" text="X">
      <formula>NOT(ISERROR(SEARCH(("X"),(P12))))</formula>
    </cfRule>
    <cfRule type="containsText" dxfId="6163" priority="5143" operator="containsText" text="K">
      <formula>NOT(ISERROR(SEARCH(("K"),(P12))))</formula>
    </cfRule>
    <cfRule type="containsText" dxfId="6162" priority="5145" operator="containsText" text="L">
      <formula>NOT(ISERROR(SEARCH(("L"),(P12))))</formula>
    </cfRule>
    <cfRule type="containsText" dxfId="6161" priority="5144" operator="containsText" text="X">
      <formula>NOT(ISERROR(SEARCH(("X"),(P12))))</formula>
    </cfRule>
    <cfRule type="containsText" dxfId="6160" priority="5142" operator="containsText" text="P">
      <formula>NOT(ISERROR(SEARCH(("P"),(P12))))</formula>
    </cfRule>
    <cfRule type="containsText" dxfId="6159" priority="5141" operator="containsText" text="C">
      <formula>NOT(ISERROR(SEARCH(("C"),(P12))))</formula>
    </cfRule>
    <cfRule type="containsText" dxfId="6158" priority="5140" operator="containsText" text="O">
      <formula>NOT(ISERROR(SEARCH(("O"),(P12))))</formula>
    </cfRule>
    <cfRule type="containsText" dxfId="6157" priority="5139" operator="containsText" text="X">
      <formula>NOT(ISERROR(SEARCH(("X"),(P12))))</formula>
    </cfRule>
    <cfRule type="containsText" dxfId="6156" priority="5138" operator="containsText" text="K">
      <formula>NOT(ISERROR(SEARCH(("K"),(P12))))</formula>
    </cfRule>
    <cfRule type="containsText" dxfId="6155" priority="5137" operator="containsText" text="P">
      <formula>NOT(ISERROR(SEARCH(("P"),(P12))))</formula>
    </cfRule>
    <cfRule type="containsText" dxfId="6154" priority="5136" operator="containsText" text="C">
      <formula>NOT(ISERROR(SEARCH(("C"),(P12))))</formula>
    </cfRule>
    <cfRule type="containsText" dxfId="6153" priority="5135" operator="containsText" text="O">
      <formula>NOT(ISERROR(SEARCH(("O"),(P12))))</formula>
    </cfRule>
    <cfRule type="containsText" dxfId="6152" priority="5134" operator="containsText" text="L">
      <formula>NOT(ISERROR(SEARCH(("L"),(P12))))</formula>
    </cfRule>
    <cfRule type="containsText" dxfId="6151" priority="5132" operator="containsText" text="K">
      <formula>NOT(ISERROR(SEARCH(("K"),(P12))))</formula>
    </cfRule>
    <cfRule type="containsText" dxfId="6150" priority="5131" operator="containsText" text="P">
      <formula>NOT(ISERROR(SEARCH(("P"),(P12))))</formula>
    </cfRule>
  </conditionalFormatting>
  <conditionalFormatting sqref="P14:Q14">
    <cfRule type="containsText" dxfId="6149" priority="4694" operator="containsText" text="X">
      <formula>NOT(ISERROR(SEARCH(("X"),(P14))))</formula>
    </cfRule>
    <cfRule type="containsText" dxfId="6148" priority="4689" operator="containsText" text="N">
      <formula>NOT(ISERROR(SEARCH(("N"),(P14))))</formula>
    </cfRule>
    <cfRule type="containsText" dxfId="6147" priority="4688" operator="containsText" text="L">
      <formula>NOT(ISERROR(SEARCH(("L"),(P14))))</formula>
    </cfRule>
    <cfRule type="containsText" dxfId="6146" priority="4687" operator="containsText" text="X">
      <formula>NOT(ISERROR(SEARCH(("X"),(P14))))</formula>
    </cfRule>
    <cfRule type="containsText" dxfId="6145" priority="4709" operator="containsText" text="N">
      <formula>NOT(ISERROR(SEARCH(("N"),(P14))))</formula>
    </cfRule>
    <cfRule type="containsText" dxfId="6144" priority="4713" operator="containsText" text="K">
      <formula>NOT(ISERROR(SEARCH(("K"),(P14))))</formula>
    </cfRule>
    <cfRule type="containsText" dxfId="6143" priority="4714" operator="containsText" text="X">
      <formula>NOT(ISERROR(SEARCH(("X"),(P14))))</formula>
    </cfRule>
    <cfRule type="containsText" dxfId="6142" priority="4710" operator="containsText" text="O">
      <formula>NOT(ISERROR(SEARCH(("O"),(P14))))</formula>
    </cfRule>
    <cfRule type="containsText" dxfId="6141" priority="4706" operator="containsText" text="P">
      <formula>NOT(ISERROR(SEARCH(("P"),(P14))))</formula>
    </cfRule>
    <cfRule type="containsText" dxfId="6140" priority="4705" operator="containsText" text="C">
      <formula>NOT(ISERROR(SEARCH(("C"),(P14))))</formula>
    </cfRule>
    <cfRule type="containsText" dxfId="6139" priority="4712" operator="containsText" text="P">
      <formula>NOT(ISERROR(SEARCH(("P"),(P14))))</formula>
    </cfRule>
    <cfRule type="containsText" dxfId="6138" priority="4703" operator="containsText" text="N">
      <formula>NOT(ISERROR(SEARCH(("N"),(P14))))</formula>
    </cfRule>
    <cfRule type="containsText" dxfId="6137" priority="4702" operator="containsText" text="L">
      <formula>NOT(ISERROR(SEARCH(("L"),(P14))))</formula>
    </cfRule>
    <cfRule type="containsText" dxfId="6136" priority="4701" operator="containsText" text="X">
      <formula>NOT(ISERROR(SEARCH(("X"),(P14))))</formula>
    </cfRule>
    <cfRule type="containsText" dxfId="6135" priority="4700" operator="containsText" text="K">
      <formula>NOT(ISERROR(SEARCH(("K"),(P14))))</formula>
    </cfRule>
    <cfRule type="containsText" dxfId="6134" priority="4699" operator="containsText" text="P">
      <formula>NOT(ISERROR(SEARCH(("P"),(P14))))</formula>
    </cfRule>
    <cfRule type="containsText" dxfId="6133" priority="4698" operator="containsText" text="C">
      <formula>NOT(ISERROR(SEARCH(("C"),(P14))))</formula>
    </cfRule>
    <cfRule type="containsText" dxfId="6132" priority="4697" operator="containsText" text="O">
      <formula>NOT(ISERROR(SEARCH(("O"),(P14))))</formula>
    </cfRule>
    <cfRule type="containsText" dxfId="6131" priority="4696" operator="containsText" text="N">
      <formula>NOT(ISERROR(SEARCH(("N"),(P14))))</formula>
    </cfRule>
    <cfRule type="containsText" dxfId="6130" priority="4695" operator="containsText" text="L">
      <formula>NOT(ISERROR(SEARCH(("L"),(P14))))</formula>
    </cfRule>
    <cfRule type="containsText" dxfId="6129" priority="4685" operator="containsText" text="P">
      <formula>NOT(ISERROR(SEARCH(("P"),(P14))))</formula>
    </cfRule>
    <cfRule type="containsText" dxfId="6128" priority="4693" operator="containsText" text="K">
      <formula>NOT(ISERROR(SEARCH(("K"),(P14))))</formula>
    </cfRule>
    <cfRule type="containsText" dxfId="6127" priority="4692" operator="containsText" text="P">
      <formula>NOT(ISERROR(SEARCH(("P"),(P14))))</formula>
    </cfRule>
    <cfRule type="containsText" dxfId="6126" priority="4691" operator="containsText" text="C">
      <formula>NOT(ISERROR(SEARCH(("C"),(P14))))</formula>
    </cfRule>
    <cfRule type="containsText" dxfId="6125" priority="4690" operator="containsText" text="O">
      <formula>NOT(ISERROR(SEARCH(("O"),(P14))))</formula>
    </cfRule>
    <cfRule type="containsText" dxfId="6124" priority="4684" operator="containsText" text="C">
      <formula>NOT(ISERROR(SEARCH(("C"),(P14))))</formula>
    </cfRule>
    <cfRule type="containsText" dxfId="6123" priority="4704" operator="containsText" text="O">
      <formula>NOT(ISERROR(SEARCH(("O"),(P14))))</formula>
    </cfRule>
    <cfRule type="containsText" dxfId="6122" priority="4683" operator="containsText" text="O">
      <formula>NOT(ISERROR(SEARCH(("O"),(P14))))</formula>
    </cfRule>
    <cfRule type="containsText" dxfId="6121" priority="4682" operator="containsText" text="N">
      <formula>NOT(ISERROR(SEARCH(("N"),(P14))))</formula>
    </cfRule>
    <cfRule type="containsText" dxfId="6120" priority="4681" operator="containsText" text="L">
      <formula>NOT(ISERROR(SEARCH(("L"),(P14))))</formula>
    </cfRule>
    <cfRule type="containsText" dxfId="6119" priority="4708" operator="containsText" text="X">
      <formula>NOT(ISERROR(SEARCH(("X"),(P14))))</formula>
    </cfRule>
    <cfRule type="containsText" dxfId="6118" priority="4686" operator="containsText" text="K">
      <formula>NOT(ISERROR(SEARCH(("K"),(P14))))</formula>
    </cfRule>
    <cfRule type="containsText" dxfId="6117" priority="4711" operator="containsText" text="C">
      <formula>NOT(ISERROR(SEARCH(("C"),(P14))))</formula>
    </cfRule>
    <cfRule type="containsText" dxfId="6116" priority="4707" operator="containsText" text="K">
      <formula>NOT(ISERROR(SEARCH(("K"),(P14))))</formula>
    </cfRule>
    <cfRule type="containsText" dxfId="6115" priority="4676" operator="containsText" text="O">
      <formula>NOT(ISERROR(SEARCH(("O"),(P14))))</formula>
    </cfRule>
    <cfRule type="containsText" dxfId="6114" priority="4677" operator="containsText" text="C">
      <formula>NOT(ISERROR(SEARCH(("C"),(P14))))</formula>
    </cfRule>
    <cfRule type="containsText" dxfId="6113" priority="4678" operator="containsText" text="P">
      <formula>NOT(ISERROR(SEARCH(("P"),(P14))))</formula>
    </cfRule>
    <cfRule type="containsText" dxfId="6112" priority="4679" operator="containsText" text="K">
      <formula>NOT(ISERROR(SEARCH(("K"),(P14))))</formula>
    </cfRule>
    <cfRule type="containsText" dxfId="6111" priority="4680" operator="containsText" text="X">
      <formula>NOT(ISERROR(SEARCH(("X"),(P14))))</formula>
    </cfRule>
  </conditionalFormatting>
  <conditionalFormatting sqref="P14:Q15">
    <cfRule type="containsText" dxfId="6110" priority="4540" operator="containsText" text="N">
      <formula>NOT(ISERROR(SEARCH(("N"),(P14))))</formula>
    </cfRule>
  </conditionalFormatting>
  <conditionalFormatting sqref="P15:Q15">
    <cfRule type="containsText" dxfId="6109" priority="4529" operator="containsText" text="P">
      <formula>NOT(ISERROR(SEARCH(("P"),(P15))))</formula>
    </cfRule>
    <cfRule type="containsText" dxfId="6108" priority="4530" operator="containsText" text="K">
      <formula>NOT(ISERROR(SEARCH(("K"),(P15))))</formula>
    </cfRule>
    <cfRule type="containsText" dxfId="6107" priority="4531" operator="containsText" text="X">
      <formula>NOT(ISERROR(SEARCH(("X"),(P15))))</formula>
    </cfRule>
    <cfRule type="containsText" dxfId="6106" priority="4532" operator="containsText" text="L">
      <formula>NOT(ISERROR(SEARCH(("L"),(P15))))</formula>
    </cfRule>
    <cfRule type="containsText" dxfId="6105" priority="4533" operator="containsText" text="N">
      <formula>NOT(ISERROR(SEARCH(("N"),(P15))))</formula>
    </cfRule>
    <cfRule type="containsText" dxfId="6104" priority="4534" operator="containsText" text="O">
      <formula>NOT(ISERROR(SEARCH(("O"),(P15))))</formula>
    </cfRule>
    <cfRule type="containsText" dxfId="6103" priority="4535" operator="containsText" text="C">
      <formula>NOT(ISERROR(SEARCH(("C"),(P15))))</formula>
    </cfRule>
    <cfRule type="containsText" dxfId="6102" priority="4536" operator="containsText" text="P">
      <formula>NOT(ISERROR(SEARCH(("P"),(P15))))</formula>
    </cfRule>
    <cfRule type="containsText" dxfId="6101" priority="4537" operator="containsText" text="K">
      <formula>NOT(ISERROR(SEARCH(("K"),(P15))))</formula>
    </cfRule>
    <cfRule type="containsText" dxfId="6100" priority="4538" operator="containsText" text="X">
      <formula>NOT(ISERROR(SEARCH(("X"),(P15))))</formula>
    </cfRule>
    <cfRule type="containsText" dxfId="6099" priority="4539" operator="containsText" text="L">
      <formula>NOT(ISERROR(SEARCH(("L"),(P15))))</formula>
    </cfRule>
    <cfRule type="containsText" dxfId="6098" priority="4541" operator="containsText" text="L">
      <formula>NOT(ISERROR(SEARCH(("L"),(P15))))</formula>
    </cfRule>
    <cfRule type="containsText" dxfId="6097" priority="4542" operator="containsText" text="O">
      <formula>NOT(ISERROR(SEARCH(("O"),(P15))))</formula>
    </cfRule>
    <cfRule type="containsText" dxfId="6096" priority="4543" operator="containsText" text="C">
      <formula>NOT(ISERROR(SEARCH(("C"),(P15))))</formula>
    </cfRule>
    <cfRule type="containsText" dxfId="6095" priority="4544" operator="containsText" text="P">
      <formula>NOT(ISERROR(SEARCH(("P"),(P15))))</formula>
    </cfRule>
    <cfRule type="containsText" dxfId="6094" priority="4545" operator="containsText" text="K">
      <formula>NOT(ISERROR(SEARCH(("K"),(P15))))</formula>
    </cfRule>
    <cfRule type="containsText" dxfId="6093" priority="4546" operator="containsText" text="X">
      <formula>NOT(ISERROR(SEARCH(("X"),(P15))))</formula>
    </cfRule>
    <cfRule type="containsText" dxfId="6092" priority="4547" operator="containsText" text="L">
      <formula>NOT(ISERROR(SEARCH(("L"),(P15))))</formula>
    </cfRule>
    <cfRule type="containsText" dxfId="6091" priority="4512" operator="containsText" text="O">
      <formula>NOT(ISERROR(SEARCH(("O"),(P15))))</formula>
    </cfRule>
    <cfRule type="containsText" dxfId="6090" priority="4513" operator="containsText" text="C">
      <formula>NOT(ISERROR(SEARCH(("C"),(P15))))</formula>
    </cfRule>
    <cfRule type="containsText" dxfId="6089" priority="4514" operator="containsText" text="P">
      <formula>NOT(ISERROR(SEARCH(("P"),(P15))))</formula>
    </cfRule>
    <cfRule type="containsText" dxfId="6088" priority="4515" operator="containsText" text="K">
      <formula>NOT(ISERROR(SEARCH(("K"),(P15))))</formula>
    </cfRule>
    <cfRule type="containsText" dxfId="6087" priority="4511" operator="containsText" text="N">
      <formula>NOT(ISERROR(SEARCH(("N"),(P15))))</formula>
    </cfRule>
    <cfRule type="containsText" dxfId="6086" priority="4518" operator="containsText" text="N">
      <formula>NOT(ISERROR(SEARCH(("N"),(P15))))</formula>
    </cfRule>
    <cfRule type="containsText" dxfId="6085" priority="4517" operator="containsText" text="L">
      <formula>NOT(ISERROR(SEARCH(("L"),(P15))))</formula>
    </cfRule>
    <cfRule type="containsText" dxfId="6084" priority="4522" operator="containsText" text="K">
      <formula>NOT(ISERROR(SEARCH(("K"),(P15))))</formula>
    </cfRule>
    <cfRule type="containsText" dxfId="6083" priority="4523" operator="containsText" text="X">
      <formula>NOT(ISERROR(SEARCH(("X"),(P15))))</formula>
    </cfRule>
    <cfRule type="containsText" dxfId="6082" priority="4524" operator="containsText" text="L">
      <formula>NOT(ISERROR(SEARCH(("L"),(P15))))</formula>
    </cfRule>
    <cfRule type="containsText" dxfId="6081" priority="4525" operator="containsText" text="N">
      <formula>NOT(ISERROR(SEARCH(("N"),(P15))))</formula>
    </cfRule>
    <cfRule type="containsText" dxfId="6080" priority="4516" operator="containsText" text="X">
      <formula>NOT(ISERROR(SEARCH(("X"),(P15))))</formula>
    </cfRule>
    <cfRule type="containsText" dxfId="6079" priority="4520" operator="containsText" text="C">
      <formula>NOT(ISERROR(SEARCH(("C"),(P15))))</formula>
    </cfRule>
    <cfRule type="containsText" dxfId="6078" priority="4519" operator="containsText" text="O">
      <formula>NOT(ISERROR(SEARCH(("O"),(P15))))</formula>
    </cfRule>
    <cfRule type="containsText" dxfId="6077" priority="4509" operator="containsText" text="X">
      <formula>NOT(ISERROR(SEARCH(("X"),(P15))))</formula>
    </cfRule>
    <cfRule type="containsText" dxfId="6076" priority="4527" operator="containsText" text="O">
      <formula>NOT(ISERROR(SEARCH(("O"),(P15))))</formula>
    </cfRule>
    <cfRule type="containsText" dxfId="6075" priority="4521" operator="containsText" text="P">
      <formula>NOT(ISERROR(SEARCH(("P"),(P15))))</formula>
    </cfRule>
    <cfRule type="containsText" dxfId="6074" priority="4550" operator="containsText" text="K">
      <formula>NOT(ISERROR(SEARCH(("K"),(P15))))</formula>
    </cfRule>
    <cfRule type="containsText" dxfId="6073" priority="4551" operator="containsText" text="X">
      <formula>NOT(ISERROR(SEARCH(("X"),(P15))))</formula>
    </cfRule>
    <cfRule type="containsText" dxfId="6072" priority="4508" operator="containsText" text="K">
      <formula>NOT(ISERROR(SEARCH(("K"),(P15))))</formula>
    </cfRule>
    <cfRule type="containsText" dxfId="6071" priority="4549" operator="containsText" text="P">
      <formula>NOT(ISERROR(SEARCH(("P"),(P15))))</formula>
    </cfRule>
    <cfRule type="containsText" dxfId="6070" priority="4507" operator="containsText" text="P">
      <formula>NOT(ISERROR(SEARCH(("P"),(P15))))</formula>
    </cfRule>
    <cfRule type="containsText" dxfId="6069" priority="4506" operator="containsText" text="C">
      <formula>NOT(ISERROR(SEARCH(("C"),(P15))))</formula>
    </cfRule>
    <cfRule type="containsText" dxfId="6068" priority="4505" operator="containsText" text="O">
      <formula>NOT(ISERROR(SEARCH(("O"),(P15))))</formula>
    </cfRule>
    <cfRule type="containsText" dxfId="6067" priority="4528" operator="containsText" text="C">
      <formula>NOT(ISERROR(SEARCH(("C"),(P15))))</formula>
    </cfRule>
    <cfRule type="containsText" dxfId="6066" priority="4510" operator="containsText" text="L">
      <formula>NOT(ISERROR(SEARCH(("L"),(P15))))</formula>
    </cfRule>
    <cfRule type="containsText" dxfId="6065" priority="4548" operator="containsText" text="C">
      <formula>NOT(ISERROR(SEARCH(("C"),(P15))))</formula>
    </cfRule>
  </conditionalFormatting>
  <conditionalFormatting sqref="P15:Q16">
    <cfRule type="containsText" dxfId="6064" priority="4279" operator="containsText" text="N">
      <formula>NOT(ISERROR(SEARCH(("N"),(P15))))</formula>
    </cfRule>
  </conditionalFormatting>
  <conditionalFormatting sqref="P16:Q16">
    <cfRule type="containsText" dxfId="6063" priority="4249" operator="containsText" text="O">
      <formula>NOT(ISERROR(SEARCH(("O"),(P16))))</formula>
    </cfRule>
    <cfRule type="containsText" dxfId="6062" priority="4248" operator="containsText" text="N">
      <formula>NOT(ISERROR(SEARCH(("N"),(P16))))</formula>
    </cfRule>
    <cfRule type="containsText" dxfId="6061" priority="4247" operator="containsText" text="L">
      <formula>NOT(ISERROR(SEARCH(("L"),(P16))))</formula>
    </cfRule>
    <cfRule type="containsText" dxfId="6060" priority="4246" operator="containsText" text="X">
      <formula>NOT(ISERROR(SEARCH(("X"),(P16))))</formula>
    </cfRule>
    <cfRule type="containsText" dxfId="6059" priority="4245" operator="containsText" text="K">
      <formula>NOT(ISERROR(SEARCH(("K"),(P16))))</formula>
    </cfRule>
    <cfRule type="containsText" dxfId="6058" priority="4244" operator="containsText" text="P">
      <formula>NOT(ISERROR(SEARCH(("P"),(P16))))</formula>
    </cfRule>
    <cfRule type="containsText" dxfId="6057" priority="4243" operator="containsText" text="C">
      <formula>NOT(ISERROR(SEARCH(("C"),(P16))))</formula>
    </cfRule>
    <cfRule type="containsText" dxfId="6056" priority="4242" operator="containsText" text="O">
      <formula>NOT(ISERROR(SEARCH(("O"),(P16))))</formula>
    </cfRule>
    <cfRule type="containsText" dxfId="6055" priority="4241" operator="containsText" text="N">
      <formula>NOT(ISERROR(SEARCH(("N"),(P16))))</formula>
    </cfRule>
    <cfRule type="containsText" dxfId="6054" priority="4240" operator="containsText" text="L">
      <formula>NOT(ISERROR(SEARCH(("L"),(P16))))</formula>
    </cfRule>
    <cfRule type="containsText" dxfId="6053" priority="4239" operator="containsText" text="X">
      <formula>NOT(ISERROR(SEARCH(("X"),(P16))))</formula>
    </cfRule>
    <cfRule type="containsText" dxfId="6052" priority="4238" operator="containsText" text="K">
      <formula>NOT(ISERROR(SEARCH(("K"),(P16))))</formula>
    </cfRule>
    <cfRule type="containsText" dxfId="6051" priority="4237" operator="containsText" text="P">
      <formula>NOT(ISERROR(SEARCH(("P"),(P16))))</formula>
    </cfRule>
    <cfRule type="containsText" dxfId="6050" priority="4236" operator="containsText" text="C">
      <formula>NOT(ISERROR(SEARCH(("C"),(P16))))</formula>
    </cfRule>
    <cfRule type="containsText" dxfId="6049" priority="4235" operator="containsText" text="O">
      <formula>NOT(ISERROR(SEARCH(("O"),(P16))))</formula>
    </cfRule>
    <cfRule type="containsText" dxfId="6048" priority="4257" operator="containsText" text="C">
      <formula>NOT(ISERROR(SEARCH(("C"),(P16))))</formula>
    </cfRule>
    <cfRule type="containsText" dxfId="6047" priority="4288" operator="containsText" text="X">
      <formula>NOT(ISERROR(SEARCH(("X"),(P16))))</formula>
    </cfRule>
    <cfRule type="containsText" dxfId="6046" priority="4287" operator="containsText" text="K">
      <formula>NOT(ISERROR(SEARCH(("K"),(P16))))</formula>
    </cfRule>
    <cfRule type="containsText" dxfId="6045" priority="4286" operator="containsText" text="P">
      <formula>NOT(ISERROR(SEARCH(("P"),(P16))))</formula>
    </cfRule>
    <cfRule type="containsText" dxfId="6044" priority="4285" operator="containsText" text="C">
      <formula>NOT(ISERROR(SEARCH(("C"),(P16))))</formula>
    </cfRule>
    <cfRule type="containsText" dxfId="6043" priority="4284" operator="containsText" text="L">
      <formula>NOT(ISERROR(SEARCH(("L"),(P16))))</formula>
    </cfRule>
    <cfRule type="containsText" dxfId="6042" priority="4283" operator="containsText" text="X">
      <formula>NOT(ISERROR(SEARCH(("X"),(P16))))</formula>
    </cfRule>
    <cfRule type="containsText" dxfId="6041" priority="4282" operator="containsText" text="K">
      <formula>NOT(ISERROR(SEARCH(("K"),(P16))))</formula>
    </cfRule>
    <cfRule type="containsText" dxfId="6040" priority="4281" operator="containsText" text="P">
      <formula>NOT(ISERROR(SEARCH(("P"),(P16))))</formula>
    </cfRule>
    <cfRule type="containsText" dxfId="6039" priority="4280" operator="containsText" text="C">
      <formula>NOT(ISERROR(SEARCH(("C"),(P16))))</formula>
    </cfRule>
    <cfRule type="containsText" dxfId="6038" priority="4278" operator="containsText" text="L">
      <formula>NOT(ISERROR(SEARCH(("L"),(P16))))</formula>
    </cfRule>
    <cfRule type="containsText" dxfId="6037" priority="4277" operator="containsText" text="X">
      <formula>NOT(ISERROR(SEARCH(("X"),(P16))))</formula>
    </cfRule>
    <cfRule type="containsText" dxfId="6036" priority="4276" operator="containsText" text="K">
      <formula>NOT(ISERROR(SEARCH(("K"),(P16))))</formula>
    </cfRule>
    <cfRule type="containsText" dxfId="6035" priority="4275" operator="containsText" text="P">
      <formula>NOT(ISERROR(SEARCH(("P"),(P16))))</formula>
    </cfRule>
    <cfRule type="containsText" dxfId="6034" priority="4274" operator="containsText" text="C">
      <formula>NOT(ISERROR(SEARCH(("C"),(P16))))</formula>
    </cfRule>
    <cfRule type="containsText" dxfId="6033" priority="4273" operator="containsText" text="O">
      <formula>NOT(ISERROR(SEARCH(("O"),(P16))))</formula>
    </cfRule>
    <cfRule type="containsText" dxfId="6032" priority="4272" operator="containsText" text="L">
      <formula>NOT(ISERROR(SEARCH(("L"),(P16))))</formula>
    </cfRule>
    <cfRule type="containsText" dxfId="6031" priority="4271" operator="containsText" text="N">
      <formula>NOT(ISERROR(SEARCH(("N"),(P16))))</formula>
    </cfRule>
    <cfRule type="containsText" dxfId="6030" priority="4270" operator="containsText" text="L">
      <formula>NOT(ISERROR(SEARCH(("L"),(P16))))</formula>
    </cfRule>
    <cfRule type="containsText" dxfId="6029" priority="4269" operator="containsText" text="N">
      <formula>NOT(ISERROR(SEARCH(("N"),(P16))))</formula>
    </cfRule>
    <cfRule type="containsText" dxfId="6028" priority="4268" operator="containsText" text="L">
      <formula>NOT(ISERROR(SEARCH(("L"),(P16))))</formula>
    </cfRule>
    <cfRule type="containsText" dxfId="6027" priority="4267" operator="containsText" text="X">
      <formula>NOT(ISERROR(SEARCH(("X"),(P16))))</formula>
    </cfRule>
    <cfRule type="containsText" dxfId="6026" priority="4266" operator="containsText" text="K">
      <formula>NOT(ISERROR(SEARCH(("K"),(P16))))</formula>
    </cfRule>
    <cfRule type="containsText" dxfId="6025" priority="4265" operator="containsText" text="P">
      <formula>NOT(ISERROR(SEARCH(("P"),(P16))))</formula>
    </cfRule>
    <cfRule type="containsText" dxfId="6024" priority="4264" operator="containsText" text="C">
      <formula>NOT(ISERROR(SEARCH(("C"),(P16))))</formula>
    </cfRule>
    <cfRule type="containsText" dxfId="6023" priority="4263" operator="containsText" text="O">
      <formula>NOT(ISERROR(SEARCH(("O"),(P16))))</formula>
    </cfRule>
    <cfRule type="containsText" dxfId="6022" priority="4262" operator="containsText" text="N">
      <formula>NOT(ISERROR(SEARCH(("N"),(P16))))</formula>
    </cfRule>
    <cfRule type="containsText" dxfId="6021" priority="4261" operator="containsText" text="L">
      <formula>NOT(ISERROR(SEARCH(("L"),(P16))))</formula>
    </cfRule>
    <cfRule type="containsText" dxfId="6020" priority="4260" operator="containsText" text="X">
      <formula>NOT(ISERROR(SEARCH(("X"),(P16))))</formula>
    </cfRule>
    <cfRule type="containsText" dxfId="6019" priority="4259" operator="containsText" text="K">
      <formula>NOT(ISERROR(SEARCH(("K"),(P16))))</formula>
    </cfRule>
    <cfRule type="containsText" dxfId="6018" priority="4258" operator="containsText" text="P">
      <formula>NOT(ISERROR(SEARCH(("P"),(P16))))</formula>
    </cfRule>
    <cfRule type="containsText" dxfId="6017" priority="4256" operator="containsText" text="O">
      <formula>NOT(ISERROR(SEARCH(("O"),(P16))))</formula>
    </cfRule>
    <cfRule type="containsText" dxfId="6016" priority="4255" operator="containsText" text="N">
      <formula>NOT(ISERROR(SEARCH(("N"),(P16))))</formula>
    </cfRule>
    <cfRule type="containsText" dxfId="6015" priority="4254" operator="containsText" text="L">
      <formula>NOT(ISERROR(SEARCH(("L"),(P16))))</formula>
    </cfRule>
    <cfRule type="containsText" dxfId="6014" priority="4253" operator="containsText" text="X">
      <formula>NOT(ISERROR(SEARCH(("X"),(P16))))</formula>
    </cfRule>
    <cfRule type="containsText" dxfId="6013" priority="4252" operator="containsText" text="K">
      <formula>NOT(ISERROR(SEARCH(("K"),(P16))))</formula>
    </cfRule>
    <cfRule type="containsText" dxfId="6012" priority="4251" operator="containsText" text="P">
      <formula>NOT(ISERROR(SEARCH(("P"),(P16))))</formula>
    </cfRule>
    <cfRule type="containsText" dxfId="6011" priority="4250" operator="containsText" text="C">
      <formula>NOT(ISERROR(SEARCH(("C"),(P16))))</formula>
    </cfRule>
  </conditionalFormatting>
  <conditionalFormatting sqref="P16:Q17">
    <cfRule type="containsText" dxfId="6010" priority="3895" operator="containsText" text="N">
      <formula>NOT(ISERROR(SEARCH(("N"),(P16))))</formula>
    </cfRule>
  </conditionalFormatting>
  <conditionalFormatting sqref="P17:Q17">
    <cfRule type="containsText" dxfId="6009" priority="3891" operator="containsText" text="P">
      <formula>NOT(ISERROR(SEARCH(("P"),(P17))))</formula>
    </cfRule>
    <cfRule type="containsText" dxfId="6008" priority="3871" operator="containsText" text="N">
      <formula>NOT(ISERROR(SEARCH(("N"),(P17))))</formula>
    </cfRule>
    <cfRule type="containsText" dxfId="6007" priority="3872" operator="containsText" text="O">
      <formula>NOT(ISERROR(SEARCH(("O"),(P17))))</formula>
    </cfRule>
    <cfRule type="containsText" dxfId="6006" priority="3873" operator="containsText" text="C">
      <formula>NOT(ISERROR(SEARCH(("C"),(P17))))</formula>
    </cfRule>
    <cfRule type="containsText" dxfId="6005" priority="3874" operator="containsText" text="P">
      <formula>NOT(ISERROR(SEARCH(("P"),(P17))))</formula>
    </cfRule>
    <cfRule type="containsText" dxfId="6004" priority="3875" operator="containsText" text="K">
      <formula>NOT(ISERROR(SEARCH(("K"),(P17))))</formula>
    </cfRule>
    <cfRule type="containsText" dxfId="6003" priority="3876" operator="containsText" text="X">
      <formula>NOT(ISERROR(SEARCH(("X"),(P17))))</formula>
    </cfRule>
    <cfRule type="containsText" dxfId="6002" priority="3877" operator="containsText" text="L">
      <formula>NOT(ISERROR(SEARCH(("L"),(P17))))</formula>
    </cfRule>
    <cfRule type="containsText" dxfId="6001" priority="3878" operator="containsText" text="N">
      <formula>NOT(ISERROR(SEARCH(("N"),(P17))))</formula>
    </cfRule>
    <cfRule type="containsText" dxfId="6000" priority="3879" operator="containsText" text="O">
      <formula>NOT(ISERROR(SEARCH(("O"),(P17))))</formula>
    </cfRule>
    <cfRule type="containsText" dxfId="5999" priority="3880" operator="containsText" text="C">
      <formula>NOT(ISERROR(SEARCH(("C"),(P17))))</formula>
    </cfRule>
    <cfRule type="containsText" dxfId="5998" priority="3881" operator="containsText" text="P">
      <formula>NOT(ISERROR(SEARCH(("P"),(P17))))</formula>
    </cfRule>
    <cfRule type="containsText" dxfId="5997" priority="3882" operator="containsText" text="K">
      <formula>NOT(ISERROR(SEARCH(("K"),(P17))))</formula>
    </cfRule>
    <cfRule type="containsText" dxfId="5996" priority="3883" operator="containsText" text="X">
      <formula>NOT(ISERROR(SEARCH(("X"),(P17))))</formula>
    </cfRule>
    <cfRule type="containsText" dxfId="5995" priority="3884" operator="containsText" text="L">
      <formula>NOT(ISERROR(SEARCH(("L"),(P17))))</formula>
    </cfRule>
    <cfRule type="containsText" dxfId="5994" priority="3885" operator="containsText" text="N">
      <formula>NOT(ISERROR(SEARCH(("N"),(P17))))</formula>
    </cfRule>
    <cfRule type="containsText" dxfId="5993" priority="3886" operator="containsText" text="L">
      <formula>NOT(ISERROR(SEARCH(("L"),(P17))))</formula>
    </cfRule>
    <cfRule type="containsText" dxfId="5992" priority="3888" operator="containsText" text="L">
      <formula>NOT(ISERROR(SEARCH(("L"),(P17))))</formula>
    </cfRule>
    <cfRule type="containsText" dxfId="5991" priority="3868" operator="containsText" text="K">
      <formula>NOT(ISERROR(SEARCH(("K"),(P17))))</formula>
    </cfRule>
    <cfRule type="containsText" dxfId="5990" priority="3889" operator="containsText" text="O">
      <formula>NOT(ISERROR(SEARCH(("O"),(P17))))</formula>
    </cfRule>
    <cfRule type="containsText" dxfId="5989" priority="3890" operator="containsText" text="C">
      <formula>NOT(ISERROR(SEARCH(("C"),(P17))))</formula>
    </cfRule>
    <cfRule type="containsText" dxfId="5988" priority="3892" operator="containsText" text="K">
      <formula>NOT(ISERROR(SEARCH(("K"),(P17))))</formula>
    </cfRule>
    <cfRule type="containsText" dxfId="5987" priority="3893" operator="containsText" text="X">
      <formula>NOT(ISERROR(SEARCH(("X"),(P17))))</formula>
    </cfRule>
    <cfRule type="containsText" dxfId="5986" priority="3894" operator="containsText" text="L">
      <formula>NOT(ISERROR(SEARCH(("L"),(P17))))</formula>
    </cfRule>
    <cfRule type="containsText" dxfId="5985" priority="3857" operator="containsText" text="N">
      <formula>NOT(ISERROR(SEARCH(("N"),(P17))))</formula>
    </cfRule>
    <cfRule type="containsText" dxfId="5984" priority="3856" operator="containsText" text="L">
      <formula>NOT(ISERROR(SEARCH(("L"),(P17))))</formula>
    </cfRule>
    <cfRule type="containsText" dxfId="5983" priority="3858" operator="containsText" text="O">
      <formula>NOT(ISERROR(SEARCH(("O"),(P17))))</formula>
    </cfRule>
    <cfRule type="containsText" dxfId="5982" priority="3859" operator="containsText" text="C">
      <formula>NOT(ISERROR(SEARCH(("C"),(P17))))</formula>
    </cfRule>
    <cfRule type="containsText" dxfId="5981" priority="3860" operator="containsText" text="P">
      <formula>NOT(ISERROR(SEARCH(("P"),(P17))))</formula>
    </cfRule>
    <cfRule type="containsText" dxfId="5980" priority="3861" operator="containsText" text="K">
      <formula>NOT(ISERROR(SEARCH(("K"),(P17))))</formula>
    </cfRule>
    <cfRule type="containsText" dxfId="5979" priority="3862" operator="containsText" text="X">
      <formula>NOT(ISERROR(SEARCH(("X"),(P17))))</formula>
    </cfRule>
    <cfRule type="containsText" dxfId="5978" priority="3863" operator="containsText" text="L">
      <formula>NOT(ISERROR(SEARCH(("L"),(P17))))</formula>
    </cfRule>
    <cfRule type="containsText" dxfId="5977" priority="3864" operator="containsText" text="N">
      <formula>NOT(ISERROR(SEARCH(("N"),(P17))))</formula>
    </cfRule>
    <cfRule type="containsText" dxfId="5976" priority="3865" operator="containsText" text="O">
      <formula>NOT(ISERROR(SEARCH(("O"),(P17))))</formula>
    </cfRule>
    <cfRule type="containsText" dxfId="5975" priority="3866" operator="containsText" text="C">
      <formula>NOT(ISERROR(SEARCH(("C"),(P17))))</formula>
    </cfRule>
    <cfRule type="containsText" dxfId="5974" priority="3867" operator="containsText" text="P">
      <formula>NOT(ISERROR(SEARCH(("P"),(P17))))</formula>
    </cfRule>
    <cfRule type="containsText" dxfId="5973" priority="3855" operator="containsText" text="X">
      <formula>NOT(ISERROR(SEARCH(("X"),(P17))))</formula>
    </cfRule>
    <cfRule type="containsText" dxfId="5972" priority="3854" operator="containsText" text="K">
      <formula>NOT(ISERROR(SEARCH(("K"),(P17))))</formula>
    </cfRule>
    <cfRule type="containsText" dxfId="5971" priority="3896" operator="containsText" text="C">
      <formula>NOT(ISERROR(SEARCH(("C"),(P17))))</formula>
    </cfRule>
    <cfRule type="containsText" dxfId="5970" priority="3897" operator="containsText" text="P">
      <formula>NOT(ISERROR(SEARCH(("P"),(P17))))</formula>
    </cfRule>
    <cfRule type="containsText" dxfId="5969" priority="3898" operator="containsText" text="K">
      <formula>NOT(ISERROR(SEARCH(("K"),(P17))))</formula>
    </cfRule>
    <cfRule type="containsText" dxfId="5968" priority="3899" operator="containsText" text="X">
      <formula>NOT(ISERROR(SEARCH(("X"),(P17))))</formula>
    </cfRule>
    <cfRule type="containsText" dxfId="5967" priority="3900" operator="containsText" text="L">
      <formula>NOT(ISERROR(SEARCH(("L"),(P17))))</formula>
    </cfRule>
    <cfRule type="containsText" dxfId="5966" priority="3901" operator="containsText" text="C">
      <formula>NOT(ISERROR(SEARCH(("C"),(P17))))</formula>
    </cfRule>
    <cfRule type="containsText" dxfId="5965" priority="3902" operator="containsText" text="P">
      <formula>NOT(ISERROR(SEARCH(("P"),(P17))))</formula>
    </cfRule>
    <cfRule type="containsText" dxfId="5964" priority="3903" operator="containsText" text="K">
      <formula>NOT(ISERROR(SEARCH(("K"),(P17))))</formula>
    </cfRule>
    <cfRule type="containsText" dxfId="5963" priority="3904" operator="containsText" text="X">
      <formula>NOT(ISERROR(SEARCH(("X"),(P17))))</formula>
    </cfRule>
    <cfRule type="containsText" dxfId="5962" priority="3853" operator="containsText" text="P">
      <formula>NOT(ISERROR(SEARCH(("P"),(P17))))</formula>
    </cfRule>
    <cfRule type="containsText" dxfId="5961" priority="3852" operator="containsText" text="C">
      <formula>NOT(ISERROR(SEARCH(("C"),(P17))))</formula>
    </cfRule>
    <cfRule type="containsText" dxfId="5960" priority="3851" operator="containsText" text="O">
      <formula>NOT(ISERROR(SEARCH(("O"),(P17))))</formula>
    </cfRule>
    <cfRule type="containsText" dxfId="5959" priority="3869" operator="containsText" text="X">
      <formula>NOT(ISERROR(SEARCH(("X"),(P17))))</formula>
    </cfRule>
    <cfRule type="containsText" dxfId="5958" priority="3870" operator="containsText" text="L">
      <formula>NOT(ISERROR(SEARCH(("L"),(P17))))</formula>
    </cfRule>
  </conditionalFormatting>
  <conditionalFormatting sqref="P17:Q18">
    <cfRule type="containsText" dxfId="5957" priority="3309" operator="containsText" text="N">
      <formula>NOT(ISERROR(SEARCH(("N"),(P17))))</formula>
    </cfRule>
  </conditionalFormatting>
  <conditionalFormatting sqref="P18:Q18">
    <cfRule type="containsText" dxfId="5956" priority="3275" operator="containsText" text="C">
      <formula>NOT(ISERROR(SEARCH(("C"),(P18))))</formula>
    </cfRule>
    <cfRule type="containsText" dxfId="5955" priority="3274" operator="containsText" text="O">
      <formula>NOT(ISERROR(SEARCH(("O"),(P18))))</formula>
    </cfRule>
    <cfRule type="containsText" dxfId="5954" priority="3273" operator="containsText" text="N">
      <formula>NOT(ISERROR(SEARCH(("N"),(P18))))</formula>
    </cfRule>
    <cfRule type="containsText" dxfId="5953" priority="3302" operator="containsText" text="N">
      <formula>NOT(ISERROR(SEARCH(("N"),(P18))))</formula>
    </cfRule>
    <cfRule type="containsText" dxfId="5952" priority="3303" operator="containsText" text="O">
      <formula>NOT(ISERROR(SEARCH(("O"),(P18))))</formula>
    </cfRule>
    <cfRule type="containsText" dxfId="5951" priority="3304" operator="containsText" text="C">
      <formula>NOT(ISERROR(SEARCH(("C"),(P18))))</formula>
    </cfRule>
    <cfRule type="containsText" dxfId="5950" priority="3305" operator="containsText" text="P">
      <formula>NOT(ISERROR(SEARCH(("P"),(P18))))</formula>
    </cfRule>
    <cfRule type="containsText" dxfId="5949" priority="3306" operator="containsText" text="K">
      <formula>NOT(ISERROR(SEARCH(("K"),(P18))))</formula>
    </cfRule>
    <cfRule type="containsText" dxfId="5948" priority="3307" operator="containsText" text="X">
      <formula>NOT(ISERROR(SEARCH(("X"),(P18))))</formula>
    </cfRule>
    <cfRule type="containsText" dxfId="5947" priority="3308" operator="containsText" text="L">
      <formula>NOT(ISERROR(SEARCH(("L"),(P18))))</formula>
    </cfRule>
    <cfRule type="containsText" dxfId="5946" priority="3276" operator="containsText" text="P">
      <formula>NOT(ISERROR(SEARCH(("P"),(P18))))</formula>
    </cfRule>
    <cfRule type="containsText" dxfId="5945" priority="3310" operator="containsText" text="L">
      <formula>NOT(ISERROR(SEARCH(("L"),(P18))))</formula>
    </cfRule>
    <cfRule type="containsText" dxfId="5944" priority="3311" operator="containsText" text="O">
      <formula>NOT(ISERROR(SEARCH(("O"),(P18))))</formula>
    </cfRule>
    <cfRule type="containsText" dxfId="5943" priority="3312" operator="containsText" text="C">
      <formula>NOT(ISERROR(SEARCH(("C"),(P18))))</formula>
    </cfRule>
    <cfRule type="containsText" dxfId="5942" priority="3313" operator="containsText" text="P">
      <formula>NOT(ISERROR(SEARCH(("P"),(P18))))</formula>
    </cfRule>
    <cfRule type="containsText" dxfId="5941" priority="3298" operator="containsText" text="P">
      <formula>NOT(ISERROR(SEARCH(("P"),(P18))))</formula>
    </cfRule>
    <cfRule type="containsText" dxfId="5940" priority="3314" operator="containsText" text="K">
      <formula>NOT(ISERROR(SEARCH(("K"),(P18))))</formula>
    </cfRule>
    <cfRule type="containsText" dxfId="5939" priority="3315" operator="containsText" text="X">
      <formula>NOT(ISERROR(SEARCH(("X"),(P18))))</formula>
    </cfRule>
    <cfRule type="containsText" dxfId="5938" priority="3316" operator="containsText" text="L">
      <formula>NOT(ISERROR(SEARCH(("L"),(P18))))</formula>
    </cfRule>
    <cfRule type="containsText" dxfId="5937" priority="3317" operator="containsText" text="C">
      <formula>NOT(ISERROR(SEARCH(("C"),(P18))))</formula>
    </cfRule>
    <cfRule type="containsText" dxfId="5936" priority="3318" operator="containsText" text="P">
      <formula>NOT(ISERROR(SEARCH(("P"),(P18))))</formula>
    </cfRule>
    <cfRule type="containsText" dxfId="5935" priority="3319" operator="containsText" text="K">
      <formula>NOT(ISERROR(SEARCH(("K"),(P18))))</formula>
    </cfRule>
    <cfRule type="containsText" dxfId="5934" priority="3320" operator="containsText" text="X">
      <formula>NOT(ISERROR(SEARCH(("X"),(P18))))</formula>
    </cfRule>
    <cfRule type="containsText" dxfId="5933" priority="3278" operator="containsText" text="X">
      <formula>NOT(ISERROR(SEARCH(("X"),(P18))))</formula>
    </cfRule>
    <cfRule type="containsText" dxfId="5932" priority="3277" operator="containsText" text="K">
      <formula>NOT(ISERROR(SEARCH(("K"),(P18))))</formula>
    </cfRule>
    <cfRule type="containsText" dxfId="5931" priority="3290" operator="containsText" text="P">
      <formula>NOT(ISERROR(SEARCH(("P"),(P18))))</formula>
    </cfRule>
    <cfRule type="containsText" dxfId="5930" priority="3301" operator="containsText" text="L">
      <formula>NOT(ISERROR(SEARCH(("L"),(P18))))</formula>
    </cfRule>
    <cfRule type="containsText" dxfId="5929" priority="3300" operator="containsText" text="X">
      <formula>NOT(ISERROR(SEARCH(("X"),(P18))))</formula>
    </cfRule>
    <cfRule type="containsText" dxfId="5928" priority="3299" operator="containsText" text="K">
      <formula>NOT(ISERROR(SEARCH(("K"),(P18))))</formula>
    </cfRule>
    <cfRule type="containsText" dxfId="5927" priority="3279" operator="containsText" text="L">
      <formula>NOT(ISERROR(SEARCH(("L"),(P18))))</formula>
    </cfRule>
    <cfRule type="containsText" dxfId="5926" priority="3297" operator="containsText" text="C">
      <formula>NOT(ISERROR(SEARCH(("C"),(P18))))</formula>
    </cfRule>
    <cfRule type="containsText" dxfId="5925" priority="3296" operator="containsText" text="O">
      <formula>NOT(ISERROR(SEARCH(("O"),(P18))))</formula>
    </cfRule>
    <cfRule type="containsText" dxfId="5924" priority="3294" operator="containsText" text="N">
      <formula>NOT(ISERROR(SEARCH(("N"),(P18))))</formula>
    </cfRule>
    <cfRule type="containsText" dxfId="5923" priority="3293" operator="containsText" text="L">
      <formula>NOT(ISERROR(SEARCH(("L"),(P18))))</formula>
    </cfRule>
    <cfRule type="containsText" dxfId="5922" priority="3292" operator="containsText" text="X">
      <formula>NOT(ISERROR(SEARCH(("X"),(P18))))</formula>
    </cfRule>
    <cfRule type="containsText" dxfId="5921" priority="3291" operator="containsText" text="K">
      <formula>NOT(ISERROR(SEARCH(("K"),(P18))))</formula>
    </cfRule>
    <cfRule type="containsText" dxfId="5920" priority="3289" operator="containsText" text="C">
      <formula>NOT(ISERROR(SEARCH(("C"),(P18))))</formula>
    </cfRule>
    <cfRule type="containsText" dxfId="5919" priority="3288" operator="containsText" text="O">
      <formula>NOT(ISERROR(SEARCH(("O"),(P18))))</formula>
    </cfRule>
    <cfRule type="containsText" dxfId="5918" priority="3287" operator="containsText" text="N">
      <formula>NOT(ISERROR(SEARCH(("N"),(P18))))</formula>
    </cfRule>
    <cfRule type="containsText" dxfId="5917" priority="3286" operator="containsText" text="L">
      <formula>NOT(ISERROR(SEARCH(("L"),(P18))))</formula>
    </cfRule>
    <cfRule type="containsText" dxfId="5916" priority="3285" operator="containsText" text="X">
      <formula>NOT(ISERROR(SEARCH(("X"),(P18))))</formula>
    </cfRule>
    <cfRule type="containsText" dxfId="5915" priority="3284" operator="containsText" text="K">
      <formula>NOT(ISERROR(SEARCH(("K"),(P18))))</formula>
    </cfRule>
    <cfRule type="containsText" dxfId="5914" priority="3283" operator="containsText" text="P">
      <formula>NOT(ISERROR(SEARCH(("P"),(P18))))</formula>
    </cfRule>
    <cfRule type="containsText" dxfId="5913" priority="3282" operator="containsText" text="C">
      <formula>NOT(ISERROR(SEARCH(("C"),(P18))))</formula>
    </cfRule>
    <cfRule type="containsText" dxfId="5912" priority="3281" operator="containsText" text="O">
      <formula>NOT(ISERROR(SEARCH(("O"),(P18))))</formula>
    </cfRule>
    <cfRule type="containsText" dxfId="5911" priority="3280" operator="containsText" text="N">
      <formula>NOT(ISERROR(SEARCH(("N"),(P18))))</formula>
    </cfRule>
  </conditionalFormatting>
  <conditionalFormatting sqref="P19:Q19">
    <cfRule type="containsText" dxfId="5910" priority="2869" operator="containsText" text="P">
      <formula>NOT(ISERROR(SEARCH(("P"),(P19))))</formula>
    </cfRule>
    <cfRule type="containsText" dxfId="5909" priority="2832" operator="containsText" text="O">
      <formula>NOT(ISERROR(SEARCH(("O"),(P19))))</formula>
    </cfRule>
    <cfRule type="containsText" dxfId="5908" priority="2833" operator="containsText" text="C">
      <formula>NOT(ISERROR(SEARCH(("C"),(P19))))</formula>
    </cfRule>
    <cfRule type="containsText" dxfId="5907" priority="2834" operator="containsText" text="P">
      <formula>NOT(ISERROR(SEARCH(("P"),(P19))))</formula>
    </cfRule>
    <cfRule type="containsText" dxfId="5906" priority="2844" operator="containsText" text="L">
      <formula>NOT(ISERROR(SEARCH(("L"),(P19))))</formula>
    </cfRule>
    <cfRule type="containsText" dxfId="5905" priority="2843" operator="containsText" text="X">
      <formula>NOT(ISERROR(SEARCH(("X"),(P19))))</formula>
    </cfRule>
    <cfRule type="containsText" dxfId="5904" priority="2842" operator="containsText" text="K">
      <formula>NOT(ISERROR(SEARCH(("K"),(P19))))</formula>
    </cfRule>
    <cfRule type="containsText" dxfId="5903" priority="2841" operator="containsText" text="P">
      <formula>NOT(ISERROR(SEARCH(("P"),(P19))))</formula>
    </cfRule>
    <cfRule type="containsText" dxfId="5902" priority="2840" operator="containsText" text="C">
      <formula>NOT(ISERROR(SEARCH(("C"),(P19))))</formula>
    </cfRule>
    <cfRule type="containsText" dxfId="5901" priority="2856" operator="containsText" text="P">
      <formula>NOT(ISERROR(SEARCH(("P"),(P19))))</formula>
    </cfRule>
    <cfRule type="containsText" dxfId="5900" priority="2857" operator="containsText" text="K">
      <formula>NOT(ISERROR(SEARCH(("K"),(P19))))</formula>
    </cfRule>
    <cfRule type="containsText" dxfId="5899" priority="2831" operator="containsText" text="N">
      <formula>NOT(ISERROR(SEARCH(("N"),(P19))))</formula>
    </cfRule>
    <cfRule type="containsText" dxfId="5898" priority="2845" operator="containsText" text="N">
      <formula>NOT(ISERROR(SEARCH(("N"),(P19))))</formula>
    </cfRule>
    <cfRule type="containsText" dxfId="5897" priority="2871" operator="containsText" text="X">
      <formula>NOT(ISERROR(SEARCH(("X"),(P19))))</formula>
    </cfRule>
    <cfRule type="containsText" dxfId="5896" priority="2853" operator="containsText" text="N">
      <formula>NOT(ISERROR(SEARCH(("N"),(P19))))</formula>
    </cfRule>
    <cfRule type="containsText" dxfId="5895" priority="2836" operator="containsText" text="X">
      <formula>NOT(ISERROR(SEARCH(("X"),(P19))))</formula>
    </cfRule>
    <cfRule type="containsText" dxfId="5894" priority="2848" operator="containsText" text="C">
      <formula>NOT(ISERROR(SEARCH(("C"),(P19))))</formula>
    </cfRule>
    <cfRule type="containsText" dxfId="5893" priority="2858" operator="containsText" text="X">
      <formula>NOT(ISERROR(SEARCH(("X"),(P19))))</formula>
    </cfRule>
    <cfRule type="containsText" dxfId="5892" priority="2859" operator="containsText" text="L">
      <formula>NOT(ISERROR(SEARCH(("L"),(P19))))</formula>
    </cfRule>
    <cfRule type="containsText" dxfId="5891" priority="2860" operator="containsText" text="N">
      <formula>NOT(ISERROR(SEARCH(("N"),(P19))))</formula>
    </cfRule>
    <cfRule type="containsText" dxfId="5890" priority="2861" operator="containsText" text="L">
      <formula>NOT(ISERROR(SEARCH(("L"),(P19))))</formula>
    </cfRule>
    <cfRule type="containsText" dxfId="5889" priority="2862" operator="containsText" text="O">
      <formula>NOT(ISERROR(SEARCH(("O"),(P19))))</formula>
    </cfRule>
    <cfRule type="containsText" dxfId="5888" priority="2863" operator="containsText" text="C">
      <formula>NOT(ISERROR(SEARCH(("C"),(P19))))</formula>
    </cfRule>
    <cfRule type="containsText" dxfId="5887" priority="2846" operator="containsText" text="N">
      <formula>NOT(ISERROR(SEARCH(("N"),(P19))))</formula>
    </cfRule>
    <cfRule type="containsText" dxfId="5886" priority="2847" operator="containsText" text="O">
      <formula>NOT(ISERROR(SEARCH(("O"),(P19))))</formula>
    </cfRule>
    <cfRule type="containsText" dxfId="5885" priority="2838" operator="containsText" text="N">
      <formula>NOT(ISERROR(SEARCH(("N"),(P19))))</formula>
    </cfRule>
    <cfRule type="containsText" dxfId="5884" priority="2849" operator="containsText" text="P">
      <formula>NOT(ISERROR(SEARCH(("P"),(P19))))</formula>
    </cfRule>
    <cfRule type="containsText" dxfId="5883" priority="2850" operator="containsText" text="K">
      <formula>NOT(ISERROR(SEARCH(("K"),(P19))))</formula>
    </cfRule>
    <cfRule type="containsText" dxfId="5882" priority="2851" operator="containsText" text="X">
      <formula>NOT(ISERROR(SEARCH(("X"),(P19))))</formula>
    </cfRule>
    <cfRule type="containsText" dxfId="5881" priority="2839" operator="containsText" text="O">
      <formula>NOT(ISERROR(SEARCH(("O"),(P19))))</formula>
    </cfRule>
    <cfRule type="containsText" dxfId="5880" priority="2864" operator="containsText" text="P">
      <formula>NOT(ISERROR(SEARCH(("P"),(P19))))</formula>
    </cfRule>
    <cfRule type="containsText" dxfId="5879" priority="2865" operator="containsText" text="K">
      <formula>NOT(ISERROR(SEARCH(("K"),(P19))))</formula>
    </cfRule>
    <cfRule type="containsText" dxfId="5878" priority="2866" operator="containsText" text="X">
      <formula>NOT(ISERROR(SEARCH(("X"),(P19))))</formula>
    </cfRule>
    <cfRule type="containsText" dxfId="5877" priority="2867" operator="containsText" text="L">
      <formula>NOT(ISERROR(SEARCH(("L"),(P19))))</formula>
    </cfRule>
    <cfRule type="containsText" dxfId="5876" priority="2868" operator="containsText" text="C">
      <formula>NOT(ISERROR(SEARCH(("C"),(P19))))</formula>
    </cfRule>
    <cfRule type="containsText" dxfId="5875" priority="2852" operator="containsText" text="L">
      <formula>NOT(ISERROR(SEARCH(("L"),(P19))))</formula>
    </cfRule>
    <cfRule type="containsText" dxfId="5874" priority="2837" operator="containsText" text="L">
      <formula>NOT(ISERROR(SEARCH(("L"),(P19))))</formula>
    </cfRule>
    <cfRule type="containsText" dxfId="5873" priority="2870" operator="containsText" text="K">
      <formula>NOT(ISERROR(SEARCH(("K"),(P19))))</formula>
    </cfRule>
    <cfRule type="containsText" dxfId="5872" priority="2854" operator="containsText" text="O">
      <formula>NOT(ISERROR(SEARCH(("O"),(P19))))</formula>
    </cfRule>
    <cfRule type="containsText" dxfId="5871" priority="2855" operator="containsText" text="C">
      <formula>NOT(ISERROR(SEARCH(("C"),(P19))))</formula>
    </cfRule>
    <cfRule type="containsText" dxfId="5870" priority="2824" operator="containsText" text="N">
      <formula>NOT(ISERROR(SEARCH(("N"),(P19))))</formula>
    </cfRule>
    <cfRule type="containsText" dxfId="5869" priority="2825" operator="containsText" text="O">
      <formula>NOT(ISERROR(SEARCH(("O"),(P19))))</formula>
    </cfRule>
    <cfRule type="containsText" dxfId="5868" priority="2826" operator="containsText" text="C">
      <formula>NOT(ISERROR(SEARCH(("C"),(P19))))</formula>
    </cfRule>
    <cfRule type="containsText" dxfId="5867" priority="2827" operator="containsText" text="P">
      <formula>NOT(ISERROR(SEARCH(("P"),(P19))))</formula>
    </cfRule>
    <cfRule type="containsText" dxfId="5866" priority="2828" operator="containsText" text="K">
      <formula>NOT(ISERROR(SEARCH(("K"),(P19))))</formula>
    </cfRule>
    <cfRule type="containsText" dxfId="5865" priority="2829" operator="containsText" text="X">
      <formula>NOT(ISERROR(SEARCH(("X"),(P19))))</formula>
    </cfRule>
    <cfRule type="containsText" dxfId="5864" priority="2830" operator="containsText" text="L">
      <formula>NOT(ISERROR(SEARCH(("L"),(P19))))</formula>
    </cfRule>
    <cfRule type="containsText" dxfId="5863" priority="2835" operator="containsText" text="K">
      <formula>NOT(ISERROR(SEARCH(("K"),(P19))))</formula>
    </cfRule>
  </conditionalFormatting>
  <conditionalFormatting sqref="P20:Q20">
    <cfRule type="containsText" dxfId="5862" priority="2550" operator="containsText" text="X">
      <formula>NOT(ISERROR(SEARCH(("X"),(P20))))</formula>
    </cfRule>
    <cfRule type="containsText" dxfId="5861" priority="2549" operator="containsText" text="K">
      <formula>NOT(ISERROR(SEARCH(("K"),(P20))))</formula>
    </cfRule>
    <cfRule type="containsText" dxfId="5860" priority="2548" operator="containsText" text="P">
      <formula>NOT(ISERROR(SEARCH(("P"),(P20))))</formula>
    </cfRule>
    <cfRule type="containsText" dxfId="5859" priority="2547" operator="containsText" text="C">
      <formula>NOT(ISERROR(SEARCH(("C"),(P20))))</formula>
    </cfRule>
    <cfRule type="containsText" dxfId="5858" priority="2546" operator="containsText" text="O">
      <formula>NOT(ISERROR(SEARCH(("O"),(P20))))</formula>
    </cfRule>
    <cfRule type="containsText" dxfId="5857" priority="2545" operator="containsText" text="N">
      <formula>NOT(ISERROR(SEARCH(("N"),(P20))))</formula>
    </cfRule>
    <cfRule type="containsText" dxfId="5856" priority="2544" operator="containsText" text="L">
      <formula>NOT(ISERROR(SEARCH(("L"),(P20))))</formula>
    </cfRule>
    <cfRule type="containsText" dxfId="5855" priority="2543" operator="containsText" text="X">
      <formula>NOT(ISERROR(SEARCH(("X"),(P20))))</formula>
    </cfRule>
    <cfRule type="containsText" dxfId="5854" priority="2488" operator="containsText" text="C">
      <formula>NOT(ISERROR(SEARCH(("C"),(P20))))</formula>
    </cfRule>
    <cfRule type="containsText" dxfId="5853" priority="2510" operator="containsText" text="P">
      <formula>NOT(ISERROR(SEARCH(("P"),(P20))))</formula>
    </cfRule>
    <cfRule type="containsText" dxfId="5852" priority="2504" operator="containsText" text="K">
      <formula>NOT(ISERROR(SEARCH(("K"),(P20))))</formula>
    </cfRule>
    <cfRule type="containsText" dxfId="5851" priority="2509" operator="containsText" text="C">
      <formula>NOT(ISERROR(SEARCH(("C"),(P20))))</formula>
    </cfRule>
    <cfRule type="containsText" dxfId="5850" priority="2591" operator="containsText" text="X">
      <formula>NOT(ISERROR(SEARCH(("X"),(P20))))</formula>
    </cfRule>
    <cfRule type="containsText" dxfId="5849" priority="2508" operator="containsText" text="O">
      <formula>NOT(ISERROR(SEARCH(("O"),(P20))))</formula>
    </cfRule>
    <cfRule type="containsText" dxfId="5848" priority="2507" operator="containsText" text="N">
      <formula>NOT(ISERROR(SEARCH(("N"),(P20))))</formula>
    </cfRule>
    <cfRule type="containsText" dxfId="5847" priority="2506" operator="containsText" text="L">
      <formula>NOT(ISERROR(SEARCH(("L"),(P20))))</formula>
    </cfRule>
    <cfRule type="containsText" dxfId="5846" priority="2505" operator="containsText" text="X">
      <formula>NOT(ISERROR(SEARCH(("X"),(P20))))</formula>
    </cfRule>
    <cfRule type="containsText" dxfId="5845" priority="2503" operator="containsText" text="P">
      <formula>NOT(ISERROR(SEARCH(("P"),(P20))))</formula>
    </cfRule>
    <cfRule type="containsText" dxfId="5844" priority="2502" operator="containsText" text="C">
      <formula>NOT(ISERROR(SEARCH(("C"),(P20))))</formula>
    </cfRule>
    <cfRule type="containsText" dxfId="5843" priority="2501" operator="containsText" text="O">
      <formula>NOT(ISERROR(SEARCH(("O"),(P20))))</formula>
    </cfRule>
    <cfRule type="containsText" dxfId="5842" priority="2500" operator="containsText" text="N">
      <formula>NOT(ISERROR(SEARCH(("N"),(P20))))</formula>
    </cfRule>
    <cfRule type="containsText" dxfId="5841" priority="2499" operator="containsText" text="L">
      <formula>NOT(ISERROR(SEARCH(("L"),(P20))))</formula>
    </cfRule>
    <cfRule type="containsText" dxfId="5840" priority="2498" operator="containsText" text="X">
      <formula>NOT(ISERROR(SEARCH(("X"),(P20))))</formula>
    </cfRule>
    <cfRule type="containsText" dxfId="5839" priority="2542" operator="containsText" text="K">
      <formula>NOT(ISERROR(SEARCH(("K"),(P20))))</formula>
    </cfRule>
    <cfRule type="containsText" dxfId="5838" priority="2541" operator="containsText" text="P">
      <formula>NOT(ISERROR(SEARCH(("P"),(P20))))</formula>
    </cfRule>
    <cfRule type="containsText" dxfId="5837" priority="2540" operator="containsText" text="C">
      <formula>NOT(ISERROR(SEARCH(("C"),(P20))))</formula>
    </cfRule>
    <cfRule type="containsText" dxfId="5836" priority="2539" operator="containsText" text="O">
      <formula>NOT(ISERROR(SEARCH(("O"),(P20))))</formula>
    </cfRule>
    <cfRule type="containsText" dxfId="5835" priority="2538" operator="containsText" text="N">
      <formula>NOT(ISERROR(SEARCH(("N"),(P20))))</formula>
    </cfRule>
    <cfRule type="containsText" dxfId="5834" priority="2537" operator="containsText" text="L">
      <formula>NOT(ISERROR(SEARCH(("L"),(P20))))</formula>
    </cfRule>
    <cfRule type="containsText" dxfId="5833" priority="2536" operator="containsText" text="X">
      <formula>NOT(ISERROR(SEARCH(("X"),(P20))))</formula>
    </cfRule>
    <cfRule type="containsText" dxfId="5832" priority="2497" operator="containsText" text="K">
      <formula>NOT(ISERROR(SEARCH(("K"),(P20))))</formula>
    </cfRule>
    <cfRule type="containsText" dxfId="5831" priority="2496" operator="containsText" text="P">
      <formula>NOT(ISERROR(SEARCH(("P"),(P20))))</formula>
    </cfRule>
    <cfRule type="containsText" dxfId="5830" priority="2495" operator="containsText" text="C">
      <formula>NOT(ISERROR(SEARCH(("C"),(P20))))</formula>
    </cfRule>
    <cfRule type="containsText" dxfId="5829" priority="2494" operator="containsText" text="O">
      <formula>NOT(ISERROR(SEARCH(("O"),(P20))))</formula>
    </cfRule>
    <cfRule type="containsText" dxfId="5828" priority="2493" operator="containsText" text="N">
      <formula>NOT(ISERROR(SEARCH(("N"),(P20))))</formula>
    </cfRule>
    <cfRule type="containsText" dxfId="5827" priority="2492" operator="containsText" text="L">
      <formula>NOT(ISERROR(SEARCH(("L"),(P20))))</formula>
    </cfRule>
    <cfRule type="containsText" dxfId="5826" priority="2535" operator="containsText" text="K">
      <formula>NOT(ISERROR(SEARCH(("K"),(P20))))</formula>
    </cfRule>
    <cfRule type="containsText" dxfId="5825" priority="2561" operator="containsText" text="O">
      <formula>NOT(ISERROR(SEARCH(("O"),(P20))))</formula>
    </cfRule>
    <cfRule type="containsText" dxfId="5824" priority="2489" operator="containsText" text="P">
      <formula>NOT(ISERROR(SEARCH(("P"),(P20))))</formula>
    </cfRule>
    <cfRule type="containsText" dxfId="5823" priority="2484" operator="containsText" text="N">
      <formula>NOT(ISERROR(SEARCH(("N"),(P20))))</formula>
    </cfRule>
    <cfRule type="containsText" dxfId="5822" priority="2485" operator="containsText" text="N">
      <formula>NOT(ISERROR(SEARCH(("N"),(P20))))</formula>
    </cfRule>
    <cfRule type="containsText" dxfId="5821" priority="2486" operator="containsText" text="N">
      <formula>NOT(ISERROR(SEARCH(("N"),(P20))))</formula>
    </cfRule>
    <cfRule type="containsText" dxfId="5820" priority="2487" operator="containsText" text="O">
      <formula>NOT(ISERROR(SEARCH(("O"),(P20))))</formula>
    </cfRule>
    <cfRule type="containsText" dxfId="5819" priority="2534" operator="containsText" text="P">
      <formula>NOT(ISERROR(SEARCH(("P"),(P20))))</formula>
    </cfRule>
    <cfRule type="containsText" dxfId="5818" priority="2533" operator="containsText" text="C">
      <formula>NOT(ISERROR(SEARCH(("C"),(P20))))</formula>
    </cfRule>
    <cfRule type="containsText" dxfId="5817" priority="2532" operator="containsText" text="O">
      <formula>NOT(ISERROR(SEARCH(("O"),(P20))))</formula>
    </cfRule>
    <cfRule type="containsText" dxfId="5816" priority="2531" operator="containsText" text="N">
      <formula>NOT(ISERROR(SEARCH(("N"),(P20))))</formula>
    </cfRule>
    <cfRule type="containsText" dxfId="5815" priority="2530" operator="containsText" text="L">
      <formula>NOT(ISERROR(SEARCH(("L"),(P20))))</formula>
    </cfRule>
    <cfRule type="containsText" dxfId="5814" priority="2529" operator="containsText" text="X">
      <formula>NOT(ISERROR(SEARCH(("X"),(P20))))</formula>
    </cfRule>
    <cfRule type="containsText" dxfId="5813" priority="2528" operator="containsText" text="K">
      <formula>NOT(ISERROR(SEARCH(("K"),(P20))))</formula>
    </cfRule>
    <cfRule type="containsText" dxfId="5812" priority="2527" operator="containsText" text="P">
      <formula>NOT(ISERROR(SEARCH(("P"),(P20))))</formula>
    </cfRule>
    <cfRule type="containsText" dxfId="5811" priority="2526" operator="containsText" text="C">
      <formula>NOT(ISERROR(SEARCH(("C"),(P20))))</formula>
    </cfRule>
    <cfRule type="containsText" dxfId="5810" priority="2525" operator="containsText" text="O">
      <formula>NOT(ISERROR(SEARCH(("O"),(P20))))</formula>
    </cfRule>
    <cfRule type="containsText" dxfId="5809" priority="2524" operator="containsText" text="L">
      <formula>NOT(ISERROR(SEARCH(("L"),(P20))))</formula>
    </cfRule>
    <cfRule type="containsText" dxfId="5808" priority="2523" operator="containsText" text="N">
      <formula>NOT(ISERROR(SEARCH(("N"),(P20))))</formula>
    </cfRule>
    <cfRule type="containsText" dxfId="5807" priority="2522" operator="containsText" text="L">
      <formula>NOT(ISERROR(SEARCH(("L"),(P20))))</formula>
    </cfRule>
    <cfRule type="containsText" dxfId="5806" priority="2521" operator="containsText" text="N">
      <formula>NOT(ISERROR(SEARCH(("N"),(P20))))</formula>
    </cfRule>
    <cfRule type="containsText" dxfId="5805" priority="2520" operator="containsText" text="L">
      <formula>NOT(ISERROR(SEARCH(("L"),(P20))))</formula>
    </cfRule>
    <cfRule type="containsText" dxfId="5804" priority="2519" operator="containsText" text="X">
      <formula>NOT(ISERROR(SEARCH(("X"),(P20))))</formula>
    </cfRule>
    <cfRule type="containsText" dxfId="5803" priority="2518" operator="containsText" text="K">
      <formula>NOT(ISERROR(SEARCH(("K"),(P20))))</formula>
    </cfRule>
    <cfRule type="containsText" dxfId="5802" priority="2517" operator="containsText" text="P">
      <formula>NOT(ISERROR(SEARCH(("P"),(P20))))</formula>
    </cfRule>
    <cfRule type="containsText" dxfId="5801" priority="2516" operator="containsText" text="C">
      <formula>NOT(ISERROR(SEARCH(("C"),(P20))))</formula>
    </cfRule>
    <cfRule type="containsText" dxfId="5800" priority="2515" operator="containsText" text="O">
      <formula>NOT(ISERROR(SEARCH(("O"),(P20))))</formula>
    </cfRule>
    <cfRule type="containsText" dxfId="5799" priority="2514" operator="containsText" text="N">
      <formula>NOT(ISERROR(SEARCH(("N"),(P20))))</formula>
    </cfRule>
    <cfRule type="containsText" dxfId="5798" priority="2513" operator="containsText" text="L">
      <formula>NOT(ISERROR(SEARCH(("L"),(P20))))</formula>
    </cfRule>
    <cfRule type="containsText" dxfId="5797" priority="2512" operator="containsText" text="X">
      <formula>NOT(ISERROR(SEARCH(("X"),(P20))))</formula>
    </cfRule>
    <cfRule type="containsText" dxfId="5796" priority="2511" operator="containsText" text="K">
      <formula>NOT(ISERROR(SEARCH(("K"),(P20))))</formula>
    </cfRule>
    <cfRule type="containsText" dxfId="5795" priority="2573" operator="containsText" text="X">
      <formula>NOT(ISERROR(SEARCH(("X"),(P20))))</formula>
    </cfRule>
    <cfRule type="containsText" dxfId="5794" priority="2574" operator="containsText" text="L">
      <formula>NOT(ISERROR(SEARCH(("L"),(P20))))</formula>
    </cfRule>
    <cfRule type="containsText" dxfId="5793" priority="2575" operator="containsText" text="N">
      <formula>NOT(ISERROR(SEARCH(("N"),(P20))))</formula>
    </cfRule>
    <cfRule type="containsText" dxfId="5792" priority="2576" operator="containsText" text="O">
      <formula>NOT(ISERROR(SEARCH(("O"),(P20))))</formula>
    </cfRule>
    <cfRule type="containsText" dxfId="5791" priority="2577" operator="containsText" text="C">
      <formula>NOT(ISERROR(SEARCH(("C"),(P20))))</formula>
    </cfRule>
    <cfRule type="containsText" dxfId="5790" priority="2578" operator="containsText" text="P">
      <formula>NOT(ISERROR(SEARCH(("P"),(P20))))</formula>
    </cfRule>
    <cfRule type="containsText" dxfId="5789" priority="2579" operator="containsText" text="K">
      <formula>NOT(ISERROR(SEARCH(("K"),(P20))))</formula>
    </cfRule>
    <cfRule type="containsText" dxfId="5788" priority="2580" operator="containsText" text="X">
      <formula>NOT(ISERROR(SEARCH(("X"),(P20))))</formula>
    </cfRule>
    <cfRule type="containsText" dxfId="5787" priority="2581" operator="containsText" text="L">
      <formula>NOT(ISERROR(SEARCH(("L"),(P20))))</formula>
    </cfRule>
    <cfRule type="containsText" dxfId="5786" priority="2582" operator="containsText" text="N">
      <formula>NOT(ISERROR(SEARCH(("N"),(P20))))</formula>
    </cfRule>
    <cfRule type="containsText" dxfId="5785" priority="2583" operator="containsText" text="C">
      <formula>NOT(ISERROR(SEARCH(("C"),(P20))))</formula>
    </cfRule>
    <cfRule type="containsText" dxfId="5784" priority="2584" operator="containsText" text="P">
      <formula>NOT(ISERROR(SEARCH(("P"),(P20))))</formula>
    </cfRule>
    <cfRule type="containsText" dxfId="5783" priority="2585" operator="containsText" text="K">
      <formula>NOT(ISERROR(SEARCH(("K"),(P20))))</formula>
    </cfRule>
    <cfRule type="containsText" dxfId="5782" priority="2586" operator="containsText" text="X">
      <formula>NOT(ISERROR(SEARCH(("X"),(P20))))</formula>
    </cfRule>
    <cfRule type="containsText" dxfId="5781" priority="2587" operator="containsText" text="L">
      <formula>NOT(ISERROR(SEARCH(("L"),(P20))))</formula>
    </cfRule>
    <cfRule type="containsText" dxfId="5780" priority="2588" operator="containsText" text="C">
      <formula>NOT(ISERROR(SEARCH(("C"),(P20))))</formula>
    </cfRule>
    <cfRule type="containsText" dxfId="5779" priority="2589" operator="containsText" text="P">
      <formula>NOT(ISERROR(SEARCH(("P"),(P20))))</formula>
    </cfRule>
    <cfRule type="containsText" dxfId="5778" priority="2590" operator="containsText" text="K">
      <formula>NOT(ISERROR(SEARCH(("K"),(P20))))</formula>
    </cfRule>
    <cfRule type="containsText" dxfId="5777" priority="2491" operator="containsText" text="X">
      <formula>NOT(ISERROR(SEARCH(("X"),(P20))))</formula>
    </cfRule>
    <cfRule type="containsText" dxfId="5776" priority="2572" operator="containsText" text="K">
      <formula>NOT(ISERROR(SEARCH(("K"),(P20))))</formula>
    </cfRule>
    <cfRule type="containsText" dxfId="5775" priority="2571" operator="containsText" text="P">
      <formula>NOT(ISERROR(SEARCH(("P"),(P20))))</formula>
    </cfRule>
    <cfRule type="containsText" dxfId="5774" priority="2570" operator="containsText" text="C">
      <formula>NOT(ISERROR(SEARCH(("C"),(P20))))</formula>
    </cfRule>
    <cfRule type="containsText" dxfId="5773" priority="2569" operator="containsText" text="O">
      <formula>NOT(ISERROR(SEARCH(("O"),(P20))))</formula>
    </cfRule>
    <cfRule type="containsText" dxfId="5772" priority="2568" operator="containsText" text="L">
      <formula>NOT(ISERROR(SEARCH(("L"),(P20))))</formula>
    </cfRule>
    <cfRule type="containsText" dxfId="5771" priority="2567" operator="containsText" text="N">
      <formula>NOT(ISERROR(SEARCH(("N"),(P20))))</formula>
    </cfRule>
    <cfRule type="containsText" dxfId="5770" priority="2566" operator="containsText" text="L">
      <formula>NOT(ISERROR(SEARCH(("L"),(P20))))</formula>
    </cfRule>
    <cfRule type="containsText" dxfId="5769" priority="2565" operator="containsText" text="X">
      <formula>NOT(ISERROR(SEARCH(("X"),(P20))))</formula>
    </cfRule>
    <cfRule type="containsText" dxfId="5768" priority="2564" operator="containsText" text="K">
      <formula>NOT(ISERROR(SEARCH(("K"),(P20))))</formula>
    </cfRule>
    <cfRule type="containsText" dxfId="5767" priority="2563" operator="containsText" text="P">
      <formula>NOT(ISERROR(SEARCH(("P"),(P20))))</formula>
    </cfRule>
    <cfRule type="containsText" dxfId="5766" priority="2562" operator="containsText" text="C">
      <formula>NOT(ISERROR(SEARCH(("C"),(P20))))</formula>
    </cfRule>
    <cfRule type="containsText" dxfId="5765" priority="2560" operator="containsText" text="L">
      <formula>NOT(ISERROR(SEARCH(("L"),(P20))))</formula>
    </cfRule>
    <cfRule type="containsText" dxfId="5764" priority="2559" operator="containsText" text="N">
      <formula>NOT(ISERROR(SEARCH(("N"),(P20))))</formula>
    </cfRule>
    <cfRule type="containsText" dxfId="5763" priority="2558" operator="containsText" text="L">
      <formula>NOT(ISERROR(SEARCH(("L"),(P20))))</formula>
    </cfRule>
    <cfRule type="containsText" dxfId="5762" priority="2557" operator="containsText" text="X">
      <formula>NOT(ISERROR(SEARCH(("X"),(P20))))</formula>
    </cfRule>
    <cfRule type="containsText" dxfId="5761" priority="2556" operator="containsText" text="K">
      <formula>NOT(ISERROR(SEARCH(("K"),(P20))))</formula>
    </cfRule>
    <cfRule type="containsText" dxfId="5760" priority="2555" operator="containsText" text="P">
      <formula>NOT(ISERROR(SEARCH(("P"),(P20))))</formula>
    </cfRule>
    <cfRule type="containsText" dxfId="5759" priority="2490" operator="containsText" text="K">
      <formula>NOT(ISERROR(SEARCH(("K"),(P20))))</formula>
    </cfRule>
    <cfRule type="containsText" dxfId="5758" priority="2554" operator="containsText" text="C">
      <formula>NOT(ISERROR(SEARCH(("C"),(P20))))</formula>
    </cfRule>
    <cfRule type="containsText" dxfId="5757" priority="2553" operator="containsText" text="O">
      <formula>NOT(ISERROR(SEARCH(("O"),(P20))))</formula>
    </cfRule>
    <cfRule type="containsText" dxfId="5756" priority="2552" operator="containsText" text="N">
      <formula>NOT(ISERROR(SEARCH(("N"),(P20))))</formula>
    </cfRule>
    <cfRule type="containsText" dxfId="5755" priority="2551" operator="containsText" text="L">
      <formula>NOT(ISERROR(SEARCH(("L"),(P20))))</formula>
    </cfRule>
  </conditionalFormatting>
  <conditionalFormatting sqref="P21:Q21">
    <cfRule type="containsText" dxfId="5754" priority="2084" operator="containsText" text="L">
      <formula>NOT(ISERROR(SEARCH(("L"),(P21))))</formula>
    </cfRule>
    <cfRule type="containsText" dxfId="5753" priority="2083" operator="containsText" text="X">
      <formula>NOT(ISERROR(SEARCH(("X"),(P21))))</formula>
    </cfRule>
    <cfRule type="containsText" dxfId="5752" priority="2082" operator="containsText" text="K">
      <formula>NOT(ISERROR(SEARCH(("K"),(P21))))</formula>
    </cfRule>
    <cfRule type="containsText" dxfId="5751" priority="2081" operator="containsText" text="P">
      <formula>NOT(ISERROR(SEARCH(("P"),(P21))))</formula>
    </cfRule>
    <cfRule type="containsText" dxfId="5750" priority="2080" operator="containsText" text="C">
      <formula>NOT(ISERROR(SEARCH(("C"),(P21))))</formula>
    </cfRule>
    <cfRule type="containsText" dxfId="5749" priority="2079" operator="containsText" text="O">
      <formula>NOT(ISERROR(SEARCH(("O"),(P21))))</formula>
    </cfRule>
  </conditionalFormatting>
  <conditionalFormatting sqref="P22:Q22">
    <cfRule type="containsText" dxfId="5748" priority="1566" operator="containsText" text="P">
      <formula>NOT(ISERROR(SEARCH(("P"),(P22))))</formula>
    </cfRule>
    <cfRule type="containsText" dxfId="5747" priority="1653" operator="containsText" text="C">
      <formula>NOT(ISERROR(SEARCH(("C"),(P22))))</formula>
    </cfRule>
    <cfRule type="containsText" dxfId="5746" priority="1652" operator="containsText" text="N">
      <formula>NOT(ISERROR(SEARCH(("N"),(P22))))</formula>
    </cfRule>
    <cfRule type="containsText" dxfId="5745" priority="1651" operator="containsText" text="L">
      <formula>NOT(ISERROR(SEARCH(("L"),(P22))))</formula>
    </cfRule>
    <cfRule type="containsText" dxfId="5744" priority="1650" operator="containsText" text="X">
      <formula>NOT(ISERROR(SEARCH(("X"),(P22))))</formula>
    </cfRule>
    <cfRule type="containsText" dxfId="5743" priority="1649" operator="containsText" text="K">
      <formula>NOT(ISERROR(SEARCH(("K"),(P22))))</formula>
    </cfRule>
    <cfRule type="containsText" dxfId="5742" priority="1648" operator="containsText" text="P">
      <formula>NOT(ISERROR(SEARCH(("P"),(P22))))</formula>
    </cfRule>
    <cfRule type="containsText" dxfId="5741" priority="1647" operator="containsText" text="C">
      <formula>NOT(ISERROR(SEARCH(("C"),(P22))))</formula>
    </cfRule>
    <cfRule type="containsText" dxfId="5740" priority="1565" operator="containsText" text="C">
      <formula>NOT(ISERROR(SEARCH(("C"),(P22))))</formula>
    </cfRule>
    <cfRule type="containsText" dxfId="5739" priority="1564" operator="containsText" text="O">
      <formula>NOT(ISERROR(SEARCH(("O"),(P22))))</formula>
    </cfRule>
    <cfRule type="containsText" dxfId="5738" priority="1563" operator="containsText" text="N">
      <formula>NOT(ISERROR(SEARCH(("N"),(P22))))</formula>
    </cfRule>
    <cfRule type="containsText" dxfId="5737" priority="1562" operator="containsText" text="L">
      <formula>NOT(ISERROR(SEARCH(("L"),(P22))))</formula>
    </cfRule>
    <cfRule type="containsText" dxfId="5736" priority="1561" operator="containsText" text="X">
      <formula>NOT(ISERROR(SEARCH(("X"),(P22))))</formula>
    </cfRule>
    <cfRule type="containsText" dxfId="5735" priority="1560" operator="containsText" text="K">
      <formula>NOT(ISERROR(SEARCH(("K"),(P22))))</formula>
    </cfRule>
    <cfRule type="containsText" dxfId="5734" priority="1559" operator="containsText" text="P">
      <formula>NOT(ISERROR(SEARCH(("P"),(P22))))</formula>
    </cfRule>
    <cfRule type="containsText" dxfId="5733" priority="1646" operator="containsText" text="O">
      <formula>NOT(ISERROR(SEARCH(("O"),(P22))))</formula>
    </cfRule>
    <cfRule type="containsText" dxfId="5732" priority="1645" operator="containsText" text="N">
      <formula>NOT(ISERROR(SEARCH(("N"),(P22))))</formula>
    </cfRule>
    <cfRule type="containsText" dxfId="5731" priority="1644" operator="containsText" text="L">
      <formula>NOT(ISERROR(SEARCH(("L"),(P22))))</formula>
    </cfRule>
    <cfRule type="containsText" dxfId="5730" priority="1583" operator="containsText" text="L">
      <formula>NOT(ISERROR(SEARCH(("L"),(P22))))</formula>
    </cfRule>
    <cfRule type="containsText" dxfId="5729" priority="1643" operator="containsText" text="X">
      <formula>NOT(ISERROR(SEARCH(("X"),(P22))))</formula>
    </cfRule>
    <cfRule type="containsText" dxfId="5728" priority="1642" operator="containsText" text="K">
      <formula>NOT(ISERROR(SEARCH(("K"),(P22))))</formula>
    </cfRule>
    <cfRule type="containsText" dxfId="5727" priority="1641" operator="containsText" text="P">
      <formula>NOT(ISERROR(SEARCH(("P"),(P22))))</formula>
    </cfRule>
    <cfRule type="containsText" dxfId="5726" priority="1640" operator="containsText" text="C">
      <formula>NOT(ISERROR(SEARCH(("C"),(P22))))</formula>
    </cfRule>
    <cfRule type="containsText" dxfId="5725" priority="1639" operator="containsText" text="O">
      <formula>NOT(ISERROR(SEARCH(("O"),(P22))))</formula>
    </cfRule>
    <cfRule type="containsText" dxfId="5724" priority="1638" operator="containsText" text="L">
      <formula>NOT(ISERROR(SEARCH(("L"),(P22))))</formula>
    </cfRule>
    <cfRule type="containsText" dxfId="5723" priority="1637" operator="containsText" text="N">
      <formula>NOT(ISERROR(SEARCH(("N"),(P22))))</formula>
    </cfRule>
    <cfRule type="containsText" dxfId="5722" priority="1636" operator="containsText" text="L">
      <formula>NOT(ISERROR(SEARCH(("L"),(P22))))</formula>
    </cfRule>
    <cfRule type="containsText" dxfId="5721" priority="1582" operator="containsText" text="X">
      <formula>NOT(ISERROR(SEARCH(("X"),(P22))))</formula>
    </cfRule>
    <cfRule type="containsText" dxfId="5720" priority="1581" operator="containsText" text="K">
      <formula>NOT(ISERROR(SEARCH(("K"),(P22))))</formula>
    </cfRule>
    <cfRule type="containsText" dxfId="5719" priority="1580" operator="containsText" text="P">
      <formula>NOT(ISERROR(SEARCH(("P"),(P22))))</formula>
    </cfRule>
    <cfRule type="containsText" dxfId="5718" priority="1579" operator="containsText" text="C">
      <formula>NOT(ISERROR(SEARCH(("C"),(P22))))</formula>
    </cfRule>
    <cfRule type="containsText" dxfId="5717" priority="1596" operator="containsText" text="C">
      <formula>NOT(ISERROR(SEARCH(("C"),(P22))))</formula>
    </cfRule>
    <cfRule type="containsText" dxfId="5716" priority="1595" operator="containsText" text="O">
      <formula>NOT(ISERROR(SEARCH(("O"),(P22))))</formula>
    </cfRule>
    <cfRule type="containsText" dxfId="5715" priority="1594" operator="containsText" text="L">
      <formula>NOT(ISERROR(SEARCH(("L"),(P22))))</formula>
    </cfRule>
    <cfRule type="containsText" dxfId="5714" priority="1597" operator="containsText" text="P">
      <formula>NOT(ISERROR(SEARCH(("P"),(P22))))</formula>
    </cfRule>
    <cfRule type="containsText" dxfId="5713" priority="1598" operator="containsText" text="K">
      <formula>NOT(ISERROR(SEARCH(("K"),(P22))))</formula>
    </cfRule>
    <cfRule type="containsText" dxfId="5712" priority="1599" operator="containsText" text="X">
      <formula>NOT(ISERROR(SEARCH(("X"),(P22))))</formula>
    </cfRule>
    <cfRule type="containsText" dxfId="5711" priority="1600" operator="containsText" text="L">
      <formula>NOT(ISERROR(SEARCH(("L"),(P22))))</formula>
    </cfRule>
    <cfRule type="containsText" dxfId="5710" priority="1593" operator="containsText" text="N">
      <formula>NOT(ISERROR(SEARCH(("N"),(P22))))</formula>
    </cfRule>
    <cfRule type="containsText" dxfId="5709" priority="1592" operator="containsText" text="L">
      <formula>NOT(ISERROR(SEARCH(("L"),(P22))))</formula>
    </cfRule>
    <cfRule type="containsText" dxfId="5708" priority="1591" operator="containsText" text="N">
      <formula>NOT(ISERROR(SEARCH(("N"),(P22))))</formula>
    </cfRule>
    <cfRule type="containsText" dxfId="5707" priority="1590" operator="containsText" text="L">
      <formula>NOT(ISERROR(SEARCH(("L"),(P22))))</formula>
    </cfRule>
    <cfRule type="containsText" dxfId="5706" priority="1589" operator="containsText" text="X">
      <formula>NOT(ISERROR(SEARCH(("X"),(P22))))</formula>
    </cfRule>
    <cfRule type="containsText" dxfId="5705" priority="1588" operator="containsText" text="K">
      <formula>NOT(ISERROR(SEARCH(("K"),(P22))))</formula>
    </cfRule>
    <cfRule type="containsText" dxfId="5704" priority="1587" operator="containsText" text="P">
      <formula>NOT(ISERROR(SEARCH(("P"),(P22))))</formula>
    </cfRule>
    <cfRule type="containsText" dxfId="5703" priority="1621" operator="containsText" text="L">
      <formula>NOT(ISERROR(SEARCH(("L"),(P22))))</formula>
    </cfRule>
    <cfRule type="containsText" dxfId="5702" priority="1620" operator="containsText" text="X">
      <formula>NOT(ISERROR(SEARCH(("X"),(P22))))</formula>
    </cfRule>
    <cfRule type="containsText" dxfId="5701" priority="1619" operator="containsText" text="K">
      <formula>NOT(ISERROR(SEARCH(("K"),(P22))))</formula>
    </cfRule>
    <cfRule type="containsText" dxfId="5700" priority="1618" operator="containsText" text="P">
      <formula>NOT(ISERROR(SEARCH(("P"),(P22))))</formula>
    </cfRule>
    <cfRule type="containsText" dxfId="5699" priority="1617" operator="containsText" text="C">
      <formula>NOT(ISERROR(SEARCH(("C"),(P22))))</formula>
    </cfRule>
    <cfRule type="containsText" dxfId="5698" priority="1616" operator="containsText" text="O">
      <formula>NOT(ISERROR(SEARCH(("O"),(P22))))</formula>
    </cfRule>
    <cfRule type="containsText" dxfId="5697" priority="1615" operator="containsText" text="N">
      <formula>NOT(ISERROR(SEARCH(("N"),(P22))))</formula>
    </cfRule>
    <cfRule type="containsText" dxfId="5696" priority="1614" operator="containsText" text="L">
      <formula>NOT(ISERROR(SEARCH(("L"),(P22))))</formula>
    </cfRule>
    <cfRule type="containsText" dxfId="5695" priority="1613" operator="containsText" text="X">
      <formula>NOT(ISERROR(SEARCH(("X"),(P22))))</formula>
    </cfRule>
    <cfRule type="containsText" dxfId="5694" priority="1612" operator="containsText" text="K">
      <formula>NOT(ISERROR(SEARCH(("K"),(P22))))</formula>
    </cfRule>
    <cfRule type="containsText" dxfId="5693" priority="1611" operator="containsText" text="P">
      <formula>NOT(ISERROR(SEARCH(("P"),(P22))))</formula>
    </cfRule>
    <cfRule type="containsText" dxfId="5692" priority="1610" operator="containsText" text="C">
      <formula>NOT(ISERROR(SEARCH(("C"),(P22))))</formula>
    </cfRule>
    <cfRule type="containsText" dxfId="5691" priority="1609" operator="containsText" text="O">
      <formula>NOT(ISERROR(SEARCH(("O"),(P22))))</formula>
    </cfRule>
    <cfRule type="containsText" dxfId="5690" priority="1608" operator="containsText" text="N">
      <formula>NOT(ISERROR(SEARCH(("N"),(P22))))</formula>
    </cfRule>
    <cfRule type="containsText" dxfId="5689" priority="1607" operator="containsText" text="L">
      <formula>NOT(ISERROR(SEARCH(("L"),(P22))))</formula>
    </cfRule>
    <cfRule type="containsText" dxfId="5688" priority="1606" operator="containsText" text="X">
      <formula>NOT(ISERROR(SEARCH(("X"),(P22))))</formula>
    </cfRule>
    <cfRule type="containsText" dxfId="5687" priority="1586" operator="containsText" text="C">
      <formula>NOT(ISERROR(SEARCH(("C"),(P22))))</formula>
    </cfRule>
    <cfRule type="containsText" dxfId="5686" priority="1604" operator="containsText" text="P">
      <formula>NOT(ISERROR(SEARCH(("P"),(P22))))</formula>
    </cfRule>
    <cfRule type="containsText" dxfId="5685" priority="1603" operator="containsText" text="C">
      <formula>NOT(ISERROR(SEARCH(("C"),(P22))))</formula>
    </cfRule>
    <cfRule type="containsText" dxfId="5684" priority="1602" operator="containsText" text="O">
      <formula>NOT(ISERROR(SEARCH(("O"),(P22))))</formula>
    </cfRule>
    <cfRule type="containsText" dxfId="5683" priority="1601" operator="containsText" text="N">
      <formula>NOT(ISERROR(SEARCH(("N"),(P22))))</formula>
    </cfRule>
    <cfRule type="containsText" dxfId="5682" priority="1635" operator="containsText" text="X">
      <formula>NOT(ISERROR(SEARCH(("X"),(P22))))</formula>
    </cfRule>
    <cfRule type="containsText" dxfId="5681" priority="1634" operator="containsText" text="K">
      <formula>NOT(ISERROR(SEARCH(("K"),(P22))))</formula>
    </cfRule>
    <cfRule type="containsText" dxfId="5680" priority="1558" operator="containsText" text="C">
      <formula>NOT(ISERROR(SEARCH(("C"),(P22))))</formula>
    </cfRule>
    <cfRule type="containsText" dxfId="5679" priority="1557" operator="containsText" text="O">
      <formula>NOT(ISERROR(SEARCH(("O"),(P22))))</formula>
    </cfRule>
    <cfRule type="containsText" dxfId="5678" priority="1556" operator="containsText" text="N">
      <formula>NOT(ISERROR(SEARCH(("N"),(P22))))</formula>
    </cfRule>
    <cfRule type="containsText" dxfId="5677" priority="1555" operator="containsText" text="N">
      <formula>NOT(ISERROR(SEARCH(("N"),(P22))))</formula>
    </cfRule>
    <cfRule type="containsText" dxfId="5676" priority="1554" operator="containsText" text="N">
      <formula>NOT(ISERROR(SEARCH(("N"),(P22))))</formula>
    </cfRule>
    <cfRule type="containsText" dxfId="5675" priority="1633" operator="containsText" text="P">
      <formula>NOT(ISERROR(SEARCH(("P"),(P22))))</formula>
    </cfRule>
    <cfRule type="containsText" dxfId="5674" priority="1632" operator="containsText" text="C">
      <formula>NOT(ISERROR(SEARCH(("C"),(P22))))</formula>
    </cfRule>
    <cfRule type="containsText" dxfId="5673" priority="1631" operator="containsText" text="O">
      <formula>NOT(ISERROR(SEARCH(("O"),(P22))))</formula>
    </cfRule>
    <cfRule type="containsText" dxfId="5672" priority="1630" operator="containsText" text="L">
      <formula>NOT(ISERROR(SEARCH(("L"),(P22))))</formula>
    </cfRule>
    <cfRule type="containsText" dxfId="5671" priority="1629" operator="containsText" text="N">
      <formula>NOT(ISERROR(SEARCH(("N"),(P22))))</formula>
    </cfRule>
    <cfRule type="containsText" dxfId="5670" priority="1628" operator="containsText" text="L">
      <formula>NOT(ISERROR(SEARCH(("L"),(P22))))</formula>
    </cfRule>
    <cfRule type="containsText" dxfId="5669" priority="1627" operator="containsText" text="X">
      <formula>NOT(ISERROR(SEARCH(("X"),(P22))))</formula>
    </cfRule>
    <cfRule type="containsText" dxfId="5668" priority="1626" operator="containsText" text="K">
      <formula>NOT(ISERROR(SEARCH(("K"),(P22))))</formula>
    </cfRule>
    <cfRule type="containsText" dxfId="5667" priority="1625" operator="containsText" text="P">
      <formula>NOT(ISERROR(SEARCH(("P"),(P22))))</formula>
    </cfRule>
    <cfRule type="containsText" dxfId="5666" priority="1624" operator="containsText" text="C">
      <formula>NOT(ISERROR(SEARCH(("C"),(P22))))</formula>
    </cfRule>
    <cfRule type="containsText" dxfId="5665" priority="1623" operator="containsText" text="O">
      <formula>NOT(ISERROR(SEARCH(("O"),(P22))))</formula>
    </cfRule>
    <cfRule type="containsText" dxfId="5664" priority="1622" operator="containsText" text="N">
      <formula>NOT(ISERROR(SEARCH(("N"),(P22))))</formula>
    </cfRule>
    <cfRule type="containsText" dxfId="5663" priority="1571" operator="containsText" text="O">
      <formula>NOT(ISERROR(SEARCH(("O"),(P22))))</formula>
    </cfRule>
    <cfRule type="containsText" dxfId="5662" priority="1570" operator="containsText" text="N">
      <formula>NOT(ISERROR(SEARCH(("N"),(P22))))</formula>
    </cfRule>
    <cfRule type="containsText" dxfId="5661" priority="1584" operator="containsText" text="N">
      <formula>NOT(ISERROR(SEARCH(("N"),(P22))))</formula>
    </cfRule>
    <cfRule type="containsText" dxfId="5660" priority="1569" operator="containsText" text="L">
      <formula>NOT(ISERROR(SEARCH(("L"),(P22))))</formula>
    </cfRule>
    <cfRule type="containsText" dxfId="5659" priority="1661" operator="containsText" text="X">
      <formula>NOT(ISERROR(SEARCH(("X"),(P22))))</formula>
    </cfRule>
    <cfRule type="containsText" dxfId="5658" priority="1660" operator="containsText" text="K">
      <formula>NOT(ISERROR(SEARCH(("K"),(P22))))</formula>
    </cfRule>
    <cfRule type="containsText" dxfId="5657" priority="1659" operator="containsText" text="P">
      <formula>NOT(ISERROR(SEARCH(("P"),(P22))))</formula>
    </cfRule>
    <cfRule type="containsText" dxfId="5656" priority="1658" operator="containsText" text="C">
      <formula>NOT(ISERROR(SEARCH(("C"),(P22))))</formula>
    </cfRule>
    <cfRule type="containsText" dxfId="5655" priority="1657" operator="containsText" text="L">
      <formula>NOT(ISERROR(SEARCH(("L"),(P22))))</formula>
    </cfRule>
    <cfRule type="containsText" dxfId="5654" priority="1656" operator="containsText" text="X">
      <formula>NOT(ISERROR(SEARCH(("X"),(P22))))</formula>
    </cfRule>
    <cfRule type="containsText" dxfId="5653" priority="1578" operator="containsText" text="O">
      <formula>NOT(ISERROR(SEARCH(("O"),(P22))))</formula>
    </cfRule>
    <cfRule type="containsText" dxfId="5652" priority="1577" operator="containsText" text="N">
      <formula>NOT(ISERROR(SEARCH(("N"),(P22))))</formula>
    </cfRule>
    <cfRule type="containsText" dxfId="5651" priority="1576" operator="containsText" text="L">
      <formula>NOT(ISERROR(SEARCH(("L"),(P22))))</formula>
    </cfRule>
    <cfRule type="containsText" dxfId="5650" priority="1655" operator="containsText" text="K">
      <formula>NOT(ISERROR(SEARCH(("K"),(P22))))</formula>
    </cfRule>
    <cfRule type="containsText" dxfId="5649" priority="1575" operator="containsText" text="X">
      <formula>NOT(ISERROR(SEARCH(("X"),(P22))))</formula>
    </cfRule>
    <cfRule type="containsText" dxfId="5648" priority="1574" operator="containsText" text="K">
      <formula>NOT(ISERROR(SEARCH(("K"),(P22))))</formula>
    </cfRule>
    <cfRule type="containsText" dxfId="5647" priority="1568" operator="containsText" text="X">
      <formula>NOT(ISERROR(SEARCH(("X"),(P22))))</formula>
    </cfRule>
    <cfRule type="containsText" dxfId="5646" priority="1567" operator="containsText" text="K">
      <formula>NOT(ISERROR(SEARCH(("K"),(P22))))</formula>
    </cfRule>
    <cfRule type="containsText" dxfId="5645" priority="1585" operator="containsText" text="O">
      <formula>NOT(ISERROR(SEARCH(("O"),(P22))))</formula>
    </cfRule>
    <cfRule type="containsText" dxfId="5644" priority="1573" operator="containsText" text="P">
      <formula>NOT(ISERROR(SEARCH(("P"),(P22))))</formula>
    </cfRule>
    <cfRule type="containsText" dxfId="5643" priority="1654" operator="containsText" text="P">
      <formula>NOT(ISERROR(SEARCH(("P"),(P22))))</formula>
    </cfRule>
    <cfRule type="containsText" dxfId="5642" priority="1572" operator="containsText" text="C">
      <formula>NOT(ISERROR(SEARCH(("C"),(P22))))</formula>
    </cfRule>
    <cfRule type="containsText" dxfId="5641" priority="1605" operator="containsText" text="K">
      <formula>NOT(ISERROR(SEARCH(("K"),(P22))))</formula>
    </cfRule>
  </conditionalFormatting>
  <conditionalFormatting sqref="P23:Q23">
    <cfRule type="containsText" dxfId="5640" priority="1151" operator="containsText" text="X">
      <formula>NOT(ISERROR(SEARCH(("X"),(P23))))</formula>
    </cfRule>
    <cfRule type="containsText" dxfId="5639" priority="1161" operator="containsText" text="N">
      <formula>NOT(ISERROR(SEARCH(("N"),(P23))))</formula>
    </cfRule>
    <cfRule type="containsText" dxfId="5638" priority="1160" operator="containsText" text="L">
      <formula>NOT(ISERROR(SEARCH(("L"),(P23))))</formula>
    </cfRule>
    <cfRule type="containsText" dxfId="5637" priority="1159" operator="containsText" text="X">
      <formula>NOT(ISERROR(SEARCH(("X"),(P23))))</formula>
    </cfRule>
    <cfRule type="containsText" dxfId="5636" priority="1158" operator="containsText" text="K">
      <formula>NOT(ISERROR(SEARCH(("K"),(P23))))</formula>
    </cfRule>
    <cfRule type="containsText" dxfId="5635" priority="1123" operator="containsText" text="L">
      <formula>NOT(ISERROR(SEARCH(("L"),(P23))))</formula>
    </cfRule>
    <cfRule type="containsText" dxfId="5634" priority="1122" operator="containsText" text="X">
      <formula>NOT(ISERROR(SEARCH(("X"),(P23))))</formula>
    </cfRule>
    <cfRule type="containsText" dxfId="5633" priority="1121" operator="containsText" text="K">
      <formula>NOT(ISERROR(SEARCH(("K"),(P23))))</formula>
    </cfRule>
    <cfRule type="containsText" dxfId="5632" priority="1120" operator="containsText" text="P">
      <formula>NOT(ISERROR(SEARCH(("P"),(P23))))</formula>
    </cfRule>
    <cfRule type="containsText" dxfId="5631" priority="1119" operator="containsText" text="C">
      <formula>NOT(ISERROR(SEARCH(("C"),(P23))))</formula>
    </cfRule>
    <cfRule type="containsText" dxfId="5630" priority="1118" operator="containsText" text="O">
      <formula>NOT(ISERROR(SEARCH(("O"),(P23))))</formula>
    </cfRule>
    <cfRule type="containsText" dxfId="5629" priority="1117" operator="containsText" text="N">
      <formula>NOT(ISERROR(SEARCH(("N"),(P23))))</formula>
    </cfRule>
    <cfRule type="containsText" dxfId="5628" priority="1116" operator="containsText" text="L">
      <formula>NOT(ISERROR(SEARCH(("L"),(P23))))</formula>
    </cfRule>
    <cfRule type="containsText" dxfId="5627" priority="1115" operator="containsText" text="X">
      <formula>NOT(ISERROR(SEARCH(("X"),(P23))))</formula>
    </cfRule>
    <cfRule type="containsText" dxfId="5626" priority="1114" operator="containsText" text="K">
      <formula>NOT(ISERROR(SEARCH(("K"),(P23))))</formula>
    </cfRule>
    <cfRule type="containsText" dxfId="5625" priority="1113" operator="containsText" text="P">
      <formula>NOT(ISERROR(SEARCH(("P"),(P23))))</formula>
    </cfRule>
    <cfRule type="containsText" dxfId="5624" priority="1112" operator="containsText" text="C">
      <formula>NOT(ISERROR(SEARCH(("C"),(P23))))</formula>
    </cfRule>
    <cfRule type="containsText" dxfId="5623" priority="1111" operator="containsText" text="O">
      <formula>NOT(ISERROR(SEARCH(("O"),(P23))))</formula>
    </cfRule>
    <cfRule type="containsText" dxfId="5622" priority="1110" operator="containsText" text="L">
      <formula>NOT(ISERROR(SEARCH(("L"),(P23))))</formula>
    </cfRule>
    <cfRule type="containsText" dxfId="5621" priority="1109" operator="containsText" text="N">
      <formula>NOT(ISERROR(SEARCH(("N"),(P23))))</formula>
    </cfRule>
    <cfRule type="containsText" dxfId="5620" priority="1108" operator="containsText" text="L">
      <formula>NOT(ISERROR(SEARCH(("L"),(P23))))</formula>
    </cfRule>
    <cfRule type="containsText" dxfId="5619" priority="1107" operator="containsText" text="N">
      <formula>NOT(ISERROR(SEARCH(("N"),(P23))))</formula>
    </cfRule>
    <cfRule type="containsText" dxfId="5618" priority="1106" operator="containsText" text="L">
      <formula>NOT(ISERROR(SEARCH(("L"),(P23))))</formula>
    </cfRule>
    <cfRule type="containsText" dxfId="5617" priority="1105" operator="containsText" text="X">
      <formula>NOT(ISERROR(SEARCH(("X"),(P23))))</formula>
    </cfRule>
    <cfRule type="containsText" dxfId="5616" priority="1104" operator="containsText" text="K">
      <formula>NOT(ISERROR(SEARCH(("K"),(P23))))</formula>
    </cfRule>
    <cfRule type="containsText" dxfId="5615" priority="1103" operator="containsText" text="P">
      <formula>NOT(ISERROR(SEARCH(("P"),(P23))))</formula>
    </cfRule>
    <cfRule type="containsText" dxfId="5614" priority="1102" operator="containsText" text="C">
      <formula>NOT(ISERROR(SEARCH(("C"),(P23))))</formula>
    </cfRule>
    <cfRule type="containsText" dxfId="5613" priority="1134" operator="containsText" text="P">
      <formula>NOT(ISERROR(SEARCH(("P"),(P23))))</formula>
    </cfRule>
    <cfRule type="containsText" dxfId="5612" priority="1135" operator="containsText" text="K">
      <formula>NOT(ISERROR(SEARCH(("K"),(P23))))</formula>
    </cfRule>
    <cfRule type="containsText" dxfId="5611" priority="1101" operator="containsText" text="O">
      <formula>NOT(ISERROR(SEARCH(("O"),(P23))))</formula>
    </cfRule>
    <cfRule type="containsText" dxfId="5610" priority="1136" operator="containsText" text="X">
      <formula>NOT(ISERROR(SEARCH(("X"),(P23))))</formula>
    </cfRule>
    <cfRule type="containsText" dxfId="5609" priority="1137" operator="containsText" text="L">
      <formula>NOT(ISERROR(SEARCH(("L"),(P23))))</formula>
    </cfRule>
    <cfRule type="containsText" dxfId="5608" priority="1138" operator="containsText" text="N">
      <formula>NOT(ISERROR(SEARCH(("N"),(P23))))</formula>
    </cfRule>
    <cfRule type="containsText" dxfId="5607" priority="1139" operator="containsText" text="O">
      <formula>NOT(ISERROR(SEARCH(("O"),(P23))))</formula>
    </cfRule>
    <cfRule type="containsText" dxfId="5606" priority="1140" operator="containsText" text="C">
      <formula>NOT(ISERROR(SEARCH(("C"),(P23))))</formula>
    </cfRule>
    <cfRule type="containsText" dxfId="5605" priority="1141" operator="containsText" text="P">
      <formula>NOT(ISERROR(SEARCH(("P"),(P23))))</formula>
    </cfRule>
    <cfRule type="containsText" dxfId="5604" priority="1157" operator="containsText" text="P">
      <formula>NOT(ISERROR(SEARCH(("P"),(P23))))</formula>
    </cfRule>
    <cfRule type="containsText" dxfId="5603" priority="1156" operator="containsText" text="C">
      <formula>NOT(ISERROR(SEARCH(("C"),(P23))))</formula>
    </cfRule>
    <cfRule type="containsText" dxfId="5602" priority="1155" operator="containsText" text="O">
      <formula>NOT(ISERROR(SEARCH(("O"),(P23))))</formula>
    </cfRule>
    <cfRule type="containsText" dxfId="5601" priority="1154" operator="containsText" text="L">
      <formula>NOT(ISERROR(SEARCH(("L"),(P23))))</formula>
    </cfRule>
    <cfRule type="containsText" dxfId="5600" priority="1124" operator="containsText" text="N">
      <formula>NOT(ISERROR(SEARCH(("N"),(P23))))</formula>
    </cfRule>
    <cfRule type="containsText" dxfId="5599" priority="1125" operator="containsText" text="O">
      <formula>NOT(ISERROR(SEARCH(("O"),(P23))))</formula>
    </cfRule>
    <cfRule type="containsText" dxfId="5598" priority="1126" operator="containsText" text="C">
      <formula>NOT(ISERROR(SEARCH(("C"),(P23))))</formula>
    </cfRule>
    <cfRule type="containsText" dxfId="5597" priority="1127" operator="containsText" text="P">
      <formula>NOT(ISERROR(SEARCH(("P"),(P23))))</formula>
    </cfRule>
    <cfRule type="containsText" dxfId="5596" priority="1128" operator="containsText" text="K">
      <formula>NOT(ISERROR(SEARCH(("K"),(P23))))</formula>
    </cfRule>
    <cfRule type="containsText" dxfId="5595" priority="1129" operator="containsText" text="X">
      <formula>NOT(ISERROR(SEARCH(("X"),(P23))))</formula>
    </cfRule>
    <cfRule type="containsText" dxfId="5594" priority="1130" operator="containsText" text="L">
      <formula>NOT(ISERROR(SEARCH(("L"),(P23))))</formula>
    </cfRule>
    <cfRule type="containsText" dxfId="5593" priority="1131" operator="containsText" text="N">
      <formula>NOT(ISERROR(SEARCH(("N"),(P23))))</formula>
    </cfRule>
    <cfRule type="containsText" dxfId="5592" priority="1132" operator="containsText" text="O">
      <formula>NOT(ISERROR(SEARCH(("O"),(P23))))</formula>
    </cfRule>
    <cfRule type="containsText" dxfId="5591" priority="1133" operator="containsText" text="C">
      <formula>NOT(ISERROR(SEARCH(("C"),(P23))))</formula>
    </cfRule>
    <cfRule type="containsText" dxfId="5590" priority="1162" operator="containsText" text="O">
      <formula>NOT(ISERROR(SEARCH(("O"),(P23))))</formula>
    </cfRule>
    <cfRule type="containsText" dxfId="5589" priority="1163" operator="containsText" text="C">
      <formula>NOT(ISERROR(SEARCH(("C"),(P23))))</formula>
    </cfRule>
    <cfRule type="containsText" dxfId="5588" priority="1164" operator="containsText" text="P">
      <formula>NOT(ISERROR(SEARCH(("P"),(P23))))</formula>
    </cfRule>
    <cfRule type="containsText" dxfId="5587" priority="1165" operator="containsText" text="K">
      <formula>NOT(ISERROR(SEARCH(("K"),(P23))))</formula>
    </cfRule>
    <cfRule type="containsText" dxfId="5586" priority="1166" operator="containsText" text="X">
      <formula>NOT(ISERROR(SEARCH(("X"),(P23))))</formula>
    </cfRule>
    <cfRule type="containsText" dxfId="5585" priority="1167" operator="containsText" text="L">
      <formula>NOT(ISERROR(SEARCH(("L"),(P23))))</formula>
    </cfRule>
    <cfRule type="containsText" dxfId="5584" priority="1168" operator="containsText" text="N">
      <formula>NOT(ISERROR(SEARCH(("N"),(P23))))</formula>
    </cfRule>
    <cfRule type="containsText" dxfId="5583" priority="1169" operator="containsText" text="C">
      <formula>NOT(ISERROR(SEARCH(("C"),(P23))))</formula>
    </cfRule>
    <cfRule type="containsText" dxfId="5582" priority="1170" operator="containsText" text="P">
      <formula>NOT(ISERROR(SEARCH(("P"),(P23))))</formula>
    </cfRule>
    <cfRule type="containsText" dxfId="5581" priority="1171" operator="containsText" text="K">
      <formula>NOT(ISERROR(SEARCH(("K"),(P23))))</formula>
    </cfRule>
    <cfRule type="containsText" dxfId="5580" priority="1172" operator="containsText" text="X">
      <formula>NOT(ISERROR(SEARCH(("X"),(P23))))</formula>
    </cfRule>
    <cfRule type="containsText" dxfId="5579" priority="1173" operator="containsText" text="L">
      <formula>NOT(ISERROR(SEARCH(("L"),(P23))))</formula>
    </cfRule>
    <cfRule type="containsText" dxfId="5578" priority="1174" operator="containsText" text="C">
      <formula>NOT(ISERROR(SEARCH(("C"),(P23))))</formula>
    </cfRule>
    <cfRule type="containsText" dxfId="5577" priority="1175" operator="containsText" text="P">
      <formula>NOT(ISERROR(SEARCH(("P"),(P23))))</formula>
    </cfRule>
    <cfRule type="containsText" dxfId="5576" priority="1176" operator="containsText" text="K">
      <formula>NOT(ISERROR(SEARCH(("K"),(P23))))</formula>
    </cfRule>
    <cfRule type="containsText" dxfId="5575" priority="1177" operator="containsText" text="X">
      <formula>NOT(ISERROR(SEARCH(("X"),(P23))))</formula>
    </cfRule>
    <cfRule type="containsText" dxfId="5574" priority="1201" operator="containsText" text="O">
      <formula>NOT(ISERROR(SEARCH(("O"),(P23))))</formula>
    </cfRule>
    <cfRule type="containsText" dxfId="5573" priority="1202" operator="containsText" text="C">
      <formula>NOT(ISERROR(SEARCH(("C"),(P23))))</formula>
    </cfRule>
    <cfRule type="containsText" dxfId="5572" priority="1203" operator="containsText" text="P">
      <formula>NOT(ISERROR(SEARCH(("P"),(P23))))</formula>
    </cfRule>
    <cfRule type="containsText" dxfId="5571" priority="1204" operator="containsText" text="K">
      <formula>NOT(ISERROR(SEARCH(("K"),(P23))))</formula>
    </cfRule>
    <cfRule type="containsText" dxfId="5570" priority="1205" operator="containsText" text="X">
      <formula>NOT(ISERROR(SEARCH(("X"),(P23))))</formula>
    </cfRule>
    <cfRule type="containsText" dxfId="5569" priority="1206" operator="containsText" text="L">
      <formula>NOT(ISERROR(SEARCH(("L"),(P23))))</formula>
    </cfRule>
    <cfRule type="containsText" dxfId="5568" priority="1225" operator="containsText" text="L">
      <formula>NOT(ISERROR(SEARCH(("L"),(P23))))</formula>
    </cfRule>
    <cfRule type="containsText" dxfId="5567" priority="1226" operator="containsText" text="O">
      <formula>NOT(ISERROR(SEARCH(("O"),(P23))))</formula>
    </cfRule>
    <cfRule type="containsText" dxfId="5566" priority="1227" operator="containsText" text="C">
      <formula>NOT(ISERROR(SEARCH(("C"),(P23))))</formula>
    </cfRule>
    <cfRule type="containsText" dxfId="5565" priority="1228" operator="containsText" text="P">
      <formula>NOT(ISERROR(SEARCH(("P"),(P23))))</formula>
    </cfRule>
    <cfRule type="containsText" dxfId="5564" priority="1229" operator="containsText" text="K">
      <formula>NOT(ISERROR(SEARCH(("K"),(P23))))</formula>
    </cfRule>
    <cfRule type="containsText" dxfId="5563" priority="1230" operator="containsText" text="X">
      <formula>NOT(ISERROR(SEARCH(("X"),(P23))))</formula>
    </cfRule>
    <cfRule type="containsText" dxfId="5562" priority="1231" operator="containsText" text="L">
      <formula>NOT(ISERROR(SEARCH(("L"),(P23))))</formula>
    </cfRule>
    <cfRule type="containsText" dxfId="5561" priority="1232" operator="containsText" text="N">
      <formula>NOT(ISERROR(SEARCH(("N"),(P23))))</formula>
    </cfRule>
    <cfRule type="containsText" dxfId="5560" priority="1153" operator="containsText" text="N">
      <formula>NOT(ISERROR(SEARCH(("N"),(P23))))</formula>
    </cfRule>
    <cfRule type="containsText" dxfId="5559" priority="1152" operator="containsText" text="L">
      <formula>NOT(ISERROR(SEARCH(("L"),(P23))))</formula>
    </cfRule>
    <cfRule type="containsText" dxfId="5558" priority="1150" operator="containsText" text="K">
      <formula>NOT(ISERROR(SEARCH(("K"),(P23))))</formula>
    </cfRule>
    <cfRule type="containsText" dxfId="5557" priority="1149" operator="containsText" text="P">
      <formula>NOT(ISERROR(SEARCH(("P"),(P23))))</formula>
    </cfRule>
    <cfRule type="containsText" dxfId="5556" priority="1148" operator="containsText" text="C">
      <formula>NOT(ISERROR(SEARCH(("C"),(P23))))</formula>
    </cfRule>
    <cfRule type="containsText" dxfId="5555" priority="1147" operator="containsText" text="O">
      <formula>NOT(ISERROR(SEARCH(("O"),(P23))))</formula>
    </cfRule>
    <cfRule type="containsText" dxfId="5554" priority="1146" operator="containsText" text="L">
      <formula>NOT(ISERROR(SEARCH(("L"),(P23))))</formula>
    </cfRule>
    <cfRule type="containsText" dxfId="5553" priority="1145" operator="containsText" text="N">
      <formula>NOT(ISERROR(SEARCH(("N"),(P23))))</formula>
    </cfRule>
    <cfRule type="containsText" dxfId="5552" priority="1144" operator="containsText" text="L">
      <formula>NOT(ISERROR(SEARCH(("L"),(P23))))</formula>
    </cfRule>
    <cfRule type="containsText" dxfId="5551" priority="1143" operator="containsText" text="X">
      <formula>NOT(ISERROR(SEARCH(("X"),(P23))))</formula>
    </cfRule>
    <cfRule type="containsText" dxfId="5550" priority="1142" operator="containsText" text="K">
      <formula>NOT(ISERROR(SEARCH(("K"),(P23))))</formula>
    </cfRule>
    <cfRule type="containsText" dxfId="5549" priority="1099" operator="containsText" text="L">
      <formula>NOT(ISERROR(SEARCH(("L"),(P23))))</formula>
    </cfRule>
    <cfRule type="containsText" dxfId="5548" priority="1081" operator="containsText" text="C">
      <formula>NOT(ISERROR(SEARCH(("C"),(P23))))</formula>
    </cfRule>
    <cfRule type="containsText" dxfId="5547" priority="1082" operator="containsText" text="P">
      <formula>NOT(ISERROR(SEARCH(("P"),(P23))))</formula>
    </cfRule>
    <cfRule type="containsText" dxfId="5546" priority="1083" operator="containsText" text="K">
      <formula>NOT(ISERROR(SEARCH(("K"),(P23))))</formula>
    </cfRule>
    <cfRule type="containsText" dxfId="5545" priority="1084" operator="containsText" text="X">
      <formula>NOT(ISERROR(SEARCH(("X"),(P23))))</formula>
    </cfRule>
    <cfRule type="containsText" dxfId="5544" priority="1085" operator="containsText" text="L">
      <formula>NOT(ISERROR(SEARCH(("L"),(P23))))</formula>
    </cfRule>
    <cfRule type="containsText" dxfId="5543" priority="1086" operator="containsText" text="N">
      <formula>NOT(ISERROR(SEARCH(("N"),(P23))))</formula>
    </cfRule>
    <cfRule type="containsText" dxfId="5542" priority="1087" operator="containsText" text="O">
      <formula>NOT(ISERROR(SEARCH(("O"),(P23))))</formula>
    </cfRule>
    <cfRule type="containsText" dxfId="5541" priority="1088" operator="containsText" text="C">
      <formula>NOT(ISERROR(SEARCH(("C"),(P23))))</formula>
    </cfRule>
    <cfRule type="containsText" dxfId="5540" priority="1089" operator="containsText" text="P">
      <formula>NOT(ISERROR(SEARCH(("P"),(P23))))</formula>
    </cfRule>
    <cfRule type="containsText" dxfId="5539" priority="1090" operator="containsText" text="K">
      <formula>NOT(ISERROR(SEARCH(("K"),(P23))))</formula>
    </cfRule>
    <cfRule type="containsText" dxfId="5538" priority="1091" operator="containsText" text="X">
      <formula>NOT(ISERROR(SEARCH(("X"),(P23))))</formula>
    </cfRule>
    <cfRule type="containsText" dxfId="5537" priority="1092" operator="containsText" text="L">
      <formula>NOT(ISERROR(SEARCH(("L"),(P23))))</formula>
    </cfRule>
    <cfRule type="containsText" dxfId="5536" priority="1093" operator="containsText" text="N">
      <formula>NOT(ISERROR(SEARCH(("N"),(P23))))</formula>
    </cfRule>
    <cfRule type="containsText" dxfId="5535" priority="1094" operator="containsText" text="O">
      <formula>NOT(ISERROR(SEARCH(("O"),(P23))))</formula>
    </cfRule>
    <cfRule type="containsText" dxfId="5534" priority="1095" operator="containsText" text="C">
      <formula>NOT(ISERROR(SEARCH(("C"),(P23))))</formula>
    </cfRule>
    <cfRule type="containsText" dxfId="5533" priority="1096" operator="containsText" text="P">
      <formula>NOT(ISERROR(SEARCH(("P"),(P23))))</formula>
    </cfRule>
    <cfRule type="containsText" dxfId="5532" priority="1097" operator="containsText" text="K">
      <formula>NOT(ISERROR(SEARCH(("K"),(P23))))</formula>
    </cfRule>
    <cfRule type="containsText" dxfId="5531" priority="1098" operator="containsText" text="X">
      <formula>NOT(ISERROR(SEARCH(("X"),(P23))))</formula>
    </cfRule>
    <cfRule type="containsText" dxfId="5530" priority="1100" operator="containsText" text="N">
      <formula>NOT(ISERROR(SEARCH(("N"),(P23))))</formula>
    </cfRule>
    <cfRule type="containsText" dxfId="5529" priority="1070" operator="containsText" text="N">
      <formula>NOT(ISERROR(SEARCH(("N"),(P23))))</formula>
    </cfRule>
    <cfRule type="containsText" dxfId="5528" priority="1071" operator="containsText" text="N">
      <formula>NOT(ISERROR(SEARCH(("N"),(P23))))</formula>
    </cfRule>
    <cfRule type="containsText" dxfId="5527" priority="1072" operator="containsText" text="N">
      <formula>NOT(ISERROR(SEARCH(("N"),(P23))))</formula>
    </cfRule>
    <cfRule type="containsText" dxfId="5526" priority="1073" operator="containsText" text="O">
      <formula>NOT(ISERROR(SEARCH(("O"),(P23))))</formula>
    </cfRule>
    <cfRule type="containsText" dxfId="5525" priority="1074" operator="containsText" text="C">
      <formula>NOT(ISERROR(SEARCH(("C"),(P23))))</formula>
    </cfRule>
    <cfRule type="containsText" dxfId="5524" priority="1075" operator="containsText" text="P">
      <formula>NOT(ISERROR(SEARCH(("P"),(P23))))</formula>
    </cfRule>
    <cfRule type="containsText" dxfId="5523" priority="1076" operator="containsText" text="K">
      <formula>NOT(ISERROR(SEARCH(("K"),(P23))))</formula>
    </cfRule>
    <cfRule type="containsText" dxfId="5522" priority="1077" operator="containsText" text="X">
      <formula>NOT(ISERROR(SEARCH(("X"),(P23))))</formula>
    </cfRule>
    <cfRule type="containsText" dxfId="5521" priority="1078" operator="containsText" text="L">
      <formula>NOT(ISERROR(SEARCH(("L"),(P23))))</formula>
    </cfRule>
    <cfRule type="containsText" dxfId="5520" priority="1079" operator="containsText" text="N">
      <formula>NOT(ISERROR(SEARCH(("N"),(P23))))</formula>
    </cfRule>
    <cfRule type="containsText" dxfId="5519" priority="1080" operator="containsText" text="O">
      <formula>NOT(ISERROR(SEARCH(("O"),(P23))))</formula>
    </cfRule>
  </conditionalFormatting>
  <conditionalFormatting sqref="P17:S17">
    <cfRule type="containsText" dxfId="5518" priority="3929" operator="containsText" text="C">
      <formula>NOT(ISERROR(SEARCH(("C"),(P17))))</formula>
    </cfRule>
    <cfRule type="containsText" dxfId="5517" priority="3926" operator="containsText" text="X">
      <formula>NOT(ISERROR(SEARCH(("X"),(P17))))</formula>
    </cfRule>
    <cfRule type="containsText" dxfId="5516" priority="3887" operator="containsText" text="N">
      <formula>NOT(ISERROR(SEARCH(("N"),(P17))))</formula>
    </cfRule>
    <cfRule type="containsText" dxfId="5515" priority="3927" operator="containsText" text="L">
      <formula>NOT(ISERROR(SEARCH(("L"),(P17))))</formula>
    </cfRule>
    <cfRule type="containsText" dxfId="5514" priority="3930" operator="containsText" text="P">
      <formula>NOT(ISERROR(SEARCH(("P"),(P17))))</formula>
    </cfRule>
    <cfRule type="containsText" dxfId="5513" priority="3931" operator="containsText" text="K">
      <formula>NOT(ISERROR(SEARCH(("K"),(P17))))</formula>
    </cfRule>
    <cfRule type="containsText" dxfId="5512" priority="3932" operator="containsText" text="X">
      <formula>NOT(ISERROR(SEARCH(("X"),(P17))))</formula>
    </cfRule>
    <cfRule type="containsText" dxfId="5511" priority="3933" operator="containsText" text="L">
      <formula>NOT(ISERROR(SEARCH(("L"),(P17))))</formula>
    </cfRule>
    <cfRule type="containsText" dxfId="5510" priority="3921" operator="containsText" text="N">
      <formula>NOT(ISERROR(SEARCH(("N"),(P17))))</formula>
    </cfRule>
    <cfRule type="containsText" dxfId="5509" priority="3922" operator="containsText" text="O">
      <formula>NOT(ISERROR(SEARCH(("O"),(P17))))</formula>
    </cfRule>
    <cfRule type="containsText" dxfId="5508" priority="3923" operator="containsText" text="C">
      <formula>NOT(ISERROR(SEARCH(("C"),(P17))))</formula>
    </cfRule>
    <cfRule type="containsText" dxfId="5507" priority="3928" operator="containsText" text="O">
      <formula>NOT(ISERROR(SEARCH(("O"),(P17))))</formula>
    </cfRule>
    <cfRule type="containsText" dxfId="5506" priority="3925" operator="containsText" text="K">
      <formula>NOT(ISERROR(SEARCH(("K"),(P17))))</formula>
    </cfRule>
    <cfRule type="containsText" dxfId="5505" priority="3924" operator="containsText" text="P">
      <formula>NOT(ISERROR(SEARCH(("P"),(P17))))</formula>
    </cfRule>
  </conditionalFormatting>
  <conditionalFormatting sqref="P12:T12 W12:AA12 AD12:AH12">
    <cfRule type="containsText" dxfId="5504" priority="6111" operator="containsText" text="L">
      <formula>NOT(ISERROR(SEARCH(("L"),(P12))))</formula>
    </cfRule>
    <cfRule type="containsText" dxfId="5503" priority="6106" operator="containsText" text="O">
      <formula>NOT(ISERROR(SEARCH(("O"),(P12))))</formula>
    </cfRule>
    <cfRule type="containsText" dxfId="5502" priority="6110" operator="containsText" text="X">
      <formula>NOT(ISERROR(SEARCH(("X"),(P12))))</formula>
    </cfRule>
    <cfRule type="containsText" dxfId="5501" priority="6109" operator="containsText" text="K">
      <formula>NOT(ISERROR(SEARCH(("K"),(P12))))</formula>
    </cfRule>
    <cfRule type="containsText" dxfId="5500" priority="6108" operator="containsText" text="P">
      <formula>NOT(ISERROR(SEARCH(("P"),(P12))))</formula>
    </cfRule>
    <cfRule type="containsText" dxfId="5499" priority="6107" operator="containsText" text="C">
      <formula>NOT(ISERROR(SEARCH(("C"),(P12))))</formula>
    </cfRule>
  </conditionalFormatting>
  <conditionalFormatting sqref="P12:T12">
    <cfRule type="containsText" dxfId="5498" priority="6001" operator="containsText" text="C">
      <formula>NOT(ISERROR(SEARCH(("C"),(P12))))</formula>
    </cfRule>
    <cfRule type="containsText" dxfId="5497" priority="6003" operator="containsText" text="K">
      <formula>NOT(ISERROR(SEARCH(("K"),(P12))))</formula>
    </cfRule>
    <cfRule type="containsText" dxfId="5496" priority="6004" operator="containsText" text="X">
      <formula>NOT(ISERROR(SEARCH(("X"),(P12))))</formula>
    </cfRule>
    <cfRule type="containsText" dxfId="5495" priority="6006" operator="containsText" text="O">
      <formula>NOT(ISERROR(SEARCH(("O"),(P12))))</formula>
    </cfRule>
    <cfRule type="containsText" dxfId="5494" priority="6007" operator="containsText" text="C">
      <formula>NOT(ISERROR(SEARCH(("C"),(P12))))</formula>
    </cfRule>
    <cfRule type="containsText" dxfId="5493" priority="6008" operator="containsText" text="P">
      <formula>NOT(ISERROR(SEARCH(("P"),(P12))))</formula>
    </cfRule>
    <cfRule type="containsText" dxfId="5492" priority="6009" operator="containsText" text="K">
      <formula>NOT(ISERROR(SEARCH(("K"),(P12))))</formula>
    </cfRule>
    <cfRule type="containsText" dxfId="5491" priority="6010" operator="containsText" text="X">
      <formula>NOT(ISERROR(SEARCH(("X"),(P12))))</formula>
    </cfRule>
    <cfRule type="containsText" dxfId="5490" priority="6011" operator="containsText" text="L">
      <formula>NOT(ISERROR(SEARCH(("L"),(P12))))</formula>
    </cfRule>
    <cfRule type="containsText" dxfId="5489" priority="5999" operator="containsText" text="N">
      <formula>NOT(ISERROR(SEARCH(("N"),(P12))))</formula>
    </cfRule>
    <cfRule type="containsText" dxfId="5488" priority="6000" operator="containsText" text="O">
      <formula>NOT(ISERROR(SEARCH(("O"),(P12))))</formula>
    </cfRule>
    <cfRule type="containsText" dxfId="5487" priority="6002" operator="containsText" text="P">
      <formula>NOT(ISERROR(SEARCH(("P"),(P12))))</formula>
    </cfRule>
    <cfRule type="containsText" dxfId="5486" priority="6005" operator="containsText" text="L">
      <formula>NOT(ISERROR(SEARCH(("L"),(P12))))</formula>
    </cfRule>
  </conditionalFormatting>
  <conditionalFormatting sqref="P14:T14">
    <cfRule type="containsText" dxfId="5485" priority="7616" operator="containsText" text="L">
      <formula>NOT(ISERROR(SEARCH(("L"),(P14))))</formula>
    </cfRule>
    <cfRule type="containsText" dxfId="5484" priority="7613" operator="containsText" text="P">
      <formula>NOT(ISERROR(SEARCH(("P"),(P14))))</formula>
    </cfRule>
    <cfRule type="containsText" dxfId="5483" priority="7612" operator="containsText" text="C">
      <formula>NOT(ISERROR(SEARCH(("C"),(P14))))</formula>
    </cfRule>
    <cfRule type="containsText" dxfId="5482" priority="7611" operator="containsText" text="O">
      <formula>NOT(ISERROR(SEARCH(("O"),(P14))))</formula>
    </cfRule>
    <cfRule type="containsText" dxfId="5481" priority="7622" operator="containsText" text="L">
      <formula>NOT(ISERROR(SEARCH(("L"),(P14))))</formula>
    </cfRule>
    <cfRule type="containsText" dxfId="5480" priority="7619" operator="containsText" text="P">
      <formula>NOT(ISERROR(SEARCH(("P"),(P14))))</formula>
    </cfRule>
    <cfRule type="containsText" dxfId="5479" priority="7617" operator="containsText" text="O">
      <formula>NOT(ISERROR(SEARCH(("O"),(P14))))</formula>
    </cfRule>
    <cfRule type="containsText" dxfId="5478" priority="7620" operator="containsText" text="K">
      <formula>NOT(ISERROR(SEARCH(("K"),(P14))))</formula>
    </cfRule>
    <cfRule type="containsText" dxfId="5477" priority="7618" operator="containsText" text="C">
      <formula>NOT(ISERROR(SEARCH(("C"),(P14))))</formula>
    </cfRule>
    <cfRule type="containsText" dxfId="5476" priority="7615" operator="containsText" text="X">
      <formula>NOT(ISERROR(SEARCH(("X"),(P14))))</formula>
    </cfRule>
    <cfRule type="containsText" dxfId="5475" priority="7614" operator="containsText" text="K">
      <formula>NOT(ISERROR(SEARCH(("K"),(P14))))</formula>
    </cfRule>
    <cfRule type="containsText" dxfId="5474" priority="7621" operator="containsText" text="X">
      <formula>NOT(ISERROR(SEARCH(("X"),(P14))))</formula>
    </cfRule>
  </conditionalFormatting>
  <conditionalFormatting sqref="P15:T15">
    <cfRule type="containsText" dxfId="5473" priority="7422" operator="containsText" text="C">
      <formula>NOT(ISERROR(SEARCH(("C"),(P15))))</formula>
    </cfRule>
    <cfRule type="containsText" dxfId="5472" priority="7421" operator="containsText" text="O">
      <formula>NOT(ISERROR(SEARCH(("O"),(P15))))</formula>
    </cfRule>
    <cfRule type="containsText" dxfId="5471" priority="7420" operator="containsText" text="L">
      <formula>NOT(ISERROR(SEARCH(("L"),(P15))))</formula>
    </cfRule>
    <cfRule type="containsText" dxfId="5470" priority="7419" operator="containsText" text="X">
      <formula>NOT(ISERROR(SEARCH(("X"),(P15))))</formula>
    </cfRule>
    <cfRule type="containsText" dxfId="5469" priority="7418" operator="containsText" text="K">
      <formula>NOT(ISERROR(SEARCH(("K"),(P15))))</formula>
    </cfRule>
    <cfRule type="containsText" dxfId="5468" priority="7414" operator="containsText" text="N">
      <formula>NOT(ISERROR(SEARCH(("N"),(P15))))</formula>
    </cfRule>
    <cfRule type="containsText" dxfId="5467" priority="7416" operator="containsText" text="C">
      <formula>NOT(ISERROR(SEARCH(("C"),(P15))))</formula>
    </cfRule>
    <cfRule type="containsText" dxfId="5466" priority="7417" operator="containsText" text="P">
      <formula>NOT(ISERROR(SEARCH(("P"),(P15))))</formula>
    </cfRule>
    <cfRule type="containsText" dxfId="5465" priority="7415" operator="containsText" text="O">
      <formula>NOT(ISERROR(SEARCH(("O"),(P15))))</formula>
    </cfRule>
    <cfRule type="containsText" dxfId="5464" priority="7423" operator="containsText" text="P">
      <formula>NOT(ISERROR(SEARCH(("P"),(P15))))</formula>
    </cfRule>
    <cfRule type="containsText" dxfId="5463" priority="7424" operator="containsText" text="K">
      <formula>NOT(ISERROR(SEARCH(("K"),(P15))))</formula>
    </cfRule>
    <cfRule type="containsText" dxfId="5462" priority="7425" operator="containsText" text="X">
      <formula>NOT(ISERROR(SEARCH(("X"),(P15))))</formula>
    </cfRule>
    <cfRule type="containsText" dxfId="5461" priority="7426" operator="containsText" text="L">
      <formula>NOT(ISERROR(SEARCH(("L"),(P15))))</formula>
    </cfRule>
  </conditionalFormatting>
  <conditionalFormatting sqref="P16:T16">
    <cfRule type="containsText" dxfId="5460" priority="7095" operator="containsText" text="L">
      <formula>NOT(ISERROR(SEARCH(("L"),(P16))))</formula>
    </cfRule>
    <cfRule type="containsText" dxfId="5459" priority="7094" operator="containsText" text="X">
      <formula>NOT(ISERROR(SEARCH(("X"),(P16))))</formula>
    </cfRule>
    <cfRule type="containsText" dxfId="5458" priority="7089" operator="containsText" text="L">
      <formula>NOT(ISERROR(SEARCH(("L"),(P16))))</formula>
    </cfRule>
    <cfRule type="containsText" dxfId="5457" priority="7083" operator="containsText" text="N">
      <formula>NOT(ISERROR(SEARCH(("N"),(P16))))</formula>
    </cfRule>
    <cfRule type="containsText" dxfId="5456" priority="7084" operator="containsText" text="O">
      <formula>NOT(ISERROR(SEARCH(("O"),(P16))))</formula>
    </cfRule>
    <cfRule type="containsText" dxfId="5455" priority="7085" operator="containsText" text="C">
      <formula>NOT(ISERROR(SEARCH(("C"),(P16))))</formula>
    </cfRule>
    <cfRule type="containsText" dxfId="5454" priority="7086" operator="containsText" text="P">
      <formula>NOT(ISERROR(SEARCH(("P"),(P16))))</formula>
    </cfRule>
    <cfRule type="containsText" dxfId="5453" priority="7087" operator="containsText" text="K">
      <formula>NOT(ISERROR(SEARCH(("K"),(P16))))</formula>
    </cfRule>
    <cfRule type="containsText" dxfId="5452" priority="7088" operator="containsText" text="X">
      <formula>NOT(ISERROR(SEARCH(("X"),(P16))))</formula>
    </cfRule>
    <cfRule type="containsText" dxfId="5451" priority="7090" operator="containsText" text="O">
      <formula>NOT(ISERROR(SEARCH(("O"),(P16))))</formula>
    </cfRule>
    <cfRule type="containsText" dxfId="5450" priority="7091" operator="containsText" text="C">
      <formula>NOT(ISERROR(SEARCH(("C"),(P16))))</formula>
    </cfRule>
    <cfRule type="containsText" dxfId="5449" priority="7092" operator="containsText" text="P">
      <formula>NOT(ISERROR(SEARCH(("P"),(P16))))</formula>
    </cfRule>
    <cfRule type="containsText" dxfId="5448" priority="7093" operator="containsText" text="K">
      <formula>NOT(ISERROR(SEARCH(("K"),(P16))))</formula>
    </cfRule>
  </conditionalFormatting>
  <conditionalFormatting sqref="P17:T17">
    <cfRule type="containsText" dxfId="5447" priority="7239" operator="containsText" text="C">
      <formula>NOT(ISERROR(SEARCH(("C"),(P17))))</formula>
    </cfRule>
    <cfRule type="containsText" dxfId="5446" priority="7238" operator="containsText" text="O">
      <formula>NOT(ISERROR(SEARCH(("O"),(P17))))</formula>
    </cfRule>
    <cfRule type="containsText" dxfId="5445" priority="7237" operator="containsText" text="L">
      <formula>NOT(ISERROR(SEARCH(("L"),(P17))))</formula>
    </cfRule>
    <cfRule type="containsText" dxfId="5444" priority="7235" operator="containsText" text="K">
      <formula>NOT(ISERROR(SEARCH(("K"),(P17))))</formula>
    </cfRule>
    <cfRule type="containsText" dxfId="5443" priority="7234" operator="containsText" text="P">
      <formula>NOT(ISERROR(SEARCH(("P"),(P17))))</formula>
    </cfRule>
    <cfRule type="containsText" dxfId="5442" priority="7232" operator="containsText" text="O">
      <formula>NOT(ISERROR(SEARCH(("O"),(P17))))</formula>
    </cfRule>
    <cfRule type="containsText" dxfId="5441" priority="7236" operator="containsText" text="X">
      <formula>NOT(ISERROR(SEARCH(("X"),(P17))))</formula>
    </cfRule>
    <cfRule type="containsText" dxfId="5440" priority="7231" operator="containsText" text="N">
      <formula>NOT(ISERROR(SEARCH(("N"),(P17))))</formula>
    </cfRule>
    <cfRule type="containsText" dxfId="5439" priority="7243" operator="containsText" text="L">
      <formula>NOT(ISERROR(SEARCH(("L"),(P17))))</formula>
    </cfRule>
    <cfRule type="containsText" dxfId="5438" priority="7241" operator="containsText" text="K">
      <formula>NOT(ISERROR(SEARCH(("K"),(P17))))</formula>
    </cfRule>
    <cfRule type="containsText" dxfId="5437" priority="7233" operator="containsText" text="C">
      <formula>NOT(ISERROR(SEARCH(("C"),(P17))))</formula>
    </cfRule>
    <cfRule type="containsText" dxfId="5436" priority="7242" operator="containsText" text="X">
      <formula>NOT(ISERROR(SEARCH(("X"),(P17))))</formula>
    </cfRule>
    <cfRule type="containsText" dxfId="5435" priority="7240" operator="containsText" text="P">
      <formula>NOT(ISERROR(SEARCH(("P"),(P17))))</formula>
    </cfRule>
  </conditionalFormatting>
  <conditionalFormatting sqref="P17:T19">
    <cfRule type="containsText" dxfId="5434" priority="9587" operator="containsText" text="O">
      <formula>NOT(ISERROR(SEARCH(("O"),(P17))))</formula>
    </cfRule>
  </conditionalFormatting>
  <conditionalFormatting sqref="P18:T18">
    <cfRule type="containsText" dxfId="5433" priority="3459" operator="containsText" text="L">
      <formula>NOT(ISERROR(SEARCH(("L"),(P18))))</formula>
    </cfRule>
    <cfRule type="containsText" dxfId="5432" priority="9586" operator="containsText" text="L">
      <formula>NOT(ISERROR(SEARCH(("L"),(P18))))</formula>
    </cfRule>
    <cfRule type="containsText" dxfId="5431" priority="3460" operator="containsText" text="O">
      <formula>NOT(ISERROR(SEARCH(("O"),(P18))))</formula>
    </cfRule>
    <cfRule type="containsText" dxfId="5430" priority="3465" operator="containsText" text="L">
      <formula>NOT(ISERROR(SEARCH(("L"),(P18))))</formula>
    </cfRule>
    <cfRule type="containsText" dxfId="5429" priority="3464" operator="containsText" text="X">
      <formula>NOT(ISERROR(SEARCH(("X"),(P18))))</formula>
    </cfRule>
    <cfRule type="containsText" dxfId="5428" priority="3462" operator="containsText" text="P">
      <formula>NOT(ISERROR(SEARCH(("P"),(P18))))</formula>
    </cfRule>
    <cfRule type="containsText" dxfId="5427" priority="3456" operator="containsText" text="P">
      <formula>NOT(ISERROR(SEARCH(("P"),(P18))))</formula>
    </cfRule>
    <cfRule type="containsText" dxfId="5426" priority="3461" operator="containsText" text="C">
      <formula>NOT(ISERROR(SEARCH(("C"),(P18))))</formula>
    </cfRule>
    <cfRule type="containsText" dxfId="5425" priority="3454" operator="containsText" text="O">
      <formula>NOT(ISERROR(SEARCH(("O"),(P18))))</formula>
    </cfRule>
    <cfRule type="containsText" dxfId="5424" priority="3455" operator="containsText" text="C">
      <formula>NOT(ISERROR(SEARCH(("C"),(P18))))</formula>
    </cfRule>
    <cfRule type="containsText" dxfId="5423" priority="3463" operator="containsText" text="K">
      <formula>NOT(ISERROR(SEARCH(("K"),(P18))))</formula>
    </cfRule>
    <cfRule type="containsText" dxfId="5422" priority="3457" operator="containsText" text="K">
      <formula>NOT(ISERROR(SEARCH(("K"),(P18))))</formula>
    </cfRule>
    <cfRule type="containsText" dxfId="5421" priority="9580" operator="containsText" text="N">
      <formula>NOT(ISERROR(SEARCH(("N"),(P18))))</formula>
    </cfRule>
    <cfRule type="containsText" dxfId="5420" priority="9581" operator="containsText" text="O">
      <formula>NOT(ISERROR(SEARCH(("O"),(P18))))</formula>
    </cfRule>
    <cfRule type="containsText" dxfId="5419" priority="9582" operator="containsText" text="C">
      <formula>NOT(ISERROR(SEARCH(("C"),(P18))))</formula>
    </cfRule>
    <cfRule type="containsText" dxfId="5418" priority="9583" operator="containsText" text="P">
      <formula>NOT(ISERROR(SEARCH(("P"),(P18))))</formula>
    </cfRule>
    <cfRule type="containsText" dxfId="5417" priority="9584" operator="containsText" text="K">
      <formula>NOT(ISERROR(SEARCH(("K"),(P18))))</formula>
    </cfRule>
    <cfRule type="containsText" dxfId="5416" priority="9585" operator="containsText" text="X">
      <formula>NOT(ISERROR(SEARCH(("X"),(P18))))</formula>
    </cfRule>
    <cfRule type="containsText" dxfId="5415" priority="3458" operator="containsText" text="X">
      <formula>NOT(ISERROR(SEARCH(("X"),(P18))))</formula>
    </cfRule>
  </conditionalFormatting>
  <conditionalFormatting sqref="P18:T19">
    <cfRule type="containsText" dxfId="5414" priority="9588" operator="containsText" text="C">
      <formula>NOT(ISERROR(SEARCH(("C"),(P18))))</formula>
    </cfRule>
    <cfRule type="containsText" dxfId="5413" priority="9589" operator="containsText" text="P">
      <formula>NOT(ISERROR(SEARCH(("P"),(P18))))</formula>
    </cfRule>
    <cfRule type="containsText" dxfId="5412" priority="9590" operator="containsText" text="K">
      <formula>NOT(ISERROR(SEARCH(("K"),(P18))))</formula>
    </cfRule>
    <cfRule type="containsText" dxfId="5411" priority="9591" operator="containsText" text="X">
      <formula>NOT(ISERROR(SEARCH(("X"),(P18))))</formula>
    </cfRule>
    <cfRule type="containsText" dxfId="5410" priority="9592" operator="containsText" text="L">
      <formula>NOT(ISERROR(SEARCH(("L"),(P18))))</formula>
    </cfRule>
  </conditionalFormatting>
  <conditionalFormatting sqref="P19:T19">
    <cfRule type="containsText" dxfId="5409" priority="5819" operator="containsText" text="P">
      <formula>NOT(ISERROR(SEARCH(("P"),(P19))))</formula>
    </cfRule>
    <cfRule type="containsText" dxfId="5408" priority="5818" operator="containsText" text="C">
      <formula>NOT(ISERROR(SEARCH(("C"),(P19))))</formula>
    </cfRule>
    <cfRule type="containsText" dxfId="5407" priority="5817" operator="containsText" text="O">
      <formula>NOT(ISERROR(SEARCH(("O"),(P19))))</formula>
    </cfRule>
    <cfRule type="containsText" dxfId="5406" priority="5816" operator="containsText" text="N">
      <formula>NOT(ISERROR(SEARCH(("N"),(P19))))</formula>
    </cfRule>
    <cfRule type="containsText" dxfId="5405" priority="3014" operator="containsText" text="K">
      <formula>NOT(ISERROR(SEARCH(("K"),(P19))))</formula>
    </cfRule>
    <cfRule type="containsText" dxfId="5404" priority="3013" operator="containsText" text="P">
      <formula>NOT(ISERROR(SEARCH(("P"),(P19))))</formula>
    </cfRule>
    <cfRule type="containsText" dxfId="5403" priority="3012" operator="containsText" text="C">
      <formula>NOT(ISERROR(SEARCH(("C"),(P19))))</formula>
    </cfRule>
    <cfRule type="containsText" dxfId="5402" priority="3011" operator="containsText" text="O">
      <formula>NOT(ISERROR(SEARCH(("O"),(P19))))</formula>
    </cfRule>
    <cfRule type="containsText" dxfId="5401" priority="3010" operator="containsText" text="L">
      <formula>NOT(ISERROR(SEARCH(("L"),(P19))))</formula>
    </cfRule>
    <cfRule type="containsText" dxfId="5400" priority="3009" operator="containsText" text="X">
      <formula>NOT(ISERROR(SEARCH(("X"),(P19))))</formula>
    </cfRule>
    <cfRule type="containsText" dxfId="5399" priority="10326" operator="containsText" text="L">
      <formula>NOT(ISERROR(SEARCH(("L"),(P19))))</formula>
    </cfRule>
    <cfRule type="containsText" dxfId="5398" priority="3008" operator="containsText" text="K">
      <formula>NOT(ISERROR(SEARCH(("K"),(P19))))</formula>
    </cfRule>
    <cfRule type="containsText" dxfId="5397" priority="3007" operator="containsText" text="P">
      <formula>NOT(ISERROR(SEARCH(("P"),(P19))))</formula>
    </cfRule>
    <cfRule type="containsText" dxfId="5396" priority="3005" operator="containsText" text="O">
      <formula>NOT(ISERROR(SEARCH(("O"),(P19))))</formula>
    </cfRule>
    <cfRule type="containsText" dxfId="5395" priority="5822" operator="containsText" text="L">
      <formula>NOT(ISERROR(SEARCH(("L"),(P19))))</formula>
    </cfRule>
    <cfRule type="containsText" dxfId="5394" priority="3004" operator="containsText" text="N">
      <formula>NOT(ISERROR(SEARCH(("N"),(P19))))</formula>
    </cfRule>
    <cfRule type="containsText" dxfId="5393" priority="3006" operator="containsText" text="C">
      <formula>NOT(ISERROR(SEARCH(("C"),(P19))))</formula>
    </cfRule>
    <cfRule type="containsText" dxfId="5392" priority="3016" operator="containsText" text="L">
      <formula>NOT(ISERROR(SEARCH(("L"),(P19))))</formula>
    </cfRule>
    <cfRule type="containsText" dxfId="5391" priority="5828" operator="containsText" text="L">
      <formula>NOT(ISERROR(SEARCH(("L"),(P19))))</formula>
    </cfRule>
    <cfRule type="containsText" dxfId="5390" priority="5827" operator="containsText" text="X">
      <formula>NOT(ISERROR(SEARCH(("X"),(P19))))</formula>
    </cfRule>
    <cfRule type="containsText" dxfId="5389" priority="5826" operator="containsText" text="K">
      <formula>NOT(ISERROR(SEARCH(("K"),(P19))))</formula>
    </cfRule>
    <cfRule type="containsText" dxfId="5388" priority="5825" operator="containsText" text="P">
      <formula>NOT(ISERROR(SEARCH(("P"),(P19))))</formula>
    </cfRule>
    <cfRule type="containsText" dxfId="5387" priority="5824" operator="containsText" text="C">
      <formula>NOT(ISERROR(SEARCH(("C"),(P19))))</formula>
    </cfRule>
    <cfRule type="containsText" dxfId="5386" priority="5823" operator="containsText" text="O">
      <formula>NOT(ISERROR(SEARCH(("O"),(P19))))</formula>
    </cfRule>
    <cfRule type="containsText" dxfId="5385" priority="3015" operator="containsText" text="X">
      <formula>NOT(ISERROR(SEARCH(("X"),(P19))))</formula>
    </cfRule>
    <cfRule type="containsText" dxfId="5384" priority="5821" operator="containsText" text="X">
      <formula>NOT(ISERROR(SEARCH(("X"),(P19))))</formula>
    </cfRule>
    <cfRule type="containsText" dxfId="5383" priority="5820" operator="containsText" text="K">
      <formula>NOT(ISERROR(SEARCH(("K"),(P19))))</formula>
    </cfRule>
    <cfRule type="containsText" dxfId="5382" priority="10321" operator="containsText" text="O">
      <formula>NOT(ISERROR(SEARCH(("O"),(P19))))</formula>
    </cfRule>
    <cfRule type="containsText" dxfId="5381" priority="10322" operator="containsText" text="C">
      <formula>NOT(ISERROR(SEARCH(("C"),(P19))))</formula>
    </cfRule>
    <cfRule type="containsText" dxfId="5380" priority="10323" operator="containsText" text="P">
      <formula>NOT(ISERROR(SEARCH(("P"),(P19))))</formula>
    </cfRule>
    <cfRule type="containsText" dxfId="5379" priority="10324" operator="containsText" text="K">
      <formula>NOT(ISERROR(SEARCH(("K"),(P19))))</formula>
    </cfRule>
    <cfRule type="containsText" dxfId="5378" priority="10325" operator="containsText" text="X">
      <formula>NOT(ISERROR(SEARCH(("X"),(P19))))</formula>
    </cfRule>
  </conditionalFormatting>
  <conditionalFormatting sqref="P20:T20">
    <cfRule type="containsText" dxfId="5377" priority="8527" operator="containsText" text="P">
      <formula>NOT(ISERROR(SEARCH(("P"),(P20))))</formula>
    </cfRule>
    <cfRule type="containsText" dxfId="5376" priority="8529" operator="containsText" text="X">
      <formula>NOT(ISERROR(SEARCH(("X"),(P20))))</formula>
    </cfRule>
    <cfRule type="containsText" dxfId="5375" priority="8528" operator="containsText" text="K">
      <formula>NOT(ISERROR(SEARCH(("K"),(P20))))</formula>
    </cfRule>
    <cfRule type="containsText" dxfId="5374" priority="8530" operator="containsText" text="L">
      <formula>NOT(ISERROR(SEARCH(("L"),(P20))))</formula>
    </cfRule>
    <cfRule type="containsText" dxfId="5373" priority="8531" operator="containsText" text="N">
      <formula>NOT(ISERROR(SEARCH(("N"),(P20))))</formula>
    </cfRule>
    <cfRule type="containsText" dxfId="5372" priority="6852" operator="containsText" text="O">
      <formula>NOT(ISERROR(SEARCH(("O"),(P20))))</formula>
    </cfRule>
    <cfRule type="containsText" dxfId="5371" priority="6853" operator="containsText" text="C">
      <formula>NOT(ISERROR(SEARCH(("C"),(P20))))</formula>
    </cfRule>
    <cfRule type="containsText" dxfId="5370" priority="6855" operator="containsText" text="K">
      <formula>NOT(ISERROR(SEARCH(("K"),(P20))))</formula>
    </cfRule>
    <cfRule type="containsText" dxfId="5369" priority="6856" operator="containsText" text="X">
      <formula>NOT(ISERROR(SEARCH(("X"),(P20))))</formula>
    </cfRule>
    <cfRule type="containsText" dxfId="5368" priority="6857" operator="containsText" text="L">
      <formula>NOT(ISERROR(SEARCH(("L"),(P20))))</formula>
    </cfRule>
    <cfRule type="containsText" dxfId="5367" priority="6854" operator="containsText" text="P">
      <formula>NOT(ISERROR(SEARCH(("P"),(P20))))</formula>
    </cfRule>
    <cfRule type="containsText" dxfId="5366" priority="8524" operator="containsText" text="L">
      <formula>NOT(ISERROR(SEARCH(("L"),(P20))))</formula>
    </cfRule>
    <cfRule type="containsText" dxfId="5365" priority="8525" operator="containsText" text="O">
      <formula>NOT(ISERROR(SEARCH(("O"),(P20))))</formula>
    </cfRule>
    <cfRule type="containsText" dxfId="5364" priority="8526" operator="containsText" text="C">
      <formula>NOT(ISERROR(SEARCH(("C"),(P20))))</formula>
    </cfRule>
  </conditionalFormatting>
  <conditionalFormatting sqref="P20:T26">
    <cfRule type="containsText" dxfId="5363" priority="9524" operator="containsText" text="O">
      <formula>NOT(ISERROR(SEARCH(("O"),(P20))))</formula>
    </cfRule>
    <cfRule type="containsText" dxfId="5362" priority="9534" operator="containsText" text="P">
      <formula>NOT(ISERROR(SEARCH(("P"),(P20))))</formula>
    </cfRule>
    <cfRule type="containsText" dxfId="5361" priority="9517" operator="containsText" text="N">
      <formula>NOT(ISERROR(SEARCH(("N"),(P20))))</formula>
    </cfRule>
    <cfRule type="containsText" dxfId="5360" priority="9525" operator="containsText" text="C">
      <formula>NOT(ISERROR(SEARCH(("C"),(P20))))</formula>
    </cfRule>
    <cfRule type="containsText" dxfId="5359" priority="9518" operator="containsText" text="O">
      <formula>NOT(ISERROR(SEARCH(("O"),(P20))))</formula>
    </cfRule>
    <cfRule type="containsText" dxfId="5358" priority="9535" operator="containsText" text="K">
      <formula>NOT(ISERROR(SEARCH(("K"),(P20))))</formula>
    </cfRule>
    <cfRule type="containsText" dxfId="5357" priority="9520" operator="containsText" text="P">
      <formula>NOT(ISERROR(SEARCH(("P"),(P20))))</formula>
    </cfRule>
    <cfRule type="containsText" dxfId="5356" priority="9521" operator="containsText" text="K">
      <formula>NOT(ISERROR(SEARCH(("K"),(P20))))</formula>
    </cfRule>
    <cfRule type="containsText" dxfId="5355" priority="9522" operator="containsText" text="X">
      <formula>NOT(ISERROR(SEARCH(("X"),(P20))))</formula>
    </cfRule>
    <cfRule type="containsText" dxfId="5354" priority="9523" operator="containsText" text="L">
      <formula>NOT(ISERROR(SEARCH(("L"),(P20))))</formula>
    </cfRule>
    <cfRule type="containsText" dxfId="5353" priority="9519" operator="containsText" text="C">
      <formula>NOT(ISERROR(SEARCH(("C"),(P20))))</formula>
    </cfRule>
    <cfRule type="containsText" dxfId="5352" priority="9536" operator="containsText" text="X">
      <formula>NOT(ISERROR(SEARCH(("X"),(P20))))</formula>
    </cfRule>
    <cfRule type="containsText" dxfId="5351" priority="9551" operator="containsText" text="L">
      <formula>NOT(ISERROR(SEARCH(("L"),(P20))))</formula>
    </cfRule>
    <cfRule type="containsText" dxfId="5350" priority="9550" operator="containsText" text="X">
      <formula>NOT(ISERROR(SEARCH(("X"),(P20))))</formula>
    </cfRule>
    <cfRule type="containsText" dxfId="5349" priority="9549" operator="containsText" text="K">
      <formula>NOT(ISERROR(SEARCH(("K"),(P20))))</formula>
    </cfRule>
    <cfRule type="containsText" dxfId="5348" priority="9548" operator="containsText" text="P">
      <formula>NOT(ISERROR(SEARCH(("P"),(P20))))</formula>
    </cfRule>
    <cfRule type="containsText" dxfId="5347" priority="9547" operator="containsText" text="C">
      <formula>NOT(ISERROR(SEARCH(("C"),(P20))))</formula>
    </cfRule>
    <cfRule type="containsText" dxfId="5346" priority="9546" operator="containsText" text="O">
      <formula>NOT(ISERROR(SEARCH(("O"),(P20))))</formula>
    </cfRule>
    <cfRule type="containsText" dxfId="5345" priority="9526" operator="containsText" text="P">
      <formula>NOT(ISERROR(SEARCH(("P"),(P20))))</formula>
    </cfRule>
    <cfRule type="containsText" dxfId="5344" priority="9527" operator="containsText" text="K">
      <formula>NOT(ISERROR(SEARCH(("K"),(P20))))</formula>
    </cfRule>
    <cfRule type="containsText" dxfId="5343" priority="9528" operator="containsText" text="X">
      <formula>NOT(ISERROR(SEARCH(("X"),(P20))))</formula>
    </cfRule>
    <cfRule type="containsText" dxfId="5342" priority="9529" operator="containsText" text="L">
      <formula>NOT(ISERROR(SEARCH(("L"),(P20))))</formula>
    </cfRule>
    <cfRule type="containsText" dxfId="5341" priority="9545" operator="containsText" text="N">
      <formula>NOT(ISERROR(SEARCH(("N"),(P20))))</formula>
    </cfRule>
    <cfRule type="containsText" dxfId="5340" priority="9530" operator="containsText" text="N">
      <formula>NOT(ISERROR(SEARCH(("N"),(P20))))</formula>
    </cfRule>
    <cfRule type="containsText" dxfId="5339" priority="9532" operator="containsText" text="O">
      <formula>NOT(ISERROR(SEARCH(("O"),(P20))))</formula>
    </cfRule>
    <cfRule type="containsText" dxfId="5338" priority="9537" operator="containsText" text="L">
      <formula>NOT(ISERROR(SEARCH(("L"),(P20))))</formula>
    </cfRule>
    <cfRule type="containsText" dxfId="5337" priority="9533" operator="containsText" text="C">
      <formula>NOT(ISERROR(SEARCH(("C"),(P20))))</formula>
    </cfRule>
  </conditionalFormatting>
  <conditionalFormatting sqref="P21:T21 T22:T26">
    <cfRule type="containsText" dxfId="5336" priority="8428" operator="containsText" text="P">
      <formula>NOT(ISERROR(SEARCH(("P"),(P21))))</formula>
    </cfRule>
    <cfRule type="containsText" dxfId="5335" priority="8427" operator="containsText" text="C">
      <formula>NOT(ISERROR(SEARCH(("C"),(P21))))</formula>
    </cfRule>
    <cfRule type="containsText" dxfId="5334" priority="8426" operator="containsText" text="O">
      <formula>NOT(ISERROR(SEARCH(("O"),(P21))))</formula>
    </cfRule>
    <cfRule type="containsText" dxfId="5333" priority="8430" operator="containsText" text="X">
      <formula>NOT(ISERROR(SEARCH(("X"),(P21))))</formula>
    </cfRule>
    <cfRule type="containsText" dxfId="5332" priority="8429" operator="containsText" text="K">
      <formula>NOT(ISERROR(SEARCH(("K"),(P21))))</formula>
    </cfRule>
    <cfRule type="containsText" dxfId="5331" priority="8431" operator="containsText" text="L">
      <formula>NOT(ISERROR(SEARCH(("L"),(P21))))</formula>
    </cfRule>
  </conditionalFormatting>
  <conditionalFormatting sqref="P21:T21">
    <cfRule type="containsText" dxfId="5330" priority="8425" operator="containsText" text="L">
      <formula>NOT(ISERROR(SEARCH(("L"),(P21))))</formula>
    </cfRule>
    <cfRule type="containsText" dxfId="5329" priority="8424" operator="containsText" text="X">
      <formula>NOT(ISERROR(SEARCH(("X"),(P21))))</formula>
    </cfRule>
    <cfRule type="containsText" dxfId="5328" priority="8423" operator="containsText" text="K">
      <formula>NOT(ISERROR(SEARCH(("K"),(P21))))</formula>
    </cfRule>
    <cfRule type="containsText" dxfId="5327" priority="8422" operator="containsText" text="P">
      <formula>NOT(ISERROR(SEARCH(("P"),(P21))))</formula>
    </cfRule>
    <cfRule type="containsText" dxfId="5326" priority="8421" operator="containsText" text="C">
      <formula>NOT(ISERROR(SEARCH(("C"),(P21))))</formula>
    </cfRule>
    <cfRule type="containsText" dxfId="5325" priority="8420" operator="containsText" text="O">
      <formula>NOT(ISERROR(SEARCH(("O"),(P21))))</formula>
    </cfRule>
  </conditionalFormatting>
  <conditionalFormatting sqref="P22:T22">
    <cfRule type="containsText" dxfId="5324" priority="1828" operator="containsText" text="P">
      <formula>NOT(ISERROR(SEARCH(("P"),(P22))))</formula>
    </cfRule>
    <cfRule type="containsText" dxfId="5323" priority="1829" operator="containsText" text="K">
      <formula>NOT(ISERROR(SEARCH(("K"),(P22))))</formula>
    </cfRule>
    <cfRule type="containsText" dxfId="5322" priority="1831" operator="containsText" text="L">
      <formula>NOT(ISERROR(SEARCH(("L"),(P22))))</formula>
    </cfRule>
    <cfRule type="containsText" dxfId="5321" priority="1938" operator="containsText" text="X">
      <formula>NOT(ISERROR(SEARCH(("X"),(P22))))</formula>
    </cfRule>
    <cfRule type="containsText" dxfId="5320" priority="1937" operator="containsText" text="K">
      <formula>NOT(ISERROR(SEARCH(("K"),(P22))))</formula>
    </cfRule>
    <cfRule type="containsText" dxfId="5319" priority="1936" operator="containsText" text="P">
      <formula>NOT(ISERROR(SEARCH(("P"),(P22))))</formula>
    </cfRule>
    <cfRule type="containsText" dxfId="5318" priority="1935" operator="containsText" text="C">
      <formula>NOT(ISERROR(SEARCH(("C"),(P22))))</formula>
    </cfRule>
    <cfRule type="containsText" dxfId="5317" priority="1830" operator="containsText" text="X">
      <formula>NOT(ISERROR(SEARCH(("X"),(P22))))</formula>
    </cfRule>
    <cfRule type="containsText" dxfId="5316" priority="1934" operator="containsText" text="O">
      <formula>NOT(ISERROR(SEARCH(("O"),(P22))))</formula>
    </cfRule>
    <cfRule type="containsText" dxfId="5315" priority="1933" operator="containsText" text="L">
      <formula>NOT(ISERROR(SEARCH(("L"),(P22))))</formula>
    </cfRule>
    <cfRule type="containsText" dxfId="5314" priority="1940" operator="containsText" text="N">
      <formula>NOT(ISERROR(SEARCH(("N"),(P22))))</formula>
    </cfRule>
    <cfRule type="containsText" dxfId="5313" priority="1939" operator="containsText" text="L">
      <formula>NOT(ISERROR(SEARCH(("L"),(P22))))</formula>
    </cfRule>
    <cfRule type="containsText" dxfId="5312" priority="1826" operator="containsText" text="O">
      <formula>NOT(ISERROR(SEARCH(("O"),(P22))))</formula>
    </cfRule>
    <cfRule type="containsText" dxfId="5311" priority="1827" operator="containsText" text="C">
      <formula>NOT(ISERROR(SEARCH(("C"),(P22))))</formula>
    </cfRule>
  </conditionalFormatting>
  <conditionalFormatting sqref="P21:U21">
    <cfRule type="containsText" dxfId="5310" priority="6635" operator="containsText" text="C">
      <formula>NOT(ISERROR(SEARCH(("C"),(P21))))</formula>
    </cfRule>
    <cfRule type="containsText" dxfId="5309" priority="6637" operator="containsText" text="K">
      <formula>NOT(ISERROR(SEARCH(("K"),(P21))))</formula>
    </cfRule>
    <cfRule type="containsText" dxfId="5308" priority="6636" operator="containsText" text="P">
      <formula>NOT(ISERROR(SEARCH(("P"),(P21))))</formula>
    </cfRule>
    <cfRule type="containsText" dxfId="5307" priority="6638" operator="containsText" text="X">
      <formula>NOT(ISERROR(SEARCH(("X"),(P21))))</formula>
    </cfRule>
    <cfRule type="containsText" dxfId="5306" priority="6639" operator="containsText" text="L">
      <formula>NOT(ISERROR(SEARCH(("L"),(P21))))</formula>
    </cfRule>
    <cfRule type="containsText" dxfId="5305" priority="6640" operator="containsText" text="O">
      <formula>NOT(ISERROR(SEARCH(("O"),(P21))))</formula>
    </cfRule>
    <cfRule type="containsText" dxfId="5304" priority="6641" operator="containsText" text="C">
      <formula>NOT(ISERROR(SEARCH(("C"),(P21))))</formula>
    </cfRule>
    <cfRule type="containsText" dxfId="5303" priority="6642" operator="containsText" text="P">
      <formula>NOT(ISERROR(SEARCH(("P"),(P21))))</formula>
    </cfRule>
    <cfRule type="containsText" dxfId="5302" priority="6643" operator="containsText" text="K">
      <formula>NOT(ISERROR(SEARCH(("K"),(P21))))</formula>
    </cfRule>
    <cfRule type="containsText" dxfId="5301" priority="6644" operator="containsText" text="X">
      <formula>NOT(ISERROR(SEARCH(("X"),(P21))))</formula>
    </cfRule>
    <cfRule type="containsText" dxfId="5300" priority="6645" operator="containsText" text="L">
      <formula>NOT(ISERROR(SEARCH(("L"),(P21))))</formula>
    </cfRule>
    <cfRule type="containsText" dxfId="5299" priority="6633" operator="containsText" text="N">
      <formula>NOT(ISERROR(SEARCH(("N"),(P21))))</formula>
    </cfRule>
    <cfRule type="containsText" dxfId="5298" priority="6634" operator="containsText" text="O">
      <formula>NOT(ISERROR(SEARCH(("O"),(P21))))</formula>
    </cfRule>
  </conditionalFormatting>
  <conditionalFormatting sqref="P14:AC14">
    <cfRule type="containsText" dxfId="5297" priority="7610" operator="containsText" text="N">
      <formula>NOT(ISERROR(SEARCH(("N"),(P14))))</formula>
    </cfRule>
  </conditionalFormatting>
  <conditionalFormatting sqref="P12:AH12">
    <cfRule type="containsText" dxfId="5296" priority="6105" operator="containsText" text="N">
      <formula>NOT(ISERROR(SEARCH(("N"),(P12))))</formula>
    </cfRule>
  </conditionalFormatting>
  <conditionalFormatting sqref="R13">
    <cfRule type="containsText" dxfId="5295" priority="9844" operator="containsText" text="N">
      <formula>NOT(ISERROR(SEARCH(("N"),(R13))))</formula>
    </cfRule>
    <cfRule type="containsText" dxfId="5294" priority="9797" operator="containsText" text="N">
      <formula>NOT(ISERROR(SEARCH(("N"),(R13))))</formula>
    </cfRule>
    <cfRule type="containsText" dxfId="5293" priority="9798" operator="containsText" text="O">
      <formula>NOT(ISERROR(SEARCH(("O"),(R13))))</formula>
    </cfRule>
    <cfRule type="containsText" dxfId="5292" priority="9800" operator="containsText" text="P">
      <formula>NOT(ISERROR(SEARCH(("P"),(R13))))</formula>
    </cfRule>
    <cfRule type="containsText" dxfId="5291" priority="9801" operator="containsText" text="K">
      <formula>NOT(ISERROR(SEARCH(("K"),(R13))))</formula>
    </cfRule>
    <cfRule type="containsText" dxfId="5290" priority="9802" operator="containsText" text="X">
      <formula>NOT(ISERROR(SEARCH(("X"),(R13))))</formula>
    </cfRule>
    <cfRule type="containsText" dxfId="5289" priority="9799" operator="containsText" text="C">
      <formula>NOT(ISERROR(SEARCH(("C"),(R13))))</formula>
    </cfRule>
    <cfRule type="containsText" dxfId="5288" priority="9845" operator="containsText" text="O">
      <formula>NOT(ISERROR(SEARCH(("O"),(R13))))</formula>
    </cfRule>
    <cfRule type="containsText" dxfId="5287" priority="9846" operator="containsText" text="C">
      <formula>NOT(ISERROR(SEARCH(("C"),(R13))))</formula>
    </cfRule>
    <cfRule type="containsText" dxfId="5286" priority="9847" operator="containsText" text="P">
      <formula>NOT(ISERROR(SEARCH(("P"),(R13))))</formula>
    </cfRule>
    <cfRule type="containsText" dxfId="5285" priority="9848" operator="containsText" text="K">
      <formula>NOT(ISERROR(SEARCH(("K"),(R13))))</formula>
    </cfRule>
    <cfRule type="containsText" dxfId="5284" priority="9849" operator="containsText" text="X">
      <formula>NOT(ISERROR(SEARCH(("X"),(R13))))</formula>
    </cfRule>
  </conditionalFormatting>
  <conditionalFormatting sqref="R13:S13">
    <cfRule type="containsText" dxfId="5283" priority="9803" operator="containsText" text="L">
      <formula>NOT(ISERROR(SEARCH(("L"),(R13))))</formula>
    </cfRule>
    <cfRule type="containsText" dxfId="5282" priority="9831" operator="containsText" text="N">
      <formula>NOT(ISERROR(SEARCH(("N"),(R13))))</formula>
    </cfRule>
    <cfRule type="containsText" dxfId="5281" priority="9832" operator="containsText" text="O">
      <formula>NOT(ISERROR(SEARCH(("O"),(R13))))</formula>
    </cfRule>
    <cfRule type="containsText" dxfId="5280" priority="9833" operator="containsText" text="C">
      <formula>NOT(ISERROR(SEARCH(("C"),(R13))))</formula>
    </cfRule>
    <cfRule type="containsText" dxfId="5279" priority="9834" operator="containsText" text="P">
      <formula>NOT(ISERROR(SEARCH(("P"),(R13))))</formula>
    </cfRule>
    <cfRule type="containsText" dxfId="5278" priority="9835" operator="containsText" text="K">
      <formula>NOT(ISERROR(SEARCH(("K"),(R13))))</formula>
    </cfRule>
    <cfRule type="containsText" dxfId="5277" priority="9836" operator="containsText" text="X">
      <formula>NOT(ISERROR(SEARCH(("X"),(R13))))</formula>
    </cfRule>
  </conditionalFormatting>
  <conditionalFormatting sqref="R17:S17">
    <cfRule type="containsText" dxfId="5276" priority="3911" operator="containsText" text="L">
      <formula>NOT(ISERROR(SEARCH(("L"),(R17))))</formula>
    </cfRule>
    <cfRule type="containsText" dxfId="5275" priority="3910" operator="containsText" text="X">
      <formula>NOT(ISERROR(SEARCH(("X"),(R17))))</formula>
    </cfRule>
    <cfRule type="containsText" dxfId="5274" priority="3906" operator="containsText" text="O">
      <formula>NOT(ISERROR(SEARCH(("O"),(R17))))</formula>
    </cfRule>
    <cfRule type="containsText" dxfId="5273" priority="3907" operator="containsText" text="C">
      <formula>NOT(ISERROR(SEARCH(("C"),(R17))))</formula>
    </cfRule>
    <cfRule type="containsText" dxfId="5272" priority="3908" operator="containsText" text="P">
      <formula>NOT(ISERROR(SEARCH(("P"),(R17))))</formula>
    </cfRule>
    <cfRule type="containsText" dxfId="5271" priority="3909" operator="containsText" text="K">
      <formula>NOT(ISERROR(SEARCH(("K"),(R17))))</formula>
    </cfRule>
  </conditionalFormatting>
  <conditionalFormatting sqref="R23:S23">
    <cfRule type="containsText" dxfId="5270" priority="1052" operator="containsText" text="P">
      <formula>NOT(ISERROR(SEARCH(("P"),(R23))))</formula>
    </cfRule>
    <cfRule type="containsText" dxfId="5269" priority="1053" operator="containsText" text="K">
      <formula>NOT(ISERROR(SEARCH(("K"),(R23))))</formula>
    </cfRule>
    <cfRule type="containsText" dxfId="5268" priority="1054" operator="containsText" text="X">
      <formula>NOT(ISERROR(SEARCH(("X"),(R23))))</formula>
    </cfRule>
    <cfRule type="containsText" dxfId="5267" priority="1055" operator="containsText" text="L">
      <formula>NOT(ISERROR(SEARCH(("L"),(R23))))</formula>
    </cfRule>
    <cfRule type="containsText" dxfId="5266" priority="1056" operator="containsText" text="N">
      <formula>NOT(ISERROR(SEARCH(("N"),(R23))))</formula>
    </cfRule>
    <cfRule type="containsText" dxfId="5265" priority="1057" operator="containsText" text="O">
      <formula>NOT(ISERROR(SEARCH(("O"),(R23))))</formula>
    </cfRule>
    <cfRule type="containsText" dxfId="5264" priority="1058" operator="containsText" text="C">
      <formula>NOT(ISERROR(SEARCH(("C"),(R23))))</formula>
    </cfRule>
    <cfRule type="containsText" dxfId="5263" priority="1060" operator="containsText" text="K">
      <formula>NOT(ISERROR(SEARCH(("K"),(R23))))</formula>
    </cfRule>
    <cfRule type="containsText" dxfId="5262" priority="1061" operator="containsText" text="X">
      <formula>NOT(ISERROR(SEARCH(("X"),(R23))))</formula>
    </cfRule>
    <cfRule type="containsText" dxfId="5261" priority="1062" operator="containsText" text="L">
      <formula>NOT(ISERROR(SEARCH(("L"),(R23))))</formula>
    </cfRule>
    <cfRule type="containsText" dxfId="5260" priority="1063" operator="containsText" text="O">
      <formula>NOT(ISERROR(SEARCH(("O"),(R23))))</formula>
    </cfRule>
    <cfRule type="containsText" dxfId="5259" priority="1064" operator="containsText" text="C">
      <formula>NOT(ISERROR(SEARCH(("C"),(R23))))</formula>
    </cfRule>
    <cfRule type="containsText" dxfId="5258" priority="1065" operator="containsText" text="P">
      <formula>NOT(ISERROR(SEARCH(("P"),(R23))))</formula>
    </cfRule>
    <cfRule type="containsText" dxfId="5257" priority="1066" operator="containsText" text="K">
      <formula>NOT(ISERROR(SEARCH(("K"),(R23))))</formula>
    </cfRule>
    <cfRule type="containsText" dxfId="5256" priority="1067" operator="containsText" text="X">
      <formula>NOT(ISERROR(SEARCH(("X"),(R23))))</formula>
    </cfRule>
    <cfRule type="containsText" dxfId="5255" priority="1068" operator="containsText" text="L">
      <formula>NOT(ISERROR(SEARCH(("L"),(R23))))</formula>
    </cfRule>
    <cfRule type="containsText" dxfId="5254" priority="1069" operator="containsText" text="N">
      <formula>NOT(ISERROR(SEARCH(("N"),(R23))))</formula>
    </cfRule>
    <cfRule type="containsText" dxfId="5253" priority="1059" operator="containsText" text="P">
      <formula>NOT(ISERROR(SEARCH(("P"),(R23))))</formula>
    </cfRule>
    <cfRule type="containsText" dxfId="5252" priority="1028" operator="containsText" text="N">
      <formula>NOT(ISERROR(SEARCH(("N"),(R23))))</formula>
    </cfRule>
    <cfRule type="containsText" dxfId="5251" priority="1029" operator="containsText" text="O">
      <formula>NOT(ISERROR(SEARCH(("O"),(R23))))</formula>
    </cfRule>
    <cfRule type="containsText" dxfId="5250" priority="1030" operator="containsText" text="C">
      <formula>NOT(ISERROR(SEARCH(("C"),(R23))))</formula>
    </cfRule>
    <cfRule type="containsText" dxfId="5249" priority="1031" operator="containsText" text="P">
      <formula>NOT(ISERROR(SEARCH(("P"),(R23))))</formula>
    </cfRule>
    <cfRule type="containsText" dxfId="5248" priority="1032" operator="containsText" text="K">
      <formula>NOT(ISERROR(SEARCH(("K"),(R23))))</formula>
    </cfRule>
    <cfRule type="containsText" dxfId="5247" priority="1033" operator="containsText" text="X">
      <formula>NOT(ISERROR(SEARCH(("X"),(R23))))</formula>
    </cfRule>
    <cfRule type="containsText" dxfId="5246" priority="1034" operator="containsText" text="L">
      <formula>NOT(ISERROR(SEARCH(("L"),(R23))))</formula>
    </cfRule>
    <cfRule type="containsText" dxfId="5245" priority="1035" operator="containsText" text="N">
      <formula>NOT(ISERROR(SEARCH(("N"),(R23))))</formula>
    </cfRule>
    <cfRule type="containsText" dxfId="5244" priority="1036" operator="containsText" text="O">
      <formula>NOT(ISERROR(SEARCH(("O"),(R23))))</formula>
    </cfRule>
    <cfRule type="containsText" dxfId="5243" priority="1037" operator="containsText" text="C">
      <formula>NOT(ISERROR(SEARCH(("C"),(R23))))</formula>
    </cfRule>
    <cfRule type="containsText" dxfId="5242" priority="1038" operator="containsText" text="P">
      <formula>NOT(ISERROR(SEARCH(("P"),(R23))))</formula>
    </cfRule>
    <cfRule type="containsText" dxfId="5241" priority="1039" operator="containsText" text="K">
      <formula>NOT(ISERROR(SEARCH(("K"),(R23))))</formula>
    </cfRule>
    <cfRule type="containsText" dxfId="5240" priority="1040" operator="containsText" text="X">
      <formula>NOT(ISERROR(SEARCH(("X"),(R23))))</formula>
    </cfRule>
    <cfRule type="containsText" dxfId="5239" priority="1041" operator="containsText" text="L">
      <formula>NOT(ISERROR(SEARCH(("L"),(R23))))</formula>
    </cfRule>
    <cfRule type="containsText" dxfId="5238" priority="1043" operator="containsText" text="N">
      <formula>NOT(ISERROR(SEARCH(("N"),(R23))))</formula>
    </cfRule>
    <cfRule type="containsText" dxfId="5237" priority="1044" operator="containsText" text="O">
      <formula>NOT(ISERROR(SEARCH(("O"),(R23))))</formula>
    </cfRule>
    <cfRule type="containsText" dxfId="5236" priority="1045" operator="containsText" text="C">
      <formula>NOT(ISERROR(SEARCH(("C"),(R23))))</formula>
    </cfRule>
    <cfRule type="containsText" dxfId="5235" priority="1046" operator="containsText" text="P">
      <formula>NOT(ISERROR(SEARCH(("P"),(R23))))</formula>
    </cfRule>
    <cfRule type="containsText" dxfId="5234" priority="1047" operator="containsText" text="K">
      <formula>NOT(ISERROR(SEARCH(("K"),(R23))))</formula>
    </cfRule>
    <cfRule type="containsText" dxfId="5233" priority="1048" operator="containsText" text="X">
      <formula>NOT(ISERROR(SEARCH(("X"),(R23))))</formula>
    </cfRule>
    <cfRule type="containsText" dxfId="5232" priority="1049" operator="containsText" text="L">
      <formula>NOT(ISERROR(SEARCH(("L"),(R23))))</formula>
    </cfRule>
    <cfRule type="containsText" dxfId="5231" priority="1050" operator="containsText" text="O">
      <formula>NOT(ISERROR(SEARCH(("O"),(R23))))</formula>
    </cfRule>
    <cfRule type="containsText" dxfId="5230" priority="1051" operator="containsText" text="C">
      <formula>NOT(ISERROR(SEARCH(("C"),(R23))))</formula>
    </cfRule>
  </conditionalFormatting>
  <conditionalFormatting sqref="R11:V11 Y11:AC11">
    <cfRule type="containsText" dxfId="5229" priority="9794" operator="containsText" text="K">
      <formula>NOT(ISERROR(SEARCH(("K"),(R11))))</formula>
    </cfRule>
    <cfRule type="containsText" dxfId="5228" priority="9793" operator="containsText" text="P">
      <formula>NOT(ISERROR(SEARCH(("P"),(R11))))</formula>
    </cfRule>
    <cfRule type="containsText" dxfId="5227" priority="9792" operator="containsText" text="C">
      <formula>NOT(ISERROR(SEARCH(("C"),(R11))))</formula>
    </cfRule>
    <cfRule type="containsText" dxfId="5226" priority="9791" operator="containsText" text="O">
      <formula>NOT(ISERROR(SEARCH(("O"),(R11))))</formula>
    </cfRule>
    <cfRule type="containsText" dxfId="5225" priority="9796" operator="containsText" text="L">
      <formula>NOT(ISERROR(SEARCH(("L"),(R11))))</formula>
    </cfRule>
    <cfRule type="containsText" dxfId="5224" priority="9795" operator="containsText" text="X">
      <formula>NOT(ISERROR(SEARCH(("X"),(R11))))</formula>
    </cfRule>
  </conditionalFormatting>
  <conditionalFormatting sqref="R13:W13">
    <cfRule type="containsText" dxfId="5223" priority="5675" operator="containsText" text="C">
      <formula>NOT(ISERROR(SEARCH(("C"),(R13))))</formula>
    </cfRule>
    <cfRule type="containsText" dxfId="5222" priority="5674" operator="containsText" text="O">
      <formula>NOT(ISERROR(SEARCH(("O"),(R13))))</formula>
    </cfRule>
    <cfRule type="containsText" dxfId="5221" priority="5653" operator="containsText" text="N">
      <formula>NOT(ISERROR(SEARCH(("N"),(R13))))</formula>
    </cfRule>
    <cfRule type="containsText" dxfId="5220" priority="5645" operator="containsText" text="O">
      <formula>NOT(ISERROR(SEARCH(("O"),(R13))))</formula>
    </cfRule>
    <cfRule type="containsText" dxfId="5219" priority="5646" operator="containsText" text="C">
      <formula>NOT(ISERROR(SEARCH(("C"),(R13))))</formula>
    </cfRule>
    <cfRule type="containsText" dxfId="5218" priority="5647" operator="containsText" text="P">
      <formula>NOT(ISERROR(SEARCH(("P"),(R13))))</formula>
    </cfRule>
    <cfRule type="containsText" dxfId="5217" priority="5691" operator="containsText" text="L">
      <formula>NOT(ISERROR(SEARCH(("L"),(R13))))</formula>
    </cfRule>
    <cfRule type="containsText" dxfId="5216" priority="5690" operator="containsText" text="X">
      <formula>NOT(ISERROR(SEARCH(("X"),(R13))))</formula>
    </cfRule>
    <cfRule type="containsText" dxfId="5215" priority="5689" operator="containsText" text="K">
      <formula>NOT(ISERROR(SEARCH(("K"),(R13))))</formula>
    </cfRule>
    <cfRule type="containsText" dxfId="5214" priority="5688" operator="containsText" text="P">
      <formula>NOT(ISERROR(SEARCH(("P"),(R13))))</formula>
    </cfRule>
    <cfRule type="containsText" dxfId="5213" priority="5687" operator="containsText" text="C">
      <formula>NOT(ISERROR(SEARCH(("C"),(R13))))</formula>
    </cfRule>
    <cfRule type="containsText" dxfId="5212" priority="5686" operator="containsText" text="O">
      <formula>NOT(ISERROR(SEARCH(("O"),(R13))))</formula>
    </cfRule>
    <cfRule type="containsText" dxfId="5211" priority="5685" operator="containsText" text="N">
      <formula>NOT(ISERROR(SEARCH(("N"),(R13))))</formula>
    </cfRule>
    <cfRule type="containsText" dxfId="5210" priority="5648" operator="containsText" text="K">
      <formula>NOT(ISERROR(SEARCH(("K"),(R13))))</formula>
    </cfRule>
    <cfRule type="containsText" dxfId="5209" priority="5668" operator="containsText" text="C">
      <formula>NOT(ISERROR(SEARCH(("C"),(R13))))</formula>
    </cfRule>
    <cfRule type="containsText" dxfId="5208" priority="5684" operator="containsText" text="X">
      <formula>NOT(ISERROR(SEARCH(("X"),(R13))))</formula>
    </cfRule>
    <cfRule type="containsText" dxfId="5207" priority="5667" operator="containsText" text="O">
      <formula>NOT(ISERROR(SEARCH(("O"),(R13))))</formula>
    </cfRule>
    <cfRule type="containsText" dxfId="5206" priority="5666" operator="containsText" text="N">
      <formula>NOT(ISERROR(SEARCH(("N"),(R13))))</formula>
    </cfRule>
    <cfRule type="containsText" dxfId="5205" priority="5665" operator="containsText" text="L">
      <formula>NOT(ISERROR(SEARCH(("L"),(R13))))</formula>
    </cfRule>
    <cfRule type="containsText" dxfId="5204" priority="5649" operator="containsText" text="X">
      <formula>NOT(ISERROR(SEARCH(("X"),(R13))))</formula>
    </cfRule>
    <cfRule type="containsText" dxfId="5203" priority="5664" operator="containsText" text="X">
      <formula>NOT(ISERROR(SEARCH(("X"),(R13))))</formula>
    </cfRule>
    <cfRule type="containsText" dxfId="5202" priority="5663" operator="containsText" text="K">
      <formula>NOT(ISERROR(SEARCH(("K"),(R13))))</formula>
    </cfRule>
    <cfRule type="containsText" dxfId="5201" priority="5662" operator="containsText" text="P">
      <formula>NOT(ISERROR(SEARCH(("P"),(R13))))</formula>
    </cfRule>
    <cfRule type="containsText" dxfId="5200" priority="5661" operator="containsText" text="C">
      <formula>NOT(ISERROR(SEARCH(("C"),(R13))))</formula>
    </cfRule>
    <cfRule type="containsText" dxfId="5199" priority="5660" operator="containsText" text="O">
      <formula>NOT(ISERROR(SEARCH(("O"),(R13))))</formula>
    </cfRule>
    <cfRule type="containsText" dxfId="5198" priority="5659" operator="containsText" text="N">
      <formula>NOT(ISERROR(SEARCH(("N"),(R13))))</formula>
    </cfRule>
    <cfRule type="containsText" dxfId="5197" priority="5650" operator="containsText" text="N">
      <formula>NOT(ISERROR(SEARCH(("N"),(R13))))</formula>
    </cfRule>
    <cfRule type="expression" dxfId="5196" priority="5651">
      <formula>WEEKDAY(R$8)=1</formula>
    </cfRule>
    <cfRule type="containsText" dxfId="5195" priority="5683" operator="containsText" text="K">
      <formula>NOT(ISERROR(SEARCH(("K"),(R13))))</formula>
    </cfRule>
    <cfRule type="containsText" dxfId="5194" priority="5658" operator="containsText" text="X">
      <formula>NOT(ISERROR(SEARCH(("X"),(R13))))</formula>
    </cfRule>
    <cfRule type="containsText" dxfId="5193" priority="5682" operator="containsText" text="P">
      <formula>NOT(ISERROR(SEARCH(("P"),(R13))))</formula>
    </cfRule>
    <cfRule type="containsText" dxfId="5192" priority="5657" operator="containsText" text="K">
      <formula>NOT(ISERROR(SEARCH(("K"),(R13))))</formula>
    </cfRule>
    <cfRule type="containsText" dxfId="5191" priority="5681" operator="containsText" text="C">
      <formula>NOT(ISERROR(SEARCH(("C"),(R13))))</formula>
    </cfRule>
    <cfRule type="containsText" dxfId="5190" priority="5680" operator="containsText" text="O">
      <formula>NOT(ISERROR(SEARCH(("O"),(R13))))</formula>
    </cfRule>
    <cfRule type="containsText" dxfId="5189" priority="5679" operator="containsText" text="L">
      <formula>NOT(ISERROR(SEARCH(("L"),(R13))))</formula>
    </cfRule>
    <cfRule type="containsText" dxfId="5188" priority="5678" operator="containsText" text="X">
      <formula>NOT(ISERROR(SEARCH(("X"),(R13))))</formula>
    </cfRule>
    <cfRule type="containsText" dxfId="5187" priority="5676" operator="containsText" text="P">
      <formula>NOT(ISERROR(SEARCH(("P"),(R13))))</formula>
    </cfRule>
    <cfRule type="containsText" dxfId="5186" priority="5656" operator="containsText" text="P">
      <formula>NOT(ISERROR(SEARCH(("P"),(R13))))</formula>
    </cfRule>
    <cfRule type="containsText" dxfId="5185" priority="5655" operator="containsText" text="C">
      <formula>NOT(ISERROR(SEARCH(("C"),(R13))))</formula>
    </cfRule>
    <cfRule type="containsText" dxfId="5184" priority="5669" operator="containsText" text="P">
      <formula>NOT(ISERROR(SEARCH(("P"),(R13))))</formula>
    </cfRule>
    <cfRule type="containsText" dxfId="5183" priority="5670" operator="containsText" text="K">
      <formula>NOT(ISERROR(SEARCH(("K"),(R13))))</formula>
    </cfRule>
    <cfRule type="containsText" dxfId="5182" priority="5671" operator="containsText" text="X">
      <formula>NOT(ISERROR(SEARCH(("X"),(R13))))</formula>
    </cfRule>
    <cfRule type="containsText" dxfId="5181" priority="5672" operator="containsText" text="L">
      <formula>NOT(ISERROR(SEARCH(("L"),(R13))))</formula>
    </cfRule>
    <cfRule type="containsText" dxfId="5180" priority="5673" operator="containsText" text="N">
      <formula>NOT(ISERROR(SEARCH(("N"),(R13))))</formula>
    </cfRule>
    <cfRule type="containsText" dxfId="5179" priority="5677" operator="containsText" text="K">
      <formula>NOT(ISERROR(SEARCH(("K"),(R13))))</formula>
    </cfRule>
    <cfRule type="containsText" dxfId="5178" priority="5652" operator="containsText" text="L">
      <formula>NOT(ISERROR(SEARCH(("L"),(R13))))</formula>
    </cfRule>
    <cfRule type="containsText" dxfId="5177" priority="5654" operator="containsText" text="O">
      <formula>NOT(ISERROR(SEARCH(("O"),(R13))))</formula>
    </cfRule>
  </conditionalFormatting>
  <conditionalFormatting sqref="R13:AB13 AH13:AI13 AL13 I13:N13">
    <cfRule type="containsText" dxfId="5176" priority="9890" operator="containsText" text="K">
      <formula>NOT(ISERROR(SEARCH(("K"),(I13))))</formula>
    </cfRule>
    <cfRule type="containsText" dxfId="5175" priority="9889" operator="containsText" text="P">
      <formula>NOT(ISERROR(SEARCH(("P"),(I13))))</formula>
    </cfRule>
    <cfRule type="containsText" dxfId="5174" priority="9888" operator="containsText" text="C">
      <formula>NOT(ISERROR(SEARCH(("C"),(I13))))</formula>
    </cfRule>
    <cfRule type="containsText" dxfId="5173" priority="9887" operator="containsText" text="O">
      <formula>NOT(ISERROR(SEARCH(("O"),(I13))))</formula>
    </cfRule>
    <cfRule type="containsText" dxfId="5172" priority="9891" operator="containsText" text="X">
      <formula>NOT(ISERROR(SEARCH(("X"),(I13))))</formula>
    </cfRule>
  </conditionalFormatting>
  <conditionalFormatting sqref="R13:AB13">
    <cfRule type="containsText" dxfId="5171" priority="9850" operator="containsText" text="L">
      <formula>NOT(ISERROR(SEARCH(("L"),(R13))))</formula>
    </cfRule>
  </conditionalFormatting>
  <conditionalFormatting sqref="R22:AG22">
    <cfRule type="containsText" dxfId="5170" priority="1803" operator="containsText" text="O">
      <formula>NOT(ISERROR(SEARCH(("O"),(R22))))</formula>
    </cfRule>
    <cfRule type="containsText" dxfId="5169" priority="1802" operator="containsText" text="N">
      <formula>NOT(ISERROR(SEARCH(("N"),(R22))))</formula>
    </cfRule>
    <cfRule type="containsText" dxfId="5168" priority="1808" operator="containsText" text="L">
      <formula>NOT(ISERROR(SEARCH(("L"),(R22))))</formula>
    </cfRule>
    <cfRule type="containsText" dxfId="5167" priority="1807" operator="containsText" text="X">
      <formula>NOT(ISERROR(SEARCH(("X"),(R22))))</formula>
    </cfRule>
    <cfRule type="containsText" dxfId="5166" priority="1806" operator="containsText" text="K">
      <formula>NOT(ISERROR(SEARCH(("K"),(R22))))</formula>
    </cfRule>
    <cfRule type="containsText" dxfId="5165" priority="1805" operator="containsText" text="P">
      <formula>NOT(ISERROR(SEARCH(("P"),(R22))))</formula>
    </cfRule>
    <cfRule type="containsText" dxfId="5164" priority="1804" operator="containsText" text="C">
      <formula>NOT(ISERROR(SEARCH(("C"),(R22))))</formula>
    </cfRule>
  </conditionalFormatting>
  <conditionalFormatting sqref="R12:AI12">
    <cfRule type="containsText" dxfId="5163" priority="5958" operator="containsText" text="K">
      <formula>NOT(ISERROR(SEARCH(("K"),(R12))))</formula>
    </cfRule>
    <cfRule type="containsText" dxfId="5162" priority="5959" operator="containsText" text="X">
      <formula>NOT(ISERROR(SEARCH(("X"),(R12))))</formula>
    </cfRule>
    <cfRule type="containsText" dxfId="5161" priority="5955" operator="containsText" text="O">
      <formula>NOT(ISERROR(SEARCH(("O"),(R12))))</formula>
    </cfRule>
    <cfRule type="containsText" dxfId="5160" priority="5960" operator="containsText" text="L">
      <formula>NOT(ISERROR(SEARCH(("L"),(R12))))</formula>
    </cfRule>
    <cfRule type="containsText" dxfId="5159" priority="5954" operator="containsText" text="N">
      <formula>NOT(ISERROR(SEARCH(("N"),(R12))))</formula>
    </cfRule>
    <cfRule type="containsText" dxfId="5158" priority="5956" operator="containsText" text="C">
      <formula>NOT(ISERROR(SEARCH(("C"),(R12))))</formula>
    </cfRule>
    <cfRule type="containsText" dxfId="5157" priority="5957" operator="containsText" text="P">
      <formula>NOT(ISERROR(SEARCH(("P"),(R12))))</formula>
    </cfRule>
  </conditionalFormatting>
  <conditionalFormatting sqref="R14:AI14">
    <cfRule type="containsText" dxfId="5156" priority="7568" operator="containsText" text="P">
      <formula>NOT(ISERROR(SEARCH(("P"),(R14))))</formula>
    </cfRule>
    <cfRule type="containsText" dxfId="5155" priority="7569" operator="containsText" text="K">
      <formula>NOT(ISERROR(SEARCH(("K"),(R14))))</formula>
    </cfRule>
    <cfRule type="containsText" dxfId="5154" priority="7570" operator="containsText" text="X">
      <formula>NOT(ISERROR(SEARCH(("X"),(R14))))</formula>
    </cfRule>
    <cfRule type="containsText" dxfId="5153" priority="7565" operator="containsText" text="N">
      <formula>NOT(ISERROR(SEARCH(("N"),(R14))))</formula>
    </cfRule>
    <cfRule type="containsText" dxfId="5152" priority="7571" operator="containsText" text="L">
      <formula>NOT(ISERROR(SEARCH(("L"),(R14))))</formula>
    </cfRule>
    <cfRule type="containsText" dxfId="5151" priority="7566" operator="containsText" text="O">
      <formula>NOT(ISERROR(SEARCH(("O"),(R14))))</formula>
    </cfRule>
    <cfRule type="containsText" dxfId="5150" priority="7567" operator="containsText" text="C">
      <formula>NOT(ISERROR(SEARCH(("C"),(R14))))</formula>
    </cfRule>
  </conditionalFormatting>
  <conditionalFormatting sqref="R15:AI15">
    <cfRule type="containsText" dxfId="5149" priority="7371" operator="containsText" text="C">
      <formula>NOT(ISERROR(SEARCH(("C"),(R15))))</formula>
    </cfRule>
    <cfRule type="containsText" dxfId="5148" priority="7370" operator="containsText" text="O">
      <formula>NOT(ISERROR(SEARCH(("O"),(R15))))</formula>
    </cfRule>
    <cfRule type="containsText" dxfId="5147" priority="7375" operator="containsText" text="L">
      <formula>NOT(ISERROR(SEARCH(("L"),(R15))))</formula>
    </cfRule>
    <cfRule type="containsText" dxfId="5146" priority="7374" operator="containsText" text="X">
      <formula>NOT(ISERROR(SEARCH(("X"),(R15))))</formula>
    </cfRule>
    <cfRule type="containsText" dxfId="5145" priority="7373" operator="containsText" text="K">
      <formula>NOT(ISERROR(SEARCH(("K"),(R15))))</formula>
    </cfRule>
    <cfRule type="containsText" dxfId="5144" priority="7372" operator="containsText" text="P">
      <formula>NOT(ISERROR(SEARCH(("P"),(R15))))</formula>
    </cfRule>
    <cfRule type="containsText" dxfId="5143" priority="7369" operator="containsText" text="N">
      <formula>NOT(ISERROR(SEARCH(("N"),(R15))))</formula>
    </cfRule>
  </conditionalFormatting>
  <conditionalFormatting sqref="R16:AI16">
    <cfRule type="containsText" dxfId="5142" priority="7044" operator="containsText" text="L">
      <formula>NOT(ISERROR(SEARCH(("L"),(R16))))</formula>
    </cfRule>
    <cfRule type="containsText" dxfId="5141" priority="7043" operator="containsText" text="X">
      <formula>NOT(ISERROR(SEARCH(("X"),(R16))))</formula>
    </cfRule>
    <cfRule type="containsText" dxfId="5140" priority="7039" operator="containsText" text="O">
      <formula>NOT(ISERROR(SEARCH(("O"),(R16))))</formula>
    </cfRule>
    <cfRule type="containsText" dxfId="5139" priority="7038" operator="containsText" text="N">
      <formula>NOT(ISERROR(SEARCH(("N"),(R16))))</formula>
    </cfRule>
    <cfRule type="containsText" dxfId="5138" priority="7042" operator="containsText" text="K">
      <formula>NOT(ISERROR(SEARCH(("K"),(R16))))</formula>
    </cfRule>
    <cfRule type="containsText" dxfId="5137" priority="7041" operator="containsText" text="P">
      <formula>NOT(ISERROR(SEARCH(("P"),(R16))))</formula>
    </cfRule>
    <cfRule type="containsText" dxfId="5136" priority="7040" operator="containsText" text="C">
      <formula>NOT(ISERROR(SEARCH(("C"),(R16))))</formula>
    </cfRule>
  </conditionalFormatting>
  <conditionalFormatting sqref="R17:AI17">
    <cfRule type="containsText" dxfId="5135" priority="7188" operator="containsText" text="C">
      <formula>NOT(ISERROR(SEARCH(("C"),(R17))))</formula>
    </cfRule>
    <cfRule type="containsText" dxfId="5134" priority="7189" operator="containsText" text="P">
      <formula>NOT(ISERROR(SEARCH(("P"),(R17))))</formula>
    </cfRule>
    <cfRule type="containsText" dxfId="5133" priority="7190" operator="containsText" text="K">
      <formula>NOT(ISERROR(SEARCH(("K"),(R17))))</formula>
    </cfRule>
    <cfRule type="containsText" dxfId="5132" priority="7192" operator="containsText" text="L">
      <formula>NOT(ISERROR(SEARCH(("L"),(R17))))</formula>
    </cfRule>
    <cfRule type="containsText" dxfId="5131" priority="7186" operator="containsText" text="N">
      <formula>NOT(ISERROR(SEARCH(("N"),(R17))))</formula>
    </cfRule>
    <cfRule type="containsText" dxfId="5130" priority="7191" operator="containsText" text="X">
      <formula>NOT(ISERROR(SEARCH(("X"),(R17))))</formula>
    </cfRule>
    <cfRule type="containsText" dxfId="5129" priority="7187" operator="containsText" text="O">
      <formula>NOT(ISERROR(SEARCH(("O"),(R17))))</formula>
    </cfRule>
  </conditionalFormatting>
  <conditionalFormatting sqref="R18:AI18">
    <cfRule type="containsText" dxfId="5128" priority="3416" operator="containsText" text="N">
      <formula>NOT(ISERROR(SEARCH(("N"),(R18))))</formula>
    </cfRule>
    <cfRule type="containsText" dxfId="5127" priority="3420" operator="containsText" text="K">
      <formula>NOT(ISERROR(SEARCH(("K"),(R18))))</formula>
    </cfRule>
    <cfRule type="containsText" dxfId="5126" priority="3417" operator="containsText" text="O">
      <formula>NOT(ISERROR(SEARCH(("O"),(R18))))</formula>
    </cfRule>
    <cfRule type="containsText" dxfId="5125" priority="3418" operator="containsText" text="C">
      <formula>NOT(ISERROR(SEARCH(("C"),(R18))))</formula>
    </cfRule>
    <cfRule type="containsText" dxfId="5124" priority="7761" operator="containsText" text="N">
      <formula>NOT(ISERROR(SEARCH(("N"),(R18))))</formula>
    </cfRule>
    <cfRule type="containsText" dxfId="5123" priority="7762" operator="containsText" text="O">
      <formula>NOT(ISERROR(SEARCH(("O"),(R18))))</formula>
    </cfRule>
    <cfRule type="containsText" dxfId="5122" priority="7763" operator="containsText" text="C">
      <formula>NOT(ISERROR(SEARCH(("C"),(R18))))</formula>
    </cfRule>
    <cfRule type="containsText" dxfId="5121" priority="7764" operator="containsText" text="P">
      <formula>NOT(ISERROR(SEARCH(("P"),(R18))))</formula>
    </cfRule>
    <cfRule type="containsText" dxfId="5120" priority="7765" operator="containsText" text="K">
      <formula>NOT(ISERROR(SEARCH(("K"),(R18))))</formula>
    </cfRule>
    <cfRule type="containsText" dxfId="5119" priority="7766" operator="containsText" text="X">
      <formula>NOT(ISERROR(SEARCH(("X"),(R18))))</formula>
    </cfRule>
    <cfRule type="containsText" dxfId="5118" priority="7767" operator="containsText" text="L">
      <formula>NOT(ISERROR(SEARCH(("L"),(R18))))</formula>
    </cfRule>
    <cfRule type="containsText" dxfId="5117" priority="3422" operator="containsText" text="L">
      <formula>NOT(ISERROR(SEARCH(("L"),(R18))))</formula>
    </cfRule>
    <cfRule type="containsText" dxfId="5116" priority="3419" operator="containsText" text="P">
      <formula>NOT(ISERROR(SEARCH(("P"),(R18))))</formula>
    </cfRule>
    <cfRule type="containsText" dxfId="5115" priority="3421" operator="containsText" text="X">
      <formula>NOT(ISERROR(SEARCH(("X"),(R18))))</formula>
    </cfRule>
  </conditionalFormatting>
  <conditionalFormatting sqref="R19:AI19">
    <cfRule type="containsText" dxfId="5114" priority="2973" operator="containsText" text="L">
      <formula>NOT(ISERROR(SEARCH(("L"),(R19))))</formula>
    </cfRule>
    <cfRule type="containsText" dxfId="5113" priority="5791" operator="containsText" text="L">
      <formula>NOT(ISERROR(SEARCH(("L"),(R19))))</formula>
    </cfRule>
    <cfRule type="containsText" dxfId="5112" priority="5790" operator="containsText" text="X">
      <formula>NOT(ISERROR(SEARCH(("X"),(R19))))</formula>
    </cfRule>
    <cfRule type="containsText" dxfId="5111" priority="5789" operator="containsText" text="K">
      <formula>NOT(ISERROR(SEARCH(("K"),(R19))))</formula>
    </cfRule>
    <cfRule type="containsText" dxfId="5110" priority="5788" operator="containsText" text="P">
      <formula>NOT(ISERROR(SEARCH(("P"),(R19))))</formula>
    </cfRule>
    <cfRule type="containsText" dxfId="5109" priority="5787" operator="containsText" text="C">
      <formula>NOT(ISERROR(SEARCH(("C"),(R19))))</formula>
    </cfRule>
    <cfRule type="containsText" dxfId="5108" priority="5786" operator="containsText" text="O">
      <formula>NOT(ISERROR(SEARCH(("O"),(R19))))</formula>
    </cfRule>
    <cfRule type="containsText" dxfId="5107" priority="2969" operator="containsText" text="C">
      <formula>NOT(ISERROR(SEARCH(("C"),(R19))))</formula>
    </cfRule>
    <cfRule type="containsText" dxfId="5106" priority="2970" operator="containsText" text="P">
      <formula>NOT(ISERROR(SEARCH(("P"),(R19))))</formula>
    </cfRule>
    <cfRule type="containsText" dxfId="5105" priority="5785" operator="containsText" text="N">
      <formula>NOT(ISERROR(SEARCH(("N"),(R19))))</formula>
    </cfRule>
    <cfRule type="containsText" dxfId="5104" priority="2971" operator="containsText" text="K">
      <formula>NOT(ISERROR(SEARCH(("K"),(R19))))</formula>
    </cfRule>
    <cfRule type="containsText" dxfId="5103" priority="2972" operator="containsText" text="X">
      <formula>NOT(ISERROR(SEARCH(("X"),(R19))))</formula>
    </cfRule>
    <cfRule type="containsText" dxfId="5102" priority="2968" operator="containsText" text="O">
      <formula>NOT(ISERROR(SEARCH(("O"),(R19))))</formula>
    </cfRule>
    <cfRule type="containsText" dxfId="5101" priority="2967" operator="containsText" text="N">
      <formula>NOT(ISERROR(SEARCH(("N"),(R19))))</formula>
    </cfRule>
  </conditionalFormatting>
  <conditionalFormatting sqref="R20:AI20">
    <cfRule type="containsText" dxfId="5100" priority="6806" operator="containsText" text="N">
      <formula>NOT(ISERROR(SEARCH(("N"),(R20))))</formula>
    </cfRule>
    <cfRule type="containsText" dxfId="5099" priority="6807" operator="containsText" text="O">
      <formula>NOT(ISERROR(SEARCH(("O"),(R20))))</formula>
    </cfRule>
    <cfRule type="containsText" dxfId="5098" priority="6808" operator="containsText" text="C">
      <formula>NOT(ISERROR(SEARCH(("C"),(R20))))</formula>
    </cfRule>
    <cfRule type="containsText" dxfId="5097" priority="6810" operator="containsText" text="K">
      <formula>NOT(ISERROR(SEARCH(("K"),(R20))))</formula>
    </cfRule>
    <cfRule type="containsText" dxfId="5096" priority="6811" operator="containsText" text="X">
      <formula>NOT(ISERROR(SEARCH(("X"),(R20))))</formula>
    </cfRule>
    <cfRule type="containsText" dxfId="5095" priority="6812" operator="containsText" text="L">
      <formula>NOT(ISERROR(SEARCH(("L"),(R20))))</formula>
    </cfRule>
    <cfRule type="containsText" dxfId="5094" priority="6809" operator="containsText" text="P">
      <formula>NOT(ISERROR(SEARCH(("P"),(R20))))</formula>
    </cfRule>
  </conditionalFormatting>
  <conditionalFormatting sqref="R21:AI21">
    <cfRule type="containsText" dxfId="5093" priority="6592" operator="containsText" text="K">
      <formula>NOT(ISERROR(SEARCH(("K"),(R21))))</formula>
    </cfRule>
    <cfRule type="containsText" dxfId="5092" priority="6593" operator="containsText" text="X">
      <formula>NOT(ISERROR(SEARCH(("X"),(R21))))</formula>
    </cfRule>
    <cfRule type="containsText" dxfId="5091" priority="6594" operator="containsText" text="L">
      <formula>NOT(ISERROR(SEARCH(("L"),(R21))))</formula>
    </cfRule>
    <cfRule type="containsText" dxfId="5090" priority="6588" operator="containsText" text="N">
      <formula>NOT(ISERROR(SEARCH(("N"),(R21))))</formula>
    </cfRule>
    <cfRule type="containsText" dxfId="5089" priority="6589" operator="containsText" text="O">
      <formula>NOT(ISERROR(SEARCH(("O"),(R21))))</formula>
    </cfRule>
    <cfRule type="containsText" dxfId="5088" priority="6590" operator="containsText" text="C">
      <formula>NOT(ISERROR(SEARCH(("C"),(R21))))</formula>
    </cfRule>
    <cfRule type="containsText" dxfId="5087" priority="6591" operator="containsText" text="P">
      <formula>NOT(ISERROR(SEARCH(("P"),(R21))))</formula>
    </cfRule>
  </conditionalFormatting>
  <conditionalFormatting sqref="S12">
    <cfRule type="containsText" dxfId="5086" priority="6022" operator="containsText" text="X">
      <formula>NOT(ISERROR(SEARCH(("X"),(S12))))</formula>
    </cfRule>
    <cfRule type="containsText" dxfId="5085" priority="6023" operator="containsText" text="L">
      <formula>NOT(ISERROR(SEARCH(("L"),(S12))))</formula>
    </cfRule>
    <cfRule type="containsText" dxfId="5084" priority="6024" operator="containsText" text="N">
      <formula>NOT(ISERROR(SEARCH(("N"),(S12))))</formula>
    </cfRule>
    <cfRule type="containsText" dxfId="5083" priority="6012" operator="containsText" text="O">
      <formula>NOT(ISERROR(SEARCH(("O"),(S12))))</formula>
    </cfRule>
    <cfRule type="containsText" dxfId="5082" priority="6013" operator="containsText" text="C">
      <formula>NOT(ISERROR(SEARCH(("C"),(S12))))</formula>
    </cfRule>
    <cfRule type="containsText" dxfId="5081" priority="6014" operator="containsText" text="P">
      <formula>NOT(ISERROR(SEARCH(("P"),(S12))))</formula>
    </cfRule>
    <cfRule type="containsText" dxfId="5080" priority="6015" operator="containsText" text="K">
      <formula>NOT(ISERROR(SEARCH(("K"),(S12))))</formula>
    </cfRule>
    <cfRule type="containsText" dxfId="5079" priority="6017" operator="containsText" text="L">
      <formula>NOT(ISERROR(SEARCH(("L"),(S12))))</formula>
    </cfRule>
    <cfRule type="containsText" dxfId="5078" priority="6018" operator="containsText" text="O">
      <formula>NOT(ISERROR(SEARCH(("O"),(S12))))</formula>
    </cfRule>
    <cfRule type="containsText" dxfId="5077" priority="6016" operator="containsText" text="X">
      <formula>NOT(ISERROR(SEARCH(("X"),(S12))))</formula>
    </cfRule>
    <cfRule type="containsText" dxfId="5076" priority="6019" operator="containsText" text="C">
      <formula>NOT(ISERROR(SEARCH(("C"),(S12))))</formula>
    </cfRule>
    <cfRule type="containsText" dxfId="5075" priority="6020" operator="containsText" text="P">
      <formula>NOT(ISERROR(SEARCH(("P"),(S12))))</formula>
    </cfRule>
    <cfRule type="containsText" dxfId="5074" priority="6021" operator="containsText" text="K">
      <formula>NOT(ISERROR(SEARCH(("K"),(S12))))</formula>
    </cfRule>
  </conditionalFormatting>
  <conditionalFormatting sqref="S13">
    <cfRule type="containsText" dxfId="5073" priority="9828" operator="containsText" text="P">
      <formula>NOT(ISERROR(SEARCH(("P"),(S13))))</formula>
    </cfRule>
    <cfRule type="containsText" dxfId="5072" priority="9829" operator="containsText" text="K">
      <formula>NOT(ISERROR(SEARCH(("K"),(S13))))</formula>
    </cfRule>
    <cfRule type="containsText" dxfId="5071" priority="9830" operator="containsText" text="X">
      <formula>NOT(ISERROR(SEARCH(("X"),(S13))))</formula>
    </cfRule>
    <cfRule type="containsText" dxfId="5070" priority="9837" operator="containsText" text="L">
      <formula>NOT(ISERROR(SEARCH(("L"),(S13))))</formula>
    </cfRule>
    <cfRule type="containsText" dxfId="5069" priority="9825" operator="containsText" text="N">
      <formula>NOT(ISERROR(SEARCH(("N"),(S13))))</formula>
    </cfRule>
    <cfRule type="containsText" dxfId="5068" priority="9826" operator="containsText" text="O">
      <formula>NOT(ISERROR(SEARCH(("O"),(S13))))</formula>
    </cfRule>
    <cfRule type="containsText" dxfId="5067" priority="9827" operator="containsText" text="C">
      <formula>NOT(ISERROR(SEARCH(("C"),(S13))))</formula>
    </cfRule>
  </conditionalFormatting>
  <conditionalFormatting sqref="S14">
    <cfRule type="containsText" dxfId="5066" priority="7633" operator="containsText" text="X">
      <formula>NOT(ISERROR(SEARCH(("X"),(S14))))</formula>
    </cfRule>
    <cfRule type="containsText" dxfId="5065" priority="7635" operator="containsText" text="N">
      <formula>NOT(ISERROR(SEARCH(("N"),(S14))))</formula>
    </cfRule>
    <cfRule type="containsText" dxfId="5064" priority="7634" operator="containsText" text="L">
      <formula>NOT(ISERROR(SEARCH(("L"),(S14))))</formula>
    </cfRule>
    <cfRule type="containsText" dxfId="5063" priority="7624" operator="containsText" text="C">
      <formula>NOT(ISERROR(SEARCH(("C"),(S14))))</formula>
    </cfRule>
    <cfRule type="containsText" dxfId="5062" priority="7632" operator="containsText" text="K">
      <formula>NOT(ISERROR(SEARCH(("K"),(S14))))</formula>
    </cfRule>
    <cfRule type="containsText" dxfId="5061" priority="7631" operator="containsText" text="P">
      <formula>NOT(ISERROR(SEARCH(("P"),(S14))))</formula>
    </cfRule>
    <cfRule type="containsText" dxfId="5060" priority="7630" operator="containsText" text="C">
      <formula>NOT(ISERROR(SEARCH(("C"),(S14))))</formula>
    </cfRule>
    <cfRule type="containsText" dxfId="5059" priority="7629" operator="containsText" text="O">
      <formula>NOT(ISERROR(SEARCH(("O"),(S14))))</formula>
    </cfRule>
    <cfRule type="containsText" dxfId="5058" priority="7628" operator="containsText" text="L">
      <formula>NOT(ISERROR(SEARCH(("L"),(S14))))</formula>
    </cfRule>
    <cfRule type="containsText" dxfId="5057" priority="7627" operator="containsText" text="X">
      <formula>NOT(ISERROR(SEARCH(("X"),(S14))))</formula>
    </cfRule>
    <cfRule type="containsText" dxfId="5056" priority="7626" operator="containsText" text="K">
      <formula>NOT(ISERROR(SEARCH(("K"),(S14))))</formula>
    </cfRule>
    <cfRule type="containsText" dxfId="5055" priority="7623" operator="containsText" text="O">
      <formula>NOT(ISERROR(SEARCH(("O"),(S14))))</formula>
    </cfRule>
    <cfRule type="containsText" dxfId="5054" priority="7625" operator="containsText" text="P">
      <formula>NOT(ISERROR(SEARCH(("P"),(S14))))</formula>
    </cfRule>
  </conditionalFormatting>
  <conditionalFormatting sqref="S15">
    <cfRule type="containsText" dxfId="5053" priority="7433" operator="containsText" text="O">
      <formula>NOT(ISERROR(SEARCH(("O"),(S15))))</formula>
    </cfRule>
    <cfRule type="containsText" dxfId="5052" priority="7434" operator="containsText" text="C">
      <formula>NOT(ISERROR(SEARCH(("C"),(S15))))</formula>
    </cfRule>
    <cfRule type="containsText" dxfId="5051" priority="7435" operator="containsText" text="P">
      <formula>NOT(ISERROR(SEARCH(("P"),(S15))))</formula>
    </cfRule>
    <cfRule type="containsText" dxfId="5050" priority="7436" operator="containsText" text="K">
      <formula>NOT(ISERROR(SEARCH(("K"),(S15))))</formula>
    </cfRule>
    <cfRule type="containsText" dxfId="5049" priority="7437" operator="containsText" text="X">
      <formula>NOT(ISERROR(SEARCH(("X"),(S15))))</formula>
    </cfRule>
    <cfRule type="containsText" dxfId="5048" priority="7438" operator="containsText" text="L">
      <formula>NOT(ISERROR(SEARCH(("L"),(S15))))</formula>
    </cfRule>
    <cfRule type="containsText" dxfId="5047" priority="7439" operator="containsText" text="N">
      <formula>NOT(ISERROR(SEARCH(("N"),(S15))))</formula>
    </cfRule>
    <cfRule type="containsText" dxfId="5046" priority="7427" operator="containsText" text="O">
      <formula>NOT(ISERROR(SEARCH(("O"),(S15))))</formula>
    </cfRule>
    <cfRule type="containsText" dxfId="5045" priority="7428" operator="containsText" text="C">
      <formula>NOT(ISERROR(SEARCH(("C"),(S15))))</formula>
    </cfRule>
    <cfRule type="containsText" dxfId="5044" priority="7429" operator="containsText" text="P">
      <formula>NOT(ISERROR(SEARCH(("P"),(S15))))</formula>
    </cfRule>
    <cfRule type="containsText" dxfId="5043" priority="7430" operator="containsText" text="K">
      <formula>NOT(ISERROR(SEARCH(("K"),(S15))))</formula>
    </cfRule>
    <cfRule type="containsText" dxfId="5042" priority="7431" operator="containsText" text="X">
      <formula>NOT(ISERROR(SEARCH(("X"),(S15))))</formula>
    </cfRule>
    <cfRule type="containsText" dxfId="5041" priority="7432" operator="containsText" text="L">
      <formula>NOT(ISERROR(SEARCH(("L"),(S15))))</formula>
    </cfRule>
  </conditionalFormatting>
  <conditionalFormatting sqref="S16:S19 P17:T17">
    <cfRule type="containsText" dxfId="5040" priority="10599" operator="containsText" text="N">
      <formula>NOT(ISERROR(SEARCH(("N"),(P16))))</formula>
    </cfRule>
    <cfRule type="containsText" dxfId="5039" priority="10597" operator="containsText" text="X">
      <formula>NOT(ISERROR(SEARCH(("X"),(P16))))</formula>
    </cfRule>
    <cfRule type="containsText" dxfId="5038" priority="10598" operator="containsText" text="L">
      <formula>NOT(ISERROR(SEARCH(("L"),(P16))))</formula>
    </cfRule>
    <cfRule type="containsText" dxfId="5037" priority="10589" operator="containsText" text="P">
      <formula>NOT(ISERROR(SEARCH(("P"),(P16))))</formula>
    </cfRule>
    <cfRule type="containsText" dxfId="5036" priority="10588" operator="containsText" text="C">
      <formula>NOT(ISERROR(SEARCH(("C"),(P16))))</formula>
    </cfRule>
    <cfRule type="containsText" dxfId="5035" priority="10590" operator="containsText" text="K">
      <formula>NOT(ISERROR(SEARCH(("K"),(P16))))</formula>
    </cfRule>
    <cfRule type="containsText" dxfId="5034" priority="10591" operator="containsText" text="X">
      <formula>NOT(ISERROR(SEARCH(("X"),(P16))))</formula>
    </cfRule>
    <cfRule type="containsText" dxfId="5033" priority="10592" operator="containsText" text="L">
      <formula>NOT(ISERROR(SEARCH(("L"),(P16))))</formula>
    </cfRule>
    <cfRule type="containsText" dxfId="5032" priority="10593" operator="containsText" text="O">
      <formula>NOT(ISERROR(SEARCH(("O"),(P16))))</formula>
    </cfRule>
    <cfRule type="containsText" dxfId="5031" priority="10594" operator="containsText" text="C">
      <formula>NOT(ISERROR(SEARCH(("C"),(P16))))</formula>
    </cfRule>
    <cfRule type="containsText" dxfId="5030" priority="10595" operator="containsText" text="P">
      <formula>NOT(ISERROR(SEARCH(("P"),(P16))))</formula>
    </cfRule>
    <cfRule type="containsText" dxfId="5029" priority="10596" operator="containsText" text="K">
      <formula>NOT(ISERROR(SEARCH(("K"),(P16))))</formula>
    </cfRule>
  </conditionalFormatting>
  <conditionalFormatting sqref="S16:S19">
    <cfRule type="containsText" dxfId="5028" priority="10587" operator="containsText" text="O">
      <formula>NOT(ISERROR(SEARCH(("O"),(S16))))</formula>
    </cfRule>
  </conditionalFormatting>
  <conditionalFormatting sqref="S18">
    <cfRule type="containsText" dxfId="5027" priority="3466" operator="containsText" text="O">
      <formula>NOT(ISERROR(SEARCH(("O"),(S18))))</formula>
    </cfRule>
    <cfRule type="containsText" dxfId="5026" priority="3467" operator="containsText" text="C">
      <formula>NOT(ISERROR(SEARCH(("C"),(S18))))</formula>
    </cfRule>
    <cfRule type="containsText" dxfId="5025" priority="3469" operator="containsText" text="K">
      <formula>NOT(ISERROR(SEARCH(("K"),(S18))))</formula>
    </cfRule>
    <cfRule type="containsText" dxfId="5024" priority="3470" operator="containsText" text="X">
      <formula>NOT(ISERROR(SEARCH(("X"),(S18))))</formula>
    </cfRule>
    <cfRule type="containsText" dxfId="5023" priority="3471" operator="containsText" text="L">
      <formula>NOT(ISERROR(SEARCH(("L"),(S18))))</formula>
    </cfRule>
    <cfRule type="containsText" dxfId="5022" priority="3472" operator="containsText" text="O">
      <formula>NOT(ISERROR(SEARCH(("O"),(S18))))</formula>
    </cfRule>
    <cfRule type="containsText" dxfId="5021" priority="3473" operator="containsText" text="C">
      <formula>NOT(ISERROR(SEARCH(("C"),(S18))))</formula>
    </cfRule>
    <cfRule type="containsText" dxfId="5020" priority="3474" operator="containsText" text="P">
      <formula>NOT(ISERROR(SEARCH(("P"),(S18))))</formula>
    </cfRule>
    <cfRule type="containsText" dxfId="5019" priority="3475" operator="containsText" text="K">
      <formula>NOT(ISERROR(SEARCH(("K"),(S18))))</formula>
    </cfRule>
    <cfRule type="containsText" dxfId="5018" priority="3476" operator="containsText" text="X">
      <formula>NOT(ISERROR(SEARCH(("X"),(S18))))</formula>
    </cfRule>
    <cfRule type="containsText" dxfId="5017" priority="3477" operator="containsText" text="L">
      <formula>NOT(ISERROR(SEARCH(("L"),(S18))))</formula>
    </cfRule>
    <cfRule type="containsText" dxfId="5016" priority="3478" operator="containsText" text="N">
      <formula>NOT(ISERROR(SEARCH(("N"),(S18))))</formula>
    </cfRule>
    <cfRule type="containsText" dxfId="5015" priority="3468" operator="containsText" text="P">
      <formula>NOT(ISERROR(SEARCH(("P"),(S18))))</formula>
    </cfRule>
  </conditionalFormatting>
  <conditionalFormatting sqref="S19">
    <cfRule type="containsText" dxfId="5014" priority="3028" operator="containsText" text="L">
      <formula>NOT(ISERROR(SEARCH(("L"),(S19))))</formula>
    </cfRule>
    <cfRule type="containsText" dxfId="5013" priority="3022" operator="containsText" text="L">
      <formula>NOT(ISERROR(SEARCH(("L"),(S19))))</formula>
    </cfRule>
    <cfRule type="containsText" dxfId="5012" priority="3023" operator="containsText" text="O">
      <formula>NOT(ISERROR(SEARCH(("O"),(S19))))</formula>
    </cfRule>
    <cfRule type="containsText" dxfId="5011" priority="3024" operator="containsText" text="C">
      <formula>NOT(ISERROR(SEARCH(("C"),(S19))))</formula>
    </cfRule>
    <cfRule type="containsText" dxfId="5010" priority="3025" operator="containsText" text="P">
      <formula>NOT(ISERROR(SEARCH(("P"),(S19))))</formula>
    </cfRule>
    <cfRule type="containsText" dxfId="5009" priority="3026" operator="containsText" text="K">
      <formula>NOT(ISERROR(SEARCH(("K"),(S19))))</formula>
    </cfRule>
    <cfRule type="containsText" dxfId="5008" priority="3027" operator="containsText" text="X">
      <formula>NOT(ISERROR(SEARCH(("X"),(S19))))</formula>
    </cfRule>
    <cfRule type="containsText" dxfId="5007" priority="3029" operator="containsText" text="N">
      <formula>NOT(ISERROR(SEARCH(("N"),(S19))))</formula>
    </cfRule>
    <cfRule type="containsText" dxfId="5006" priority="3020" operator="containsText" text="K">
      <formula>NOT(ISERROR(SEARCH(("K"),(S19))))</formula>
    </cfRule>
    <cfRule type="containsText" dxfId="5005" priority="3017" operator="containsText" text="O">
      <formula>NOT(ISERROR(SEARCH(("O"),(S19))))</formula>
    </cfRule>
    <cfRule type="containsText" dxfId="5004" priority="3018" operator="containsText" text="C">
      <formula>NOT(ISERROR(SEARCH(("C"),(S19))))</formula>
    </cfRule>
    <cfRule type="containsText" dxfId="5003" priority="3019" operator="containsText" text="P">
      <formula>NOT(ISERROR(SEARCH(("P"),(S19))))</formula>
    </cfRule>
    <cfRule type="containsText" dxfId="5002" priority="3021" operator="containsText" text="X">
      <formula>NOT(ISERROR(SEARCH(("X"),(S19))))</formula>
    </cfRule>
  </conditionalFormatting>
  <conditionalFormatting sqref="S20">
    <cfRule type="containsText" dxfId="5001" priority="6871" operator="containsText" text="C">
      <formula>NOT(ISERROR(SEARCH(("C"),(S20))))</formula>
    </cfRule>
    <cfRule type="containsText" dxfId="5000" priority="6865" operator="containsText" text="C">
      <formula>NOT(ISERROR(SEARCH(("C"),(S20))))</formula>
    </cfRule>
    <cfRule type="containsText" dxfId="4999" priority="6869" operator="containsText" text="L">
      <formula>NOT(ISERROR(SEARCH(("L"),(S20))))</formula>
    </cfRule>
    <cfRule type="containsText" dxfId="4998" priority="6876" operator="containsText" text="N">
      <formula>NOT(ISERROR(SEARCH(("N"),(S20))))</formula>
    </cfRule>
    <cfRule type="containsText" dxfId="4997" priority="6873" operator="containsText" text="K">
      <formula>NOT(ISERROR(SEARCH(("K"),(S20))))</formula>
    </cfRule>
    <cfRule type="containsText" dxfId="4996" priority="6868" operator="containsText" text="X">
      <formula>NOT(ISERROR(SEARCH(("X"),(S20))))</formula>
    </cfRule>
    <cfRule type="containsText" dxfId="4995" priority="6875" operator="containsText" text="L">
      <formula>NOT(ISERROR(SEARCH(("L"),(S20))))</formula>
    </cfRule>
    <cfRule type="containsText" dxfId="4994" priority="6870" operator="containsText" text="O">
      <formula>NOT(ISERROR(SEARCH(("O"),(S20))))</formula>
    </cfRule>
    <cfRule type="containsText" dxfId="4993" priority="6867" operator="containsText" text="K">
      <formula>NOT(ISERROR(SEARCH(("K"),(S20))))</formula>
    </cfRule>
    <cfRule type="containsText" dxfId="4992" priority="6872" operator="containsText" text="P">
      <formula>NOT(ISERROR(SEARCH(("P"),(S20))))</formula>
    </cfRule>
    <cfRule type="containsText" dxfId="4991" priority="6874" operator="containsText" text="X">
      <formula>NOT(ISERROR(SEARCH(("X"),(S20))))</formula>
    </cfRule>
    <cfRule type="containsText" dxfId="4990" priority="6866" operator="containsText" text="P">
      <formula>NOT(ISERROR(SEARCH(("P"),(S20))))</formula>
    </cfRule>
    <cfRule type="containsText" dxfId="4989" priority="6864" operator="containsText" text="O">
      <formula>NOT(ISERROR(SEARCH(("O"),(S20))))</formula>
    </cfRule>
  </conditionalFormatting>
  <conditionalFormatting sqref="S21">
    <cfRule type="containsText" dxfId="4988" priority="6650" operator="containsText" text="X">
      <formula>NOT(ISERROR(SEARCH(("X"),(S21))))</formula>
    </cfRule>
    <cfRule type="containsText" dxfId="4987" priority="6651" operator="containsText" text="L">
      <formula>NOT(ISERROR(SEARCH(("L"),(S21))))</formula>
    </cfRule>
    <cfRule type="containsText" dxfId="4986" priority="6652" operator="containsText" text="O">
      <formula>NOT(ISERROR(SEARCH(("O"),(S21))))</formula>
    </cfRule>
    <cfRule type="containsText" dxfId="4985" priority="6653" operator="containsText" text="C">
      <formula>NOT(ISERROR(SEARCH(("C"),(S21))))</formula>
    </cfRule>
    <cfRule type="containsText" dxfId="4984" priority="6654" operator="containsText" text="P">
      <formula>NOT(ISERROR(SEARCH(("P"),(S21))))</formula>
    </cfRule>
    <cfRule type="containsText" dxfId="4983" priority="6655" operator="containsText" text="K">
      <formula>NOT(ISERROR(SEARCH(("K"),(S21))))</formula>
    </cfRule>
    <cfRule type="containsText" dxfId="4982" priority="6656" operator="containsText" text="X">
      <formula>NOT(ISERROR(SEARCH(("X"),(S21))))</formula>
    </cfRule>
    <cfRule type="containsText" dxfId="4981" priority="6657" operator="containsText" text="L">
      <formula>NOT(ISERROR(SEARCH(("L"),(S21))))</formula>
    </cfRule>
    <cfRule type="containsText" dxfId="4980" priority="6658" operator="containsText" text="N">
      <formula>NOT(ISERROR(SEARCH(("N"),(S21))))</formula>
    </cfRule>
    <cfRule type="containsText" dxfId="4979" priority="6646" operator="containsText" text="O">
      <formula>NOT(ISERROR(SEARCH(("O"),(S21))))</formula>
    </cfRule>
    <cfRule type="containsText" dxfId="4978" priority="6647" operator="containsText" text="C">
      <formula>NOT(ISERROR(SEARCH(("C"),(S21))))</formula>
    </cfRule>
    <cfRule type="containsText" dxfId="4977" priority="6648" operator="containsText" text="P">
      <formula>NOT(ISERROR(SEARCH(("P"),(S21))))</formula>
    </cfRule>
    <cfRule type="containsText" dxfId="4976" priority="6649" operator="containsText" text="K">
      <formula>NOT(ISERROR(SEARCH(("K"),(S21))))</formula>
    </cfRule>
  </conditionalFormatting>
  <conditionalFormatting sqref="S22">
    <cfRule type="containsText" dxfId="4975" priority="1850" operator="containsText" text="N">
      <formula>NOT(ISERROR(SEARCH(("N"),(S22))))</formula>
    </cfRule>
    <cfRule type="containsText" dxfId="4974" priority="1842" operator="containsText" text="X">
      <formula>NOT(ISERROR(SEARCH(("X"),(S22))))</formula>
    </cfRule>
    <cfRule type="containsText" dxfId="4973" priority="1840" operator="containsText" text="P">
      <formula>NOT(ISERROR(SEARCH(("P"),(S22))))</formula>
    </cfRule>
    <cfRule type="containsText" dxfId="4972" priority="1848" operator="containsText" text="X">
      <formula>NOT(ISERROR(SEARCH(("X"),(S22))))</formula>
    </cfRule>
    <cfRule type="containsText" dxfId="4971" priority="1849" operator="containsText" text="L">
      <formula>NOT(ISERROR(SEARCH(("L"),(S22))))</formula>
    </cfRule>
    <cfRule type="containsText" dxfId="4970" priority="1839" operator="containsText" text="C">
      <formula>NOT(ISERROR(SEARCH(("C"),(S22))))</formula>
    </cfRule>
    <cfRule type="containsText" dxfId="4969" priority="1838" operator="containsText" text="O">
      <formula>NOT(ISERROR(SEARCH(("O"),(S22))))</formula>
    </cfRule>
    <cfRule type="containsText" dxfId="4968" priority="1845" operator="containsText" text="C">
      <formula>NOT(ISERROR(SEARCH(("C"),(S22))))</formula>
    </cfRule>
    <cfRule type="containsText" dxfId="4967" priority="1844" operator="containsText" text="O">
      <formula>NOT(ISERROR(SEARCH(("O"),(S22))))</formula>
    </cfRule>
    <cfRule type="containsText" dxfId="4966" priority="1843" operator="containsText" text="L">
      <formula>NOT(ISERROR(SEARCH(("L"),(S22))))</formula>
    </cfRule>
    <cfRule type="containsText" dxfId="4965" priority="1841" operator="containsText" text="K">
      <formula>NOT(ISERROR(SEARCH(("K"),(S22))))</formula>
    </cfRule>
    <cfRule type="containsText" dxfId="4964" priority="1847" operator="containsText" text="K">
      <formula>NOT(ISERROR(SEARCH(("K"),(S22))))</formula>
    </cfRule>
    <cfRule type="containsText" dxfId="4963" priority="1846" operator="containsText" text="P">
      <formula>NOT(ISERROR(SEARCH(("P"),(S22))))</formula>
    </cfRule>
  </conditionalFormatting>
  <conditionalFormatting sqref="T13:U13">
    <cfRule type="containsText" dxfId="4962" priority="8169" operator="containsText" text="X">
      <formula>NOT(ISERROR(SEARCH(("X"),(T13))))</formula>
    </cfRule>
    <cfRule type="containsText" dxfId="4961" priority="8158" operator="containsText" text="N">
      <formula>NOT(ISERROR(SEARCH(("N"),(T13))))</formula>
    </cfRule>
    <cfRule type="containsText" dxfId="4960" priority="8163" operator="containsText" text="X">
      <formula>NOT(ISERROR(SEARCH(("X"),(T13))))</formula>
    </cfRule>
    <cfRule type="containsText" dxfId="4959" priority="8167" operator="containsText" text="P">
      <formula>NOT(ISERROR(SEARCH(("P"),(T13))))</formula>
    </cfRule>
    <cfRule type="containsText" dxfId="4958" priority="8159" operator="containsText" text="O">
      <formula>NOT(ISERROR(SEARCH(("O"),(T13))))</formula>
    </cfRule>
    <cfRule type="containsText" dxfId="4957" priority="8160" operator="containsText" text="C">
      <formula>NOT(ISERROR(SEARCH(("C"),(T13))))</formula>
    </cfRule>
    <cfRule type="containsText" dxfId="4956" priority="8161" operator="containsText" text="P">
      <formula>NOT(ISERROR(SEARCH(("P"),(T13))))</formula>
    </cfRule>
    <cfRule type="containsText" dxfId="4955" priority="8177" operator="containsText" text="L">
      <formula>NOT(ISERROR(SEARCH(("L"),(T13))))</formula>
    </cfRule>
    <cfRule type="containsText" dxfId="4954" priority="8166" operator="containsText" text="C">
      <formula>NOT(ISERROR(SEARCH(("C"),(T13))))</formula>
    </cfRule>
    <cfRule type="containsText" dxfId="4953" priority="8170" operator="containsText" text="L">
      <formula>NOT(ISERROR(SEARCH(("L"),(T13))))</formula>
    </cfRule>
    <cfRule type="containsText" dxfId="4952" priority="8162" operator="containsText" text="K">
      <formula>NOT(ISERROR(SEARCH(("K"),(T13))))</formula>
    </cfRule>
    <cfRule type="containsText" dxfId="4951" priority="8176" operator="containsText" text="X">
      <formula>NOT(ISERROR(SEARCH(("X"),(T13))))</formula>
    </cfRule>
    <cfRule type="containsText" dxfId="4950" priority="8175" operator="containsText" text="K">
      <formula>NOT(ISERROR(SEARCH(("K"),(T13))))</formula>
    </cfRule>
    <cfRule type="containsText" dxfId="4949" priority="8174" operator="containsText" text="P">
      <formula>NOT(ISERROR(SEARCH(("P"),(T13))))</formula>
    </cfRule>
    <cfRule type="containsText" dxfId="4948" priority="8173" operator="containsText" text="C">
      <formula>NOT(ISERROR(SEARCH(("C"),(T13))))</formula>
    </cfRule>
    <cfRule type="containsText" dxfId="4947" priority="8172" operator="containsText" text="O">
      <formula>NOT(ISERROR(SEARCH(("O"),(T13))))</formula>
    </cfRule>
    <cfRule type="containsText" dxfId="4946" priority="8171" operator="containsText" text="N">
      <formula>NOT(ISERROR(SEARCH(("N"),(T13))))</formula>
    </cfRule>
    <cfRule type="containsText" dxfId="4945" priority="8168" operator="containsText" text="K">
      <formula>NOT(ISERROR(SEARCH(("K"),(T13))))</formula>
    </cfRule>
    <cfRule type="containsText" dxfId="4944" priority="8164" operator="containsText" text="N">
      <formula>NOT(ISERROR(SEARCH(("N"),(T13))))</formula>
    </cfRule>
    <cfRule type="containsText" dxfId="4943" priority="8165" operator="containsText" text="O">
      <formula>NOT(ISERROR(SEARCH(("O"),(T13))))</formula>
    </cfRule>
  </conditionalFormatting>
  <conditionalFormatting sqref="T12:V13">
    <cfRule type="containsText" dxfId="4942" priority="8184" operator="containsText" text="L">
      <formula>NOT(ISERROR(SEARCH(("L"),(T12))))</formula>
    </cfRule>
    <cfRule type="containsText" dxfId="4941" priority="8183" operator="containsText" text="X">
      <formula>NOT(ISERROR(SEARCH(("X"),(T12))))</formula>
    </cfRule>
    <cfRule type="containsText" dxfId="4940" priority="8179" operator="containsText" text="O">
      <formula>NOT(ISERROR(SEARCH(("O"),(T12))))</formula>
    </cfRule>
    <cfRule type="containsText" dxfId="4939" priority="8181" operator="containsText" text="P">
      <formula>NOT(ISERROR(SEARCH(("P"),(T12))))</formula>
    </cfRule>
    <cfRule type="containsText" dxfId="4938" priority="8182" operator="containsText" text="K">
      <formula>NOT(ISERROR(SEARCH(("K"),(T12))))</formula>
    </cfRule>
    <cfRule type="containsText" dxfId="4937" priority="8180" operator="containsText" text="C">
      <formula>NOT(ISERROR(SEARCH(("C"),(T12))))</formula>
    </cfRule>
  </conditionalFormatting>
  <conditionalFormatting sqref="T13:W13">
    <cfRule type="containsText" dxfId="4936" priority="8178" operator="containsText" text="N">
      <formula>NOT(ISERROR(SEARCH(("N"),(T13))))</formula>
    </cfRule>
  </conditionalFormatting>
  <conditionalFormatting sqref="T14:AC14">
    <cfRule type="containsText" dxfId="4935" priority="7595" operator="containsText" text="N">
      <formula>NOT(ISERROR(SEARCH(("N"),(T14))))</formula>
    </cfRule>
    <cfRule type="containsText" dxfId="4934" priority="7596" operator="containsText" text="O">
      <formula>NOT(ISERROR(SEARCH(("O"),(T14))))</formula>
    </cfRule>
    <cfRule type="containsText" dxfId="4933" priority="7597" operator="containsText" text="C">
      <formula>NOT(ISERROR(SEARCH(("C"),(T14))))</formula>
    </cfRule>
    <cfRule type="containsText" dxfId="4932" priority="7601" operator="containsText" text="L">
      <formula>NOT(ISERROR(SEARCH(("L"),(T14))))</formula>
    </cfRule>
    <cfRule type="containsText" dxfId="4931" priority="7598" operator="containsText" text="P">
      <formula>NOT(ISERROR(SEARCH(("P"),(T14))))</formula>
    </cfRule>
    <cfRule type="containsText" dxfId="4930" priority="7599" operator="containsText" text="K">
      <formula>NOT(ISERROR(SEARCH(("K"),(T14))))</formula>
    </cfRule>
    <cfRule type="containsText" dxfId="4929" priority="7600" operator="containsText" text="X">
      <formula>NOT(ISERROR(SEARCH(("X"),(T14))))</formula>
    </cfRule>
  </conditionalFormatting>
  <conditionalFormatting sqref="T15:AC15">
    <cfRule type="containsText" dxfId="4928" priority="7403" operator="containsText" text="K">
      <formula>NOT(ISERROR(SEARCH(("K"),(T15))))</formula>
    </cfRule>
    <cfRule type="containsText" dxfId="4927" priority="7402" operator="containsText" text="P">
      <formula>NOT(ISERROR(SEARCH(("P"),(T15))))</formula>
    </cfRule>
    <cfRule type="containsText" dxfId="4926" priority="7401" operator="containsText" text="C">
      <formula>NOT(ISERROR(SEARCH(("C"),(T15))))</formula>
    </cfRule>
    <cfRule type="containsText" dxfId="4925" priority="7400" operator="containsText" text="O">
      <formula>NOT(ISERROR(SEARCH(("O"),(T15))))</formula>
    </cfRule>
    <cfRule type="containsText" dxfId="4924" priority="7405" operator="containsText" text="L">
      <formula>NOT(ISERROR(SEARCH(("L"),(T15))))</formula>
    </cfRule>
    <cfRule type="containsText" dxfId="4923" priority="7399" operator="containsText" text="N">
      <formula>NOT(ISERROR(SEARCH(("N"),(T15))))</formula>
    </cfRule>
    <cfRule type="containsText" dxfId="4922" priority="7404" operator="containsText" text="X">
      <formula>NOT(ISERROR(SEARCH(("X"),(T15))))</formula>
    </cfRule>
  </conditionalFormatting>
  <conditionalFormatting sqref="T16:AC16">
    <cfRule type="containsText" dxfId="4921" priority="7068" operator="containsText" text="N">
      <formula>NOT(ISERROR(SEARCH(("N"),(T16))))</formula>
    </cfRule>
    <cfRule type="containsText" dxfId="4920" priority="7069" operator="containsText" text="O">
      <formula>NOT(ISERROR(SEARCH(("O"),(T16))))</formula>
    </cfRule>
    <cfRule type="containsText" dxfId="4919" priority="7074" operator="containsText" text="L">
      <formula>NOT(ISERROR(SEARCH(("L"),(T16))))</formula>
    </cfRule>
    <cfRule type="containsText" dxfId="4918" priority="7070" operator="containsText" text="C">
      <formula>NOT(ISERROR(SEARCH(("C"),(T16))))</formula>
    </cfRule>
    <cfRule type="containsText" dxfId="4917" priority="7071" operator="containsText" text="P">
      <formula>NOT(ISERROR(SEARCH(("P"),(T16))))</formula>
    </cfRule>
    <cfRule type="containsText" dxfId="4916" priority="7072" operator="containsText" text="K">
      <formula>NOT(ISERROR(SEARCH(("K"),(T16))))</formula>
    </cfRule>
    <cfRule type="containsText" dxfId="4915" priority="7073" operator="containsText" text="X">
      <formula>NOT(ISERROR(SEARCH(("X"),(T16))))</formula>
    </cfRule>
  </conditionalFormatting>
  <conditionalFormatting sqref="T17:AC17">
    <cfRule type="containsText" dxfId="4914" priority="7222" operator="containsText" text="L">
      <formula>NOT(ISERROR(SEARCH(("L"),(T17))))</formula>
    </cfRule>
    <cfRule type="containsText" dxfId="4913" priority="7221" operator="containsText" text="X">
      <formula>NOT(ISERROR(SEARCH(("X"),(T17))))</formula>
    </cfRule>
    <cfRule type="containsText" dxfId="4912" priority="7216" operator="containsText" text="N">
      <formula>NOT(ISERROR(SEARCH(("N"),(T17))))</formula>
    </cfRule>
    <cfRule type="containsText" dxfId="4911" priority="7220" operator="containsText" text="K">
      <formula>NOT(ISERROR(SEARCH(("K"),(T17))))</formula>
    </cfRule>
    <cfRule type="containsText" dxfId="4910" priority="7219" operator="containsText" text="P">
      <formula>NOT(ISERROR(SEARCH(("P"),(T17))))</formula>
    </cfRule>
    <cfRule type="containsText" dxfId="4909" priority="7218" operator="containsText" text="C">
      <formula>NOT(ISERROR(SEARCH(("C"),(T17))))</formula>
    </cfRule>
    <cfRule type="containsText" dxfId="4908" priority="7217" operator="containsText" text="O">
      <formula>NOT(ISERROR(SEARCH(("O"),(T17))))</formula>
    </cfRule>
  </conditionalFormatting>
  <conditionalFormatting sqref="T18:AC18">
    <cfRule type="containsText" dxfId="4907" priority="3442" operator="containsText" text="P">
      <formula>NOT(ISERROR(SEARCH(("P"),(T18))))</formula>
    </cfRule>
    <cfRule type="containsText" dxfId="4906" priority="3441" operator="containsText" text="C">
      <formula>NOT(ISERROR(SEARCH(("C"),(T18))))</formula>
    </cfRule>
    <cfRule type="containsText" dxfId="4905" priority="3440" operator="containsText" text="O">
      <formula>NOT(ISERROR(SEARCH(("O"),(T18))))</formula>
    </cfRule>
    <cfRule type="containsText" dxfId="4904" priority="3439" operator="containsText" text="N">
      <formula>NOT(ISERROR(SEARCH(("N"),(T18))))</formula>
    </cfRule>
    <cfRule type="containsText" dxfId="4903" priority="3445" operator="containsText" text="L">
      <formula>NOT(ISERROR(SEARCH(("L"),(T18))))</formula>
    </cfRule>
    <cfRule type="containsText" dxfId="4902" priority="3444" operator="containsText" text="X">
      <formula>NOT(ISERROR(SEARCH(("X"),(T18))))</formula>
    </cfRule>
    <cfRule type="containsText" dxfId="4901" priority="3443" operator="containsText" text="K">
      <formula>NOT(ISERROR(SEARCH(("K"),(T18))))</formula>
    </cfRule>
  </conditionalFormatting>
  <conditionalFormatting sqref="T18:AC19">
    <cfRule type="containsText" dxfId="4900" priority="8263" operator="containsText" text="N">
      <formula>NOT(ISERROR(SEARCH(("N"),(T18))))</formula>
    </cfRule>
    <cfRule type="containsText" dxfId="4899" priority="8269" operator="containsText" text="L">
      <formula>NOT(ISERROR(SEARCH(("L"),(T18))))</formula>
    </cfRule>
    <cfRule type="containsText" dxfId="4898" priority="8268" operator="containsText" text="X">
      <formula>NOT(ISERROR(SEARCH(("X"),(T18))))</formula>
    </cfRule>
    <cfRule type="containsText" dxfId="4897" priority="8267" operator="containsText" text="K">
      <formula>NOT(ISERROR(SEARCH(("K"),(T18))))</formula>
    </cfRule>
    <cfRule type="containsText" dxfId="4896" priority="8266" operator="containsText" text="P">
      <formula>NOT(ISERROR(SEARCH(("P"),(T18))))</formula>
    </cfRule>
    <cfRule type="containsText" dxfId="4895" priority="8264" operator="containsText" text="O">
      <formula>NOT(ISERROR(SEARCH(("O"),(T18))))</formula>
    </cfRule>
    <cfRule type="containsText" dxfId="4894" priority="8265" operator="containsText" text="C">
      <formula>NOT(ISERROR(SEARCH(("C"),(T18))))</formula>
    </cfRule>
  </conditionalFormatting>
  <conditionalFormatting sqref="T19:AC19">
    <cfRule type="containsText" dxfId="4893" priority="2996" operator="containsText" text="L">
      <formula>NOT(ISERROR(SEARCH(("L"),(T19))))</formula>
    </cfRule>
    <cfRule type="containsText" dxfId="4892" priority="2990" operator="containsText" text="N">
      <formula>NOT(ISERROR(SEARCH(("N"),(T19))))</formula>
    </cfRule>
    <cfRule type="containsText" dxfId="4891" priority="2992" operator="containsText" text="C">
      <formula>NOT(ISERROR(SEARCH(("C"),(T19))))</formula>
    </cfRule>
    <cfRule type="containsText" dxfId="4890" priority="2993" operator="containsText" text="P">
      <formula>NOT(ISERROR(SEARCH(("P"),(T19))))</formula>
    </cfRule>
    <cfRule type="containsText" dxfId="4889" priority="2994" operator="containsText" text="K">
      <formula>NOT(ISERROR(SEARCH(("K"),(T19))))</formula>
    </cfRule>
    <cfRule type="containsText" dxfId="4888" priority="2995" operator="containsText" text="X">
      <formula>NOT(ISERROR(SEARCH(("X"),(T19))))</formula>
    </cfRule>
    <cfRule type="containsText" dxfId="4887" priority="2991" operator="containsText" text="O">
      <formula>NOT(ISERROR(SEARCH(("O"),(T19))))</formula>
    </cfRule>
  </conditionalFormatting>
  <conditionalFormatting sqref="T20:AC20">
    <cfRule type="containsText" dxfId="4886" priority="6836" operator="containsText" text="N">
      <formula>NOT(ISERROR(SEARCH(("N"),(T20))))</formula>
    </cfRule>
    <cfRule type="containsText" dxfId="4885" priority="6838" operator="containsText" text="C">
      <formula>NOT(ISERROR(SEARCH(("C"),(T20))))</formula>
    </cfRule>
    <cfRule type="containsText" dxfId="4884" priority="6839" operator="containsText" text="P">
      <formula>NOT(ISERROR(SEARCH(("P"),(T20))))</formula>
    </cfRule>
    <cfRule type="containsText" dxfId="4883" priority="6840" operator="containsText" text="K">
      <formula>NOT(ISERROR(SEARCH(("K"),(T20))))</formula>
    </cfRule>
    <cfRule type="containsText" dxfId="4882" priority="6842" operator="containsText" text="L">
      <formula>NOT(ISERROR(SEARCH(("L"),(T20))))</formula>
    </cfRule>
    <cfRule type="containsText" dxfId="4881" priority="6837" operator="containsText" text="O">
      <formula>NOT(ISERROR(SEARCH(("O"),(T20))))</formula>
    </cfRule>
    <cfRule type="containsText" dxfId="4880" priority="6841" operator="containsText" text="X">
      <formula>NOT(ISERROR(SEARCH(("X"),(T20))))</formula>
    </cfRule>
  </conditionalFormatting>
  <conditionalFormatting sqref="T22:AC22">
    <cfRule type="containsText" dxfId="4879" priority="1818" operator="containsText" text="N">
      <formula>NOT(ISERROR(SEARCH(("N"),(T22))))</formula>
    </cfRule>
    <cfRule type="containsText" dxfId="4878" priority="1819" operator="containsText" text="O">
      <formula>NOT(ISERROR(SEARCH(("O"),(T22))))</formula>
    </cfRule>
    <cfRule type="containsText" dxfId="4877" priority="1820" operator="containsText" text="C">
      <formula>NOT(ISERROR(SEARCH(("C"),(T22))))</formula>
    </cfRule>
    <cfRule type="containsText" dxfId="4876" priority="1824" operator="containsText" text="L">
      <formula>NOT(ISERROR(SEARCH(("L"),(T22))))</formula>
    </cfRule>
    <cfRule type="containsText" dxfId="4875" priority="1822" operator="containsText" text="K">
      <formula>NOT(ISERROR(SEARCH(("K"),(T22))))</formula>
    </cfRule>
    <cfRule type="containsText" dxfId="4874" priority="1821" operator="containsText" text="P">
      <formula>NOT(ISERROR(SEARCH(("P"),(T22))))</formula>
    </cfRule>
    <cfRule type="containsText" dxfId="4873" priority="1823" operator="containsText" text="X">
      <formula>NOT(ISERROR(SEARCH(("X"),(T22))))</formula>
    </cfRule>
  </conditionalFormatting>
  <conditionalFormatting sqref="T12:AD12">
    <cfRule type="containsText" dxfId="4872" priority="5988" operator="containsText" text="K">
      <formula>NOT(ISERROR(SEARCH(("K"),(T12))))</formula>
    </cfRule>
    <cfRule type="containsText" dxfId="4871" priority="5989" operator="containsText" text="X">
      <formula>NOT(ISERROR(SEARCH(("X"),(T12))))</formula>
    </cfRule>
    <cfRule type="containsText" dxfId="4870" priority="5990" operator="containsText" text="L">
      <formula>NOT(ISERROR(SEARCH(("L"),(T12))))</formula>
    </cfRule>
    <cfRule type="containsText" dxfId="4869" priority="5985" operator="containsText" text="O">
      <formula>NOT(ISERROR(SEARCH(("O"),(T12))))</formula>
    </cfRule>
    <cfRule type="containsText" dxfId="4868" priority="5986" operator="containsText" text="C">
      <formula>NOT(ISERROR(SEARCH(("C"),(T12))))</formula>
    </cfRule>
    <cfRule type="containsText" dxfId="4867" priority="5987" operator="containsText" text="P">
      <formula>NOT(ISERROR(SEARCH(("P"),(T12))))</formula>
    </cfRule>
    <cfRule type="containsText" dxfId="4866" priority="5984" operator="containsText" text="N">
      <formula>NOT(ISERROR(SEARCH(("N"),(T12))))</formula>
    </cfRule>
  </conditionalFormatting>
  <conditionalFormatting sqref="T21:AE21">
    <cfRule type="containsText" dxfId="4865" priority="6621" operator="containsText" text="P">
      <formula>NOT(ISERROR(SEARCH(("P"),(T21))))</formula>
    </cfRule>
    <cfRule type="containsText" dxfId="4864" priority="6624" operator="containsText" text="L">
      <formula>NOT(ISERROR(SEARCH(("L"),(T21))))</formula>
    </cfRule>
    <cfRule type="containsText" dxfId="4863" priority="6623" operator="containsText" text="X">
      <formula>NOT(ISERROR(SEARCH(("X"),(T21))))</formula>
    </cfRule>
    <cfRule type="containsText" dxfId="4862" priority="6622" operator="containsText" text="K">
      <formula>NOT(ISERROR(SEARCH(("K"),(T21))))</formula>
    </cfRule>
    <cfRule type="containsText" dxfId="4861" priority="6618" operator="containsText" text="N">
      <formula>NOT(ISERROR(SEARCH(("N"),(T21))))</formula>
    </cfRule>
    <cfRule type="containsText" dxfId="4860" priority="6619" operator="containsText" text="O">
      <formula>NOT(ISERROR(SEARCH(("O"),(T21))))</formula>
    </cfRule>
    <cfRule type="containsText" dxfId="4859" priority="6620" operator="containsText" text="C">
      <formula>NOT(ISERROR(SEARCH(("C"),(T21))))</formula>
    </cfRule>
  </conditionalFormatting>
  <conditionalFormatting sqref="U11">
    <cfRule type="containsText" dxfId="4858" priority="9416" operator="containsText" text="K">
      <formula>NOT(ISERROR(SEARCH(("K"),(U11))))</formula>
    </cfRule>
    <cfRule type="containsText" dxfId="4857" priority="9414" operator="containsText" text="C">
      <formula>NOT(ISERROR(SEARCH(("C"),(U11))))</formula>
    </cfRule>
    <cfRule type="containsText" dxfId="4856" priority="9413" operator="containsText" text="O">
      <formula>NOT(ISERROR(SEARCH(("O"),(U11))))</formula>
    </cfRule>
    <cfRule type="containsText" dxfId="4855" priority="9415" operator="containsText" text="P">
      <formula>NOT(ISERROR(SEARCH(("P"),(U11))))</formula>
    </cfRule>
    <cfRule type="containsText" dxfId="4854" priority="9425" operator="containsText" text="L">
      <formula>NOT(ISERROR(SEARCH(("L"),(U11))))</formula>
    </cfRule>
    <cfRule type="containsText" dxfId="4853" priority="9424" operator="containsText" text="X">
      <formula>NOT(ISERROR(SEARCH(("X"),(U11))))</formula>
    </cfRule>
    <cfRule type="containsText" dxfId="4852" priority="9423" operator="containsText" text="K">
      <formula>NOT(ISERROR(SEARCH(("K"),(U11))))</formula>
    </cfRule>
    <cfRule type="containsText" dxfId="4851" priority="9422" operator="containsText" text="P">
      <formula>NOT(ISERROR(SEARCH(("P"),(U11))))</formula>
    </cfRule>
    <cfRule type="containsText" dxfId="4850" priority="9421" operator="containsText" text="C">
      <formula>NOT(ISERROR(SEARCH(("C"),(U11))))</formula>
    </cfRule>
    <cfRule type="containsText" dxfId="4849" priority="9420" operator="containsText" text="O">
      <formula>NOT(ISERROR(SEARCH(("O"),(U11))))</formula>
    </cfRule>
    <cfRule type="containsText" dxfId="4848" priority="9419" operator="containsText" text="N">
      <formula>NOT(ISERROR(SEARCH(("N"),(U11))))</formula>
    </cfRule>
    <cfRule type="containsText" dxfId="4847" priority="9418" operator="containsText" text="L">
      <formula>NOT(ISERROR(SEARCH(("L"),(U11))))</formula>
    </cfRule>
    <cfRule type="containsText" dxfId="4846" priority="9417" operator="containsText" text="X">
      <formula>NOT(ISERROR(SEARCH(("X"),(U11))))</formula>
    </cfRule>
  </conditionalFormatting>
  <conditionalFormatting sqref="U12">
    <cfRule type="containsText" dxfId="4845" priority="5920" operator="containsText" text="O">
      <formula>NOT(ISERROR(SEARCH(("O"),(U12))))</formula>
    </cfRule>
    <cfRule type="containsText" dxfId="4844" priority="5919" operator="containsText" text="N">
      <formula>NOT(ISERROR(SEARCH(("N"),(U12))))</formula>
    </cfRule>
    <cfRule type="containsText" dxfId="4843" priority="5922" operator="containsText" text="P">
      <formula>NOT(ISERROR(SEARCH(("P"),(U12))))</formula>
    </cfRule>
    <cfRule type="containsText" dxfId="4842" priority="5923" operator="containsText" text="K">
      <formula>NOT(ISERROR(SEARCH(("K"),(U12))))</formula>
    </cfRule>
    <cfRule type="containsText" dxfId="4841" priority="5931" operator="containsText" text="X">
      <formula>NOT(ISERROR(SEARCH(("X"),(U12))))</formula>
    </cfRule>
    <cfRule type="containsText" dxfId="4840" priority="5926" operator="containsText" text="N">
      <formula>NOT(ISERROR(SEARCH(("N"),(U12))))</formula>
    </cfRule>
    <cfRule type="containsText" dxfId="4839" priority="5927" operator="containsText" text="O">
      <formula>NOT(ISERROR(SEARCH(("O"),(U12))))</formula>
    </cfRule>
    <cfRule type="containsText" dxfId="4838" priority="5928" operator="containsText" text="C">
      <formula>NOT(ISERROR(SEARCH(("C"),(U12))))</formula>
    </cfRule>
    <cfRule type="containsText" dxfId="4837" priority="5925" operator="containsText" text="L">
      <formula>NOT(ISERROR(SEARCH(("L"),(U12))))</formula>
    </cfRule>
    <cfRule type="containsText" dxfId="4836" priority="5929" operator="containsText" text="P">
      <formula>NOT(ISERROR(SEARCH(("P"),(U12))))</formula>
    </cfRule>
    <cfRule type="containsText" dxfId="4835" priority="5932" operator="containsText" text="L">
      <formula>NOT(ISERROR(SEARCH(("L"),(U12))))</formula>
    </cfRule>
    <cfRule type="containsText" dxfId="4834" priority="5921" operator="containsText" text="C">
      <formula>NOT(ISERROR(SEARCH(("C"),(U12))))</formula>
    </cfRule>
    <cfRule type="containsText" dxfId="4833" priority="5930" operator="containsText" text="K">
      <formula>NOT(ISERROR(SEARCH(("K"),(U12))))</formula>
    </cfRule>
    <cfRule type="containsText" dxfId="4832" priority="5924" operator="containsText" text="X">
      <formula>NOT(ISERROR(SEARCH(("X"),(U12))))</formula>
    </cfRule>
  </conditionalFormatting>
  <conditionalFormatting sqref="U14">
    <cfRule type="containsText" dxfId="4831" priority="7537" operator="containsText" text="N">
      <formula>NOT(ISERROR(SEARCH(("N"),(U14))))</formula>
    </cfRule>
    <cfRule type="containsText" dxfId="4830" priority="7543" operator="containsText" text="L">
      <formula>NOT(ISERROR(SEARCH(("L"),(U14))))</formula>
    </cfRule>
    <cfRule type="containsText" dxfId="4829" priority="7542" operator="containsText" text="X">
      <formula>NOT(ISERROR(SEARCH(("X"),(U14))))</formula>
    </cfRule>
    <cfRule type="containsText" dxfId="4828" priority="7541" operator="containsText" text="K">
      <formula>NOT(ISERROR(SEARCH(("K"),(U14))))</formula>
    </cfRule>
    <cfRule type="containsText" dxfId="4827" priority="7540" operator="containsText" text="P">
      <formula>NOT(ISERROR(SEARCH(("P"),(U14))))</formula>
    </cfRule>
    <cfRule type="containsText" dxfId="4826" priority="7539" operator="containsText" text="C">
      <formula>NOT(ISERROR(SEARCH(("C"),(U14))))</formula>
    </cfRule>
    <cfRule type="containsText" dxfId="4825" priority="7538" operator="containsText" text="O">
      <formula>NOT(ISERROR(SEARCH(("O"),(U14))))</formula>
    </cfRule>
  </conditionalFormatting>
  <conditionalFormatting sqref="U14:U19">
    <cfRule type="containsText" dxfId="4824" priority="7341" operator="containsText" text="N">
      <formula>NOT(ISERROR(SEARCH(("N"),(U14))))</formula>
    </cfRule>
    <cfRule type="containsText" dxfId="4823" priority="7342" operator="containsText" text="O">
      <formula>NOT(ISERROR(SEARCH(("O"),(U14))))</formula>
    </cfRule>
    <cfRule type="containsText" dxfId="4822" priority="7343" operator="containsText" text="C">
      <formula>NOT(ISERROR(SEARCH(("C"),(U14))))</formula>
    </cfRule>
    <cfRule type="containsText" dxfId="4821" priority="7344" operator="containsText" text="P">
      <formula>NOT(ISERROR(SEARCH(("P"),(U14))))</formula>
    </cfRule>
    <cfRule type="containsText" dxfId="4820" priority="7346" operator="containsText" text="X">
      <formula>NOT(ISERROR(SEARCH(("X"),(U14))))</formula>
    </cfRule>
    <cfRule type="containsText" dxfId="4819" priority="7347" operator="containsText" text="L">
      <formula>NOT(ISERROR(SEARCH(("L"),(U14))))</formula>
    </cfRule>
    <cfRule type="containsText" dxfId="4818" priority="7345" operator="containsText" text="K">
      <formula>NOT(ISERROR(SEARCH(("K"),(U14))))</formula>
    </cfRule>
  </conditionalFormatting>
  <conditionalFormatting sqref="U15">
    <cfRule type="containsText" dxfId="4817" priority="7336" operator="containsText" text="C">
      <formula>NOT(ISERROR(SEARCH(("C"),(U15))))</formula>
    </cfRule>
    <cfRule type="containsText" dxfId="4816" priority="7340" operator="containsText" text="L">
      <formula>NOT(ISERROR(SEARCH(("L"),(U15))))</formula>
    </cfRule>
    <cfRule type="containsText" dxfId="4815" priority="7335" operator="containsText" text="O">
      <formula>NOT(ISERROR(SEARCH(("O"),(U15))))</formula>
    </cfRule>
    <cfRule type="containsText" dxfId="4814" priority="7339" operator="containsText" text="X">
      <formula>NOT(ISERROR(SEARCH(("X"),(U15))))</formula>
    </cfRule>
    <cfRule type="containsText" dxfId="4813" priority="7338" operator="containsText" text="K">
      <formula>NOT(ISERROR(SEARCH(("K"),(U15))))</formula>
    </cfRule>
    <cfRule type="containsText" dxfId="4812" priority="7334" operator="containsText" text="N">
      <formula>NOT(ISERROR(SEARCH(("N"),(U15))))</formula>
    </cfRule>
    <cfRule type="containsText" dxfId="4811" priority="7337" operator="containsText" text="P">
      <formula>NOT(ISERROR(SEARCH(("P"),(U15))))</formula>
    </cfRule>
  </conditionalFormatting>
  <conditionalFormatting sqref="U16:U19">
    <cfRule type="containsText" dxfId="4810" priority="7734" operator="containsText" text="O">
      <formula>NOT(ISERROR(SEARCH(("O"),(U16))))</formula>
    </cfRule>
    <cfRule type="containsText" dxfId="4809" priority="7733" operator="containsText" text="N">
      <formula>NOT(ISERROR(SEARCH(("N"),(U16))))</formula>
    </cfRule>
    <cfRule type="containsText" dxfId="4808" priority="7739" operator="containsText" text="L">
      <formula>NOT(ISERROR(SEARCH(("L"),(U16))))</formula>
    </cfRule>
    <cfRule type="containsText" dxfId="4807" priority="7738" operator="containsText" text="X">
      <formula>NOT(ISERROR(SEARCH(("X"),(U16))))</formula>
    </cfRule>
    <cfRule type="containsText" dxfId="4806" priority="7737" operator="containsText" text="K">
      <formula>NOT(ISERROR(SEARCH(("K"),(U16))))</formula>
    </cfRule>
    <cfRule type="containsText" dxfId="4805" priority="7736" operator="containsText" text="P">
      <formula>NOT(ISERROR(SEARCH(("P"),(U16))))</formula>
    </cfRule>
    <cfRule type="containsText" dxfId="4804" priority="7735" operator="containsText" text="C">
      <formula>NOT(ISERROR(SEARCH(("C"),(U16))))</formula>
    </cfRule>
  </conditionalFormatting>
  <conditionalFormatting sqref="U18">
    <cfRule type="containsText" dxfId="4803" priority="3396" operator="containsText" text="O">
      <formula>NOT(ISERROR(SEARCH(("O"),(U18))))</formula>
    </cfRule>
    <cfRule type="containsText" dxfId="4802" priority="3395" operator="containsText" text="N">
      <formula>NOT(ISERROR(SEARCH(("N"),(U18))))</formula>
    </cfRule>
    <cfRule type="containsText" dxfId="4801" priority="3397" operator="containsText" text="C">
      <formula>NOT(ISERROR(SEARCH(("C"),(U18))))</formula>
    </cfRule>
    <cfRule type="containsText" dxfId="4800" priority="3398" operator="containsText" text="P">
      <formula>NOT(ISERROR(SEARCH(("P"),(U18))))</formula>
    </cfRule>
    <cfRule type="containsText" dxfId="4799" priority="3399" operator="containsText" text="K">
      <formula>NOT(ISERROR(SEARCH(("K"),(U18))))</formula>
    </cfRule>
    <cfRule type="containsText" dxfId="4798" priority="3400" operator="containsText" text="X">
      <formula>NOT(ISERROR(SEARCH(("X"),(U18))))</formula>
    </cfRule>
    <cfRule type="containsText" dxfId="4797" priority="3401" operator="containsText" text="L">
      <formula>NOT(ISERROR(SEARCH(("L"),(U18))))</formula>
    </cfRule>
  </conditionalFormatting>
  <conditionalFormatting sqref="U19">
    <cfRule type="containsText" dxfId="4796" priority="2946" operator="containsText" text="N">
      <formula>NOT(ISERROR(SEARCH(("N"),(U19))))</formula>
    </cfRule>
    <cfRule type="containsText" dxfId="4795" priority="2947" operator="containsText" text="O">
      <formula>NOT(ISERROR(SEARCH(("O"),(U19))))</formula>
    </cfRule>
    <cfRule type="containsText" dxfId="4794" priority="2948" operator="containsText" text="C">
      <formula>NOT(ISERROR(SEARCH(("C"),(U19))))</formula>
    </cfRule>
    <cfRule type="containsText" dxfId="4793" priority="2950" operator="containsText" text="K">
      <formula>NOT(ISERROR(SEARCH(("K"),(U19))))</formula>
    </cfRule>
    <cfRule type="containsText" dxfId="4792" priority="2951" operator="containsText" text="X">
      <formula>NOT(ISERROR(SEARCH(("X"),(U19))))</formula>
    </cfRule>
    <cfRule type="containsText" dxfId="4791" priority="2952" operator="containsText" text="L">
      <formula>NOT(ISERROR(SEARCH(("L"),(U19))))</formula>
    </cfRule>
    <cfRule type="containsText" dxfId="4790" priority="2949" operator="containsText" text="P">
      <formula>NOT(ISERROR(SEARCH(("P"),(U19))))</formula>
    </cfRule>
  </conditionalFormatting>
  <conditionalFormatting sqref="U20">
    <cfRule type="containsText" dxfId="4789" priority="6779" operator="containsText" text="O">
      <formula>NOT(ISERROR(SEARCH(("O"),(U20))))</formula>
    </cfRule>
    <cfRule type="containsText" dxfId="4788" priority="6780" operator="containsText" text="C">
      <formula>NOT(ISERROR(SEARCH(("C"),(U20))))</formula>
    </cfRule>
    <cfRule type="containsText" dxfId="4787" priority="6781" operator="containsText" text="P">
      <formula>NOT(ISERROR(SEARCH(("P"),(U20))))</formula>
    </cfRule>
    <cfRule type="containsText" dxfId="4786" priority="6782" operator="containsText" text="K">
      <formula>NOT(ISERROR(SEARCH(("K"),(U20))))</formula>
    </cfRule>
    <cfRule type="containsText" dxfId="4785" priority="6784" operator="containsText" text="L">
      <formula>NOT(ISERROR(SEARCH(("L"),(U20))))</formula>
    </cfRule>
    <cfRule type="containsText" dxfId="4784" priority="6783" operator="containsText" text="X">
      <formula>NOT(ISERROR(SEARCH(("X"),(U20))))</formula>
    </cfRule>
    <cfRule type="containsText" dxfId="4783" priority="6778" operator="containsText" text="N">
      <formula>NOT(ISERROR(SEARCH(("N"),(U20))))</formula>
    </cfRule>
  </conditionalFormatting>
  <conditionalFormatting sqref="U20:U22">
    <cfRule type="containsText" dxfId="4782" priority="5536" operator="containsText" text="O">
      <formula>NOT(ISERROR(SEARCH(("O"),(U20))))</formula>
    </cfRule>
    <cfRule type="containsText" dxfId="4781" priority="5535" operator="containsText" text="N">
      <formula>NOT(ISERROR(SEARCH(("N"),(U20))))</formula>
    </cfRule>
    <cfRule type="containsText" dxfId="4780" priority="5538" operator="containsText" text="P">
      <formula>NOT(ISERROR(SEARCH(("P"),(U20))))</formula>
    </cfRule>
    <cfRule type="containsText" dxfId="4779" priority="5539" operator="containsText" text="K">
      <formula>NOT(ISERROR(SEARCH(("K"),(U20))))</formula>
    </cfRule>
    <cfRule type="containsText" dxfId="4778" priority="5540" operator="containsText" text="X">
      <formula>NOT(ISERROR(SEARCH(("X"),(U20))))</formula>
    </cfRule>
    <cfRule type="containsText" dxfId="4777" priority="5541" operator="containsText" text="L">
      <formula>NOT(ISERROR(SEARCH(("L"),(U20))))</formula>
    </cfRule>
    <cfRule type="containsText" dxfId="4776" priority="5537" operator="containsText" text="C">
      <formula>NOT(ISERROR(SEARCH(("C"),(U20))))</formula>
    </cfRule>
  </conditionalFormatting>
  <conditionalFormatting sqref="U21">
    <cfRule type="containsText" dxfId="4775" priority="5488" operator="containsText" text="N">
      <formula>NOT(ISERROR(SEARCH(("N"),(U21))))</formula>
    </cfRule>
    <cfRule type="containsText" dxfId="4774" priority="5489" operator="containsText" text="O">
      <formula>NOT(ISERROR(SEARCH(("O"),(U21))))</formula>
    </cfRule>
    <cfRule type="containsText" dxfId="4773" priority="5495" operator="containsText" text="O">
      <formula>NOT(ISERROR(SEARCH(("O"),(U21))))</formula>
    </cfRule>
    <cfRule type="containsText" dxfId="4772" priority="5504" operator="containsText" text="P">
      <formula>NOT(ISERROR(SEARCH(("P"),(U21))))</formula>
    </cfRule>
    <cfRule type="containsText" dxfId="4771" priority="5496" operator="containsText" text="C">
      <formula>NOT(ISERROR(SEARCH(("C"),(U21))))</formula>
    </cfRule>
    <cfRule type="containsText" dxfId="4770" priority="5502" operator="containsText" text="O">
      <formula>NOT(ISERROR(SEARCH(("O"),(U21))))</formula>
    </cfRule>
    <cfRule type="containsText" dxfId="4769" priority="5490" operator="containsText" text="C">
      <formula>NOT(ISERROR(SEARCH(("C"),(U21))))</formula>
    </cfRule>
    <cfRule type="containsText" dxfId="4768" priority="5520" operator="containsText" text="L">
      <formula>NOT(ISERROR(SEARCH(("L"),(U21))))</formula>
    </cfRule>
    <cfRule type="containsText" dxfId="4767" priority="5501" operator="containsText" text="N">
      <formula>NOT(ISERROR(SEARCH(("N"),(U21))))</formula>
    </cfRule>
    <cfRule type="containsText" dxfId="4766" priority="5519" operator="containsText" text="X">
      <formula>NOT(ISERROR(SEARCH(("X"),(U21))))</formula>
    </cfRule>
    <cfRule type="containsText" dxfId="4765" priority="5518" operator="containsText" text="K">
      <formula>NOT(ISERROR(SEARCH(("K"),(U21))))</formula>
    </cfRule>
    <cfRule type="containsText" dxfId="4764" priority="5517" operator="containsText" text="P">
      <formula>NOT(ISERROR(SEARCH(("P"),(U21))))</formula>
    </cfRule>
    <cfRule type="containsText" dxfId="4763" priority="5500" operator="containsText" text="L">
      <formula>NOT(ISERROR(SEARCH(("L"),(U21))))</formula>
    </cfRule>
    <cfRule type="containsText" dxfId="4762" priority="5499" operator="containsText" text="X">
      <formula>NOT(ISERROR(SEARCH(("X"),(U21))))</formula>
    </cfRule>
    <cfRule type="containsText" dxfId="4761" priority="5498" operator="containsText" text="K">
      <formula>NOT(ISERROR(SEARCH(("K"),(U21))))</formula>
    </cfRule>
    <cfRule type="containsText" dxfId="4760" priority="5497" operator="containsText" text="P">
      <formula>NOT(ISERROR(SEARCH(("P"),(U21))))</formula>
    </cfRule>
    <cfRule type="containsText" dxfId="4759" priority="5503" operator="containsText" text="C">
      <formula>NOT(ISERROR(SEARCH(("C"),(U21))))</formula>
    </cfRule>
    <cfRule type="containsText" dxfId="4758" priority="5491" operator="containsText" text="P">
      <formula>NOT(ISERROR(SEARCH(("P"),(U21))))</formula>
    </cfRule>
    <cfRule type="containsText" dxfId="4757" priority="5492" operator="containsText" text="K">
      <formula>NOT(ISERROR(SEARCH(("K"),(U21))))</formula>
    </cfRule>
    <cfRule type="containsText" dxfId="4756" priority="5493" operator="containsText" text="X">
      <formula>NOT(ISERROR(SEARCH(("X"),(U21))))</formula>
    </cfRule>
    <cfRule type="containsText" dxfId="4755" priority="5494" operator="containsText" text="L">
      <formula>NOT(ISERROR(SEARCH(("L"),(U21))))</formula>
    </cfRule>
    <cfRule type="containsText" dxfId="4754" priority="5521" operator="containsText" text="N">
      <formula>NOT(ISERROR(SEARCH(("N"),(U21))))</formula>
    </cfRule>
    <cfRule type="containsText" dxfId="4753" priority="5516" operator="containsText" text="C">
      <formula>NOT(ISERROR(SEARCH(("C"),(U21))))</formula>
    </cfRule>
    <cfRule type="containsText" dxfId="4752" priority="5522" operator="containsText" text="O">
      <formula>NOT(ISERROR(SEARCH(("O"),(U21))))</formula>
    </cfRule>
    <cfRule type="containsText" dxfId="4751" priority="5523" operator="containsText" text="C">
      <formula>NOT(ISERROR(SEARCH(("C"),(U21))))</formula>
    </cfRule>
    <cfRule type="containsText" dxfId="4750" priority="5524" operator="containsText" text="P">
      <formula>NOT(ISERROR(SEARCH(("P"),(U21))))</formula>
    </cfRule>
    <cfRule type="containsText" dxfId="4749" priority="5525" operator="containsText" text="K">
      <formula>NOT(ISERROR(SEARCH(("K"),(U21))))</formula>
    </cfRule>
    <cfRule type="containsText" dxfId="4748" priority="5526" operator="containsText" text="X">
      <formula>NOT(ISERROR(SEARCH(("X"),(U21))))</formula>
    </cfRule>
    <cfRule type="containsText" dxfId="4747" priority="5532" operator="containsText" text="K">
      <formula>NOT(ISERROR(SEARCH(("K"),(U21))))</formula>
    </cfRule>
    <cfRule type="containsText" dxfId="4746" priority="5528" operator="containsText" text="N">
      <formula>NOT(ISERROR(SEARCH(("N"),(U21))))</formula>
    </cfRule>
    <cfRule type="containsText" dxfId="4745" priority="5529" operator="containsText" text="O">
      <formula>NOT(ISERROR(SEARCH(("O"),(U21))))</formula>
    </cfRule>
    <cfRule type="containsText" dxfId="4744" priority="5531" operator="containsText" text="P">
      <formula>NOT(ISERROR(SEARCH(("P"),(U21))))</formula>
    </cfRule>
    <cfRule type="containsText" dxfId="4743" priority="5533" operator="containsText" text="X">
      <formula>NOT(ISERROR(SEARCH(("X"),(U21))))</formula>
    </cfRule>
    <cfRule type="containsText" dxfId="4742" priority="5515" operator="containsText" text="O">
      <formula>NOT(ISERROR(SEARCH(("O"),(U21))))</formula>
    </cfRule>
    <cfRule type="containsText" dxfId="4741" priority="5527" operator="containsText" text="L">
      <formula>NOT(ISERROR(SEARCH(("L"),(U21))))</formula>
    </cfRule>
    <cfRule type="containsText" dxfId="4740" priority="5514" operator="containsText" text="L">
      <formula>NOT(ISERROR(SEARCH(("L"),(U21))))</formula>
    </cfRule>
    <cfRule type="containsText" dxfId="4739" priority="5513" operator="containsText" text="X">
      <formula>NOT(ISERROR(SEARCH(("X"),(U21))))</formula>
    </cfRule>
    <cfRule type="containsText" dxfId="4738" priority="5512" operator="containsText" text="K">
      <formula>NOT(ISERROR(SEARCH(("K"),(U21))))</formula>
    </cfRule>
    <cfRule type="containsText" dxfId="4737" priority="5511" operator="containsText" text="P">
      <formula>NOT(ISERROR(SEARCH(("P"),(U21))))</formula>
    </cfRule>
    <cfRule type="containsText" dxfId="4736" priority="5510" operator="containsText" text="C">
      <formula>NOT(ISERROR(SEARCH(("C"),(U21))))</formula>
    </cfRule>
    <cfRule type="containsText" dxfId="4735" priority="5509" operator="containsText" text="O">
      <formula>NOT(ISERROR(SEARCH(("O"),(U21))))</formula>
    </cfRule>
    <cfRule type="containsText" dxfId="4734" priority="5508" operator="containsText" text="N">
      <formula>NOT(ISERROR(SEARCH(("N"),(U21))))</formula>
    </cfRule>
    <cfRule type="containsText" dxfId="4733" priority="5507" operator="containsText" text="L">
      <formula>NOT(ISERROR(SEARCH(("L"),(U21))))</formula>
    </cfRule>
    <cfRule type="containsText" dxfId="4732" priority="5506" operator="containsText" text="X">
      <formula>NOT(ISERROR(SEARCH(("X"),(U21))))</formula>
    </cfRule>
    <cfRule type="containsText" dxfId="4731" priority="5505" operator="containsText" text="K">
      <formula>NOT(ISERROR(SEARCH(("K"),(U21))))</formula>
    </cfRule>
    <cfRule type="containsText" dxfId="4730" priority="5530" operator="containsText" text="C">
      <formula>NOT(ISERROR(SEARCH(("C"),(U21))))</formula>
    </cfRule>
    <cfRule type="containsText" dxfId="4729" priority="5534" operator="containsText" text="L">
      <formula>NOT(ISERROR(SEARCH(("L"),(U21))))</formula>
    </cfRule>
  </conditionalFormatting>
  <conditionalFormatting sqref="U22">
    <cfRule type="containsText" dxfId="4728" priority="1793" operator="containsText" text="X">
      <formula>NOT(ISERROR(SEARCH(("X"),(U22))))</formula>
    </cfRule>
    <cfRule type="containsText" dxfId="4727" priority="1792" operator="containsText" text="K">
      <formula>NOT(ISERROR(SEARCH(("K"),(U22))))</formula>
    </cfRule>
    <cfRule type="containsText" dxfId="4726" priority="1791" operator="containsText" text="P">
      <formula>NOT(ISERROR(SEARCH(("P"),(U22))))</formula>
    </cfRule>
    <cfRule type="containsText" dxfId="4725" priority="1790" operator="containsText" text="C">
      <formula>NOT(ISERROR(SEARCH(("C"),(U22))))</formula>
    </cfRule>
    <cfRule type="containsText" dxfId="4724" priority="1789" operator="containsText" text="O">
      <formula>NOT(ISERROR(SEARCH(("O"),(U22))))</formula>
    </cfRule>
    <cfRule type="containsText" dxfId="4723" priority="1788" operator="containsText" text="N">
      <formula>NOT(ISERROR(SEARCH(("N"),(U22))))</formula>
    </cfRule>
    <cfRule type="containsText" dxfId="4722" priority="1794" operator="containsText" text="L">
      <formula>NOT(ISERROR(SEARCH(("L"),(U22))))</formula>
    </cfRule>
  </conditionalFormatting>
  <conditionalFormatting sqref="U12:V12">
    <cfRule type="containsText" dxfId="4721" priority="6091" operator="containsText" text="L">
      <formula>NOT(ISERROR(SEARCH(("L"),(U12))))</formula>
    </cfRule>
    <cfRule type="containsText" dxfId="4720" priority="6092" operator="containsText" text="N">
      <formula>NOT(ISERROR(SEARCH(("N"),(U12))))</formula>
    </cfRule>
    <cfRule type="containsText" dxfId="4719" priority="6079" operator="containsText" text="O">
      <formula>NOT(ISERROR(SEARCH(("O"),(U12))))</formula>
    </cfRule>
    <cfRule type="containsText" dxfId="4718" priority="6094" operator="containsText" text="C">
      <formula>NOT(ISERROR(SEARCH(("C"),(U12))))</formula>
    </cfRule>
    <cfRule type="containsText" dxfId="4717" priority="6095" operator="containsText" text="P">
      <formula>NOT(ISERROR(SEARCH(("P"),(U12))))</formula>
    </cfRule>
    <cfRule type="containsText" dxfId="4716" priority="6096" operator="containsText" text="K">
      <formula>NOT(ISERROR(SEARCH(("K"),(U12))))</formula>
    </cfRule>
    <cfRule type="containsText" dxfId="4715" priority="6093" operator="containsText" text="O">
      <formula>NOT(ISERROR(SEARCH(("O"),(U12))))</formula>
    </cfRule>
    <cfRule type="containsText" dxfId="4714" priority="6097" operator="containsText" text="X">
      <formula>NOT(ISERROR(SEARCH(("X"),(U12))))</formula>
    </cfRule>
    <cfRule type="containsText" dxfId="4713" priority="6078" operator="containsText" text="N">
      <formula>NOT(ISERROR(SEARCH(("N"),(U12))))</formula>
    </cfRule>
    <cfRule type="containsText" dxfId="4712" priority="6080" operator="containsText" text="C">
      <formula>NOT(ISERROR(SEARCH(("C"),(U12))))</formula>
    </cfRule>
    <cfRule type="containsText" dxfId="4711" priority="6098" operator="containsText" text="L">
      <formula>NOT(ISERROR(SEARCH(("L"),(U12))))</formula>
    </cfRule>
    <cfRule type="containsText" dxfId="4710" priority="6081" operator="containsText" text="P">
      <formula>NOT(ISERROR(SEARCH(("P"),(U12))))</formula>
    </cfRule>
    <cfRule type="containsText" dxfId="4709" priority="6082" operator="containsText" text="K">
      <formula>NOT(ISERROR(SEARCH(("K"),(U12))))</formula>
    </cfRule>
    <cfRule type="containsText" dxfId="4708" priority="6083" operator="containsText" text="X">
      <formula>NOT(ISERROR(SEARCH(("X"),(U12))))</formula>
    </cfRule>
    <cfRule type="containsText" dxfId="4707" priority="6084" operator="containsText" text="L">
      <formula>NOT(ISERROR(SEARCH(("L"),(U12))))</formula>
    </cfRule>
    <cfRule type="containsText" dxfId="4706" priority="6085" operator="containsText" text="N">
      <formula>NOT(ISERROR(SEARCH(("N"),(U12))))</formula>
    </cfRule>
    <cfRule type="containsText" dxfId="4705" priority="6086" operator="containsText" text="O">
      <formula>NOT(ISERROR(SEARCH(("O"),(U12))))</formula>
    </cfRule>
    <cfRule type="containsText" dxfId="4704" priority="6087" operator="containsText" text="C">
      <formula>NOT(ISERROR(SEARCH(("C"),(U12))))</formula>
    </cfRule>
    <cfRule type="containsText" dxfId="4703" priority="6088" operator="containsText" text="P">
      <formula>NOT(ISERROR(SEARCH(("P"),(U12))))</formula>
    </cfRule>
    <cfRule type="containsText" dxfId="4702" priority="6089" operator="containsText" text="K">
      <formula>NOT(ISERROR(SEARCH(("K"),(U12))))</formula>
    </cfRule>
    <cfRule type="containsText" dxfId="4701" priority="6090" operator="containsText" text="X">
      <formula>NOT(ISERROR(SEARCH(("X"),(U12))))</formula>
    </cfRule>
  </conditionalFormatting>
  <conditionalFormatting sqref="U14:V14">
    <cfRule type="containsText" dxfId="4700" priority="9209" operator="containsText" text="C">
      <formula>NOT(ISERROR(SEARCH(("C"),(U14))))</formula>
    </cfRule>
    <cfRule type="containsText" dxfId="4699" priority="9207" operator="containsText" text="N">
      <formula>NOT(ISERROR(SEARCH(("N"),(U14))))</formula>
    </cfRule>
    <cfRule type="containsText" dxfId="4698" priority="9201" operator="containsText" text="O">
      <formula>NOT(ISERROR(SEARCH(("O"),(U14))))</formula>
    </cfRule>
    <cfRule type="containsText" dxfId="4697" priority="9211" operator="containsText" text="K">
      <formula>NOT(ISERROR(SEARCH(("K"),(U14))))</formula>
    </cfRule>
    <cfRule type="containsText" dxfId="4696" priority="9212" operator="containsText" text="X">
      <formula>NOT(ISERROR(SEARCH(("X"),(U14))))</formula>
    </cfRule>
    <cfRule type="containsText" dxfId="4695" priority="9213" operator="containsText" text="L">
      <formula>NOT(ISERROR(SEARCH(("L"),(U14))))</formula>
    </cfRule>
    <cfRule type="containsText" dxfId="4694" priority="9210" operator="containsText" text="P">
      <formula>NOT(ISERROR(SEARCH(("P"),(U14))))</formula>
    </cfRule>
    <cfRule type="containsText" dxfId="4693" priority="9208" operator="containsText" text="O">
      <formula>NOT(ISERROR(SEARCH(("O"),(U14))))</formula>
    </cfRule>
    <cfRule type="containsText" dxfId="4692" priority="9206" operator="containsText" text="L">
      <formula>NOT(ISERROR(SEARCH(("L"),(U14))))</formula>
    </cfRule>
    <cfRule type="containsText" dxfId="4691" priority="9205" operator="containsText" text="X">
      <formula>NOT(ISERROR(SEARCH(("X"),(U14))))</formula>
    </cfRule>
    <cfRule type="containsText" dxfId="4690" priority="9204" operator="containsText" text="K">
      <formula>NOT(ISERROR(SEARCH(("K"),(U14))))</formula>
    </cfRule>
    <cfRule type="containsText" dxfId="4689" priority="9203" operator="containsText" text="P">
      <formula>NOT(ISERROR(SEARCH(("P"),(U14))))</formula>
    </cfRule>
    <cfRule type="containsText" dxfId="4688" priority="9202" operator="containsText" text="C">
      <formula>NOT(ISERROR(SEARCH(("C"),(U14))))</formula>
    </cfRule>
  </conditionalFormatting>
  <conditionalFormatting sqref="U14:V15">
    <cfRule type="containsText" dxfId="4687" priority="9217" operator="containsText" text="P">
      <formula>NOT(ISERROR(SEARCH(("P"),(U14))))</formula>
    </cfRule>
    <cfRule type="containsText" dxfId="4686" priority="9220" operator="containsText" text="L">
      <formula>NOT(ISERROR(SEARCH(("L"),(U14))))</formula>
    </cfRule>
    <cfRule type="containsText" dxfId="4685" priority="9219" operator="containsText" text="X">
      <formula>NOT(ISERROR(SEARCH(("X"),(U14))))</formula>
    </cfRule>
    <cfRule type="containsText" dxfId="4684" priority="9216" operator="containsText" text="C">
      <formula>NOT(ISERROR(SEARCH(("C"),(U14))))</formula>
    </cfRule>
    <cfRule type="containsText" dxfId="4683" priority="9214" operator="containsText" text="N">
      <formula>NOT(ISERROR(SEARCH(("N"),(U14))))</formula>
    </cfRule>
    <cfRule type="containsText" dxfId="4682" priority="9215" operator="containsText" text="O">
      <formula>NOT(ISERROR(SEARCH(("O"),(U14))))</formula>
    </cfRule>
    <cfRule type="containsText" dxfId="4681" priority="9218" operator="containsText" text="K">
      <formula>NOT(ISERROR(SEARCH(("K"),(U14))))</formula>
    </cfRule>
  </conditionalFormatting>
  <conditionalFormatting sqref="U16:V17">
    <cfRule type="containsText" dxfId="4680" priority="8664" operator="containsText" text="O">
      <formula>NOT(ISERROR(SEARCH(("O"),(U16))))</formula>
    </cfRule>
    <cfRule type="containsText" dxfId="4679" priority="8665" operator="containsText" text="C">
      <formula>NOT(ISERROR(SEARCH(("C"),(U16))))</formula>
    </cfRule>
    <cfRule type="containsText" dxfId="4678" priority="8666" operator="containsText" text="P">
      <formula>NOT(ISERROR(SEARCH(("P"),(U16))))</formula>
    </cfRule>
    <cfRule type="containsText" dxfId="4677" priority="8667" operator="containsText" text="K">
      <formula>NOT(ISERROR(SEARCH(("K"),(U16))))</formula>
    </cfRule>
    <cfRule type="containsText" dxfId="4676" priority="8663" operator="containsText" text="N">
      <formula>NOT(ISERROR(SEARCH(("N"),(U16))))</formula>
    </cfRule>
    <cfRule type="containsText" dxfId="4675" priority="8669" operator="containsText" text="L">
      <formula>NOT(ISERROR(SEARCH(("L"),(U16))))</formula>
    </cfRule>
    <cfRule type="containsText" dxfId="4674" priority="8668" operator="containsText" text="X">
      <formula>NOT(ISERROR(SEARCH(("X"),(U16))))</formula>
    </cfRule>
  </conditionalFormatting>
  <conditionalFormatting sqref="U17:V17">
    <cfRule type="containsText" dxfId="4673" priority="8743" operator="containsText" text="N">
      <formula>NOT(ISERROR(SEARCH(("N"),(U17))))</formula>
    </cfRule>
    <cfRule type="containsText" dxfId="4672" priority="8742" operator="containsText" text="X">
      <formula>NOT(ISERROR(SEARCH(("X"),(U17))))</formula>
    </cfRule>
    <cfRule type="containsText" dxfId="4671" priority="8741" operator="containsText" text="K">
      <formula>NOT(ISERROR(SEARCH(("K"),(U17))))</formula>
    </cfRule>
    <cfRule type="containsText" dxfId="4670" priority="8740" operator="containsText" text="P">
      <formula>NOT(ISERROR(SEARCH(("P"),(U17))))</formula>
    </cfRule>
    <cfRule type="containsText" dxfId="4669" priority="8739" operator="containsText" text="C">
      <formula>NOT(ISERROR(SEARCH(("C"),(U17))))</formula>
    </cfRule>
    <cfRule type="containsText" dxfId="4668" priority="8738" operator="containsText" text="O">
      <formula>NOT(ISERROR(SEARCH(("O"),(U17))))</formula>
    </cfRule>
  </conditionalFormatting>
  <conditionalFormatting sqref="U18:V18">
    <cfRule type="containsText" dxfId="4667" priority="3514" operator="containsText" text="X">
      <formula>NOT(ISERROR(SEARCH(("X"),(U18))))</formula>
    </cfRule>
    <cfRule type="containsText" dxfId="4666" priority="3513" operator="containsText" text="K">
      <formula>NOT(ISERROR(SEARCH(("K"),(U18))))</formula>
    </cfRule>
    <cfRule type="containsText" dxfId="4665" priority="3512" operator="containsText" text="P">
      <formula>NOT(ISERROR(SEARCH(("P"),(U18))))</formula>
    </cfRule>
    <cfRule type="containsText" dxfId="4664" priority="3511" operator="containsText" text="C">
      <formula>NOT(ISERROR(SEARCH(("C"),(U18))))</formula>
    </cfRule>
    <cfRule type="containsText" dxfId="4663" priority="3510" operator="containsText" text="O">
      <formula>NOT(ISERROR(SEARCH(("O"),(U18))))</formula>
    </cfRule>
    <cfRule type="containsText" dxfId="4662" priority="3515" operator="containsText" text="L">
      <formula>NOT(ISERROR(SEARCH(("L"),(U18))))</formula>
    </cfRule>
  </conditionalFormatting>
  <conditionalFormatting sqref="U19:V19">
    <cfRule type="containsText" dxfId="4661" priority="3060" operator="containsText" text="N">
      <formula>NOT(ISERROR(SEARCH(("N"),(U19))))</formula>
    </cfRule>
    <cfRule type="containsText" dxfId="4660" priority="3061" operator="containsText" text="O">
      <formula>NOT(ISERROR(SEARCH(("O"),(U19))))</formula>
    </cfRule>
    <cfRule type="containsText" dxfId="4659" priority="3062" operator="containsText" text="C">
      <formula>NOT(ISERROR(SEARCH(("C"),(U19))))</formula>
    </cfRule>
    <cfRule type="containsText" dxfId="4658" priority="3063" operator="containsText" text="P">
      <formula>NOT(ISERROR(SEARCH(("P"),(U19))))</formula>
    </cfRule>
    <cfRule type="containsText" dxfId="4657" priority="3064" operator="containsText" text="K">
      <formula>NOT(ISERROR(SEARCH(("K"),(U19))))</formula>
    </cfRule>
    <cfRule type="containsText" dxfId="4656" priority="3065" operator="containsText" text="X">
      <formula>NOT(ISERROR(SEARCH(("X"),(U19))))</formula>
    </cfRule>
    <cfRule type="containsText" dxfId="4655" priority="3066" operator="containsText" text="L">
      <formula>NOT(ISERROR(SEARCH(("L"),(U19))))</formula>
    </cfRule>
  </conditionalFormatting>
  <conditionalFormatting sqref="U20:V20">
    <cfRule type="containsText" dxfId="4654" priority="8468" operator="containsText" text="P">
      <formula>NOT(ISERROR(SEARCH(("P"),(U20))))</formula>
    </cfRule>
    <cfRule type="containsText" dxfId="4653" priority="8467" operator="containsText" text="C">
      <formula>NOT(ISERROR(SEARCH(("C"),(U20))))</formula>
    </cfRule>
    <cfRule type="containsText" dxfId="4652" priority="6948" operator="containsText" text="L">
      <formula>NOT(ISERROR(SEARCH(("L"),(U20))))</formula>
    </cfRule>
    <cfRule type="containsText" dxfId="4651" priority="6946" operator="containsText" text="K">
      <formula>NOT(ISERROR(SEARCH(("K"),(U20))))</formula>
    </cfRule>
    <cfRule type="containsText" dxfId="4650" priority="6945" operator="containsText" text="P">
      <formula>NOT(ISERROR(SEARCH(("P"),(U20))))</formula>
    </cfRule>
    <cfRule type="containsText" dxfId="4649" priority="6944" operator="containsText" text="C">
      <formula>NOT(ISERROR(SEARCH(("C"),(U20))))</formula>
    </cfRule>
    <cfRule type="containsText" dxfId="4648" priority="6943" operator="containsText" text="O">
      <formula>NOT(ISERROR(SEARCH(("O"),(U20))))</formula>
    </cfRule>
    <cfRule type="containsText" dxfId="4647" priority="6942" operator="containsText" text="N">
      <formula>NOT(ISERROR(SEARCH(("N"),(U20))))</formula>
    </cfRule>
    <cfRule type="containsText" dxfId="4646" priority="6941" operator="containsText" text="L">
      <formula>NOT(ISERROR(SEARCH(("L"),(U20))))</formula>
    </cfRule>
    <cfRule type="containsText" dxfId="4645" priority="6947" operator="containsText" text="X">
      <formula>NOT(ISERROR(SEARCH(("X"),(U20))))</formula>
    </cfRule>
    <cfRule type="containsText" dxfId="4644" priority="6939" operator="containsText" text="K">
      <formula>NOT(ISERROR(SEARCH(("K"),(U20))))</formula>
    </cfRule>
    <cfRule type="containsText" dxfId="4643" priority="8466" operator="containsText" text="O">
      <formula>NOT(ISERROR(SEARCH(("O"),(U20))))</formula>
    </cfRule>
    <cfRule type="containsText" dxfId="4642" priority="6937" operator="containsText" text="C">
      <formula>NOT(ISERROR(SEARCH(("C"),(U20))))</formula>
    </cfRule>
    <cfRule type="containsText" dxfId="4641" priority="6936" operator="containsText" text="O">
      <formula>NOT(ISERROR(SEARCH(("O"),(U20))))</formula>
    </cfRule>
    <cfRule type="containsText" dxfId="4640" priority="6940" operator="containsText" text="X">
      <formula>NOT(ISERROR(SEARCH(("X"),(U20))))</formula>
    </cfRule>
    <cfRule type="containsText" dxfId="4639" priority="6935" operator="containsText" text="N">
      <formula>NOT(ISERROR(SEARCH(("N"),(U20))))</formula>
    </cfRule>
    <cfRule type="containsText" dxfId="4638" priority="8470" operator="containsText" text="X">
      <formula>NOT(ISERROR(SEARCH(("X"),(U20))))</formula>
    </cfRule>
    <cfRule type="containsText" dxfId="4637" priority="8469" operator="containsText" text="K">
      <formula>NOT(ISERROR(SEARCH(("K"),(U20))))</formula>
    </cfRule>
    <cfRule type="containsText" dxfId="4636" priority="6938" operator="containsText" text="P">
      <formula>NOT(ISERROR(SEARCH(("P"),(U20))))</formula>
    </cfRule>
  </conditionalFormatting>
  <conditionalFormatting sqref="U20:V21 AB20:AC21 K11:T12 W11:AA12 AK11:AL12 O13:T13 H11:H26 AK19:AL26 W19:AA21 AD19:AH26 I19:M22 U22:AG22 AC23:AG23 AC24:AH24 O24:S25 T22:AA26 AC25:AG25 AJ23:AK26 I22:Q26">
    <cfRule type="containsText" dxfId="4635" priority="7889" operator="containsText" text="C">
      <formula>NOT(ISERROR(SEARCH(("C"),(H11))))</formula>
    </cfRule>
    <cfRule type="containsText" dxfId="4634" priority="7888" operator="containsText" text="O">
      <formula>NOT(ISERROR(SEARCH(("O"),(H11))))</formula>
    </cfRule>
    <cfRule type="containsText" dxfId="4633" priority="7892" operator="containsText" text="X">
      <formula>NOT(ISERROR(SEARCH(("X"),(H11))))</formula>
    </cfRule>
    <cfRule type="containsText" dxfId="4632" priority="7891" operator="containsText" text="K">
      <formula>NOT(ISERROR(SEARCH(("K"),(H11))))</formula>
    </cfRule>
    <cfRule type="containsText" dxfId="4631" priority="7890" operator="containsText" text="P">
      <formula>NOT(ISERROR(SEARCH(("P"),(H11))))</formula>
    </cfRule>
  </conditionalFormatting>
  <conditionalFormatting sqref="U21:V21">
    <cfRule type="containsText" dxfId="4630" priority="6557" operator="containsText" text="K">
      <formula>NOT(ISERROR(SEARCH(("K"),(U21))))</formula>
    </cfRule>
    <cfRule type="containsText" dxfId="4629" priority="6558" operator="containsText" text="X">
      <formula>NOT(ISERROR(SEARCH(("X"),(U21))))</formula>
    </cfRule>
    <cfRule type="containsText" dxfId="4628" priority="6559" operator="containsText" text="L">
      <formula>NOT(ISERROR(SEARCH(("L"),(U21))))</formula>
    </cfRule>
    <cfRule type="containsText" dxfId="4627" priority="6560" operator="containsText" text="N">
      <formula>NOT(ISERROR(SEARCH(("N"),(U21))))</formula>
    </cfRule>
    <cfRule type="containsText" dxfId="4626" priority="6561" operator="containsText" text="O">
      <formula>NOT(ISERROR(SEARCH(("O"),(U21))))</formula>
    </cfRule>
    <cfRule type="containsText" dxfId="4625" priority="6562" operator="containsText" text="C">
      <formula>NOT(ISERROR(SEARCH(("C"),(U21))))</formula>
    </cfRule>
    <cfRule type="containsText" dxfId="4624" priority="6563" operator="containsText" text="P">
      <formula>NOT(ISERROR(SEARCH(("P"),(U21))))</formula>
    </cfRule>
    <cfRule type="containsText" dxfId="4623" priority="6564" operator="containsText" text="K">
      <formula>NOT(ISERROR(SEARCH(("K"),(U21))))</formula>
    </cfRule>
    <cfRule type="containsText" dxfId="4622" priority="6565" operator="containsText" text="X">
      <formula>NOT(ISERROR(SEARCH(("X"),(U21))))</formula>
    </cfRule>
    <cfRule type="containsText" dxfId="4621" priority="6553" operator="containsText" text="N">
      <formula>NOT(ISERROR(SEARCH(("N"),(U21))))</formula>
    </cfRule>
    <cfRule type="containsText" dxfId="4620" priority="6554" operator="containsText" text="O">
      <formula>NOT(ISERROR(SEARCH(("O"),(U21))))</formula>
    </cfRule>
    <cfRule type="containsText" dxfId="4619" priority="6555" operator="containsText" text="C">
      <formula>NOT(ISERROR(SEARCH(("C"),(U21))))</formula>
    </cfRule>
    <cfRule type="containsText" dxfId="4618" priority="6556" operator="containsText" text="P">
      <formula>NOT(ISERROR(SEARCH(("P"),(U21))))</formula>
    </cfRule>
    <cfRule type="containsText" dxfId="4617" priority="6566" operator="containsText" text="L">
      <formula>NOT(ISERROR(SEARCH(("L"),(U21))))</formula>
    </cfRule>
  </conditionalFormatting>
  <conditionalFormatting sqref="U22:V22">
    <cfRule type="containsText" dxfId="4616" priority="1872" operator="containsText" text="N">
      <formula>NOT(ISERROR(SEARCH(("N"),(U22))))</formula>
    </cfRule>
    <cfRule type="containsText" dxfId="4615" priority="1896" operator="containsText" text="X">
      <formula>NOT(ISERROR(SEARCH(("X"),(U22))))</formula>
    </cfRule>
    <cfRule type="containsText" dxfId="4614" priority="1873" operator="containsText" text="O">
      <formula>NOT(ISERROR(SEARCH(("O"),(U22))))</formula>
    </cfRule>
    <cfRule type="containsText" dxfId="4613" priority="1874" operator="containsText" text="C">
      <formula>NOT(ISERROR(SEARCH(("C"),(U22))))</formula>
    </cfRule>
    <cfRule type="containsText" dxfId="4612" priority="1894" operator="containsText" text="P">
      <formula>NOT(ISERROR(SEARCH(("P"),(U22))))</formula>
    </cfRule>
    <cfRule type="containsText" dxfId="4611" priority="1876" operator="containsText" text="K">
      <formula>NOT(ISERROR(SEARCH(("K"),(U22))))</formula>
    </cfRule>
    <cfRule type="containsText" dxfId="4610" priority="1877" operator="containsText" text="X">
      <formula>NOT(ISERROR(SEARCH(("X"),(U22))))</formula>
    </cfRule>
    <cfRule type="containsText" dxfId="4609" priority="1878" operator="containsText" text="L">
      <formula>NOT(ISERROR(SEARCH(("L"),(U22))))</formula>
    </cfRule>
    <cfRule type="containsText" dxfId="4608" priority="1879" operator="containsText" text="N">
      <formula>NOT(ISERROR(SEARCH(("N"),(U22))))</formula>
    </cfRule>
    <cfRule type="containsText" dxfId="4607" priority="1875" operator="containsText" text="P">
      <formula>NOT(ISERROR(SEARCH(("P"),(U22))))</formula>
    </cfRule>
    <cfRule type="containsText" dxfId="4606" priority="1880" operator="containsText" text="O">
      <formula>NOT(ISERROR(SEARCH(("O"),(U22))))</formula>
    </cfRule>
    <cfRule type="containsText" dxfId="4605" priority="1881" operator="containsText" text="C">
      <formula>NOT(ISERROR(SEARCH(("C"),(U22))))</formula>
    </cfRule>
    <cfRule type="containsText" dxfId="4604" priority="1882" operator="containsText" text="P">
      <formula>NOT(ISERROR(SEARCH(("P"),(U22))))</formula>
    </cfRule>
    <cfRule type="containsText" dxfId="4603" priority="1883" operator="containsText" text="K">
      <formula>NOT(ISERROR(SEARCH(("K"),(U22))))</formula>
    </cfRule>
    <cfRule type="containsText" dxfId="4602" priority="1884" operator="containsText" text="X">
      <formula>NOT(ISERROR(SEARCH(("X"),(U22))))</formula>
    </cfRule>
    <cfRule type="containsText" dxfId="4601" priority="1885" operator="containsText" text="L">
      <formula>NOT(ISERROR(SEARCH(("L"),(U22))))</formula>
    </cfRule>
    <cfRule type="containsText" dxfId="4600" priority="1892" operator="containsText" text="O">
      <formula>NOT(ISERROR(SEARCH(("O"),(U22))))</formula>
    </cfRule>
    <cfRule type="containsText" dxfId="4599" priority="1893" operator="containsText" text="C">
      <formula>NOT(ISERROR(SEARCH(("C"),(U22))))</formula>
    </cfRule>
    <cfRule type="containsText" dxfId="4598" priority="1895" operator="containsText" text="K">
      <formula>NOT(ISERROR(SEARCH(("K"),(U22))))</formula>
    </cfRule>
  </conditionalFormatting>
  <conditionalFormatting sqref="V13">
    <cfRule type="containsText" dxfId="4597" priority="4936" operator="containsText" text="K">
      <formula>NOT(ISERROR(SEARCH(("K"),(V13))))</formula>
    </cfRule>
    <cfRule type="containsText" dxfId="4596" priority="4967" operator="containsText" text="P">
      <formula>NOT(ISERROR(SEARCH(("P"),(V13))))</formula>
    </cfRule>
    <cfRule type="containsText" dxfId="4595" priority="4968" operator="containsText" text="K">
      <formula>NOT(ISERROR(SEARCH(("K"),(V13))))</formula>
    </cfRule>
    <cfRule type="containsText" dxfId="4594" priority="4943" operator="containsText" text="P">
      <formula>NOT(ISERROR(SEARCH(("P"),(V13))))</formula>
    </cfRule>
    <cfRule type="containsText" dxfId="4593" priority="4942" operator="containsText" text="C">
      <formula>NOT(ISERROR(SEARCH(("C"),(V13))))</formula>
    </cfRule>
    <cfRule type="containsText" dxfId="4592" priority="4941" operator="containsText" text="O">
      <formula>NOT(ISERROR(SEARCH(("O"),(V13))))</formula>
    </cfRule>
    <cfRule type="containsText" dxfId="4591" priority="4940" operator="containsText" text="N">
      <formula>NOT(ISERROR(SEARCH(("N"),(V13))))</formula>
    </cfRule>
    <cfRule type="containsText" dxfId="4590" priority="4938" operator="containsText" text="L">
      <formula>NOT(ISERROR(SEARCH(("L"),(V13))))</formula>
    </cfRule>
    <cfRule type="containsText" dxfId="4589" priority="4937" operator="containsText" text="X">
      <formula>NOT(ISERROR(SEARCH(("X"),(V13))))</formula>
    </cfRule>
    <cfRule type="containsText" dxfId="4588" priority="4930" operator="containsText" text="L">
      <formula>NOT(ISERROR(SEARCH(("L"),(V13))))</formula>
    </cfRule>
    <cfRule type="containsText" dxfId="4587" priority="4910" operator="containsText" text="N">
      <formula>NOT(ISERROR(SEARCH(("N"),(V13))))</formula>
    </cfRule>
    <cfRule type="containsText" dxfId="4586" priority="4911" operator="containsText" text="O">
      <formula>NOT(ISERROR(SEARCH(("O"),(V13))))</formula>
    </cfRule>
    <cfRule type="containsText" dxfId="4585" priority="4913" operator="containsText" text="P">
      <formula>NOT(ISERROR(SEARCH(("P"),(V13))))</formula>
    </cfRule>
    <cfRule type="containsText" dxfId="4584" priority="4914" operator="containsText" text="K">
      <formula>NOT(ISERROR(SEARCH(("K"),(V13))))</formula>
    </cfRule>
    <cfRule type="containsText" dxfId="4583" priority="4935" operator="containsText" text="P">
      <formula>NOT(ISERROR(SEARCH(("P"),(V13))))</formula>
    </cfRule>
    <cfRule type="containsText" dxfId="4582" priority="4934" operator="containsText" text="C">
      <formula>NOT(ISERROR(SEARCH(("C"),(V13))))</formula>
    </cfRule>
    <cfRule type="containsText" dxfId="4581" priority="4933" operator="containsText" text="O">
      <formula>NOT(ISERROR(SEARCH(("O"),(V13))))</formula>
    </cfRule>
    <cfRule type="containsText" dxfId="4580" priority="4932" operator="containsText" text="N">
      <formula>NOT(ISERROR(SEARCH(("N"),(V13))))</formula>
    </cfRule>
    <cfRule type="containsText" dxfId="4579" priority="4969" operator="containsText" text="X">
      <formula>NOT(ISERROR(SEARCH(("X"),(V13))))</formula>
    </cfRule>
    <cfRule type="containsText" dxfId="4578" priority="4929" operator="containsText" text="X">
      <formula>NOT(ISERROR(SEARCH(("X"),(V13))))</formula>
    </cfRule>
    <cfRule type="containsText" dxfId="4577" priority="4912" operator="containsText" text="C">
      <formula>NOT(ISERROR(SEARCH(("C"),(V13))))</formula>
    </cfRule>
    <cfRule type="containsText" dxfId="4576" priority="4915" operator="containsText" text="X">
      <formula>NOT(ISERROR(SEARCH(("X"),(V13))))</formula>
    </cfRule>
    <cfRule type="containsText" dxfId="4575" priority="4916" operator="containsText" text="L">
      <formula>NOT(ISERROR(SEARCH(("L"),(V13))))</formula>
    </cfRule>
    <cfRule type="containsText" dxfId="4574" priority="4917" operator="containsText" text="N">
      <formula>NOT(ISERROR(SEARCH(("N"),(V13))))</formula>
    </cfRule>
    <cfRule type="containsText" dxfId="4573" priority="4918" operator="containsText" text="O">
      <formula>NOT(ISERROR(SEARCH(("O"),(V13))))</formula>
    </cfRule>
    <cfRule type="containsText" dxfId="4572" priority="4919" operator="containsText" text="C">
      <formula>NOT(ISERROR(SEARCH(("C"),(V13))))</formula>
    </cfRule>
    <cfRule type="containsText" dxfId="4571" priority="4920" operator="containsText" text="P">
      <formula>NOT(ISERROR(SEARCH(("P"),(V13))))</formula>
    </cfRule>
    <cfRule type="containsText" dxfId="4570" priority="4922" operator="containsText" text="X">
      <formula>NOT(ISERROR(SEARCH(("X"),(V13))))</formula>
    </cfRule>
    <cfRule type="containsText" dxfId="4569" priority="4923" operator="containsText" text="L">
      <formula>NOT(ISERROR(SEARCH(("L"),(V13))))</formula>
    </cfRule>
    <cfRule type="containsText" dxfId="4568" priority="4924" operator="containsText" text="N">
      <formula>NOT(ISERROR(SEARCH(("N"),(V13))))</formula>
    </cfRule>
    <cfRule type="containsText" dxfId="4567" priority="4925" operator="containsText" text="O">
      <formula>NOT(ISERROR(SEARCH(("O"),(V13))))</formula>
    </cfRule>
    <cfRule type="containsText" dxfId="4566" priority="4926" operator="containsText" text="C">
      <formula>NOT(ISERROR(SEARCH(("C"),(V13))))</formula>
    </cfRule>
    <cfRule type="containsText" dxfId="4565" priority="4927" operator="containsText" text="P">
      <formula>NOT(ISERROR(SEARCH(("P"),(V13))))</formula>
    </cfRule>
    <cfRule type="containsText" dxfId="4564" priority="4944" operator="containsText" text="K">
      <formula>NOT(ISERROR(SEARCH(("K"),(V13))))</formula>
    </cfRule>
    <cfRule type="containsText" dxfId="4563" priority="4945" operator="containsText" text="X">
      <formula>NOT(ISERROR(SEARCH(("X"),(V13))))</formula>
    </cfRule>
    <cfRule type="containsText" dxfId="4562" priority="4946" operator="containsText" text="L">
      <formula>NOT(ISERROR(SEARCH(("L"),(V13))))</formula>
    </cfRule>
    <cfRule type="expression" dxfId="4561" priority="4970">
      <formula>WEEKDAY(V$8)=1</formula>
    </cfRule>
    <cfRule type="containsText" dxfId="4560" priority="4921" operator="containsText" text="K">
      <formula>NOT(ISERROR(SEARCH(("K"),(V13))))</formula>
    </cfRule>
    <cfRule type="containsText" dxfId="4559" priority="4947" operator="containsText" text="N">
      <formula>NOT(ISERROR(SEARCH(("N"),(V13))))</formula>
    </cfRule>
    <cfRule type="containsText" dxfId="4558" priority="4948" operator="containsText" text="O">
      <formula>NOT(ISERROR(SEARCH(("O"),(V13))))</formula>
    </cfRule>
    <cfRule type="containsText" dxfId="4557" priority="4949" operator="containsText" text="C">
      <formula>NOT(ISERROR(SEARCH(("C"),(V13))))</formula>
    </cfRule>
    <cfRule type="containsText" dxfId="4556" priority="4950" operator="containsText" text="P">
      <formula>NOT(ISERROR(SEARCH(("P"),(V13))))</formula>
    </cfRule>
    <cfRule type="containsText" dxfId="4555" priority="4951" operator="containsText" text="K">
      <formula>NOT(ISERROR(SEARCH(("K"),(V13))))</formula>
    </cfRule>
    <cfRule type="containsText" dxfId="4554" priority="4952" operator="containsText" text="X">
      <formula>NOT(ISERROR(SEARCH(("X"),(V13))))</formula>
    </cfRule>
    <cfRule type="containsText" dxfId="4553" priority="4953" operator="containsText" text="L">
      <formula>NOT(ISERROR(SEARCH(("L"),(V13))))</formula>
    </cfRule>
    <cfRule type="containsText" dxfId="4552" priority="4954" operator="containsText" text="N">
      <formula>NOT(ISERROR(SEARCH(("N"),(V13))))</formula>
    </cfRule>
    <cfRule type="containsText" dxfId="4551" priority="4955" operator="containsText" text="O">
      <formula>NOT(ISERROR(SEARCH(("O"),(V13))))</formula>
    </cfRule>
    <cfRule type="containsText" dxfId="4550" priority="4956" operator="containsText" text="C">
      <formula>NOT(ISERROR(SEARCH(("C"),(V13))))</formula>
    </cfRule>
    <cfRule type="containsText" dxfId="4549" priority="4928" operator="containsText" text="K">
      <formula>NOT(ISERROR(SEARCH(("K"),(V13))))</formula>
    </cfRule>
    <cfRule type="containsText" dxfId="4548" priority="4957" operator="containsText" text="P">
      <formula>NOT(ISERROR(SEARCH(("P"),(V13))))</formula>
    </cfRule>
    <cfRule type="containsText" dxfId="4547" priority="4958" operator="containsText" text="K">
      <formula>NOT(ISERROR(SEARCH(("K"),(V13))))</formula>
    </cfRule>
    <cfRule type="containsText" dxfId="4546" priority="4959" operator="containsText" text="X">
      <formula>NOT(ISERROR(SEARCH(("X"),(V13))))</formula>
    </cfRule>
    <cfRule type="containsText" dxfId="4545" priority="4960" operator="containsText" text="L">
      <formula>NOT(ISERROR(SEARCH(("L"),(V13))))</formula>
    </cfRule>
    <cfRule type="containsText" dxfId="4544" priority="4961" operator="containsText" text="N">
      <formula>NOT(ISERROR(SEARCH(("N"),(V13))))</formula>
    </cfRule>
    <cfRule type="containsText" dxfId="4543" priority="4962" operator="containsText" text="L">
      <formula>NOT(ISERROR(SEARCH(("L"),(V13))))</formula>
    </cfRule>
    <cfRule type="containsText" dxfId="4542" priority="4963" operator="containsText" text="N">
      <formula>NOT(ISERROR(SEARCH(("N"),(V13))))</formula>
    </cfRule>
    <cfRule type="containsText" dxfId="4541" priority="4965" operator="containsText" text="O">
      <formula>NOT(ISERROR(SEARCH(("O"),(V13))))</formula>
    </cfRule>
    <cfRule type="containsText" dxfId="4540" priority="4966" operator="containsText" text="C">
      <formula>NOT(ISERROR(SEARCH(("C"),(V13))))</formula>
    </cfRule>
  </conditionalFormatting>
  <conditionalFormatting sqref="V17">
    <cfRule type="containsText" dxfId="4539" priority="3787" operator="containsText" text="C">
      <formula>NOT(ISERROR(SEARCH(("C"),(V17))))</formula>
    </cfRule>
    <cfRule type="containsText" dxfId="4538" priority="3786" operator="containsText" text="O">
      <formula>NOT(ISERROR(SEARCH(("O"),(V17))))</formula>
    </cfRule>
    <cfRule type="containsText" dxfId="4537" priority="3788" operator="containsText" text="P">
      <formula>NOT(ISERROR(SEARCH(("P"),(V17))))</formula>
    </cfRule>
    <cfRule type="containsText" dxfId="4536" priority="3832" operator="containsText" text="K">
      <formula>NOT(ISERROR(SEARCH(("K"),(V17))))</formula>
    </cfRule>
    <cfRule type="containsText" dxfId="4535" priority="3834" operator="containsText" text="L">
      <formula>NOT(ISERROR(SEARCH(("L"),(V17))))</formula>
    </cfRule>
    <cfRule type="containsText" dxfId="4534" priority="3831" operator="containsText" text="P">
      <formula>NOT(ISERROR(SEARCH(("P"),(V17))))</formula>
    </cfRule>
    <cfRule type="containsText" dxfId="4533" priority="3813" operator="containsText" text="N">
      <formula>NOT(ISERROR(SEARCH(("N"),(V17))))</formula>
    </cfRule>
    <cfRule type="containsText" dxfId="4532" priority="3830" operator="containsText" text="C">
      <formula>NOT(ISERROR(SEARCH(("C"),(V17))))</formula>
    </cfRule>
    <cfRule type="containsText" dxfId="4531" priority="3829" operator="containsText" text="O">
      <formula>NOT(ISERROR(SEARCH(("O"),(V17))))</formula>
    </cfRule>
    <cfRule type="containsText" dxfId="4530" priority="3833" operator="containsText" text="X">
      <formula>NOT(ISERROR(SEARCH(("X"),(V17))))</formula>
    </cfRule>
    <cfRule type="containsText" dxfId="4529" priority="3791" operator="containsText" text="L">
      <formula>NOT(ISERROR(SEARCH(("L"),(V17))))</formula>
    </cfRule>
    <cfRule type="containsText" dxfId="4528" priority="3790" operator="containsText" text="X">
      <formula>NOT(ISERROR(SEARCH(("X"),(V17))))</formula>
    </cfRule>
    <cfRule type="containsText" dxfId="4527" priority="3789" operator="containsText" text="K">
      <formula>NOT(ISERROR(SEARCH(("K"),(V17))))</formula>
    </cfRule>
  </conditionalFormatting>
  <conditionalFormatting sqref="V17:X17">
    <cfRule type="containsText" dxfId="4526" priority="3798" operator="containsText" text="L">
      <formula>NOT(ISERROR(SEARCH(("L"),(V17))))</formula>
    </cfRule>
    <cfRule type="containsText" dxfId="4525" priority="3797" operator="containsText" text="X">
      <formula>NOT(ISERROR(SEARCH(("X"),(V17))))</formula>
    </cfRule>
    <cfRule type="containsText" dxfId="4524" priority="3796" operator="containsText" text="K">
      <formula>NOT(ISERROR(SEARCH(("K"),(V17))))</formula>
    </cfRule>
    <cfRule type="containsText" dxfId="4523" priority="3795" operator="containsText" text="P">
      <formula>NOT(ISERROR(SEARCH(("P"),(V17))))</formula>
    </cfRule>
    <cfRule type="containsText" dxfId="4522" priority="3794" operator="containsText" text="C">
      <formula>NOT(ISERROR(SEARCH(("C"),(V17))))</formula>
    </cfRule>
    <cfRule type="containsText" dxfId="4521" priority="3793" operator="containsText" text="O">
      <formula>NOT(ISERROR(SEARCH(("O"),(V17))))</formula>
    </cfRule>
  </conditionalFormatting>
  <conditionalFormatting sqref="V25:X25">
    <cfRule type="containsText" dxfId="4520" priority="234" operator="containsText" text="C">
      <formula>NOT(ISERROR(SEARCH(("C"),(V25))))</formula>
    </cfRule>
    <cfRule type="containsText" dxfId="4519" priority="233" operator="containsText" text="O">
      <formula>NOT(ISERROR(SEARCH(("O"),(V25))))</formula>
    </cfRule>
    <cfRule type="containsText" dxfId="4518" priority="232" operator="containsText" text="N">
      <formula>NOT(ISERROR(SEARCH(("N"),(V25))))</formula>
    </cfRule>
    <cfRule type="containsText" dxfId="4517" priority="231" operator="containsText" text="L">
      <formula>NOT(ISERROR(SEARCH(("L"),(V25))))</formula>
    </cfRule>
    <cfRule type="containsText" dxfId="4516" priority="230" operator="containsText" text="X">
      <formula>NOT(ISERROR(SEARCH(("X"),(V25))))</formula>
    </cfRule>
    <cfRule type="containsText" dxfId="4515" priority="229" operator="containsText" text="K">
      <formula>NOT(ISERROR(SEARCH(("K"),(V25))))</formula>
    </cfRule>
    <cfRule type="containsText" dxfId="4514" priority="228" operator="containsText" text="P">
      <formula>NOT(ISERROR(SEARCH(("P"),(V25))))</formula>
    </cfRule>
    <cfRule type="containsText" dxfId="4513" priority="227" operator="containsText" text="C">
      <formula>NOT(ISERROR(SEARCH(("C"),(V25))))</formula>
    </cfRule>
    <cfRule type="containsText" dxfId="4512" priority="226" operator="containsText" text="O">
      <formula>NOT(ISERROR(SEARCH(("O"),(V25))))</formula>
    </cfRule>
    <cfRule type="containsText" dxfId="4511" priority="225" operator="containsText" text="L">
      <formula>NOT(ISERROR(SEARCH(("L"),(V25))))</formula>
    </cfRule>
    <cfRule type="containsText" dxfId="4510" priority="224" operator="containsText" text="N">
      <formula>NOT(ISERROR(SEARCH(("N"),(V25))))</formula>
    </cfRule>
    <cfRule type="containsText" dxfId="4509" priority="223" operator="containsText" text="L">
      <formula>NOT(ISERROR(SEARCH(("L"),(V25))))</formula>
    </cfRule>
    <cfRule type="containsText" dxfId="4508" priority="222" operator="containsText" text="N">
      <formula>NOT(ISERROR(SEARCH(("N"),(V25))))</formula>
    </cfRule>
    <cfRule type="containsText" dxfId="4507" priority="221" operator="containsText" text="L">
      <formula>NOT(ISERROR(SEARCH(("L"),(V25))))</formula>
    </cfRule>
    <cfRule type="containsText" dxfId="4506" priority="220" operator="containsText" text="X">
      <formula>NOT(ISERROR(SEARCH(("X"),(V25))))</formula>
    </cfRule>
    <cfRule type="containsText" dxfId="4505" priority="219" operator="containsText" text="K">
      <formula>NOT(ISERROR(SEARCH(("K"),(V25))))</formula>
    </cfRule>
    <cfRule type="containsText" dxfId="4504" priority="207" operator="containsText" text="L">
      <formula>NOT(ISERROR(SEARCH(("L"),(V25))))</formula>
    </cfRule>
    <cfRule type="containsText" dxfId="4503" priority="208" operator="containsText" text="N">
      <formula>NOT(ISERROR(SEARCH(("N"),(V25))))</formula>
    </cfRule>
    <cfRule type="containsText" dxfId="4502" priority="218" operator="containsText" text="P">
      <formula>NOT(ISERROR(SEARCH(("P"),(V25))))</formula>
    </cfRule>
    <cfRule type="containsText" dxfId="4501" priority="185" operator="containsText" text="N">
      <formula>NOT(ISERROR(SEARCH(("N"),(V25))))</formula>
    </cfRule>
    <cfRule type="containsText" dxfId="4500" priority="186" operator="containsText" text="N">
      <formula>NOT(ISERROR(SEARCH(("N"),(V25))))</formula>
    </cfRule>
    <cfRule type="containsText" dxfId="4499" priority="187" operator="containsText" text="N">
      <formula>NOT(ISERROR(SEARCH(("N"),(V25))))</formula>
    </cfRule>
    <cfRule type="containsText" dxfId="4498" priority="188" operator="containsText" text="O">
      <formula>NOT(ISERROR(SEARCH(("O"),(V25))))</formula>
    </cfRule>
    <cfRule type="containsText" dxfId="4497" priority="305" operator="containsText" text="K">
      <formula>NOT(ISERROR(SEARCH(("K"),(V25))))</formula>
    </cfRule>
    <cfRule type="containsText" dxfId="4496" priority="304" operator="containsText" text="P">
      <formula>NOT(ISERROR(SEARCH(("P"),(V25))))</formula>
    </cfRule>
    <cfRule type="containsText" dxfId="4495" priority="303" operator="containsText" text="C">
      <formula>NOT(ISERROR(SEARCH(("C"),(V25))))</formula>
    </cfRule>
    <cfRule type="containsText" dxfId="4494" priority="302" operator="containsText" text="O">
      <formula>NOT(ISERROR(SEARCH(("O"),(V25))))</formula>
    </cfRule>
    <cfRule type="containsText" dxfId="4493" priority="301" operator="containsText" text="N">
      <formula>NOT(ISERROR(SEARCH(("N"),(V25))))</formula>
    </cfRule>
    <cfRule type="containsText" dxfId="4492" priority="300" operator="containsText" text="L">
      <formula>NOT(ISERROR(SEARCH(("L"),(V25))))</formula>
    </cfRule>
    <cfRule type="containsText" dxfId="4491" priority="299" operator="containsText" text="X">
      <formula>NOT(ISERROR(SEARCH(("X"),(V25))))</formula>
    </cfRule>
    <cfRule type="containsText" dxfId="4490" priority="298" operator="containsText" text="K">
      <formula>NOT(ISERROR(SEARCH(("K"),(V25))))</formula>
    </cfRule>
    <cfRule type="containsText" dxfId="4489" priority="297" operator="containsText" text="P">
      <formula>NOT(ISERROR(SEARCH(("P"),(V25))))</formula>
    </cfRule>
    <cfRule type="containsText" dxfId="4488" priority="296" operator="containsText" text="C">
      <formula>NOT(ISERROR(SEARCH(("C"),(V25))))</formula>
    </cfRule>
    <cfRule type="containsText" dxfId="4487" priority="295" operator="containsText" text="L">
      <formula>NOT(ISERROR(SEARCH(("L"),(V25))))</formula>
    </cfRule>
    <cfRule type="containsText" dxfId="4486" priority="294" operator="containsText" text="X">
      <formula>NOT(ISERROR(SEARCH(("X"),(V25))))</formula>
    </cfRule>
    <cfRule type="containsText" dxfId="4485" priority="293" operator="containsText" text="K">
      <formula>NOT(ISERROR(SEARCH(("K"),(V25))))</formula>
    </cfRule>
    <cfRule type="containsText" dxfId="4484" priority="292" operator="containsText" text="P">
      <formula>NOT(ISERROR(SEARCH(("P"),(V25))))</formula>
    </cfRule>
    <cfRule type="containsText" dxfId="4483" priority="291" operator="containsText" text="C">
      <formula>NOT(ISERROR(SEARCH(("C"),(V25))))</formula>
    </cfRule>
    <cfRule type="containsText" dxfId="4482" priority="290" operator="containsText" text="N">
      <formula>NOT(ISERROR(SEARCH(("N"),(V25))))</formula>
    </cfRule>
    <cfRule type="containsText" dxfId="4481" priority="289" operator="containsText" text="X">
      <formula>NOT(ISERROR(SEARCH(("X"),(V25))))</formula>
    </cfRule>
    <cfRule type="containsText" dxfId="4480" priority="288" operator="containsText" text="K">
      <formula>NOT(ISERROR(SEARCH(("K"),(V25))))</formula>
    </cfRule>
    <cfRule type="containsText" dxfId="4479" priority="287" operator="containsText" text="P">
      <formula>NOT(ISERROR(SEARCH(("P"),(V25))))</formula>
    </cfRule>
    <cfRule type="containsText" dxfId="4478" priority="286" operator="containsText" text="C">
      <formula>NOT(ISERROR(SEARCH(("C"),(V25))))</formula>
    </cfRule>
    <cfRule type="containsText" dxfId="4477" priority="285" operator="containsText" text="O">
      <formula>NOT(ISERROR(SEARCH(("O"),(V25))))</formula>
    </cfRule>
    <cfRule type="containsText" dxfId="4476" priority="284" operator="containsText" text="L">
      <formula>NOT(ISERROR(SEARCH(("L"),(V25))))</formula>
    </cfRule>
    <cfRule type="containsText" dxfId="4475" priority="283" operator="containsText" text="X">
      <formula>NOT(ISERROR(SEARCH(("X"),(V25))))</formula>
    </cfRule>
    <cfRule type="containsText" dxfId="4474" priority="282" operator="containsText" text="K">
      <formula>NOT(ISERROR(SEARCH(("K"),(V25))))</formula>
    </cfRule>
    <cfRule type="containsText" dxfId="4473" priority="281" operator="containsText" text="P">
      <formula>NOT(ISERROR(SEARCH(("P"),(V25))))</formula>
    </cfRule>
    <cfRule type="containsText" dxfId="4472" priority="280" operator="containsText" text="C">
      <formula>NOT(ISERROR(SEARCH(("C"),(V25))))</formula>
    </cfRule>
    <cfRule type="containsText" dxfId="4471" priority="279" operator="containsText" text="O">
      <formula>NOT(ISERROR(SEARCH(("O"),(V25))))</formula>
    </cfRule>
    <cfRule type="containsText" dxfId="4470" priority="278" operator="containsText" text="L">
      <formula>NOT(ISERROR(SEARCH(("L"),(V25))))</formula>
    </cfRule>
    <cfRule type="containsText" dxfId="4469" priority="306" operator="containsText" text="X">
      <formula>NOT(ISERROR(SEARCH(("X"),(V25))))</formula>
    </cfRule>
    <cfRule type="containsText" dxfId="4468" priority="277" operator="containsText" text="N">
      <formula>NOT(ISERROR(SEARCH(("N"),(V25))))</formula>
    </cfRule>
    <cfRule type="containsText" dxfId="4467" priority="276" operator="containsText" text="L">
      <formula>NOT(ISERROR(SEARCH(("L"),(V25))))</formula>
    </cfRule>
    <cfRule type="containsText" dxfId="4466" priority="275" operator="containsText" text="X">
      <formula>NOT(ISERROR(SEARCH(("X"),(V25))))</formula>
    </cfRule>
    <cfRule type="containsText" dxfId="4465" priority="274" operator="containsText" text="K">
      <formula>NOT(ISERROR(SEARCH(("K"),(V25))))</formula>
    </cfRule>
    <cfRule type="containsText" dxfId="4464" priority="273" operator="containsText" text="P">
      <formula>NOT(ISERROR(SEARCH(("P"),(V25))))</formula>
    </cfRule>
    <cfRule type="containsText" dxfId="4463" priority="272" operator="containsText" text="C">
      <formula>NOT(ISERROR(SEARCH(("C"),(V25))))</formula>
    </cfRule>
    <cfRule type="containsText" dxfId="4462" priority="271" operator="containsText" text="O">
      <formula>NOT(ISERROR(SEARCH(("O"),(V25))))</formula>
    </cfRule>
    <cfRule type="containsText" dxfId="4461" priority="270" operator="containsText" text="N">
      <formula>NOT(ISERROR(SEARCH(("N"),(V25))))</formula>
    </cfRule>
    <cfRule type="containsText" dxfId="4460" priority="269" operator="containsText" text="L">
      <formula>NOT(ISERROR(SEARCH(("L"),(V25))))</formula>
    </cfRule>
    <cfRule type="containsText" dxfId="4459" priority="268" operator="containsText" text="X">
      <formula>NOT(ISERROR(SEARCH(("X"),(V25))))</formula>
    </cfRule>
    <cfRule type="containsText" dxfId="4458" priority="267" operator="containsText" text="K">
      <formula>NOT(ISERROR(SEARCH(("K"),(V25))))</formula>
    </cfRule>
    <cfRule type="containsText" dxfId="4457" priority="266" operator="containsText" text="P">
      <formula>NOT(ISERROR(SEARCH(("P"),(V25))))</formula>
    </cfRule>
    <cfRule type="containsText" dxfId="4456" priority="265" operator="containsText" text="C">
      <formula>NOT(ISERROR(SEARCH(("C"),(V25))))</formula>
    </cfRule>
    <cfRule type="containsText" dxfId="4455" priority="264" operator="containsText" text="O">
      <formula>NOT(ISERROR(SEARCH(("O"),(V25))))</formula>
    </cfRule>
    <cfRule type="containsText" dxfId="4454" priority="263" operator="containsText" text="L">
      <formula>NOT(ISERROR(SEARCH(("L"),(V25))))</formula>
    </cfRule>
    <cfRule type="containsText" dxfId="4453" priority="262" operator="containsText" text="N">
      <formula>NOT(ISERROR(SEARCH(("N"),(V25))))</formula>
    </cfRule>
    <cfRule type="containsText" dxfId="4452" priority="261" operator="containsText" text="L">
      <formula>NOT(ISERROR(SEARCH(("L"),(V25))))</formula>
    </cfRule>
    <cfRule type="containsText" dxfId="4451" priority="260" operator="containsText" text="N">
      <formula>NOT(ISERROR(SEARCH(("N"),(V25))))</formula>
    </cfRule>
    <cfRule type="containsText" dxfId="4450" priority="259" operator="containsText" text="L">
      <formula>NOT(ISERROR(SEARCH(("L"),(V25))))</formula>
    </cfRule>
    <cfRule type="containsText" dxfId="4449" priority="258" operator="containsText" text="X">
      <formula>NOT(ISERROR(SEARCH(("X"),(V25))))</formula>
    </cfRule>
    <cfRule type="containsText" dxfId="4448" priority="257" operator="containsText" text="K">
      <formula>NOT(ISERROR(SEARCH(("K"),(V25))))</formula>
    </cfRule>
    <cfRule type="containsText" dxfId="4447" priority="256" operator="containsText" text="P">
      <formula>NOT(ISERROR(SEARCH(("P"),(V25))))</formula>
    </cfRule>
    <cfRule type="containsText" dxfId="4446" priority="255" operator="containsText" text="C">
      <formula>NOT(ISERROR(SEARCH(("C"),(V25))))</formula>
    </cfRule>
    <cfRule type="containsText" dxfId="4445" priority="254" operator="containsText" text="O">
      <formula>NOT(ISERROR(SEARCH(("O"),(V25))))</formula>
    </cfRule>
    <cfRule type="containsText" dxfId="4444" priority="253" operator="containsText" text="N">
      <formula>NOT(ISERROR(SEARCH(("N"),(V25))))</formula>
    </cfRule>
    <cfRule type="containsText" dxfId="4443" priority="252" operator="containsText" text="L">
      <formula>NOT(ISERROR(SEARCH(("L"),(V25))))</formula>
    </cfRule>
    <cfRule type="containsText" dxfId="4442" priority="251" operator="containsText" text="X">
      <formula>NOT(ISERROR(SEARCH(("X"),(V25))))</formula>
    </cfRule>
    <cfRule type="containsText" dxfId="4441" priority="250" operator="containsText" text="K">
      <formula>NOT(ISERROR(SEARCH(("K"),(V25))))</formula>
    </cfRule>
    <cfRule type="containsText" dxfId="4440" priority="249" operator="containsText" text="P">
      <formula>NOT(ISERROR(SEARCH(("P"),(V25))))</formula>
    </cfRule>
    <cfRule type="containsText" dxfId="4439" priority="248" operator="containsText" text="C">
      <formula>NOT(ISERROR(SEARCH(("C"),(V25))))</formula>
    </cfRule>
    <cfRule type="containsText" dxfId="4438" priority="247" operator="containsText" text="O">
      <formula>NOT(ISERROR(SEARCH(("O"),(V25))))</formula>
    </cfRule>
    <cfRule type="containsText" dxfId="4437" priority="189" operator="containsText" text="C">
      <formula>NOT(ISERROR(SEARCH(("C"),(V25))))</formula>
    </cfRule>
    <cfRule type="containsText" dxfId="4436" priority="190" operator="containsText" text="P">
      <formula>NOT(ISERROR(SEARCH(("P"),(V25))))</formula>
    </cfRule>
    <cfRule type="containsText" dxfId="4435" priority="191" operator="containsText" text="K">
      <formula>NOT(ISERROR(SEARCH(("K"),(V25))))</formula>
    </cfRule>
    <cfRule type="containsText" dxfId="4434" priority="192" operator="containsText" text="X">
      <formula>NOT(ISERROR(SEARCH(("X"),(V25))))</formula>
    </cfRule>
    <cfRule type="containsText" dxfId="4433" priority="193" operator="containsText" text="L">
      <formula>NOT(ISERROR(SEARCH(("L"),(V25))))</formula>
    </cfRule>
    <cfRule type="containsText" dxfId="4432" priority="246" operator="containsText" text="N">
      <formula>NOT(ISERROR(SEARCH(("N"),(V25))))</formula>
    </cfRule>
    <cfRule type="containsText" dxfId="4431" priority="194" operator="containsText" text="N">
      <formula>NOT(ISERROR(SEARCH(("N"),(V25))))</formula>
    </cfRule>
    <cfRule type="containsText" dxfId="4430" priority="245" operator="containsText" text="L">
      <formula>NOT(ISERROR(SEARCH(("L"),(V25))))</formula>
    </cfRule>
    <cfRule type="containsText" dxfId="4429" priority="244" operator="containsText" text="X">
      <formula>NOT(ISERROR(SEARCH(("X"),(V25))))</formula>
    </cfRule>
    <cfRule type="containsText" dxfId="4428" priority="195" operator="containsText" text="O">
      <formula>NOT(ISERROR(SEARCH(("O"),(V25))))</formula>
    </cfRule>
    <cfRule type="containsText" dxfId="4427" priority="196" operator="containsText" text="C">
      <formula>NOT(ISERROR(SEARCH(("C"),(V25))))</formula>
    </cfRule>
    <cfRule type="containsText" dxfId="4426" priority="197" operator="containsText" text="P">
      <formula>NOT(ISERROR(SEARCH(("P"),(V25))))</formula>
    </cfRule>
    <cfRule type="containsText" dxfId="4425" priority="198" operator="containsText" text="K">
      <formula>NOT(ISERROR(SEARCH(("K"),(V25))))</formula>
    </cfRule>
    <cfRule type="containsText" dxfId="4424" priority="199" operator="containsText" text="X">
      <formula>NOT(ISERROR(SEARCH(("X"),(V25))))</formula>
    </cfRule>
    <cfRule type="containsText" dxfId="4423" priority="200" operator="containsText" text="L">
      <formula>NOT(ISERROR(SEARCH(("L"),(V25))))</formula>
    </cfRule>
    <cfRule type="containsText" dxfId="4422" priority="201" operator="containsText" text="N">
      <formula>NOT(ISERROR(SEARCH(("N"),(V25))))</formula>
    </cfRule>
    <cfRule type="containsText" dxfId="4421" priority="202" operator="containsText" text="O">
      <formula>NOT(ISERROR(SEARCH(("O"),(V25))))</formula>
    </cfRule>
    <cfRule type="containsText" dxfId="4420" priority="203" operator="containsText" text="C">
      <formula>NOT(ISERROR(SEARCH(("C"),(V25))))</formula>
    </cfRule>
    <cfRule type="containsText" dxfId="4419" priority="204" operator="containsText" text="P">
      <formula>NOT(ISERROR(SEARCH(("P"),(V25))))</formula>
    </cfRule>
    <cfRule type="containsText" dxfId="4418" priority="205" operator="containsText" text="K">
      <formula>NOT(ISERROR(SEARCH(("K"),(V25))))</formula>
    </cfRule>
    <cfRule type="containsText" dxfId="4417" priority="206" operator="containsText" text="X">
      <formula>NOT(ISERROR(SEARCH(("X"),(V25))))</formula>
    </cfRule>
    <cfRule type="containsText" dxfId="4416" priority="243" operator="containsText" text="K">
      <formula>NOT(ISERROR(SEARCH(("K"),(V25))))</formula>
    </cfRule>
    <cfRule type="containsText" dxfId="4415" priority="217" operator="containsText" text="C">
      <formula>NOT(ISERROR(SEARCH(("C"),(V25))))</formula>
    </cfRule>
    <cfRule type="containsText" dxfId="4414" priority="216" operator="containsText" text="O">
      <formula>NOT(ISERROR(SEARCH(("O"),(V25))))</formula>
    </cfRule>
    <cfRule type="containsText" dxfId="4413" priority="215" operator="containsText" text="N">
      <formula>NOT(ISERROR(SEARCH(("N"),(V25))))</formula>
    </cfRule>
    <cfRule type="containsText" dxfId="4412" priority="214" operator="containsText" text="L">
      <formula>NOT(ISERROR(SEARCH(("L"),(V25))))</formula>
    </cfRule>
    <cfRule type="containsText" dxfId="4411" priority="213" operator="containsText" text="X">
      <formula>NOT(ISERROR(SEARCH(("X"),(V25))))</formula>
    </cfRule>
    <cfRule type="containsText" dxfId="4410" priority="212" operator="containsText" text="K">
      <formula>NOT(ISERROR(SEARCH(("K"),(V25))))</formula>
    </cfRule>
    <cfRule type="containsText" dxfId="4409" priority="211" operator="containsText" text="P">
      <formula>NOT(ISERROR(SEARCH(("P"),(V25))))</formula>
    </cfRule>
    <cfRule type="containsText" dxfId="4408" priority="210" operator="containsText" text="C">
      <formula>NOT(ISERROR(SEARCH(("C"),(V25))))</formula>
    </cfRule>
    <cfRule type="containsText" dxfId="4407" priority="209" operator="containsText" text="O">
      <formula>NOT(ISERROR(SEARCH(("O"),(V25))))</formula>
    </cfRule>
    <cfRule type="containsText" dxfId="4406" priority="242" operator="containsText" text="P">
      <formula>NOT(ISERROR(SEARCH(("P"),(V25))))</formula>
    </cfRule>
    <cfRule type="containsText" dxfId="4405" priority="241" operator="containsText" text="C">
      <formula>NOT(ISERROR(SEARCH(("C"),(V25))))</formula>
    </cfRule>
    <cfRule type="containsText" dxfId="4404" priority="240" operator="containsText" text="O">
      <formula>NOT(ISERROR(SEARCH(("O"),(V25))))</formula>
    </cfRule>
    <cfRule type="containsText" dxfId="4403" priority="239" operator="containsText" text="N">
      <formula>NOT(ISERROR(SEARCH(("N"),(V25))))</formula>
    </cfRule>
    <cfRule type="containsText" dxfId="4402" priority="238" operator="containsText" text="L">
      <formula>NOT(ISERROR(SEARCH(("L"),(V25))))</formula>
    </cfRule>
    <cfRule type="containsText" dxfId="4401" priority="237" operator="containsText" text="X">
      <formula>NOT(ISERROR(SEARCH(("X"),(V25))))</formula>
    </cfRule>
    <cfRule type="containsText" dxfId="4400" priority="236" operator="containsText" text="K">
      <formula>NOT(ISERROR(SEARCH(("K"),(V25))))</formula>
    </cfRule>
    <cfRule type="containsText" dxfId="4399" priority="235" operator="containsText" text="P">
      <formula>NOT(ISERROR(SEARCH(("P"),(V25))))</formula>
    </cfRule>
  </conditionalFormatting>
  <conditionalFormatting sqref="V17:Z17">
    <cfRule type="containsText" dxfId="4398" priority="3792" operator="containsText" text="N">
      <formula>NOT(ISERROR(SEARCH(("N"),(V17))))</formula>
    </cfRule>
    <cfRule type="containsText" dxfId="4397" priority="3808" operator="containsText" text="C">
      <formula>NOT(ISERROR(SEARCH(("C"),(V17))))</formula>
    </cfRule>
    <cfRule type="containsText" dxfId="4396" priority="3807" operator="containsText" text="O">
      <formula>NOT(ISERROR(SEARCH(("O"),(V17))))</formula>
    </cfRule>
    <cfRule type="containsText" dxfId="4395" priority="3806" operator="containsText" text="N">
      <formula>NOT(ISERROR(SEARCH(("N"),(V17))))</formula>
    </cfRule>
    <cfRule type="containsText" dxfId="4394" priority="3815" operator="containsText" text="N">
      <formula>NOT(ISERROR(SEARCH(("N"),(V17))))</formula>
    </cfRule>
    <cfRule type="containsText" dxfId="4393" priority="3814" operator="containsText" text="L">
      <formula>NOT(ISERROR(SEARCH(("L"),(V17))))</formula>
    </cfRule>
    <cfRule type="containsText" dxfId="4392" priority="3812" operator="containsText" text="L">
      <formula>NOT(ISERROR(SEARCH(("L"),(V17))))</formula>
    </cfRule>
    <cfRule type="containsText" dxfId="4391" priority="3811" operator="containsText" text="X">
      <formula>NOT(ISERROR(SEARCH(("X"),(V17))))</formula>
    </cfRule>
    <cfRule type="containsText" dxfId="4390" priority="3810" operator="containsText" text="K">
      <formula>NOT(ISERROR(SEARCH(("K"),(V17))))</formula>
    </cfRule>
    <cfRule type="containsText" dxfId="4389" priority="3809" operator="containsText" text="P">
      <formula>NOT(ISERROR(SEARCH(("P"),(V17))))</formula>
    </cfRule>
  </conditionalFormatting>
  <conditionalFormatting sqref="V23:Z23">
    <cfRule type="containsText" dxfId="4388" priority="989" operator="containsText" text="P">
      <formula>NOT(ISERROR(SEARCH(("P"),(V23))))</formula>
    </cfRule>
    <cfRule type="containsText" dxfId="4387" priority="1008" operator="containsText" text="N">
      <formula>NOT(ISERROR(SEARCH(("N"),(V23))))</formula>
    </cfRule>
    <cfRule type="containsText" dxfId="4386" priority="1015" operator="containsText" text="N">
      <formula>NOT(ISERROR(SEARCH(("N"),(V23))))</formula>
    </cfRule>
    <cfRule type="containsText" dxfId="4385" priority="1005" operator="containsText" text="K">
      <formula>NOT(ISERROR(SEARCH(("K"),(V23))))</formula>
    </cfRule>
    <cfRule type="containsText" dxfId="4384" priority="1004" operator="containsText" text="P">
      <formula>NOT(ISERROR(SEARCH(("P"),(V23))))</formula>
    </cfRule>
    <cfRule type="containsText" dxfId="4383" priority="1003" operator="containsText" text="C">
      <formula>NOT(ISERROR(SEARCH(("C"),(V23))))</formula>
    </cfRule>
    <cfRule type="containsText" dxfId="4382" priority="1002" operator="containsText" text="O">
      <formula>NOT(ISERROR(SEARCH(("O"),(V23))))</formula>
    </cfRule>
    <cfRule type="containsText" dxfId="4381" priority="1001" operator="containsText" text="N">
      <formula>NOT(ISERROR(SEARCH(("N"),(V23))))</formula>
    </cfRule>
    <cfRule type="containsText" dxfId="4380" priority="1000" operator="containsText" text="L">
      <formula>NOT(ISERROR(SEARCH(("L"),(V23))))</formula>
    </cfRule>
    <cfRule type="containsText" dxfId="4379" priority="1022" operator="containsText" text="O">
      <formula>NOT(ISERROR(SEARCH(("O"),(V23))))</formula>
    </cfRule>
    <cfRule type="containsText" dxfId="4378" priority="999" operator="containsText" text="X">
      <formula>NOT(ISERROR(SEARCH(("X"),(V23))))</formula>
    </cfRule>
    <cfRule type="containsText" dxfId="4377" priority="1014" operator="containsText" text="L">
      <formula>NOT(ISERROR(SEARCH(("L"),(V23))))</formula>
    </cfRule>
    <cfRule type="containsText" dxfId="4376" priority="998" operator="containsText" text="K">
      <formula>NOT(ISERROR(SEARCH(("K"),(V23))))</formula>
    </cfRule>
    <cfRule type="containsText" dxfId="4375" priority="997" operator="containsText" text="P">
      <formula>NOT(ISERROR(SEARCH(("P"),(V23))))</formula>
    </cfRule>
    <cfRule type="containsText" dxfId="4374" priority="996" operator="containsText" text="C">
      <formula>NOT(ISERROR(SEARCH(("C"),(V23))))</formula>
    </cfRule>
    <cfRule type="containsText" dxfId="4373" priority="995" operator="containsText" text="O">
      <formula>NOT(ISERROR(SEARCH(("O"),(V23))))</formula>
    </cfRule>
    <cfRule type="containsText" dxfId="4372" priority="994" operator="containsText" text="N">
      <formula>NOT(ISERROR(SEARCH(("N"),(V23))))</formula>
    </cfRule>
    <cfRule type="containsText" dxfId="4371" priority="1013" operator="containsText" text="X">
      <formula>NOT(ISERROR(SEARCH(("X"),(V23))))</formula>
    </cfRule>
    <cfRule type="containsText" dxfId="4370" priority="1012" operator="containsText" text="K">
      <formula>NOT(ISERROR(SEARCH(("K"),(V23))))</formula>
    </cfRule>
    <cfRule type="containsText" dxfId="4369" priority="1011" operator="containsText" text="P">
      <formula>NOT(ISERROR(SEARCH(("P"),(V23))))</formula>
    </cfRule>
    <cfRule type="containsText" dxfId="4368" priority="1020" operator="containsText" text="X">
      <formula>NOT(ISERROR(SEARCH(("X"),(V23))))</formula>
    </cfRule>
    <cfRule type="containsText" dxfId="4367" priority="991" operator="containsText" text="X">
      <formula>NOT(ISERROR(SEARCH(("X"),(V23))))</formula>
    </cfRule>
    <cfRule type="containsText" dxfId="4366" priority="1019" operator="containsText" text="K">
      <formula>NOT(ISERROR(SEARCH(("K"),(V23))))</formula>
    </cfRule>
    <cfRule type="containsText" dxfId="4365" priority="1009" operator="containsText" text="O">
      <formula>NOT(ISERROR(SEARCH(("O"),(V23))))</formula>
    </cfRule>
    <cfRule type="containsText" dxfId="4364" priority="1007" operator="containsText" text="L">
      <formula>NOT(ISERROR(SEARCH(("L"),(V23))))</formula>
    </cfRule>
    <cfRule type="containsText" dxfId="4363" priority="1006" operator="containsText" text="X">
      <formula>NOT(ISERROR(SEARCH(("X"),(V23))))</formula>
    </cfRule>
    <cfRule type="containsText" dxfId="4362" priority="990" operator="containsText" text="K">
      <formula>NOT(ISERROR(SEARCH(("K"),(V23))))</formula>
    </cfRule>
    <cfRule type="containsText" dxfId="4361" priority="992" operator="containsText" text="L">
      <formula>NOT(ISERROR(SEARCH(("L"),(V23))))</formula>
    </cfRule>
    <cfRule type="containsText" dxfId="4360" priority="1018" operator="containsText" text="P">
      <formula>NOT(ISERROR(SEARCH(("P"),(V23))))</formula>
    </cfRule>
    <cfRule type="containsText" dxfId="4359" priority="988" operator="containsText" text="C">
      <formula>NOT(ISERROR(SEARCH(("C"),(V23))))</formula>
    </cfRule>
    <cfRule type="containsText" dxfId="4358" priority="979" operator="containsText" text="N">
      <formula>NOT(ISERROR(SEARCH(("N"),(V23))))</formula>
    </cfRule>
    <cfRule type="containsText" dxfId="4357" priority="980" operator="containsText" text="O">
      <formula>NOT(ISERROR(SEARCH(("O"),(V23))))</formula>
    </cfRule>
    <cfRule type="containsText" dxfId="4356" priority="981" operator="containsText" text="C">
      <formula>NOT(ISERROR(SEARCH(("C"),(V23))))</formula>
    </cfRule>
    <cfRule type="containsText" dxfId="4355" priority="987" operator="containsText" text="O">
      <formula>NOT(ISERROR(SEARCH(("O"),(V23))))</formula>
    </cfRule>
    <cfRule type="containsText" dxfId="4354" priority="986" operator="containsText" text="N">
      <formula>NOT(ISERROR(SEARCH(("N"),(V23))))</formula>
    </cfRule>
    <cfRule type="containsText" dxfId="4353" priority="985" operator="containsText" text="L">
      <formula>NOT(ISERROR(SEARCH(("L"),(V23))))</formula>
    </cfRule>
    <cfRule type="containsText" dxfId="4352" priority="984" operator="containsText" text="X">
      <formula>NOT(ISERROR(SEARCH(("X"),(V23))))</formula>
    </cfRule>
    <cfRule type="containsText" dxfId="4351" priority="983" operator="containsText" text="K">
      <formula>NOT(ISERROR(SEARCH(("K"),(V23))))</formula>
    </cfRule>
    <cfRule type="containsText" dxfId="4350" priority="982" operator="containsText" text="P">
      <formula>NOT(ISERROR(SEARCH(("P"),(V23))))</formula>
    </cfRule>
    <cfRule type="containsText" dxfId="4349" priority="1017" operator="containsText" text="C">
      <formula>NOT(ISERROR(SEARCH(("C"),(V23))))</formula>
    </cfRule>
    <cfRule type="containsText" dxfId="4348" priority="1024" operator="containsText" text="P">
      <formula>NOT(ISERROR(SEARCH(("P"),(V23))))</formula>
    </cfRule>
    <cfRule type="containsText" dxfId="4347" priority="1016" operator="containsText" text="O">
      <formula>NOT(ISERROR(SEARCH(("O"),(V23))))</formula>
    </cfRule>
    <cfRule type="containsText" dxfId="4346" priority="1023" operator="containsText" text="C">
      <formula>NOT(ISERROR(SEARCH(("C"),(V23))))</formula>
    </cfRule>
    <cfRule type="containsText" dxfId="4345" priority="1021" operator="containsText" text="L">
      <formula>NOT(ISERROR(SEARCH(("L"),(V23))))</formula>
    </cfRule>
    <cfRule type="containsText" dxfId="4344" priority="1010" operator="containsText" text="C">
      <formula>NOT(ISERROR(SEARCH(("C"),(V23))))</formula>
    </cfRule>
    <cfRule type="containsText" dxfId="4343" priority="1025" operator="containsText" text="K">
      <formula>NOT(ISERROR(SEARCH(("K"),(V23))))</formula>
    </cfRule>
    <cfRule type="containsText" dxfId="4342" priority="1026" operator="containsText" text="X">
      <formula>NOT(ISERROR(SEARCH(("X"),(V23))))</formula>
    </cfRule>
    <cfRule type="containsText" dxfId="4341" priority="1027" operator="containsText" text="N">
      <formula>NOT(ISERROR(SEARCH(("N"),(V23))))</formula>
    </cfRule>
  </conditionalFormatting>
  <conditionalFormatting sqref="V24:Z24">
    <cfRule type="containsText" dxfId="4340" priority="642" operator="containsText" text="C">
      <formula>NOT(ISERROR(SEARCH(("C"),(V24))))</formula>
    </cfRule>
    <cfRule type="containsText" dxfId="4339" priority="644" operator="containsText" text="K">
      <formula>NOT(ISERROR(SEARCH(("K"),(V24))))</formula>
    </cfRule>
    <cfRule type="containsText" dxfId="4338" priority="645" operator="containsText" text="X">
      <formula>NOT(ISERROR(SEARCH(("X"),(V24))))</formula>
    </cfRule>
    <cfRule type="containsText" dxfId="4337" priority="646" operator="containsText" text="L">
      <formula>NOT(ISERROR(SEARCH(("L"),(V24))))</formula>
    </cfRule>
    <cfRule type="containsText" dxfId="4336" priority="647" operator="containsText" text="N">
      <formula>NOT(ISERROR(SEARCH(("N"),(V24))))</formula>
    </cfRule>
    <cfRule type="containsText" dxfId="4335" priority="649" operator="containsText" text="C">
      <formula>NOT(ISERROR(SEARCH(("C"),(V24))))</formula>
    </cfRule>
    <cfRule type="containsText" dxfId="4334" priority="650" operator="containsText" text="P">
      <formula>NOT(ISERROR(SEARCH(("P"),(V24))))</formula>
    </cfRule>
    <cfRule type="containsText" dxfId="4333" priority="651" operator="containsText" text="K">
      <formula>NOT(ISERROR(SEARCH(("K"),(V24))))</formula>
    </cfRule>
    <cfRule type="containsText" dxfId="4332" priority="652" operator="containsText" text="X">
      <formula>NOT(ISERROR(SEARCH(("X"),(V24))))</formula>
    </cfRule>
    <cfRule type="containsText" dxfId="4331" priority="653" operator="containsText" text="L">
      <formula>NOT(ISERROR(SEARCH(("L"),(V24))))</formula>
    </cfRule>
    <cfRule type="containsText" dxfId="4330" priority="654" operator="containsText" text="N">
      <formula>NOT(ISERROR(SEARCH(("N"),(V24))))</formula>
    </cfRule>
    <cfRule type="containsText" dxfId="4329" priority="655" operator="containsText" text="O">
      <formula>NOT(ISERROR(SEARCH(("O"),(V24))))</formula>
    </cfRule>
    <cfRule type="containsText" dxfId="4328" priority="656" operator="containsText" text="C">
      <formula>NOT(ISERROR(SEARCH(("C"),(V24))))</formula>
    </cfRule>
    <cfRule type="containsText" dxfId="4327" priority="657" operator="containsText" text="P">
      <formula>NOT(ISERROR(SEARCH(("P"),(V24))))</formula>
    </cfRule>
    <cfRule type="containsText" dxfId="4326" priority="658" operator="containsText" text="K">
      <formula>NOT(ISERROR(SEARCH(("K"),(V24))))</formula>
    </cfRule>
    <cfRule type="containsText" dxfId="4325" priority="659" operator="containsText" text="X">
      <formula>NOT(ISERROR(SEARCH(("X"),(V24))))</formula>
    </cfRule>
    <cfRule type="containsText" dxfId="4324" priority="667" operator="containsText" text="L">
      <formula>NOT(ISERROR(SEARCH(("L"),(V24))))</formula>
    </cfRule>
    <cfRule type="containsText" dxfId="4323" priority="668" operator="containsText" text="O">
      <formula>NOT(ISERROR(SEARCH(("O"),(V24))))</formula>
    </cfRule>
    <cfRule type="containsText" dxfId="4322" priority="648" operator="containsText" text="O">
      <formula>NOT(ISERROR(SEARCH(("O"),(V24))))</formula>
    </cfRule>
    <cfRule type="containsText" dxfId="4321" priority="670" operator="containsText" text="P">
      <formula>NOT(ISERROR(SEARCH(("P"),(V24))))</formula>
    </cfRule>
    <cfRule type="containsText" dxfId="4320" priority="671" operator="containsText" text="K">
      <formula>NOT(ISERROR(SEARCH(("K"),(V24))))</formula>
    </cfRule>
    <cfRule type="containsText" dxfId="4319" priority="672" operator="containsText" text="X">
      <formula>NOT(ISERROR(SEARCH(("X"),(V24))))</formula>
    </cfRule>
    <cfRule type="containsText" dxfId="4318" priority="673" operator="containsText" text="N">
      <formula>NOT(ISERROR(SEARCH(("N"),(V24))))</formula>
    </cfRule>
    <cfRule type="containsText" dxfId="4317" priority="643" operator="containsText" text="P">
      <formula>NOT(ISERROR(SEARCH(("P"),(V24))))</formula>
    </cfRule>
    <cfRule type="containsText" dxfId="4316" priority="666" operator="containsText" text="X">
      <formula>NOT(ISERROR(SEARCH(("X"),(V24))))</formula>
    </cfRule>
    <cfRule type="containsText" dxfId="4315" priority="663" operator="containsText" text="C">
      <formula>NOT(ISERROR(SEARCH(("C"),(V24))))</formula>
    </cfRule>
    <cfRule type="containsText" dxfId="4314" priority="625" operator="containsText" text="N">
      <formula>NOT(ISERROR(SEARCH(("N"),(V24))))</formula>
    </cfRule>
    <cfRule type="containsText" dxfId="4313" priority="665" operator="containsText" text="K">
      <formula>NOT(ISERROR(SEARCH(("K"),(V24))))</formula>
    </cfRule>
    <cfRule type="containsText" dxfId="4312" priority="669" operator="containsText" text="C">
      <formula>NOT(ISERROR(SEARCH(("C"),(V24))))</formula>
    </cfRule>
    <cfRule type="containsText" dxfId="4311" priority="664" operator="containsText" text="P">
      <formula>NOT(ISERROR(SEARCH(("P"),(V24))))</formula>
    </cfRule>
    <cfRule type="containsText" dxfId="4310" priority="662" operator="containsText" text="O">
      <formula>NOT(ISERROR(SEARCH(("O"),(V24))))</formula>
    </cfRule>
    <cfRule type="containsText" dxfId="4309" priority="661" operator="containsText" text="N">
      <formula>NOT(ISERROR(SEARCH(("N"),(V24))))</formula>
    </cfRule>
    <cfRule type="containsText" dxfId="4308" priority="660" operator="containsText" text="L">
      <formula>NOT(ISERROR(SEARCH(("L"),(V24))))</formula>
    </cfRule>
    <cfRule type="containsText" dxfId="4307" priority="626" operator="containsText" text="O">
      <formula>NOT(ISERROR(SEARCH(("O"),(V24))))</formula>
    </cfRule>
    <cfRule type="containsText" dxfId="4306" priority="627" operator="containsText" text="C">
      <formula>NOT(ISERROR(SEARCH(("C"),(V24))))</formula>
    </cfRule>
    <cfRule type="containsText" dxfId="4305" priority="628" operator="containsText" text="P">
      <formula>NOT(ISERROR(SEARCH(("P"),(V24))))</formula>
    </cfRule>
    <cfRule type="containsText" dxfId="4304" priority="629" operator="containsText" text="K">
      <formula>NOT(ISERROR(SEARCH(("K"),(V24))))</formula>
    </cfRule>
    <cfRule type="containsText" dxfId="4303" priority="630" operator="containsText" text="X">
      <formula>NOT(ISERROR(SEARCH(("X"),(V24))))</formula>
    </cfRule>
    <cfRule type="containsText" dxfId="4302" priority="631" operator="containsText" text="L">
      <formula>NOT(ISERROR(SEARCH(("L"),(V24))))</formula>
    </cfRule>
    <cfRule type="containsText" dxfId="4301" priority="632" operator="containsText" text="N">
      <formula>NOT(ISERROR(SEARCH(("N"),(V24))))</formula>
    </cfRule>
    <cfRule type="containsText" dxfId="4300" priority="633" operator="containsText" text="O">
      <formula>NOT(ISERROR(SEARCH(("O"),(V24))))</formula>
    </cfRule>
    <cfRule type="containsText" dxfId="4299" priority="634" operator="containsText" text="C">
      <formula>NOT(ISERROR(SEARCH(("C"),(V24))))</formula>
    </cfRule>
    <cfRule type="containsText" dxfId="4298" priority="635" operator="containsText" text="P">
      <formula>NOT(ISERROR(SEARCH(("P"),(V24))))</formula>
    </cfRule>
    <cfRule type="containsText" dxfId="4297" priority="636" operator="containsText" text="K">
      <formula>NOT(ISERROR(SEARCH(("K"),(V24))))</formula>
    </cfRule>
    <cfRule type="containsText" dxfId="4296" priority="637" operator="containsText" text="X">
      <formula>NOT(ISERROR(SEARCH(("X"),(V24))))</formula>
    </cfRule>
    <cfRule type="containsText" dxfId="4295" priority="638" operator="containsText" text="L">
      <formula>NOT(ISERROR(SEARCH(("L"),(V24))))</formula>
    </cfRule>
    <cfRule type="containsText" dxfId="4294" priority="640" operator="containsText" text="N">
      <formula>NOT(ISERROR(SEARCH(("N"),(V24))))</formula>
    </cfRule>
    <cfRule type="containsText" dxfId="4293" priority="641" operator="containsText" text="O">
      <formula>NOT(ISERROR(SEARCH(("O"),(V24))))</formula>
    </cfRule>
  </conditionalFormatting>
  <conditionalFormatting sqref="V26:Z26">
    <cfRule type="containsText" dxfId="4292" priority="5253" operator="containsText" text="O">
      <formula>NOT(ISERROR(SEARCH(("O"),(V26))))</formula>
    </cfRule>
    <cfRule type="containsText" dxfId="4291" priority="5254" operator="containsText" text="C">
      <formula>NOT(ISERROR(SEARCH(("C"),(V26))))</formula>
    </cfRule>
    <cfRule type="containsText" dxfId="4290" priority="5255" operator="containsText" text="P">
      <formula>NOT(ISERROR(SEARCH(("P"),(V26))))</formula>
    </cfRule>
    <cfRule type="containsText" dxfId="4289" priority="5257" operator="containsText" text="X">
      <formula>NOT(ISERROR(SEARCH(("X"),(V26))))</formula>
    </cfRule>
    <cfRule type="containsText" dxfId="4288" priority="5258" operator="containsText" text="L">
      <formula>NOT(ISERROR(SEARCH(("L"),(V26))))</formula>
    </cfRule>
    <cfRule type="containsText" dxfId="4287" priority="5259" operator="containsText" text="N">
      <formula>NOT(ISERROR(SEARCH(("N"),(V26))))</formula>
    </cfRule>
    <cfRule type="containsText" dxfId="4286" priority="5260" operator="containsText" text="L">
      <formula>NOT(ISERROR(SEARCH(("L"),(V26))))</formula>
    </cfRule>
    <cfRule type="containsText" dxfId="4285" priority="5248" operator="containsText" text="P">
      <formula>NOT(ISERROR(SEARCH(("P"),(V26))))</formula>
    </cfRule>
    <cfRule type="containsText" dxfId="4284" priority="5261" operator="containsText" text="N">
      <formula>NOT(ISERROR(SEARCH(("N"),(V26))))</formula>
    </cfRule>
    <cfRule type="containsText" dxfId="4283" priority="5262" operator="containsText" text="O">
      <formula>NOT(ISERROR(SEARCH(("O"),(V26))))</formula>
    </cfRule>
    <cfRule type="containsText" dxfId="4282" priority="5263" operator="containsText" text="C">
      <formula>NOT(ISERROR(SEARCH(("C"),(V26))))</formula>
    </cfRule>
    <cfRule type="containsText" dxfId="4281" priority="5268" operator="containsText" text="O">
      <formula>NOT(ISERROR(SEARCH(("O"),(V26))))</formula>
    </cfRule>
    <cfRule type="containsText" dxfId="4280" priority="5247" operator="containsText" text="C">
      <formula>NOT(ISERROR(SEARCH(("C"),(V26))))</formula>
    </cfRule>
    <cfRule type="containsText" dxfId="4279" priority="5271" operator="containsText" text="K">
      <formula>NOT(ISERROR(SEARCH(("K"),(V26))))</formula>
    </cfRule>
    <cfRule type="containsText" dxfId="4278" priority="5239" operator="containsText" text="O">
      <formula>NOT(ISERROR(SEARCH(("O"),(V26))))</formula>
    </cfRule>
    <cfRule type="containsText" dxfId="4277" priority="5250" operator="containsText" text="X">
      <formula>NOT(ISERROR(SEARCH(("X"),(V26))))</formula>
    </cfRule>
    <cfRule type="containsText" dxfId="4276" priority="5256" operator="containsText" text="K">
      <formula>NOT(ISERROR(SEARCH(("K"),(V26))))</formula>
    </cfRule>
    <cfRule type="containsText" dxfId="4275" priority="5270" operator="containsText" text="P">
      <formula>NOT(ISERROR(SEARCH(("P"),(V26))))</formula>
    </cfRule>
    <cfRule type="containsText" dxfId="4274" priority="5264" operator="containsText" text="P">
      <formula>NOT(ISERROR(SEARCH(("P"),(V26))))</formula>
    </cfRule>
    <cfRule type="containsText" dxfId="4273" priority="5251" operator="containsText" text="L">
      <formula>NOT(ISERROR(SEARCH(("L"),(V26))))</formula>
    </cfRule>
    <cfRule type="containsText" dxfId="4272" priority="5252" operator="containsText" text="N">
      <formula>NOT(ISERROR(SEARCH(("N"),(V26))))</formula>
    </cfRule>
    <cfRule type="containsText" dxfId="4271" priority="5249" operator="containsText" text="K">
      <formula>NOT(ISERROR(SEARCH(("K"),(V26))))</formula>
    </cfRule>
    <cfRule type="containsText" dxfId="4270" priority="5272" operator="containsText" text="X">
      <formula>NOT(ISERROR(SEARCH(("X"),(V26))))</formula>
    </cfRule>
    <cfRule type="containsText" dxfId="4269" priority="5265" operator="containsText" text="K">
      <formula>NOT(ISERROR(SEARCH(("K"),(V26))))</formula>
    </cfRule>
    <cfRule type="containsText" dxfId="4268" priority="5266" operator="containsText" text="X">
      <formula>NOT(ISERROR(SEARCH(("X"),(V26))))</formula>
    </cfRule>
    <cfRule type="containsText" dxfId="4267" priority="5267" operator="containsText" text="L">
      <formula>NOT(ISERROR(SEARCH(("L"),(V26))))</formula>
    </cfRule>
    <cfRule type="containsText" dxfId="4266" priority="5269" operator="containsText" text="C">
      <formula>NOT(ISERROR(SEARCH(("C"),(V26))))</formula>
    </cfRule>
    <cfRule type="containsText" dxfId="4265" priority="5246" operator="containsText" text="O">
      <formula>NOT(ISERROR(SEARCH(("O"),(V26))))</formula>
    </cfRule>
    <cfRule type="containsText" dxfId="4264" priority="5245" operator="containsText" text="N">
      <formula>NOT(ISERROR(SEARCH(("N"),(V26))))</formula>
    </cfRule>
    <cfRule type="containsText" dxfId="4263" priority="5244" operator="containsText" text="L">
      <formula>NOT(ISERROR(SEARCH(("L"),(V26))))</formula>
    </cfRule>
    <cfRule type="containsText" dxfId="4262" priority="5243" operator="containsText" text="X">
      <formula>NOT(ISERROR(SEARCH(("X"),(V26))))</formula>
    </cfRule>
    <cfRule type="containsText" dxfId="4261" priority="5242" operator="containsText" text="K">
      <formula>NOT(ISERROR(SEARCH(("K"),(V26))))</formula>
    </cfRule>
    <cfRule type="containsText" dxfId="4260" priority="5241" operator="containsText" text="P">
      <formula>NOT(ISERROR(SEARCH(("P"),(V26))))</formula>
    </cfRule>
    <cfRule type="containsText" dxfId="4259" priority="5240" operator="containsText" text="C">
      <formula>NOT(ISERROR(SEARCH(("C"),(V26))))</formula>
    </cfRule>
  </conditionalFormatting>
  <conditionalFormatting sqref="V13:AA13">
    <cfRule type="containsText" dxfId="4258" priority="8205" operator="containsText" text="L">
      <formula>NOT(ISERROR(SEARCH(("L"),(V13))))</formula>
    </cfRule>
    <cfRule type="containsText" dxfId="4257" priority="8199" operator="containsText" text="N">
      <formula>NOT(ISERROR(SEARCH(("N"),(V13))))</formula>
    </cfRule>
    <cfRule type="containsText" dxfId="4256" priority="8200" operator="containsText" text="O">
      <formula>NOT(ISERROR(SEARCH(("O"),(V13))))</formula>
    </cfRule>
    <cfRule type="containsText" dxfId="4255" priority="8202" operator="containsText" text="P">
      <formula>NOT(ISERROR(SEARCH(("P"),(V13))))</formula>
    </cfRule>
    <cfRule type="containsText" dxfId="4254" priority="8203" operator="containsText" text="K">
      <formula>NOT(ISERROR(SEARCH(("K"),(V13))))</formula>
    </cfRule>
    <cfRule type="containsText" dxfId="4253" priority="8204" operator="containsText" text="X">
      <formula>NOT(ISERROR(SEARCH(("X"),(V13))))</formula>
    </cfRule>
    <cfRule type="containsText" dxfId="4252" priority="8201" operator="containsText" text="C">
      <formula>NOT(ISERROR(SEARCH(("C"),(V13))))</formula>
    </cfRule>
  </conditionalFormatting>
  <conditionalFormatting sqref="W13">
    <cfRule type="containsText" dxfId="4251" priority="4976" operator="containsText" text="L">
      <formula>NOT(ISERROR(SEARCH(("L"),(W13))))</formula>
    </cfRule>
    <cfRule type="containsText" dxfId="4250" priority="4975" operator="containsText" text="X">
      <formula>NOT(ISERROR(SEARCH(("X"),(W13))))</formula>
    </cfRule>
    <cfRule type="containsText" dxfId="4249" priority="4974" operator="containsText" text="K">
      <formula>NOT(ISERROR(SEARCH(("K"),(W13))))</formula>
    </cfRule>
    <cfRule type="containsText" dxfId="4248" priority="4973" operator="containsText" text="P">
      <formula>NOT(ISERROR(SEARCH(("P"),(W13))))</formula>
    </cfRule>
    <cfRule type="containsText" dxfId="4247" priority="4972" operator="containsText" text="C">
      <formula>NOT(ISERROR(SEARCH(("C"),(W13))))</formula>
    </cfRule>
    <cfRule type="containsText" dxfId="4246" priority="4971" operator="containsText" text="O">
      <formula>NOT(ISERROR(SEARCH(("O"),(W13))))</formula>
    </cfRule>
  </conditionalFormatting>
  <conditionalFormatting sqref="W11:X11">
    <cfRule type="containsText" dxfId="4245" priority="5434" operator="containsText" text="X">
      <formula>NOT(ISERROR(SEARCH(("X"),(W11))))</formula>
    </cfRule>
    <cfRule type="containsText" dxfId="4244" priority="5435" operator="containsText" text="L">
      <formula>NOT(ISERROR(SEARCH(("L"),(W11))))</formula>
    </cfRule>
    <cfRule type="containsText" dxfId="4243" priority="5436" operator="containsText" text="N">
      <formula>NOT(ISERROR(SEARCH(("N"),(W11))))</formula>
    </cfRule>
    <cfRule type="containsText" dxfId="4242" priority="5437" operator="containsText" text="O">
      <formula>NOT(ISERROR(SEARCH(("O"),(W11))))</formula>
    </cfRule>
    <cfRule type="containsText" dxfId="4241" priority="5438" operator="containsText" text="C">
      <formula>NOT(ISERROR(SEARCH(("C"),(W11))))</formula>
    </cfRule>
    <cfRule type="containsText" dxfId="4240" priority="5423" operator="containsText" text="O">
      <formula>NOT(ISERROR(SEARCH(("O"),(W11))))</formula>
    </cfRule>
    <cfRule type="containsText" dxfId="4239" priority="5439" operator="containsText" text="P">
      <formula>NOT(ISERROR(SEARCH(("P"),(W11))))</formula>
    </cfRule>
    <cfRule type="containsText" dxfId="4238" priority="5440" operator="containsText" text="K">
      <formula>NOT(ISERROR(SEARCH(("K"),(W11))))</formula>
    </cfRule>
    <cfRule type="containsText" dxfId="4237" priority="5441" operator="containsText" text="X">
      <formula>NOT(ISERROR(SEARCH(("X"),(W11))))</formula>
    </cfRule>
    <cfRule type="containsText" dxfId="4236" priority="5442" operator="containsText" text="L">
      <formula>NOT(ISERROR(SEARCH(("L"),(W11))))</formula>
    </cfRule>
    <cfRule type="containsText" dxfId="4235" priority="5443" operator="containsText" text="C">
      <formula>NOT(ISERROR(SEARCH(("C"),(W11))))</formula>
    </cfRule>
    <cfRule type="containsText" dxfId="4234" priority="5444" operator="containsText" text="P">
      <formula>NOT(ISERROR(SEARCH(("P"),(W11))))</formula>
    </cfRule>
    <cfRule type="containsText" dxfId="4233" priority="5445" operator="containsText" text="K">
      <formula>NOT(ISERROR(SEARCH(("K"),(W11))))</formula>
    </cfRule>
    <cfRule type="containsText" dxfId="4232" priority="5446" operator="containsText" text="X">
      <formula>NOT(ISERROR(SEARCH(("X"),(W11))))</formula>
    </cfRule>
    <cfRule type="containsText" dxfId="4231" priority="5447" operator="containsText" text="L">
      <formula>NOT(ISERROR(SEARCH(("L"),(W11))))</formula>
    </cfRule>
    <cfRule type="containsText" dxfId="4230" priority="5416" operator="containsText" text="O">
      <formula>NOT(ISERROR(SEARCH(("O"),(W11))))</formula>
    </cfRule>
    <cfRule type="containsText" dxfId="4229" priority="5417" operator="containsText" text="C">
      <formula>NOT(ISERROR(SEARCH(("C"),(W11))))</formula>
    </cfRule>
    <cfRule type="containsText" dxfId="4228" priority="5418" operator="containsText" text="P">
      <formula>NOT(ISERROR(SEARCH(("P"),(W11))))</formula>
    </cfRule>
    <cfRule type="containsText" dxfId="4227" priority="5419" operator="containsText" text="K">
      <formula>NOT(ISERROR(SEARCH(("K"),(W11))))</formula>
    </cfRule>
    <cfRule type="containsText" dxfId="4226" priority="5420" operator="containsText" text="X">
      <formula>NOT(ISERROR(SEARCH(("X"),(W11))))</formula>
    </cfRule>
    <cfRule type="containsText" dxfId="4225" priority="5421" operator="containsText" text="L">
      <formula>NOT(ISERROR(SEARCH(("L"),(W11))))</formula>
    </cfRule>
    <cfRule type="containsText" dxfId="4224" priority="5422" operator="containsText" text="N">
      <formula>NOT(ISERROR(SEARCH(("N"),(W11))))</formula>
    </cfRule>
    <cfRule type="containsText" dxfId="4223" priority="5424" operator="containsText" text="C">
      <formula>NOT(ISERROR(SEARCH(("C"),(W11))))</formula>
    </cfRule>
    <cfRule type="containsText" dxfId="4222" priority="5425" operator="containsText" text="P">
      <formula>NOT(ISERROR(SEARCH(("P"),(W11))))</formula>
    </cfRule>
    <cfRule type="containsText" dxfId="4221" priority="5426" operator="containsText" text="K">
      <formula>NOT(ISERROR(SEARCH(("K"),(W11))))</formula>
    </cfRule>
    <cfRule type="containsText" dxfId="4220" priority="5427" operator="containsText" text="X">
      <formula>NOT(ISERROR(SEARCH(("X"),(W11))))</formula>
    </cfRule>
    <cfRule type="containsText" dxfId="4219" priority="5428" operator="containsText" text="L">
      <formula>NOT(ISERROR(SEARCH(("L"),(W11))))</formula>
    </cfRule>
    <cfRule type="containsText" dxfId="4218" priority="5429" operator="containsText" text="N">
      <formula>NOT(ISERROR(SEARCH(("N"),(W11))))</formula>
    </cfRule>
    <cfRule type="containsText" dxfId="4217" priority="5430" operator="containsText" text="O">
      <formula>NOT(ISERROR(SEARCH(("O"),(W11))))</formula>
    </cfRule>
    <cfRule type="containsText" dxfId="4216" priority="5431" operator="containsText" text="C">
      <formula>NOT(ISERROR(SEARCH(("C"),(W11))))</formula>
    </cfRule>
    <cfRule type="containsText" dxfId="4215" priority="5432" operator="containsText" text="P">
      <formula>NOT(ISERROR(SEARCH(("P"),(W11))))</formula>
    </cfRule>
    <cfRule type="containsText" dxfId="4214" priority="5433" operator="containsText" text="K">
      <formula>NOT(ISERROR(SEARCH(("K"),(W11))))</formula>
    </cfRule>
  </conditionalFormatting>
  <conditionalFormatting sqref="W11:X12">
    <cfRule type="containsText" dxfId="4213" priority="5096" operator="containsText" text="N">
      <formula>NOT(ISERROR(SEARCH(("N"),(W11))))</formula>
    </cfRule>
  </conditionalFormatting>
  <conditionalFormatting sqref="W12:X12">
    <cfRule type="containsText" dxfId="4212" priority="5092" operator="containsText" text="P">
      <formula>NOT(ISERROR(SEARCH(("P"),(W12))))</formula>
    </cfRule>
    <cfRule type="containsText" dxfId="4211" priority="5093" operator="containsText" text="K">
      <formula>NOT(ISERROR(SEARCH(("K"),(W12))))</formula>
    </cfRule>
    <cfRule type="containsText" dxfId="4210" priority="5069" operator="containsText" text="O">
      <formula>NOT(ISERROR(SEARCH(("O"),(W12))))</formula>
    </cfRule>
    <cfRule type="containsText" dxfId="4209" priority="5094" operator="containsText" text="X">
      <formula>NOT(ISERROR(SEARCH(("X"),(W12))))</formula>
    </cfRule>
    <cfRule type="containsText" dxfId="4208" priority="5095" operator="containsText" text="L">
      <formula>NOT(ISERROR(SEARCH(("L"),(W12))))</formula>
    </cfRule>
    <cfRule type="containsText" dxfId="4207" priority="5097" operator="containsText" text="C">
      <formula>NOT(ISERROR(SEARCH(("C"),(W12))))</formula>
    </cfRule>
    <cfRule type="containsText" dxfId="4206" priority="5106" operator="containsText" text="L">
      <formula>NOT(ISERROR(SEARCH(("L"),(W12))))</formula>
    </cfRule>
    <cfRule type="containsText" dxfId="4205" priority="5074" operator="containsText" text="L">
      <formula>NOT(ISERROR(SEARCH(("L"),(W12))))</formula>
    </cfRule>
    <cfRule type="containsText" dxfId="4204" priority="5075" operator="containsText" text="N">
      <formula>NOT(ISERROR(SEARCH(("N"),(W12))))</formula>
    </cfRule>
    <cfRule type="containsText" dxfId="4203" priority="5100" operator="containsText" text="X">
      <formula>NOT(ISERROR(SEARCH(("X"),(W12))))</formula>
    </cfRule>
    <cfRule type="containsText" dxfId="4202" priority="5102" operator="containsText" text="C">
      <formula>NOT(ISERROR(SEARCH(("C"),(W12))))</formula>
    </cfRule>
    <cfRule type="containsText" dxfId="4201" priority="5098" operator="containsText" text="P">
      <formula>NOT(ISERROR(SEARCH(("P"),(W12))))</formula>
    </cfRule>
    <cfRule type="containsText" dxfId="4200" priority="5103" operator="containsText" text="P">
      <formula>NOT(ISERROR(SEARCH(("P"),(W12))))</formula>
    </cfRule>
    <cfRule type="containsText" dxfId="4199" priority="5070" operator="containsText" text="C">
      <formula>NOT(ISERROR(SEARCH(("C"),(W12))))</formula>
    </cfRule>
    <cfRule type="containsText" dxfId="4198" priority="5071" operator="containsText" text="P">
      <formula>NOT(ISERROR(SEARCH(("P"),(W12))))</formula>
    </cfRule>
    <cfRule type="containsText" dxfId="4197" priority="5099" operator="containsText" text="K">
      <formula>NOT(ISERROR(SEARCH(("K"),(W12))))</formula>
    </cfRule>
    <cfRule type="containsText" dxfId="4196" priority="5072" operator="containsText" text="K">
      <formula>NOT(ISERROR(SEARCH(("K"),(W12))))</formula>
    </cfRule>
    <cfRule type="containsText" dxfId="4195" priority="5073" operator="containsText" text="X">
      <formula>NOT(ISERROR(SEARCH(("X"),(W12))))</formula>
    </cfRule>
    <cfRule type="containsText" dxfId="4194" priority="5104" operator="containsText" text="K">
      <formula>NOT(ISERROR(SEARCH(("K"),(W12))))</formula>
    </cfRule>
    <cfRule type="containsText" dxfId="4193" priority="5105" operator="containsText" text="X">
      <formula>NOT(ISERROR(SEARCH(("X"),(W12))))</formula>
    </cfRule>
    <cfRule type="containsText" dxfId="4192" priority="5076" operator="containsText" text="O">
      <formula>NOT(ISERROR(SEARCH(("O"),(W12))))</formula>
    </cfRule>
    <cfRule type="containsText" dxfId="4191" priority="5077" operator="containsText" text="C">
      <formula>NOT(ISERROR(SEARCH(("C"),(W12))))</formula>
    </cfRule>
    <cfRule type="containsText" dxfId="4190" priority="5078" operator="containsText" text="P">
      <formula>NOT(ISERROR(SEARCH(("P"),(W12))))</formula>
    </cfRule>
    <cfRule type="containsText" dxfId="4189" priority="5101" operator="containsText" text="O">
      <formula>NOT(ISERROR(SEARCH(("O"),(W12))))</formula>
    </cfRule>
    <cfRule type="containsText" dxfId="4188" priority="5079" operator="containsText" text="K">
      <formula>NOT(ISERROR(SEARCH(("K"),(W12))))</formula>
    </cfRule>
    <cfRule type="containsText" dxfId="4187" priority="5080" operator="containsText" text="X">
      <formula>NOT(ISERROR(SEARCH(("X"),(W12))))</formula>
    </cfRule>
    <cfRule type="containsText" dxfId="4186" priority="5068" operator="containsText" text="N">
      <formula>NOT(ISERROR(SEARCH(("N"),(W12))))</formula>
    </cfRule>
    <cfRule type="containsText" dxfId="4185" priority="5081" operator="containsText" text="L">
      <formula>NOT(ISERROR(SEARCH(("L"),(W12))))</formula>
    </cfRule>
    <cfRule type="containsText" dxfId="4184" priority="5082" operator="containsText" text="N">
      <formula>NOT(ISERROR(SEARCH(("N"),(W12))))</formula>
    </cfRule>
    <cfRule type="containsText" dxfId="4183" priority="5083" operator="containsText" text="O">
      <formula>NOT(ISERROR(SEARCH(("O"),(W12))))</formula>
    </cfRule>
    <cfRule type="containsText" dxfId="4182" priority="5084" operator="containsText" text="C">
      <formula>NOT(ISERROR(SEARCH(("C"),(W12))))</formula>
    </cfRule>
    <cfRule type="containsText" dxfId="4181" priority="5085" operator="containsText" text="P">
      <formula>NOT(ISERROR(SEARCH(("P"),(W12))))</formula>
    </cfRule>
    <cfRule type="containsText" dxfId="4180" priority="5086" operator="containsText" text="K">
      <formula>NOT(ISERROR(SEARCH(("K"),(W12))))</formula>
    </cfRule>
    <cfRule type="containsText" dxfId="4179" priority="5091" operator="containsText" text="C">
      <formula>NOT(ISERROR(SEARCH(("C"),(W12))))</formula>
    </cfRule>
    <cfRule type="containsText" dxfId="4178" priority="5087" operator="containsText" text="X">
      <formula>NOT(ISERROR(SEARCH(("X"),(W12))))</formula>
    </cfRule>
    <cfRule type="containsText" dxfId="4177" priority="5088" operator="containsText" text="L">
      <formula>NOT(ISERROR(SEARCH(("L"),(W12))))</formula>
    </cfRule>
    <cfRule type="containsText" dxfId="4176" priority="5089" operator="containsText" text="N">
      <formula>NOT(ISERROR(SEARCH(("N"),(W12))))</formula>
    </cfRule>
    <cfRule type="containsText" dxfId="4175" priority="5090" operator="containsText" text="O">
      <formula>NOT(ISERROR(SEARCH(("O"),(W12))))</formula>
    </cfRule>
  </conditionalFormatting>
  <conditionalFormatting sqref="W14:X14">
    <cfRule type="containsText" dxfId="4174" priority="4672" operator="containsText" text="P">
      <formula>NOT(ISERROR(SEARCH(("P"),(W14))))</formula>
    </cfRule>
    <cfRule type="containsText" dxfId="4173" priority="4674" operator="containsText" text="X">
      <formula>NOT(ISERROR(SEARCH(("X"),(W14))))</formula>
    </cfRule>
    <cfRule type="containsText" dxfId="4172" priority="4673" operator="containsText" text="K">
      <formula>NOT(ISERROR(SEARCH(("K"),(W14))))</formula>
    </cfRule>
    <cfRule type="containsText" dxfId="4171" priority="4637" operator="containsText" text="C">
      <formula>NOT(ISERROR(SEARCH(("C"),(W14))))</formula>
    </cfRule>
    <cfRule type="containsText" dxfId="4170" priority="4671" operator="containsText" text="C">
      <formula>NOT(ISERROR(SEARCH(("C"),(W14))))</formula>
    </cfRule>
    <cfRule type="containsText" dxfId="4169" priority="4669" operator="containsText" text="N">
      <formula>NOT(ISERROR(SEARCH(("N"),(W14))))</formula>
    </cfRule>
    <cfRule type="containsText" dxfId="4168" priority="4638" operator="containsText" text="P">
      <formula>NOT(ISERROR(SEARCH(("P"),(W14))))</formula>
    </cfRule>
    <cfRule type="containsText" dxfId="4167" priority="4670" operator="containsText" text="O">
      <formula>NOT(ISERROR(SEARCH(("O"),(W14))))</formula>
    </cfRule>
    <cfRule type="containsText" dxfId="4166" priority="4639" operator="containsText" text="K">
      <formula>NOT(ISERROR(SEARCH(("K"),(W14))))</formula>
    </cfRule>
    <cfRule type="containsText" dxfId="4165" priority="4640" operator="containsText" text="X">
      <formula>NOT(ISERROR(SEARCH(("X"),(W14))))</formula>
    </cfRule>
    <cfRule type="containsText" dxfId="4164" priority="4641" operator="containsText" text="L">
      <formula>NOT(ISERROR(SEARCH(("L"),(W14))))</formula>
    </cfRule>
    <cfRule type="containsText" dxfId="4163" priority="4642" operator="containsText" text="N">
      <formula>NOT(ISERROR(SEARCH(("N"),(W14))))</formula>
    </cfRule>
    <cfRule type="containsText" dxfId="4162" priority="4643" operator="containsText" text="O">
      <formula>NOT(ISERROR(SEARCH(("O"),(W14))))</formula>
    </cfRule>
    <cfRule type="containsText" dxfId="4161" priority="4644" operator="containsText" text="C">
      <formula>NOT(ISERROR(SEARCH(("C"),(W14))))</formula>
    </cfRule>
    <cfRule type="containsText" dxfId="4160" priority="4645" operator="containsText" text="P">
      <formula>NOT(ISERROR(SEARCH(("P"),(W14))))</formula>
    </cfRule>
    <cfRule type="containsText" dxfId="4159" priority="4646" operator="containsText" text="K">
      <formula>NOT(ISERROR(SEARCH(("K"),(W14))))</formula>
    </cfRule>
    <cfRule type="containsText" dxfId="4158" priority="4648" operator="containsText" text="L">
      <formula>NOT(ISERROR(SEARCH(("L"),(W14))))</formula>
    </cfRule>
    <cfRule type="containsText" dxfId="4157" priority="4649" operator="containsText" text="N">
      <formula>NOT(ISERROR(SEARCH(("N"),(W14))))</formula>
    </cfRule>
    <cfRule type="containsText" dxfId="4156" priority="4650" operator="containsText" text="O">
      <formula>NOT(ISERROR(SEARCH(("O"),(W14))))</formula>
    </cfRule>
    <cfRule type="containsText" dxfId="4155" priority="4668" operator="containsText" text="X">
      <formula>NOT(ISERROR(SEARCH(("X"),(W14))))</formula>
    </cfRule>
    <cfRule type="containsText" dxfId="4154" priority="4667" operator="containsText" text="K">
      <formula>NOT(ISERROR(SEARCH(("K"),(W14))))</formula>
    </cfRule>
    <cfRule type="containsText" dxfId="4153" priority="4666" operator="containsText" text="P">
      <formula>NOT(ISERROR(SEARCH(("P"),(W14))))</formula>
    </cfRule>
    <cfRule type="containsText" dxfId="4152" priority="4664" operator="containsText" text="O">
      <formula>NOT(ISERROR(SEARCH(("O"),(W14))))</formula>
    </cfRule>
    <cfRule type="containsText" dxfId="4151" priority="4663" operator="containsText" text="N">
      <formula>NOT(ISERROR(SEARCH(("N"),(W14))))</formula>
    </cfRule>
    <cfRule type="containsText" dxfId="4150" priority="4662" operator="containsText" text="L">
      <formula>NOT(ISERROR(SEARCH(("L"),(W14))))</formula>
    </cfRule>
    <cfRule type="containsText" dxfId="4149" priority="4661" operator="containsText" text="X">
      <formula>NOT(ISERROR(SEARCH(("X"),(W14))))</formula>
    </cfRule>
    <cfRule type="containsText" dxfId="4148" priority="4660" operator="containsText" text="K">
      <formula>NOT(ISERROR(SEARCH(("K"),(W14))))</formula>
    </cfRule>
    <cfRule type="containsText" dxfId="4147" priority="4651" operator="containsText" text="C">
      <formula>NOT(ISERROR(SEARCH(("C"),(W14))))</formula>
    </cfRule>
    <cfRule type="containsText" dxfId="4146" priority="4652" operator="containsText" text="P">
      <formula>NOT(ISERROR(SEARCH(("P"),(W14))))</formula>
    </cfRule>
    <cfRule type="containsText" dxfId="4145" priority="4653" operator="containsText" text="K">
      <formula>NOT(ISERROR(SEARCH(("K"),(W14))))</formula>
    </cfRule>
    <cfRule type="containsText" dxfId="4144" priority="4654" operator="containsText" text="X">
      <formula>NOT(ISERROR(SEARCH(("X"),(W14))))</formula>
    </cfRule>
    <cfRule type="containsText" dxfId="4143" priority="4655" operator="containsText" text="L">
      <formula>NOT(ISERROR(SEARCH(("L"),(W14))))</formula>
    </cfRule>
    <cfRule type="containsText" dxfId="4142" priority="4656" operator="containsText" text="N">
      <formula>NOT(ISERROR(SEARCH(("N"),(W14))))</formula>
    </cfRule>
    <cfRule type="containsText" dxfId="4141" priority="4659" operator="containsText" text="P">
      <formula>NOT(ISERROR(SEARCH(("P"),(W14))))</formula>
    </cfRule>
    <cfRule type="containsText" dxfId="4140" priority="4658" operator="containsText" text="C">
      <formula>NOT(ISERROR(SEARCH(("C"),(W14))))</formula>
    </cfRule>
    <cfRule type="containsText" dxfId="4139" priority="4647" operator="containsText" text="X">
      <formula>NOT(ISERROR(SEARCH(("X"),(W14))))</formula>
    </cfRule>
    <cfRule type="containsText" dxfId="4138" priority="4657" operator="containsText" text="O">
      <formula>NOT(ISERROR(SEARCH(("O"),(W14))))</formula>
    </cfRule>
    <cfRule type="containsText" dxfId="4137" priority="4636" operator="containsText" text="O">
      <formula>NOT(ISERROR(SEARCH(("O"),(W14))))</formula>
    </cfRule>
    <cfRule type="containsText" dxfId="4136" priority="4665" operator="containsText" text="C">
      <formula>NOT(ISERROR(SEARCH(("C"),(W14))))</formula>
    </cfRule>
  </conditionalFormatting>
  <conditionalFormatting sqref="W14:X15">
    <cfRule type="containsText" dxfId="4135" priority="4492" operator="containsText" text="N">
      <formula>NOT(ISERROR(SEARCH(("N"),(W14))))</formula>
    </cfRule>
  </conditionalFormatting>
  <conditionalFormatting sqref="W15:X15">
    <cfRule type="containsText" dxfId="4134" priority="4484" operator="containsText" text="L">
      <formula>NOT(ISERROR(SEARCH(("L"),(W15))))</formula>
    </cfRule>
    <cfRule type="containsText" dxfId="4133" priority="4482" operator="containsText" text="K">
      <formula>NOT(ISERROR(SEARCH(("K"),(W15))))</formula>
    </cfRule>
    <cfRule type="containsText" dxfId="4132" priority="4481" operator="containsText" text="P">
      <formula>NOT(ISERROR(SEARCH(("P"),(W15))))</formula>
    </cfRule>
    <cfRule type="containsText" dxfId="4131" priority="4480" operator="containsText" text="C">
      <formula>NOT(ISERROR(SEARCH(("C"),(W15))))</formula>
    </cfRule>
    <cfRule type="containsText" dxfId="4130" priority="4479" operator="containsText" text="O">
      <formula>NOT(ISERROR(SEARCH(("O"),(W15))))</formula>
    </cfRule>
    <cfRule type="containsText" dxfId="4129" priority="4477" operator="containsText" text="N">
      <formula>NOT(ISERROR(SEARCH(("N"),(W15))))</formula>
    </cfRule>
    <cfRule type="containsText" dxfId="4128" priority="4476" operator="containsText" text="L">
      <formula>NOT(ISERROR(SEARCH(("L"),(W15))))</formula>
    </cfRule>
    <cfRule type="containsText" dxfId="4127" priority="4475" operator="containsText" text="X">
      <formula>NOT(ISERROR(SEARCH(("X"),(W15))))</formula>
    </cfRule>
    <cfRule type="containsText" dxfId="4126" priority="4474" operator="containsText" text="K">
      <formula>NOT(ISERROR(SEARCH(("K"),(W15))))</formula>
    </cfRule>
    <cfRule type="containsText" dxfId="4125" priority="4473" operator="containsText" text="P">
      <formula>NOT(ISERROR(SEARCH(("P"),(W15))))</formula>
    </cfRule>
    <cfRule type="containsText" dxfId="4124" priority="4472" operator="containsText" text="C">
      <formula>NOT(ISERROR(SEARCH(("C"),(W15))))</formula>
    </cfRule>
    <cfRule type="containsText" dxfId="4123" priority="4471" operator="containsText" text="O">
      <formula>NOT(ISERROR(SEARCH(("O"),(W15))))</formula>
    </cfRule>
    <cfRule type="containsText" dxfId="4122" priority="4470" operator="containsText" text="N">
      <formula>NOT(ISERROR(SEARCH(("N"),(W15))))</formula>
    </cfRule>
    <cfRule type="containsText" dxfId="4121" priority="4469" operator="containsText" text="L">
      <formula>NOT(ISERROR(SEARCH(("L"),(W15))))</formula>
    </cfRule>
    <cfRule type="containsText" dxfId="4120" priority="4468" operator="containsText" text="X">
      <formula>NOT(ISERROR(SEARCH(("X"),(W15))))</formula>
    </cfRule>
    <cfRule type="containsText" dxfId="4119" priority="4467" operator="containsText" text="K">
      <formula>NOT(ISERROR(SEARCH(("K"),(W15))))</formula>
    </cfRule>
    <cfRule type="containsText" dxfId="4118" priority="4466" operator="containsText" text="P">
      <formula>NOT(ISERROR(SEARCH(("P"),(W15))))</formula>
    </cfRule>
    <cfRule type="containsText" dxfId="4117" priority="4465" operator="containsText" text="C">
      <formula>NOT(ISERROR(SEARCH(("C"),(W15))))</formula>
    </cfRule>
    <cfRule type="containsText" dxfId="4116" priority="4464" operator="containsText" text="O">
      <formula>NOT(ISERROR(SEARCH(("O"),(W15))))</formula>
    </cfRule>
    <cfRule type="containsText" dxfId="4115" priority="4463" operator="containsText" text="N">
      <formula>NOT(ISERROR(SEARCH(("N"),(W15))))</formula>
    </cfRule>
    <cfRule type="containsText" dxfId="4114" priority="4462" operator="containsText" text="L">
      <formula>NOT(ISERROR(SEARCH(("L"),(W15))))</formula>
    </cfRule>
    <cfRule type="containsText" dxfId="4113" priority="4461" operator="containsText" text="X">
      <formula>NOT(ISERROR(SEARCH(("X"),(W15))))</formula>
    </cfRule>
    <cfRule type="containsText" dxfId="4112" priority="4460" operator="containsText" text="K">
      <formula>NOT(ISERROR(SEARCH(("K"),(W15))))</formula>
    </cfRule>
    <cfRule type="containsText" dxfId="4111" priority="4459" operator="containsText" text="P">
      <formula>NOT(ISERROR(SEARCH(("P"),(W15))))</formula>
    </cfRule>
    <cfRule type="containsText" dxfId="4110" priority="4458" operator="containsText" text="C">
      <formula>NOT(ISERROR(SEARCH(("C"),(W15))))</formula>
    </cfRule>
    <cfRule type="containsText" dxfId="4109" priority="4457" operator="containsText" text="O">
      <formula>NOT(ISERROR(SEARCH(("O"),(W15))))</formula>
    </cfRule>
    <cfRule type="containsText" dxfId="4108" priority="4483" operator="containsText" text="X">
      <formula>NOT(ISERROR(SEARCH(("X"),(W15))))</formula>
    </cfRule>
    <cfRule type="containsText" dxfId="4107" priority="4503" operator="containsText" text="X">
      <formula>NOT(ISERROR(SEARCH(("X"),(W15))))</formula>
    </cfRule>
    <cfRule type="containsText" dxfId="4106" priority="4502" operator="containsText" text="K">
      <formula>NOT(ISERROR(SEARCH(("K"),(W15))))</formula>
    </cfRule>
    <cfRule type="containsText" dxfId="4105" priority="4501" operator="containsText" text="P">
      <formula>NOT(ISERROR(SEARCH(("P"),(W15))))</formula>
    </cfRule>
    <cfRule type="containsText" dxfId="4104" priority="4500" operator="containsText" text="C">
      <formula>NOT(ISERROR(SEARCH(("C"),(W15))))</formula>
    </cfRule>
    <cfRule type="containsText" dxfId="4103" priority="4499" operator="containsText" text="L">
      <formula>NOT(ISERROR(SEARCH(("L"),(W15))))</formula>
    </cfRule>
    <cfRule type="containsText" dxfId="4102" priority="4498" operator="containsText" text="X">
      <formula>NOT(ISERROR(SEARCH(("X"),(W15))))</formula>
    </cfRule>
    <cfRule type="containsText" dxfId="4101" priority="4497" operator="containsText" text="K">
      <formula>NOT(ISERROR(SEARCH(("K"),(W15))))</formula>
    </cfRule>
    <cfRule type="containsText" dxfId="4100" priority="4496" operator="containsText" text="P">
      <formula>NOT(ISERROR(SEARCH(("P"),(W15))))</formula>
    </cfRule>
    <cfRule type="containsText" dxfId="4099" priority="4495" operator="containsText" text="C">
      <formula>NOT(ISERROR(SEARCH(("C"),(W15))))</formula>
    </cfRule>
    <cfRule type="containsText" dxfId="4098" priority="4494" operator="containsText" text="O">
      <formula>NOT(ISERROR(SEARCH(("O"),(W15))))</formula>
    </cfRule>
    <cfRule type="containsText" dxfId="4097" priority="4493" operator="containsText" text="L">
      <formula>NOT(ISERROR(SEARCH(("L"),(W15))))</formula>
    </cfRule>
    <cfRule type="containsText" dxfId="4096" priority="4491" operator="containsText" text="L">
      <formula>NOT(ISERROR(SEARCH(("L"),(W15))))</formula>
    </cfRule>
    <cfRule type="containsText" dxfId="4095" priority="4490" operator="containsText" text="X">
      <formula>NOT(ISERROR(SEARCH(("X"),(W15))))</formula>
    </cfRule>
    <cfRule type="containsText" dxfId="4094" priority="4489" operator="containsText" text="K">
      <formula>NOT(ISERROR(SEARCH(("K"),(W15))))</formula>
    </cfRule>
    <cfRule type="containsText" dxfId="4093" priority="4488" operator="containsText" text="P">
      <formula>NOT(ISERROR(SEARCH(("P"),(W15))))</formula>
    </cfRule>
    <cfRule type="containsText" dxfId="4092" priority="4487" operator="containsText" text="C">
      <formula>NOT(ISERROR(SEARCH(("C"),(W15))))</formula>
    </cfRule>
    <cfRule type="containsText" dxfId="4091" priority="4486" operator="containsText" text="O">
      <formula>NOT(ISERROR(SEARCH(("O"),(W15))))</formula>
    </cfRule>
    <cfRule type="containsText" dxfId="4090" priority="4485" operator="containsText" text="N">
      <formula>NOT(ISERROR(SEARCH(("N"),(W15))))</formula>
    </cfRule>
  </conditionalFormatting>
  <conditionalFormatting sqref="W15:X16">
    <cfRule type="containsText" dxfId="4089" priority="4225" operator="containsText" text="N">
      <formula>NOT(ISERROR(SEARCH(("N"),(W15))))</formula>
    </cfRule>
  </conditionalFormatting>
  <conditionalFormatting sqref="W16:X16">
    <cfRule type="containsText" dxfId="4088" priority="4166" operator="containsText" text="K">
      <formula>NOT(ISERROR(SEARCH(("K"),(W16))))</formula>
    </cfRule>
    <cfRule type="containsText" dxfId="4087" priority="4224" operator="containsText" text="L">
      <formula>NOT(ISERROR(SEARCH(("L"),(W16))))</formula>
    </cfRule>
    <cfRule type="containsText" dxfId="4086" priority="4223" operator="containsText" text="X">
      <formula>NOT(ISERROR(SEARCH(("X"),(W16))))</formula>
    </cfRule>
    <cfRule type="containsText" dxfId="4085" priority="4222" operator="containsText" text="K">
      <formula>NOT(ISERROR(SEARCH(("K"),(W16))))</formula>
    </cfRule>
    <cfRule type="containsText" dxfId="4084" priority="4221" operator="containsText" text="P">
      <formula>NOT(ISERROR(SEARCH(("P"),(W16))))</formula>
    </cfRule>
    <cfRule type="containsText" dxfId="4083" priority="4220" operator="containsText" text="C">
      <formula>NOT(ISERROR(SEARCH(("C"),(W16))))</formula>
    </cfRule>
    <cfRule type="containsText" dxfId="4082" priority="4219" operator="containsText" text="O">
      <formula>NOT(ISERROR(SEARCH(("O"),(W16))))</formula>
    </cfRule>
    <cfRule type="containsText" dxfId="4081" priority="4191" operator="containsText" text="N">
      <formula>NOT(ISERROR(SEARCH(("N"),(W16))))</formula>
    </cfRule>
    <cfRule type="containsText" dxfId="4080" priority="4218" operator="containsText" text="N">
      <formula>NOT(ISERROR(SEARCH(("N"),(W16))))</formula>
    </cfRule>
    <cfRule type="containsText" dxfId="4079" priority="4216" operator="containsText" text="L">
      <formula>NOT(ISERROR(SEARCH(("L"),(W16))))</formula>
    </cfRule>
    <cfRule type="containsText" dxfId="4078" priority="4215" operator="containsText" text="X">
      <formula>NOT(ISERROR(SEARCH(("X"),(W16))))</formula>
    </cfRule>
    <cfRule type="containsText" dxfId="4077" priority="4214" operator="containsText" text="K">
      <formula>NOT(ISERROR(SEARCH(("K"),(W16))))</formula>
    </cfRule>
    <cfRule type="containsText" dxfId="4076" priority="4213" operator="containsText" text="P">
      <formula>NOT(ISERROR(SEARCH(("P"),(W16))))</formula>
    </cfRule>
    <cfRule type="containsText" dxfId="4075" priority="4212" operator="containsText" text="C">
      <formula>NOT(ISERROR(SEARCH(("C"),(W16))))</formula>
    </cfRule>
    <cfRule type="containsText" dxfId="4074" priority="4211" operator="containsText" text="O">
      <formula>NOT(ISERROR(SEARCH(("O"),(W16))))</formula>
    </cfRule>
    <cfRule type="containsText" dxfId="4073" priority="4210" operator="containsText" text="N">
      <formula>NOT(ISERROR(SEARCH(("N"),(W16))))</formula>
    </cfRule>
    <cfRule type="containsText" dxfId="4072" priority="4209" operator="containsText" text="X">
      <formula>NOT(ISERROR(SEARCH(("X"),(W16))))</formula>
    </cfRule>
    <cfRule type="containsText" dxfId="4071" priority="4208" operator="containsText" text="K">
      <formula>NOT(ISERROR(SEARCH(("K"),(W16))))</formula>
    </cfRule>
    <cfRule type="containsText" dxfId="4070" priority="4207" operator="containsText" text="P">
      <formula>NOT(ISERROR(SEARCH(("P"),(W16))))</formula>
    </cfRule>
    <cfRule type="containsText" dxfId="4069" priority="4206" operator="containsText" text="C">
      <formula>NOT(ISERROR(SEARCH(("C"),(W16))))</formula>
    </cfRule>
    <cfRule type="containsText" dxfId="4068" priority="4205" operator="containsText" text="L">
      <formula>NOT(ISERROR(SEARCH(("L"),(W16))))</formula>
    </cfRule>
    <cfRule type="containsText" dxfId="4067" priority="4186" operator="containsText" text="C">
      <formula>NOT(ISERROR(SEARCH(("C"),(W16))))</formula>
    </cfRule>
    <cfRule type="containsText" dxfId="4066" priority="4183" operator="containsText" text="N">
      <formula>NOT(ISERROR(SEARCH(("N"),(W16))))</formula>
    </cfRule>
    <cfRule type="containsText" dxfId="4065" priority="4182" operator="containsText" text="L">
      <formula>NOT(ISERROR(SEARCH(("L"),(W16))))</formula>
    </cfRule>
    <cfRule type="containsText" dxfId="4064" priority="4181" operator="containsText" text="X">
      <formula>NOT(ISERROR(SEARCH(("X"),(W16))))</formula>
    </cfRule>
    <cfRule type="containsText" dxfId="4063" priority="4180" operator="containsText" text="K">
      <formula>NOT(ISERROR(SEARCH(("K"),(W16))))</formula>
    </cfRule>
    <cfRule type="containsText" dxfId="4062" priority="4204" operator="containsText" text="X">
      <formula>NOT(ISERROR(SEARCH(("X"),(W16))))</formula>
    </cfRule>
    <cfRule type="containsText" dxfId="4061" priority="4179" operator="containsText" text="P">
      <formula>NOT(ISERROR(SEARCH(("P"),(W16))))</formula>
    </cfRule>
    <cfRule type="containsText" dxfId="4060" priority="4178" operator="containsText" text="C">
      <formula>NOT(ISERROR(SEARCH(("C"),(W16))))</formula>
    </cfRule>
    <cfRule type="containsText" dxfId="4059" priority="4177" operator="containsText" text="O">
      <formula>NOT(ISERROR(SEARCH(("O"),(W16))))</formula>
    </cfRule>
    <cfRule type="containsText" dxfId="4058" priority="4176" operator="containsText" text="N">
      <formula>NOT(ISERROR(SEARCH(("N"),(W16))))</formula>
    </cfRule>
    <cfRule type="containsText" dxfId="4057" priority="4175" operator="containsText" text="L">
      <formula>NOT(ISERROR(SEARCH(("L"),(W16))))</formula>
    </cfRule>
    <cfRule type="containsText" dxfId="4056" priority="4174" operator="containsText" text="X">
      <formula>NOT(ISERROR(SEARCH(("X"),(W16))))</formula>
    </cfRule>
    <cfRule type="containsText" dxfId="4055" priority="4173" operator="containsText" text="K">
      <formula>NOT(ISERROR(SEARCH(("K"),(W16))))</formula>
    </cfRule>
    <cfRule type="containsText" dxfId="4054" priority="4172" operator="containsText" text="P">
      <formula>NOT(ISERROR(SEARCH(("P"),(W16))))</formula>
    </cfRule>
    <cfRule type="containsText" dxfId="4053" priority="4171" operator="containsText" text="C">
      <formula>NOT(ISERROR(SEARCH(("C"),(W16))))</formula>
    </cfRule>
    <cfRule type="containsText" dxfId="4052" priority="4203" operator="containsText" text="K">
      <formula>NOT(ISERROR(SEARCH(("K"),(W16))))</formula>
    </cfRule>
    <cfRule type="containsText" dxfId="4051" priority="4169" operator="containsText" text="N">
      <formula>NOT(ISERROR(SEARCH(("N"),(W16))))</formula>
    </cfRule>
    <cfRule type="containsText" dxfId="4050" priority="4168" operator="containsText" text="L">
      <formula>NOT(ISERROR(SEARCH(("L"),(W16))))</formula>
    </cfRule>
    <cfRule type="containsText" dxfId="4049" priority="4167" operator="containsText" text="X">
      <formula>NOT(ISERROR(SEARCH(("X"),(W16))))</formula>
    </cfRule>
    <cfRule type="containsText" dxfId="4048" priority="4190" operator="containsText" text="L">
      <formula>NOT(ISERROR(SEARCH(("L"),(W16))))</formula>
    </cfRule>
    <cfRule type="containsText" dxfId="4047" priority="4165" operator="containsText" text="P">
      <formula>NOT(ISERROR(SEARCH(("P"),(W16))))</formula>
    </cfRule>
    <cfRule type="containsText" dxfId="4046" priority="4164" operator="containsText" text="C">
      <formula>NOT(ISERROR(SEARCH(("C"),(W16))))</formula>
    </cfRule>
    <cfRule type="containsText" dxfId="4045" priority="4163" operator="containsText" text="O">
      <formula>NOT(ISERROR(SEARCH(("O"),(W16))))</formula>
    </cfRule>
    <cfRule type="containsText" dxfId="4044" priority="4202" operator="containsText" text="P">
      <formula>NOT(ISERROR(SEARCH(("P"),(W16))))</formula>
    </cfRule>
    <cfRule type="containsText" dxfId="4043" priority="4201" operator="containsText" text="C">
      <formula>NOT(ISERROR(SEARCH(("C"),(W16))))</formula>
    </cfRule>
    <cfRule type="containsText" dxfId="4042" priority="4200" operator="containsText" text="O">
      <formula>NOT(ISERROR(SEARCH(("O"),(W16))))</formula>
    </cfRule>
    <cfRule type="containsText" dxfId="4041" priority="4199" operator="containsText" text="L">
      <formula>NOT(ISERROR(SEARCH(("L"),(W16))))</formula>
    </cfRule>
    <cfRule type="containsText" dxfId="4040" priority="4198" operator="containsText" text="N">
      <formula>NOT(ISERROR(SEARCH(("N"),(W16))))</formula>
    </cfRule>
    <cfRule type="containsText" dxfId="4039" priority="4197" operator="containsText" text="L">
      <formula>NOT(ISERROR(SEARCH(("L"),(W16))))</formula>
    </cfRule>
    <cfRule type="containsText" dxfId="4038" priority="4189" operator="containsText" text="X">
      <formula>NOT(ISERROR(SEARCH(("X"),(W16))))</formula>
    </cfRule>
    <cfRule type="containsText" dxfId="4037" priority="4188" operator="containsText" text="K">
      <formula>NOT(ISERROR(SEARCH(("K"),(W16))))</formula>
    </cfRule>
    <cfRule type="containsText" dxfId="4036" priority="4187" operator="containsText" text="P">
      <formula>NOT(ISERROR(SEARCH(("P"),(W16))))</formula>
    </cfRule>
    <cfRule type="containsText" dxfId="4035" priority="4185" operator="containsText" text="O">
      <formula>NOT(ISERROR(SEARCH(("O"),(W16))))</formula>
    </cfRule>
    <cfRule type="containsText" dxfId="4034" priority="4231" operator="containsText" text="L">
      <formula>NOT(ISERROR(SEARCH(("L"),(W16))))</formula>
    </cfRule>
    <cfRule type="containsText" dxfId="4033" priority="4230" operator="containsText" text="X">
      <formula>NOT(ISERROR(SEARCH(("X"),(W16))))</formula>
    </cfRule>
    <cfRule type="containsText" dxfId="4032" priority="4229" operator="containsText" text="K">
      <formula>NOT(ISERROR(SEARCH(("K"),(W16))))</formula>
    </cfRule>
    <cfRule type="containsText" dxfId="4031" priority="4228" operator="containsText" text="P">
      <formula>NOT(ISERROR(SEARCH(("P"),(W16))))</formula>
    </cfRule>
    <cfRule type="containsText" dxfId="4030" priority="4227" operator="containsText" text="C">
      <formula>NOT(ISERROR(SEARCH(("C"),(W16))))</formula>
    </cfRule>
    <cfRule type="containsText" dxfId="4029" priority="4226" operator="containsText" text="O">
      <formula>NOT(ISERROR(SEARCH(("O"),(W16))))</formula>
    </cfRule>
    <cfRule type="containsText" dxfId="4028" priority="4194" operator="containsText" text="P">
      <formula>NOT(ISERROR(SEARCH(("P"),(W16))))</formula>
    </cfRule>
    <cfRule type="containsText" dxfId="4027" priority="4170" operator="containsText" text="O">
      <formula>NOT(ISERROR(SEARCH(("O"),(W16))))</formula>
    </cfRule>
    <cfRule type="containsText" dxfId="4026" priority="4196" operator="containsText" text="X">
      <formula>NOT(ISERROR(SEARCH(("X"),(W16))))</formula>
    </cfRule>
    <cfRule type="containsText" dxfId="4025" priority="4195" operator="containsText" text="K">
      <formula>NOT(ISERROR(SEARCH(("K"),(W16))))</formula>
    </cfRule>
    <cfRule type="containsText" dxfId="4024" priority="4193" operator="containsText" text="C">
      <formula>NOT(ISERROR(SEARCH(("C"),(W16))))</formula>
    </cfRule>
    <cfRule type="containsText" dxfId="4023" priority="4192" operator="containsText" text="O">
      <formula>NOT(ISERROR(SEARCH(("O"),(W16))))</formula>
    </cfRule>
  </conditionalFormatting>
  <conditionalFormatting sqref="W16:X17">
    <cfRule type="containsText" dxfId="4022" priority="3776" operator="containsText" text="N">
      <formula>NOT(ISERROR(SEARCH(("N"),(W16))))</formula>
    </cfRule>
  </conditionalFormatting>
  <conditionalFormatting sqref="W17:X17">
    <cfRule type="containsText" dxfId="4021" priority="3781" operator="containsText" text="L">
      <formula>NOT(ISERROR(SEARCH(("L"),(W17))))</formula>
    </cfRule>
    <cfRule type="containsText" dxfId="4020" priority="3755" operator="containsText" text="P">
      <formula>NOT(ISERROR(SEARCH(("P"),(W17))))</formula>
    </cfRule>
    <cfRule type="containsText" dxfId="4019" priority="3785" operator="containsText" text="X">
      <formula>NOT(ISERROR(SEARCH(("X"),(W17))))</formula>
    </cfRule>
    <cfRule type="containsText" dxfId="4018" priority="3784" operator="containsText" text="K">
      <formula>NOT(ISERROR(SEARCH(("K"),(W17))))</formula>
    </cfRule>
    <cfRule type="containsText" dxfId="4017" priority="3783" operator="containsText" text="P">
      <formula>NOT(ISERROR(SEARCH(("P"),(W17))))</formula>
    </cfRule>
    <cfRule type="containsText" dxfId="4016" priority="3782" operator="containsText" text="C">
      <formula>NOT(ISERROR(SEARCH(("C"),(W17))))</formula>
    </cfRule>
    <cfRule type="containsText" dxfId="4015" priority="3756" operator="containsText" text="K">
      <formula>NOT(ISERROR(SEARCH(("K"),(W17))))</formula>
    </cfRule>
    <cfRule type="containsText" dxfId="4014" priority="3780" operator="containsText" text="X">
      <formula>NOT(ISERROR(SEARCH(("X"),(W17))))</formula>
    </cfRule>
    <cfRule type="containsText" dxfId="4013" priority="3779" operator="containsText" text="K">
      <formula>NOT(ISERROR(SEARCH(("K"),(W17))))</formula>
    </cfRule>
    <cfRule type="containsText" dxfId="4012" priority="3778" operator="containsText" text="P">
      <formula>NOT(ISERROR(SEARCH(("P"),(W17))))</formula>
    </cfRule>
    <cfRule type="containsText" dxfId="4011" priority="3777" operator="containsText" text="C">
      <formula>NOT(ISERROR(SEARCH(("C"),(W17))))</formula>
    </cfRule>
    <cfRule type="containsText" dxfId="4010" priority="3744" operator="containsText" text="L">
      <formula>NOT(ISERROR(SEARCH(("L"),(W17))))</formula>
    </cfRule>
    <cfRule type="containsText" dxfId="4009" priority="3773" operator="containsText" text="K">
      <formula>NOT(ISERROR(SEARCH(("K"),(W17))))</formula>
    </cfRule>
    <cfRule type="containsText" dxfId="4008" priority="3754" operator="containsText" text="C">
      <formula>NOT(ISERROR(SEARCH(("C"),(W17))))</formula>
    </cfRule>
    <cfRule type="containsText" dxfId="4007" priority="3753" operator="containsText" text="O">
      <formula>NOT(ISERROR(SEARCH(("O"),(W17))))</formula>
    </cfRule>
    <cfRule type="containsText" dxfId="4006" priority="3752" operator="containsText" text="N">
      <formula>NOT(ISERROR(SEARCH(("N"),(W17))))</formula>
    </cfRule>
    <cfRule type="containsText" dxfId="4005" priority="3751" operator="containsText" text="L">
      <formula>NOT(ISERROR(SEARCH(("L"),(W17))))</formula>
    </cfRule>
    <cfRule type="containsText" dxfId="4004" priority="3750" operator="containsText" text="X">
      <formula>NOT(ISERROR(SEARCH(("X"),(W17))))</formula>
    </cfRule>
    <cfRule type="containsText" dxfId="4003" priority="3749" operator="containsText" text="K">
      <formula>NOT(ISERROR(SEARCH(("K"),(W17))))</formula>
    </cfRule>
    <cfRule type="containsText" dxfId="4002" priority="3748" operator="containsText" text="P">
      <formula>NOT(ISERROR(SEARCH(("P"),(W17))))</formula>
    </cfRule>
    <cfRule type="containsText" dxfId="4001" priority="3747" operator="containsText" text="C">
      <formula>NOT(ISERROR(SEARCH(("C"),(W17))))</formula>
    </cfRule>
    <cfRule type="containsText" dxfId="4000" priority="3746" operator="containsText" text="O">
      <formula>NOT(ISERROR(SEARCH(("O"),(W17))))</formula>
    </cfRule>
    <cfRule type="containsText" dxfId="3999" priority="3745" operator="containsText" text="N">
      <formula>NOT(ISERROR(SEARCH(("N"),(W17))))</formula>
    </cfRule>
    <cfRule type="containsText" dxfId="3998" priority="3775" operator="containsText" text="L">
      <formula>NOT(ISERROR(SEARCH(("L"),(W17))))</formula>
    </cfRule>
    <cfRule type="containsText" dxfId="3997" priority="3743" operator="containsText" text="X">
      <formula>NOT(ISERROR(SEARCH(("X"),(W17))))</formula>
    </cfRule>
    <cfRule type="containsText" dxfId="3996" priority="3742" operator="containsText" text="K">
      <formula>NOT(ISERROR(SEARCH(("K"),(W17))))</formula>
    </cfRule>
    <cfRule type="containsText" dxfId="3995" priority="3741" operator="containsText" text="P">
      <formula>NOT(ISERROR(SEARCH(("P"),(W17))))</formula>
    </cfRule>
    <cfRule type="containsText" dxfId="3994" priority="3740" operator="containsText" text="C">
      <formula>NOT(ISERROR(SEARCH(("C"),(W17))))</formula>
    </cfRule>
    <cfRule type="containsText" dxfId="3993" priority="3739" operator="containsText" text="O">
      <formula>NOT(ISERROR(SEARCH(("O"),(W17))))</formula>
    </cfRule>
    <cfRule type="containsText" dxfId="3992" priority="3738" operator="containsText" text="N">
      <formula>NOT(ISERROR(SEARCH(("N"),(W17))))</formula>
    </cfRule>
    <cfRule type="containsText" dxfId="3991" priority="3737" operator="containsText" text="L">
      <formula>NOT(ISERROR(SEARCH(("L"),(W17))))</formula>
    </cfRule>
    <cfRule type="containsText" dxfId="3990" priority="3736" operator="containsText" text="X">
      <formula>NOT(ISERROR(SEARCH(("X"),(W17))))</formula>
    </cfRule>
    <cfRule type="containsText" dxfId="3989" priority="3735" operator="containsText" text="K">
      <formula>NOT(ISERROR(SEARCH(("K"),(W17))))</formula>
    </cfRule>
    <cfRule type="containsText" dxfId="3988" priority="3734" operator="containsText" text="P">
      <formula>NOT(ISERROR(SEARCH(("P"),(W17))))</formula>
    </cfRule>
    <cfRule type="containsText" dxfId="3987" priority="3733" operator="containsText" text="C">
      <formula>NOT(ISERROR(SEARCH(("C"),(W17))))</formula>
    </cfRule>
    <cfRule type="containsText" dxfId="3986" priority="3732" operator="containsText" text="O">
      <formula>NOT(ISERROR(SEARCH(("O"),(W17))))</formula>
    </cfRule>
    <cfRule type="containsText" dxfId="3985" priority="3772" operator="containsText" text="P">
      <formula>NOT(ISERROR(SEARCH(("P"),(W17))))</formula>
    </cfRule>
    <cfRule type="containsText" dxfId="3984" priority="3771" operator="containsText" text="C">
      <formula>NOT(ISERROR(SEARCH(("C"),(W17))))</formula>
    </cfRule>
    <cfRule type="containsText" dxfId="3983" priority="3774" operator="containsText" text="X">
      <formula>NOT(ISERROR(SEARCH(("X"),(W17))))</formula>
    </cfRule>
    <cfRule type="containsText" dxfId="3982" priority="3770" operator="containsText" text="O">
      <formula>NOT(ISERROR(SEARCH(("O"),(W17))))</formula>
    </cfRule>
    <cfRule type="containsText" dxfId="3981" priority="3769" operator="containsText" text="L">
      <formula>NOT(ISERROR(SEARCH(("L"),(W17))))</formula>
    </cfRule>
    <cfRule type="containsText" dxfId="3980" priority="3768" operator="containsText" text="N">
      <formula>NOT(ISERROR(SEARCH(("N"),(W17))))</formula>
    </cfRule>
    <cfRule type="containsText" dxfId="3979" priority="3767" operator="containsText" text="L">
      <formula>NOT(ISERROR(SEARCH(("L"),(W17))))</formula>
    </cfRule>
    <cfRule type="containsText" dxfId="3978" priority="3766" operator="containsText" text="N">
      <formula>NOT(ISERROR(SEARCH(("N"),(W17))))</formula>
    </cfRule>
    <cfRule type="containsText" dxfId="3977" priority="3765" operator="containsText" text="L">
      <formula>NOT(ISERROR(SEARCH(("L"),(W17))))</formula>
    </cfRule>
    <cfRule type="containsText" dxfId="3976" priority="3764" operator="containsText" text="X">
      <formula>NOT(ISERROR(SEARCH(("X"),(W17))))</formula>
    </cfRule>
    <cfRule type="containsText" dxfId="3975" priority="3763" operator="containsText" text="K">
      <formula>NOT(ISERROR(SEARCH(("K"),(W17))))</formula>
    </cfRule>
    <cfRule type="containsText" dxfId="3974" priority="3762" operator="containsText" text="P">
      <formula>NOT(ISERROR(SEARCH(("P"),(W17))))</formula>
    </cfRule>
    <cfRule type="containsText" dxfId="3973" priority="3761" operator="containsText" text="C">
      <formula>NOT(ISERROR(SEARCH(("C"),(W17))))</formula>
    </cfRule>
    <cfRule type="containsText" dxfId="3972" priority="3760" operator="containsText" text="O">
      <formula>NOT(ISERROR(SEARCH(("O"),(W17))))</formula>
    </cfRule>
    <cfRule type="containsText" dxfId="3971" priority="3759" operator="containsText" text="N">
      <formula>NOT(ISERROR(SEARCH(("N"),(W17))))</formula>
    </cfRule>
    <cfRule type="containsText" dxfId="3970" priority="3758" operator="containsText" text="L">
      <formula>NOT(ISERROR(SEARCH(("L"),(W17))))</formula>
    </cfRule>
    <cfRule type="containsText" dxfId="3969" priority="3757" operator="containsText" text="X">
      <formula>NOT(ISERROR(SEARCH(("X"),(W17))))</formula>
    </cfRule>
  </conditionalFormatting>
  <conditionalFormatting sqref="W17:X18">
    <cfRule type="containsText" dxfId="3968" priority="3261" operator="containsText" text="N">
      <formula>NOT(ISERROR(SEARCH(("N"),(W17))))</formula>
    </cfRule>
  </conditionalFormatting>
  <conditionalFormatting sqref="W18:X18">
    <cfRule type="containsText" dxfId="3967" priority="3228" operator="containsText" text="P">
      <formula>NOT(ISERROR(SEARCH(("P"),(W18))))</formula>
    </cfRule>
    <cfRule type="containsText" dxfId="3966" priority="3227" operator="containsText" text="C">
      <formula>NOT(ISERROR(SEARCH(("C"),(W18))))</formula>
    </cfRule>
    <cfRule type="containsText" dxfId="3965" priority="3226" operator="containsText" text="O">
      <formula>NOT(ISERROR(SEARCH(("O"),(W18))))</formula>
    </cfRule>
    <cfRule type="containsText" dxfId="3964" priority="3225" operator="containsText" text="N">
      <formula>NOT(ISERROR(SEARCH(("N"),(W18))))</formula>
    </cfRule>
    <cfRule type="containsText" dxfId="3963" priority="3250" operator="containsText" text="P">
      <formula>NOT(ISERROR(SEARCH(("P"),(W18))))</formula>
    </cfRule>
    <cfRule type="containsText" dxfId="3962" priority="3251" operator="containsText" text="K">
      <formula>NOT(ISERROR(SEARCH(("K"),(W18))))</formula>
    </cfRule>
    <cfRule type="containsText" dxfId="3961" priority="3252" operator="containsText" text="X">
      <formula>NOT(ISERROR(SEARCH(("X"),(W18))))</formula>
    </cfRule>
    <cfRule type="containsText" dxfId="3960" priority="3253" operator="containsText" text="L">
      <formula>NOT(ISERROR(SEARCH(("L"),(W18))))</formula>
    </cfRule>
    <cfRule type="containsText" dxfId="3959" priority="3254" operator="containsText" text="N">
      <formula>NOT(ISERROR(SEARCH(("N"),(W18))))</formula>
    </cfRule>
    <cfRule type="containsText" dxfId="3958" priority="3255" operator="containsText" text="O">
      <formula>NOT(ISERROR(SEARCH(("O"),(W18))))</formula>
    </cfRule>
    <cfRule type="containsText" dxfId="3957" priority="3256" operator="containsText" text="C">
      <formula>NOT(ISERROR(SEARCH(("C"),(W18))))</formula>
    </cfRule>
    <cfRule type="containsText" dxfId="3956" priority="3257" operator="containsText" text="P">
      <formula>NOT(ISERROR(SEARCH(("P"),(W18))))</formula>
    </cfRule>
    <cfRule type="containsText" dxfId="3955" priority="3258" operator="containsText" text="K">
      <formula>NOT(ISERROR(SEARCH(("K"),(W18))))</formula>
    </cfRule>
    <cfRule type="containsText" dxfId="3954" priority="3259" operator="containsText" text="X">
      <formula>NOT(ISERROR(SEARCH(("X"),(W18))))</formula>
    </cfRule>
    <cfRule type="containsText" dxfId="3953" priority="3260" operator="containsText" text="L">
      <formula>NOT(ISERROR(SEARCH(("L"),(W18))))</formula>
    </cfRule>
    <cfRule type="containsText" dxfId="3952" priority="3262" operator="containsText" text="L">
      <formula>NOT(ISERROR(SEARCH(("L"),(W18))))</formula>
    </cfRule>
    <cfRule type="containsText" dxfId="3951" priority="3263" operator="containsText" text="O">
      <formula>NOT(ISERROR(SEARCH(("O"),(W18))))</formula>
    </cfRule>
    <cfRule type="containsText" dxfId="3950" priority="3264" operator="containsText" text="C">
      <formula>NOT(ISERROR(SEARCH(("C"),(W18))))</formula>
    </cfRule>
    <cfRule type="containsText" dxfId="3949" priority="3265" operator="containsText" text="P">
      <formula>NOT(ISERROR(SEARCH(("P"),(W18))))</formula>
    </cfRule>
    <cfRule type="containsText" dxfId="3948" priority="3266" operator="containsText" text="K">
      <formula>NOT(ISERROR(SEARCH(("K"),(W18))))</formula>
    </cfRule>
    <cfRule type="containsText" dxfId="3947" priority="3267" operator="containsText" text="X">
      <formula>NOT(ISERROR(SEARCH(("X"),(W18))))</formula>
    </cfRule>
    <cfRule type="containsText" dxfId="3946" priority="3268" operator="containsText" text="L">
      <formula>NOT(ISERROR(SEARCH(("L"),(W18))))</formula>
    </cfRule>
    <cfRule type="containsText" dxfId="3945" priority="3270" operator="containsText" text="P">
      <formula>NOT(ISERROR(SEARCH(("P"),(W18))))</formula>
    </cfRule>
    <cfRule type="containsText" dxfId="3944" priority="3271" operator="containsText" text="K">
      <formula>NOT(ISERROR(SEARCH(("K"),(W18))))</formula>
    </cfRule>
    <cfRule type="containsText" dxfId="3943" priority="3272" operator="containsText" text="X">
      <formula>NOT(ISERROR(SEARCH(("X"),(W18))))</formula>
    </cfRule>
    <cfRule type="containsText" dxfId="3942" priority="3242" operator="containsText" text="P">
      <formula>NOT(ISERROR(SEARCH(("P"),(W18))))</formula>
    </cfRule>
    <cfRule type="containsText" dxfId="3941" priority="3241" operator="containsText" text="C">
      <formula>NOT(ISERROR(SEARCH(("C"),(W18))))</formula>
    </cfRule>
    <cfRule type="containsText" dxfId="3940" priority="3240" operator="containsText" text="O">
      <formula>NOT(ISERROR(SEARCH(("O"),(W18))))</formula>
    </cfRule>
    <cfRule type="containsText" dxfId="3939" priority="3239" operator="containsText" text="N">
      <formula>NOT(ISERROR(SEARCH(("N"),(W18))))</formula>
    </cfRule>
    <cfRule type="containsText" dxfId="3938" priority="3238" operator="containsText" text="L">
      <formula>NOT(ISERROR(SEARCH(("L"),(W18))))</formula>
    </cfRule>
    <cfRule type="containsText" dxfId="3937" priority="3237" operator="containsText" text="X">
      <formula>NOT(ISERROR(SEARCH(("X"),(W18))))</formula>
    </cfRule>
    <cfRule type="containsText" dxfId="3936" priority="3236" operator="containsText" text="K">
      <formula>NOT(ISERROR(SEARCH(("K"),(W18))))</formula>
    </cfRule>
    <cfRule type="containsText" dxfId="3935" priority="3235" operator="containsText" text="P">
      <formula>NOT(ISERROR(SEARCH(("P"),(W18))))</formula>
    </cfRule>
    <cfRule type="containsText" dxfId="3934" priority="3234" operator="containsText" text="C">
      <formula>NOT(ISERROR(SEARCH(("C"),(W18))))</formula>
    </cfRule>
    <cfRule type="containsText" dxfId="3933" priority="3233" operator="containsText" text="O">
      <formula>NOT(ISERROR(SEARCH(("O"),(W18))))</formula>
    </cfRule>
    <cfRule type="containsText" dxfId="3932" priority="3232" operator="containsText" text="N">
      <formula>NOT(ISERROR(SEARCH(("N"),(W18))))</formula>
    </cfRule>
    <cfRule type="containsText" dxfId="3931" priority="3231" operator="containsText" text="L">
      <formula>NOT(ISERROR(SEARCH(("L"),(W18))))</formula>
    </cfRule>
    <cfRule type="containsText" dxfId="3930" priority="3230" operator="containsText" text="X">
      <formula>NOT(ISERROR(SEARCH(("X"),(W18))))</formula>
    </cfRule>
    <cfRule type="containsText" dxfId="3929" priority="3229" operator="containsText" text="K">
      <formula>NOT(ISERROR(SEARCH(("K"),(W18))))</formula>
    </cfRule>
    <cfRule type="containsText" dxfId="3928" priority="3269" operator="containsText" text="C">
      <formula>NOT(ISERROR(SEARCH(("C"),(W18))))</formula>
    </cfRule>
    <cfRule type="containsText" dxfId="3927" priority="3243" operator="containsText" text="K">
      <formula>NOT(ISERROR(SEARCH(("K"),(W18))))</formula>
    </cfRule>
    <cfRule type="containsText" dxfId="3926" priority="3244" operator="containsText" text="X">
      <formula>NOT(ISERROR(SEARCH(("X"),(W18))))</formula>
    </cfRule>
    <cfRule type="containsText" dxfId="3925" priority="3245" operator="containsText" text="L">
      <formula>NOT(ISERROR(SEARCH(("L"),(W18))))</formula>
    </cfRule>
    <cfRule type="containsText" dxfId="3924" priority="3246" operator="containsText" text="N">
      <formula>NOT(ISERROR(SEARCH(("N"),(W18))))</formula>
    </cfRule>
    <cfRule type="containsText" dxfId="3923" priority="3248" operator="containsText" text="O">
      <formula>NOT(ISERROR(SEARCH(("O"),(W18))))</formula>
    </cfRule>
    <cfRule type="containsText" dxfId="3922" priority="3249" operator="containsText" text="C">
      <formula>NOT(ISERROR(SEARCH(("C"),(W18))))</formula>
    </cfRule>
  </conditionalFormatting>
  <conditionalFormatting sqref="W19:X19">
    <cfRule type="containsText" dxfId="3921" priority="2797" operator="containsText" text="N">
      <formula>NOT(ISERROR(SEARCH(("N"),(W19))))</formula>
    </cfRule>
    <cfRule type="containsText" dxfId="3920" priority="2795" operator="containsText" text="X">
      <formula>NOT(ISERROR(SEARCH(("X"),(W19))))</formula>
    </cfRule>
    <cfRule type="containsText" dxfId="3919" priority="2794" operator="containsText" text="K">
      <formula>NOT(ISERROR(SEARCH(("K"),(W19))))</formula>
    </cfRule>
    <cfRule type="containsText" dxfId="3918" priority="2793" operator="containsText" text="P">
      <formula>NOT(ISERROR(SEARCH(("P"),(W19))))</formula>
    </cfRule>
    <cfRule type="containsText" dxfId="3917" priority="2792" operator="containsText" text="C">
      <formula>NOT(ISERROR(SEARCH(("C"),(W19))))</formula>
    </cfRule>
    <cfRule type="containsText" dxfId="3916" priority="2791" operator="containsText" text="O">
      <formula>NOT(ISERROR(SEARCH(("O"),(W19))))</formula>
    </cfRule>
    <cfRule type="containsText" dxfId="3915" priority="2790" operator="containsText" text="N">
      <formula>NOT(ISERROR(SEARCH(("N"),(W19))))</formula>
    </cfRule>
    <cfRule type="containsText" dxfId="3914" priority="2784" operator="containsText" text="O">
      <formula>NOT(ISERROR(SEARCH(("O"),(W19))))</formula>
    </cfRule>
    <cfRule type="containsText" dxfId="3913" priority="2788" operator="containsText" text="X">
      <formula>NOT(ISERROR(SEARCH(("X"),(W19))))</formula>
    </cfRule>
    <cfRule type="containsText" dxfId="3912" priority="2787" operator="containsText" text="K">
      <formula>NOT(ISERROR(SEARCH(("K"),(W19))))</formula>
    </cfRule>
    <cfRule type="containsText" dxfId="3911" priority="2783" operator="containsText" text="N">
      <formula>NOT(ISERROR(SEARCH(("N"),(W19))))</formula>
    </cfRule>
    <cfRule type="containsText" dxfId="3910" priority="2782" operator="containsText" text="L">
      <formula>NOT(ISERROR(SEARCH(("L"),(W19))))</formula>
    </cfRule>
    <cfRule type="containsText" dxfId="3909" priority="2781" operator="containsText" text="X">
      <formula>NOT(ISERROR(SEARCH(("X"),(W19))))</formula>
    </cfRule>
    <cfRule type="containsText" dxfId="3908" priority="2780" operator="containsText" text="K">
      <formula>NOT(ISERROR(SEARCH(("K"),(W19))))</formula>
    </cfRule>
    <cfRule type="containsText" dxfId="3907" priority="2786" operator="containsText" text="P">
      <formula>NOT(ISERROR(SEARCH(("P"),(W19))))</formula>
    </cfRule>
    <cfRule type="containsText" dxfId="3906" priority="2800" operator="containsText" text="C">
      <formula>NOT(ISERROR(SEARCH(("C"),(W19))))</formula>
    </cfRule>
    <cfRule type="containsText" dxfId="3905" priority="2799" operator="containsText" text="O">
      <formula>NOT(ISERROR(SEARCH(("O"),(W19))))</formula>
    </cfRule>
    <cfRule type="containsText" dxfId="3904" priority="2798" operator="containsText" text="N">
      <formula>NOT(ISERROR(SEARCH(("N"),(W19))))</formula>
    </cfRule>
    <cfRule type="containsText" dxfId="3903" priority="2785" operator="containsText" text="C">
      <formula>NOT(ISERROR(SEARCH(("C"),(W19))))</formula>
    </cfRule>
    <cfRule type="containsText" dxfId="3902" priority="2789" operator="containsText" text="L">
      <formula>NOT(ISERROR(SEARCH(("L"),(W19))))</formula>
    </cfRule>
    <cfRule type="containsText" dxfId="3901" priority="2796" operator="containsText" text="L">
      <formula>NOT(ISERROR(SEARCH(("L"),(W19))))</formula>
    </cfRule>
    <cfRule type="containsText" dxfId="3900" priority="2776" operator="containsText" text="N">
      <formula>NOT(ISERROR(SEARCH(("N"),(W19))))</formula>
    </cfRule>
    <cfRule type="containsText" dxfId="3899" priority="2777" operator="containsText" text="O">
      <formula>NOT(ISERROR(SEARCH(("O"),(W19))))</formula>
    </cfRule>
    <cfRule type="containsText" dxfId="3898" priority="2778" operator="containsText" text="C">
      <formula>NOT(ISERROR(SEARCH(("C"),(W19))))</formula>
    </cfRule>
    <cfRule type="containsText" dxfId="3897" priority="2779" operator="containsText" text="P">
      <formula>NOT(ISERROR(SEARCH(("P"),(W19))))</formula>
    </cfRule>
    <cfRule type="containsText" dxfId="3896" priority="2823" operator="containsText" text="X">
      <formula>NOT(ISERROR(SEARCH(("X"),(W19))))</formula>
    </cfRule>
    <cfRule type="containsText" dxfId="3895" priority="2822" operator="containsText" text="K">
      <formula>NOT(ISERROR(SEARCH(("K"),(W19))))</formula>
    </cfRule>
    <cfRule type="containsText" dxfId="3894" priority="2821" operator="containsText" text="P">
      <formula>NOT(ISERROR(SEARCH(("P"),(W19))))</formula>
    </cfRule>
    <cfRule type="containsText" dxfId="3893" priority="2820" operator="containsText" text="C">
      <formula>NOT(ISERROR(SEARCH(("C"),(W19))))</formula>
    </cfRule>
    <cfRule type="containsText" dxfId="3892" priority="2802" operator="containsText" text="K">
      <formula>NOT(ISERROR(SEARCH(("K"),(W19))))</formula>
    </cfRule>
    <cfRule type="containsText" dxfId="3891" priority="2819" operator="containsText" text="L">
      <formula>NOT(ISERROR(SEARCH(("L"),(W19))))</formula>
    </cfRule>
    <cfRule type="containsText" dxfId="3890" priority="2818" operator="containsText" text="X">
      <formula>NOT(ISERROR(SEARCH(("X"),(W19))))</formula>
    </cfRule>
    <cfRule type="containsText" dxfId="3889" priority="2812" operator="containsText" text="N">
      <formula>NOT(ISERROR(SEARCH(("N"),(W19))))</formula>
    </cfRule>
    <cfRule type="containsText" dxfId="3888" priority="2817" operator="containsText" text="K">
      <formula>NOT(ISERROR(SEARCH(("K"),(W19))))</formula>
    </cfRule>
    <cfRule type="containsText" dxfId="3887" priority="2816" operator="containsText" text="P">
      <formula>NOT(ISERROR(SEARCH(("P"),(W19))))</formula>
    </cfRule>
    <cfRule type="containsText" dxfId="3886" priority="2815" operator="containsText" text="C">
      <formula>NOT(ISERROR(SEARCH(("C"),(W19))))</formula>
    </cfRule>
    <cfRule type="containsText" dxfId="3885" priority="2814" operator="containsText" text="O">
      <formula>NOT(ISERROR(SEARCH(("O"),(W19))))</formula>
    </cfRule>
    <cfRule type="containsText" dxfId="3884" priority="2813" operator="containsText" text="L">
      <formula>NOT(ISERROR(SEARCH(("L"),(W19))))</formula>
    </cfRule>
    <cfRule type="containsText" dxfId="3883" priority="2811" operator="containsText" text="L">
      <formula>NOT(ISERROR(SEARCH(("L"),(W19))))</formula>
    </cfRule>
    <cfRule type="containsText" dxfId="3882" priority="2810" operator="containsText" text="X">
      <formula>NOT(ISERROR(SEARCH(("X"),(W19))))</formula>
    </cfRule>
    <cfRule type="containsText" dxfId="3881" priority="2809" operator="containsText" text="K">
      <formula>NOT(ISERROR(SEARCH(("K"),(W19))))</formula>
    </cfRule>
    <cfRule type="containsText" dxfId="3880" priority="2808" operator="containsText" text="P">
      <formula>NOT(ISERROR(SEARCH(("P"),(W19))))</formula>
    </cfRule>
    <cfRule type="containsText" dxfId="3879" priority="2807" operator="containsText" text="C">
      <formula>NOT(ISERROR(SEARCH(("C"),(W19))))</formula>
    </cfRule>
    <cfRule type="containsText" dxfId="3878" priority="2806" operator="containsText" text="O">
      <formula>NOT(ISERROR(SEARCH(("O"),(W19))))</formula>
    </cfRule>
    <cfRule type="containsText" dxfId="3877" priority="2805" operator="containsText" text="N">
      <formula>NOT(ISERROR(SEARCH(("N"),(W19))))</formula>
    </cfRule>
    <cfRule type="containsText" dxfId="3876" priority="2804" operator="containsText" text="L">
      <formula>NOT(ISERROR(SEARCH(("L"),(W19))))</formula>
    </cfRule>
    <cfRule type="containsText" dxfId="3875" priority="2803" operator="containsText" text="X">
      <formula>NOT(ISERROR(SEARCH(("X"),(W19))))</formula>
    </cfRule>
    <cfRule type="containsText" dxfId="3874" priority="2801" operator="containsText" text="P">
      <formula>NOT(ISERROR(SEARCH(("P"),(W19))))</formula>
    </cfRule>
  </conditionalFormatting>
  <conditionalFormatting sqref="W20:X20">
    <cfRule type="containsText" dxfId="3873" priority="2428" operator="containsText" text="L">
      <formula>NOT(ISERROR(SEARCH(("L"),(W20))))</formula>
    </cfRule>
    <cfRule type="containsText" dxfId="3872" priority="2429" operator="containsText" text="N">
      <formula>NOT(ISERROR(SEARCH(("N"),(W20))))</formula>
    </cfRule>
    <cfRule type="containsText" dxfId="3871" priority="2430" operator="containsText" text="O">
      <formula>NOT(ISERROR(SEARCH(("O"),(W20))))</formula>
    </cfRule>
    <cfRule type="containsText" dxfId="3870" priority="2431" operator="containsText" text="C">
      <formula>NOT(ISERROR(SEARCH(("C"),(W20))))</formula>
    </cfRule>
    <cfRule type="containsText" dxfId="3869" priority="2432" operator="containsText" text="P">
      <formula>NOT(ISERROR(SEARCH(("P"),(W20))))</formula>
    </cfRule>
    <cfRule type="containsText" dxfId="3868" priority="2433" operator="containsText" text="K">
      <formula>NOT(ISERROR(SEARCH(("K"),(W20))))</formula>
    </cfRule>
    <cfRule type="containsText" dxfId="3867" priority="2419" operator="containsText" text="N">
      <formula>NOT(ISERROR(SEARCH(("N"),(W20))))</formula>
    </cfRule>
    <cfRule type="containsText" dxfId="3866" priority="2470" operator="containsText" text="P">
      <formula>NOT(ISERROR(SEARCH(("P"),(W20))))</formula>
    </cfRule>
    <cfRule type="containsText" dxfId="3865" priority="2469" operator="containsText" text="C">
      <formula>NOT(ISERROR(SEARCH(("C"),(W20))))</formula>
    </cfRule>
    <cfRule type="containsText" dxfId="3864" priority="2468" operator="containsText" text="O">
      <formula>NOT(ISERROR(SEARCH(("O"),(W20))))</formula>
    </cfRule>
    <cfRule type="containsText" dxfId="3863" priority="2467" operator="containsText" text="N">
      <formula>NOT(ISERROR(SEARCH(("N"),(W20))))</formula>
    </cfRule>
    <cfRule type="containsText" dxfId="3862" priority="2466" operator="containsText" text="L">
      <formula>NOT(ISERROR(SEARCH(("L"),(W20))))</formula>
    </cfRule>
    <cfRule type="containsText" dxfId="3861" priority="2465" operator="containsText" text="X">
      <formula>NOT(ISERROR(SEARCH(("X"),(W20))))</formula>
    </cfRule>
    <cfRule type="containsText" dxfId="3860" priority="2464" operator="containsText" text="K">
      <formula>NOT(ISERROR(SEARCH(("K"),(W20))))</formula>
    </cfRule>
    <cfRule type="containsText" dxfId="3859" priority="2463" operator="containsText" text="P">
      <formula>NOT(ISERROR(SEARCH(("P"),(W20))))</formula>
    </cfRule>
    <cfRule type="containsText" dxfId="3858" priority="2462" operator="containsText" text="C">
      <formula>NOT(ISERROR(SEARCH(("C"),(W20))))</formula>
    </cfRule>
    <cfRule type="containsText" dxfId="3857" priority="2461" operator="containsText" text="O">
      <formula>NOT(ISERROR(SEARCH(("O"),(W20))))</formula>
    </cfRule>
    <cfRule type="containsText" dxfId="3856" priority="2460" operator="containsText" text="L">
      <formula>NOT(ISERROR(SEARCH(("L"),(W20))))</formula>
    </cfRule>
    <cfRule type="containsText" dxfId="3855" priority="2459" operator="containsText" text="N">
      <formula>NOT(ISERROR(SEARCH(("N"),(W20))))</formula>
    </cfRule>
    <cfRule type="containsText" dxfId="3854" priority="2458" operator="containsText" text="L">
      <formula>NOT(ISERROR(SEARCH(("L"),(W20))))</formula>
    </cfRule>
    <cfRule type="containsText" dxfId="3853" priority="2457" operator="containsText" text="N">
      <formula>NOT(ISERROR(SEARCH(("N"),(W20))))</formula>
    </cfRule>
    <cfRule type="containsText" dxfId="3852" priority="2456" operator="containsText" text="L">
      <formula>NOT(ISERROR(SEARCH(("L"),(W20))))</formula>
    </cfRule>
    <cfRule type="containsText" dxfId="3851" priority="2455" operator="containsText" text="X">
      <formula>NOT(ISERROR(SEARCH(("X"),(W20))))</formula>
    </cfRule>
    <cfRule type="containsText" dxfId="3850" priority="2454" operator="containsText" text="K">
      <formula>NOT(ISERROR(SEARCH(("K"),(W20))))</formula>
    </cfRule>
    <cfRule type="containsText" dxfId="3849" priority="2453" operator="containsText" text="P">
      <formula>NOT(ISERROR(SEARCH(("P"),(W20))))</formula>
    </cfRule>
    <cfRule type="containsText" dxfId="3848" priority="2452" operator="containsText" text="C">
      <formula>NOT(ISERROR(SEARCH(("C"),(W20))))</formula>
    </cfRule>
    <cfRule type="containsText" dxfId="3847" priority="2451" operator="containsText" text="O">
      <formula>NOT(ISERROR(SEARCH(("O"),(W20))))</formula>
    </cfRule>
    <cfRule type="containsText" dxfId="3846" priority="2450" operator="containsText" text="N">
      <formula>NOT(ISERROR(SEARCH(("N"),(W20))))</formula>
    </cfRule>
    <cfRule type="containsText" dxfId="3845" priority="2449" operator="containsText" text="L">
      <formula>NOT(ISERROR(SEARCH(("L"),(W20))))</formula>
    </cfRule>
    <cfRule type="containsText" dxfId="3844" priority="2399" operator="containsText" text="O">
      <formula>NOT(ISERROR(SEARCH(("O"),(W20))))</formula>
    </cfRule>
    <cfRule type="containsText" dxfId="3843" priority="2483" operator="containsText" text="X">
      <formula>NOT(ISERROR(SEARCH(("X"),(W20))))</formula>
    </cfRule>
    <cfRule type="containsText" dxfId="3842" priority="2400" operator="containsText" text="C">
      <formula>NOT(ISERROR(SEARCH(("C"),(W20))))</formula>
    </cfRule>
    <cfRule type="containsText" dxfId="3841" priority="2482" operator="containsText" text="K">
      <formula>NOT(ISERROR(SEARCH(("K"),(W20))))</formula>
    </cfRule>
    <cfRule type="containsText" dxfId="3840" priority="2401" operator="containsText" text="P">
      <formula>NOT(ISERROR(SEARCH(("P"),(W20))))</formula>
    </cfRule>
    <cfRule type="containsText" dxfId="3839" priority="2402" operator="containsText" text="K">
      <formula>NOT(ISERROR(SEARCH(("K"),(W20))))</formula>
    </cfRule>
    <cfRule type="containsText" dxfId="3838" priority="2403" operator="containsText" text="X">
      <formula>NOT(ISERROR(SEARCH(("X"),(W20))))</formula>
    </cfRule>
    <cfRule type="containsText" dxfId="3837" priority="2404" operator="containsText" text="L">
      <formula>NOT(ISERROR(SEARCH(("L"),(W20))))</formula>
    </cfRule>
    <cfRule type="containsText" dxfId="3836" priority="2480" operator="containsText" text="C">
      <formula>NOT(ISERROR(SEARCH(("C"),(W20))))</formula>
    </cfRule>
    <cfRule type="containsText" dxfId="3835" priority="2479" operator="containsText" text="L">
      <formula>NOT(ISERROR(SEARCH(("L"),(W20))))</formula>
    </cfRule>
    <cfRule type="containsText" dxfId="3834" priority="2478" operator="containsText" text="X">
      <formula>NOT(ISERROR(SEARCH(("X"),(W20))))</formula>
    </cfRule>
    <cfRule type="containsText" dxfId="3833" priority="2405" operator="containsText" text="N">
      <formula>NOT(ISERROR(SEARCH(("N"),(W20))))</formula>
    </cfRule>
    <cfRule type="containsText" dxfId="3832" priority="2406" operator="containsText" text="O">
      <formula>NOT(ISERROR(SEARCH(("O"),(W20))))</formula>
    </cfRule>
    <cfRule type="containsText" dxfId="3831" priority="2407" operator="containsText" text="C">
      <formula>NOT(ISERROR(SEARCH(("C"),(W20))))</formula>
    </cfRule>
    <cfRule type="containsText" dxfId="3830" priority="2408" operator="containsText" text="P">
      <formula>NOT(ISERROR(SEARCH(("P"),(W20))))</formula>
    </cfRule>
    <cfRule type="containsText" dxfId="3829" priority="2476" operator="containsText" text="P">
      <formula>NOT(ISERROR(SEARCH(("P"),(W20))))</formula>
    </cfRule>
    <cfRule type="containsText" dxfId="3828" priority="2448" operator="containsText" text="X">
      <formula>NOT(ISERROR(SEARCH(("X"),(W20))))</formula>
    </cfRule>
    <cfRule type="containsText" dxfId="3827" priority="2475" operator="containsText" text="C">
      <formula>NOT(ISERROR(SEARCH(("C"),(W20))))</formula>
    </cfRule>
    <cfRule type="containsText" dxfId="3826" priority="2447" operator="containsText" text="K">
      <formula>NOT(ISERROR(SEARCH(("K"),(W20))))</formula>
    </cfRule>
    <cfRule type="containsText" dxfId="3825" priority="2446" operator="containsText" text="P">
      <formula>NOT(ISERROR(SEARCH(("P"),(W20))))</formula>
    </cfRule>
    <cfRule type="containsText" dxfId="3824" priority="2445" operator="containsText" text="C">
      <formula>NOT(ISERROR(SEARCH(("C"),(W20))))</formula>
    </cfRule>
    <cfRule type="containsText" dxfId="3823" priority="2444" operator="containsText" text="O">
      <formula>NOT(ISERROR(SEARCH(("O"),(W20))))</formula>
    </cfRule>
    <cfRule type="containsText" dxfId="3822" priority="2443" operator="containsText" text="N">
      <formula>NOT(ISERROR(SEARCH(("N"),(W20))))</formula>
    </cfRule>
    <cfRule type="containsText" dxfId="3821" priority="2442" operator="containsText" text="L">
      <formula>NOT(ISERROR(SEARCH(("L"),(W20))))</formula>
    </cfRule>
    <cfRule type="containsText" dxfId="3820" priority="2409" operator="containsText" text="K">
      <formula>NOT(ISERROR(SEARCH(("K"),(W20))))</formula>
    </cfRule>
    <cfRule type="containsText" dxfId="3819" priority="2440" operator="containsText" text="K">
      <formula>NOT(ISERROR(SEARCH(("K"),(W20))))</formula>
    </cfRule>
    <cfRule type="containsText" dxfId="3818" priority="2474" operator="containsText" text="N">
      <formula>NOT(ISERROR(SEARCH(("N"),(W20))))</formula>
    </cfRule>
    <cfRule type="containsText" dxfId="3817" priority="2473" operator="containsText" text="L">
      <formula>NOT(ISERROR(SEARCH(("L"),(W20))))</formula>
    </cfRule>
    <cfRule type="containsText" dxfId="3816" priority="2472" operator="containsText" text="X">
      <formula>NOT(ISERROR(SEARCH(("X"),(W20))))</formula>
    </cfRule>
    <cfRule type="containsText" dxfId="3815" priority="2471" operator="containsText" text="K">
      <formula>NOT(ISERROR(SEARCH(("K"),(W20))))</formula>
    </cfRule>
    <cfRule type="containsText" dxfId="3814" priority="2410" operator="containsText" text="X">
      <formula>NOT(ISERROR(SEARCH(("X"),(W20))))</formula>
    </cfRule>
    <cfRule type="containsText" dxfId="3813" priority="2411" operator="containsText" text="L">
      <formula>NOT(ISERROR(SEARCH(("L"),(W20))))</formula>
    </cfRule>
    <cfRule type="containsText" dxfId="3812" priority="2441" operator="containsText" text="X">
      <formula>NOT(ISERROR(SEARCH(("X"),(W20))))</formula>
    </cfRule>
    <cfRule type="containsText" dxfId="3811" priority="2439" operator="containsText" text="P">
      <formula>NOT(ISERROR(SEARCH(("P"),(W20))))</formula>
    </cfRule>
    <cfRule type="containsText" dxfId="3810" priority="2412" operator="containsText" text="N">
      <formula>NOT(ISERROR(SEARCH(("N"),(W20))))</formula>
    </cfRule>
    <cfRule type="containsText" dxfId="3809" priority="2437" operator="containsText" text="O">
      <formula>NOT(ISERROR(SEARCH(("O"),(W20))))</formula>
    </cfRule>
    <cfRule type="containsText" dxfId="3808" priority="2436" operator="containsText" text="N">
      <formula>NOT(ISERROR(SEARCH(("N"),(W20))))</formula>
    </cfRule>
    <cfRule type="containsText" dxfId="3807" priority="2435" operator="containsText" text="L">
      <formula>NOT(ISERROR(SEARCH(("L"),(W20))))</formula>
    </cfRule>
    <cfRule type="containsText" dxfId="3806" priority="2382" operator="containsText" text="N">
      <formula>NOT(ISERROR(SEARCH(("N"),(W20))))</formula>
    </cfRule>
    <cfRule type="containsText" dxfId="3805" priority="2383" operator="containsText" text="N">
      <formula>NOT(ISERROR(SEARCH(("N"),(W20))))</formula>
    </cfRule>
    <cfRule type="containsText" dxfId="3804" priority="2384" operator="containsText" text="N">
      <formula>NOT(ISERROR(SEARCH(("N"),(W20))))</formula>
    </cfRule>
    <cfRule type="containsText" dxfId="3803" priority="2385" operator="containsText" text="O">
      <formula>NOT(ISERROR(SEARCH(("O"),(W20))))</formula>
    </cfRule>
    <cfRule type="containsText" dxfId="3802" priority="2386" operator="containsText" text="C">
      <formula>NOT(ISERROR(SEARCH(("C"),(W20))))</formula>
    </cfRule>
    <cfRule type="containsText" dxfId="3801" priority="2387" operator="containsText" text="P">
      <formula>NOT(ISERROR(SEARCH(("P"),(W20))))</formula>
    </cfRule>
    <cfRule type="containsText" dxfId="3800" priority="2388" operator="containsText" text="K">
      <formula>NOT(ISERROR(SEARCH(("K"),(W20))))</formula>
    </cfRule>
    <cfRule type="containsText" dxfId="3799" priority="2389" operator="containsText" text="X">
      <formula>NOT(ISERROR(SEARCH(("X"),(W20))))</formula>
    </cfRule>
    <cfRule type="containsText" dxfId="3798" priority="2390" operator="containsText" text="L">
      <formula>NOT(ISERROR(SEARCH(("L"),(W20))))</formula>
    </cfRule>
    <cfRule type="containsText" dxfId="3797" priority="2391" operator="containsText" text="N">
      <formula>NOT(ISERROR(SEARCH(("N"),(W20))))</formula>
    </cfRule>
    <cfRule type="containsText" dxfId="3796" priority="2413" operator="containsText" text="O">
      <formula>NOT(ISERROR(SEARCH(("O"),(W20))))</formula>
    </cfRule>
    <cfRule type="containsText" dxfId="3795" priority="2414" operator="containsText" text="C">
      <formula>NOT(ISERROR(SEARCH(("C"),(W20))))</formula>
    </cfRule>
    <cfRule type="containsText" dxfId="3794" priority="2415" operator="containsText" text="P">
      <formula>NOT(ISERROR(SEARCH(("P"),(W20))))</formula>
    </cfRule>
    <cfRule type="containsText" dxfId="3793" priority="2416" operator="containsText" text="K">
      <formula>NOT(ISERROR(SEARCH(("K"),(W20))))</formula>
    </cfRule>
    <cfRule type="containsText" dxfId="3792" priority="2417" operator="containsText" text="X">
      <formula>NOT(ISERROR(SEARCH(("X"),(W20))))</formula>
    </cfRule>
    <cfRule type="containsText" dxfId="3791" priority="2477" operator="containsText" text="K">
      <formula>NOT(ISERROR(SEARCH(("K"),(W20))))</formula>
    </cfRule>
    <cfRule type="containsText" dxfId="3790" priority="2418" operator="containsText" text="L">
      <formula>NOT(ISERROR(SEARCH(("L"),(W20))))</formula>
    </cfRule>
    <cfRule type="containsText" dxfId="3789" priority="2420" operator="containsText" text="L">
      <formula>NOT(ISERROR(SEARCH(("L"),(W20))))</formula>
    </cfRule>
    <cfRule type="containsText" dxfId="3788" priority="2421" operator="containsText" text="N">
      <formula>NOT(ISERROR(SEARCH(("N"),(W20))))</formula>
    </cfRule>
    <cfRule type="containsText" dxfId="3787" priority="2422" operator="containsText" text="L">
      <formula>NOT(ISERROR(SEARCH(("L"),(W20))))</formula>
    </cfRule>
    <cfRule type="containsText" dxfId="3786" priority="2423" operator="containsText" text="O">
      <formula>NOT(ISERROR(SEARCH(("O"),(W20))))</formula>
    </cfRule>
    <cfRule type="containsText" dxfId="3785" priority="2398" operator="containsText" text="N">
      <formula>NOT(ISERROR(SEARCH(("N"),(W20))))</formula>
    </cfRule>
    <cfRule type="containsText" dxfId="3784" priority="2392" operator="containsText" text="O">
      <formula>NOT(ISERROR(SEARCH(("O"),(W20))))</formula>
    </cfRule>
    <cfRule type="containsText" dxfId="3783" priority="2424" operator="containsText" text="C">
      <formula>NOT(ISERROR(SEARCH(("C"),(W20))))</formula>
    </cfRule>
    <cfRule type="containsText" dxfId="3782" priority="2425" operator="containsText" text="P">
      <formula>NOT(ISERROR(SEARCH(("P"),(W20))))</formula>
    </cfRule>
    <cfRule type="containsText" dxfId="3781" priority="2426" operator="containsText" text="K">
      <formula>NOT(ISERROR(SEARCH(("K"),(W20))))</formula>
    </cfRule>
    <cfRule type="containsText" dxfId="3780" priority="2481" operator="containsText" text="P">
      <formula>NOT(ISERROR(SEARCH(("P"),(W20))))</formula>
    </cfRule>
    <cfRule type="containsText" dxfId="3779" priority="2427" operator="containsText" text="X">
      <formula>NOT(ISERROR(SEARCH(("X"),(W20))))</formula>
    </cfRule>
    <cfRule type="containsText" dxfId="3778" priority="2393" operator="containsText" text="C">
      <formula>NOT(ISERROR(SEARCH(("C"),(W20))))</formula>
    </cfRule>
    <cfRule type="containsText" dxfId="3777" priority="2394" operator="containsText" text="P">
      <formula>NOT(ISERROR(SEARCH(("P"),(W20))))</formula>
    </cfRule>
    <cfRule type="containsText" dxfId="3776" priority="2395" operator="containsText" text="K">
      <formula>NOT(ISERROR(SEARCH(("K"),(W20))))</formula>
    </cfRule>
    <cfRule type="containsText" dxfId="3775" priority="2396" operator="containsText" text="X">
      <formula>NOT(ISERROR(SEARCH(("X"),(W20))))</formula>
    </cfRule>
    <cfRule type="containsText" dxfId="3774" priority="2397" operator="containsText" text="L">
      <formula>NOT(ISERROR(SEARCH(("L"),(W20))))</formula>
    </cfRule>
    <cfRule type="containsText" dxfId="3773" priority="2434" operator="containsText" text="X">
      <formula>NOT(ISERROR(SEARCH(("X"),(W20))))</formula>
    </cfRule>
    <cfRule type="containsText" dxfId="3772" priority="2438" operator="containsText" text="C">
      <formula>NOT(ISERROR(SEARCH(("C"),(W20))))</formula>
    </cfRule>
  </conditionalFormatting>
  <conditionalFormatting sqref="W21:X21 R20:R26 P20:P26 AB22:AB26 AE22:AE26 W20:W26 Y20:Y26 Q23:S23">
    <cfRule type="containsText" dxfId="3771" priority="7681" operator="containsText" text="X">
      <formula>NOT(ISERROR(SEARCH(("X"),(P20))))</formula>
    </cfRule>
    <cfRule type="containsText" dxfId="3770" priority="7679" operator="containsText" text="P">
      <formula>NOT(ISERROR(SEARCH(("P"),(P20))))</formula>
    </cfRule>
    <cfRule type="containsText" dxfId="3769" priority="7678" operator="containsText" text="C">
      <formula>NOT(ISERROR(SEARCH(("C"),(P20))))</formula>
    </cfRule>
    <cfRule type="containsText" dxfId="3768" priority="7677" operator="containsText" text="O">
      <formula>NOT(ISERROR(SEARCH(("O"),(P20))))</formula>
    </cfRule>
    <cfRule type="containsText" dxfId="3767" priority="7680" operator="containsText" text="K">
      <formula>NOT(ISERROR(SEARCH(("K"),(P20))))</formula>
    </cfRule>
  </conditionalFormatting>
  <conditionalFormatting sqref="W21:X21">
    <cfRule type="containsText" dxfId="3766" priority="1962" operator="containsText" text="K">
      <formula>NOT(ISERROR(SEARCH(("K"),(W21))))</formula>
    </cfRule>
    <cfRule type="containsText" dxfId="3765" priority="1963" operator="containsText" text="X">
      <formula>NOT(ISERROR(SEARCH(("X"),(W21))))</formula>
    </cfRule>
    <cfRule type="containsText" dxfId="3764" priority="1964" operator="containsText" text="L">
      <formula>NOT(ISERROR(SEARCH(("L"),(W21))))</formula>
    </cfRule>
    <cfRule type="containsText" dxfId="3763" priority="1965" operator="containsText" text="N">
      <formula>NOT(ISERROR(SEARCH(("N"),(W21))))</formula>
    </cfRule>
    <cfRule type="containsText" dxfId="3762" priority="1966" operator="containsText" text="O">
      <formula>NOT(ISERROR(SEARCH(("O"),(W21))))</formula>
    </cfRule>
    <cfRule type="containsText" dxfId="3761" priority="1967" operator="containsText" text="C">
      <formula>NOT(ISERROR(SEARCH(("C"),(W21))))</formula>
    </cfRule>
    <cfRule type="containsText" dxfId="3760" priority="1968" operator="containsText" text="P">
      <formula>NOT(ISERROR(SEARCH(("P"),(W21))))</formula>
    </cfRule>
    <cfRule type="containsText" dxfId="3759" priority="1969" operator="containsText" text="K">
      <formula>NOT(ISERROR(SEARCH(("K"),(W21))))</formula>
    </cfRule>
    <cfRule type="containsText" dxfId="3758" priority="1970" operator="containsText" text="X">
      <formula>NOT(ISERROR(SEARCH(("X"),(W21))))</formula>
    </cfRule>
    <cfRule type="containsText" dxfId="3757" priority="1971" operator="containsText" text="L">
      <formula>NOT(ISERROR(SEARCH(("L"),(W21))))</formula>
    </cfRule>
    <cfRule type="containsText" dxfId="3756" priority="1972" operator="containsText" text="N">
      <formula>NOT(ISERROR(SEARCH(("N"),(W21))))</formula>
    </cfRule>
    <cfRule type="containsText" dxfId="3755" priority="1973" operator="containsText" text="O">
      <formula>NOT(ISERROR(SEARCH(("O"),(W21))))</formula>
    </cfRule>
    <cfRule type="containsText" dxfId="3754" priority="1974" operator="containsText" text="C">
      <formula>NOT(ISERROR(SEARCH(("C"),(W21))))</formula>
    </cfRule>
    <cfRule type="containsText" dxfId="3753" priority="1975" operator="containsText" text="P">
      <formula>NOT(ISERROR(SEARCH(("P"),(W21))))</formula>
    </cfRule>
    <cfRule type="containsText" dxfId="3752" priority="1976" operator="containsText" text="K">
      <formula>NOT(ISERROR(SEARCH(("K"),(W21))))</formula>
    </cfRule>
    <cfRule type="containsText" dxfId="3751" priority="1977" operator="containsText" text="X">
      <formula>NOT(ISERROR(SEARCH(("X"),(W21))))</formula>
    </cfRule>
    <cfRule type="containsText" dxfId="3750" priority="1978" operator="containsText" text="L">
      <formula>NOT(ISERROR(SEARCH(("L"),(W21))))</formula>
    </cfRule>
    <cfRule type="containsText" dxfId="3749" priority="1979" operator="containsText" text="N">
      <formula>NOT(ISERROR(SEARCH(("N"),(W21))))</formula>
    </cfRule>
    <cfRule type="containsText" dxfId="3748" priority="1980" operator="containsText" text="L">
      <formula>NOT(ISERROR(SEARCH(("L"),(W21))))</formula>
    </cfRule>
    <cfRule type="containsText" dxfId="3747" priority="1981" operator="containsText" text="N">
      <formula>NOT(ISERROR(SEARCH(("N"),(W21))))</formula>
    </cfRule>
    <cfRule type="containsText" dxfId="3746" priority="1982" operator="containsText" text="L">
      <formula>NOT(ISERROR(SEARCH(("L"),(W21))))</formula>
    </cfRule>
    <cfRule type="containsText" dxfId="3745" priority="1983" operator="containsText" text="O">
      <formula>NOT(ISERROR(SEARCH(("O"),(W21))))</formula>
    </cfRule>
    <cfRule type="containsText" dxfId="3744" priority="1984" operator="containsText" text="C">
      <formula>NOT(ISERROR(SEARCH(("C"),(W21))))</formula>
    </cfRule>
    <cfRule type="containsText" dxfId="3743" priority="1985" operator="containsText" text="P">
      <formula>NOT(ISERROR(SEARCH(("P"),(W21))))</formula>
    </cfRule>
    <cfRule type="containsText" dxfId="3742" priority="1986" operator="containsText" text="K">
      <formula>NOT(ISERROR(SEARCH(("K"),(W21))))</formula>
    </cfRule>
    <cfRule type="containsText" dxfId="3741" priority="1987" operator="containsText" text="X">
      <formula>NOT(ISERROR(SEARCH(("X"),(W21))))</formula>
    </cfRule>
    <cfRule type="containsText" dxfId="3740" priority="1988" operator="containsText" text="L">
      <formula>NOT(ISERROR(SEARCH(("L"),(W21))))</formula>
    </cfRule>
    <cfRule type="containsText" dxfId="3739" priority="1989" operator="containsText" text="N">
      <formula>NOT(ISERROR(SEARCH(("N"),(W21))))</formula>
    </cfRule>
    <cfRule type="containsText" dxfId="3738" priority="1990" operator="containsText" text="O">
      <formula>NOT(ISERROR(SEARCH(("O"),(W21))))</formula>
    </cfRule>
    <cfRule type="containsText" dxfId="3737" priority="1991" operator="containsText" text="C">
      <formula>NOT(ISERROR(SEARCH(("C"),(W21))))</formula>
    </cfRule>
    <cfRule type="containsText" dxfId="3736" priority="1992" operator="containsText" text="P">
      <formula>NOT(ISERROR(SEARCH(("P"),(W21))))</formula>
    </cfRule>
    <cfRule type="containsText" dxfId="3735" priority="1993" operator="containsText" text="K">
      <formula>NOT(ISERROR(SEARCH(("K"),(W21))))</formula>
    </cfRule>
    <cfRule type="containsText" dxfId="3734" priority="1994" operator="containsText" text="X">
      <formula>NOT(ISERROR(SEARCH(("X"),(W21))))</formula>
    </cfRule>
    <cfRule type="containsText" dxfId="3733" priority="1995" operator="containsText" text="L">
      <formula>NOT(ISERROR(SEARCH(("L"),(W21))))</formula>
    </cfRule>
    <cfRule type="containsText" dxfId="3732" priority="1996" operator="containsText" text="N">
      <formula>NOT(ISERROR(SEARCH(("N"),(W21))))</formula>
    </cfRule>
    <cfRule type="containsText" dxfId="3731" priority="1997" operator="containsText" text="O">
      <formula>NOT(ISERROR(SEARCH(("O"),(W21))))</formula>
    </cfRule>
    <cfRule type="containsText" dxfId="3730" priority="1998" operator="containsText" text="C">
      <formula>NOT(ISERROR(SEARCH(("C"),(W21))))</formula>
    </cfRule>
    <cfRule type="containsText" dxfId="3729" priority="1999" operator="containsText" text="P">
      <formula>NOT(ISERROR(SEARCH(("P"),(W21))))</formula>
    </cfRule>
    <cfRule type="containsText" dxfId="3728" priority="2000" operator="containsText" text="K">
      <formula>NOT(ISERROR(SEARCH(("K"),(W21))))</formula>
    </cfRule>
    <cfRule type="containsText" dxfId="3727" priority="2001" operator="containsText" text="X">
      <formula>NOT(ISERROR(SEARCH(("X"),(W21))))</formula>
    </cfRule>
    <cfRule type="containsText" dxfId="3726" priority="2002" operator="containsText" text="L">
      <formula>NOT(ISERROR(SEARCH(("L"),(W21))))</formula>
    </cfRule>
    <cfRule type="containsText" dxfId="3725" priority="2003" operator="containsText" text="N">
      <formula>NOT(ISERROR(SEARCH(("N"),(W21))))</formula>
    </cfRule>
    <cfRule type="containsText" dxfId="3724" priority="2004" operator="containsText" text="O">
      <formula>NOT(ISERROR(SEARCH(("O"),(W21))))</formula>
    </cfRule>
    <cfRule type="containsText" dxfId="3723" priority="2005" operator="containsText" text="C">
      <formula>NOT(ISERROR(SEARCH(("C"),(W21))))</formula>
    </cfRule>
    <cfRule type="containsText" dxfId="3722" priority="2006" operator="containsText" text="P">
      <formula>NOT(ISERROR(SEARCH(("P"),(W21))))</formula>
    </cfRule>
    <cfRule type="containsText" dxfId="3721" priority="2007" operator="containsText" text="K">
      <formula>NOT(ISERROR(SEARCH(("K"),(W21))))</formula>
    </cfRule>
    <cfRule type="containsText" dxfId="3720" priority="2008" operator="containsText" text="X">
      <formula>NOT(ISERROR(SEARCH(("X"),(W21))))</formula>
    </cfRule>
    <cfRule type="containsText" dxfId="3719" priority="2009" operator="containsText" text="L">
      <formula>NOT(ISERROR(SEARCH(("L"),(W21))))</formula>
    </cfRule>
    <cfRule type="containsText" dxfId="3718" priority="2010" operator="containsText" text="N">
      <formula>NOT(ISERROR(SEARCH(("N"),(W21))))</formula>
    </cfRule>
    <cfRule type="containsText" dxfId="3717" priority="2011" operator="containsText" text="O">
      <formula>NOT(ISERROR(SEARCH(("O"),(W21))))</formula>
    </cfRule>
    <cfRule type="containsText" dxfId="3716" priority="2012" operator="containsText" text="C">
      <formula>NOT(ISERROR(SEARCH(("C"),(W21))))</formula>
    </cfRule>
    <cfRule type="containsText" dxfId="3715" priority="2013" operator="containsText" text="P">
      <formula>NOT(ISERROR(SEARCH(("P"),(W21))))</formula>
    </cfRule>
    <cfRule type="containsText" dxfId="3714" priority="2014" operator="containsText" text="K">
      <formula>NOT(ISERROR(SEARCH(("K"),(W21))))</formula>
    </cfRule>
    <cfRule type="containsText" dxfId="3713" priority="2015" operator="containsText" text="X">
      <formula>NOT(ISERROR(SEARCH(("X"),(W21))))</formula>
    </cfRule>
    <cfRule type="containsText" dxfId="3712" priority="2016" operator="containsText" text="L">
      <formula>NOT(ISERROR(SEARCH(("L"),(W21))))</formula>
    </cfRule>
    <cfRule type="containsText" dxfId="3711" priority="2017" operator="containsText" text="N">
      <formula>NOT(ISERROR(SEARCH(("N"),(W21))))</formula>
    </cfRule>
    <cfRule type="containsText" dxfId="3710" priority="2018" operator="containsText" text="L">
      <formula>NOT(ISERROR(SEARCH(("L"),(W21))))</formula>
    </cfRule>
    <cfRule type="containsText" dxfId="3709" priority="2019" operator="containsText" text="N">
      <formula>NOT(ISERROR(SEARCH(("N"),(W21))))</formula>
    </cfRule>
    <cfRule type="containsText" dxfId="3708" priority="2020" operator="containsText" text="L">
      <formula>NOT(ISERROR(SEARCH(("L"),(W21))))</formula>
    </cfRule>
    <cfRule type="containsText" dxfId="3707" priority="2021" operator="containsText" text="O">
      <formula>NOT(ISERROR(SEARCH(("O"),(W21))))</formula>
    </cfRule>
    <cfRule type="containsText" dxfId="3706" priority="2022" operator="containsText" text="C">
      <formula>NOT(ISERROR(SEARCH(("C"),(W21))))</formula>
    </cfRule>
    <cfRule type="containsText" dxfId="3705" priority="2023" operator="containsText" text="P">
      <formula>NOT(ISERROR(SEARCH(("P"),(W21))))</formula>
    </cfRule>
    <cfRule type="containsText" dxfId="3704" priority="2024" operator="containsText" text="K">
      <formula>NOT(ISERROR(SEARCH(("K"),(W21))))</formula>
    </cfRule>
    <cfRule type="containsText" dxfId="3703" priority="2025" operator="containsText" text="X">
      <formula>NOT(ISERROR(SEARCH(("X"),(W21))))</formula>
    </cfRule>
    <cfRule type="containsText" dxfId="3702" priority="2026" operator="containsText" text="L">
      <formula>NOT(ISERROR(SEARCH(("L"),(W21))))</formula>
    </cfRule>
    <cfRule type="containsText" dxfId="3701" priority="2027" operator="containsText" text="N">
      <formula>NOT(ISERROR(SEARCH(("N"),(W21))))</formula>
    </cfRule>
    <cfRule type="containsText" dxfId="3700" priority="2028" operator="containsText" text="O">
      <formula>NOT(ISERROR(SEARCH(("O"),(W21))))</formula>
    </cfRule>
    <cfRule type="containsText" dxfId="3699" priority="2029" operator="containsText" text="C">
      <formula>NOT(ISERROR(SEARCH(("C"),(W21))))</formula>
    </cfRule>
    <cfRule type="containsText" dxfId="3698" priority="2030" operator="containsText" text="P">
      <formula>NOT(ISERROR(SEARCH(("P"),(W21))))</formula>
    </cfRule>
    <cfRule type="containsText" dxfId="3697" priority="2031" operator="containsText" text="K">
      <formula>NOT(ISERROR(SEARCH(("K"),(W21))))</formula>
    </cfRule>
    <cfRule type="containsText" dxfId="3696" priority="2032" operator="containsText" text="X">
      <formula>NOT(ISERROR(SEARCH(("X"),(W21))))</formula>
    </cfRule>
    <cfRule type="containsText" dxfId="3695" priority="2033" operator="containsText" text="L">
      <formula>NOT(ISERROR(SEARCH(("L"),(W21))))</formula>
    </cfRule>
    <cfRule type="containsText" dxfId="3694" priority="2034" operator="containsText" text="N">
      <formula>NOT(ISERROR(SEARCH(("N"),(W21))))</formula>
    </cfRule>
    <cfRule type="containsText" dxfId="3693" priority="2035" operator="containsText" text="C">
      <formula>NOT(ISERROR(SEARCH(("C"),(W21))))</formula>
    </cfRule>
    <cfRule type="containsText" dxfId="3692" priority="2036" operator="containsText" text="P">
      <formula>NOT(ISERROR(SEARCH(("P"),(W21))))</formula>
    </cfRule>
    <cfRule type="containsText" dxfId="3691" priority="2037" operator="containsText" text="K">
      <formula>NOT(ISERROR(SEARCH(("K"),(W21))))</formula>
    </cfRule>
    <cfRule type="containsText" dxfId="3690" priority="2038" operator="containsText" text="X">
      <formula>NOT(ISERROR(SEARCH(("X"),(W21))))</formula>
    </cfRule>
    <cfRule type="containsText" dxfId="3689" priority="2040" operator="containsText" text="C">
      <formula>NOT(ISERROR(SEARCH(("C"),(W21))))</formula>
    </cfRule>
    <cfRule type="containsText" dxfId="3688" priority="2041" operator="containsText" text="P">
      <formula>NOT(ISERROR(SEARCH(("P"),(W21))))</formula>
    </cfRule>
    <cfRule type="containsText" dxfId="3687" priority="2042" operator="containsText" text="K">
      <formula>NOT(ISERROR(SEARCH(("K"),(W21))))</formula>
    </cfRule>
    <cfRule type="containsText" dxfId="3686" priority="2043" operator="containsText" text="X">
      <formula>NOT(ISERROR(SEARCH(("X"),(W21))))</formula>
    </cfRule>
    <cfRule type="containsText" dxfId="3685" priority="2044" operator="containsText" text="N">
      <formula>NOT(ISERROR(SEARCH(("N"),(W21))))</formula>
    </cfRule>
    <cfRule type="containsText" dxfId="3684" priority="2045" operator="containsText" text="O">
      <formula>NOT(ISERROR(SEARCH(("O"),(W21))))</formula>
    </cfRule>
    <cfRule type="containsText" dxfId="3683" priority="2046" operator="containsText" text="C">
      <formula>NOT(ISERROR(SEARCH(("C"),(W21))))</formula>
    </cfRule>
    <cfRule type="containsText" dxfId="3682" priority="2047" operator="containsText" text="P">
      <formula>NOT(ISERROR(SEARCH(("P"),(W21))))</formula>
    </cfRule>
    <cfRule type="containsText" dxfId="3681" priority="2048" operator="containsText" text="K">
      <formula>NOT(ISERROR(SEARCH(("K"),(W21))))</formula>
    </cfRule>
    <cfRule type="containsText" dxfId="3680" priority="2049" operator="containsText" text="X">
      <formula>NOT(ISERROR(SEARCH(("X"),(W21))))</formula>
    </cfRule>
    <cfRule type="containsText" dxfId="3679" priority="2050" operator="containsText" text="L">
      <formula>NOT(ISERROR(SEARCH(("L"),(W21))))</formula>
    </cfRule>
    <cfRule type="containsText" dxfId="3678" priority="2052" operator="containsText" text="N">
      <formula>NOT(ISERROR(SEARCH(("N"),(W21))))</formula>
    </cfRule>
    <cfRule type="containsText" dxfId="3677" priority="2053" operator="containsText" text="O">
      <formula>NOT(ISERROR(SEARCH(("O"),(W21))))</formula>
    </cfRule>
    <cfRule type="containsText" dxfId="3676" priority="2054" operator="containsText" text="C">
      <formula>NOT(ISERROR(SEARCH(("C"),(W21))))</formula>
    </cfRule>
    <cfRule type="containsText" dxfId="3675" priority="2055" operator="containsText" text="P">
      <formula>NOT(ISERROR(SEARCH(("P"),(W21))))</formula>
    </cfRule>
    <cfRule type="containsText" dxfId="3674" priority="2056" operator="containsText" text="K">
      <formula>NOT(ISERROR(SEARCH(("K"),(W21))))</formula>
    </cfRule>
    <cfRule type="containsText" dxfId="3673" priority="2057" operator="containsText" text="X">
      <formula>NOT(ISERROR(SEARCH(("X"),(W21))))</formula>
    </cfRule>
    <cfRule type="containsText" dxfId="3672" priority="2058" operator="containsText" text="L">
      <formula>NOT(ISERROR(SEARCH(("L"),(W21))))</formula>
    </cfRule>
    <cfRule type="containsText" dxfId="3671" priority="2059" operator="containsText" text="N">
      <formula>NOT(ISERROR(SEARCH(("N"),(W21))))</formula>
    </cfRule>
    <cfRule type="containsText" dxfId="3670" priority="2060" operator="containsText" text="O">
      <formula>NOT(ISERROR(SEARCH(("O"),(W21))))</formula>
    </cfRule>
    <cfRule type="containsText" dxfId="3669" priority="2061" operator="containsText" text="C">
      <formula>NOT(ISERROR(SEARCH(("C"),(W21))))</formula>
    </cfRule>
    <cfRule type="containsText" dxfId="3668" priority="2062" operator="containsText" text="P">
      <formula>NOT(ISERROR(SEARCH(("P"),(W21))))</formula>
    </cfRule>
    <cfRule type="containsText" dxfId="3667" priority="2063" operator="containsText" text="K">
      <formula>NOT(ISERROR(SEARCH(("K"),(W21))))</formula>
    </cfRule>
    <cfRule type="containsText" dxfId="3666" priority="2064" operator="containsText" text="X">
      <formula>NOT(ISERROR(SEARCH(("X"),(W21))))</formula>
    </cfRule>
    <cfRule type="containsText" dxfId="3665" priority="2065" operator="containsText" text="L">
      <formula>NOT(ISERROR(SEARCH(("L"),(W21))))</formula>
    </cfRule>
    <cfRule type="containsText" dxfId="3664" priority="2066" operator="containsText" text="N">
      <formula>NOT(ISERROR(SEARCH(("N"),(W21))))</formula>
    </cfRule>
    <cfRule type="containsText" dxfId="3663" priority="2067" operator="containsText" text="O">
      <formula>NOT(ISERROR(SEARCH(("O"),(W21))))</formula>
    </cfRule>
    <cfRule type="containsText" dxfId="3662" priority="2068" operator="containsText" text="C">
      <formula>NOT(ISERROR(SEARCH(("C"),(W21))))</formula>
    </cfRule>
    <cfRule type="containsText" dxfId="3661" priority="2069" operator="containsText" text="P">
      <formula>NOT(ISERROR(SEARCH(("P"),(W21))))</formula>
    </cfRule>
    <cfRule type="containsText" dxfId="3660" priority="2070" operator="containsText" text="K">
      <formula>NOT(ISERROR(SEARCH(("K"),(W21))))</formula>
    </cfRule>
    <cfRule type="containsText" dxfId="3659" priority="2071" operator="containsText" text="X">
      <formula>NOT(ISERROR(SEARCH(("X"),(W21))))</formula>
    </cfRule>
    <cfRule type="containsText" dxfId="3658" priority="2072" operator="containsText" text="L">
      <formula>NOT(ISERROR(SEARCH(("L"),(W21))))</formula>
    </cfRule>
    <cfRule type="containsText" dxfId="3657" priority="2073" operator="containsText" text="O">
      <formula>NOT(ISERROR(SEARCH(("O"),(W21))))</formula>
    </cfRule>
    <cfRule type="containsText" dxfId="3656" priority="2074" operator="containsText" text="C">
      <formula>NOT(ISERROR(SEARCH(("C"),(W21))))</formula>
    </cfRule>
    <cfRule type="containsText" dxfId="3655" priority="2075" operator="containsText" text="P">
      <formula>NOT(ISERROR(SEARCH(("P"),(W21))))</formula>
    </cfRule>
    <cfRule type="containsText" dxfId="3654" priority="2076" operator="containsText" text="K">
      <formula>NOT(ISERROR(SEARCH(("K"),(W21))))</formula>
    </cfRule>
    <cfRule type="containsText" dxfId="3653" priority="2077" operator="containsText" text="X">
      <formula>NOT(ISERROR(SEARCH(("X"),(W21))))</formula>
    </cfRule>
    <cfRule type="containsText" dxfId="3652" priority="2078" operator="containsText" text="L">
      <formula>NOT(ISERROR(SEARCH(("L"),(W21))))</formula>
    </cfRule>
    <cfRule type="containsText" dxfId="3651" priority="2039" operator="containsText" text="L">
      <formula>NOT(ISERROR(SEARCH(("L"),(W21))))</formula>
    </cfRule>
    <cfRule type="containsText" dxfId="3650" priority="1942" operator="containsText" text="N">
      <formula>NOT(ISERROR(SEARCH(("N"),(W21))))</formula>
    </cfRule>
    <cfRule type="containsText" dxfId="3649" priority="1943" operator="containsText" text="N">
      <formula>NOT(ISERROR(SEARCH(("N"),(W21))))</formula>
    </cfRule>
    <cfRule type="containsText" dxfId="3648" priority="1944" operator="containsText" text="N">
      <formula>NOT(ISERROR(SEARCH(("N"),(W21))))</formula>
    </cfRule>
    <cfRule type="containsText" dxfId="3647" priority="1945" operator="containsText" text="O">
      <formula>NOT(ISERROR(SEARCH(("O"),(W21))))</formula>
    </cfRule>
    <cfRule type="containsText" dxfId="3646" priority="1946" operator="containsText" text="C">
      <formula>NOT(ISERROR(SEARCH(("C"),(W21))))</formula>
    </cfRule>
    <cfRule type="containsText" dxfId="3645" priority="1947" operator="containsText" text="P">
      <formula>NOT(ISERROR(SEARCH(("P"),(W21))))</formula>
    </cfRule>
    <cfRule type="containsText" dxfId="3644" priority="1948" operator="containsText" text="K">
      <formula>NOT(ISERROR(SEARCH(("K"),(W21))))</formula>
    </cfRule>
    <cfRule type="containsText" dxfId="3643" priority="1949" operator="containsText" text="X">
      <formula>NOT(ISERROR(SEARCH(("X"),(W21))))</formula>
    </cfRule>
    <cfRule type="containsText" dxfId="3642" priority="1950" operator="containsText" text="L">
      <formula>NOT(ISERROR(SEARCH(("L"),(W21))))</formula>
    </cfRule>
    <cfRule type="containsText" dxfId="3641" priority="1951" operator="containsText" text="N">
      <formula>NOT(ISERROR(SEARCH(("N"),(W21))))</formula>
    </cfRule>
    <cfRule type="containsText" dxfId="3640" priority="1952" operator="containsText" text="O">
      <formula>NOT(ISERROR(SEARCH(("O"),(W21))))</formula>
    </cfRule>
    <cfRule type="containsText" dxfId="3639" priority="1953" operator="containsText" text="C">
      <formula>NOT(ISERROR(SEARCH(("C"),(W21))))</formula>
    </cfRule>
    <cfRule type="containsText" dxfId="3638" priority="1954" operator="containsText" text="P">
      <formula>NOT(ISERROR(SEARCH(("P"),(W21))))</formula>
    </cfRule>
    <cfRule type="containsText" dxfId="3637" priority="1955" operator="containsText" text="K">
      <formula>NOT(ISERROR(SEARCH(("K"),(W21))))</formula>
    </cfRule>
    <cfRule type="containsText" dxfId="3636" priority="1956" operator="containsText" text="X">
      <formula>NOT(ISERROR(SEARCH(("X"),(W21))))</formula>
    </cfRule>
    <cfRule type="containsText" dxfId="3635" priority="1957" operator="containsText" text="L">
      <formula>NOT(ISERROR(SEARCH(("L"),(W21))))</formula>
    </cfRule>
    <cfRule type="containsText" dxfId="3634" priority="1958" operator="containsText" text="N">
      <formula>NOT(ISERROR(SEARCH(("N"),(W21))))</formula>
    </cfRule>
    <cfRule type="containsText" dxfId="3633" priority="1959" operator="containsText" text="O">
      <formula>NOT(ISERROR(SEARCH(("O"),(W21))))</formula>
    </cfRule>
    <cfRule type="containsText" dxfId="3632" priority="1960" operator="containsText" text="C">
      <formula>NOT(ISERROR(SEARCH(("C"),(W21))))</formula>
    </cfRule>
    <cfRule type="containsText" dxfId="3631" priority="1961" operator="containsText" text="P">
      <formula>NOT(ISERROR(SEARCH(("P"),(W21))))</formula>
    </cfRule>
  </conditionalFormatting>
  <conditionalFormatting sqref="W22:X22">
    <cfRule type="containsText" dxfId="3630" priority="1497" operator="containsText" text="X">
      <formula>NOT(ISERROR(SEARCH(("X"),(W22))))</formula>
    </cfRule>
    <cfRule type="containsText" dxfId="3629" priority="1547" operator="containsText" text="K">
      <formula>NOT(ISERROR(SEARCH(("K"),(W22))))</formula>
    </cfRule>
    <cfRule type="containsText" dxfId="3628" priority="1479" operator="containsText" text="K">
      <formula>NOT(ISERROR(SEARCH(("K"),(W22))))</formula>
    </cfRule>
    <cfRule type="containsText" dxfId="3627" priority="1480" operator="containsText" text="X">
      <formula>NOT(ISERROR(SEARCH(("X"),(W22))))</formula>
    </cfRule>
    <cfRule type="containsText" dxfId="3626" priority="1481" operator="containsText" text="L">
      <formula>NOT(ISERROR(SEARCH(("L"),(W22))))</formula>
    </cfRule>
    <cfRule type="containsText" dxfId="3625" priority="1482" operator="containsText" text="N">
      <formula>NOT(ISERROR(SEARCH(("N"),(W22))))</formula>
    </cfRule>
    <cfRule type="containsText" dxfId="3624" priority="1483" operator="containsText" text="O">
      <formula>NOT(ISERROR(SEARCH(("O"),(W22))))</formula>
    </cfRule>
    <cfRule type="containsText" dxfId="3623" priority="1486" operator="containsText" text="K">
      <formula>NOT(ISERROR(SEARCH(("K"),(W22))))</formula>
    </cfRule>
    <cfRule type="containsText" dxfId="3622" priority="1484" operator="containsText" text="C">
      <formula>NOT(ISERROR(SEARCH(("C"),(W22))))</formula>
    </cfRule>
    <cfRule type="containsText" dxfId="3621" priority="1553" operator="containsText" text="X">
      <formula>NOT(ISERROR(SEARCH(("X"),(W22))))</formula>
    </cfRule>
    <cfRule type="containsText" dxfId="3620" priority="1548" operator="containsText" text="X">
      <formula>NOT(ISERROR(SEARCH(("X"),(W22))))</formula>
    </cfRule>
    <cfRule type="containsText" dxfId="3619" priority="1549" operator="containsText" text="L">
      <formula>NOT(ISERROR(SEARCH(("L"),(W22))))</formula>
    </cfRule>
    <cfRule type="containsText" dxfId="3618" priority="1550" operator="containsText" text="C">
      <formula>NOT(ISERROR(SEARCH(("C"),(W22))))</formula>
    </cfRule>
    <cfRule type="containsText" dxfId="3617" priority="1551" operator="containsText" text="P">
      <formula>NOT(ISERROR(SEARCH(("P"),(W22))))</formula>
    </cfRule>
    <cfRule type="containsText" dxfId="3616" priority="1487" operator="containsText" text="X">
      <formula>NOT(ISERROR(SEARCH(("X"),(W22))))</formula>
    </cfRule>
    <cfRule type="containsText" dxfId="3615" priority="1488" operator="containsText" text="L">
      <formula>NOT(ISERROR(SEARCH(("L"),(W22))))</formula>
    </cfRule>
    <cfRule type="containsText" dxfId="3614" priority="1489" operator="containsText" text="N">
      <formula>NOT(ISERROR(SEARCH(("N"),(W22))))</formula>
    </cfRule>
    <cfRule type="containsText" dxfId="3613" priority="1490" operator="containsText" text="L">
      <formula>NOT(ISERROR(SEARCH(("L"),(W22))))</formula>
    </cfRule>
    <cfRule type="containsText" dxfId="3612" priority="1491" operator="containsText" text="N">
      <formula>NOT(ISERROR(SEARCH(("N"),(W22))))</formula>
    </cfRule>
    <cfRule type="containsText" dxfId="3611" priority="1492" operator="containsText" text="L">
      <formula>NOT(ISERROR(SEARCH(("L"),(W22))))</formula>
    </cfRule>
    <cfRule type="containsText" dxfId="3610" priority="1493" operator="containsText" text="O">
      <formula>NOT(ISERROR(SEARCH(("O"),(W22))))</formula>
    </cfRule>
    <cfRule type="containsText" dxfId="3609" priority="1494" operator="containsText" text="C">
      <formula>NOT(ISERROR(SEARCH(("C"),(W22))))</formula>
    </cfRule>
    <cfRule type="containsText" dxfId="3608" priority="1495" operator="containsText" text="P">
      <formula>NOT(ISERROR(SEARCH(("P"),(W22))))</formula>
    </cfRule>
    <cfRule type="containsText" dxfId="3607" priority="1496" operator="containsText" text="K">
      <formula>NOT(ISERROR(SEARCH(("K"),(W22))))</formula>
    </cfRule>
    <cfRule type="containsText" dxfId="3606" priority="1552" operator="containsText" text="K">
      <formula>NOT(ISERROR(SEARCH(("K"),(W22))))</formula>
    </cfRule>
    <cfRule type="containsText" dxfId="3605" priority="1498" operator="containsText" text="L">
      <formula>NOT(ISERROR(SEARCH(("L"),(W22))))</formula>
    </cfRule>
    <cfRule type="containsText" dxfId="3604" priority="1499" operator="containsText" text="N">
      <formula>NOT(ISERROR(SEARCH(("N"),(W22))))</formula>
    </cfRule>
    <cfRule type="containsText" dxfId="3603" priority="1500" operator="containsText" text="O">
      <formula>NOT(ISERROR(SEARCH(("O"),(W22))))</formula>
    </cfRule>
    <cfRule type="containsText" dxfId="3602" priority="1501" operator="containsText" text="C">
      <formula>NOT(ISERROR(SEARCH(("C"),(W22))))</formula>
    </cfRule>
    <cfRule type="containsText" dxfId="3601" priority="1502" operator="containsText" text="P">
      <formula>NOT(ISERROR(SEARCH(("P"),(W22))))</formula>
    </cfRule>
    <cfRule type="containsText" dxfId="3600" priority="1503" operator="containsText" text="K">
      <formula>NOT(ISERROR(SEARCH(("K"),(W22))))</formula>
    </cfRule>
    <cfRule type="containsText" dxfId="3599" priority="1504" operator="containsText" text="X">
      <formula>NOT(ISERROR(SEARCH(("X"),(W22))))</formula>
    </cfRule>
    <cfRule type="containsText" dxfId="3598" priority="1452" operator="containsText" text="N">
      <formula>NOT(ISERROR(SEARCH(("N"),(W22))))</formula>
    </cfRule>
    <cfRule type="containsText" dxfId="3597" priority="1453" operator="containsText" text="N">
      <formula>NOT(ISERROR(SEARCH(("N"),(W22))))</formula>
    </cfRule>
    <cfRule type="containsText" dxfId="3596" priority="1454" operator="containsText" text="N">
      <formula>NOT(ISERROR(SEARCH(("N"),(W22))))</formula>
    </cfRule>
    <cfRule type="containsText" dxfId="3595" priority="1455" operator="containsText" text="O">
      <formula>NOT(ISERROR(SEARCH(("O"),(W22))))</formula>
    </cfRule>
    <cfRule type="containsText" dxfId="3594" priority="1456" operator="containsText" text="C">
      <formula>NOT(ISERROR(SEARCH(("C"),(W22))))</formula>
    </cfRule>
    <cfRule type="containsText" dxfId="3593" priority="1458" operator="containsText" text="K">
      <formula>NOT(ISERROR(SEARCH(("K"),(W22))))</formula>
    </cfRule>
    <cfRule type="containsText" dxfId="3592" priority="1459" operator="containsText" text="X">
      <formula>NOT(ISERROR(SEARCH(("X"),(W22))))</formula>
    </cfRule>
    <cfRule type="containsText" dxfId="3591" priority="1505" operator="containsText" text="L">
      <formula>NOT(ISERROR(SEARCH(("L"),(W22))))</formula>
    </cfRule>
    <cfRule type="containsText" dxfId="3590" priority="1506" operator="containsText" text="N">
      <formula>NOT(ISERROR(SEARCH(("N"),(W22))))</formula>
    </cfRule>
    <cfRule type="containsText" dxfId="3589" priority="1507" operator="containsText" text="O">
      <formula>NOT(ISERROR(SEARCH(("O"),(W22))))</formula>
    </cfRule>
    <cfRule type="containsText" dxfId="3588" priority="1508" operator="containsText" text="C">
      <formula>NOT(ISERROR(SEARCH(("C"),(W22))))</formula>
    </cfRule>
    <cfRule type="containsText" dxfId="3587" priority="1509" operator="containsText" text="P">
      <formula>NOT(ISERROR(SEARCH(("P"),(W22))))</formula>
    </cfRule>
    <cfRule type="containsText" dxfId="3586" priority="1510" operator="containsText" text="K">
      <formula>NOT(ISERROR(SEARCH(("K"),(W22))))</formula>
    </cfRule>
    <cfRule type="containsText" dxfId="3585" priority="1511" operator="containsText" text="X">
      <formula>NOT(ISERROR(SEARCH(("X"),(W22))))</formula>
    </cfRule>
    <cfRule type="containsText" dxfId="3584" priority="1512" operator="containsText" text="L">
      <formula>NOT(ISERROR(SEARCH(("L"),(W22))))</formula>
    </cfRule>
    <cfRule type="containsText" dxfId="3583" priority="1513" operator="containsText" text="N">
      <formula>NOT(ISERROR(SEARCH(("N"),(W22))))</formula>
    </cfRule>
    <cfRule type="containsText" dxfId="3582" priority="1514" operator="containsText" text="O">
      <formula>NOT(ISERROR(SEARCH(("O"),(W22))))</formula>
    </cfRule>
    <cfRule type="containsText" dxfId="3581" priority="1515" operator="containsText" text="C">
      <formula>NOT(ISERROR(SEARCH(("C"),(W22))))</formula>
    </cfRule>
    <cfRule type="containsText" dxfId="3580" priority="1516" operator="containsText" text="P">
      <formula>NOT(ISERROR(SEARCH(("P"),(W22))))</formula>
    </cfRule>
    <cfRule type="containsText" dxfId="3579" priority="1517" operator="containsText" text="K">
      <formula>NOT(ISERROR(SEARCH(("K"),(W22))))</formula>
    </cfRule>
    <cfRule type="containsText" dxfId="3578" priority="1518" operator="containsText" text="X">
      <formula>NOT(ISERROR(SEARCH(("X"),(W22))))</formula>
    </cfRule>
    <cfRule type="containsText" dxfId="3577" priority="1519" operator="containsText" text="L">
      <formula>NOT(ISERROR(SEARCH(("L"),(W22))))</formula>
    </cfRule>
    <cfRule type="containsText" dxfId="3576" priority="1457" operator="containsText" text="P">
      <formula>NOT(ISERROR(SEARCH(("P"),(W22))))</formula>
    </cfRule>
    <cfRule type="containsText" dxfId="3575" priority="1485" operator="containsText" text="P">
      <formula>NOT(ISERROR(SEARCH(("P"),(W22))))</formula>
    </cfRule>
    <cfRule type="containsText" dxfId="3574" priority="1520" operator="containsText" text="N">
      <formula>NOT(ISERROR(SEARCH(("N"),(W22))))</formula>
    </cfRule>
    <cfRule type="containsText" dxfId="3573" priority="1521" operator="containsText" text="O">
      <formula>NOT(ISERROR(SEARCH(("O"),(W22))))</formula>
    </cfRule>
    <cfRule type="containsText" dxfId="3572" priority="1460" operator="containsText" text="L">
      <formula>NOT(ISERROR(SEARCH(("L"),(W22))))</formula>
    </cfRule>
    <cfRule type="containsText" dxfId="3571" priority="1461" operator="containsText" text="N">
      <formula>NOT(ISERROR(SEARCH(("N"),(W22))))</formula>
    </cfRule>
    <cfRule type="containsText" dxfId="3570" priority="1462" operator="containsText" text="O">
      <formula>NOT(ISERROR(SEARCH(("O"),(W22))))</formula>
    </cfRule>
    <cfRule type="containsText" dxfId="3569" priority="1463" operator="containsText" text="C">
      <formula>NOT(ISERROR(SEARCH(("C"),(W22))))</formula>
    </cfRule>
    <cfRule type="containsText" dxfId="3568" priority="1464" operator="containsText" text="P">
      <formula>NOT(ISERROR(SEARCH(("P"),(W22))))</formula>
    </cfRule>
    <cfRule type="containsText" dxfId="3567" priority="1465" operator="containsText" text="K">
      <formula>NOT(ISERROR(SEARCH(("K"),(W22))))</formula>
    </cfRule>
    <cfRule type="containsText" dxfId="3566" priority="1466" operator="containsText" text="X">
      <formula>NOT(ISERROR(SEARCH(("X"),(W22))))</formula>
    </cfRule>
    <cfRule type="containsText" dxfId="3565" priority="1467" operator="containsText" text="L">
      <formula>NOT(ISERROR(SEARCH(("L"),(W22))))</formula>
    </cfRule>
    <cfRule type="containsText" dxfId="3564" priority="1468" operator="containsText" text="N">
      <formula>NOT(ISERROR(SEARCH(("N"),(W22))))</formula>
    </cfRule>
    <cfRule type="containsText" dxfId="3563" priority="1469" operator="containsText" text="O">
      <formula>NOT(ISERROR(SEARCH(("O"),(W22))))</formula>
    </cfRule>
    <cfRule type="containsText" dxfId="3562" priority="1470" operator="containsText" text="C">
      <formula>NOT(ISERROR(SEARCH(("C"),(W22))))</formula>
    </cfRule>
    <cfRule type="containsText" dxfId="3561" priority="1471" operator="containsText" text="P">
      <formula>NOT(ISERROR(SEARCH(("P"),(W22))))</formula>
    </cfRule>
    <cfRule type="containsText" dxfId="3560" priority="1522" operator="containsText" text="C">
      <formula>NOT(ISERROR(SEARCH(("C"),(W22))))</formula>
    </cfRule>
    <cfRule type="containsText" dxfId="3559" priority="1523" operator="containsText" text="P">
      <formula>NOT(ISERROR(SEARCH(("P"),(W22))))</formula>
    </cfRule>
    <cfRule type="containsText" dxfId="3558" priority="1524" operator="containsText" text="K">
      <formula>NOT(ISERROR(SEARCH(("K"),(W22))))</formula>
    </cfRule>
    <cfRule type="containsText" dxfId="3557" priority="1525" operator="containsText" text="X">
      <formula>NOT(ISERROR(SEARCH(("X"),(W22))))</formula>
    </cfRule>
    <cfRule type="containsText" dxfId="3556" priority="1526" operator="containsText" text="L">
      <formula>NOT(ISERROR(SEARCH(("L"),(W22))))</formula>
    </cfRule>
    <cfRule type="containsText" dxfId="3555" priority="1527" operator="containsText" text="N">
      <formula>NOT(ISERROR(SEARCH(("N"),(W22))))</formula>
    </cfRule>
    <cfRule type="containsText" dxfId="3554" priority="1472" operator="containsText" text="K">
      <formula>NOT(ISERROR(SEARCH(("K"),(W22))))</formula>
    </cfRule>
    <cfRule type="containsText" dxfId="3553" priority="1473" operator="containsText" text="X">
      <formula>NOT(ISERROR(SEARCH(("X"),(W22))))</formula>
    </cfRule>
    <cfRule type="containsText" dxfId="3552" priority="1474" operator="containsText" text="L">
      <formula>NOT(ISERROR(SEARCH(("L"),(W22))))</formula>
    </cfRule>
    <cfRule type="containsText" dxfId="3551" priority="1475" operator="containsText" text="N">
      <formula>NOT(ISERROR(SEARCH(("N"),(W22))))</formula>
    </cfRule>
    <cfRule type="containsText" dxfId="3550" priority="1476" operator="containsText" text="O">
      <formula>NOT(ISERROR(SEARCH(("O"),(W22))))</formula>
    </cfRule>
    <cfRule type="containsText" dxfId="3549" priority="1477" operator="containsText" text="C">
      <formula>NOT(ISERROR(SEARCH(("C"),(W22))))</formula>
    </cfRule>
    <cfRule type="containsText" dxfId="3548" priority="1528" operator="containsText" text="L">
      <formula>NOT(ISERROR(SEARCH(("L"),(W22))))</formula>
    </cfRule>
    <cfRule type="containsText" dxfId="3547" priority="1529" operator="containsText" text="N">
      <formula>NOT(ISERROR(SEARCH(("N"),(W22))))</formula>
    </cfRule>
    <cfRule type="containsText" dxfId="3546" priority="1530" operator="containsText" text="L">
      <formula>NOT(ISERROR(SEARCH(("L"),(W22))))</formula>
    </cfRule>
    <cfRule type="containsText" dxfId="3545" priority="1531" operator="containsText" text="O">
      <formula>NOT(ISERROR(SEARCH(("O"),(W22))))</formula>
    </cfRule>
    <cfRule type="containsText" dxfId="3544" priority="1532" operator="containsText" text="C">
      <formula>NOT(ISERROR(SEARCH(("C"),(W22))))</formula>
    </cfRule>
    <cfRule type="containsText" dxfId="3543" priority="1533" operator="containsText" text="P">
      <formula>NOT(ISERROR(SEARCH(("P"),(W22))))</formula>
    </cfRule>
    <cfRule type="containsText" dxfId="3542" priority="1534" operator="containsText" text="K">
      <formula>NOT(ISERROR(SEARCH(("K"),(W22))))</formula>
    </cfRule>
    <cfRule type="containsText" dxfId="3541" priority="1478" operator="containsText" text="P">
      <formula>NOT(ISERROR(SEARCH(("P"),(W22))))</formula>
    </cfRule>
    <cfRule type="containsText" dxfId="3540" priority="1535" operator="containsText" text="X">
      <formula>NOT(ISERROR(SEARCH(("X"),(W22))))</formula>
    </cfRule>
    <cfRule type="containsText" dxfId="3539" priority="1536" operator="containsText" text="L">
      <formula>NOT(ISERROR(SEARCH(("L"),(W22))))</formula>
    </cfRule>
    <cfRule type="containsText" dxfId="3538" priority="1537" operator="containsText" text="N">
      <formula>NOT(ISERROR(SEARCH(("N"),(W22))))</formula>
    </cfRule>
    <cfRule type="containsText" dxfId="3537" priority="1538" operator="containsText" text="O">
      <formula>NOT(ISERROR(SEARCH(("O"),(W22))))</formula>
    </cfRule>
    <cfRule type="containsText" dxfId="3536" priority="1539" operator="containsText" text="C">
      <formula>NOT(ISERROR(SEARCH(("C"),(W22))))</formula>
    </cfRule>
    <cfRule type="containsText" dxfId="3535" priority="1540" operator="containsText" text="P">
      <formula>NOT(ISERROR(SEARCH(("P"),(W22))))</formula>
    </cfRule>
    <cfRule type="containsText" dxfId="3534" priority="1541" operator="containsText" text="K">
      <formula>NOT(ISERROR(SEARCH(("K"),(W22))))</formula>
    </cfRule>
    <cfRule type="containsText" dxfId="3533" priority="1542" operator="containsText" text="X">
      <formula>NOT(ISERROR(SEARCH(("X"),(W22))))</formula>
    </cfRule>
    <cfRule type="containsText" dxfId="3532" priority="1543" operator="containsText" text="L">
      <formula>NOT(ISERROR(SEARCH(("L"),(W22))))</formula>
    </cfRule>
    <cfRule type="containsText" dxfId="3531" priority="1544" operator="containsText" text="N">
      <formula>NOT(ISERROR(SEARCH(("N"),(W22))))</formula>
    </cfRule>
    <cfRule type="containsText" dxfId="3530" priority="1545" operator="containsText" text="C">
      <formula>NOT(ISERROR(SEARCH(("C"),(W22))))</formula>
    </cfRule>
    <cfRule type="containsText" dxfId="3529" priority="1546" operator="containsText" text="P">
      <formula>NOT(ISERROR(SEARCH(("P"),(W22))))</formula>
    </cfRule>
  </conditionalFormatting>
  <conditionalFormatting sqref="W17:Z17">
    <cfRule type="containsText" dxfId="3528" priority="3820" operator="containsText" text="X">
      <formula>NOT(ISERROR(SEARCH(("X"),(W17))))</formula>
    </cfRule>
    <cfRule type="containsText" dxfId="3527" priority="3819" operator="containsText" text="K">
      <formula>NOT(ISERROR(SEARCH(("K"),(W17))))</formula>
    </cfRule>
    <cfRule type="containsText" dxfId="3526" priority="3818" operator="containsText" text="P">
      <formula>NOT(ISERROR(SEARCH(("P"),(W17))))</formula>
    </cfRule>
    <cfRule type="containsText" dxfId="3525" priority="3817" operator="containsText" text="C">
      <formula>NOT(ISERROR(SEARCH(("C"),(W17))))</formula>
    </cfRule>
    <cfRule type="containsText" dxfId="3524" priority="3816" operator="containsText" text="O">
      <formula>NOT(ISERROR(SEARCH(("O"),(W17))))</formula>
    </cfRule>
    <cfRule type="containsText" dxfId="3523" priority="3827" operator="containsText" text="L">
      <formula>NOT(ISERROR(SEARCH(("L"),(W17))))</formula>
    </cfRule>
    <cfRule type="containsText" dxfId="3522" priority="3823" operator="containsText" text="C">
      <formula>NOT(ISERROR(SEARCH(("C"),(W17))))</formula>
    </cfRule>
    <cfRule type="containsText" dxfId="3521" priority="3822" operator="containsText" text="O">
      <formula>NOT(ISERROR(SEARCH(("O"),(W17))))</formula>
    </cfRule>
    <cfRule type="containsText" dxfId="3520" priority="3821" operator="containsText" text="L">
      <formula>NOT(ISERROR(SEARCH(("L"),(W17))))</formula>
    </cfRule>
    <cfRule type="containsText" dxfId="3519" priority="3826" operator="containsText" text="X">
      <formula>NOT(ISERROR(SEARCH(("X"),(W17))))</formula>
    </cfRule>
    <cfRule type="containsText" dxfId="3518" priority="3825" operator="containsText" text="K">
      <formula>NOT(ISERROR(SEARCH(("K"),(W17))))</formula>
    </cfRule>
    <cfRule type="containsText" dxfId="3517" priority="3824" operator="containsText" text="P">
      <formula>NOT(ISERROR(SEARCH(("P"),(W17))))</formula>
    </cfRule>
  </conditionalFormatting>
  <conditionalFormatting sqref="W11:AA26 I14:J15 P14:T26 AD14:AH26 AK18:AL18 I19:M26 O24:S25 V25:X25 AC25:AG25">
    <cfRule type="containsText" dxfId="3516" priority="9234" operator="containsText" text="L">
      <formula>NOT(ISERROR(SEARCH(("L"),(I11))))</formula>
    </cfRule>
  </conditionalFormatting>
  <conditionalFormatting sqref="W13:AA13">
    <cfRule type="containsText" dxfId="3515" priority="9771" operator="containsText" text="C">
      <formula>NOT(ISERROR(SEARCH(("C"),(W13))))</formula>
    </cfRule>
    <cfRule type="containsText" dxfId="3514" priority="9770" operator="containsText" text="O">
      <formula>NOT(ISERROR(SEARCH(("O"),(W13))))</formula>
    </cfRule>
    <cfRule type="containsText" dxfId="3513" priority="9769" operator="containsText" text="N">
      <formula>NOT(ISERROR(SEARCH(("N"),(W13))))</formula>
    </cfRule>
    <cfRule type="containsText" dxfId="3512" priority="9779" operator="containsText" text="P">
      <formula>NOT(ISERROR(SEARCH(("P"),(W13))))</formula>
    </cfRule>
    <cfRule type="containsText" dxfId="3511" priority="9768" operator="containsText" text="X">
      <formula>NOT(ISERROR(SEARCH(("X"),(W13))))</formula>
    </cfRule>
    <cfRule type="containsText" dxfId="3510" priority="9767" operator="containsText" text="K">
      <formula>NOT(ISERROR(SEARCH(("K"),(W13))))</formula>
    </cfRule>
    <cfRule type="containsText" dxfId="3509" priority="9766" operator="containsText" text="P">
      <formula>NOT(ISERROR(SEARCH(("P"),(W13))))</formula>
    </cfRule>
    <cfRule type="containsText" dxfId="3508" priority="9765" operator="containsText" text="C">
      <formula>NOT(ISERROR(SEARCH(("C"),(W13))))</formula>
    </cfRule>
    <cfRule type="containsText" dxfId="3507" priority="9789" operator="containsText" text="L">
      <formula>NOT(ISERROR(SEARCH(("L"),(W13))))</formula>
    </cfRule>
    <cfRule type="containsText" dxfId="3506" priority="9788" operator="containsText" text="X">
      <formula>NOT(ISERROR(SEARCH(("X"),(W13))))</formula>
    </cfRule>
    <cfRule type="containsText" dxfId="3505" priority="9787" operator="containsText" text="K">
      <formula>NOT(ISERROR(SEARCH(("K"),(W13))))</formula>
    </cfRule>
    <cfRule type="containsText" dxfId="3504" priority="9786" operator="containsText" text="P">
      <formula>NOT(ISERROR(SEARCH(("P"),(W13))))</formula>
    </cfRule>
    <cfRule type="containsText" dxfId="3503" priority="9785" operator="containsText" text="C">
      <formula>NOT(ISERROR(SEARCH(("C"),(W13))))</formula>
    </cfRule>
    <cfRule type="containsText" dxfId="3502" priority="9784" operator="containsText" text="O">
      <formula>NOT(ISERROR(SEARCH(("O"),(W13))))</formula>
    </cfRule>
    <cfRule type="containsText" dxfId="3501" priority="9783" operator="containsText" text="N">
      <formula>NOT(ISERROR(SEARCH(("N"),(W13))))</formula>
    </cfRule>
    <cfRule type="containsText" dxfId="3500" priority="9782" operator="containsText" text="L">
      <formula>NOT(ISERROR(SEARCH(("L"),(W13))))</formula>
    </cfRule>
    <cfRule type="containsText" dxfId="3499" priority="9781" operator="containsText" text="X">
      <formula>NOT(ISERROR(SEARCH(("X"),(W13))))</formula>
    </cfRule>
    <cfRule type="containsText" dxfId="3498" priority="9780" operator="containsText" text="K">
      <formula>NOT(ISERROR(SEARCH(("K"),(W13))))</formula>
    </cfRule>
    <cfRule type="containsText" dxfId="3497" priority="9764" operator="containsText" text="O">
      <formula>NOT(ISERROR(SEARCH(("O"),(W13))))</formula>
    </cfRule>
    <cfRule type="containsText" dxfId="3496" priority="9778" operator="containsText" text="C">
      <formula>NOT(ISERROR(SEARCH(("C"),(W13))))</formula>
    </cfRule>
    <cfRule type="containsText" dxfId="3495" priority="9777" operator="containsText" text="O">
      <formula>NOT(ISERROR(SEARCH(("O"),(W13))))</formula>
    </cfRule>
    <cfRule type="containsText" dxfId="3494" priority="9775" operator="containsText" text="L">
      <formula>NOT(ISERROR(SEARCH(("L"),(W13))))</formula>
    </cfRule>
    <cfRule type="containsText" dxfId="3493" priority="9776" operator="containsText" text="N">
      <formula>NOT(ISERROR(SEARCH(("N"),(W13))))</formula>
    </cfRule>
    <cfRule type="containsText" dxfId="3492" priority="9774" operator="containsText" text="X">
      <formula>NOT(ISERROR(SEARCH(("X"),(W13))))</formula>
    </cfRule>
    <cfRule type="containsText" dxfId="3491" priority="9773" operator="containsText" text="K">
      <formula>NOT(ISERROR(SEARCH(("K"),(W13))))</formula>
    </cfRule>
    <cfRule type="containsText" dxfId="3490" priority="9772" operator="containsText" text="P">
      <formula>NOT(ISERROR(SEARCH(("P"),(W13))))</formula>
    </cfRule>
  </conditionalFormatting>
  <conditionalFormatting sqref="W16:AA16">
    <cfRule type="containsText" dxfId="3489" priority="8684" operator="containsText" text="L">
      <formula>NOT(ISERROR(SEARCH(("L"),(W16))))</formula>
    </cfRule>
    <cfRule type="containsText" dxfId="3488" priority="8682" operator="containsText" text="K">
      <formula>NOT(ISERROR(SEARCH(("K"),(W16))))</formula>
    </cfRule>
    <cfRule type="containsText" dxfId="3487" priority="8683" operator="containsText" text="X">
      <formula>NOT(ISERROR(SEARCH(("X"),(W16))))</formula>
    </cfRule>
    <cfRule type="containsText" dxfId="3486" priority="8679" operator="containsText" text="O">
      <formula>NOT(ISERROR(SEARCH(("O"),(W16))))</formula>
    </cfRule>
    <cfRule type="containsText" dxfId="3485" priority="8681" operator="containsText" text="P">
      <formula>NOT(ISERROR(SEARCH(("P"),(W16))))</formula>
    </cfRule>
    <cfRule type="containsText" dxfId="3484" priority="8680" operator="containsText" text="C">
      <formula>NOT(ISERROR(SEARCH(("C"),(W16))))</formula>
    </cfRule>
  </conditionalFormatting>
  <conditionalFormatting sqref="W17:AA17">
    <cfRule type="containsText" dxfId="3483" priority="10584" operator="containsText" text="L">
      <formula>NOT(ISERROR(SEARCH(("L"),(W17))))</formula>
    </cfRule>
    <cfRule type="containsText" dxfId="3482" priority="10583" operator="containsText" text="X">
      <formula>NOT(ISERROR(SEARCH(("X"),(W17))))</formula>
    </cfRule>
    <cfRule type="containsText" dxfId="3481" priority="10582" operator="containsText" text="K">
      <formula>NOT(ISERROR(SEARCH(("K"),(W17))))</formula>
    </cfRule>
    <cfRule type="containsText" dxfId="3480" priority="10581" operator="containsText" text="P">
      <formula>NOT(ISERROR(SEARCH(("P"),(W17))))</formula>
    </cfRule>
    <cfRule type="containsText" dxfId="3479" priority="10580" operator="containsText" text="C">
      <formula>NOT(ISERROR(SEARCH(("C"),(W17))))</formula>
    </cfRule>
    <cfRule type="containsText" dxfId="3478" priority="10579" operator="containsText" text="O">
      <formula>NOT(ISERROR(SEARCH(("O"),(W17))))</formula>
    </cfRule>
  </conditionalFormatting>
  <conditionalFormatting sqref="W20:AA20">
    <cfRule type="containsText" dxfId="3477" priority="8518" operator="containsText" text="L">
      <formula>NOT(ISERROR(SEARCH(("L"),(W20))))</formula>
    </cfRule>
    <cfRule type="containsText" dxfId="3476" priority="8513" operator="containsText" text="O">
      <formula>NOT(ISERROR(SEARCH(("O"),(W20))))</formula>
    </cfRule>
    <cfRule type="containsText" dxfId="3475" priority="8503" operator="containsText" text="P">
      <formula>NOT(ISERROR(SEARCH(("P"),(W20))))</formula>
    </cfRule>
    <cfRule type="containsText" dxfId="3474" priority="8501" operator="containsText" text="O">
      <formula>NOT(ISERROR(SEARCH(("O"),(W20))))</formula>
    </cfRule>
    <cfRule type="containsText" dxfId="3473" priority="8502" operator="containsText" text="C">
      <formula>NOT(ISERROR(SEARCH(("C"),(W20))))</formula>
    </cfRule>
    <cfRule type="containsText" dxfId="3472" priority="8517" operator="containsText" text="X">
      <formula>NOT(ISERROR(SEARCH(("X"),(W20))))</formula>
    </cfRule>
    <cfRule type="containsText" dxfId="3471" priority="8504" operator="containsText" text="K">
      <formula>NOT(ISERROR(SEARCH(("K"),(W20))))</formula>
    </cfRule>
    <cfRule type="containsText" dxfId="3470" priority="8505" operator="containsText" text="X">
      <formula>NOT(ISERROR(SEARCH(("X"),(W20))))</formula>
    </cfRule>
    <cfRule type="containsText" dxfId="3469" priority="8506" operator="containsText" text="L">
      <formula>NOT(ISERROR(SEARCH(("L"),(W20))))</formula>
    </cfRule>
    <cfRule type="containsText" dxfId="3468" priority="8514" operator="containsText" text="C">
      <formula>NOT(ISERROR(SEARCH(("C"),(W20))))</formula>
    </cfRule>
    <cfRule type="containsText" dxfId="3467" priority="8515" operator="containsText" text="P">
      <formula>NOT(ISERROR(SEARCH(("P"),(W20))))</formula>
    </cfRule>
    <cfRule type="containsText" dxfId="3466" priority="8516" operator="containsText" text="K">
      <formula>NOT(ISERROR(SEARCH(("K"),(W20))))</formula>
    </cfRule>
  </conditionalFormatting>
  <conditionalFormatting sqref="W20:AA26 AE20:AH26 AC25:AG25">
    <cfRule type="containsText" dxfId="3465" priority="9475" operator="containsText" text="N">
      <formula>NOT(ISERROR(SEARCH(("N"),(W20))))</formula>
    </cfRule>
    <cfRule type="containsText" dxfId="3464" priority="9481" operator="containsText" text="L">
      <formula>NOT(ISERROR(SEARCH(("L"),(W20))))</formula>
    </cfRule>
    <cfRule type="containsText" dxfId="3463" priority="9487" operator="containsText" text="L">
      <formula>NOT(ISERROR(SEARCH(("L"),(W20))))</formula>
    </cfRule>
    <cfRule type="containsText" dxfId="3462" priority="9488" operator="containsText" text="N">
      <formula>NOT(ISERROR(SEARCH(("N"),(W20))))</formula>
    </cfRule>
  </conditionalFormatting>
  <conditionalFormatting sqref="W21:AA21 AD21:AH21 W22:X26 AA22:AA26">
    <cfRule type="containsText" dxfId="3461" priority="7923" operator="containsText" text="C">
      <formula>NOT(ISERROR(SEARCH(("C"),(W21))))</formula>
    </cfRule>
    <cfRule type="containsText" dxfId="3460" priority="7924" operator="containsText" text="P">
      <formula>NOT(ISERROR(SEARCH(("P"),(W21))))</formula>
    </cfRule>
    <cfRule type="containsText" dxfId="3459" priority="7926" operator="containsText" text="X">
      <formula>NOT(ISERROR(SEARCH(("X"),(W21))))</formula>
    </cfRule>
    <cfRule type="containsText" dxfId="3458" priority="7927" operator="containsText" text="L">
      <formula>NOT(ISERROR(SEARCH(("L"),(W21))))</formula>
    </cfRule>
    <cfRule type="containsText" dxfId="3457" priority="7922" operator="containsText" text="O">
      <formula>NOT(ISERROR(SEARCH(("O"),(W21))))</formula>
    </cfRule>
    <cfRule type="containsText" dxfId="3456" priority="7925" operator="containsText" text="K">
      <formula>NOT(ISERROR(SEARCH(("K"),(W21))))</formula>
    </cfRule>
  </conditionalFormatting>
  <conditionalFormatting sqref="W22:AA22">
    <cfRule type="containsText" dxfId="3455" priority="1927" operator="containsText" text="O">
      <formula>NOT(ISERROR(SEARCH(("O"),(W22))))</formula>
    </cfRule>
    <cfRule type="containsText" dxfId="3454" priority="1929" operator="containsText" text="P">
      <formula>NOT(ISERROR(SEARCH(("P"),(W22))))</formula>
    </cfRule>
    <cfRule type="containsText" dxfId="3453" priority="1930" operator="containsText" text="K">
      <formula>NOT(ISERROR(SEARCH(("K"),(W22))))</formula>
    </cfRule>
    <cfRule type="containsText" dxfId="3452" priority="1931" operator="containsText" text="X">
      <formula>NOT(ISERROR(SEARCH(("X"),(W22))))</formula>
    </cfRule>
    <cfRule type="containsText" dxfId="3451" priority="1932" operator="containsText" text="L">
      <formula>NOT(ISERROR(SEARCH(("L"),(W22))))</formula>
    </cfRule>
    <cfRule type="containsText" dxfId="3450" priority="1928" operator="containsText" text="C">
      <formula>NOT(ISERROR(SEARCH(("C"),(W22))))</formula>
    </cfRule>
    <cfRule type="containsText" dxfId="3449" priority="1915" operator="containsText" text="O">
      <formula>NOT(ISERROR(SEARCH(("O"),(W22))))</formula>
    </cfRule>
    <cfRule type="containsText" dxfId="3448" priority="1916" operator="containsText" text="C">
      <formula>NOT(ISERROR(SEARCH(("C"),(W22))))</formula>
    </cfRule>
    <cfRule type="containsText" dxfId="3447" priority="1917" operator="containsText" text="P">
      <formula>NOT(ISERROR(SEARCH(("P"),(W22))))</formula>
    </cfRule>
    <cfRule type="containsText" dxfId="3446" priority="1918" operator="containsText" text="K">
      <formula>NOT(ISERROR(SEARCH(("K"),(W22))))</formula>
    </cfRule>
    <cfRule type="containsText" dxfId="3445" priority="1919" operator="containsText" text="X">
      <formula>NOT(ISERROR(SEARCH(("X"),(W22))))</formula>
    </cfRule>
    <cfRule type="containsText" dxfId="3444" priority="1920" operator="containsText" text="L">
      <formula>NOT(ISERROR(SEARCH(("L"),(W22))))</formula>
    </cfRule>
  </conditionalFormatting>
  <conditionalFormatting sqref="W14:AC14">
    <cfRule type="containsText" dxfId="3443" priority="7639" operator="containsText" text="P">
      <formula>NOT(ISERROR(SEARCH(("P"),(W14))))</formula>
    </cfRule>
    <cfRule type="containsText" dxfId="3442" priority="7640" operator="containsText" text="K">
      <formula>NOT(ISERROR(SEARCH(("K"),(W14))))</formula>
    </cfRule>
    <cfRule type="containsText" dxfId="3441" priority="7638" operator="containsText" text="C">
      <formula>NOT(ISERROR(SEARCH(("C"),(W14))))</formula>
    </cfRule>
    <cfRule type="containsText" dxfId="3440" priority="7637" operator="containsText" text="O">
      <formula>NOT(ISERROR(SEARCH(("O"),(W14))))</formula>
    </cfRule>
    <cfRule type="containsText" dxfId="3439" priority="7642" operator="containsText" text="L">
      <formula>NOT(ISERROR(SEARCH(("L"),(W14))))</formula>
    </cfRule>
    <cfRule type="containsText" dxfId="3438" priority="7641" operator="containsText" text="X">
      <formula>NOT(ISERROR(SEARCH(("X"),(W14))))</formula>
    </cfRule>
  </conditionalFormatting>
  <conditionalFormatting sqref="W15:AC15">
    <cfRule type="containsText" dxfId="3437" priority="7445" operator="containsText" text="X">
      <formula>NOT(ISERROR(SEARCH(("X"),(W15))))</formula>
    </cfRule>
    <cfRule type="containsText" dxfId="3436" priority="7446" operator="containsText" text="L">
      <formula>NOT(ISERROR(SEARCH(("L"),(W15))))</formula>
    </cfRule>
    <cfRule type="containsText" dxfId="3435" priority="7444" operator="containsText" text="K">
      <formula>NOT(ISERROR(SEARCH(("K"),(W15))))</formula>
    </cfRule>
    <cfRule type="containsText" dxfId="3434" priority="7442" operator="containsText" text="C">
      <formula>NOT(ISERROR(SEARCH(("C"),(W15))))</formula>
    </cfRule>
    <cfRule type="containsText" dxfId="3433" priority="7443" operator="containsText" text="P">
      <formula>NOT(ISERROR(SEARCH(("P"),(W15))))</formula>
    </cfRule>
    <cfRule type="containsText" dxfId="3432" priority="7440" operator="containsText" text="N">
      <formula>NOT(ISERROR(SEARCH(("N"),(W15))))</formula>
    </cfRule>
    <cfRule type="containsText" dxfId="3431" priority="7441" operator="containsText" text="O">
      <formula>NOT(ISERROR(SEARCH(("O"),(W15))))</formula>
    </cfRule>
  </conditionalFormatting>
  <conditionalFormatting sqref="W16:AC16">
    <cfRule type="containsText" dxfId="3430" priority="7101" operator="containsText" text="X">
      <formula>NOT(ISERROR(SEARCH(("X"),(W16))))</formula>
    </cfRule>
    <cfRule type="containsText" dxfId="3429" priority="7096" operator="containsText" text="N">
      <formula>NOT(ISERROR(SEARCH(("N"),(W16))))</formula>
    </cfRule>
    <cfRule type="containsText" dxfId="3428" priority="7097" operator="containsText" text="O">
      <formula>NOT(ISERROR(SEARCH(("O"),(W16))))</formula>
    </cfRule>
    <cfRule type="containsText" dxfId="3427" priority="7098" operator="containsText" text="C">
      <formula>NOT(ISERROR(SEARCH(("C"),(W16))))</formula>
    </cfRule>
    <cfRule type="containsText" dxfId="3426" priority="7099" operator="containsText" text="P">
      <formula>NOT(ISERROR(SEARCH(("P"),(W16))))</formula>
    </cfRule>
    <cfRule type="containsText" dxfId="3425" priority="7100" operator="containsText" text="K">
      <formula>NOT(ISERROR(SEARCH(("K"),(W16))))</formula>
    </cfRule>
    <cfRule type="containsText" dxfId="3424" priority="7102" operator="containsText" text="L">
      <formula>NOT(ISERROR(SEARCH(("L"),(W16))))</formula>
    </cfRule>
  </conditionalFormatting>
  <conditionalFormatting sqref="W17:AC17">
    <cfRule type="containsText" dxfId="3423" priority="7250" operator="containsText" text="L">
      <formula>NOT(ISERROR(SEARCH(("L"),(W17))))</formula>
    </cfRule>
    <cfRule type="containsText" dxfId="3422" priority="7249" operator="containsText" text="X">
      <formula>NOT(ISERROR(SEARCH(("X"),(W17))))</formula>
    </cfRule>
    <cfRule type="containsText" dxfId="3421" priority="7245" operator="containsText" text="O">
      <formula>NOT(ISERROR(SEARCH(("O"),(W17))))</formula>
    </cfRule>
    <cfRule type="containsText" dxfId="3420" priority="7248" operator="containsText" text="K">
      <formula>NOT(ISERROR(SEARCH(("K"),(W17))))</formula>
    </cfRule>
    <cfRule type="containsText" dxfId="3419" priority="7247" operator="containsText" text="P">
      <formula>NOT(ISERROR(SEARCH(("P"),(W17))))</formula>
    </cfRule>
    <cfRule type="containsText" dxfId="3418" priority="7246" operator="containsText" text="C">
      <formula>NOT(ISERROR(SEARCH(("C"),(W17))))</formula>
    </cfRule>
    <cfRule type="containsText" dxfId="3417" priority="7244" operator="containsText" text="N">
      <formula>NOT(ISERROR(SEARCH(("N"),(W17))))</formula>
    </cfRule>
  </conditionalFormatting>
  <conditionalFormatting sqref="W18:AC18">
    <cfRule type="containsText" dxfId="3416" priority="3485" operator="containsText" text="L">
      <formula>NOT(ISERROR(SEARCH(("L"),(W18))))</formula>
    </cfRule>
    <cfRule type="containsText" dxfId="3415" priority="3484" operator="containsText" text="X">
      <formula>NOT(ISERROR(SEARCH(("X"),(W18))))</formula>
    </cfRule>
    <cfRule type="containsText" dxfId="3414" priority="3483" operator="containsText" text="K">
      <formula>NOT(ISERROR(SEARCH(("K"),(W18))))</formula>
    </cfRule>
    <cfRule type="containsText" dxfId="3413" priority="3482" operator="containsText" text="P">
      <formula>NOT(ISERROR(SEARCH(("P"),(W18))))</formula>
    </cfRule>
    <cfRule type="containsText" dxfId="3412" priority="3481" operator="containsText" text="C">
      <formula>NOT(ISERROR(SEARCH(("C"),(W18))))</formula>
    </cfRule>
    <cfRule type="containsText" dxfId="3411" priority="3480" operator="containsText" text="O">
      <formula>NOT(ISERROR(SEARCH(("O"),(W18))))</formula>
    </cfRule>
  </conditionalFormatting>
  <conditionalFormatting sqref="W19:AC19">
    <cfRule type="containsText" dxfId="3410" priority="5831" operator="containsText" text="C">
      <formula>NOT(ISERROR(SEARCH(("C"),(W19))))</formula>
    </cfRule>
    <cfRule type="containsText" dxfId="3409" priority="5832" operator="containsText" text="P">
      <formula>NOT(ISERROR(SEARCH(("P"),(W19))))</formula>
    </cfRule>
    <cfRule type="containsText" dxfId="3408" priority="3036" operator="containsText" text="L">
      <formula>NOT(ISERROR(SEARCH(("L"),(W19))))</formula>
    </cfRule>
    <cfRule type="containsText" dxfId="3407" priority="3035" operator="containsText" text="X">
      <formula>NOT(ISERROR(SEARCH(("X"),(W19))))</formula>
    </cfRule>
    <cfRule type="containsText" dxfId="3406" priority="3034" operator="containsText" text="K">
      <formula>NOT(ISERROR(SEARCH(("K"),(W19))))</formula>
    </cfRule>
    <cfRule type="containsText" dxfId="3405" priority="3033" operator="containsText" text="P">
      <formula>NOT(ISERROR(SEARCH(("P"),(W19))))</formula>
    </cfRule>
    <cfRule type="containsText" dxfId="3404" priority="3032" operator="containsText" text="C">
      <formula>NOT(ISERROR(SEARCH(("C"),(W19))))</formula>
    </cfRule>
    <cfRule type="containsText" dxfId="3403" priority="3031" operator="containsText" text="O">
      <formula>NOT(ISERROR(SEARCH(("O"),(W19))))</formula>
    </cfRule>
    <cfRule type="containsText" dxfId="3402" priority="3030" operator="containsText" text="N">
      <formula>NOT(ISERROR(SEARCH(("N"),(W19))))</formula>
    </cfRule>
    <cfRule type="containsText" dxfId="3401" priority="5833" operator="containsText" text="K">
      <formula>NOT(ISERROR(SEARCH(("K"),(W19))))</formula>
    </cfRule>
    <cfRule type="containsText" dxfId="3400" priority="5835" operator="containsText" text="L">
      <formula>NOT(ISERROR(SEARCH(("L"),(W19))))</formula>
    </cfRule>
    <cfRule type="containsText" dxfId="3399" priority="5834" operator="containsText" text="X">
      <formula>NOT(ISERROR(SEARCH(("X"),(W19))))</formula>
    </cfRule>
    <cfRule type="containsText" dxfId="3398" priority="5829" operator="containsText" text="N">
      <formula>NOT(ISERROR(SEARCH(("N"),(W19))))</formula>
    </cfRule>
    <cfRule type="containsText" dxfId="3397" priority="5830" operator="containsText" text="O">
      <formula>NOT(ISERROR(SEARCH(("O"),(W19))))</formula>
    </cfRule>
  </conditionalFormatting>
  <conditionalFormatting sqref="W12:AD12">
    <cfRule type="containsText" dxfId="3396" priority="6025" operator="containsText" text="N">
      <formula>NOT(ISERROR(SEARCH(("N"),(W12))))</formula>
    </cfRule>
    <cfRule type="containsText" dxfId="3395" priority="6026" operator="containsText" text="O">
      <formula>NOT(ISERROR(SEARCH(("O"),(W12))))</formula>
    </cfRule>
    <cfRule type="containsText" dxfId="3394" priority="6027" operator="containsText" text="C">
      <formula>NOT(ISERROR(SEARCH(("C"),(W12))))</formula>
    </cfRule>
    <cfRule type="containsText" dxfId="3393" priority="6028" operator="containsText" text="P">
      <formula>NOT(ISERROR(SEARCH(("P"),(W12))))</formula>
    </cfRule>
    <cfRule type="containsText" dxfId="3392" priority="6029" operator="containsText" text="K">
      <formula>NOT(ISERROR(SEARCH(("K"),(W12))))</formula>
    </cfRule>
    <cfRule type="containsText" dxfId="3391" priority="6030" operator="containsText" text="X">
      <formula>NOT(ISERROR(SEARCH(("X"),(W12))))</formula>
    </cfRule>
  </conditionalFormatting>
  <conditionalFormatting sqref="W21:AE21">
    <cfRule type="containsText" dxfId="3390" priority="6664" operator="containsText" text="X">
      <formula>NOT(ISERROR(SEARCH(("X"),(W21))))</formula>
    </cfRule>
    <cfRule type="containsText" dxfId="3389" priority="6659" operator="containsText" text="N">
      <formula>NOT(ISERROR(SEARCH(("N"),(W21))))</formula>
    </cfRule>
    <cfRule type="containsText" dxfId="3388" priority="6660" operator="containsText" text="O">
      <formula>NOT(ISERROR(SEARCH(("O"),(W21))))</formula>
    </cfRule>
    <cfRule type="containsText" dxfId="3387" priority="6661" operator="containsText" text="C">
      <formula>NOT(ISERROR(SEARCH(("C"),(W21))))</formula>
    </cfRule>
    <cfRule type="containsText" dxfId="3386" priority="6665" operator="containsText" text="L">
      <formula>NOT(ISERROR(SEARCH(("L"),(W21))))</formula>
    </cfRule>
    <cfRule type="containsText" dxfId="3385" priority="6663" operator="containsText" text="K">
      <formula>NOT(ISERROR(SEARCH(("K"),(W21))))</formula>
    </cfRule>
    <cfRule type="containsText" dxfId="3384" priority="6662" operator="containsText" text="P">
      <formula>NOT(ISERROR(SEARCH(("P"),(W21))))</formula>
    </cfRule>
  </conditionalFormatting>
  <conditionalFormatting sqref="X13:Z13">
    <cfRule type="containsText" dxfId="3383" priority="4902" operator="containsText" text="L">
      <formula>NOT(ISERROR(SEARCH(("L"),(X13))))</formula>
    </cfRule>
    <cfRule type="containsText" dxfId="3382" priority="4903" operator="containsText" text="N">
      <formula>NOT(ISERROR(SEARCH(("N"),(X13))))</formula>
    </cfRule>
    <cfRule type="containsText" dxfId="3381" priority="4904" operator="containsText" text="O">
      <formula>NOT(ISERROR(SEARCH(("O"),(X13))))</formula>
    </cfRule>
    <cfRule type="containsText" dxfId="3380" priority="4905" operator="containsText" text="C">
      <formula>NOT(ISERROR(SEARCH(("C"),(X13))))</formula>
    </cfRule>
    <cfRule type="containsText" dxfId="3379" priority="4906" operator="containsText" text="P">
      <formula>NOT(ISERROR(SEARCH(("P"),(X13))))</formula>
    </cfRule>
    <cfRule type="containsText" dxfId="3378" priority="4907" operator="containsText" text="K">
      <formula>NOT(ISERROR(SEARCH(("K"),(X13))))</formula>
    </cfRule>
    <cfRule type="containsText" dxfId="3377" priority="4876" operator="containsText" text="C">
      <formula>NOT(ISERROR(SEARCH(("C"),(X13))))</formula>
    </cfRule>
    <cfRule type="containsText" dxfId="3376" priority="4877" operator="containsText" text="P">
      <formula>NOT(ISERROR(SEARCH(("P"),(X13))))</formula>
    </cfRule>
    <cfRule type="containsText" dxfId="3375" priority="4878" operator="containsText" text="K">
      <formula>NOT(ISERROR(SEARCH(("K"),(X13))))</formula>
    </cfRule>
    <cfRule type="containsText" dxfId="3374" priority="4879" operator="containsText" text="X">
      <formula>NOT(ISERROR(SEARCH(("X"),(X13))))</formula>
    </cfRule>
    <cfRule type="containsText" dxfId="3373" priority="4881" operator="containsText" text="N">
      <formula>NOT(ISERROR(SEARCH(("N"),(X13))))</formula>
    </cfRule>
    <cfRule type="containsText" dxfId="3372" priority="4882" operator="containsText" text="O">
      <formula>NOT(ISERROR(SEARCH(("O"),(X13))))</formula>
    </cfRule>
    <cfRule type="containsText" dxfId="3371" priority="4883" operator="containsText" text="C">
      <formula>NOT(ISERROR(SEARCH(("C"),(X13))))</formula>
    </cfRule>
    <cfRule type="containsText" dxfId="3370" priority="4884" operator="containsText" text="P">
      <formula>NOT(ISERROR(SEARCH(("P"),(X13))))</formula>
    </cfRule>
    <cfRule type="containsText" dxfId="3369" priority="4885" operator="containsText" text="K">
      <formula>NOT(ISERROR(SEARCH(("K"),(X13))))</formula>
    </cfRule>
    <cfRule type="containsText" dxfId="3368" priority="4908" operator="containsText" text="X">
      <formula>NOT(ISERROR(SEARCH(("X"),(X13))))</formula>
    </cfRule>
    <cfRule type="containsText" dxfId="3367" priority="4845" operator="containsText" text="O">
      <formula>NOT(ISERROR(SEARCH(("O"),(X13))))</formula>
    </cfRule>
    <cfRule type="containsText" dxfId="3366" priority="4886" operator="containsText" text="X">
      <formula>NOT(ISERROR(SEARCH(("X"),(X13))))</formula>
    </cfRule>
    <cfRule type="containsText" dxfId="3365" priority="4887" operator="containsText" text="L">
      <formula>NOT(ISERROR(SEARCH(("L"),(X13))))</formula>
    </cfRule>
    <cfRule type="containsText" dxfId="3364" priority="4888" operator="containsText" text="N">
      <formula>NOT(ISERROR(SEARCH(("N"),(X13))))</formula>
    </cfRule>
    <cfRule type="containsText" dxfId="3363" priority="4889" operator="containsText" text="O">
      <formula>NOT(ISERROR(SEARCH(("O"),(X13))))</formula>
    </cfRule>
    <cfRule type="containsText" dxfId="3362" priority="4890" operator="containsText" text="C">
      <formula>NOT(ISERROR(SEARCH(("C"),(X13))))</formula>
    </cfRule>
    <cfRule type="containsText" dxfId="3361" priority="4891" operator="containsText" text="P">
      <formula>NOT(ISERROR(SEARCH(("P"),(X13))))</formula>
    </cfRule>
    <cfRule type="containsText" dxfId="3360" priority="4892" operator="containsText" text="K">
      <formula>NOT(ISERROR(SEARCH(("K"),(X13))))</formula>
    </cfRule>
    <cfRule type="containsText" dxfId="3359" priority="4893" operator="containsText" text="X">
      <formula>NOT(ISERROR(SEARCH(("X"),(X13))))</formula>
    </cfRule>
    <cfRule type="containsText" dxfId="3358" priority="4894" operator="containsText" text="L">
      <formula>NOT(ISERROR(SEARCH(("L"),(X13))))</formula>
    </cfRule>
    <cfRule type="containsText" dxfId="3357" priority="4895" operator="containsText" text="N">
      <formula>NOT(ISERROR(SEARCH(("N"),(X13))))</formula>
    </cfRule>
    <cfRule type="containsText" dxfId="3356" priority="4896" operator="containsText" text="L">
      <formula>NOT(ISERROR(SEARCH(("L"),(X13))))</formula>
    </cfRule>
    <cfRule type="containsText" dxfId="3355" priority="4897" operator="containsText" text="O">
      <formula>NOT(ISERROR(SEARCH(("O"),(X13))))</formula>
    </cfRule>
    <cfRule type="containsText" dxfId="3354" priority="4898" operator="containsText" text="C">
      <formula>NOT(ISERROR(SEARCH(("C"),(X13))))</formula>
    </cfRule>
    <cfRule type="expression" dxfId="3353" priority="4909">
      <formula>WEEKDAY(X$8)=1</formula>
    </cfRule>
    <cfRule type="containsText" dxfId="3352" priority="4899" operator="containsText" text="P">
      <formula>NOT(ISERROR(SEARCH(("P"),(X13))))</formula>
    </cfRule>
    <cfRule type="containsText" dxfId="3351" priority="4900" operator="containsText" text="K">
      <formula>NOT(ISERROR(SEARCH(("K"),(X13))))</formula>
    </cfRule>
    <cfRule type="containsText" dxfId="3350" priority="4901" operator="containsText" text="X">
      <formula>NOT(ISERROR(SEARCH(("X"),(X13))))</formula>
    </cfRule>
    <cfRule type="containsText" dxfId="3349" priority="4847" operator="containsText" text="P">
      <formula>NOT(ISERROR(SEARCH(("P"),(X13))))</formula>
    </cfRule>
    <cfRule type="containsText" dxfId="3348" priority="4880" operator="containsText" text="L">
      <formula>NOT(ISERROR(SEARCH(("L"),(X13))))</formula>
    </cfRule>
    <cfRule type="containsText" dxfId="3347" priority="4844" operator="containsText" text="N">
      <formula>NOT(ISERROR(SEARCH(("N"),(X13))))</formula>
    </cfRule>
    <cfRule type="containsText" dxfId="3346" priority="4852" operator="containsText" text="O">
      <formula>NOT(ISERROR(SEARCH(("O"),(X13))))</formula>
    </cfRule>
    <cfRule type="containsText" dxfId="3345" priority="4851" operator="containsText" text="N">
      <formula>NOT(ISERROR(SEARCH(("N"),(X13))))</formula>
    </cfRule>
    <cfRule type="containsText" dxfId="3344" priority="4850" operator="containsText" text="L">
      <formula>NOT(ISERROR(SEARCH(("L"),(X13))))</formula>
    </cfRule>
    <cfRule type="containsText" dxfId="3343" priority="4849" operator="containsText" text="X">
      <formula>NOT(ISERROR(SEARCH(("X"),(X13))))</formula>
    </cfRule>
    <cfRule type="containsText" dxfId="3342" priority="4848" operator="containsText" text="K">
      <formula>NOT(ISERROR(SEARCH(("K"),(X13))))</formula>
    </cfRule>
    <cfRule type="containsText" dxfId="3341" priority="4846" operator="containsText" text="C">
      <formula>NOT(ISERROR(SEARCH(("C"),(X13))))</formula>
    </cfRule>
    <cfRule type="containsText" dxfId="3340" priority="4853" operator="containsText" text="C">
      <formula>NOT(ISERROR(SEARCH(("C"),(X13))))</formula>
    </cfRule>
    <cfRule type="containsText" dxfId="3339" priority="4854" operator="containsText" text="P">
      <formula>NOT(ISERROR(SEARCH(("P"),(X13))))</formula>
    </cfRule>
    <cfRule type="containsText" dxfId="3338" priority="4855" operator="containsText" text="K">
      <formula>NOT(ISERROR(SEARCH(("K"),(X13))))</formula>
    </cfRule>
    <cfRule type="containsText" dxfId="3337" priority="4856" operator="containsText" text="X">
      <formula>NOT(ISERROR(SEARCH(("X"),(X13))))</formula>
    </cfRule>
    <cfRule type="containsText" dxfId="3336" priority="4857" operator="containsText" text="L">
      <formula>NOT(ISERROR(SEARCH(("L"),(X13))))</formula>
    </cfRule>
    <cfRule type="containsText" dxfId="3335" priority="4858" operator="containsText" text="N">
      <formula>NOT(ISERROR(SEARCH(("N"),(X13))))</formula>
    </cfRule>
    <cfRule type="containsText" dxfId="3334" priority="4859" operator="containsText" text="O">
      <formula>NOT(ISERROR(SEARCH(("O"),(X13))))</formula>
    </cfRule>
    <cfRule type="containsText" dxfId="3333" priority="4860" operator="containsText" text="C">
      <formula>NOT(ISERROR(SEARCH(("C"),(X13))))</formula>
    </cfRule>
    <cfRule type="containsText" dxfId="3332" priority="4861" operator="containsText" text="P">
      <formula>NOT(ISERROR(SEARCH(("P"),(X13))))</formula>
    </cfRule>
    <cfRule type="containsText" dxfId="3331" priority="4862" operator="containsText" text="K">
      <formula>NOT(ISERROR(SEARCH(("K"),(X13))))</formula>
    </cfRule>
    <cfRule type="containsText" dxfId="3330" priority="4863" operator="containsText" text="X">
      <formula>NOT(ISERROR(SEARCH(("X"),(X13))))</formula>
    </cfRule>
    <cfRule type="containsText" dxfId="3329" priority="4864" operator="containsText" text="L">
      <formula>NOT(ISERROR(SEARCH(("L"),(X13))))</formula>
    </cfRule>
    <cfRule type="containsText" dxfId="3328" priority="4866" operator="containsText" text="N">
      <formula>NOT(ISERROR(SEARCH(("N"),(X13))))</formula>
    </cfRule>
    <cfRule type="containsText" dxfId="3327" priority="4867" operator="containsText" text="O">
      <formula>NOT(ISERROR(SEARCH(("O"),(X13))))</formula>
    </cfRule>
    <cfRule type="containsText" dxfId="3326" priority="4868" operator="containsText" text="C">
      <formula>NOT(ISERROR(SEARCH(("C"),(X13))))</formula>
    </cfRule>
    <cfRule type="containsText" dxfId="3325" priority="4869" operator="containsText" text="P">
      <formula>NOT(ISERROR(SEARCH(("P"),(X13))))</formula>
    </cfRule>
    <cfRule type="containsText" dxfId="3324" priority="4870" operator="containsText" text="K">
      <formula>NOT(ISERROR(SEARCH(("K"),(X13))))</formula>
    </cfRule>
    <cfRule type="containsText" dxfId="3323" priority="4871" operator="containsText" text="X">
      <formula>NOT(ISERROR(SEARCH(("X"),(X13))))</formula>
    </cfRule>
    <cfRule type="containsText" dxfId="3322" priority="4872" operator="containsText" text="L">
      <formula>NOT(ISERROR(SEARCH(("L"),(X13))))</formula>
    </cfRule>
    <cfRule type="containsText" dxfId="3321" priority="4874" operator="containsText" text="N">
      <formula>NOT(ISERROR(SEARCH(("N"),(X13))))</formula>
    </cfRule>
    <cfRule type="containsText" dxfId="3320" priority="4875" operator="containsText" text="O">
      <formula>NOT(ISERROR(SEARCH(("O"),(X13))))</formula>
    </cfRule>
  </conditionalFormatting>
  <conditionalFormatting sqref="Y17:Z17">
    <cfRule type="containsText" dxfId="3319" priority="3800" operator="containsText" text="O">
      <formula>NOT(ISERROR(SEARCH(("O"),(Y17))))</formula>
    </cfRule>
    <cfRule type="containsText" dxfId="3318" priority="3801" operator="containsText" text="C">
      <formula>NOT(ISERROR(SEARCH(("C"),(Y17))))</formula>
    </cfRule>
    <cfRule type="containsText" dxfId="3317" priority="3803" operator="containsText" text="K">
      <formula>NOT(ISERROR(SEARCH(("K"),(Y17))))</formula>
    </cfRule>
    <cfRule type="containsText" dxfId="3316" priority="3802" operator="containsText" text="P">
      <formula>NOT(ISERROR(SEARCH(("P"),(Y17))))</formula>
    </cfRule>
    <cfRule type="containsText" dxfId="3315" priority="3804" operator="containsText" text="X">
      <formula>NOT(ISERROR(SEARCH(("X"),(Y17))))</formula>
    </cfRule>
    <cfRule type="containsText" dxfId="3314" priority="3805" operator="containsText" text="L">
      <formula>NOT(ISERROR(SEARCH(("L"),(Y17))))</formula>
    </cfRule>
  </conditionalFormatting>
  <conditionalFormatting sqref="Y13:AB13">
    <cfRule type="containsText" dxfId="3313" priority="5595" operator="containsText" text="O">
      <formula>NOT(ISERROR(SEARCH(("O"),(Y13))))</formula>
    </cfRule>
    <cfRule type="containsText" dxfId="3312" priority="5596" operator="containsText" text="C">
      <formula>NOT(ISERROR(SEARCH(("C"),(Y13))))</formula>
    </cfRule>
    <cfRule type="containsText" dxfId="3311" priority="5597" operator="containsText" text="P">
      <formula>NOT(ISERROR(SEARCH(("P"),(Y13))))</formula>
    </cfRule>
    <cfRule type="containsText" dxfId="3310" priority="5598" operator="containsText" text="K">
      <formula>NOT(ISERROR(SEARCH(("K"),(Y13))))</formula>
    </cfRule>
    <cfRule type="containsText" dxfId="3309" priority="5599" operator="containsText" text="X">
      <formula>NOT(ISERROR(SEARCH(("X"),(Y13))))</formula>
    </cfRule>
    <cfRule type="containsText" dxfId="3308" priority="5600" operator="containsText" text="N">
      <formula>NOT(ISERROR(SEARCH(("N"),(Y13))))</formula>
    </cfRule>
    <cfRule type="expression" dxfId="3307" priority="5601">
      <formula>WEEKDAY(Y$8)=1</formula>
    </cfRule>
    <cfRule type="containsText" dxfId="3306" priority="5602" operator="containsText" text="L">
      <formula>NOT(ISERROR(SEARCH(("L"),(Y13))))</formula>
    </cfRule>
    <cfRule type="containsText" dxfId="3305" priority="5603" operator="containsText" text="N">
      <formula>NOT(ISERROR(SEARCH(("N"),(Y13))))</formula>
    </cfRule>
    <cfRule type="containsText" dxfId="3304" priority="5604" operator="containsText" text="O">
      <formula>NOT(ISERROR(SEARCH(("O"),(Y13))))</formula>
    </cfRule>
    <cfRule type="containsText" dxfId="3303" priority="5605" operator="containsText" text="C">
      <formula>NOT(ISERROR(SEARCH(("C"),(Y13))))</formula>
    </cfRule>
    <cfRule type="containsText" dxfId="3302" priority="5606" operator="containsText" text="P">
      <formula>NOT(ISERROR(SEARCH(("P"),(Y13))))</formula>
    </cfRule>
    <cfRule type="containsText" dxfId="3301" priority="5607" operator="containsText" text="K">
      <formula>NOT(ISERROR(SEARCH(("K"),(Y13))))</formula>
    </cfRule>
    <cfRule type="containsText" dxfId="3300" priority="5608" operator="containsText" text="X">
      <formula>NOT(ISERROR(SEARCH(("X"),(Y13))))</formula>
    </cfRule>
    <cfRule type="containsText" dxfId="3299" priority="5609" operator="containsText" text="N">
      <formula>NOT(ISERROR(SEARCH(("N"),(Y13))))</formula>
    </cfRule>
    <cfRule type="containsText" dxfId="3298" priority="5610" operator="containsText" text="O">
      <formula>NOT(ISERROR(SEARCH(("O"),(Y13))))</formula>
    </cfRule>
    <cfRule type="containsText" dxfId="3297" priority="5611" operator="containsText" text="C">
      <formula>NOT(ISERROR(SEARCH(("C"),(Y13))))</formula>
    </cfRule>
    <cfRule type="containsText" dxfId="3296" priority="5612" operator="containsText" text="P">
      <formula>NOT(ISERROR(SEARCH(("P"),(Y13))))</formula>
    </cfRule>
    <cfRule type="containsText" dxfId="3295" priority="5613" operator="containsText" text="K">
      <formula>NOT(ISERROR(SEARCH(("K"),(Y13))))</formula>
    </cfRule>
    <cfRule type="containsText" dxfId="3294" priority="5614" operator="containsText" text="X">
      <formula>NOT(ISERROR(SEARCH(("X"),(Y13))))</formula>
    </cfRule>
    <cfRule type="containsText" dxfId="3293" priority="5619" operator="containsText" text="P">
      <formula>NOT(ISERROR(SEARCH(("P"),(Y13))))</formula>
    </cfRule>
    <cfRule type="containsText" dxfId="3292" priority="5634" operator="containsText" text="X">
      <formula>NOT(ISERROR(SEARCH(("X"),(Y13))))</formula>
    </cfRule>
    <cfRule type="containsText" dxfId="3291" priority="5633" operator="containsText" text="K">
      <formula>NOT(ISERROR(SEARCH(("K"),(Y13))))</formula>
    </cfRule>
    <cfRule type="containsText" dxfId="3290" priority="5632" operator="containsText" text="P">
      <formula>NOT(ISERROR(SEARCH(("P"),(Y13))))</formula>
    </cfRule>
    <cfRule type="containsText" dxfId="3289" priority="5626" operator="containsText" text="P">
      <formula>NOT(ISERROR(SEARCH(("P"),(Y13))))</formula>
    </cfRule>
    <cfRule type="containsText" dxfId="3288" priority="5639" operator="containsText" text="K">
      <formula>NOT(ISERROR(SEARCH(("K"),(Y13))))</formula>
    </cfRule>
    <cfRule type="containsText" dxfId="3287" priority="5624" operator="containsText" text="O">
      <formula>NOT(ISERROR(SEARCH(("O"),(Y13))))</formula>
    </cfRule>
    <cfRule type="containsText" dxfId="3286" priority="5625" operator="containsText" text="C">
      <formula>NOT(ISERROR(SEARCH(("C"),(Y13))))</formula>
    </cfRule>
    <cfRule type="containsText" dxfId="3285" priority="5623" operator="containsText" text="N">
      <formula>NOT(ISERROR(SEARCH(("N"),(Y13))))</formula>
    </cfRule>
    <cfRule type="containsText" dxfId="3284" priority="5622" operator="containsText" text="L">
      <formula>NOT(ISERROR(SEARCH(("L"),(Y13))))</formula>
    </cfRule>
    <cfRule type="containsText" dxfId="3283" priority="5621" operator="containsText" text="X">
      <formula>NOT(ISERROR(SEARCH(("X"),(Y13))))</formula>
    </cfRule>
    <cfRule type="containsText" dxfId="3282" priority="5620" operator="containsText" text="K">
      <formula>NOT(ISERROR(SEARCH(("K"),(Y13))))</formula>
    </cfRule>
    <cfRule type="containsText" dxfId="3281" priority="5592" operator="containsText" text="L">
      <formula>NOT(ISERROR(SEARCH(("L"),(Y13))))</formula>
    </cfRule>
    <cfRule type="containsText" dxfId="3280" priority="5593" operator="containsText" text="N">
      <formula>NOT(ISERROR(SEARCH(("N"),(Y13))))</formula>
    </cfRule>
    <cfRule type="containsText" dxfId="3279" priority="5640" operator="containsText" text="X">
      <formula>NOT(ISERROR(SEARCH(("X"),(Y13))))</formula>
    </cfRule>
    <cfRule type="containsText" dxfId="3278" priority="5617" operator="containsText" text="O">
      <formula>NOT(ISERROR(SEARCH(("O"),(Y13))))</formula>
    </cfRule>
    <cfRule type="containsText" dxfId="3277" priority="5616" operator="containsText" text="N">
      <formula>NOT(ISERROR(SEARCH(("N"),(Y13))))</formula>
    </cfRule>
    <cfRule type="containsText" dxfId="3276" priority="5615" operator="containsText" text="L">
      <formula>NOT(ISERROR(SEARCH(("L"),(Y13))))</formula>
    </cfRule>
    <cfRule type="containsText" dxfId="3275" priority="5636" operator="containsText" text="O">
      <formula>NOT(ISERROR(SEARCH(("O"),(Y13))))</formula>
    </cfRule>
    <cfRule type="containsText" dxfId="3274" priority="5637" operator="containsText" text="C">
      <formula>NOT(ISERROR(SEARCH(("C"),(Y13))))</formula>
    </cfRule>
    <cfRule type="containsText" dxfId="3273" priority="5638" operator="containsText" text="P">
      <formula>NOT(ISERROR(SEARCH(("P"),(Y13))))</formula>
    </cfRule>
    <cfRule type="containsText" dxfId="3272" priority="5627" operator="containsText" text="K">
      <formula>NOT(ISERROR(SEARCH(("K"),(Y13))))</formula>
    </cfRule>
    <cfRule type="containsText" dxfId="3271" priority="5641" operator="containsText" text="L">
      <formula>NOT(ISERROR(SEARCH(("L"),(Y13))))</formula>
    </cfRule>
    <cfRule type="containsText" dxfId="3270" priority="5631" operator="containsText" text="C">
      <formula>NOT(ISERROR(SEARCH(("C"),(Y13))))</formula>
    </cfRule>
    <cfRule type="containsText" dxfId="3269" priority="5630" operator="containsText" text="O">
      <formula>NOT(ISERROR(SEARCH(("O"),(Y13))))</formula>
    </cfRule>
    <cfRule type="containsText" dxfId="3268" priority="5629" operator="containsText" text="L">
      <formula>NOT(ISERROR(SEARCH(("L"),(Y13))))</formula>
    </cfRule>
    <cfRule type="containsText" dxfId="3267" priority="5628" operator="containsText" text="X">
      <formula>NOT(ISERROR(SEARCH(("X"),(Y13))))</formula>
    </cfRule>
    <cfRule type="containsText" dxfId="3266" priority="5618" operator="containsText" text="C">
      <formula>NOT(ISERROR(SEARCH(("C"),(Y13))))</formula>
    </cfRule>
  </conditionalFormatting>
  <conditionalFormatting sqref="Y11:AC11 R11:V11">
    <cfRule type="containsText" dxfId="3265" priority="9790" operator="containsText" text="N">
      <formula>NOT(ISERROR(SEARCH(("N"),(R11))))</formula>
    </cfRule>
  </conditionalFormatting>
  <conditionalFormatting sqref="Y11:AC11 W18:AC18">
    <cfRule type="containsText" dxfId="3264" priority="10633" operator="containsText" text="X">
      <formula>NOT(ISERROR(SEARCH(("X"),(W11))))</formula>
    </cfRule>
    <cfRule type="containsText" dxfId="3263" priority="10634" operator="containsText" text="L">
      <formula>NOT(ISERROR(SEARCH(("L"),(W11))))</formula>
    </cfRule>
    <cfRule type="containsText" dxfId="3262" priority="10632" operator="containsText" text="K">
      <formula>NOT(ISERROR(SEARCH(("K"),(W11))))</formula>
    </cfRule>
    <cfRule type="containsText" dxfId="3261" priority="10628" operator="containsText" text="N">
      <formula>NOT(ISERROR(SEARCH(("N"),(W11))))</formula>
    </cfRule>
    <cfRule type="containsText" dxfId="3260" priority="10629" operator="containsText" text="O">
      <formula>NOT(ISERROR(SEARCH(("O"),(W11))))</formula>
    </cfRule>
    <cfRule type="containsText" dxfId="3259" priority="10630" operator="containsText" text="C">
      <formula>NOT(ISERROR(SEARCH(("C"),(W11))))</formula>
    </cfRule>
    <cfRule type="containsText" dxfId="3258" priority="10631" operator="containsText" text="P">
      <formula>NOT(ISERROR(SEARCH(("P"),(W11))))</formula>
    </cfRule>
  </conditionalFormatting>
  <conditionalFormatting sqref="Y13:AH13">
    <cfRule type="containsText" dxfId="3257" priority="5635" operator="containsText" text="N">
      <formula>NOT(ISERROR(SEARCH(("N"),(Y13))))</formula>
    </cfRule>
  </conditionalFormatting>
  <conditionalFormatting sqref="Z17">
    <cfRule type="containsText" dxfId="3256" priority="3843" operator="containsText" text="P">
      <formula>NOT(ISERROR(SEARCH(("P"),(Z17))))</formula>
    </cfRule>
    <cfRule type="containsText" dxfId="3255" priority="3844" operator="containsText" text="K">
      <formula>NOT(ISERROR(SEARCH(("K"),(Z17))))</formula>
    </cfRule>
    <cfRule type="containsText" dxfId="3254" priority="3845" operator="containsText" text="X">
      <formula>NOT(ISERROR(SEARCH(("X"),(Z17))))</formula>
    </cfRule>
    <cfRule type="containsText" dxfId="3253" priority="3846" operator="containsText" text="L">
      <formula>NOT(ISERROR(SEARCH(("L"),(Z17))))</formula>
    </cfRule>
    <cfRule type="containsText" dxfId="3252" priority="3847" operator="containsText" text="N">
      <formula>NOT(ISERROR(SEARCH(("N"),(Z17))))</formula>
    </cfRule>
    <cfRule type="containsText" dxfId="3251" priority="3838" operator="containsText" text="K">
      <formula>NOT(ISERROR(SEARCH(("K"),(Z17))))</formula>
    </cfRule>
    <cfRule type="containsText" dxfId="3250" priority="3837" operator="containsText" text="P">
      <formula>NOT(ISERROR(SEARCH(("P"),(Z17))))</formula>
    </cfRule>
    <cfRule type="containsText" dxfId="3249" priority="3839" operator="containsText" text="X">
      <formula>NOT(ISERROR(SEARCH(("X"),(Z17))))</formula>
    </cfRule>
    <cfRule type="containsText" dxfId="3248" priority="3840" operator="containsText" text="L">
      <formula>NOT(ISERROR(SEARCH(("L"),(Z17))))</formula>
    </cfRule>
    <cfRule type="containsText" dxfId="3247" priority="3841" operator="containsText" text="O">
      <formula>NOT(ISERROR(SEARCH(("O"),(Z17))))</formula>
    </cfRule>
    <cfRule type="containsText" dxfId="3246" priority="3842" operator="containsText" text="C">
      <formula>NOT(ISERROR(SEARCH(("C"),(Z17))))</formula>
    </cfRule>
    <cfRule type="containsText" dxfId="3245" priority="3835" operator="containsText" text="O">
      <formula>NOT(ISERROR(SEARCH(("O"),(Z17))))</formula>
    </cfRule>
    <cfRule type="containsText" dxfId="3244" priority="3836" operator="containsText" text="C">
      <formula>NOT(ISERROR(SEARCH(("C"),(Z17))))</formula>
    </cfRule>
  </conditionalFormatting>
  <conditionalFormatting sqref="Z25">
    <cfRule type="containsText" dxfId="3243" priority="141" operator="containsText" text="K">
      <formula>NOT(ISERROR(SEARCH(("K"),(Z25))))</formula>
    </cfRule>
    <cfRule type="containsText" dxfId="3242" priority="140" operator="containsText" text="P">
      <formula>NOT(ISERROR(SEARCH(("P"),(Z25))))</formula>
    </cfRule>
    <cfRule type="containsText" dxfId="3241" priority="139" operator="containsText" text="C">
      <formula>NOT(ISERROR(SEARCH(("C"),(Z25))))</formula>
    </cfRule>
    <cfRule type="containsText" dxfId="3240" priority="138" operator="containsText" text="O">
      <formula>NOT(ISERROR(SEARCH(("O"),(Z25))))</formula>
    </cfRule>
    <cfRule type="containsText" dxfId="3239" priority="137" operator="containsText" text="N">
      <formula>NOT(ISERROR(SEARCH(("N"),(Z25))))</formula>
    </cfRule>
    <cfRule type="containsText" dxfId="3238" priority="136" operator="containsText" text="L">
      <formula>NOT(ISERROR(SEARCH(("L"),(Z25))))</formula>
    </cfRule>
    <cfRule type="containsText" dxfId="3237" priority="135" operator="containsText" text="X">
      <formula>NOT(ISERROR(SEARCH(("X"),(Z25))))</formula>
    </cfRule>
    <cfRule type="containsText" dxfId="3236" priority="134" operator="containsText" text="K">
      <formula>NOT(ISERROR(SEARCH(("K"),(Z25))))</formula>
    </cfRule>
    <cfRule type="containsText" dxfId="3235" priority="133" operator="containsText" text="P">
      <formula>NOT(ISERROR(SEARCH(("P"),(Z25))))</formula>
    </cfRule>
    <cfRule type="containsText" dxfId="3234" priority="132" operator="containsText" text="C">
      <formula>NOT(ISERROR(SEARCH(("C"),(Z25))))</formula>
    </cfRule>
    <cfRule type="containsText" dxfId="3233" priority="131" operator="containsText" text="O">
      <formula>NOT(ISERROR(SEARCH(("O"),(Z25))))</formula>
    </cfRule>
    <cfRule type="containsText" dxfId="3232" priority="130" operator="containsText" text="N">
      <formula>NOT(ISERROR(SEARCH(("N"),(Z25))))</formula>
    </cfRule>
    <cfRule type="containsText" dxfId="3231" priority="177" operator="containsText" text="X">
      <formula>NOT(ISERROR(SEARCH(("X"),(Z25))))</formula>
    </cfRule>
    <cfRule type="containsText" dxfId="3230" priority="176" operator="containsText" text="K">
      <formula>NOT(ISERROR(SEARCH(("K"),(Z25))))</formula>
    </cfRule>
    <cfRule type="containsText" dxfId="3229" priority="167" operator="containsText" text="O">
      <formula>NOT(ISERROR(SEARCH(("O"),(Z25))))</formula>
    </cfRule>
    <cfRule type="containsText" dxfId="3228" priority="142" operator="containsText" text="X">
      <formula>NOT(ISERROR(SEARCH(("X"),(Z25))))</formula>
    </cfRule>
    <cfRule type="containsText" dxfId="3227" priority="143" operator="containsText" text="L">
      <formula>NOT(ISERROR(SEARCH(("L"),(Z25))))</formula>
    </cfRule>
    <cfRule type="containsText" dxfId="3226" priority="145" operator="containsText" text="N">
      <formula>NOT(ISERROR(SEARCH(("N"),(Z25))))</formula>
    </cfRule>
    <cfRule type="containsText" dxfId="3225" priority="146" operator="containsText" text="O">
      <formula>NOT(ISERROR(SEARCH(("O"),(Z25))))</formula>
    </cfRule>
    <cfRule type="containsText" dxfId="3224" priority="147" operator="containsText" text="C">
      <formula>NOT(ISERROR(SEARCH(("C"),(Z25))))</formula>
    </cfRule>
    <cfRule type="containsText" dxfId="3223" priority="166" operator="containsText" text="N">
      <formula>NOT(ISERROR(SEARCH(("N"),(Z25))))</formula>
    </cfRule>
    <cfRule type="containsText" dxfId="3222" priority="149" operator="containsText" text="K">
      <formula>NOT(ISERROR(SEARCH(("K"),(Z25))))</formula>
    </cfRule>
    <cfRule type="containsText" dxfId="3221" priority="150" operator="containsText" text="X">
      <formula>NOT(ISERROR(SEARCH(("X"),(Z25))))</formula>
    </cfRule>
    <cfRule type="containsText" dxfId="3220" priority="151" operator="containsText" text="L">
      <formula>NOT(ISERROR(SEARCH(("L"),(Z25))))</formula>
    </cfRule>
    <cfRule type="containsText" dxfId="3219" priority="152" operator="containsText" text="N">
      <formula>NOT(ISERROR(SEARCH(("N"),(Z25))))</formula>
    </cfRule>
    <cfRule type="containsText" dxfId="3218" priority="153" operator="containsText" text="O">
      <formula>NOT(ISERROR(SEARCH(("O"),(Z25))))</formula>
    </cfRule>
    <cfRule type="containsText" dxfId="3217" priority="154" operator="containsText" text="C">
      <formula>NOT(ISERROR(SEARCH(("C"),(Z25))))</formula>
    </cfRule>
    <cfRule type="containsText" dxfId="3216" priority="155" operator="containsText" text="P">
      <formula>NOT(ISERROR(SEARCH(("P"),(Z25))))</formula>
    </cfRule>
    <cfRule type="containsText" dxfId="3215" priority="179" operator="containsText" text="N">
      <formula>NOT(ISERROR(SEARCH(("N"),(Z25))))</formula>
    </cfRule>
    <cfRule type="containsText" dxfId="3214" priority="180" operator="containsText" text="O">
      <formula>NOT(ISERROR(SEARCH(("O"),(Z25))))</formula>
    </cfRule>
    <cfRule type="containsText" dxfId="3213" priority="181" operator="containsText" text="C">
      <formula>NOT(ISERROR(SEARCH(("C"),(Z25))))</formula>
    </cfRule>
    <cfRule type="containsText" dxfId="3212" priority="182" operator="containsText" text="P">
      <formula>NOT(ISERROR(SEARCH(("P"),(Z25))))</formula>
    </cfRule>
    <cfRule type="containsText" dxfId="3211" priority="183" operator="containsText" text="K">
      <formula>NOT(ISERROR(SEARCH(("K"),(Z25))))</formula>
    </cfRule>
    <cfRule type="containsText" dxfId="3210" priority="156" operator="containsText" text="K">
      <formula>NOT(ISERROR(SEARCH(("K"),(Z25))))</formula>
    </cfRule>
    <cfRule type="containsText" dxfId="3209" priority="157" operator="containsText" text="X">
      <formula>NOT(ISERROR(SEARCH(("X"),(Z25))))</formula>
    </cfRule>
    <cfRule type="containsText" dxfId="3208" priority="158" operator="containsText" text="L">
      <formula>NOT(ISERROR(SEARCH(("L"),(Z25))))</formula>
    </cfRule>
    <cfRule type="containsText" dxfId="3207" priority="159" operator="containsText" text="N">
      <formula>NOT(ISERROR(SEARCH(("N"),(Z25))))</formula>
    </cfRule>
    <cfRule type="containsText" dxfId="3206" priority="160" operator="containsText" text="O">
      <formula>NOT(ISERROR(SEARCH(("O"),(Z25))))</formula>
    </cfRule>
    <cfRule type="containsText" dxfId="3205" priority="161" operator="containsText" text="C">
      <formula>NOT(ISERROR(SEARCH(("C"),(Z25))))</formula>
    </cfRule>
    <cfRule type="containsText" dxfId="3204" priority="162" operator="containsText" text="P">
      <formula>NOT(ISERROR(SEARCH(("P"),(Z25))))</formula>
    </cfRule>
    <cfRule type="containsText" dxfId="3203" priority="172" operator="containsText" text="L">
      <formula>NOT(ISERROR(SEARCH(("L"),(Z25))))</formula>
    </cfRule>
    <cfRule type="containsText" dxfId="3202" priority="164" operator="containsText" text="X">
      <formula>NOT(ISERROR(SEARCH(("X"),(Z25))))</formula>
    </cfRule>
    <cfRule type="containsText" dxfId="3201" priority="165" operator="containsText" text="L">
      <formula>NOT(ISERROR(SEARCH(("L"),(Z25))))</formula>
    </cfRule>
    <cfRule type="containsText" dxfId="3200" priority="148" operator="containsText" text="P">
      <formula>NOT(ISERROR(SEARCH(("P"),(Z25))))</formula>
    </cfRule>
    <cfRule type="containsText" dxfId="3199" priority="184" operator="containsText" text="X">
      <formula>NOT(ISERROR(SEARCH(("X"),(Z25))))</formula>
    </cfRule>
    <cfRule type="containsText" dxfId="3198" priority="163" operator="containsText" text="K">
      <formula>NOT(ISERROR(SEARCH(("K"),(Z25))))</formula>
    </cfRule>
    <cfRule type="containsText" dxfId="3197" priority="173" operator="containsText" text="O">
      <formula>NOT(ISERROR(SEARCH(("O"),(Z25))))</formula>
    </cfRule>
    <cfRule type="containsText" dxfId="3196" priority="168" operator="containsText" text="C">
      <formula>NOT(ISERROR(SEARCH(("C"),(Z25))))</formula>
    </cfRule>
    <cfRule type="containsText" dxfId="3195" priority="175" operator="containsText" text="P">
      <formula>NOT(ISERROR(SEARCH(("P"),(Z25))))</formula>
    </cfRule>
    <cfRule type="containsText" dxfId="3194" priority="174" operator="containsText" text="C">
      <formula>NOT(ISERROR(SEARCH(("C"),(Z25))))</formula>
    </cfRule>
    <cfRule type="containsText" dxfId="3193" priority="178" operator="containsText" text="N">
      <formula>NOT(ISERROR(SEARCH(("N"),(Z25))))</formula>
    </cfRule>
    <cfRule type="containsText" dxfId="3192" priority="169" operator="containsText" text="P">
      <formula>NOT(ISERROR(SEARCH(("P"),(Z25))))</formula>
    </cfRule>
    <cfRule type="containsText" dxfId="3191" priority="171" operator="containsText" text="X">
      <formula>NOT(ISERROR(SEARCH(("X"),(Z25))))</formula>
    </cfRule>
    <cfRule type="containsText" dxfId="3190" priority="170" operator="containsText" text="K">
      <formula>NOT(ISERROR(SEARCH(("K"),(Z25))))</formula>
    </cfRule>
  </conditionalFormatting>
  <conditionalFormatting sqref="AB14:AC14">
    <cfRule type="containsText" dxfId="3189" priority="9185" operator="containsText" text="L">
      <formula>NOT(ISERROR(SEARCH(("L"),(AB14))))</formula>
    </cfRule>
    <cfRule type="containsText" dxfId="3188" priority="9180" operator="containsText" text="O">
      <formula>NOT(ISERROR(SEARCH(("O"),(AB14))))</formula>
    </cfRule>
    <cfRule type="containsText" dxfId="3187" priority="9191" operator="containsText" text="X">
      <formula>NOT(ISERROR(SEARCH(("X"),(AB14))))</formula>
    </cfRule>
    <cfRule type="containsText" dxfId="3186" priority="9192" operator="containsText" text="L">
      <formula>NOT(ISERROR(SEARCH(("L"),(AB14))))</formula>
    </cfRule>
    <cfRule type="containsText" dxfId="3185" priority="9181" operator="containsText" text="C">
      <formula>NOT(ISERROR(SEARCH(("C"),(AB14))))</formula>
    </cfRule>
    <cfRule type="containsText" dxfId="3184" priority="9182" operator="containsText" text="P">
      <formula>NOT(ISERROR(SEARCH(("P"),(AB14))))</formula>
    </cfRule>
    <cfRule type="containsText" dxfId="3183" priority="9183" operator="containsText" text="K">
      <formula>NOT(ISERROR(SEARCH(("K"),(AB14))))</formula>
    </cfRule>
    <cfRule type="containsText" dxfId="3182" priority="9184" operator="containsText" text="X">
      <formula>NOT(ISERROR(SEARCH(("X"),(AB14))))</formula>
    </cfRule>
    <cfRule type="containsText" dxfId="3181" priority="9179" operator="containsText" text="N">
      <formula>NOT(ISERROR(SEARCH(("N"),(AB14))))</formula>
    </cfRule>
    <cfRule type="containsText" dxfId="3180" priority="9186" operator="containsText" text="N">
      <formula>NOT(ISERROR(SEARCH(("N"),(AB14))))</formula>
    </cfRule>
    <cfRule type="containsText" dxfId="3179" priority="9187" operator="containsText" text="O">
      <formula>NOT(ISERROR(SEARCH(("O"),(AB14))))</formula>
    </cfRule>
    <cfRule type="containsText" dxfId="3178" priority="9188" operator="containsText" text="C">
      <formula>NOT(ISERROR(SEARCH(("C"),(AB14))))</formula>
    </cfRule>
    <cfRule type="containsText" dxfId="3177" priority="9189" operator="containsText" text="P">
      <formula>NOT(ISERROR(SEARCH(("P"),(AB14))))</formula>
    </cfRule>
    <cfRule type="containsText" dxfId="3176" priority="9190" operator="containsText" text="K">
      <formula>NOT(ISERROR(SEARCH(("K"),(AB14))))</formula>
    </cfRule>
  </conditionalFormatting>
  <conditionalFormatting sqref="AB14:AC15">
    <cfRule type="containsText" dxfId="3175" priority="9196" operator="containsText" text="P">
      <formula>NOT(ISERROR(SEARCH(("P"),(AB14))))</formula>
    </cfRule>
    <cfRule type="containsText" dxfId="3174" priority="9193" operator="containsText" text="N">
      <formula>NOT(ISERROR(SEARCH(("N"),(AB14))))</formula>
    </cfRule>
    <cfRule type="containsText" dxfId="3173" priority="9194" operator="containsText" text="O">
      <formula>NOT(ISERROR(SEARCH(("O"),(AB14))))</formula>
    </cfRule>
    <cfRule type="containsText" dxfId="3172" priority="9195" operator="containsText" text="C">
      <formula>NOT(ISERROR(SEARCH(("C"),(AB14))))</formula>
    </cfRule>
    <cfRule type="containsText" dxfId="3171" priority="9197" operator="containsText" text="K">
      <formula>NOT(ISERROR(SEARCH(("K"),(AB14))))</formula>
    </cfRule>
    <cfRule type="containsText" dxfId="3170" priority="9198" operator="containsText" text="X">
      <formula>NOT(ISERROR(SEARCH(("X"),(AB14))))</formula>
    </cfRule>
    <cfRule type="containsText" dxfId="3169" priority="9199" operator="containsText" text="L">
      <formula>NOT(ISERROR(SEARCH(("L"),(AB14))))</formula>
    </cfRule>
  </conditionalFormatting>
  <conditionalFormatting sqref="AB16:AC17">
    <cfRule type="containsText" dxfId="3168" priority="8662" operator="containsText" text="L">
      <formula>NOT(ISERROR(SEARCH(("L"),(AB16))))</formula>
    </cfRule>
    <cfRule type="containsText" dxfId="3167" priority="8656" operator="containsText" text="N">
      <formula>NOT(ISERROR(SEARCH(("N"),(AB16))))</formula>
    </cfRule>
    <cfRule type="containsText" dxfId="3166" priority="8657" operator="containsText" text="O">
      <formula>NOT(ISERROR(SEARCH(("O"),(AB16))))</formula>
    </cfRule>
    <cfRule type="containsText" dxfId="3165" priority="8658" operator="containsText" text="C">
      <formula>NOT(ISERROR(SEARCH(("C"),(AB16))))</formula>
    </cfRule>
    <cfRule type="containsText" dxfId="3164" priority="8659" operator="containsText" text="P">
      <formula>NOT(ISERROR(SEARCH(("P"),(AB16))))</formula>
    </cfRule>
    <cfRule type="containsText" dxfId="3163" priority="8660" operator="containsText" text="K">
      <formula>NOT(ISERROR(SEARCH(("K"),(AB16))))</formula>
    </cfRule>
    <cfRule type="containsText" dxfId="3162" priority="8661" operator="containsText" text="X">
      <formula>NOT(ISERROR(SEARCH(("X"),(AB16))))</formula>
    </cfRule>
  </conditionalFormatting>
  <conditionalFormatting sqref="AB17:AC17">
    <cfRule type="containsText" dxfId="3161" priority="8725" operator="containsText" text="O">
      <formula>NOT(ISERROR(SEARCH(("O"),(AB17))))</formula>
    </cfRule>
    <cfRule type="containsText" dxfId="3160" priority="8730" operator="containsText" text="N">
      <formula>NOT(ISERROR(SEARCH(("N"),(AB17))))</formula>
    </cfRule>
    <cfRule type="containsText" dxfId="3159" priority="8729" operator="containsText" text="X">
      <formula>NOT(ISERROR(SEARCH(("X"),(AB17))))</formula>
    </cfRule>
    <cfRule type="containsText" dxfId="3158" priority="8728" operator="containsText" text="K">
      <formula>NOT(ISERROR(SEARCH(("K"),(AB17))))</formula>
    </cfRule>
    <cfRule type="containsText" dxfId="3157" priority="8727" operator="containsText" text="P">
      <formula>NOT(ISERROR(SEARCH(("P"),(AB17))))</formula>
    </cfRule>
    <cfRule type="containsText" dxfId="3156" priority="8726" operator="containsText" text="C">
      <formula>NOT(ISERROR(SEARCH(("C"),(AB17))))</formula>
    </cfRule>
  </conditionalFormatting>
  <conditionalFormatting sqref="AB18:AC18">
    <cfRule type="containsText" dxfId="3155" priority="3507" operator="containsText" text="X">
      <formula>NOT(ISERROR(SEARCH(("X"),(AB18))))</formula>
    </cfRule>
    <cfRule type="containsText" dxfId="3154" priority="3504" operator="containsText" text="C">
      <formula>NOT(ISERROR(SEARCH(("C"),(AB18))))</formula>
    </cfRule>
    <cfRule type="containsText" dxfId="3153" priority="3505" operator="containsText" text="P">
      <formula>NOT(ISERROR(SEARCH(("P"),(AB18))))</formula>
    </cfRule>
    <cfRule type="containsText" dxfId="3152" priority="3506" operator="containsText" text="K">
      <formula>NOT(ISERROR(SEARCH(("K"),(AB18))))</formula>
    </cfRule>
    <cfRule type="containsText" dxfId="3151" priority="3508" operator="containsText" text="L">
      <formula>NOT(ISERROR(SEARCH(("L"),(AB18))))</formula>
    </cfRule>
    <cfRule type="containsText" dxfId="3150" priority="3502" operator="containsText" text="N">
      <formula>NOT(ISERROR(SEARCH(("N"),(AB18))))</formula>
    </cfRule>
    <cfRule type="containsText" dxfId="3149" priority="3503" operator="containsText" text="O">
      <formula>NOT(ISERROR(SEARCH(("O"),(AB18))))</formula>
    </cfRule>
  </conditionalFormatting>
  <conditionalFormatting sqref="AB19:AC19">
    <cfRule type="containsText" dxfId="3148" priority="3056" operator="containsText" text="P">
      <formula>NOT(ISERROR(SEARCH(("P"),(AB19))))</formula>
    </cfRule>
    <cfRule type="containsText" dxfId="3147" priority="3057" operator="containsText" text="K">
      <formula>NOT(ISERROR(SEARCH(("K"),(AB19))))</formula>
    </cfRule>
    <cfRule type="containsText" dxfId="3146" priority="3058" operator="containsText" text="X">
      <formula>NOT(ISERROR(SEARCH(("X"),(AB19))))</formula>
    </cfRule>
    <cfRule type="containsText" dxfId="3145" priority="3059" operator="containsText" text="L">
      <formula>NOT(ISERROR(SEARCH(("L"),(AB19))))</formula>
    </cfRule>
    <cfRule type="containsText" dxfId="3144" priority="3055" operator="containsText" text="C">
      <formula>NOT(ISERROR(SEARCH(("C"),(AB19))))</formula>
    </cfRule>
    <cfRule type="containsText" dxfId="3143" priority="3054" operator="containsText" text="O">
      <formula>NOT(ISERROR(SEARCH(("O"),(AB19))))</formula>
    </cfRule>
    <cfRule type="containsText" dxfId="3142" priority="3053" operator="containsText" text="N">
      <formula>NOT(ISERROR(SEARCH(("N"),(AB19))))</formula>
    </cfRule>
  </conditionalFormatting>
  <conditionalFormatting sqref="AB20:AC20">
    <cfRule type="containsText" dxfId="3141" priority="6917" operator="containsText" text="P">
      <formula>NOT(ISERROR(SEARCH(("P"),(AB20))))</formula>
    </cfRule>
    <cfRule type="containsText" dxfId="3140" priority="6916" operator="containsText" text="C">
      <formula>NOT(ISERROR(SEARCH(("C"),(AB20))))</formula>
    </cfRule>
    <cfRule type="containsText" dxfId="3139" priority="6915" operator="containsText" text="O">
      <formula>NOT(ISERROR(SEARCH(("O"),(AB20))))</formula>
    </cfRule>
    <cfRule type="containsText" dxfId="3138" priority="6914" operator="containsText" text="N">
      <formula>NOT(ISERROR(SEARCH(("N"),(AB20))))</formula>
    </cfRule>
    <cfRule type="containsText" dxfId="3137" priority="6913" operator="containsText" text="L">
      <formula>NOT(ISERROR(SEARCH(("L"),(AB20))))</formula>
    </cfRule>
    <cfRule type="containsText" dxfId="3136" priority="6912" operator="containsText" text="X">
      <formula>NOT(ISERROR(SEARCH(("X"),(AB20))))</formula>
    </cfRule>
    <cfRule type="containsText" dxfId="3135" priority="6910" operator="containsText" text="P">
      <formula>NOT(ISERROR(SEARCH(("P"),(AB20))))</formula>
    </cfRule>
    <cfRule type="containsText" dxfId="3134" priority="6909" operator="containsText" text="C">
      <formula>NOT(ISERROR(SEARCH(("C"),(AB20))))</formula>
    </cfRule>
    <cfRule type="containsText" dxfId="3133" priority="6908" operator="containsText" text="O">
      <formula>NOT(ISERROR(SEARCH(("O"),(AB20))))</formula>
    </cfRule>
    <cfRule type="containsText" dxfId="3132" priority="6907" operator="containsText" text="N">
      <formula>NOT(ISERROR(SEARCH(("N"),(AB20))))</formula>
    </cfRule>
    <cfRule type="containsText" dxfId="3131" priority="6921" operator="containsText" text="N">
      <formula>NOT(ISERROR(SEARCH(("N"),(AB20))))</formula>
    </cfRule>
    <cfRule type="containsText" dxfId="3130" priority="6922" operator="containsText" text="O">
      <formula>NOT(ISERROR(SEARCH(("O"),(AB20))))</formula>
    </cfRule>
    <cfRule type="containsText" dxfId="3129" priority="6923" operator="containsText" text="C">
      <formula>NOT(ISERROR(SEARCH(("C"),(AB20))))</formula>
    </cfRule>
    <cfRule type="containsText" dxfId="3128" priority="6924" operator="containsText" text="P">
      <formula>NOT(ISERROR(SEARCH(("P"),(AB20))))</formula>
    </cfRule>
    <cfRule type="containsText" dxfId="3127" priority="6925" operator="containsText" text="K">
      <formula>NOT(ISERROR(SEARCH(("K"),(AB20))))</formula>
    </cfRule>
    <cfRule type="containsText" dxfId="3126" priority="6920" operator="containsText" text="L">
      <formula>NOT(ISERROR(SEARCH(("L"),(AB20))))</formula>
    </cfRule>
    <cfRule type="containsText" dxfId="3125" priority="6927" operator="containsText" text="L">
      <formula>NOT(ISERROR(SEARCH(("L"),(AB20))))</formula>
    </cfRule>
    <cfRule type="containsText" dxfId="3124" priority="8457" operator="containsText" text="X">
      <formula>NOT(ISERROR(SEARCH(("X"),(AB20))))</formula>
    </cfRule>
    <cfRule type="containsText" dxfId="3123" priority="8456" operator="containsText" text="K">
      <formula>NOT(ISERROR(SEARCH(("K"),(AB20))))</formula>
    </cfRule>
    <cfRule type="containsText" dxfId="3122" priority="8455" operator="containsText" text="P">
      <formula>NOT(ISERROR(SEARCH(("P"),(AB20))))</formula>
    </cfRule>
    <cfRule type="containsText" dxfId="3121" priority="8454" operator="containsText" text="C">
      <formula>NOT(ISERROR(SEARCH(("C"),(AB20))))</formula>
    </cfRule>
    <cfRule type="containsText" dxfId="3120" priority="8453" operator="containsText" text="O">
      <formula>NOT(ISERROR(SEARCH(("O"),(AB20))))</formula>
    </cfRule>
    <cfRule type="containsText" dxfId="3119" priority="6926" operator="containsText" text="X">
      <formula>NOT(ISERROR(SEARCH(("X"),(AB20))))</formula>
    </cfRule>
    <cfRule type="containsText" dxfId="3118" priority="6911" operator="containsText" text="K">
      <formula>NOT(ISERROR(SEARCH(("K"),(AB20))))</formula>
    </cfRule>
    <cfRule type="containsText" dxfId="3117" priority="6919" operator="containsText" text="X">
      <formula>NOT(ISERROR(SEARCH(("X"),(AB20))))</formula>
    </cfRule>
    <cfRule type="containsText" dxfId="3116" priority="6918" operator="containsText" text="K">
      <formula>NOT(ISERROR(SEARCH(("K"),(AB20))))</formula>
    </cfRule>
  </conditionalFormatting>
  <conditionalFormatting sqref="AB22:AC22">
    <cfRule type="containsText" dxfId="3115" priority="1854" operator="containsText" text="P">
      <formula>NOT(ISERROR(SEARCH(("P"),(AB22))))</formula>
    </cfRule>
    <cfRule type="containsText" dxfId="3114" priority="1861" operator="containsText" text="P">
      <formula>NOT(ISERROR(SEARCH(("P"),(AB22))))</formula>
    </cfRule>
    <cfRule type="containsText" dxfId="3113" priority="1887" operator="containsText" text="C">
      <formula>NOT(ISERROR(SEARCH(("C"),(AB22))))</formula>
    </cfRule>
    <cfRule type="containsText" dxfId="3112" priority="1888" operator="containsText" text="P">
      <formula>NOT(ISERROR(SEARCH(("P"),(AB22))))</formula>
    </cfRule>
    <cfRule type="containsText" dxfId="3111" priority="1862" operator="containsText" text="K">
      <formula>NOT(ISERROR(SEARCH(("K"),(AB22))))</formula>
    </cfRule>
    <cfRule type="containsText" dxfId="3110" priority="1886" operator="containsText" text="O">
      <formula>NOT(ISERROR(SEARCH(("O"),(AB22))))</formula>
    </cfRule>
    <cfRule type="containsText" dxfId="3109" priority="1871" operator="containsText" text="L">
      <formula>NOT(ISERROR(SEARCH(("L"),(AB22))))</formula>
    </cfRule>
    <cfRule type="containsText" dxfId="3108" priority="1889" operator="containsText" text="K">
      <formula>NOT(ISERROR(SEARCH(("K"),(AB22))))</formula>
    </cfRule>
    <cfRule type="containsText" dxfId="3107" priority="1890" operator="containsText" text="X">
      <formula>NOT(ISERROR(SEARCH(("X"),(AB22))))</formula>
    </cfRule>
    <cfRule type="containsText" dxfId="3106" priority="1869" operator="containsText" text="K">
      <formula>NOT(ISERROR(SEARCH(("K"),(AB22))))</formula>
    </cfRule>
    <cfRule type="containsText" dxfId="3105" priority="1868" operator="containsText" text="P">
      <formula>NOT(ISERROR(SEARCH(("P"),(AB22))))</formula>
    </cfRule>
    <cfRule type="containsText" dxfId="3104" priority="1863" operator="containsText" text="X">
      <formula>NOT(ISERROR(SEARCH(("X"),(AB22))))</formula>
    </cfRule>
    <cfRule type="containsText" dxfId="3103" priority="1864" operator="containsText" text="L">
      <formula>NOT(ISERROR(SEARCH(("L"),(AB22))))</formula>
    </cfRule>
    <cfRule type="containsText" dxfId="3102" priority="1865" operator="containsText" text="N">
      <formula>NOT(ISERROR(SEARCH(("N"),(AB22))))</formula>
    </cfRule>
    <cfRule type="containsText" dxfId="3101" priority="1870" operator="containsText" text="X">
      <formula>NOT(ISERROR(SEARCH(("X"),(AB22))))</formula>
    </cfRule>
    <cfRule type="containsText" dxfId="3100" priority="1851" operator="containsText" text="N">
      <formula>NOT(ISERROR(SEARCH(("N"),(AB22))))</formula>
    </cfRule>
    <cfRule type="containsText" dxfId="3099" priority="1852" operator="containsText" text="O">
      <formula>NOT(ISERROR(SEARCH(("O"),(AB22))))</formula>
    </cfRule>
    <cfRule type="containsText" dxfId="3098" priority="1866" operator="containsText" text="O">
      <formula>NOT(ISERROR(SEARCH(("O"),(AB22))))</formula>
    </cfRule>
    <cfRule type="containsText" dxfId="3097" priority="1853" operator="containsText" text="C">
      <formula>NOT(ISERROR(SEARCH(("C"),(AB22))))</formula>
    </cfRule>
    <cfRule type="containsText" dxfId="3096" priority="1867" operator="containsText" text="C">
      <formula>NOT(ISERROR(SEARCH(("C"),(AB22))))</formula>
    </cfRule>
    <cfRule type="containsText" dxfId="3095" priority="1855" operator="containsText" text="K">
      <formula>NOT(ISERROR(SEARCH(("K"),(AB22))))</formula>
    </cfRule>
    <cfRule type="containsText" dxfId="3094" priority="1856" operator="containsText" text="X">
      <formula>NOT(ISERROR(SEARCH(("X"),(AB22))))</formula>
    </cfRule>
    <cfRule type="containsText" dxfId="3093" priority="1857" operator="containsText" text="L">
      <formula>NOT(ISERROR(SEARCH(("L"),(AB22))))</formula>
    </cfRule>
    <cfRule type="containsText" dxfId="3092" priority="1858" operator="containsText" text="N">
      <formula>NOT(ISERROR(SEARCH(("N"),(AB22))))</formula>
    </cfRule>
    <cfRule type="containsText" dxfId="3091" priority="1859" operator="containsText" text="O">
      <formula>NOT(ISERROR(SEARCH(("O"),(AB22))))</formula>
    </cfRule>
    <cfRule type="containsText" dxfId="3090" priority="1860" operator="containsText" text="C">
      <formula>NOT(ISERROR(SEARCH(("C"),(AB22))))</formula>
    </cfRule>
  </conditionalFormatting>
  <conditionalFormatting sqref="AB11:AD11">
    <cfRule type="containsText" dxfId="3089" priority="9448" operator="containsText" text="O">
      <formula>NOT(ISERROR(SEARCH(("O"),(AB11))))</formula>
    </cfRule>
    <cfRule type="containsText" dxfId="3088" priority="9452" operator="containsText" text="X">
      <formula>NOT(ISERROR(SEARCH(("X"),(AB11))))</formula>
    </cfRule>
    <cfRule type="containsText" dxfId="3087" priority="9453" operator="containsText" text="L">
      <formula>NOT(ISERROR(SEARCH(("L"),(AB11))))</formula>
    </cfRule>
    <cfRule type="containsText" dxfId="3086" priority="9451" operator="containsText" text="K">
      <formula>NOT(ISERROR(SEARCH(("K"),(AB11))))</formula>
    </cfRule>
    <cfRule type="containsText" dxfId="3085" priority="9450" operator="containsText" text="P">
      <formula>NOT(ISERROR(SEARCH(("P"),(AB11))))</formula>
    </cfRule>
    <cfRule type="containsText" dxfId="3084" priority="7862" operator="containsText" text="C">
      <formula>NOT(ISERROR(SEARCH(("C"),(AB11))))</formula>
    </cfRule>
    <cfRule type="containsText" dxfId="3083" priority="7863" operator="containsText" text="P">
      <formula>NOT(ISERROR(SEARCH(("P"),(AB11))))</formula>
    </cfRule>
    <cfRule type="containsText" dxfId="3082" priority="7861" operator="containsText" text="O">
      <formula>NOT(ISERROR(SEARCH(("O"),(AB11))))</formula>
    </cfRule>
    <cfRule type="containsText" dxfId="3081" priority="7860" operator="containsText" text="N">
      <formula>NOT(ISERROR(SEARCH(("N"),(AB11))))</formula>
    </cfRule>
    <cfRule type="containsText" dxfId="3080" priority="7866" operator="containsText" text="L">
      <formula>NOT(ISERROR(SEARCH(("L"),(AB11))))</formula>
    </cfRule>
    <cfRule type="containsText" dxfId="3079" priority="7865" operator="containsText" text="X">
      <formula>NOT(ISERROR(SEARCH(("X"),(AB11))))</formula>
    </cfRule>
    <cfRule type="containsText" dxfId="3078" priority="7864" operator="containsText" text="K">
      <formula>NOT(ISERROR(SEARCH(("K"),(AB11))))</formula>
    </cfRule>
    <cfRule type="containsText" dxfId="3077" priority="9449" operator="containsText" text="C">
      <formula>NOT(ISERROR(SEARCH(("C"),(AB11))))</formula>
    </cfRule>
  </conditionalFormatting>
  <conditionalFormatting sqref="AB12:AD12">
    <cfRule type="containsText" dxfId="3076" priority="6058" operator="containsText" text="O">
      <formula>NOT(ISERROR(SEARCH(("O"),(AB12))))</formula>
    </cfRule>
    <cfRule type="containsText" dxfId="3075" priority="6059" operator="containsText" text="C">
      <formula>NOT(ISERROR(SEARCH(("C"),(AB12))))</formula>
    </cfRule>
    <cfRule type="containsText" dxfId="3074" priority="6060" operator="containsText" text="P">
      <formula>NOT(ISERROR(SEARCH(("P"),(AB12))))</formula>
    </cfRule>
    <cfRule type="containsText" dxfId="3073" priority="6061" operator="containsText" text="K">
      <formula>NOT(ISERROR(SEARCH(("K"),(AB12))))</formula>
    </cfRule>
    <cfRule type="containsText" dxfId="3072" priority="6062" operator="containsText" text="X">
      <formula>NOT(ISERROR(SEARCH(("X"),(AB12))))</formula>
    </cfRule>
    <cfRule type="containsText" dxfId="3071" priority="6063" operator="containsText" text="L">
      <formula>NOT(ISERROR(SEARCH(("L"),(AB12))))</formula>
    </cfRule>
    <cfRule type="containsText" dxfId="3070" priority="6064" operator="containsText" text="N">
      <formula>NOT(ISERROR(SEARCH(("N"),(AB12))))</formula>
    </cfRule>
    <cfRule type="containsText" dxfId="3069" priority="6065" operator="containsText" text="O">
      <formula>NOT(ISERROR(SEARCH(("O"),(AB12))))</formula>
    </cfRule>
    <cfRule type="containsText" dxfId="3068" priority="6066" operator="containsText" text="C">
      <formula>NOT(ISERROR(SEARCH(("C"),(AB12))))</formula>
    </cfRule>
    <cfRule type="containsText" dxfId="3067" priority="6067" operator="containsText" text="P">
      <formula>NOT(ISERROR(SEARCH(("P"),(AB12))))</formula>
    </cfRule>
    <cfRule type="containsText" dxfId="3066" priority="6068" operator="containsText" text="K">
      <formula>NOT(ISERROR(SEARCH(("K"),(AB12))))</formula>
    </cfRule>
    <cfRule type="containsText" dxfId="3065" priority="6069" operator="containsText" text="X">
      <formula>NOT(ISERROR(SEARCH(("X"),(AB12))))</formula>
    </cfRule>
    <cfRule type="containsText" dxfId="3064" priority="6070" operator="containsText" text="L">
      <formula>NOT(ISERROR(SEARCH(("L"),(AB12))))</formula>
    </cfRule>
    <cfRule type="containsText" dxfId="3063" priority="6071" operator="containsText" text="N">
      <formula>NOT(ISERROR(SEARCH(("N"),(AB12))))</formula>
    </cfRule>
    <cfRule type="containsText" dxfId="3062" priority="6072" operator="containsText" text="O">
      <formula>NOT(ISERROR(SEARCH(("O"),(AB12))))</formula>
    </cfRule>
    <cfRule type="containsText" dxfId="3061" priority="6073" operator="containsText" text="C">
      <formula>NOT(ISERROR(SEARCH(("C"),(AB12))))</formula>
    </cfRule>
    <cfRule type="containsText" dxfId="3060" priority="6074" operator="containsText" text="P">
      <formula>NOT(ISERROR(SEARCH(("P"),(AB12))))</formula>
    </cfRule>
    <cfRule type="containsText" dxfId="3059" priority="6075" operator="containsText" text="K">
      <formula>NOT(ISERROR(SEARCH(("K"),(AB12))))</formula>
    </cfRule>
    <cfRule type="containsText" dxfId="3058" priority="6076" operator="containsText" text="X">
      <formula>NOT(ISERROR(SEARCH(("X"),(AB12))))</formula>
    </cfRule>
    <cfRule type="containsText" dxfId="3057" priority="6077" operator="containsText" text="L">
      <formula>NOT(ISERROR(SEARCH(("L"),(AB12))))</formula>
    </cfRule>
    <cfRule type="containsText" dxfId="3056" priority="5941" operator="containsText" text="O">
      <formula>NOT(ISERROR(SEARCH(("O"),(AB12))))</formula>
    </cfRule>
    <cfRule type="containsText" dxfId="3055" priority="5940" operator="containsText" text="N">
      <formula>NOT(ISERROR(SEARCH(("N"),(AB12))))</formula>
    </cfRule>
    <cfRule type="containsText" dxfId="3054" priority="5942" operator="containsText" text="C">
      <formula>NOT(ISERROR(SEARCH(("C"),(AB12))))</formula>
    </cfRule>
    <cfRule type="containsText" dxfId="3053" priority="5943" operator="containsText" text="P">
      <formula>NOT(ISERROR(SEARCH(("P"),(AB12))))</formula>
    </cfRule>
    <cfRule type="containsText" dxfId="3052" priority="5944" operator="containsText" text="K">
      <formula>NOT(ISERROR(SEARCH(("K"),(AB12))))</formula>
    </cfRule>
    <cfRule type="containsText" dxfId="3051" priority="5945" operator="containsText" text="X">
      <formula>NOT(ISERROR(SEARCH(("X"),(AB12))))</formula>
    </cfRule>
    <cfRule type="containsText" dxfId="3050" priority="5946" operator="containsText" text="L">
      <formula>NOT(ISERROR(SEARCH(("L"),(AB12))))</formula>
    </cfRule>
    <cfRule type="containsText" dxfId="3049" priority="6057" operator="containsText" text="N">
      <formula>NOT(ISERROR(SEARCH(("N"),(AB12))))</formula>
    </cfRule>
  </conditionalFormatting>
  <conditionalFormatting sqref="AB14:AD14">
    <cfRule type="containsText" dxfId="3048" priority="7564" operator="containsText" text="L">
      <formula>NOT(ISERROR(SEARCH(("L"),(AB14))))</formula>
    </cfRule>
    <cfRule type="containsText" dxfId="3047" priority="7563" operator="containsText" text="X">
      <formula>NOT(ISERROR(SEARCH(("X"),(AB14))))</formula>
    </cfRule>
    <cfRule type="containsText" dxfId="3046" priority="7562" operator="containsText" text="K">
      <formula>NOT(ISERROR(SEARCH(("K"),(AB14))))</formula>
    </cfRule>
    <cfRule type="containsText" dxfId="3045" priority="7561" operator="containsText" text="P">
      <formula>NOT(ISERROR(SEARCH(("P"),(AB14))))</formula>
    </cfRule>
    <cfRule type="containsText" dxfId="3044" priority="7560" operator="containsText" text="C">
      <formula>NOT(ISERROR(SEARCH(("C"),(AB14))))</formula>
    </cfRule>
    <cfRule type="containsText" dxfId="3043" priority="7559" operator="containsText" text="O">
      <formula>NOT(ISERROR(SEARCH(("O"),(AB14))))</formula>
    </cfRule>
    <cfRule type="containsText" dxfId="3042" priority="7558" operator="containsText" text="N">
      <formula>NOT(ISERROR(SEARCH(("N"),(AB14))))</formula>
    </cfRule>
  </conditionalFormatting>
  <conditionalFormatting sqref="AB14:AD15">
    <cfRule type="containsText" dxfId="3041" priority="7365" operator="containsText" text="P">
      <formula>NOT(ISERROR(SEARCH(("P"),(AB14))))</formula>
    </cfRule>
    <cfRule type="containsText" dxfId="3040" priority="7368" operator="containsText" text="L">
      <formula>NOT(ISERROR(SEARCH(("L"),(AB14))))</formula>
    </cfRule>
    <cfRule type="containsText" dxfId="3039" priority="7367" operator="containsText" text="X">
      <formula>NOT(ISERROR(SEARCH(("X"),(AB14))))</formula>
    </cfRule>
    <cfRule type="containsText" dxfId="3038" priority="7366" operator="containsText" text="K">
      <formula>NOT(ISERROR(SEARCH(("K"),(AB14))))</formula>
    </cfRule>
    <cfRule type="containsText" dxfId="3037" priority="7364" operator="containsText" text="C">
      <formula>NOT(ISERROR(SEARCH(("C"),(AB14))))</formula>
    </cfRule>
    <cfRule type="containsText" dxfId="3036" priority="7362" operator="containsText" text="N">
      <formula>NOT(ISERROR(SEARCH(("N"),(AB14))))</formula>
    </cfRule>
    <cfRule type="containsText" dxfId="3035" priority="7363" operator="containsText" text="O">
      <formula>NOT(ISERROR(SEARCH(("O"),(AB14))))</formula>
    </cfRule>
  </conditionalFormatting>
  <conditionalFormatting sqref="AB15:AD17">
    <cfRule type="containsText" dxfId="3034" priority="7037" operator="containsText" text="L">
      <formula>NOT(ISERROR(SEARCH(("L"),(AB15))))</formula>
    </cfRule>
    <cfRule type="containsText" dxfId="3033" priority="7036" operator="containsText" text="X">
      <formula>NOT(ISERROR(SEARCH(("X"),(AB15))))</formula>
    </cfRule>
    <cfRule type="containsText" dxfId="3032" priority="7031" operator="containsText" text="N">
      <formula>NOT(ISERROR(SEARCH(("N"),(AB15))))</formula>
    </cfRule>
    <cfRule type="containsText" dxfId="3031" priority="7032" operator="containsText" text="O">
      <formula>NOT(ISERROR(SEARCH(("O"),(AB15))))</formula>
    </cfRule>
    <cfRule type="containsText" dxfId="3030" priority="7033" operator="containsText" text="C">
      <formula>NOT(ISERROR(SEARCH(("C"),(AB15))))</formula>
    </cfRule>
    <cfRule type="containsText" dxfId="3029" priority="7034" operator="containsText" text="P">
      <formula>NOT(ISERROR(SEARCH(("P"),(AB15))))</formula>
    </cfRule>
    <cfRule type="containsText" dxfId="3028" priority="7035" operator="containsText" text="K">
      <formula>NOT(ISERROR(SEARCH(("K"),(AB15))))</formula>
    </cfRule>
  </conditionalFormatting>
  <conditionalFormatting sqref="AB16:AD16">
    <cfRule type="containsText" dxfId="3027" priority="7027" operator="containsText" text="P">
      <formula>NOT(ISERROR(SEARCH(("P"),(AB16))))</formula>
    </cfRule>
    <cfRule type="containsText" dxfId="3026" priority="7028" operator="containsText" text="K">
      <formula>NOT(ISERROR(SEARCH(("K"),(AB16))))</formula>
    </cfRule>
    <cfRule type="containsText" dxfId="3025" priority="7029" operator="containsText" text="X">
      <formula>NOT(ISERROR(SEARCH(("X"),(AB16))))</formula>
    </cfRule>
    <cfRule type="containsText" dxfId="3024" priority="7030" operator="containsText" text="L">
      <formula>NOT(ISERROR(SEARCH(("L"),(AB16))))</formula>
    </cfRule>
    <cfRule type="containsText" dxfId="3023" priority="7026" operator="containsText" text="C">
      <formula>NOT(ISERROR(SEARCH(("C"),(AB16))))</formula>
    </cfRule>
    <cfRule type="containsText" dxfId="3022" priority="7025" operator="containsText" text="O">
      <formula>NOT(ISERROR(SEARCH(("O"),(AB16))))</formula>
    </cfRule>
    <cfRule type="containsText" dxfId="3021" priority="7024" operator="containsText" text="N">
      <formula>NOT(ISERROR(SEARCH(("N"),(AB16))))</formula>
    </cfRule>
  </conditionalFormatting>
  <conditionalFormatting sqref="AB17:AD18">
    <cfRule type="containsText" dxfId="3020" priority="7183" operator="containsText" text="K">
      <formula>NOT(ISERROR(SEARCH(("K"),(AB17))))</formula>
    </cfRule>
    <cfRule type="containsText" dxfId="3019" priority="7182" operator="containsText" text="P">
      <formula>NOT(ISERROR(SEARCH(("P"),(AB17))))</formula>
    </cfRule>
    <cfRule type="containsText" dxfId="3018" priority="7184" operator="containsText" text="X">
      <formula>NOT(ISERROR(SEARCH(("X"),(AB17))))</formula>
    </cfRule>
    <cfRule type="containsText" dxfId="3017" priority="7185" operator="containsText" text="L">
      <formula>NOT(ISERROR(SEARCH(("L"),(AB17))))</formula>
    </cfRule>
    <cfRule type="containsText" dxfId="3016" priority="7179" operator="containsText" text="N">
      <formula>NOT(ISERROR(SEARCH(("N"),(AB17))))</formula>
    </cfRule>
    <cfRule type="containsText" dxfId="3015" priority="7180" operator="containsText" text="O">
      <formula>NOT(ISERROR(SEARCH(("O"),(AB17))))</formula>
    </cfRule>
    <cfRule type="containsText" dxfId="3014" priority="7181" operator="containsText" text="C">
      <formula>NOT(ISERROR(SEARCH(("C"),(AB17))))</formula>
    </cfRule>
  </conditionalFormatting>
  <conditionalFormatting sqref="AB18:AD18">
    <cfRule type="containsText" dxfId="3013" priority="3330" operator="containsText" text="X">
      <formula>NOT(ISERROR(SEARCH(("X"),(AB18))))</formula>
    </cfRule>
    <cfRule type="containsText" dxfId="3012" priority="3410" operator="containsText" text="O">
      <formula>NOT(ISERROR(SEARCH(("O"),(AB18))))</formula>
    </cfRule>
    <cfRule type="containsText" dxfId="3011" priority="3411" operator="containsText" text="C">
      <formula>NOT(ISERROR(SEARCH(("C"),(AB18))))</formula>
    </cfRule>
    <cfRule type="containsText" dxfId="3010" priority="7754" operator="containsText" text="N">
      <formula>NOT(ISERROR(SEARCH(("N"),(AB18))))</formula>
    </cfRule>
    <cfRule type="containsText" dxfId="3009" priority="3326" operator="containsText" text="O">
      <formula>NOT(ISERROR(SEARCH(("O"),(AB18))))</formula>
    </cfRule>
    <cfRule type="containsText" dxfId="3008" priority="3327" operator="containsText" text="C">
      <formula>NOT(ISERROR(SEARCH(("C"),(AB18))))</formula>
    </cfRule>
    <cfRule type="containsText" dxfId="3007" priority="3328" operator="containsText" text="P">
      <formula>NOT(ISERROR(SEARCH(("P"),(AB18))))</formula>
    </cfRule>
    <cfRule type="containsText" dxfId="3006" priority="3329" operator="containsText" text="K">
      <formula>NOT(ISERROR(SEARCH(("K"),(AB18))))</formula>
    </cfRule>
    <cfRule type="containsText" dxfId="3005" priority="3331" operator="containsText" text="L">
      <formula>NOT(ISERROR(SEARCH(("L"),(AB18))))</formula>
    </cfRule>
    <cfRule type="containsText" dxfId="3004" priority="3325" operator="containsText" text="N">
      <formula>NOT(ISERROR(SEARCH(("N"),(AB18))))</formula>
    </cfRule>
    <cfRule type="containsText" dxfId="3003" priority="3415" operator="containsText" text="L">
      <formula>NOT(ISERROR(SEARCH(("L"),(AB18))))</formula>
    </cfRule>
    <cfRule type="containsText" dxfId="3002" priority="3414" operator="containsText" text="X">
      <formula>NOT(ISERROR(SEARCH(("X"),(AB18))))</formula>
    </cfRule>
    <cfRule type="containsText" dxfId="3001" priority="3413" operator="containsText" text="K">
      <formula>NOT(ISERROR(SEARCH(("K"),(AB18))))</formula>
    </cfRule>
    <cfRule type="containsText" dxfId="3000" priority="3412" operator="containsText" text="P">
      <formula>NOT(ISERROR(SEARCH(("P"),(AB18))))</formula>
    </cfRule>
    <cfRule type="containsText" dxfId="2999" priority="7760" operator="containsText" text="L">
      <formula>NOT(ISERROR(SEARCH(("L"),(AB18))))</formula>
    </cfRule>
    <cfRule type="containsText" dxfId="2998" priority="7759" operator="containsText" text="X">
      <formula>NOT(ISERROR(SEARCH(("X"),(AB18))))</formula>
    </cfRule>
    <cfRule type="containsText" dxfId="2997" priority="7758" operator="containsText" text="K">
      <formula>NOT(ISERROR(SEARCH(("K"),(AB18))))</formula>
    </cfRule>
    <cfRule type="containsText" dxfId="2996" priority="7757" operator="containsText" text="P">
      <formula>NOT(ISERROR(SEARCH(("P"),(AB18))))</formula>
    </cfRule>
    <cfRule type="containsText" dxfId="2995" priority="7756" operator="containsText" text="C">
      <formula>NOT(ISERROR(SEARCH(("C"),(AB18))))</formula>
    </cfRule>
    <cfRule type="containsText" dxfId="2994" priority="7755" operator="containsText" text="O">
      <formula>NOT(ISERROR(SEARCH(("O"),(AB18))))</formula>
    </cfRule>
  </conditionalFormatting>
  <conditionalFormatting sqref="AB18:AD19">
    <cfRule type="containsText" dxfId="2993" priority="3409" operator="containsText" text="N">
      <formula>NOT(ISERROR(SEARCH(("N"),(AB18))))</formula>
    </cfRule>
  </conditionalFormatting>
  <conditionalFormatting sqref="AB19:AD19">
    <cfRule type="containsText" dxfId="2992" priority="5784" operator="containsText" text="L">
      <formula>NOT(ISERROR(SEARCH(("L"),(AB19))))</formula>
    </cfRule>
    <cfRule type="containsText" dxfId="2991" priority="2882" operator="containsText" text="L">
      <formula>NOT(ISERROR(SEARCH(("L"),(AB19))))</formula>
    </cfRule>
    <cfRule type="containsText" dxfId="2990" priority="2961" operator="containsText" text="O">
      <formula>NOT(ISERROR(SEARCH(("O"),(AB19))))</formula>
    </cfRule>
    <cfRule type="containsText" dxfId="2989" priority="2960" operator="containsText" text="N">
      <formula>NOT(ISERROR(SEARCH(("N"),(AB19))))</formula>
    </cfRule>
    <cfRule type="containsText" dxfId="2988" priority="5783" operator="containsText" text="X">
      <formula>NOT(ISERROR(SEARCH(("X"),(AB19))))</formula>
    </cfRule>
    <cfRule type="containsText" dxfId="2987" priority="5772" operator="containsText" text="O">
      <formula>NOT(ISERROR(SEARCH(("O"),(AB19))))</formula>
    </cfRule>
    <cfRule type="containsText" dxfId="2986" priority="5773" operator="containsText" text="C">
      <formula>NOT(ISERROR(SEARCH(("C"),(AB19))))</formula>
    </cfRule>
    <cfRule type="containsText" dxfId="2985" priority="5774" operator="containsText" text="P">
      <formula>NOT(ISERROR(SEARCH(("P"),(AB19))))</formula>
    </cfRule>
    <cfRule type="containsText" dxfId="2984" priority="5775" operator="containsText" text="K">
      <formula>NOT(ISERROR(SEARCH(("K"),(AB19))))</formula>
    </cfRule>
    <cfRule type="containsText" dxfId="2983" priority="5776" operator="containsText" text="X">
      <formula>NOT(ISERROR(SEARCH(("X"),(AB19))))</formula>
    </cfRule>
    <cfRule type="containsText" dxfId="2982" priority="5777" operator="containsText" text="L">
      <formula>NOT(ISERROR(SEARCH(("L"),(AB19))))</formula>
    </cfRule>
    <cfRule type="containsText" dxfId="2981" priority="5778" operator="containsText" text="N">
      <formula>NOT(ISERROR(SEARCH(("N"),(AB19))))</formula>
    </cfRule>
    <cfRule type="containsText" dxfId="2980" priority="5779" operator="containsText" text="O">
      <formula>NOT(ISERROR(SEARCH(("O"),(AB19))))</formula>
    </cfRule>
    <cfRule type="containsText" dxfId="2979" priority="5780" operator="containsText" text="C">
      <formula>NOT(ISERROR(SEARCH(("C"),(AB19))))</formula>
    </cfRule>
    <cfRule type="containsText" dxfId="2978" priority="5781" operator="containsText" text="P">
      <formula>NOT(ISERROR(SEARCH(("P"),(AB19))))</formula>
    </cfRule>
    <cfRule type="containsText" dxfId="2977" priority="2966" operator="containsText" text="L">
      <formula>NOT(ISERROR(SEARCH(("L"),(AB19))))</formula>
    </cfRule>
    <cfRule type="containsText" dxfId="2976" priority="5782" operator="containsText" text="K">
      <formula>NOT(ISERROR(SEARCH(("K"),(AB19))))</formula>
    </cfRule>
    <cfRule type="containsText" dxfId="2975" priority="2876" operator="containsText" text="N">
      <formula>NOT(ISERROR(SEARCH(("N"),(AB19))))</formula>
    </cfRule>
    <cfRule type="containsText" dxfId="2974" priority="2877" operator="containsText" text="O">
      <formula>NOT(ISERROR(SEARCH(("O"),(AB19))))</formula>
    </cfRule>
    <cfRule type="containsText" dxfId="2973" priority="2878" operator="containsText" text="C">
      <formula>NOT(ISERROR(SEARCH(("C"),(AB19))))</formula>
    </cfRule>
    <cfRule type="containsText" dxfId="2972" priority="2879" operator="containsText" text="P">
      <formula>NOT(ISERROR(SEARCH(("P"),(AB19))))</formula>
    </cfRule>
    <cfRule type="containsText" dxfId="2971" priority="2880" operator="containsText" text="K">
      <formula>NOT(ISERROR(SEARCH(("K"),(AB19))))</formula>
    </cfRule>
    <cfRule type="containsText" dxfId="2970" priority="2881" operator="containsText" text="X">
      <formula>NOT(ISERROR(SEARCH(("X"),(AB19))))</formula>
    </cfRule>
    <cfRule type="containsText" dxfId="2969" priority="2965" operator="containsText" text="X">
      <formula>NOT(ISERROR(SEARCH(("X"),(AB19))))</formula>
    </cfRule>
    <cfRule type="containsText" dxfId="2968" priority="2964" operator="containsText" text="K">
      <formula>NOT(ISERROR(SEARCH(("K"),(AB19))))</formula>
    </cfRule>
    <cfRule type="containsText" dxfId="2967" priority="2963" operator="containsText" text="P">
      <formula>NOT(ISERROR(SEARCH(("P"),(AB19))))</formula>
    </cfRule>
    <cfRule type="containsText" dxfId="2966" priority="2962" operator="containsText" text="C">
      <formula>NOT(ISERROR(SEARCH(("C"),(AB19))))</formula>
    </cfRule>
  </conditionalFormatting>
  <conditionalFormatting sqref="AB20:AD20">
    <cfRule type="containsText" dxfId="2965" priority="6799" operator="containsText" text="N">
      <formula>NOT(ISERROR(SEARCH(("N"),(AB20))))</formula>
    </cfRule>
    <cfRule type="containsText" dxfId="2964" priority="6800" operator="containsText" text="O">
      <formula>NOT(ISERROR(SEARCH(("O"),(AB20))))</formula>
    </cfRule>
    <cfRule type="containsText" dxfId="2963" priority="6801" operator="containsText" text="C">
      <formula>NOT(ISERROR(SEARCH(("C"),(AB20))))</formula>
    </cfRule>
    <cfRule type="containsText" dxfId="2962" priority="6802" operator="containsText" text="P">
      <formula>NOT(ISERROR(SEARCH(("P"),(AB20))))</formula>
    </cfRule>
    <cfRule type="containsText" dxfId="2961" priority="6803" operator="containsText" text="K">
      <formula>NOT(ISERROR(SEARCH(("K"),(AB20))))</formula>
    </cfRule>
    <cfRule type="containsText" dxfId="2960" priority="6804" operator="containsText" text="X">
      <formula>NOT(ISERROR(SEARCH(("X"),(AB20))))</formula>
    </cfRule>
    <cfRule type="containsText" dxfId="2959" priority="6805" operator="containsText" text="L">
      <formula>NOT(ISERROR(SEARCH(("L"),(AB20))))</formula>
    </cfRule>
  </conditionalFormatting>
  <conditionalFormatting sqref="AB20:AD21 AD21:AE21">
    <cfRule type="containsText" dxfId="2958" priority="6585" operator="containsText" text="K">
      <formula>NOT(ISERROR(SEARCH(("K"),(AB20))))</formula>
    </cfRule>
    <cfRule type="containsText" dxfId="2957" priority="6587" operator="containsText" text="L">
      <formula>NOT(ISERROR(SEARCH(("L"),(AB20))))</formula>
    </cfRule>
    <cfRule type="containsText" dxfId="2956" priority="6586" operator="containsText" text="X">
      <formula>NOT(ISERROR(SEARCH(("X"),(AB20))))</formula>
    </cfRule>
    <cfRule type="containsText" dxfId="2955" priority="6584" operator="containsText" text="P">
      <formula>NOT(ISERROR(SEARCH(("P"),(AB20))))</formula>
    </cfRule>
    <cfRule type="containsText" dxfId="2954" priority="6583" operator="containsText" text="C">
      <formula>NOT(ISERROR(SEARCH(("C"),(AB20))))</formula>
    </cfRule>
    <cfRule type="containsText" dxfId="2953" priority="6582" operator="containsText" text="O">
      <formula>NOT(ISERROR(SEARCH(("O"),(AB20))))</formula>
    </cfRule>
    <cfRule type="containsText" dxfId="2952" priority="6581" operator="containsText" text="N">
      <formula>NOT(ISERROR(SEARCH(("N"),(AB20))))</formula>
    </cfRule>
  </conditionalFormatting>
  <conditionalFormatting sqref="AB22:AD22">
    <cfRule type="containsText" dxfId="2951" priority="1756" operator="containsText" text="C">
      <formula>NOT(ISERROR(SEARCH(("C"),(AB22))))</formula>
    </cfRule>
    <cfRule type="containsText" dxfId="2950" priority="1798" operator="containsText" text="P">
      <formula>NOT(ISERROR(SEARCH(("P"),(AB22))))</formula>
    </cfRule>
    <cfRule type="containsText" dxfId="2949" priority="1797" operator="containsText" text="C">
      <formula>NOT(ISERROR(SEARCH(("C"),(AB22))))</formula>
    </cfRule>
    <cfRule type="containsText" dxfId="2948" priority="1796" operator="containsText" text="O">
      <formula>NOT(ISERROR(SEARCH(("O"),(AB22))))</formula>
    </cfRule>
    <cfRule type="containsText" dxfId="2947" priority="1757" operator="containsText" text="P">
      <formula>NOT(ISERROR(SEARCH(("P"),(AB22))))</formula>
    </cfRule>
    <cfRule type="containsText" dxfId="2946" priority="1759" operator="containsText" text="X">
      <formula>NOT(ISERROR(SEARCH(("X"),(AB22))))</formula>
    </cfRule>
    <cfRule type="containsText" dxfId="2945" priority="1801" operator="containsText" text="L">
      <formula>NOT(ISERROR(SEARCH(("L"),(AB22))))</formula>
    </cfRule>
    <cfRule type="containsText" dxfId="2944" priority="1758" operator="containsText" text="K">
      <formula>NOT(ISERROR(SEARCH(("K"),(AB22))))</formula>
    </cfRule>
    <cfRule type="containsText" dxfId="2943" priority="1760" operator="containsText" text="L">
      <formula>NOT(ISERROR(SEARCH(("L"),(AB22))))</formula>
    </cfRule>
    <cfRule type="containsText" dxfId="2942" priority="1799" operator="containsText" text="K">
      <formula>NOT(ISERROR(SEARCH(("K"),(AB22))))</formula>
    </cfRule>
    <cfRule type="containsText" dxfId="2941" priority="1795" operator="containsText" text="N">
      <formula>NOT(ISERROR(SEARCH(("N"),(AB22))))</formula>
    </cfRule>
    <cfRule type="containsText" dxfId="2940" priority="1800" operator="containsText" text="X">
      <formula>NOT(ISERROR(SEARCH(("X"),(AB22))))</formula>
    </cfRule>
    <cfRule type="containsText" dxfId="2939" priority="1754" operator="containsText" text="N">
      <formula>NOT(ISERROR(SEARCH(("N"),(AB22))))</formula>
    </cfRule>
    <cfRule type="containsText" dxfId="2938" priority="1755" operator="containsText" text="O">
      <formula>NOT(ISERROR(SEARCH(("O"),(AB22))))</formula>
    </cfRule>
  </conditionalFormatting>
  <conditionalFormatting sqref="AB21:AE21">
    <cfRule type="containsText" dxfId="2937" priority="6367" operator="containsText" text="K">
      <formula>NOT(ISERROR(SEARCH(("K"),(AB21))))</formula>
    </cfRule>
    <cfRule type="containsText" dxfId="2936" priority="6368" operator="containsText" text="X">
      <formula>NOT(ISERROR(SEARCH(("X"),(AB21))))</formula>
    </cfRule>
    <cfRule type="containsText" dxfId="2935" priority="6366" operator="containsText" text="P">
      <formula>NOT(ISERROR(SEARCH(("P"),(AB21))))</formula>
    </cfRule>
    <cfRule type="containsText" dxfId="2934" priority="6365" operator="containsText" text="C">
      <formula>NOT(ISERROR(SEARCH(("C"),(AB21))))</formula>
    </cfRule>
    <cfRule type="containsText" dxfId="2933" priority="6364" operator="containsText" text="O">
      <formula>NOT(ISERROR(SEARCH(("O"),(AB21))))</formula>
    </cfRule>
    <cfRule type="containsText" dxfId="2932" priority="6363" operator="containsText" text="N">
      <formula>NOT(ISERROR(SEARCH(("N"),(AB21))))</formula>
    </cfRule>
  </conditionalFormatting>
  <conditionalFormatting sqref="AB22:AG22">
    <cfRule type="containsText" dxfId="2931" priority="1891" operator="containsText" text="N">
      <formula>NOT(ISERROR(SEARCH(("N"),(AB22))))</formula>
    </cfRule>
  </conditionalFormatting>
  <conditionalFormatting sqref="AB20:AH20">
    <cfRule type="containsText" dxfId="2930" priority="8458" operator="containsText" text="N">
      <formula>NOT(ISERROR(SEARCH(("N"),(AB20))))</formula>
    </cfRule>
  </conditionalFormatting>
  <conditionalFormatting sqref="AB21:AJ21">
    <cfRule type="containsText" dxfId="2929" priority="6532" operator="containsText" text="L">
      <formula>NOT(ISERROR(SEARCH(("L"),(AB21))))</formula>
    </cfRule>
  </conditionalFormatting>
  <conditionalFormatting sqref="AB12:AK12">
    <cfRule type="containsText" dxfId="2928" priority="8538" operator="containsText" text="L">
      <formula>NOT(ISERROR(SEARCH(("L"),(AB12))))</formula>
    </cfRule>
    <cfRule type="containsText" dxfId="2927" priority="8537" operator="containsText" text="X">
      <formula>NOT(ISERROR(SEARCH(("X"),(AB12))))</formula>
    </cfRule>
    <cfRule type="containsText" dxfId="2926" priority="8536" operator="containsText" text="K">
      <formula>NOT(ISERROR(SEARCH(("K"),(AB12))))</formula>
    </cfRule>
    <cfRule type="containsText" dxfId="2925" priority="8535" operator="containsText" text="P">
      <formula>NOT(ISERROR(SEARCH(("P"),(AB12))))</formula>
    </cfRule>
    <cfRule type="containsText" dxfId="2924" priority="8534" operator="containsText" text="C">
      <formula>NOT(ISERROR(SEARCH(("C"),(AB12))))</formula>
    </cfRule>
    <cfRule type="containsText" dxfId="2923" priority="8533" operator="containsText" text="O">
      <formula>NOT(ISERROR(SEARCH(("O"),(AB12))))</formula>
    </cfRule>
  </conditionalFormatting>
  <conditionalFormatting sqref="AC17">
    <cfRule type="containsText" dxfId="2922" priority="3715" operator="containsText" text="L">
      <formula>NOT(ISERROR(SEARCH(("L"),(AC17))))</formula>
    </cfRule>
    <cfRule type="containsText" dxfId="2921" priority="3694" operator="containsText" text="N">
      <formula>NOT(ISERROR(SEARCH(("N"),(AC17))))</formula>
    </cfRule>
    <cfRule type="containsText" dxfId="2920" priority="3710" operator="containsText" text="O">
      <formula>NOT(ISERROR(SEARCH(("O"),(AC17))))</formula>
    </cfRule>
    <cfRule type="containsText" dxfId="2919" priority="3711" operator="containsText" text="C">
      <formula>NOT(ISERROR(SEARCH(("C"),(AC17))))</formula>
    </cfRule>
    <cfRule type="containsText" dxfId="2918" priority="3712" operator="containsText" text="P">
      <formula>NOT(ISERROR(SEARCH(("P"),(AC17))))</formula>
    </cfRule>
    <cfRule type="containsText" dxfId="2917" priority="3713" operator="containsText" text="K">
      <formula>NOT(ISERROR(SEARCH(("K"),(AC17))))</formula>
    </cfRule>
    <cfRule type="containsText" dxfId="2916" priority="3714" operator="containsText" text="X">
      <formula>NOT(ISERROR(SEARCH(("X"),(AC17))))</formula>
    </cfRule>
    <cfRule type="containsText" dxfId="2915" priority="3668" operator="containsText" text="C">
      <formula>NOT(ISERROR(SEARCH(("C"),(AC17))))</formula>
    </cfRule>
    <cfRule type="containsText" dxfId="2914" priority="3672" operator="containsText" text="L">
      <formula>NOT(ISERROR(SEARCH(("L"),(AC17))))</formula>
    </cfRule>
    <cfRule type="containsText" dxfId="2913" priority="3667" operator="containsText" text="O">
      <formula>NOT(ISERROR(SEARCH(("O"),(AC17))))</formula>
    </cfRule>
    <cfRule type="containsText" dxfId="2912" priority="3669" operator="containsText" text="P">
      <formula>NOT(ISERROR(SEARCH(("P"),(AC17))))</formula>
    </cfRule>
    <cfRule type="containsText" dxfId="2911" priority="3670" operator="containsText" text="K">
      <formula>NOT(ISERROR(SEARCH(("K"),(AC17))))</formula>
    </cfRule>
    <cfRule type="containsText" dxfId="2910" priority="3671" operator="containsText" text="X">
      <formula>NOT(ISERROR(SEARCH(("X"),(AC17))))</formula>
    </cfRule>
  </conditionalFormatting>
  <conditionalFormatting sqref="AC17:AE17">
    <cfRule type="containsText" dxfId="2909" priority="3679" operator="containsText" text="L">
      <formula>NOT(ISERROR(SEARCH(("L"),(AC17))))</formula>
    </cfRule>
    <cfRule type="containsText" dxfId="2908" priority="3678" operator="containsText" text="X">
      <formula>NOT(ISERROR(SEARCH(("X"),(AC17))))</formula>
    </cfRule>
    <cfRule type="containsText" dxfId="2907" priority="3677" operator="containsText" text="K">
      <formula>NOT(ISERROR(SEARCH(("K"),(AC17))))</formula>
    </cfRule>
    <cfRule type="containsText" dxfId="2906" priority="3676" operator="containsText" text="P">
      <formula>NOT(ISERROR(SEARCH(("P"),(AC17))))</formula>
    </cfRule>
    <cfRule type="containsText" dxfId="2905" priority="3675" operator="containsText" text="C">
      <formula>NOT(ISERROR(SEARCH(("C"),(AC17))))</formula>
    </cfRule>
    <cfRule type="containsText" dxfId="2904" priority="3674" operator="containsText" text="O">
      <formula>NOT(ISERROR(SEARCH(("O"),(AC17))))</formula>
    </cfRule>
  </conditionalFormatting>
  <conditionalFormatting sqref="AC13:AG13">
    <cfRule type="containsText" dxfId="2903" priority="4840" operator="containsText" text="P">
      <formula>NOT(ISERROR(SEARCH(("P"),(AC13))))</formula>
    </cfRule>
    <cfRule type="containsText" dxfId="2902" priority="4841" operator="containsText" text="K">
      <formula>NOT(ISERROR(SEARCH(("K"),(AC13))))</formula>
    </cfRule>
    <cfRule type="containsText" dxfId="2901" priority="4842" operator="containsText" text="X">
      <formula>NOT(ISERROR(SEARCH(("X"),(AC13))))</formula>
    </cfRule>
    <cfRule type="expression" dxfId="2900" priority="4843">
      <formula>WEEKDAY(AC$8)=1</formula>
    </cfRule>
    <cfRule type="containsText" dxfId="2899" priority="4838" operator="containsText" text="O">
      <formula>NOT(ISERROR(SEARCH(("O"),(AC13))))</formula>
    </cfRule>
    <cfRule type="containsText" dxfId="2898" priority="4839" operator="containsText" text="C">
      <formula>NOT(ISERROR(SEARCH(("C"),(AC13))))</formula>
    </cfRule>
    <cfRule type="containsText" dxfId="2897" priority="4827" operator="containsText" text="L">
      <formula>NOT(ISERROR(SEARCH(("L"),(AC13))))</formula>
    </cfRule>
    <cfRule type="containsText" dxfId="2896" priority="4828" operator="containsText" text="N">
      <formula>NOT(ISERROR(SEARCH(("N"),(AC13))))</formula>
    </cfRule>
    <cfRule type="containsText" dxfId="2895" priority="4829" operator="containsText" text="L">
      <formula>NOT(ISERROR(SEARCH(("L"),(AC13))))</formula>
    </cfRule>
    <cfRule type="containsText" dxfId="2894" priority="4830" operator="containsText" text="N">
      <formula>NOT(ISERROR(SEARCH(("N"),(AC13))))</formula>
    </cfRule>
    <cfRule type="containsText" dxfId="2893" priority="4831" operator="containsText" text="O">
      <formula>NOT(ISERROR(SEARCH(("O"),(AC13))))</formula>
    </cfRule>
    <cfRule type="containsText" dxfId="2892" priority="4832" operator="containsText" text="C">
      <formula>NOT(ISERROR(SEARCH(("C"),(AC13))))</formula>
    </cfRule>
    <cfRule type="containsText" dxfId="2891" priority="4833" operator="containsText" text="P">
      <formula>NOT(ISERROR(SEARCH(("P"),(AC13))))</formula>
    </cfRule>
    <cfRule type="containsText" dxfId="2890" priority="4834" operator="containsText" text="K">
      <formula>NOT(ISERROR(SEARCH(("K"),(AC13))))</formula>
    </cfRule>
    <cfRule type="containsText" dxfId="2889" priority="4835" operator="containsText" text="X">
      <formula>NOT(ISERROR(SEARCH(("X"),(AC13))))</formula>
    </cfRule>
    <cfRule type="containsText" dxfId="2888" priority="4787" operator="containsText" text="P">
      <formula>NOT(ISERROR(SEARCH(("P"),(AC13))))</formula>
    </cfRule>
    <cfRule type="containsText" dxfId="2887" priority="4784" operator="containsText" text="N">
      <formula>NOT(ISERROR(SEARCH(("N"),(AC13))))</formula>
    </cfRule>
    <cfRule type="containsText" dxfId="2886" priority="4785" operator="containsText" text="O">
      <formula>NOT(ISERROR(SEARCH(("O"),(AC13))))</formula>
    </cfRule>
    <cfRule type="containsText" dxfId="2885" priority="4786" operator="containsText" text="C">
      <formula>NOT(ISERROR(SEARCH(("C"),(AC13))))</formula>
    </cfRule>
    <cfRule type="containsText" dxfId="2884" priority="4799" operator="containsText" text="N">
      <formula>NOT(ISERROR(SEARCH(("N"),(AC13))))</formula>
    </cfRule>
    <cfRule type="containsText" dxfId="2883" priority="4788" operator="containsText" text="K">
      <formula>NOT(ISERROR(SEARCH(("K"),(AC13))))</formula>
    </cfRule>
    <cfRule type="containsText" dxfId="2882" priority="4789" operator="containsText" text="X">
      <formula>NOT(ISERROR(SEARCH(("X"),(AC13))))</formula>
    </cfRule>
    <cfRule type="containsText" dxfId="2881" priority="4790" operator="containsText" text="L">
      <formula>NOT(ISERROR(SEARCH(("L"),(AC13))))</formula>
    </cfRule>
    <cfRule type="containsText" dxfId="2880" priority="4791" operator="containsText" text="N">
      <formula>NOT(ISERROR(SEARCH(("N"),(AC13))))</formula>
    </cfRule>
    <cfRule type="containsText" dxfId="2879" priority="4792" operator="containsText" text="O">
      <formula>NOT(ISERROR(SEARCH(("O"),(AC13))))</formula>
    </cfRule>
    <cfRule type="containsText" dxfId="2878" priority="4793" operator="containsText" text="C">
      <formula>NOT(ISERROR(SEARCH(("C"),(AC13))))</formula>
    </cfRule>
    <cfRule type="containsText" dxfId="2877" priority="4794" operator="containsText" text="P">
      <formula>NOT(ISERROR(SEARCH(("P"),(AC13))))</formula>
    </cfRule>
    <cfRule type="containsText" dxfId="2876" priority="4795" operator="containsText" text="K">
      <formula>NOT(ISERROR(SEARCH(("K"),(AC13))))</formula>
    </cfRule>
    <cfRule type="containsText" dxfId="2875" priority="4796" operator="containsText" text="X">
      <formula>NOT(ISERROR(SEARCH(("X"),(AC13))))</formula>
    </cfRule>
    <cfRule type="containsText" dxfId="2874" priority="4797" operator="containsText" text="L">
      <formula>NOT(ISERROR(SEARCH(("L"),(AC13))))</formula>
    </cfRule>
    <cfRule type="containsText" dxfId="2873" priority="4800" operator="containsText" text="O">
      <formula>NOT(ISERROR(SEARCH(("O"),(AC13))))</formula>
    </cfRule>
    <cfRule type="containsText" dxfId="2872" priority="4801" operator="containsText" text="C">
      <formula>NOT(ISERROR(SEARCH(("C"),(AC13))))</formula>
    </cfRule>
    <cfRule type="containsText" dxfId="2871" priority="4802" operator="containsText" text="P">
      <formula>NOT(ISERROR(SEARCH(("P"),(AC13))))</formula>
    </cfRule>
    <cfRule type="containsText" dxfId="2870" priority="4803" operator="containsText" text="K">
      <formula>NOT(ISERROR(SEARCH(("K"),(AC13))))</formula>
    </cfRule>
    <cfRule type="containsText" dxfId="2869" priority="4804" operator="containsText" text="X">
      <formula>NOT(ISERROR(SEARCH(("X"),(AC13))))</formula>
    </cfRule>
    <cfRule type="containsText" dxfId="2868" priority="4805" operator="containsText" text="L">
      <formula>NOT(ISERROR(SEARCH(("L"),(AC13))))</formula>
    </cfRule>
    <cfRule type="containsText" dxfId="2867" priority="4807" operator="containsText" text="N">
      <formula>NOT(ISERROR(SEARCH(("N"),(AC13))))</formula>
    </cfRule>
    <cfRule type="containsText" dxfId="2866" priority="4808" operator="containsText" text="O">
      <formula>NOT(ISERROR(SEARCH(("O"),(AC13))))</formula>
    </cfRule>
    <cfRule type="containsText" dxfId="2865" priority="4809" operator="containsText" text="C">
      <formula>NOT(ISERROR(SEARCH(("C"),(AC13))))</formula>
    </cfRule>
    <cfRule type="containsText" dxfId="2864" priority="4810" operator="containsText" text="P">
      <formula>NOT(ISERROR(SEARCH(("P"),(AC13))))</formula>
    </cfRule>
    <cfRule type="containsText" dxfId="2863" priority="4811" operator="containsText" text="K">
      <formula>NOT(ISERROR(SEARCH(("K"),(AC13))))</formula>
    </cfRule>
    <cfRule type="containsText" dxfId="2862" priority="4812" operator="containsText" text="X">
      <formula>NOT(ISERROR(SEARCH(("X"),(AC13))))</formula>
    </cfRule>
    <cfRule type="containsText" dxfId="2861" priority="4813" operator="containsText" text="L">
      <formula>NOT(ISERROR(SEARCH(("L"),(AC13))))</formula>
    </cfRule>
    <cfRule type="containsText" dxfId="2860" priority="4814" operator="containsText" text="N">
      <formula>NOT(ISERROR(SEARCH(("N"),(AC13))))</formula>
    </cfRule>
    <cfRule type="containsText" dxfId="2859" priority="4815" operator="containsText" text="O">
      <formula>NOT(ISERROR(SEARCH(("O"),(AC13))))</formula>
    </cfRule>
    <cfRule type="containsText" dxfId="2858" priority="4816" operator="containsText" text="C">
      <formula>NOT(ISERROR(SEARCH(("C"),(AC13))))</formula>
    </cfRule>
    <cfRule type="containsText" dxfId="2857" priority="4817" operator="containsText" text="P">
      <formula>NOT(ISERROR(SEARCH(("P"),(AC13))))</formula>
    </cfRule>
    <cfRule type="containsText" dxfId="2856" priority="4818" operator="containsText" text="K">
      <formula>NOT(ISERROR(SEARCH(("K"),(AC13))))</formula>
    </cfRule>
    <cfRule type="containsText" dxfId="2855" priority="4819" operator="containsText" text="X">
      <formula>NOT(ISERROR(SEARCH(("X"),(AC13))))</formula>
    </cfRule>
    <cfRule type="containsText" dxfId="2854" priority="4820" operator="containsText" text="L">
      <formula>NOT(ISERROR(SEARCH(("L"),(AC13))))</formula>
    </cfRule>
    <cfRule type="containsText" dxfId="2853" priority="4821" operator="containsText" text="N">
      <formula>NOT(ISERROR(SEARCH(("N"),(AC13))))</formula>
    </cfRule>
    <cfRule type="containsText" dxfId="2852" priority="4822" operator="containsText" text="O">
      <formula>NOT(ISERROR(SEARCH(("O"),(AC13))))</formula>
    </cfRule>
    <cfRule type="containsText" dxfId="2851" priority="4823" operator="containsText" text="C">
      <formula>NOT(ISERROR(SEARCH(("C"),(AC13))))</formula>
    </cfRule>
    <cfRule type="containsText" dxfId="2850" priority="4824" operator="containsText" text="P">
      <formula>NOT(ISERROR(SEARCH(("P"),(AC13))))</formula>
    </cfRule>
    <cfRule type="containsText" dxfId="2849" priority="4825" operator="containsText" text="K">
      <formula>NOT(ISERROR(SEARCH(("K"),(AC13))))</formula>
    </cfRule>
    <cfRule type="containsText" dxfId="2848" priority="4826" operator="containsText" text="X">
      <formula>NOT(ISERROR(SEARCH(("X"),(AC13))))</formula>
    </cfRule>
  </conditionalFormatting>
  <conditionalFormatting sqref="AC17:AG17">
    <cfRule type="containsText" dxfId="2847" priority="3673" operator="containsText" text="N">
      <formula>NOT(ISERROR(SEARCH(("N"),(AC17))))</formula>
    </cfRule>
    <cfRule type="containsText" dxfId="2846" priority="3696" operator="containsText" text="N">
      <formula>NOT(ISERROR(SEARCH(("N"),(AC17))))</formula>
    </cfRule>
    <cfRule type="containsText" dxfId="2845" priority="3695" operator="containsText" text="L">
      <formula>NOT(ISERROR(SEARCH(("L"),(AC17))))</formula>
    </cfRule>
    <cfRule type="containsText" dxfId="2844" priority="3693" operator="containsText" text="L">
      <formula>NOT(ISERROR(SEARCH(("L"),(AC17))))</formula>
    </cfRule>
    <cfRule type="containsText" dxfId="2843" priority="3688" operator="containsText" text="O">
      <formula>NOT(ISERROR(SEARCH(("O"),(AC17))))</formula>
    </cfRule>
    <cfRule type="containsText" dxfId="2842" priority="3689" operator="containsText" text="C">
      <formula>NOT(ISERROR(SEARCH(("C"),(AC17))))</formula>
    </cfRule>
    <cfRule type="containsText" dxfId="2841" priority="3690" operator="containsText" text="P">
      <formula>NOT(ISERROR(SEARCH(("P"),(AC17))))</formula>
    </cfRule>
    <cfRule type="containsText" dxfId="2840" priority="3691" operator="containsText" text="K">
      <formula>NOT(ISERROR(SEARCH(("K"),(AC17))))</formula>
    </cfRule>
    <cfRule type="containsText" dxfId="2839" priority="3692" operator="containsText" text="X">
      <formula>NOT(ISERROR(SEARCH(("X"),(AC17))))</formula>
    </cfRule>
    <cfRule type="containsText" dxfId="2838" priority="3687" operator="containsText" text="N">
      <formula>NOT(ISERROR(SEARCH(("N"),(AC17))))</formula>
    </cfRule>
  </conditionalFormatting>
  <conditionalFormatting sqref="AC23:AG23">
    <cfRule type="containsText" dxfId="2837" priority="958" operator="containsText" text="X">
      <formula>NOT(ISERROR(SEARCH(("X"),(AC23))))</formula>
    </cfRule>
    <cfRule type="containsText" dxfId="2836" priority="959" operator="containsText" text="L">
      <formula>NOT(ISERROR(SEARCH(("L"),(AC23))))</formula>
    </cfRule>
    <cfRule type="containsText" dxfId="2835" priority="960" operator="containsText" text="N">
      <formula>NOT(ISERROR(SEARCH(("N"),(AC23))))</formula>
    </cfRule>
    <cfRule type="containsText" dxfId="2834" priority="961" operator="containsText" text="O">
      <formula>NOT(ISERROR(SEARCH(("O"),(AC23))))</formula>
    </cfRule>
    <cfRule type="containsText" dxfId="2833" priority="962" operator="containsText" text="C">
      <formula>NOT(ISERROR(SEARCH(("C"),(AC23))))</formula>
    </cfRule>
    <cfRule type="containsText" dxfId="2832" priority="963" operator="containsText" text="P">
      <formula>NOT(ISERROR(SEARCH(("P"),(AC23))))</formula>
    </cfRule>
    <cfRule type="containsText" dxfId="2831" priority="964" operator="containsText" text="K">
      <formula>NOT(ISERROR(SEARCH(("K"),(AC23))))</formula>
    </cfRule>
    <cfRule type="containsText" dxfId="2830" priority="965" operator="containsText" text="X">
      <formula>NOT(ISERROR(SEARCH(("X"),(AC23))))</formula>
    </cfRule>
    <cfRule type="containsText" dxfId="2829" priority="966" operator="containsText" text="L">
      <formula>NOT(ISERROR(SEARCH(("L"),(AC23))))</formula>
    </cfRule>
    <cfRule type="containsText" dxfId="2828" priority="967" operator="containsText" text="O">
      <formula>NOT(ISERROR(SEARCH(("O"),(AC23))))</formula>
    </cfRule>
    <cfRule type="containsText" dxfId="2827" priority="968" operator="containsText" text="C">
      <formula>NOT(ISERROR(SEARCH(("C"),(AC23))))</formula>
    </cfRule>
    <cfRule type="containsText" dxfId="2826" priority="969" operator="containsText" text="P">
      <formula>NOT(ISERROR(SEARCH(("P"),(AC23))))</formula>
    </cfRule>
    <cfRule type="containsText" dxfId="2825" priority="970" operator="containsText" text="K">
      <formula>NOT(ISERROR(SEARCH(("K"),(AC23))))</formula>
    </cfRule>
    <cfRule type="containsText" dxfId="2824" priority="971" operator="containsText" text="X">
      <formula>NOT(ISERROR(SEARCH(("X"),(AC23))))</formula>
    </cfRule>
    <cfRule type="containsText" dxfId="2823" priority="972" operator="containsText" text="N">
      <formula>NOT(ISERROR(SEARCH(("N"),(AC23))))</formula>
    </cfRule>
    <cfRule type="containsText" dxfId="2822" priority="973" operator="containsText" text="N">
      <formula>NOT(ISERROR(SEARCH(("N"),(AC23))))</formula>
    </cfRule>
    <cfRule type="containsText" dxfId="2821" priority="974" operator="containsText" text="O">
      <formula>NOT(ISERROR(SEARCH(("O"),(AC23))))</formula>
    </cfRule>
    <cfRule type="containsText" dxfId="2820" priority="975" operator="containsText" text="C">
      <formula>NOT(ISERROR(SEARCH(("C"),(AC23))))</formula>
    </cfRule>
    <cfRule type="containsText" dxfId="2819" priority="976" operator="containsText" text="P">
      <formula>NOT(ISERROR(SEARCH(("P"),(AC23))))</formula>
    </cfRule>
    <cfRule type="containsText" dxfId="2818" priority="949" operator="containsText" text="P">
      <formula>NOT(ISERROR(SEARCH(("P"),(AC23))))</formula>
    </cfRule>
    <cfRule type="containsText" dxfId="2817" priority="950" operator="containsText" text="K">
      <formula>NOT(ISERROR(SEARCH(("K"),(AC23))))</formula>
    </cfRule>
    <cfRule type="containsText" dxfId="2816" priority="951" operator="containsText" text="X">
      <formula>NOT(ISERROR(SEARCH(("X"),(AC23))))</formula>
    </cfRule>
    <cfRule type="containsText" dxfId="2815" priority="952" operator="containsText" text="L">
      <formula>NOT(ISERROR(SEARCH(("L"),(AC23))))</formula>
    </cfRule>
    <cfRule type="containsText" dxfId="2814" priority="977" operator="containsText" text="K">
      <formula>NOT(ISERROR(SEARCH(("K"),(AC23))))</formula>
    </cfRule>
    <cfRule type="containsText" dxfId="2813" priority="978" operator="containsText" text="X">
      <formula>NOT(ISERROR(SEARCH(("X"),(AC23))))</formula>
    </cfRule>
    <cfRule type="containsText" dxfId="2812" priority="944" operator="containsText" text="X">
      <formula>NOT(ISERROR(SEARCH(("X"),(AC23))))</formula>
    </cfRule>
    <cfRule type="containsText" dxfId="2811" priority="943" operator="containsText" text="K">
      <formula>NOT(ISERROR(SEARCH(("K"),(AC23))))</formula>
    </cfRule>
    <cfRule type="containsText" dxfId="2810" priority="942" operator="containsText" text="P">
      <formula>NOT(ISERROR(SEARCH(("P"),(AC23))))</formula>
    </cfRule>
    <cfRule type="containsText" dxfId="2809" priority="941" operator="containsText" text="C">
      <formula>NOT(ISERROR(SEARCH(("C"),(AC23))))</formula>
    </cfRule>
    <cfRule type="containsText" dxfId="2808" priority="940" operator="containsText" text="O">
      <formula>NOT(ISERROR(SEARCH(("O"),(AC23))))</formula>
    </cfRule>
    <cfRule type="containsText" dxfId="2807" priority="939" operator="containsText" text="N">
      <formula>NOT(ISERROR(SEARCH(("N"),(AC23))))</formula>
    </cfRule>
    <cfRule type="containsText" dxfId="2806" priority="937" operator="containsText" text="L">
      <formula>NOT(ISERROR(SEARCH(("L"),(AC23))))</formula>
    </cfRule>
    <cfRule type="containsText" dxfId="2805" priority="936" operator="containsText" text="X">
      <formula>NOT(ISERROR(SEARCH(("X"),(AC23))))</formula>
    </cfRule>
    <cfRule type="containsText" dxfId="2804" priority="935" operator="containsText" text="K">
      <formula>NOT(ISERROR(SEARCH(("K"),(AC23))))</formula>
    </cfRule>
    <cfRule type="containsText" dxfId="2803" priority="934" operator="containsText" text="P">
      <formula>NOT(ISERROR(SEARCH(("P"),(AC23))))</formula>
    </cfRule>
    <cfRule type="containsText" dxfId="2802" priority="932" operator="containsText" text="O">
      <formula>NOT(ISERROR(SEARCH(("O"),(AC23))))</formula>
    </cfRule>
    <cfRule type="containsText" dxfId="2801" priority="931" operator="containsText" text="N">
      <formula>NOT(ISERROR(SEARCH(("N"),(AC23))))</formula>
    </cfRule>
    <cfRule type="containsText" dxfId="2800" priority="930" operator="containsText" text="L">
      <formula>NOT(ISERROR(SEARCH(("L"),(AC23))))</formula>
    </cfRule>
    <cfRule type="containsText" dxfId="2799" priority="929" operator="containsText" text="X">
      <formula>NOT(ISERROR(SEARCH(("X"),(AC23))))</formula>
    </cfRule>
    <cfRule type="containsText" dxfId="2798" priority="928" operator="containsText" text="K">
      <formula>NOT(ISERROR(SEARCH(("K"),(AC23))))</formula>
    </cfRule>
    <cfRule type="containsText" dxfId="2797" priority="927" operator="containsText" text="P">
      <formula>NOT(ISERROR(SEARCH(("P"),(AC23))))</formula>
    </cfRule>
    <cfRule type="containsText" dxfId="2796" priority="926" operator="containsText" text="C">
      <formula>NOT(ISERROR(SEARCH(("C"),(AC23))))</formula>
    </cfRule>
    <cfRule type="containsText" dxfId="2795" priority="925" operator="containsText" text="O">
      <formula>NOT(ISERROR(SEARCH(("O"),(AC23))))</formula>
    </cfRule>
    <cfRule type="containsText" dxfId="2794" priority="924" operator="containsText" text="N">
      <formula>NOT(ISERROR(SEARCH(("N"),(AC23))))</formula>
    </cfRule>
    <cfRule type="containsText" dxfId="2793" priority="953" operator="containsText" text="N">
      <formula>NOT(ISERROR(SEARCH(("N"),(AC23))))</formula>
    </cfRule>
    <cfRule type="containsText" dxfId="2792" priority="954" operator="containsText" text="O">
      <formula>NOT(ISERROR(SEARCH(("O"),(AC23))))</formula>
    </cfRule>
    <cfRule type="containsText" dxfId="2791" priority="955" operator="containsText" text="C">
      <formula>NOT(ISERROR(SEARCH(("C"),(AC23))))</formula>
    </cfRule>
    <cfRule type="containsText" dxfId="2790" priority="957" operator="containsText" text="K">
      <formula>NOT(ISERROR(SEARCH(("K"),(AC23))))</formula>
    </cfRule>
    <cfRule type="containsText" dxfId="2789" priority="933" operator="containsText" text="C">
      <formula>NOT(ISERROR(SEARCH(("C"),(AC23))))</formula>
    </cfRule>
    <cfRule type="containsText" dxfId="2788" priority="956" operator="containsText" text="P">
      <formula>NOT(ISERROR(SEARCH(("P"),(AC23))))</formula>
    </cfRule>
    <cfRule type="containsText" dxfId="2787" priority="945" operator="containsText" text="L">
      <formula>NOT(ISERROR(SEARCH(("L"),(AC23))))</formula>
    </cfRule>
    <cfRule type="containsText" dxfId="2786" priority="946" operator="containsText" text="N">
      <formula>NOT(ISERROR(SEARCH(("N"),(AC23))))</formula>
    </cfRule>
    <cfRule type="containsText" dxfId="2785" priority="947" operator="containsText" text="O">
      <formula>NOT(ISERROR(SEARCH(("O"),(AC23))))</formula>
    </cfRule>
    <cfRule type="containsText" dxfId="2784" priority="948" operator="containsText" text="C">
      <formula>NOT(ISERROR(SEARCH(("C"),(AC23))))</formula>
    </cfRule>
  </conditionalFormatting>
  <conditionalFormatting sqref="AC24:AG24">
    <cfRule type="containsText" dxfId="2783" priority="619" operator="containsText" text="N">
      <formula>NOT(ISERROR(SEARCH(("N"),(AC24))))</formula>
    </cfRule>
    <cfRule type="containsText" dxfId="2782" priority="579" operator="containsText" text="C">
      <formula>NOT(ISERROR(SEARCH(("C"),(AC24))))</formula>
    </cfRule>
    <cfRule type="containsText" dxfId="2781" priority="609" operator="containsText" text="P">
      <formula>NOT(ISERROR(SEARCH(("P"),(AC24))))</formula>
    </cfRule>
    <cfRule type="containsText" dxfId="2780" priority="608" operator="containsText" text="C">
      <formula>NOT(ISERROR(SEARCH(("C"),(AC24))))</formula>
    </cfRule>
    <cfRule type="containsText" dxfId="2779" priority="580" operator="containsText" text="P">
      <formula>NOT(ISERROR(SEARCH(("P"),(AC24))))</formula>
    </cfRule>
    <cfRule type="containsText" dxfId="2778" priority="581" operator="containsText" text="K">
      <formula>NOT(ISERROR(SEARCH(("K"),(AC24))))</formula>
    </cfRule>
    <cfRule type="containsText" dxfId="2777" priority="582" operator="containsText" text="X">
      <formula>NOT(ISERROR(SEARCH(("X"),(AC24))))</formula>
    </cfRule>
    <cfRule type="containsText" dxfId="2776" priority="583" operator="containsText" text="L">
      <formula>NOT(ISERROR(SEARCH(("L"),(AC24))))</formula>
    </cfRule>
    <cfRule type="containsText" dxfId="2775" priority="585" operator="containsText" text="N">
      <formula>NOT(ISERROR(SEARCH(("N"),(AC24))))</formula>
    </cfRule>
    <cfRule type="containsText" dxfId="2774" priority="586" operator="containsText" text="O">
      <formula>NOT(ISERROR(SEARCH(("O"),(AC24))))</formula>
    </cfRule>
    <cfRule type="containsText" dxfId="2773" priority="573" operator="containsText" text="P">
      <formula>NOT(ISERROR(SEARCH(("P"),(AC24))))</formula>
    </cfRule>
    <cfRule type="containsText" dxfId="2772" priority="572" operator="containsText" text="C">
      <formula>NOT(ISERROR(SEARCH(("C"),(AC24))))</formula>
    </cfRule>
    <cfRule type="containsText" dxfId="2771" priority="571" operator="containsText" text="O">
      <formula>NOT(ISERROR(SEARCH(("O"),(AC24))))</formula>
    </cfRule>
    <cfRule type="containsText" dxfId="2770" priority="610" operator="containsText" text="K">
      <formula>NOT(ISERROR(SEARCH(("K"),(AC24))))</formula>
    </cfRule>
    <cfRule type="containsText" dxfId="2769" priority="570" operator="containsText" text="N">
      <formula>NOT(ISERROR(SEARCH(("N"),(AC24))))</formula>
    </cfRule>
    <cfRule type="containsText" dxfId="2768" priority="587" operator="containsText" text="C">
      <formula>NOT(ISERROR(SEARCH(("C"),(AC24))))</formula>
    </cfRule>
    <cfRule type="containsText" dxfId="2767" priority="588" operator="containsText" text="P">
      <formula>NOT(ISERROR(SEARCH(("P"),(AC24))))</formula>
    </cfRule>
    <cfRule type="containsText" dxfId="2766" priority="589" operator="containsText" text="K">
      <formula>NOT(ISERROR(SEARCH(("K"),(AC24))))</formula>
    </cfRule>
    <cfRule type="containsText" dxfId="2765" priority="590" operator="containsText" text="X">
      <formula>NOT(ISERROR(SEARCH(("X"),(AC24))))</formula>
    </cfRule>
    <cfRule type="containsText" dxfId="2764" priority="591" operator="containsText" text="L">
      <formula>NOT(ISERROR(SEARCH(("L"),(AC24))))</formula>
    </cfRule>
    <cfRule type="containsText" dxfId="2763" priority="592" operator="containsText" text="N">
      <formula>NOT(ISERROR(SEARCH(("N"),(AC24))))</formula>
    </cfRule>
    <cfRule type="containsText" dxfId="2762" priority="593" operator="containsText" text="O">
      <formula>NOT(ISERROR(SEARCH(("O"),(AC24))))</formula>
    </cfRule>
    <cfRule type="containsText" dxfId="2761" priority="606" operator="containsText" text="N">
      <formula>NOT(ISERROR(SEARCH(("N"),(AC24))))</formula>
    </cfRule>
    <cfRule type="containsText" dxfId="2760" priority="594" operator="containsText" text="C">
      <formula>NOT(ISERROR(SEARCH(("C"),(AC24))))</formula>
    </cfRule>
    <cfRule type="containsText" dxfId="2759" priority="595" operator="containsText" text="P">
      <formula>NOT(ISERROR(SEARCH(("P"),(AC24))))</formula>
    </cfRule>
    <cfRule type="containsText" dxfId="2758" priority="596" operator="containsText" text="K">
      <formula>NOT(ISERROR(SEARCH(("K"),(AC24))))</formula>
    </cfRule>
    <cfRule type="containsText" dxfId="2757" priority="597" operator="containsText" text="X">
      <formula>NOT(ISERROR(SEARCH(("X"),(AC24))))</formula>
    </cfRule>
    <cfRule type="containsText" dxfId="2756" priority="598" operator="containsText" text="L">
      <formula>NOT(ISERROR(SEARCH(("L"),(AC24))))</formula>
    </cfRule>
    <cfRule type="containsText" dxfId="2755" priority="604" operator="containsText" text="X">
      <formula>NOT(ISERROR(SEARCH(("X"),(AC24))))</formula>
    </cfRule>
    <cfRule type="containsText" dxfId="2754" priority="599" operator="containsText" text="N">
      <formula>NOT(ISERROR(SEARCH(("N"),(AC24))))</formula>
    </cfRule>
    <cfRule type="containsText" dxfId="2753" priority="600" operator="containsText" text="O">
      <formula>NOT(ISERROR(SEARCH(("O"),(AC24))))</formula>
    </cfRule>
    <cfRule type="containsText" dxfId="2752" priority="601" operator="containsText" text="C">
      <formula>NOT(ISERROR(SEARCH(("C"),(AC24))))</formula>
    </cfRule>
    <cfRule type="containsText" dxfId="2751" priority="607" operator="containsText" text="O">
      <formula>NOT(ISERROR(SEARCH(("O"),(AC24))))</formula>
    </cfRule>
    <cfRule type="containsText" dxfId="2750" priority="602" operator="containsText" text="P">
      <formula>NOT(ISERROR(SEARCH(("P"),(AC24))))</formula>
    </cfRule>
    <cfRule type="containsText" dxfId="2749" priority="605" operator="containsText" text="L">
      <formula>NOT(ISERROR(SEARCH(("L"),(AC24))))</formula>
    </cfRule>
    <cfRule type="containsText" dxfId="2748" priority="603" operator="containsText" text="K">
      <formula>NOT(ISERROR(SEARCH(("K"),(AC24))))</formula>
    </cfRule>
    <cfRule type="containsText" dxfId="2747" priority="575" operator="containsText" text="X">
      <formula>NOT(ISERROR(SEARCH(("X"),(AC24))))</formula>
    </cfRule>
    <cfRule type="containsText" dxfId="2746" priority="576" operator="containsText" text="L">
      <formula>NOT(ISERROR(SEARCH(("L"),(AC24))))</formula>
    </cfRule>
    <cfRule type="containsText" dxfId="2745" priority="577" operator="containsText" text="N">
      <formula>NOT(ISERROR(SEARCH(("N"),(AC24))))</formula>
    </cfRule>
    <cfRule type="containsText" dxfId="2744" priority="624" operator="containsText" text="X">
      <formula>NOT(ISERROR(SEARCH(("X"),(AC24))))</formula>
    </cfRule>
    <cfRule type="containsText" dxfId="2743" priority="623" operator="containsText" text="K">
      <formula>NOT(ISERROR(SEARCH(("K"),(AC24))))</formula>
    </cfRule>
    <cfRule type="containsText" dxfId="2742" priority="622" operator="containsText" text="P">
      <formula>NOT(ISERROR(SEARCH(("P"),(AC24))))</formula>
    </cfRule>
    <cfRule type="containsText" dxfId="2741" priority="621" operator="containsText" text="C">
      <formula>NOT(ISERROR(SEARCH(("C"),(AC24))))</formula>
    </cfRule>
    <cfRule type="containsText" dxfId="2740" priority="620" operator="containsText" text="O">
      <formula>NOT(ISERROR(SEARCH(("O"),(AC24))))</formula>
    </cfRule>
    <cfRule type="containsText" dxfId="2739" priority="574" operator="containsText" text="K">
      <formula>NOT(ISERROR(SEARCH(("K"),(AC24))))</formula>
    </cfRule>
    <cfRule type="containsText" dxfId="2738" priority="618" operator="containsText" text="N">
      <formula>NOT(ISERROR(SEARCH(("N"),(AC24))))</formula>
    </cfRule>
    <cfRule type="containsText" dxfId="2737" priority="617" operator="containsText" text="X">
      <formula>NOT(ISERROR(SEARCH(("X"),(AC24))))</formula>
    </cfRule>
    <cfRule type="containsText" dxfId="2736" priority="616" operator="containsText" text="K">
      <formula>NOT(ISERROR(SEARCH(("K"),(AC24))))</formula>
    </cfRule>
    <cfRule type="containsText" dxfId="2735" priority="615" operator="containsText" text="P">
      <formula>NOT(ISERROR(SEARCH(("P"),(AC24))))</formula>
    </cfRule>
    <cfRule type="containsText" dxfId="2734" priority="578" operator="containsText" text="O">
      <formula>NOT(ISERROR(SEARCH(("O"),(AC24))))</formula>
    </cfRule>
    <cfRule type="containsText" dxfId="2733" priority="614" operator="containsText" text="C">
      <formula>NOT(ISERROR(SEARCH(("C"),(AC24))))</formula>
    </cfRule>
    <cfRule type="containsText" dxfId="2732" priority="613" operator="containsText" text="O">
      <formula>NOT(ISERROR(SEARCH(("O"),(AC24))))</formula>
    </cfRule>
    <cfRule type="containsText" dxfId="2731" priority="612" operator="containsText" text="L">
      <formula>NOT(ISERROR(SEARCH(("L"),(AC24))))</formula>
    </cfRule>
    <cfRule type="containsText" dxfId="2730" priority="611" operator="containsText" text="X">
      <formula>NOT(ISERROR(SEARCH(("X"),(AC24))))</formula>
    </cfRule>
  </conditionalFormatting>
  <conditionalFormatting sqref="AC25:AG25">
    <cfRule type="containsText" dxfId="2729" priority="92" operator="containsText" text="C">
      <formula>NOT(ISERROR(SEARCH(("C"),(AC25))))</formula>
    </cfRule>
    <cfRule type="containsText" dxfId="2728" priority="91" operator="containsText" text="O">
      <formula>NOT(ISERROR(SEARCH(("O"),(AC25))))</formula>
    </cfRule>
    <cfRule type="containsText" dxfId="2727" priority="90" operator="containsText" text="N">
      <formula>NOT(ISERROR(SEARCH(("N"),(AC25))))</formula>
    </cfRule>
    <cfRule type="containsText" dxfId="2726" priority="88" operator="containsText" text="L">
      <formula>NOT(ISERROR(SEARCH(("L"),(AC25))))</formula>
    </cfRule>
    <cfRule type="containsText" dxfId="2725" priority="87" operator="containsText" text="X">
      <formula>NOT(ISERROR(SEARCH(("X"),(AC25))))</formula>
    </cfRule>
    <cfRule type="containsText" dxfId="2724" priority="86" operator="containsText" text="K">
      <formula>NOT(ISERROR(SEARCH(("K"),(AC25))))</formula>
    </cfRule>
    <cfRule type="containsText" dxfId="2723" priority="85" operator="containsText" text="P">
      <formula>NOT(ISERROR(SEARCH(("P"),(AC25))))</formula>
    </cfRule>
    <cfRule type="containsText" dxfId="2722" priority="112" operator="containsText" text="O">
      <formula>NOT(ISERROR(SEARCH(("O"),(AC25))))</formula>
    </cfRule>
    <cfRule type="containsText" dxfId="2721" priority="83" operator="containsText" text="O">
      <formula>NOT(ISERROR(SEARCH(("O"),(AC25))))</formula>
    </cfRule>
    <cfRule type="containsText" dxfId="2720" priority="82" operator="containsText" text="N">
      <formula>NOT(ISERROR(SEARCH(("N"),(AC25))))</formula>
    </cfRule>
    <cfRule type="containsText" dxfId="2719" priority="81" operator="containsText" text="L">
      <formula>NOT(ISERROR(SEARCH(("L"),(AC25))))</formula>
    </cfRule>
    <cfRule type="containsText" dxfId="2718" priority="80" operator="containsText" text="X">
      <formula>NOT(ISERROR(SEARCH(("X"),(AC25))))</formula>
    </cfRule>
    <cfRule type="containsText" dxfId="2717" priority="78" operator="containsText" text="P">
      <formula>NOT(ISERROR(SEARCH(("P"),(AC25))))</formula>
    </cfRule>
    <cfRule type="containsText" dxfId="2716" priority="77" operator="containsText" text="C">
      <formula>NOT(ISERROR(SEARCH(("C"),(AC25))))</formula>
    </cfRule>
    <cfRule type="containsText" dxfId="2715" priority="76" operator="containsText" text="O">
      <formula>NOT(ISERROR(SEARCH(("O"),(AC25))))</formula>
    </cfRule>
    <cfRule type="containsText" dxfId="2714" priority="75" operator="containsText" text="N">
      <formula>NOT(ISERROR(SEARCH(("N"),(AC25))))</formula>
    </cfRule>
    <cfRule type="containsText" dxfId="2713" priority="111" operator="containsText" text="N">
      <formula>NOT(ISERROR(SEARCH(("N"),(AC25))))</formula>
    </cfRule>
    <cfRule type="containsText" dxfId="2712" priority="110" operator="containsText" text="L">
      <formula>NOT(ISERROR(SEARCH(("L"),(AC25))))</formula>
    </cfRule>
    <cfRule type="containsText" dxfId="2711" priority="109" operator="containsText" text="X">
      <formula>NOT(ISERROR(SEARCH(("X"),(AC25))))</formula>
    </cfRule>
    <cfRule type="containsText" dxfId="2710" priority="108" operator="containsText" text="K">
      <formula>NOT(ISERROR(SEARCH(("K"),(AC25))))</formula>
    </cfRule>
    <cfRule type="containsText" dxfId="2709" priority="107" operator="containsText" text="P">
      <formula>NOT(ISERROR(SEARCH(("P"),(AC25))))</formula>
    </cfRule>
    <cfRule type="containsText" dxfId="2708" priority="106" operator="containsText" text="C">
      <formula>NOT(ISERROR(SEARCH(("C"),(AC25))))</formula>
    </cfRule>
    <cfRule type="containsText" dxfId="2707" priority="105" operator="containsText" text="O">
      <formula>NOT(ISERROR(SEARCH(("O"),(AC25))))</formula>
    </cfRule>
    <cfRule type="containsText" dxfId="2706" priority="104" operator="containsText" text="N">
      <formula>NOT(ISERROR(SEARCH(("N"),(AC25))))</formula>
    </cfRule>
    <cfRule type="containsText" dxfId="2705" priority="103" operator="containsText" text="L">
      <formula>NOT(ISERROR(SEARCH(("L"),(AC25))))</formula>
    </cfRule>
    <cfRule type="containsText" dxfId="2704" priority="102" operator="containsText" text="X">
      <formula>NOT(ISERROR(SEARCH(("X"),(AC25))))</formula>
    </cfRule>
    <cfRule type="containsText" dxfId="2703" priority="101" operator="containsText" text="K">
      <formula>NOT(ISERROR(SEARCH(("K"),(AC25))))</formula>
    </cfRule>
    <cfRule type="containsText" dxfId="2702" priority="100" operator="containsText" text="P">
      <formula>NOT(ISERROR(SEARCH(("P"),(AC25))))</formula>
    </cfRule>
    <cfRule type="containsText" dxfId="2701" priority="99" operator="containsText" text="C">
      <formula>NOT(ISERROR(SEARCH(("C"),(AC25))))</formula>
    </cfRule>
    <cfRule type="containsText" dxfId="2700" priority="98" operator="containsText" text="O">
      <formula>NOT(ISERROR(SEARCH(("O"),(AC25))))</formula>
    </cfRule>
    <cfRule type="containsText" dxfId="2699" priority="97" operator="containsText" text="N">
      <formula>NOT(ISERROR(SEARCH(("N"),(AC25))))</formula>
    </cfRule>
    <cfRule type="containsText" dxfId="2698" priority="96" operator="containsText" text="L">
      <formula>NOT(ISERROR(SEARCH(("L"),(AC25))))</formula>
    </cfRule>
    <cfRule type="containsText" dxfId="2697" priority="95" operator="containsText" text="X">
      <formula>NOT(ISERROR(SEARCH(("X"),(AC25))))</formula>
    </cfRule>
    <cfRule type="containsText" dxfId="2696" priority="94" operator="containsText" text="K">
      <formula>NOT(ISERROR(SEARCH(("K"),(AC25))))</formula>
    </cfRule>
    <cfRule type="containsText" dxfId="2695" priority="93" operator="containsText" text="P">
      <formula>NOT(ISERROR(SEARCH(("P"),(AC25))))</formula>
    </cfRule>
    <cfRule type="containsText" dxfId="2694" priority="113" operator="containsText" text="C">
      <formula>NOT(ISERROR(SEARCH(("C"),(AC25))))</formula>
    </cfRule>
    <cfRule type="containsText" dxfId="2693" priority="117" operator="containsText" text="L">
      <formula>NOT(ISERROR(SEARCH(("L"),(AC25))))</formula>
    </cfRule>
    <cfRule type="containsText" dxfId="2692" priority="118" operator="containsText" text="O">
      <formula>NOT(ISERROR(SEARCH(("O"),(AC25))))</formula>
    </cfRule>
    <cfRule type="containsText" dxfId="2691" priority="119" operator="containsText" text="C">
      <formula>NOT(ISERROR(SEARCH(("C"),(AC25))))</formula>
    </cfRule>
    <cfRule type="containsText" dxfId="2690" priority="120" operator="containsText" text="P">
      <formula>NOT(ISERROR(SEARCH(("P"),(AC25))))</formula>
    </cfRule>
    <cfRule type="containsText" dxfId="2689" priority="79" operator="containsText" text="K">
      <formula>NOT(ISERROR(SEARCH(("K"),(AC25))))</formula>
    </cfRule>
    <cfRule type="containsText" dxfId="2688" priority="122" operator="containsText" text="X">
      <formula>NOT(ISERROR(SEARCH(("X"),(AC25))))</formula>
    </cfRule>
    <cfRule type="containsText" dxfId="2687" priority="123" operator="containsText" text="N">
      <formula>NOT(ISERROR(SEARCH(("N"),(AC25))))</formula>
    </cfRule>
    <cfRule type="containsText" dxfId="2686" priority="124" operator="containsText" text="N">
      <formula>NOT(ISERROR(SEARCH(("N"),(AC25))))</formula>
    </cfRule>
    <cfRule type="containsText" dxfId="2685" priority="125" operator="containsText" text="O">
      <formula>NOT(ISERROR(SEARCH(("O"),(AC25))))</formula>
    </cfRule>
    <cfRule type="containsText" dxfId="2684" priority="126" operator="containsText" text="C">
      <formula>NOT(ISERROR(SEARCH(("C"),(AC25))))</formula>
    </cfRule>
    <cfRule type="containsText" dxfId="2683" priority="127" operator="containsText" text="P">
      <formula>NOT(ISERROR(SEARCH(("P"),(AC25))))</formula>
    </cfRule>
    <cfRule type="containsText" dxfId="2682" priority="128" operator="containsText" text="K">
      <formula>NOT(ISERROR(SEARCH(("K"),(AC25))))</formula>
    </cfRule>
    <cfRule type="containsText" dxfId="2681" priority="129" operator="containsText" text="X">
      <formula>NOT(ISERROR(SEARCH(("X"),(AC25))))</formula>
    </cfRule>
    <cfRule type="containsText" dxfId="2680" priority="84" operator="containsText" text="C">
      <formula>NOT(ISERROR(SEARCH(("C"),(AC25))))</formula>
    </cfRule>
    <cfRule type="containsText" dxfId="2679" priority="114" operator="containsText" text="P">
      <formula>NOT(ISERROR(SEARCH(("P"),(AC25))))</formula>
    </cfRule>
    <cfRule type="containsText" dxfId="2678" priority="115" operator="containsText" text="K">
      <formula>NOT(ISERROR(SEARCH(("K"),(AC25))))</formula>
    </cfRule>
    <cfRule type="containsText" dxfId="2677" priority="116" operator="containsText" text="X">
      <formula>NOT(ISERROR(SEARCH(("X"),(AC25))))</formula>
    </cfRule>
    <cfRule type="containsText" dxfId="2676" priority="121" operator="containsText" text="K">
      <formula>NOT(ISERROR(SEARCH(("K"),(AC25))))</formula>
    </cfRule>
  </conditionalFormatting>
  <conditionalFormatting sqref="AC26:AG26">
    <cfRule type="containsText" dxfId="2675" priority="5231" operator="containsText" text="K">
      <formula>NOT(ISERROR(SEARCH(("K"),(AC26))))</formula>
    </cfRule>
    <cfRule type="containsText" dxfId="2674" priority="5232" operator="containsText" text="X">
      <formula>NOT(ISERROR(SEARCH(("X"),(AC26))))</formula>
    </cfRule>
    <cfRule type="containsText" dxfId="2673" priority="5233" operator="containsText" text="L">
      <formula>NOT(ISERROR(SEARCH(("L"),(AC26))))</formula>
    </cfRule>
    <cfRule type="containsText" dxfId="2672" priority="5236" operator="containsText" text="P">
      <formula>NOT(ISERROR(SEARCH(("P"),(AC26))))</formula>
    </cfRule>
    <cfRule type="containsText" dxfId="2671" priority="5237" operator="containsText" text="K">
      <formula>NOT(ISERROR(SEARCH(("K"),(AC26))))</formula>
    </cfRule>
    <cfRule type="containsText" dxfId="2670" priority="5235" operator="containsText" text="C">
      <formula>NOT(ISERROR(SEARCH(("C"),(AC26))))</formula>
    </cfRule>
    <cfRule type="containsText" dxfId="2669" priority="5234" operator="containsText" text="O">
      <formula>NOT(ISERROR(SEARCH(("O"),(AC26))))</formula>
    </cfRule>
    <cfRule type="containsText" dxfId="2668" priority="5211" operator="containsText" text="N">
      <formula>NOT(ISERROR(SEARCH(("N"),(AC26))))</formula>
    </cfRule>
    <cfRule type="containsText" dxfId="2667" priority="5212" operator="containsText" text="O">
      <formula>NOT(ISERROR(SEARCH(("O"),(AC26))))</formula>
    </cfRule>
    <cfRule type="containsText" dxfId="2666" priority="5206" operator="containsText" text="C">
      <formula>NOT(ISERROR(SEARCH(("C"),(AC26))))</formula>
    </cfRule>
    <cfRule type="containsText" dxfId="2665" priority="5238" operator="containsText" text="X">
      <formula>NOT(ISERROR(SEARCH(("X"),(AC26))))</formula>
    </cfRule>
    <cfRule type="containsText" dxfId="2664" priority="5213" operator="containsText" text="C">
      <formula>NOT(ISERROR(SEARCH(("C"),(AC26))))</formula>
    </cfRule>
    <cfRule type="containsText" dxfId="2663" priority="5214" operator="containsText" text="P">
      <formula>NOT(ISERROR(SEARCH(("P"),(AC26))))</formula>
    </cfRule>
    <cfRule type="containsText" dxfId="2662" priority="5215" operator="containsText" text="K">
      <formula>NOT(ISERROR(SEARCH(("K"),(AC26))))</formula>
    </cfRule>
    <cfRule type="containsText" dxfId="2661" priority="5216" operator="containsText" text="X">
      <formula>NOT(ISERROR(SEARCH(("X"),(AC26))))</formula>
    </cfRule>
    <cfRule type="containsText" dxfId="2660" priority="5217" operator="containsText" text="L">
      <formula>NOT(ISERROR(SEARCH(("L"),(AC26))))</formula>
    </cfRule>
    <cfRule type="containsText" dxfId="2659" priority="5218" operator="containsText" text="N">
      <formula>NOT(ISERROR(SEARCH(("N"),(AC26))))</formula>
    </cfRule>
    <cfRule type="containsText" dxfId="2658" priority="5219" operator="containsText" text="O">
      <formula>NOT(ISERROR(SEARCH(("O"),(AC26))))</formula>
    </cfRule>
    <cfRule type="containsText" dxfId="2657" priority="5220" operator="containsText" text="C">
      <formula>NOT(ISERROR(SEARCH(("C"),(AC26))))</formula>
    </cfRule>
    <cfRule type="containsText" dxfId="2656" priority="5221" operator="containsText" text="P">
      <formula>NOT(ISERROR(SEARCH(("P"),(AC26))))</formula>
    </cfRule>
    <cfRule type="containsText" dxfId="2655" priority="5222" operator="containsText" text="K">
      <formula>NOT(ISERROR(SEARCH(("K"),(AC26))))</formula>
    </cfRule>
    <cfRule type="containsText" dxfId="2654" priority="5223" operator="containsText" text="X">
      <formula>NOT(ISERROR(SEARCH(("X"),(AC26))))</formula>
    </cfRule>
    <cfRule type="containsText" dxfId="2653" priority="5224" operator="containsText" text="L">
      <formula>NOT(ISERROR(SEARCH(("L"),(AC26))))</formula>
    </cfRule>
    <cfRule type="containsText" dxfId="2652" priority="5225" operator="containsText" text="N">
      <formula>NOT(ISERROR(SEARCH(("N"),(AC26))))</formula>
    </cfRule>
    <cfRule type="containsText" dxfId="2651" priority="5205" operator="containsText" text="O">
      <formula>NOT(ISERROR(SEARCH(("O"),(AC26))))</formula>
    </cfRule>
    <cfRule type="containsText" dxfId="2650" priority="5226" operator="containsText" text="L">
      <formula>NOT(ISERROR(SEARCH(("L"),(AC26))))</formula>
    </cfRule>
    <cfRule type="containsText" dxfId="2649" priority="5227" operator="containsText" text="N">
      <formula>NOT(ISERROR(SEARCH(("N"),(AC26))))</formula>
    </cfRule>
    <cfRule type="containsText" dxfId="2648" priority="5228" operator="containsText" text="O">
      <formula>NOT(ISERROR(SEARCH(("O"),(AC26))))</formula>
    </cfRule>
    <cfRule type="containsText" dxfId="2647" priority="5229" operator="containsText" text="C">
      <formula>NOT(ISERROR(SEARCH(("C"),(AC26))))</formula>
    </cfRule>
    <cfRule type="containsText" dxfId="2646" priority="5230" operator="containsText" text="P">
      <formula>NOT(ISERROR(SEARCH(("P"),(AC26))))</formula>
    </cfRule>
    <cfRule type="containsText" dxfId="2645" priority="5207" operator="containsText" text="P">
      <formula>NOT(ISERROR(SEARCH(("P"),(AC26))))</formula>
    </cfRule>
    <cfRule type="containsText" dxfId="2644" priority="5208" operator="containsText" text="K">
      <formula>NOT(ISERROR(SEARCH(("K"),(AC26))))</formula>
    </cfRule>
    <cfRule type="containsText" dxfId="2643" priority="5209" operator="containsText" text="X">
      <formula>NOT(ISERROR(SEARCH(("X"),(AC26))))</formula>
    </cfRule>
    <cfRule type="containsText" dxfId="2642" priority="5210" operator="containsText" text="L">
      <formula>NOT(ISERROR(SEARCH(("L"),(AC26))))</formula>
    </cfRule>
  </conditionalFormatting>
  <conditionalFormatting sqref="AC13:AI13">
    <cfRule type="containsText" dxfId="2641" priority="4837" operator="containsText" text="N">
      <formula>NOT(ISERROR(SEARCH(("N"),(AC13))))</formula>
    </cfRule>
    <cfRule type="containsText" dxfId="2640" priority="4836" operator="containsText" text="L">
      <formula>NOT(ISERROR(SEARCH(("L"),(AC13))))</formula>
    </cfRule>
  </conditionalFormatting>
  <conditionalFormatting sqref="AD21">
    <cfRule type="containsText" dxfId="2639" priority="8032" operator="containsText" text="L">
      <formula>NOT(ISERROR(SEARCH(("L"),(AD21))))</formula>
    </cfRule>
    <cfRule type="containsText" dxfId="2638" priority="8065" operator="containsText" text="X">
      <formula>NOT(ISERROR(SEARCH(("X"),(AD21))))</formula>
    </cfRule>
    <cfRule type="containsText" dxfId="2637" priority="8064" operator="containsText" text="K">
      <formula>NOT(ISERROR(SEARCH(("K"),(AD21))))</formula>
    </cfRule>
    <cfRule type="containsText" dxfId="2636" priority="8063" operator="containsText" text="P">
      <formula>NOT(ISERROR(SEARCH(("P"),(AD21))))</formula>
    </cfRule>
    <cfRule type="containsText" dxfId="2635" priority="8062" operator="containsText" text="C">
      <formula>NOT(ISERROR(SEARCH(("C"),(AD21))))</formula>
    </cfRule>
    <cfRule type="containsText" dxfId="2634" priority="8034" operator="containsText" text="O">
      <formula>NOT(ISERROR(SEARCH(("O"),(AD21))))</formula>
    </cfRule>
    <cfRule type="containsText" dxfId="2633" priority="8060" operator="containsText" text="N">
      <formula>NOT(ISERROR(SEARCH(("N"),(AD21))))</formula>
    </cfRule>
    <cfRule type="containsText" dxfId="2632" priority="8059" operator="containsText" text="L">
      <formula>NOT(ISERROR(SEARCH(("L"),(AD21))))</formula>
    </cfRule>
    <cfRule type="containsText" dxfId="2631" priority="8051" operator="containsText" text="X">
      <formula>NOT(ISERROR(SEARCH(("X"),(AD21))))</formula>
    </cfRule>
    <cfRule type="containsText" dxfId="2630" priority="8043" operator="containsText" text="K">
      <formula>NOT(ISERROR(SEARCH(("K"),(AD21))))</formula>
    </cfRule>
    <cfRule type="containsText" dxfId="2629" priority="8048" operator="containsText" text="C">
      <formula>NOT(ISERROR(SEARCH(("C"),(AD21))))</formula>
    </cfRule>
    <cfRule type="containsText" dxfId="2628" priority="8041" operator="containsText" text="C">
      <formula>NOT(ISERROR(SEARCH(("C"),(AD21))))</formula>
    </cfRule>
    <cfRule type="containsText" dxfId="2627" priority="8035" operator="containsText" text="C">
      <formula>NOT(ISERROR(SEARCH(("C"),(AD21))))</formula>
    </cfRule>
    <cfRule type="containsText" dxfId="2626" priority="8036" operator="containsText" text="P">
      <formula>NOT(ISERROR(SEARCH(("P"),(AD21))))</formula>
    </cfRule>
    <cfRule type="containsText" dxfId="2625" priority="8037" operator="containsText" text="K">
      <formula>NOT(ISERROR(SEARCH(("K"),(AD21))))</formula>
    </cfRule>
    <cfRule type="containsText" dxfId="2624" priority="8038" operator="containsText" text="X">
      <formula>NOT(ISERROR(SEARCH(("X"),(AD21))))</formula>
    </cfRule>
    <cfRule type="containsText" dxfId="2623" priority="8039" operator="containsText" text="L">
      <formula>NOT(ISERROR(SEARCH(("L"),(AD21))))</formula>
    </cfRule>
    <cfRule type="containsText" dxfId="2622" priority="8040" operator="containsText" text="O">
      <formula>NOT(ISERROR(SEARCH(("O"),(AD21))))</formula>
    </cfRule>
    <cfRule type="containsText" dxfId="2621" priority="8042" operator="containsText" text="P">
      <formula>NOT(ISERROR(SEARCH(("P"),(AD21))))</formula>
    </cfRule>
    <cfRule type="containsText" dxfId="2620" priority="8033" operator="containsText" text="N">
      <formula>NOT(ISERROR(SEARCH(("N"),(AD21))))</formula>
    </cfRule>
    <cfRule type="containsText" dxfId="2619" priority="8066" operator="containsText" text="L">
      <formula>NOT(ISERROR(SEARCH(("L"),(AD21))))</formula>
    </cfRule>
    <cfRule type="containsText" dxfId="2618" priority="8044" operator="containsText" text="X">
      <formula>NOT(ISERROR(SEARCH(("X"),(AD21))))</formula>
    </cfRule>
    <cfRule type="containsText" dxfId="2617" priority="8046" operator="containsText" text="N">
      <formula>NOT(ISERROR(SEARCH(("N"),(AD21))))</formula>
    </cfRule>
    <cfRule type="containsText" dxfId="2616" priority="8058" operator="containsText" text="X">
      <formula>NOT(ISERROR(SEARCH(("X"),(AD21))))</formula>
    </cfRule>
    <cfRule type="containsText" dxfId="2615" priority="8057" operator="containsText" text="K">
      <formula>NOT(ISERROR(SEARCH(("K"),(AD21))))</formula>
    </cfRule>
    <cfRule type="containsText" dxfId="2614" priority="8056" operator="containsText" text="P">
      <formula>NOT(ISERROR(SEARCH(("P"),(AD21))))</formula>
    </cfRule>
    <cfRule type="containsText" dxfId="2613" priority="8055" operator="containsText" text="C">
      <formula>NOT(ISERROR(SEARCH(("C"),(AD21))))</formula>
    </cfRule>
    <cfRule type="containsText" dxfId="2612" priority="8054" operator="containsText" text="O">
      <formula>NOT(ISERROR(SEARCH(("O"),(AD21))))</formula>
    </cfRule>
    <cfRule type="containsText" dxfId="2611" priority="8053" operator="containsText" text="N">
      <formula>NOT(ISERROR(SEARCH(("N"),(AD21))))</formula>
    </cfRule>
    <cfRule type="containsText" dxfId="2610" priority="8052" operator="containsText" text="L">
      <formula>NOT(ISERROR(SEARCH(("L"),(AD21))))</formula>
    </cfRule>
    <cfRule type="containsText" dxfId="2609" priority="8050" operator="containsText" text="K">
      <formula>NOT(ISERROR(SEARCH(("K"),(AD21))))</formula>
    </cfRule>
    <cfRule type="containsText" dxfId="2608" priority="8049" operator="containsText" text="P">
      <formula>NOT(ISERROR(SEARCH(("P"),(AD21))))</formula>
    </cfRule>
    <cfRule type="containsText" dxfId="2607" priority="8027" operator="containsText" text="O">
      <formula>NOT(ISERROR(SEARCH(("O"),(AD21))))</formula>
    </cfRule>
    <cfRule type="containsText" dxfId="2606" priority="8045" operator="containsText" text="L">
      <formula>NOT(ISERROR(SEARCH(("L"),(AD21))))</formula>
    </cfRule>
    <cfRule type="containsText" dxfId="2605" priority="8028" operator="containsText" text="C">
      <formula>NOT(ISERROR(SEARCH(("C"),(AD21))))</formula>
    </cfRule>
    <cfRule type="containsText" dxfId="2604" priority="8029" operator="containsText" text="P">
      <formula>NOT(ISERROR(SEARCH(("P"),(AD21))))</formula>
    </cfRule>
    <cfRule type="containsText" dxfId="2603" priority="8030" operator="containsText" text="K">
      <formula>NOT(ISERROR(SEARCH(("K"),(AD21))))</formula>
    </cfRule>
    <cfRule type="containsText" dxfId="2602" priority="8031" operator="containsText" text="X">
      <formula>NOT(ISERROR(SEARCH(("X"),(AD21))))</formula>
    </cfRule>
    <cfRule type="containsText" dxfId="2601" priority="8061" operator="containsText" text="O">
      <formula>NOT(ISERROR(SEARCH(("O"),(AD21))))</formula>
    </cfRule>
    <cfRule type="containsText" dxfId="2600" priority="8047" operator="containsText" text="O">
      <formula>NOT(ISERROR(SEARCH(("O"),(AD21))))</formula>
    </cfRule>
  </conditionalFormatting>
  <conditionalFormatting sqref="AD22:AD26">
    <cfRule type="containsText" dxfId="2599" priority="7987" operator="containsText" text="C">
      <formula>NOT(ISERROR(SEARCH(("C"),(AD22))))</formula>
    </cfRule>
    <cfRule type="containsText" dxfId="2598" priority="7986" operator="containsText" text="O">
      <formula>NOT(ISERROR(SEARCH(("O"),(AD22))))</formula>
    </cfRule>
    <cfRule type="containsText" dxfId="2597" priority="7985" operator="containsText" text="L">
      <formula>NOT(ISERROR(SEARCH(("L"),(AD22))))</formula>
    </cfRule>
    <cfRule type="containsText" dxfId="2596" priority="7984" operator="containsText" text="X">
      <formula>NOT(ISERROR(SEARCH(("X"),(AD22))))</formula>
    </cfRule>
    <cfRule type="containsText" dxfId="2595" priority="7983" operator="containsText" text="K">
      <formula>NOT(ISERROR(SEARCH(("K"),(AD22))))</formula>
    </cfRule>
    <cfRule type="containsText" dxfId="2594" priority="7982" operator="containsText" text="P">
      <formula>NOT(ISERROR(SEARCH(("P"),(AD22))))</formula>
    </cfRule>
    <cfRule type="containsText" dxfId="2593" priority="7981" operator="containsText" text="C">
      <formula>NOT(ISERROR(SEARCH(("C"),(AD22))))</formula>
    </cfRule>
    <cfRule type="containsText" dxfId="2592" priority="7980" operator="containsText" text="O">
      <formula>NOT(ISERROR(SEARCH(("O"),(AD22))))</formula>
    </cfRule>
    <cfRule type="containsText" dxfId="2591" priority="7979" operator="containsText" text="N">
      <formula>NOT(ISERROR(SEARCH(("N"),(AD22))))</formula>
    </cfRule>
    <cfRule type="containsText" dxfId="2590" priority="7978" operator="containsText" text="L">
      <formula>NOT(ISERROR(SEARCH(("L"),(AD22))))</formula>
    </cfRule>
    <cfRule type="containsText" dxfId="2589" priority="8012" operator="containsText" text="L">
      <formula>NOT(ISERROR(SEARCH(("L"),(AD22))))</formula>
    </cfRule>
    <cfRule type="containsText" dxfId="2588" priority="7976" operator="containsText" text="K">
      <formula>NOT(ISERROR(SEARCH(("K"),(AD22))))</formula>
    </cfRule>
    <cfRule type="containsText" dxfId="2587" priority="7975" operator="containsText" text="P">
      <formula>NOT(ISERROR(SEARCH(("P"),(AD22))))</formula>
    </cfRule>
    <cfRule type="containsText" dxfId="2586" priority="7974" operator="containsText" text="C">
      <formula>NOT(ISERROR(SEARCH(("C"),(AD22))))</formula>
    </cfRule>
    <cfRule type="containsText" dxfId="2585" priority="7973" operator="containsText" text="O">
      <formula>NOT(ISERROR(SEARCH(("O"),(AD22))))</formula>
    </cfRule>
    <cfRule type="containsText" dxfId="2584" priority="7972" operator="containsText" text="L">
      <formula>NOT(ISERROR(SEARCH(("L"),(AD22))))</formula>
    </cfRule>
    <cfRule type="containsText" dxfId="2583" priority="7971" operator="containsText" text="X">
      <formula>NOT(ISERROR(SEARCH(("X"),(AD22))))</formula>
    </cfRule>
    <cfRule type="containsText" dxfId="2582" priority="7970" operator="containsText" text="K">
      <formula>NOT(ISERROR(SEARCH(("K"),(AD22))))</formula>
    </cfRule>
    <cfRule type="containsText" dxfId="2581" priority="7969" operator="containsText" text="P">
      <formula>NOT(ISERROR(SEARCH(("P"),(AD22))))</formula>
    </cfRule>
    <cfRule type="containsText" dxfId="2580" priority="8008" operator="containsText" text="C">
      <formula>NOT(ISERROR(SEARCH(("C"),(AD22))))</formula>
    </cfRule>
    <cfRule type="containsText" dxfId="2579" priority="8007" operator="containsText" text="O">
      <formula>NOT(ISERROR(SEARCH(("O"),(AD22))))</formula>
    </cfRule>
    <cfRule type="containsText" dxfId="2578" priority="8013" operator="containsText" text="N">
      <formula>NOT(ISERROR(SEARCH(("N"),(AD22))))</formula>
    </cfRule>
    <cfRule type="containsText" dxfId="2577" priority="8005" operator="containsText" text="L">
      <formula>NOT(ISERROR(SEARCH(("L"),(AD22))))</formula>
    </cfRule>
    <cfRule type="containsText" dxfId="2576" priority="8004" operator="containsText" text="X">
      <formula>NOT(ISERROR(SEARCH(("X"),(AD22))))</formula>
    </cfRule>
    <cfRule type="containsText" dxfId="2575" priority="8003" operator="containsText" text="K">
      <formula>NOT(ISERROR(SEARCH(("K"),(AD22))))</formula>
    </cfRule>
    <cfRule type="containsText" dxfId="2574" priority="8002" operator="containsText" text="P">
      <formula>NOT(ISERROR(SEARCH(("P"),(AD22))))</formula>
    </cfRule>
    <cfRule type="containsText" dxfId="2573" priority="8001" operator="containsText" text="C">
      <formula>NOT(ISERROR(SEARCH(("C"),(AD22))))</formula>
    </cfRule>
    <cfRule type="containsText" dxfId="2572" priority="8000" operator="containsText" text="O">
      <formula>NOT(ISERROR(SEARCH(("O"),(AD22))))</formula>
    </cfRule>
    <cfRule type="containsText" dxfId="2571" priority="7999" operator="containsText" text="N">
      <formula>NOT(ISERROR(SEARCH(("N"),(AD22))))</formula>
    </cfRule>
    <cfRule type="containsText" dxfId="2570" priority="7998" operator="containsText" text="L">
      <formula>NOT(ISERROR(SEARCH(("L"),(AD22))))</formula>
    </cfRule>
    <cfRule type="containsText" dxfId="2569" priority="7977" operator="containsText" text="X">
      <formula>NOT(ISERROR(SEARCH(("X"),(AD22))))</formula>
    </cfRule>
    <cfRule type="containsText" dxfId="2568" priority="8006" operator="containsText" text="N">
      <formula>NOT(ISERROR(SEARCH(("N"),(AD22))))</formula>
    </cfRule>
    <cfRule type="containsText" dxfId="2567" priority="7996" operator="containsText" text="K">
      <formula>NOT(ISERROR(SEARCH(("K"),(AD22))))</formula>
    </cfRule>
    <cfRule type="containsText" dxfId="2566" priority="7995" operator="containsText" text="P">
      <formula>NOT(ISERROR(SEARCH(("P"),(AD22))))</formula>
    </cfRule>
    <cfRule type="containsText" dxfId="2565" priority="7994" operator="containsText" text="C">
      <formula>NOT(ISERROR(SEARCH(("C"),(AD22))))</formula>
    </cfRule>
    <cfRule type="containsText" dxfId="2564" priority="7993" operator="containsText" text="O">
      <formula>NOT(ISERROR(SEARCH(("O"),(AD22))))</formula>
    </cfRule>
    <cfRule type="containsText" dxfId="2563" priority="7992" operator="containsText" text="N">
      <formula>NOT(ISERROR(SEARCH(("N"),(AD22))))</formula>
    </cfRule>
    <cfRule type="containsText" dxfId="2562" priority="7991" operator="containsText" text="L">
      <formula>NOT(ISERROR(SEARCH(("L"),(AD22))))</formula>
    </cfRule>
    <cfRule type="containsText" dxfId="2561" priority="7990" operator="containsText" text="X">
      <formula>NOT(ISERROR(SEARCH(("X"),(AD22))))</formula>
    </cfRule>
    <cfRule type="containsText" dxfId="2560" priority="7989" operator="containsText" text="K">
      <formula>NOT(ISERROR(SEARCH(("K"),(AD22))))</formula>
    </cfRule>
    <cfRule type="containsText" dxfId="2559" priority="7988" operator="containsText" text="P">
      <formula>NOT(ISERROR(SEARCH(("P"),(AD22))))</formula>
    </cfRule>
    <cfRule type="containsText" dxfId="2558" priority="7997" operator="containsText" text="X">
      <formula>NOT(ISERROR(SEARCH(("X"),(AD22))))</formula>
    </cfRule>
  </conditionalFormatting>
  <conditionalFormatting sqref="AD11:AE11">
    <cfRule type="containsText" dxfId="2557" priority="5393" operator="containsText" text="X">
      <formula>NOT(ISERROR(SEARCH(("X"),(AD11))))</formula>
    </cfRule>
    <cfRule type="containsText" dxfId="2556" priority="5392" operator="containsText" text="K">
      <formula>NOT(ISERROR(SEARCH(("K"),(AD11))))</formula>
    </cfRule>
    <cfRule type="containsText" dxfId="2555" priority="5391" operator="containsText" text="P">
      <formula>NOT(ISERROR(SEARCH(("P"),(AD11))))</formula>
    </cfRule>
    <cfRule type="containsText" dxfId="2554" priority="5390" operator="containsText" text="C">
      <formula>NOT(ISERROR(SEARCH(("C"),(AD11))))</formula>
    </cfRule>
    <cfRule type="containsText" dxfId="2553" priority="5389" operator="containsText" text="O">
      <formula>NOT(ISERROR(SEARCH(("O"),(AD11))))</formula>
    </cfRule>
    <cfRule type="containsText" dxfId="2552" priority="5388" operator="containsText" text="N">
      <formula>NOT(ISERROR(SEARCH(("N"),(AD11))))</formula>
    </cfRule>
    <cfRule type="containsText" dxfId="2551" priority="5387" operator="containsText" text="L">
      <formula>NOT(ISERROR(SEARCH(("L"),(AD11))))</formula>
    </cfRule>
    <cfRule type="containsText" dxfId="2550" priority="5414" operator="containsText" text="L">
      <formula>NOT(ISERROR(SEARCH(("L"),(AD11))))</formula>
    </cfRule>
    <cfRule type="containsText" dxfId="2549" priority="5413" operator="containsText" text="X">
      <formula>NOT(ISERROR(SEARCH(("X"),(AD11))))</formula>
    </cfRule>
    <cfRule type="containsText" dxfId="2548" priority="5412" operator="containsText" text="K">
      <formula>NOT(ISERROR(SEARCH(("K"),(AD11))))</formula>
    </cfRule>
    <cfRule type="containsText" dxfId="2547" priority="5411" operator="containsText" text="P">
      <formula>NOT(ISERROR(SEARCH(("P"),(AD11))))</formula>
    </cfRule>
    <cfRule type="containsText" dxfId="2546" priority="5410" operator="containsText" text="C">
      <formula>NOT(ISERROR(SEARCH(("C"),(AD11))))</formula>
    </cfRule>
    <cfRule type="containsText" dxfId="2545" priority="5409" operator="containsText" text="O">
      <formula>NOT(ISERROR(SEARCH(("O"),(AD11))))</formula>
    </cfRule>
    <cfRule type="containsText" dxfId="2544" priority="5408" operator="containsText" text="L">
      <formula>NOT(ISERROR(SEARCH(("L"),(AD11))))</formula>
    </cfRule>
    <cfRule type="containsText" dxfId="2543" priority="5407" operator="containsText" text="X">
      <formula>NOT(ISERROR(SEARCH(("X"),(AD11))))</formula>
    </cfRule>
    <cfRule type="containsText" dxfId="2542" priority="5406" operator="containsText" text="K">
      <formula>NOT(ISERROR(SEARCH(("K"),(AD11))))</formula>
    </cfRule>
    <cfRule type="containsText" dxfId="2541" priority="5386" operator="containsText" text="X">
      <formula>NOT(ISERROR(SEARCH(("X"),(AD11))))</formula>
    </cfRule>
    <cfRule type="containsText" dxfId="2540" priority="5384" operator="containsText" text="P">
      <formula>NOT(ISERROR(SEARCH(("P"),(AD11))))</formula>
    </cfRule>
    <cfRule type="containsText" dxfId="2539" priority="5383" operator="containsText" text="C">
      <formula>NOT(ISERROR(SEARCH(("C"),(AD11))))</formula>
    </cfRule>
    <cfRule type="containsText" dxfId="2538" priority="5382" operator="containsText" text="O">
      <formula>NOT(ISERROR(SEARCH(("O"),(AD11))))</formula>
    </cfRule>
    <cfRule type="containsText" dxfId="2537" priority="5381" operator="containsText" text="N">
      <formula>NOT(ISERROR(SEARCH(("N"),(AD11))))</formula>
    </cfRule>
    <cfRule type="containsText" dxfId="2536" priority="5380" operator="containsText" text="L">
      <formula>NOT(ISERROR(SEARCH(("L"),(AD11))))</formula>
    </cfRule>
    <cfRule type="containsText" dxfId="2535" priority="5379" operator="containsText" text="X">
      <formula>NOT(ISERROR(SEARCH(("X"),(AD11))))</formula>
    </cfRule>
    <cfRule type="containsText" dxfId="2534" priority="5378" operator="containsText" text="K">
      <formula>NOT(ISERROR(SEARCH(("K"),(AD11))))</formula>
    </cfRule>
    <cfRule type="containsText" dxfId="2533" priority="5377" operator="containsText" text="P">
      <formula>NOT(ISERROR(SEARCH(("P"),(AD11))))</formula>
    </cfRule>
    <cfRule type="containsText" dxfId="2532" priority="5376" operator="containsText" text="C">
      <formula>NOT(ISERROR(SEARCH(("C"),(AD11))))</formula>
    </cfRule>
    <cfRule type="containsText" dxfId="2531" priority="5375" operator="containsText" text="O">
      <formula>NOT(ISERROR(SEARCH(("O"),(AD11))))</formula>
    </cfRule>
    <cfRule type="containsText" dxfId="2530" priority="5405" operator="containsText" text="P">
      <formula>NOT(ISERROR(SEARCH(("P"),(AD11))))</formula>
    </cfRule>
    <cfRule type="containsText" dxfId="2529" priority="5404" operator="containsText" text="C">
      <formula>NOT(ISERROR(SEARCH(("C"),(AD11))))</formula>
    </cfRule>
    <cfRule type="containsText" dxfId="2528" priority="5403" operator="containsText" text="O">
      <formula>NOT(ISERROR(SEARCH(("O"),(AD11))))</formula>
    </cfRule>
    <cfRule type="containsText" dxfId="2527" priority="5402" operator="containsText" text="N">
      <formula>NOT(ISERROR(SEARCH(("N"),(AD11))))</formula>
    </cfRule>
    <cfRule type="containsText" dxfId="2526" priority="5401" operator="containsText" text="L">
      <formula>NOT(ISERROR(SEARCH(("L"),(AD11))))</formula>
    </cfRule>
    <cfRule type="containsText" dxfId="2525" priority="5400" operator="containsText" text="X">
      <formula>NOT(ISERROR(SEARCH(("X"),(AD11))))</formula>
    </cfRule>
    <cfRule type="containsText" dxfId="2524" priority="5399" operator="containsText" text="K">
      <formula>NOT(ISERROR(SEARCH(("K"),(AD11))))</formula>
    </cfRule>
    <cfRule type="containsText" dxfId="2523" priority="5398" operator="containsText" text="P">
      <formula>NOT(ISERROR(SEARCH(("P"),(AD11))))</formula>
    </cfRule>
    <cfRule type="containsText" dxfId="2522" priority="5397" operator="containsText" text="C">
      <formula>NOT(ISERROR(SEARCH(("C"),(AD11))))</formula>
    </cfRule>
    <cfRule type="containsText" dxfId="2521" priority="5396" operator="containsText" text="O">
      <formula>NOT(ISERROR(SEARCH(("O"),(AD11))))</formula>
    </cfRule>
    <cfRule type="containsText" dxfId="2520" priority="5395" operator="containsText" text="N">
      <formula>NOT(ISERROR(SEARCH(("N"),(AD11))))</formula>
    </cfRule>
    <cfRule type="containsText" dxfId="2519" priority="5394" operator="containsText" text="L">
      <formula>NOT(ISERROR(SEARCH(("L"),(AD11))))</formula>
    </cfRule>
    <cfRule type="containsText" dxfId="2518" priority="5385" operator="containsText" text="K">
      <formula>NOT(ISERROR(SEARCH(("K"),(AD11))))</formula>
    </cfRule>
  </conditionalFormatting>
  <conditionalFormatting sqref="AD14:AE14">
    <cfRule type="containsText" dxfId="2517" priority="4623" operator="containsText" text="N">
      <formula>NOT(ISERROR(SEARCH(("N"),(AD14))))</formula>
    </cfRule>
    <cfRule type="containsText" dxfId="2516" priority="4622" operator="containsText" text="L">
      <formula>NOT(ISERROR(SEARCH(("L"),(AD14))))</formula>
    </cfRule>
    <cfRule type="containsText" dxfId="2515" priority="4621" operator="containsText" text="X">
      <formula>NOT(ISERROR(SEARCH(("X"),(AD14))))</formula>
    </cfRule>
    <cfRule type="containsText" dxfId="2514" priority="4633" operator="containsText" text="K">
      <formula>NOT(ISERROR(SEARCH(("K"),(AD14))))</formula>
    </cfRule>
    <cfRule type="containsText" dxfId="2513" priority="4632" operator="containsText" text="P">
      <formula>NOT(ISERROR(SEARCH(("P"),(AD14))))</formula>
    </cfRule>
    <cfRule type="containsText" dxfId="2512" priority="4631" operator="containsText" text="C">
      <formula>NOT(ISERROR(SEARCH(("C"),(AD14))))</formula>
    </cfRule>
    <cfRule type="containsText" dxfId="2511" priority="4613" operator="containsText" text="K">
      <formula>NOT(ISERROR(SEARCH(("K"),(AD14))))</formula>
    </cfRule>
    <cfRule type="containsText" dxfId="2510" priority="4596" operator="containsText" text="O">
      <formula>NOT(ISERROR(SEARCH(("O"),(AD14))))</formula>
    </cfRule>
    <cfRule type="containsText" dxfId="2509" priority="4630" operator="containsText" text="O">
      <formula>NOT(ISERROR(SEARCH(("O"),(AD14))))</formula>
    </cfRule>
    <cfRule type="containsText" dxfId="2508" priority="4629" operator="containsText" text="N">
      <formula>NOT(ISERROR(SEARCH(("N"),(AD14))))</formula>
    </cfRule>
    <cfRule type="containsText" dxfId="2507" priority="4624" operator="containsText" text="O">
      <formula>NOT(ISERROR(SEARCH(("O"),(AD14))))</formula>
    </cfRule>
    <cfRule type="containsText" dxfId="2506" priority="4628" operator="containsText" text="X">
      <formula>NOT(ISERROR(SEARCH(("X"),(AD14))))</formula>
    </cfRule>
    <cfRule type="containsText" dxfId="2505" priority="4627" operator="containsText" text="K">
      <formula>NOT(ISERROR(SEARCH(("K"),(AD14))))</formula>
    </cfRule>
    <cfRule type="containsText" dxfId="2504" priority="4620" operator="containsText" text="K">
      <formula>NOT(ISERROR(SEARCH(("K"),(AD14))))</formula>
    </cfRule>
    <cfRule type="containsText" dxfId="2503" priority="4619" operator="containsText" text="P">
      <formula>NOT(ISERROR(SEARCH(("P"),(AD14))))</formula>
    </cfRule>
    <cfRule type="containsText" dxfId="2502" priority="4634" operator="containsText" text="X">
      <formula>NOT(ISERROR(SEARCH(("X"),(AD14))))</formula>
    </cfRule>
    <cfRule type="containsText" dxfId="2501" priority="4618" operator="containsText" text="C">
      <formula>NOT(ISERROR(SEARCH(("C"),(AD14))))</formula>
    </cfRule>
    <cfRule type="containsText" dxfId="2500" priority="4617" operator="containsText" text="O">
      <formula>NOT(ISERROR(SEARCH(("O"),(AD14))))</formula>
    </cfRule>
    <cfRule type="containsText" dxfId="2499" priority="4616" operator="containsText" text="N">
      <formula>NOT(ISERROR(SEARCH(("N"),(AD14))))</formula>
    </cfRule>
    <cfRule type="containsText" dxfId="2498" priority="4615" operator="containsText" text="L">
      <formula>NOT(ISERROR(SEARCH(("L"),(AD14))))</formula>
    </cfRule>
    <cfRule type="containsText" dxfId="2497" priority="4614" operator="containsText" text="X">
      <formula>NOT(ISERROR(SEARCH(("X"),(AD14))))</formula>
    </cfRule>
    <cfRule type="containsText" dxfId="2496" priority="4612" operator="containsText" text="P">
      <formula>NOT(ISERROR(SEARCH(("P"),(AD14))))</formula>
    </cfRule>
    <cfRule type="containsText" dxfId="2495" priority="4611" operator="containsText" text="C">
      <formula>NOT(ISERROR(SEARCH(("C"),(AD14))))</formula>
    </cfRule>
    <cfRule type="containsText" dxfId="2494" priority="4610" operator="containsText" text="O">
      <formula>NOT(ISERROR(SEARCH(("O"),(AD14))))</formula>
    </cfRule>
    <cfRule type="containsText" dxfId="2493" priority="4609" operator="containsText" text="N">
      <formula>NOT(ISERROR(SEARCH(("N"),(AD14))))</formula>
    </cfRule>
    <cfRule type="containsText" dxfId="2492" priority="4608" operator="containsText" text="L">
      <formula>NOT(ISERROR(SEARCH(("L"),(AD14))))</formula>
    </cfRule>
    <cfRule type="containsText" dxfId="2491" priority="4607" operator="containsText" text="X">
      <formula>NOT(ISERROR(SEARCH(("X"),(AD14))))</formula>
    </cfRule>
    <cfRule type="containsText" dxfId="2490" priority="4606" operator="containsText" text="K">
      <formula>NOT(ISERROR(SEARCH(("K"),(AD14))))</formula>
    </cfRule>
    <cfRule type="containsText" dxfId="2489" priority="4605" operator="containsText" text="P">
      <formula>NOT(ISERROR(SEARCH(("P"),(AD14))))</formula>
    </cfRule>
    <cfRule type="containsText" dxfId="2488" priority="4604" operator="containsText" text="C">
      <formula>NOT(ISERROR(SEARCH(("C"),(AD14))))</formula>
    </cfRule>
    <cfRule type="containsText" dxfId="2487" priority="4603" operator="containsText" text="O">
      <formula>NOT(ISERROR(SEARCH(("O"),(AD14))))</formula>
    </cfRule>
    <cfRule type="containsText" dxfId="2486" priority="4602" operator="containsText" text="N">
      <formula>NOT(ISERROR(SEARCH(("N"),(AD14))))</formula>
    </cfRule>
    <cfRule type="containsText" dxfId="2485" priority="4601" operator="containsText" text="L">
      <formula>NOT(ISERROR(SEARCH(("L"),(AD14))))</formula>
    </cfRule>
    <cfRule type="containsText" dxfId="2484" priority="4600" operator="containsText" text="X">
      <formula>NOT(ISERROR(SEARCH(("X"),(AD14))))</formula>
    </cfRule>
    <cfRule type="containsText" dxfId="2483" priority="4599" operator="containsText" text="K">
      <formula>NOT(ISERROR(SEARCH(("K"),(AD14))))</formula>
    </cfRule>
    <cfRule type="containsText" dxfId="2482" priority="4598" operator="containsText" text="P">
      <formula>NOT(ISERROR(SEARCH(("P"),(AD14))))</formula>
    </cfRule>
    <cfRule type="containsText" dxfId="2481" priority="4597" operator="containsText" text="C">
      <formula>NOT(ISERROR(SEARCH(("C"),(AD14))))</formula>
    </cfRule>
    <cfRule type="containsText" dxfId="2480" priority="4626" operator="containsText" text="P">
      <formula>NOT(ISERROR(SEARCH(("P"),(AD14))))</formula>
    </cfRule>
    <cfRule type="containsText" dxfId="2479" priority="4625" operator="containsText" text="C">
      <formula>NOT(ISERROR(SEARCH(("C"),(AD14))))</formula>
    </cfRule>
  </conditionalFormatting>
  <conditionalFormatting sqref="AD14:AE15">
    <cfRule type="containsText" dxfId="2478" priority="4444" operator="containsText" text="N">
      <formula>NOT(ISERROR(SEARCH(("N"),(AD14))))</formula>
    </cfRule>
  </conditionalFormatting>
  <conditionalFormatting sqref="AD15:AE15">
    <cfRule type="containsText" dxfId="2477" priority="4423" operator="containsText" text="O">
      <formula>NOT(ISERROR(SEARCH(("O"),(AD15))))</formula>
    </cfRule>
    <cfRule type="containsText" dxfId="2476" priority="4411" operator="containsText" text="P">
      <formula>NOT(ISERROR(SEARCH(("P"),(AD15))))</formula>
    </cfRule>
    <cfRule type="containsText" dxfId="2475" priority="4424" operator="containsText" text="C">
      <formula>NOT(ISERROR(SEARCH(("C"),(AD15))))</formula>
    </cfRule>
    <cfRule type="containsText" dxfId="2474" priority="4451" operator="containsText" text="L">
      <formula>NOT(ISERROR(SEARCH(("L"),(AD15))))</formula>
    </cfRule>
    <cfRule type="containsText" dxfId="2473" priority="4426" operator="containsText" text="K">
      <formula>NOT(ISERROR(SEARCH(("K"),(AD15))))</formula>
    </cfRule>
    <cfRule type="containsText" dxfId="2472" priority="4412" operator="containsText" text="K">
      <formula>NOT(ISERROR(SEARCH(("K"),(AD15))))</formula>
    </cfRule>
    <cfRule type="containsText" dxfId="2471" priority="4413" operator="containsText" text="X">
      <formula>NOT(ISERROR(SEARCH(("X"),(AD15))))</formula>
    </cfRule>
    <cfRule type="containsText" dxfId="2470" priority="4410" operator="containsText" text="C">
      <formula>NOT(ISERROR(SEARCH(("C"),(AD15))))</formula>
    </cfRule>
    <cfRule type="containsText" dxfId="2469" priority="4414" operator="containsText" text="L">
      <formula>NOT(ISERROR(SEARCH(("L"),(AD15))))</formula>
    </cfRule>
    <cfRule type="containsText" dxfId="2468" priority="4409" operator="containsText" text="O">
      <formula>NOT(ISERROR(SEARCH(("O"),(AD15))))</formula>
    </cfRule>
    <cfRule type="containsText" dxfId="2467" priority="4449" operator="containsText" text="K">
      <formula>NOT(ISERROR(SEARCH(("K"),(AD15))))</formula>
    </cfRule>
    <cfRule type="containsText" dxfId="2466" priority="4427" operator="containsText" text="X">
      <formula>NOT(ISERROR(SEARCH(("X"),(AD15))))</formula>
    </cfRule>
    <cfRule type="containsText" dxfId="2465" priority="4428" operator="containsText" text="L">
      <formula>NOT(ISERROR(SEARCH(("L"),(AD15))))</formula>
    </cfRule>
    <cfRule type="containsText" dxfId="2464" priority="4429" operator="containsText" text="N">
      <formula>NOT(ISERROR(SEARCH(("N"),(AD15))))</formula>
    </cfRule>
    <cfRule type="containsText" dxfId="2463" priority="4431" operator="containsText" text="O">
      <formula>NOT(ISERROR(SEARCH(("O"),(AD15))))</formula>
    </cfRule>
    <cfRule type="containsText" dxfId="2462" priority="4432" operator="containsText" text="C">
      <formula>NOT(ISERROR(SEARCH(("C"),(AD15))))</formula>
    </cfRule>
    <cfRule type="containsText" dxfId="2461" priority="4433" operator="containsText" text="P">
      <formula>NOT(ISERROR(SEARCH(("P"),(AD15))))</formula>
    </cfRule>
    <cfRule type="containsText" dxfId="2460" priority="4434" operator="containsText" text="K">
      <formula>NOT(ISERROR(SEARCH(("K"),(AD15))))</formula>
    </cfRule>
    <cfRule type="containsText" dxfId="2459" priority="4450" operator="containsText" text="X">
      <formula>NOT(ISERROR(SEARCH(("X"),(AD15))))</formula>
    </cfRule>
    <cfRule type="containsText" dxfId="2458" priority="4452" operator="containsText" text="C">
      <formula>NOT(ISERROR(SEARCH(("C"),(AD15))))</formula>
    </cfRule>
    <cfRule type="containsText" dxfId="2457" priority="4453" operator="containsText" text="P">
      <formula>NOT(ISERROR(SEARCH(("P"),(AD15))))</formula>
    </cfRule>
    <cfRule type="containsText" dxfId="2456" priority="4454" operator="containsText" text="K">
      <formula>NOT(ISERROR(SEARCH(("K"),(AD15))))</formula>
    </cfRule>
    <cfRule type="containsText" dxfId="2455" priority="4455" operator="containsText" text="X">
      <formula>NOT(ISERROR(SEARCH(("X"),(AD15))))</formula>
    </cfRule>
    <cfRule type="containsText" dxfId="2454" priority="4415" operator="containsText" text="N">
      <formula>NOT(ISERROR(SEARCH(("N"),(AD15))))</formula>
    </cfRule>
    <cfRule type="containsText" dxfId="2453" priority="4416" operator="containsText" text="O">
      <formula>NOT(ISERROR(SEARCH(("O"),(AD15))))</formula>
    </cfRule>
    <cfRule type="containsText" dxfId="2452" priority="4417" operator="containsText" text="C">
      <formula>NOT(ISERROR(SEARCH(("C"),(AD15))))</formula>
    </cfRule>
    <cfRule type="containsText" dxfId="2451" priority="4435" operator="containsText" text="X">
      <formula>NOT(ISERROR(SEARCH(("X"),(AD15))))</formula>
    </cfRule>
    <cfRule type="containsText" dxfId="2450" priority="4436" operator="containsText" text="L">
      <formula>NOT(ISERROR(SEARCH(("L"),(AD15))))</formula>
    </cfRule>
    <cfRule type="containsText" dxfId="2449" priority="4437" operator="containsText" text="N">
      <formula>NOT(ISERROR(SEARCH(("N"),(AD15))))</formula>
    </cfRule>
    <cfRule type="containsText" dxfId="2448" priority="4438" operator="containsText" text="O">
      <formula>NOT(ISERROR(SEARCH(("O"),(AD15))))</formula>
    </cfRule>
    <cfRule type="containsText" dxfId="2447" priority="4439" operator="containsText" text="C">
      <formula>NOT(ISERROR(SEARCH(("C"),(AD15))))</formula>
    </cfRule>
    <cfRule type="containsText" dxfId="2446" priority="4440" operator="containsText" text="P">
      <formula>NOT(ISERROR(SEARCH(("P"),(AD15))))</formula>
    </cfRule>
    <cfRule type="containsText" dxfId="2445" priority="4441" operator="containsText" text="K">
      <formula>NOT(ISERROR(SEARCH(("K"),(AD15))))</formula>
    </cfRule>
    <cfRule type="containsText" dxfId="2444" priority="4442" operator="containsText" text="X">
      <formula>NOT(ISERROR(SEARCH(("X"),(AD15))))</formula>
    </cfRule>
    <cfRule type="containsText" dxfId="2443" priority="4425" operator="containsText" text="P">
      <formula>NOT(ISERROR(SEARCH(("P"),(AD15))))</formula>
    </cfRule>
    <cfRule type="containsText" dxfId="2442" priority="4418" operator="containsText" text="P">
      <formula>NOT(ISERROR(SEARCH(("P"),(AD15))))</formula>
    </cfRule>
    <cfRule type="containsText" dxfId="2441" priority="4445" operator="containsText" text="L">
      <formula>NOT(ISERROR(SEARCH(("L"),(AD15))))</formula>
    </cfRule>
    <cfRule type="containsText" dxfId="2440" priority="4446" operator="containsText" text="O">
      <formula>NOT(ISERROR(SEARCH(("O"),(AD15))))</formula>
    </cfRule>
    <cfRule type="containsText" dxfId="2439" priority="4447" operator="containsText" text="C">
      <formula>NOT(ISERROR(SEARCH(("C"),(AD15))))</formula>
    </cfRule>
    <cfRule type="containsText" dxfId="2438" priority="4448" operator="containsText" text="P">
      <formula>NOT(ISERROR(SEARCH(("P"),(AD15))))</formula>
    </cfRule>
    <cfRule type="containsText" dxfId="2437" priority="4419" operator="containsText" text="K">
      <formula>NOT(ISERROR(SEARCH(("K"),(AD15))))</formula>
    </cfRule>
    <cfRule type="containsText" dxfId="2436" priority="4420" operator="containsText" text="X">
      <formula>NOT(ISERROR(SEARCH(("X"),(AD15))))</formula>
    </cfRule>
    <cfRule type="containsText" dxfId="2435" priority="4421" operator="containsText" text="L">
      <formula>NOT(ISERROR(SEARCH(("L"),(AD15))))</formula>
    </cfRule>
    <cfRule type="containsText" dxfId="2434" priority="4422" operator="containsText" text="N">
      <formula>NOT(ISERROR(SEARCH(("N"),(AD15))))</formula>
    </cfRule>
    <cfRule type="containsText" dxfId="2433" priority="4443" operator="containsText" text="L">
      <formula>NOT(ISERROR(SEARCH(("L"),(AD15))))</formula>
    </cfRule>
  </conditionalFormatting>
  <conditionalFormatting sqref="AD15:AE16">
    <cfRule type="containsText" dxfId="2432" priority="4155" operator="containsText" text="N">
      <formula>NOT(ISERROR(SEARCH(("N"),(AD15))))</formula>
    </cfRule>
  </conditionalFormatting>
  <conditionalFormatting sqref="AD16:AE16">
    <cfRule type="containsText" dxfId="2431" priority="4129" operator="containsText" text="L">
      <formula>NOT(ISERROR(SEARCH(("L"),(AD16))))</formula>
    </cfRule>
    <cfRule type="containsText" dxfId="2430" priority="4130" operator="containsText" text="O">
      <formula>NOT(ISERROR(SEARCH(("O"),(AD16))))</formula>
    </cfRule>
    <cfRule type="containsText" dxfId="2429" priority="4131" operator="containsText" text="C">
      <formula>NOT(ISERROR(SEARCH(("C"),(AD16))))</formula>
    </cfRule>
    <cfRule type="containsText" dxfId="2428" priority="4132" operator="containsText" text="P">
      <formula>NOT(ISERROR(SEARCH(("P"),(AD16))))</formula>
    </cfRule>
    <cfRule type="containsText" dxfId="2427" priority="4133" operator="containsText" text="K">
      <formula>NOT(ISERROR(SEARCH(("K"),(AD16))))</formula>
    </cfRule>
    <cfRule type="containsText" dxfId="2426" priority="4134" operator="containsText" text="X">
      <formula>NOT(ISERROR(SEARCH(("X"),(AD16))))</formula>
    </cfRule>
    <cfRule type="containsText" dxfId="2425" priority="4135" operator="containsText" text="L">
      <formula>NOT(ISERROR(SEARCH(("L"),(AD16))))</formula>
    </cfRule>
    <cfRule type="containsText" dxfId="2424" priority="4136" operator="containsText" text="C">
      <formula>NOT(ISERROR(SEARCH(("C"),(AD16))))</formula>
    </cfRule>
    <cfRule type="containsText" dxfId="2423" priority="4137" operator="containsText" text="P">
      <formula>NOT(ISERROR(SEARCH(("P"),(AD16))))</formula>
    </cfRule>
    <cfRule type="containsText" dxfId="2422" priority="4138" operator="containsText" text="K">
      <formula>NOT(ISERROR(SEARCH(("K"),(AD16))))</formula>
    </cfRule>
    <cfRule type="containsText" dxfId="2421" priority="4139" operator="containsText" text="X">
      <formula>NOT(ISERROR(SEARCH(("X"),(AD16))))</formula>
    </cfRule>
    <cfRule type="containsText" dxfId="2420" priority="4140" operator="containsText" text="N">
      <formula>NOT(ISERROR(SEARCH(("N"),(AD16))))</formula>
    </cfRule>
    <cfRule type="containsText" dxfId="2419" priority="4141" operator="containsText" text="O">
      <formula>NOT(ISERROR(SEARCH(("O"),(AD16))))</formula>
    </cfRule>
    <cfRule type="containsText" dxfId="2418" priority="4142" operator="containsText" text="C">
      <formula>NOT(ISERROR(SEARCH(("C"),(AD16))))</formula>
    </cfRule>
    <cfRule type="containsText" dxfId="2417" priority="4143" operator="containsText" text="P">
      <formula>NOT(ISERROR(SEARCH(("P"),(AD16))))</formula>
    </cfRule>
    <cfRule type="containsText" dxfId="2416" priority="4144" operator="containsText" text="K">
      <formula>NOT(ISERROR(SEARCH(("K"),(AD16))))</formula>
    </cfRule>
    <cfRule type="containsText" dxfId="2415" priority="4145" operator="containsText" text="X">
      <formula>NOT(ISERROR(SEARCH(("X"),(AD16))))</formula>
    </cfRule>
    <cfRule type="containsText" dxfId="2414" priority="4146" operator="containsText" text="L">
      <formula>NOT(ISERROR(SEARCH(("L"),(AD16))))</formula>
    </cfRule>
    <cfRule type="containsText" dxfId="2413" priority="4149" operator="containsText" text="O">
      <formula>NOT(ISERROR(SEARCH(("O"),(AD16))))</formula>
    </cfRule>
    <cfRule type="containsText" dxfId="2412" priority="4150" operator="containsText" text="C">
      <formula>NOT(ISERROR(SEARCH(("C"),(AD16))))</formula>
    </cfRule>
    <cfRule type="containsText" dxfId="2411" priority="4151" operator="containsText" text="P">
      <formula>NOT(ISERROR(SEARCH(("P"),(AD16))))</formula>
    </cfRule>
    <cfRule type="containsText" dxfId="2410" priority="4152" operator="containsText" text="K">
      <formula>NOT(ISERROR(SEARCH(("K"),(AD16))))</formula>
    </cfRule>
    <cfRule type="containsText" dxfId="2409" priority="4153" operator="containsText" text="X">
      <formula>NOT(ISERROR(SEARCH(("X"),(AD16))))</formula>
    </cfRule>
    <cfRule type="containsText" dxfId="2408" priority="4154" operator="containsText" text="L">
      <formula>NOT(ISERROR(SEARCH(("L"),(AD16))))</formula>
    </cfRule>
    <cfRule type="containsText" dxfId="2407" priority="4156" operator="containsText" text="O">
      <formula>NOT(ISERROR(SEARCH(("O"),(AD16))))</formula>
    </cfRule>
    <cfRule type="containsText" dxfId="2406" priority="4157" operator="containsText" text="C">
      <formula>NOT(ISERROR(SEARCH(("C"),(AD16))))</formula>
    </cfRule>
    <cfRule type="containsText" dxfId="2405" priority="4158" operator="containsText" text="P">
      <formula>NOT(ISERROR(SEARCH(("P"),(AD16))))</formula>
    </cfRule>
    <cfRule type="containsText" dxfId="2404" priority="4159" operator="containsText" text="K">
      <formula>NOT(ISERROR(SEARCH(("K"),(AD16))))</formula>
    </cfRule>
    <cfRule type="containsText" dxfId="2403" priority="4160" operator="containsText" text="X">
      <formula>NOT(ISERROR(SEARCH(("X"),(AD16))))</formula>
    </cfRule>
    <cfRule type="containsText" dxfId="2402" priority="4161" operator="containsText" text="L">
      <formula>NOT(ISERROR(SEARCH(("L"),(AD16))))</formula>
    </cfRule>
    <cfRule type="containsText" dxfId="2401" priority="4102" operator="containsText" text="P">
      <formula>NOT(ISERROR(SEARCH(("P"),(AD16))))</formula>
    </cfRule>
    <cfRule type="containsText" dxfId="2400" priority="4101" operator="containsText" text="C">
      <formula>NOT(ISERROR(SEARCH(("C"),(AD16))))</formula>
    </cfRule>
    <cfRule type="containsText" dxfId="2399" priority="4100" operator="containsText" text="O">
      <formula>NOT(ISERROR(SEARCH(("O"),(AD16))))</formula>
    </cfRule>
    <cfRule type="containsText" dxfId="2398" priority="4098" operator="containsText" text="L">
      <formula>NOT(ISERROR(SEARCH(("L"),(AD16))))</formula>
    </cfRule>
    <cfRule type="containsText" dxfId="2397" priority="4097" operator="containsText" text="X">
      <formula>NOT(ISERROR(SEARCH(("X"),(AD16))))</formula>
    </cfRule>
    <cfRule type="containsText" dxfId="2396" priority="4096" operator="containsText" text="K">
      <formula>NOT(ISERROR(SEARCH(("K"),(AD16))))</formula>
    </cfRule>
    <cfRule type="containsText" dxfId="2395" priority="4095" operator="containsText" text="P">
      <formula>NOT(ISERROR(SEARCH(("P"),(AD16))))</formula>
    </cfRule>
    <cfRule type="containsText" dxfId="2394" priority="4094" operator="containsText" text="C">
      <formula>NOT(ISERROR(SEARCH(("C"),(AD16))))</formula>
    </cfRule>
    <cfRule type="containsText" dxfId="2393" priority="4093" operator="containsText" text="O">
      <formula>NOT(ISERROR(SEARCH(("O"),(AD16))))</formula>
    </cfRule>
    <cfRule type="containsText" dxfId="2392" priority="4099" operator="containsText" text="N">
      <formula>NOT(ISERROR(SEARCH(("N"),(AD16))))</formula>
    </cfRule>
    <cfRule type="containsText" dxfId="2391" priority="4103" operator="containsText" text="K">
      <formula>NOT(ISERROR(SEARCH(("K"),(AD16))))</formula>
    </cfRule>
    <cfRule type="containsText" dxfId="2390" priority="4104" operator="containsText" text="X">
      <formula>NOT(ISERROR(SEARCH(("X"),(AD16))))</formula>
    </cfRule>
    <cfRule type="containsText" dxfId="2389" priority="4105" operator="containsText" text="L">
      <formula>NOT(ISERROR(SEARCH(("L"),(AD16))))</formula>
    </cfRule>
    <cfRule type="containsText" dxfId="2388" priority="4106" operator="containsText" text="N">
      <formula>NOT(ISERROR(SEARCH(("N"),(AD16))))</formula>
    </cfRule>
    <cfRule type="containsText" dxfId="2387" priority="4107" operator="containsText" text="O">
      <formula>NOT(ISERROR(SEARCH(("O"),(AD16))))</formula>
    </cfRule>
    <cfRule type="containsText" dxfId="2386" priority="4108" operator="containsText" text="C">
      <formula>NOT(ISERROR(SEARCH(("C"),(AD16))))</formula>
    </cfRule>
    <cfRule type="containsText" dxfId="2385" priority="4109" operator="containsText" text="P">
      <formula>NOT(ISERROR(SEARCH(("P"),(AD16))))</formula>
    </cfRule>
    <cfRule type="containsText" dxfId="2384" priority="4110" operator="containsText" text="K">
      <formula>NOT(ISERROR(SEARCH(("K"),(AD16))))</formula>
    </cfRule>
    <cfRule type="containsText" dxfId="2383" priority="4111" operator="containsText" text="X">
      <formula>NOT(ISERROR(SEARCH(("X"),(AD16))))</formula>
    </cfRule>
    <cfRule type="containsText" dxfId="2382" priority="4112" operator="containsText" text="L">
      <formula>NOT(ISERROR(SEARCH(("L"),(AD16))))</formula>
    </cfRule>
    <cfRule type="containsText" dxfId="2381" priority="4113" operator="containsText" text="N">
      <formula>NOT(ISERROR(SEARCH(("N"),(AD16))))</formula>
    </cfRule>
    <cfRule type="containsText" dxfId="2380" priority="4115" operator="containsText" text="O">
      <formula>NOT(ISERROR(SEARCH(("O"),(AD16))))</formula>
    </cfRule>
    <cfRule type="containsText" dxfId="2379" priority="4116" operator="containsText" text="C">
      <formula>NOT(ISERROR(SEARCH(("C"),(AD16))))</formula>
    </cfRule>
    <cfRule type="containsText" dxfId="2378" priority="4117" operator="containsText" text="P">
      <formula>NOT(ISERROR(SEARCH(("P"),(AD16))))</formula>
    </cfRule>
    <cfRule type="containsText" dxfId="2377" priority="4118" operator="containsText" text="K">
      <formula>NOT(ISERROR(SEARCH(("K"),(AD16))))</formula>
    </cfRule>
    <cfRule type="containsText" dxfId="2376" priority="4119" operator="containsText" text="X">
      <formula>NOT(ISERROR(SEARCH(("X"),(AD16))))</formula>
    </cfRule>
    <cfRule type="containsText" dxfId="2375" priority="4120" operator="containsText" text="L">
      <formula>NOT(ISERROR(SEARCH(("L"),(AD16))))</formula>
    </cfRule>
    <cfRule type="containsText" dxfId="2374" priority="4121" operator="containsText" text="N">
      <formula>NOT(ISERROR(SEARCH(("N"),(AD16))))</formula>
    </cfRule>
    <cfRule type="containsText" dxfId="2373" priority="4122" operator="containsText" text="O">
      <formula>NOT(ISERROR(SEARCH(("O"),(AD16))))</formula>
    </cfRule>
    <cfRule type="containsText" dxfId="2372" priority="4123" operator="containsText" text="C">
      <formula>NOT(ISERROR(SEARCH(("C"),(AD16))))</formula>
    </cfRule>
    <cfRule type="containsText" dxfId="2371" priority="4124" operator="containsText" text="P">
      <formula>NOT(ISERROR(SEARCH(("P"),(AD16))))</formula>
    </cfRule>
    <cfRule type="containsText" dxfId="2370" priority="4125" operator="containsText" text="K">
      <formula>NOT(ISERROR(SEARCH(("K"),(AD16))))</formula>
    </cfRule>
    <cfRule type="containsText" dxfId="2369" priority="4126" operator="containsText" text="X">
      <formula>NOT(ISERROR(SEARCH(("X"),(AD16))))</formula>
    </cfRule>
    <cfRule type="containsText" dxfId="2368" priority="4127" operator="containsText" text="L">
      <formula>NOT(ISERROR(SEARCH(("L"),(AD16))))</formula>
    </cfRule>
    <cfRule type="containsText" dxfId="2367" priority="4128" operator="containsText" text="N">
      <formula>NOT(ISERROR(SEARCH(("N"),(AD16))))</formula>
    </cfRule>
  </conditionalFormatting>
  <conditionalFormatting sqref="AD16:AE17">
    <cfRule type="containsText" dxfId="2366" priority="3657" operator="containsText" text="N">
      <formula>NOT(ISERROR(SEARCH(("N"),(AD16))))</formula>
    </cfRule>
  </conditionalFormatting>
  <conditionalFormatting sqref="AD17:AE17">
    <cfRule type="containsText" dxfId="2365" priority="3628" operator="containsText" text="C">
      <formula>NOT(ISERROR(SEARCH(("C"),(AD17))))</formula>
    </cfRule>
    <cfRule type="containsText" dxfId="2364" priority="3613" operator="containsText" text="O">
      <formula>NOT(ISERROR(SEARCH(("O"),(AD17))))</formula>
    </cfRule>
    <cfRule type="containsText" dxfId="2363" priority="3614" operator="containsText" text="C">
      <formula>NOT(ISERROR(SEARCH(("C"),(AD17))))</formula>
    </cfRule>
    <cfRule type="containsText" dxfId="2362" priority="3615" operator="containsText" text="P">
      <formula>NOT(ISERROR(SEARCH(("P"),(AD17))))</formula>
    </cfRule>
    <cfRule type="containsText" dxfId="2361" priority="3616" operator="containsText" text="K">
      <formula>NOT(ISERROR(SEARCH(("K"),(AD17))))</formula>
    </cfRule>
    <cfRule type="containsText" dxfId="2360" priority="3617" operator="containsText" text="X">
      <formula>NOT(ISERROR(SEARCH(("X"),(AD17))))</formula>
    </cfRule>
    <cfRule type="containsText" dxfId="2359" priority="3618" operator="containsText" text="L">
      <formula>NOT(ISERROR(SEARCH(("L"),(AD17))))</formula>
    </cfRule>
    <cfRule type="containsText" dxfId="2358" priority="3619" operator="containsText" text="N">
      <formula>NOT(ISERROR(SEARCH(("N"),(AD17))))</formula>
    </cfRule>
    <cfRule type="containsText" dxfId="2357" priority="3629" operator="containsText" text="P">
      <formula>NOT(ISERROR(SEARCH(("P"),(AD17))))</formula>
    </cfRule>
    <cfRule type="containsText" dxfId="2356" priority="3630" operator="containsText" text="K">
      <formula>NOT(ISERROR(SEARCH(("K"),(AD17))))</formula>
    </cfRule>
    <cfRule type="containsText" dxfId="2355" priority="3649" operator="containsText" text="N">
      <formula>NOT(ISERROR(SEARCH(("N"),(AD17))))</formula>
    </cfRule>
    <cfRule type="containsText" dxfId="2354" priority="3658" operator="containsText" text="C">
      <formula>NOT(ISERROR(SEARCH(("C"),(AD17))))</formula>
    </cfRule>
    <cfRule type="containsText" dxfId="2353" priority="3659" operator="containsText" text="P">
      <formula>NOT(ISERROR(SEARCH(("P"),(AD17))))</formula>
    </cfRule>
    <cfRule type="containsText" dxfId="2352" priority="3660" operator="containsText" text="K">
      <formula>NOT(ISERROR(SEARCH(("K"),(AD17))))</formula>
    </cfRule>
    <cfRule type="containsText" dxfId="2351" priority="3639" operator="containsText" text="L">
      <formula>NOT(ISERROR(SEARCH(("L"),(AD17))))</formula>
    </cfRule>
    <cfRule type="containsText" dxfId="2350" priority="3648" operator="containsText" text="L">
      <formula>NOT(ISERROR(SEARCH(("L"),(AD17))))</formula>
    </cfRule>
    <cfRule type="containsText" dxfId="2349" priority="3631" operator="containsText" text="X">
      <formula>NOT(ISERROR(SEARCH(("X"),(AD17))))</formula>
    </cfRule>
    <cfRule type="containsText" dxfId="2348" priority="3640" operator="containsText" text="N">
      <formula>NOT(ISERROR(SEARCH(("N"),(AD17))))</formula>
    </cfRule>
    <cfRule type="containsText" dxfId="2347" priority="3632" operator="containsText" text="L">
      <formula>NOT(ISERROR(SEARCH(("L"),(AD17))))</formula>
    </cfRule>
    <cfRule type="containsText" dxfId="2346" priority="3633" operator="containsText" text="N">
      <formula>NOT(ISERROR(SEARCH(("N"),(AD17))))</formula>
    </cfRule>
    <cfRule type="containsText" dxfId="2345" priority="3634" operator="containsText" text="O">
      <formula>NOT(ISERROR(SEARCH(("O"),(AD17))))</formula>
    </cfRule>
    <cfRule type="containsText" dxfId="2344" priority="3635" operator="containsText" text="C">
      <formula>NOT(ISERROR(SEARCH(("C"),(AD17))))</formula>
    </cfRule>
    <cfRule type="containsText" dxfId="2343" priority="3661" operator="containsText" text="X">
      <formula>NOT(ISERROR(SEARCH(("X"),(AD17))))</formula>
    </cfRule>
    <cfRule type="containsText" dxfId="2342" priority="3662" operator="containsText" text="L">
      <formula>NOT(ISERROR(SEARCH(("L"),(AD17))))</formula>
    </cfRule>
    <cfRule type="containsText" dxfId="2341" priority="3663" operator="containsText" text="C">
      <formula>NOT(ISERROR(SEARCH(("C"),(AD17))))</formula>
    </cfRule>
    <cfRule type="containsText" dxfId="2340" priority="3664" operator="containsText" text="P">
      <formula>NOT(ISERROR(SEARCH(("P"),(AD17))))</formula>
    </cfRule>
    <cfRule type="containsText" dxfId="2339" priority="3665" operator="containsText" text="K">
      <formula>NOT(ISERROR(SEARCH(("K"),(AD17))))</formula>
    </cfRule>
    <cfRule type="containsText" dxfId="2338" priority="3666" operator="containsText" text="X">
      <formula>NOT(ISERROR(SEARCH(("X"),(AD17))))</formula>
    </cfRule>
    <cfRule type="containsText" dxfId="2337" priority="3654" operator="containsText" text="K">
      <formula>NOT(ISERROR(SEARCH(("K"),(AD17))))</formula>
    </cfRule>
    <cfRule type="containsText" dxfId="2336" priority="3647" operator="containsText" text="N">
      <formula>NOT(ISERROR(SEARCH(("N"),(AD17))))</formula>
    </cfRule>
    <cfRule type="containsText" dxfId="2335" priority="3646" operator="containsText" text="L">
      <formula>NOT(ISERROR(SEARCH(("L"),(AD17))))</formula>
    </cfRule>
    <cfRule type="containsText" dxfId="2334" priority="3645" operator="containsText" text="X">
      <formula>NOT(ISERROR(SEARCH(("X"),(AD17))))</formula>
    </cfRule>
    <cfRule type="containsText" dxfId="2333" priority="3644" operator="containsText" text="K">
      <formula>NOT(ISERROR(SEARCH(("K"),(AD17))))</formula>
    </cfRule>
    <cfRule type="containsText" dxfId="2332" priority="3643" operator="containsText" text="P">
      <formula>NOT(ISERROR(SEARCH(("P"),(AD17))))</formula>
    </cfRule>
    <cfRule type="containsText" dxfId="2331" priority="3642" operator="containsText" text="C">
      <formula>NOT(ISERROR(SEARCH(("C"),(AD17))))</formula>
    </cfRule>
    <cfRule type="containsText" dxfId="2330" priority="3641" operator="containsText" text="O">
      <formula>NOT(ISERROR(SEARCH(("O"),(AD17))))</formula>
    </cfRule>
    <cfRule type="containsText" dxfId="2329" priority="3653" operator="containsText" text="P">
      <formula>NOT(ISERROR(SEARCH(("P"),(AD17))))</formula>
    </cfRule>
    <cfRule type="containsText" dxfId="2328" priority="3652" operator="containsText" text="C">
      <formula>NOT(ISERROR(SEARCH(("C"),(AD17))))</formula>
    </cfRule>
    <cfRule type="containsText" dxfId="2327" priority="3636" operator="containsText" text="P">
      <formula>NOT(ISERROR(SEARCH(("P"),(AD17))))</formula>
    </cfRule>
    <cfRule type="containsText" dxfId="2326" priority="3637" operator="containsText" text="K">
      <formula>NOT(ISERROR(SEARCH(("K"),(AD17))))</formula>
    </cfRule>
    <cfRule type="containsText" dxfId="2325" priority="3638" operator="containsText" text="X">
      <formula>NOT(ISERROR(SEARCH(("X"),(AD17))))</formula>
    </cfRule>
    <cfRule type="containsText" dxfId="2324" priority="3651" operator="containsText" text="O">
      <formula>NOT(ISERROR(SEARCH(("O"),(AD17))))</formula>
    </cfRule>
    <cfRule type="containsText" dxfId="2323" priority="3650" operator="containsText" text="L">
      <formula>NOT(ISERROR(SEARCH(("L"),(AD17))))</formula>
    </cfRule>
    <cfRule type="containsText" dxfId="2322" priority="3655" operator="containsText" text="X">
      <formula>NOT(ISERROR(SEARCH(("X"),(AD17))))</formula>
    </cfRule>
    <cfRule type="containsText" dxfId="2321" priority="3656" operator="containsText" text="L">
      <formula>NOT(ISERROR(SEARCH(("L"),(AD17))))</formula>
    </cfRule>
    <cfRule type="containsText" dxfId="2320" priority="3620" operator="containsText" text="O">
      <formula>NOT(ISERROR(SEARCH(("O"),(AD17))))</formula>
    </cfRule>
    <cfRule type="containsText" dxfId="2319" priority="3621" operator="containsText" text="C">
      <formula>NOT(ISERROR(SEARCH(("C"),(AD17))))</formula>
    </cfRule>
    <cfRule type="containsText" dxfId="2318" priority="3622" operator="containsText" text="P">
      <formula>NOT(ISERROR(SEARCH(("P"),(AD17))))</formula>
    </cfRule>
    <cfRule type="containsText" dxfId="2317" priority="3623" operator="containsText" text="K">
      <formula>NOT(ISERROR(SEARCH(("K"),(AD17))))</formula>
    </cfRule>
    <cfRule type="containsText" dxfId="2316" priority="3624" operator="containsText" text="X">
      <formula>NOT(ISERROR(SEARCH(("X"),(AD17))))</formula>
    </cfRule>
    <cfRule type="containsText" dxfId="2315" priority="3625" operator="containsText" text="L">
      <formula>NOT(ISERROR(SEARCH(("L"),(AD17))))</formula>
    </cfRule>
    <cfRule type="containsText" dxfId="2314" priority="3626" operator="containsText" text="N">
      <formula>NOT(ISERROR(SEARCH(("N"),(AD17))))</formula>
    </cfRule>
    <cfRule type="containsText" dxfId="2313" priority="3627" operator="containsText" text="O">
      <formula>NOT(ISERROR(SEARCH(("O"),(AD17))))</formula>
    </cfRule>
  </conditionalFormatting>
  <conditionalFormatting sqref="AD17:AE18">
    <cfRule type="containsText" dxfId="2312" priority="3213" operator="containsText" text="N">
      <formula>NOT(ISERROR(SEARCH(("N"),(AD17))))</formula>
    </cfRule>
  </conditionalFormatting>
  <conditionalFormatting sqref="AD18:AE18">
    <cfRule type="containsText" dxfId="2311" priority="3186" operator="containsText" text="C">
      <formula>NOT(ISERROR(SEARCH(("C"),(AD18))))</formula>
    </cfRule>
    <cfRule type="containsText" dxfId="2310" priority="3187" operator="containsText" text="P">
      <formula>NOT(ISERROR(SEARCH(("P"),(AD18))))</formula>
    </cfRule>
    <cfRule type="containsText" dxfId="2309" priority="3188" operator="containsText" text="K">
      <formula>NOT(ISERROR(SEARCH(("K"),(AD18))))</formula>
    </cfRule>
    <cfRule type="containsText" dxfId="2308" priority="3189" operator="containsText" text="X">
      <formula>NOT(ISERROR(SEARCH(("X"),(AD18))))</formula>
    </cfRule>
    <cfRule type="containsText" dxfId="2307" priority="3190" operator="containsText" text="L">
      <formula>NOT(ISERROR(SEARCH(("L"),(AD18))))</formula>
    </cfRule>
    <cfRule type="containsText" dxfId="2306" priority="3191" operator="containsText" text="N">
      <formula>NOT(ISERROR(SEARCH(("N"),(AD18))))</formula>
    </cfRule>
    <cfRule type="containsText" dxfId="2305" priority="3192" operator="containsText" text="O">
      <formula>NOT(ISERROR(SEARCH(("O"),(AD18))))</formula>
    </cfRule>
    <cfRule type="containsText" dxfId="2304" priority="3193" operator="containsText" text="C">
      <formula>NOT(ISERROR(SEARCH(("C"),(AD18))))</formula>
    </cfRule>
    <cfRule type="containsText" dxfId="2303" priority="3194" operator="containsText" text="P">
      <formula>NOT(ISERROR(SEARCH(("P"),(AD18))))</formula>
    </cfRule>
    <cfRule type="containsText" dxfId="2302" priority="3195" operator="containsText" text="K">
      <formula>NOT(ISERROR(SEARCH(("K"),(AD18))))</formula>
    </cfRule>
    <cfRule type="containsText" dxfId="2301" priority="3196" operator="containsText" text="X">
      <formula>NOT(ISERROR(SEARCH(("X"),(AD18))))</formula>
    </cfRule>
    <cfRule type="containsText" dxfId="2300" priority="3197" operator="containsText" text="L">
      <formula>NOT(ISERROR(SEARCH(("L"),(AD18))))</formula>
    </cfRule>
    <cfRule type="containsText" dxfId="2299" priority="3198" operator="containsText" text="N">
      <formula>NOT(ISERROR(SEARCH(("N"),(AD18))))</formula>
    </cfRule>
    <cfRule type="containsText" dxfId="2298" priority="3200" operator="containsText" text="O">
      <formula>NOT(ISERROR(SEARCH(("O"),(AD18))))</formula>
    </cfRule>
    <cfRule type="containsText" dxfId="2297" priority="3201" operator="containsText" text="C">
      <formula>NOT(ISERROR(SEARCH(("C"),(AD18))))</formula>
    </cfRule>
    <cfRule type="containsText" dxfId="2296" priority="3220" operator="containsText" text="L">
      <formula>NOT(ISERROR(SEARCH(("L"),(AD18))))</formula>
    </cfRule>
    <cfRule type="containsText" dxfId="2295" priority="3221" operator="containsText" text="C">
      <formula>NOT(ISERROR(SEARCH(("C"),(AD18))))</formula>
    </cfRule>
    <cfRule type="containsText" dxfId="2294" priority="3222" operator="containsText" text="P">
      <formula>NOT(ISERROR(SEARCH(("P"),(AD18))))</formula>
    </cfRule>
    <cfRule type="containsText" dxfId="2293" priority="3224" operator="containsText" text="X">
      <formula>NOT(ISERROR(SEARCH(("X"),(AD18))))</formula>
    </cfRule>
    <cfRule type="containsText" dxfId="2292" priority="3182" operator="containsText" text="X">
      <formula>NOT(ISERROR(SEARCH(("X"),(AD18))))</formula>
    </cfRule>
    <cfRule type="containsText" dxfId="2291" priority="3223" operator="containsText" text="K">
      <formula>NOT(ISERROR(SEARCH(("K"),(AD18))))</formula>
    </cfRule>
    <cfRule type="containsText" dxfId="2290" priority="3203" operator="containsText" text="K">
      <formula>NOT(ISERROR(SEARCH(("K"),(AD18))))</formula>
    </cfRule>
    <cfRule type="containsText" dxfId="2289" priority="3219" operator="containsText" text="X">
      <formula>NOT(ISERROR(SEARCH(("X"),(AD18))))</formula>
    </cfRule>
    <cfRule type="containsText" dxfId="2288" priority="3218" operator="containsText" text="K">
      <formula>NOT(ISERROR(SEARCH(("K"),(AD18))))</formula>
    </cfRule>
    <cfRule type="containsText" dxfId="2287" priority="3217" operator="containsText" text="P">
      <formula>NOT(ISERROR(SEARCH(("P"),(AD18))))</formula>
    </cfRule>
    <cfRule type="containsText" dxfId="2286" priority="3216" operator="containsText" text="C">
      <formula>NOT(ISERROR(SEARCH(("C"),(AD18))))</formula>
    </cfRule>
    <cfRule type="containsText" dxfId="2285" priority="3215" operator="containsText" text="O">
      <formula>NOT(ISERROR(SEARCH(("O"),(AD18))))</formula>
    </cfRule>
    <cfRule type="containsText" dxfId="2284" priority="3214" operator="containsText" text="L">
      <formula>NOT(ISERROR(SEARCH(("L"),(AD18))))</formula>
    </cfRule>
    <cfRule type="containsText" dxfId="2283" priority="3212" operator="containsText" text="L">
      <formula>NOT(ISERROR(SEARCH(("L"),(AD18))))</formula>
    </cfRule>
    <cfRule type="containsText" dxfId="2282" priority="3211" operator="containsText" text="X">
      <formula>NOT(ISERROR(SEARCH(("X"),(AD18))))</formula>
    </cfRule>
    <cfRule type="containsText" dxfId="2281" priority="3210" operator="containsText" text="K">
      <formula>NOT(ISERROR(SEARCH(("K"),(AD18))))</formula>
    </cfRule>
    <cfRule type="containsText" dxfId="2280" priority="3209" operator="containsText" text="P">
      <formula>NOT(ISERROR(SEARCH(("P"),(AD18))))</formula>
    </cfRule>
    <cfRule type="containsText" dxfId="2279" priority="3208" operator="containsText" text="C">
      <formula>NOT(ISERROR(SEARCH(("C"),(AD18))))</formula>
    </cfRule>
    <cfRule type="containsText" dxfId="2278" priority="3207" operator="containsText" text="O">
      <formula>NOT(ISERROR(SEARCH(("O"),(AD18))))</formula>
    </cfRule>
    <cfRule type="containsText" dxfId="2277" priority="3206" operator="containsText" text="N">
      <formula>NOT(ISERROR(SEARCH(("N"),(AD18))))</formula>
    </cfRule>
    <cfRule type="containsText" dxfId="2276" priority="3205" operator="containsText" text="L">
      <formula>NOT(ISERROR(SEARCH(("L"),(AD18))))</formula>
    </cfRule>
    <cfRule type="containsText" dxfId="2275" priority="3204" operator="containsText" text="X">
      <formula>NOT(ISERROR(SEARCH(("X"),(AD18))))</formula>
    </cfRule>
    <cfRule type="containsText" dxfId="2274" priority="3202" operator="containsText" text="P">
      <formula>NOT(ISERROR(SEARCH(("P"),(AD18))))</formula>
    </cfRule>
    <cfRule type="containsText" dxfId="2273" priority="3177" operator="containsText" text="N">
      <formula>NOT(ISERROR(SEARCH(("N"),(AD18))))</formula>
    </cfRule>
    <cfRule type="containsText" dxfId="2272" priority="3178" operator="containsText" text="O">
      <formula>NOT(ISERROR(SEARCH(("O"),(AD18))))</formula>
    </cfRule>
    <cfRule type="containsText" dxfId="2271" priority="3179" operator="containsText" text="C">
      <formula>NOT(ISERROR(SEARCH(("C"),(AD18))))</formula>
    </cfRule>
    <cfRule type="containsText" dxfId="2270" priority="3180" operator="containsText" text="P">
      <formula>NOT(ISERROR(SEARCH(("P"),(AD18))))</formula>
    </cfRule>
    <cfRule type="containsText" dxfId="2269" priority="3181" operator="containsText" text="K">
      <formula>NOT(ISERROR(SEARCH(("K"),(AD18))))</formula>
    </cfRule>
    <cfRule type="containsText" dxfId="2268" priority="3183" operator="containsText" text="L">
      <formula>NOT(ISERROR(SEARCH(("L"),(AD18))))</formula>
    </cfRule>
    <cfRule type="containsText" dxfId="2267" priority="3184" operator="containsText" text="N">
      <formula>NOT(ISERROR(SEARCH(("N"),(AD18))))</formula>
    </cfRule>
    <cfRule type="containsText" dxfId="2266" priority="3185" operator="containsText" text="O">
      <formula>NOT(ISERROR(SEARCH(("O"),(AD18))))</formula>
    </cfRule>
  </conditionalFormatting>
  <conditionalFormatting sqref="AD19:AE19">
    <cfRule type="containsText" dxfId="2265" priority="2751" operator="containsText" text="O">
      <formula>NOT(ISERROR(SEARCH(("O"),(AD19))))</formula>
    </cfRule>
    <cfRule type="containsText" dxfId="2264" priority="2772" operator="containsText" text="C">
      <formula>NOT(ISERROR(SEARCH(("C"),(AD19))))</formula>
    </cfRule>
    <cfRule type="containsText" dxfId="2263" priority="2728" operator="containsText" text="N">
      <formula>NOT(ISERROR(SEARCH(("N"),(AD19))))</formula>
    </cfRule>
    <cfRule type="containsText" dxfId="2262" priority="2729" operator="containsText" text="O">
      <formula>NOT(ISERROR(SEARCH(("O"),(AD19))))</formula>
    </cfRule>
    <cfRule type="containsText" dxfId="2261" priority="2730" operator="containsText" text="C">
      <formula>NOT(ISERROR(SEARCH(("C"),(AD19))))</formula>
    </cfRule>
    <cfRule type="containsText" dxfId="2260" priority="2731" operator="containsText" text="P">
      <formula>NOT(ISERROR(SEARCH(("P"),(AD19))))</formula>
    </cfRule>
    <cfRule type="containsText" dxfId="2259" priority="2732" operator="containsText" text="K">
      <formula>NOT(ISERROR(SEARCH(("K"),(AD19))))</formula>
    </cfRule>
    <cfRule type="containsText" dxfId="2258" priority="2733" operator="containsText" text="X">
      <formula>NOT(ISERROR(SEARCH(("X"),(AD19))))</formula>
    </cfRule>
    <cfRule type="containsText" dxfId="2257" priority="2734" operator="containsText" text="L">
      <formula>NOT(ISERROR(SEARCH(("L"),(AD19))))</formula>
    </cfRule>
    <cfRule type="containsText" dxfId="2256" priority="2735" operator="containsText" text="N">
      <formula>NOT(ISERROR(SEARCH(("N"),(AD19))))</formula>
    </cfRule>
    <cfRule type="containsText" dxfId="2255" priority="2736" operator="containsText" text="O">
      <formula>NOT(ISERROR(SEARCH(("O"),(AD19))))</formula>
    </cfRule>
    <cfRule type="containsText" dxfId="2254" priority="2738" operator="containsText" text="P">
      <formula>NOT(ISERROR(SEARCH(("P"),(AD19))))</formula>
    </cfRule>
    <cfRule type="containsText" dxfId="2253" priority="2739" operator="containsText" text="K">
      <formula>NOT(ISERROR(SEARCH(("K"),(AD19))))</formula>
    </cfRule>
    <cfRule type="containsText" dxfId="2252" priority="2740" operator="containsText" text="X">
      <formula>NOT(ISERROR(SEARCH(("X"),(AD19))))</formula>
    </cfRule>
    <cfRule type="containsText" dxfId="2251" priority="2741" operator="containsText" text="L">
      <formula>NOT(ISERROR(SEARCH(("L"),(AD19))))</formula>
    </cfRule>
    <cfRule type="containsText" dxfId="2250" priority="2752" operator="containsText" text="C">
      <formula>NOT(ISERROR(SEARCH(("C"),(AD19))))</formula>
    </cfRule>
    <cfRule type="containsText" dxfId="2249" priority="2773" operator="containsText" text="P">
      <formula>NOT(ISERROR(SEARCH(("P"),(AD19))))</formula>
    </cfRule>
    <cfRule type="containsText" dxfId="2248" priority="2750" operator="containsText" text="N">
      <formula>NOT(ISERROR(SEARCH(("N"),(AD19))))</formula>
    </cfRule>
    <cfRule type="containsText" dxfId="2247" priority="2749" operator="containsText" text="N">
      <formula>NOT(ISERROR(SEARCH(("N"),(AD19))))</formula>
    </cfRule>
    <cfRule type="containsText" dxfId="2246" priority="2760" operator="containsText" text="P">
      <formula>NOT(ISERROR(SEARCH(("P"),(AD19))))</formula>
    </cfRule>
    <cfRule type="containsText" dxfId="2245" priority="2761" operator="containsText" text="K">
      <formula>NOT(ISERROR(SEARCH(("K"),(AD19))))</formula>
    </cfRule>
    <cfRule type="containsText" dxfId="2244" priority="2762" operator="containsText" text="X">
      <formula>NOT(ISERROR(SEARCH(("X"),(AD19))))</formula>
    </cfRule>
    <cfRule type="containsText" dxfId="2243" priority="2763" operator="containsText" text="L">
      <formula>NOT(ISERROR(SEARCH(("L"),(AD19))))</formula>
    </cfRule>
    <cfRule type="containsText" dxfId="2242" priority="2742" operator="containsText" text="N">
      <formula>NOT(ISERROR(SEARCH(("N"),(AD19))))</formula>
    </cfRule>
    <cfRule type="containsText" dxfId="2241" priority="2764" operator="containsText" text="N">
      <formula>NOT(ISERROR(SEARCH(("N"),(AD19))))</formula>
    </cfRule>
    <cfRule type="containsText" dxfId="2240" priority="2765" operator="containsText" text="L">
      <formula>NOT(ISERROR(SEARCH(("L"),(AD19))))</formula>
    </cfRule>
    <cfRule type="containsText" dxfId="2239" priority="2766" operator="containsText" text="O">
      <formula>NOT(ISERROR(SEARCH(("O"),(AD19))))</formula>
    </cfRule>
    <cfRule type="containsText" dxfId="2238" priority="2767" operator="containsText" text="C">
      <formula>NOT(ISERROR(SEARCH(("C"),(AD19))))</formula>
    </cfRule>
    <cfRule type="containsText" dxfId="2237" priority="2768" operator="containsText" text="P">
      <formula>NOT(ISERROR(SEARCH(("P"),(AD19))))</formula>
    </cfRule>
    <cfRule type="containsText" dxfId="2236" priority="2737" operator="containsText" text="C">
      <formula>NOT(ISERROR(SEARCH(("C"),(AD19))))</formula>
    </cfRule>
    <cfRule type="containsText" dxfId="2235" priority="2769" operator="containsText" text="K">
      <formula>NOT(ISERROR(SEARCH(("K"),(AD19))))</formula>
    </cfRule>
    <cfRule type="containsText" dxfId="2234" priority="2770" operator="containsText" text="X">
      <formula>NOT(ISERROR(SEARCH(("X"),(AD19))))</formula>
    </cfRule>
    <cfRule type="containsText" dxfId="2233" priority="2771" operator="containsText" text="L">
      <formula>NOT(ISERROR(SEARCH(("L"),(AD19))))</formula>
    </cfRule>
    <cfRule type="containsText" dxfId="2232" priority="2759" operator="containsText" text="C">
      <formula>NOT(ISERROR(SEARCH(("C"),(AD19))))</formula>
    </cfRule>
    <cfRule type="containsText" dxfId="2231" priority="2775" operator="containsText" text="X">
      <formula>NOT(ISERROR(SEARCH(("X"),(AD19))))</formula>
    </cfRule>
    <cfRule type="containsText" dxfId="2230" priority="2774" operator="containsText" text="K">
      <formula>NOT(ISERROR(SEARCH(("K"),(AD19))))</formula>
    </cfRule>
    <cfRule type="containsText" dxfId="2229" priority="2758" operator="containsText" text="O">
      <formula>NOT(ISERROR(SEARCH(("O"),(AD19))))</formula>
    </cfRule>
    <cfRule type="containsText" dxfId="2228" priority="2757" operator="containsText" text="N">
      <formula>NOT(ISERROR(SEARCH(("N"),(AD19))))</formula>
    </cfRule>
    <cfRule type="containsText" dxfId="2227" priority="2756" operator="containsText" text="L">
      <formula>NOT(ISERROR(SEARCH(("L"),(AD19))))</formula>
    </cfRule>
    <cfRule type="containsText" dxfId="2226" priority="2755" operator="containsText" text="X">
      <formula>NOT(ISERROR(SEARCH(("X"),(AD19))))</formula>
    </cfRule>
    <cfRule type="containsText" dxfId="2225" priority="2748" operator="containsText" text="L">
      <formula>NOT(ISERROR(SEARCH(("L"),(AD19))))</formula>
    </cfRule>
    <cfRule type="containsText" dxfId="2224" priority="2747" operator="containsText" text="X">
      <formula>NOT(ISERROR(SEARCH(("X"),(AD19))))</formula>
    </cfRule>
    <cfRule type="containsText" dxfId="2223" priority="2746" operator="containsText" text="K">
      <formula>NOT(ISERROR(SEARCH(("K"),(AD19))))</formula>
    </cfRule>
    <cfRule type="containsText" dxfId="2222" priority="2754" operator="containsText" text="K">
      <formula>NOT(ISERROR(SEARCH(("K"),(AD19))))</formula>
    </cfRule>
    <cfRule type="containsText" dxfId="2221" priority="2745" operator="containsText" text="P">
      <formula>NOT(ISERROR(SEARCH(("P"),(AD19))))</formula>
    </cfRule>
    <cfRule type="containsText" dxfId="2220" priority="2744" operator="containsText" text="C">
      <formula>NOT(ISERROR(SEARCH(("C"),(AD19))))</formula>
    </cfRule>
    <cfRule type="containsText" dxfId="2219" priority="2743" operator="containsText" text="O">
      <formula>NOT(ISERROR(SEARCH(("O"),(AD19))))</formula>
    </cfRule>
    <cfRule type="containsText" dxfId="2218" priority="2753" operator="containsText" text="P">
      <formula>NOT(ISERROR(SEARCH(("P"),(AD19))))</formula>
    </cfRule>
  </conditionalFormatting>
  <conditionalFormatting sqref="AD20:AE20">
    <cfRule type="containsText" dxfId="2217" priority="2354" operator="containsText" text="L">
      <formula>NOT(ISERROR(SEARCH(("L"),(AD20))))</formula>
    </cfRule>
    <cfRule type="containsText" dxfId="2216" priority="2353" operator="containsText" text="X">
      <formula>NOT(ISERROR(SEARCH(("X"),(AD20))))</formula>
    </cfRule>
    <cfRule type="containsText" dxfId="2215" priority="2352" operator="containsText" text="K">
      <formula>NOT(ISERROR(SEARCH(("K"),(AD20))))</formula>
    </cfRule>
    <cfRule type="containsText" dxfId="2214" priority="2351" operator="containsText" text="P">
      <formula>NOT(ISERROR(SEARCH(("P"),(AD20))))</formula>
    </cfRule>
    <cfRule type="containsText" dxfId="2213" priority="2350" operator="containsText" text="C">
      <formula>NOT(ISERROR(SEARCH(("C"),(AD20))))</formula>
    </cfRule>
    <cfRule type="containsText" dxfId="2212" priority="2349" operator="containsText" text="O">
      <formula>NOT(ISERROR(SEARCH(("O"),(AD20))))</formula>
    </cfRule>
    <cfRule type="containsText" dxfId="2211" priority="2348" operator="containsText" text="N">
      <formula>NOT(ISERROR(SEARCH(("N"),(AD20))))</formula>
    </cfRule>
    <cfRule type="containsText" dxfId="2210" priority="2347" operator="containsText" text="L">
      <formula>NOT(ISERROR(SEARCH(("L"),(AD20))))</formula>
    </cfRule>
    <cfRule type="containsText" dxfId="2209" priority="2346" operator="containsText" text="X">
      <formula>NOT(ISERROR(SEARCH(("X"),(AD20))))</formula>
    </cfRule>
    <cfRule type="containsText" dxfId="2208" priority="2345" operator="containsText" text="K">
      <formula>NOT(ISERROR(SEARCH(("K"),(AD20))))</formula>
    </cfRule>
    <cfRule type="containsText" dxfId="2207" priority="2344" operator="containsText" text="P">
      <formula>NOT(ISERROR(SEARCH(("P"),(AD20))))</formula>
    </cfRule>
    <cfRule type="containsText" dxfId="2206" priority="2343" operator="containsText" text="C">
      <formula>NOT(ISERROR(SEARCH(("C"),(AD20))))</formula>
    </cfRule>
    <cfRule type="containsText" dxfId="2205" priority="2342" operator="containsText" text="O">
      <formula>NOT(ISERROR(SEARCH(("O"),(AD20))))</formula>
    </cfRule>
    <cfRule type="containsText" dxfId="2204" priority="2341" operator="containsText" text="N">
      <formula>NOT(ISERROR(SEARCH(("N"),(AD20))))</formula>
    </cfRule>
    <cfRule type="containsText" dxfId="2203" priority="2339" operator="containsText" text="X">
      <formula>NOT(ISERROR(SEARCH(("X"),(AD20))))</formula>
    </cfRule>
    <cfRule type="containsText" dxfId="2202" priority="2338" operator="containsText" text="K">
      <formula>NOT(ISERROR(SEARCH(("K"),(AD20))))</formula>
    </cfRule>
    <cfRule type="containsText" dxfId="2201" priority="2337" operator="containsText" text="P">
      <formula>NOT(ISERROR(SEARCH(("P"),(AD20))))</formula>
    </cfRule>
    <cfRule type="containsText" dxfId="2200" priority="2311" operator="containsText" text="O">
      <formula>NOT(ISERROR(SEARCH(("O"),(AD20))))</formula>
    </cfRule>
    <cfRule type="containsText" dxfId="2199" priority="2312" operator="containsText" text="C">
      <formula>NOT(ISERROR(SEARCH(("C"),(AD20))))</formula>
    </cfRule>
    <cfRule type="containsText" dxfId="2198" priority="2313" operator="containsText" text="P">
      <formula>NOT(ISERROR(SEARCH(("P"),(AD20))))</formula>
    </cfRule>
    <cfRule type="containsText" dxfId="2197" priority="2314" operator="containsText" text="K">
      <formula>NOT(ISERROR(SEARCH(("K"),(AD20))))</formula>
    </cfRule>
    <cfRule type="containsText" dxfId="2196" priority="2315" operator="containsText" text="X">
      <formula>NOT(ISERROR(SEARCH(("X"),(AD20))))</formula>
    </cfRule>
    <cfRule type="containsText" dxfId="2195" priority="2316" operator="containsText" text="L">
      <formula>NOT(ISERROR(SEARCH(("L"),(AD20))))</formula>
    </cfRule>
    <cfRule type="containsText" dxfId="2194" priority="2317" operator="containsText" text="N">
      <formula>NOT(ISERROR(SEARCH(("N"),(AD20))))</formula>
    </cfRule>
    <cfRule type="containsText" dxfId="2193" priority="2318" operator="containsText" text="L">
      <formula>NOT(ISERROR(SEARCH(("L"),(AD20))))</formula>
    </cfRule>
    <cfRule type="containsText" dxfId="2192" priority="2319" operator="containsText" text="N">
      <formula>NOT(ISERROR(SEARCH(("N"),(AD20))))</formula>
    </cfRule>
    <cfRule type="containsText" dxfId="2191" priority="2320" operator="containsText" text="L">
      <formula>NOT(ISERROR(SEARCH(("L"),(AD20))))</formula>
    </cfRule>
    <cfRule type="containsText" dxfId="2190" priority="2321" operator="containsText" text="O">
      <formula>NOT(ISERROR(SEARCH(("O"),(AD20))))</formula>
    </cfRule>
    <cfRule type="containsText" dxfId="2189" priority="2322" operator="containsText" text="C">
      <formula>NOT(ISERROR(SEARCH(("C"),(AD20))))</formula>
    </cfRule>
    <cfRule type="containsText" dxfId="2188" priority="2323" operator="containsText" text="P">
      <formula>NOT(ISERROR(SEARCH(("P"),(AD20))))</formula>
    </cfRule>
    <cfRule type="containsText" dxfId="2187" priority="2324" operator="containsText" text="K">
      <formula>NOT(ISERROR(SEARCH(("K"),(AD20))))</formula>
    </cfRule>
    <cfRule type="containsText" dxfId="2186" priority="2325" operator="containsText" text="X">
      <formula>NOT(ISERROR(SEARCH(("X"),(AD20))))</formula>
    </cfRule>
    <cfRule type="containsText" dxfId="2185" priority="2326" operator="containsText" text="L">
      <formula>NOT(ISERROR(SEARCH(("L"),(AD20))))</formula>
    </cfRule>
    <cfRule type="containsText" dxfId="2184" priority="2327" operator="containsText" text="N">
      <formula>NOT(ISERROR(SEARCH(("N"),(AD20))))</formula>
    </cfRule>
    <cfRule type="containsText" dxfId="2183" priority="2328" operator="containsText" text="O">
      <formula>NOT(ISERROR(SEARCH(("O"),(AD20))))</formula>
    </cfRule>
    <cfRule type="containsText" dxfId="2182" priority="2329" operator="containsText" text="C">
      <formula>NOT(ISERROR(SEARCH(("C"),(AD20))))</formula>
    </cfRule>
    <cfRule type="containsText" dxfId="2181" priority="2330" operator="containsText" text="P">
      <formula>NOT(ISERROR(SEARCH(("P"),(AD20))))</formula>
    </cfRule>
    <cfRule type="containsText" dxfId="2180" priority="2365" operator="containsText" text="N">
      <formula>NOT(ISERROR(SEARCH(("N"),(AD20))))</formula>
    </cfRule>
    <cfRule type="containsText" dxfId="2179" priority="2332" operator="containsText" text="X">
      <formula>NOT(ISERROR(SEARCH(("X"),(AD20))))</formula>
    </cfRule>
    <cfRule type="containsText" dxfId="2178" priority="2333" operator="containsText" text="L">
      <formula>NOT(ISERROR(SEARCH(("L"),(AD20))))</formula>
    </cfRule>
    <cfRule type="containsText" dxfId="2177" priority="2334" operator="containsText" text="N">
      <formula>NOT(ISERROR(SEARCH(("N"),(AD20))))</formula>
    </cfRule>
    <cfRule type="containsText" dxfId="2176" priority="2335" operator="containsText" text="O">
      <formula>NOT(ISERROR(SEARCH(("O"),(AD20))))</formula>
    </cfRule>
    <cfRule type="containsText" dxfId="2175" priority="2336" operator="containsText" text="C">
      <formula>NOT(ISERROR(SEARCH(("C"),(AD20))))</formula>
    </cfRule>
    <cfRule type="containsText" dxfId="2174" priority="2360" operator="containsText" text="C">
      <formula>NOT(ISERROR(SEARCH(("C"),(AD20))))</formula>
    </cfRule>
    <cfRule type="containsText" dxfId="2173" priority="2280" operator="containsText" text="N">
      <formula>NOT(ISERROR(SEARCH(("N"),(AD20))))</formula>
    </cfRule>
    <cfRule type="containsText" dxfId="2172" priority="2281" operator="containsText" text="N">
      <formula>NOT(ISERROR(SEARCH(("N"),(AD20))))</formula>
    </cfRule>
    <cfRule type="containsText" dxfId="2171" priority="2282" operator="containsText" text="N">
      <formula>NOT(ISERROR(SEARCH(("N"),(AD20))))</formula>
    </cfRule>
    <cfRule type="containsText" dxfId="2170" priority="2283" operator="containsText" text="O">
      <formula>NOT(ISERROR(SEARCH(("O"),(AD20))))</formula>
    </cfRule>
    <cfRule type="containsText" dxfId="2169" priority="2363" operator="containsText" text="X">
      <formula>NOT(ISERROR(SEARCH(("X"),(AD20))))</formula>
    </cfRule>
    <cfRule type="containsText" dxfId="2168" priority="2362" operator="containsText" text="K">
      <formula>NOT(ISERROR(SEARCH(("K"),(AD20))))</formula>
    </cfRule>
    <cfRule type="containsText" dxfId="2167" priority="2361" operator="containsText" text="P">
      <formula>NOT(ISERROR(SEARCH(("P"),(AD20))))</formula>
    </cfRule>
    <cfRule type="containsText" dxfId="2166" priority="2371" operator="containsText" text="L">
      <formula>NOT(ISERROR(SEARCH(("L"),(AD20))))</formula>
    </cfRule>
    <cfRule type="containsText" dxfId="2165" priority="2359" operator="containsText" text="O">
      <formula>NOT(ISERROR(SEARCH(("O"),(AD20))))</formula>
    </cfRule>
    <cfRule type="containsText" dxfId="2164" priority="2375" operator="containsText" text="K">
      <formula>NOT(ISERROR(SEARCH(("K"),(AD20))))</formula>
    </cfRule>
    <cfRule type="containsText" dxfId="2163" priority="2374" operator="containsText" text="P">
      <formula>NOT(ISERROR(SEARCH(("P"),(AD20))))</formula>
    </cfRule>
    <cfRule type="containsText" dxfId="2162" priority="2373" operator="containsText" text="C">
      <formula>NOT(ISERROR(SEARCH(("C"),(AD20))))</formula>
    </cfRule>
    <cfRule type="containsText" dxfId="2161" priority="2372" operator="containsText" text="N">
      <formula>NOT(ISERROR(SEARCH(("N"),(AD20))))</formula>
    </cfRule>
    <cfRule type="containsText" dxfId="2160" priority="2358" operator="containsText" text="L">
      <formula>NOT(ISERROR(SEARCH(("L"),(AD20))))</formula>
    </cfRule>
    <cfRule type="containsText" dxfId="2159" priority="2284" operator="containsText" text="C">
      <formula>NOT(ISERROR(SEARCH(("C"),(AD20))))</formula>
    </cfRule>
    <cfRule type="containsText" dxfId="2158" priority="2285" operator="containsText" text="P">
      <formula>NOT(ISERROR(SEARCH(("P"),(AD20))))</formula>
    </cfRule>
    <cfRule type="containsText" dxfId="2157" priority="2340" operator="containsText" text="L">
      <formula>NOT(ISERROR(SEARCH(("L"),(AD20))))</formula>
    </cfRule>
    <cfRule type="containsText" dxfId="2156" priority="2286" operator="containsText" text="K">
      <formula>NOT(ISERROR(SEARCH(("K"),(AD20))))</formula>
    </cfRule>
    <cfRule type="containsText" dxfId="2155" priority="2287" operator="containsText" text="X">
      <formula>NOT(ISERROR(SEARCH(("X"),(AD20))))</formula>
    </cfRule>
    <cfRule type="containsText" dxfId="2154" priority="2288" operator="containsText" text="L">
      <formula>NOT(ISERROR(SEARCH(("L"),(AD20))))</formula>
    </cfRule>
    <cfRule type="containsText" dxfId="2153" priority="2289" operator="containsText" text="N">
      <formula>NOT(ISERROR(SEARCH(("N"),(AD20))))</formula>
    </cfRule>
    <cfRule type="containsText" dxfId="2152" priority="2290" operator="containsText" text="O">
      <formula>NOT(ISERROR(SEARCH(("O"),(AD20))))</formula>
    </cfRule>
    <cfRule type="containsText" dxfId="2151" priority="2291" operator="containsText" text="C">
      <formula>NOT(ISERROR(SEARCH(("C"),(AD20))))</formula>
    </cfRule>
    <cfRule type="containsText" dxfId="2150" priority="2292" operator="containsText" text="P">
      <formula>NOT(ISERROR(SEARCH(("P"),(AD20))))</formula>
    </cfRule>
    <cfRule type="containsText" dxfId="2149" priority="2293" operator="containsText" text="K">
      <formula>NOT(ISERROR(SEARCH(("K"),(AD20))))</formula>
    </cfRule>
    <cfRule type="containsText" dxfId="2148" priority="2331" operator="containsText" text="K">
      <formula>NOT(ISERROR(SEARCH(("K"),(AD20))))</formula>
    </cfRule>
    <cfRule type="containsText" dxfId="2147" priority="2294" operator="containsText" text="X">
      <formula>NOT(ISERROR(SEARCH(("X"),(AD20))))</formula>
    </cfRule>
    <cfRule type="containsText" dxfId="2146" priority="2295" operator="containsText" text="L">
      <formula>NOT(ISERROR(SEARCH(("L"),(AD20))))</formula>
    </cfRule>
    <cfRule type="containsText" dxfId="2145" priority="2296" operator="containsText" text="N">
      <formula>NOT(ISERROR(SEARCH(("N"),(AD20))))</formula>
    </cfRule>
    <cfRule type="containsText" dxfId="2144" priority="2297" operator="containsText" text="O">
      <formula>NOT(ISERROR(SEARCH(("O"),(AD20))))</formula>
    </cfRule>
    <cfRule type="containsText" dxfId="2143" priority="2381" operator="containsText" text="X">
      <formula>NOT(ISERROR(SEARCH(("X"),(AD20))))</formula>
    </cfRule>
    <cfRule type="containsText" dxfId="2142" priority="2298" operator="containsText" text="C">
      <formula>NOT(ISERROR(SEARCH(("C"),(AD20))))</formula>
    </cfRule>
    <cfRule type="containsText" dxfId="2141" priority="2380" operator="containsText" text="K">
      <formula>NOT(ISERROR(SEARCH(("K"),(AD20))))</formula>
    </cfRule>
    <cfRule type="containsText" dxfId="2140" priority="2379" operator="containsText" text="P">
      <formula>NOT(ISERROR(SEARCH(("P"),(AD20))))</formula>
    </cfRule>
    <cfRule type="containsText" dxfId="2139" priority="2378" operator="containsText" text="C">
      <formula>NOT(ISERROR(SEARCH(("C"),(AD20))))</formula>
    </cfRule>
    <cfRule type="containsText" dxfId="2138" priority="2377" operator="containsText" text="L">
      <formula>NOT(ISERROR(SEARCH(("L"),(AD20))))</formula>
    </cfRule>
    <cfRule type="containsText" dxfId="2137" priority="2376" operator="containsText" text="X">
      <formula>NOT(ISERROR(SEARCH(("X"),(AD20))))</formula>
    </cfRule>
    <cfRule type="containsText" dxfId="2136" priority="2299" operator="containsText" text="P">
      <formula>NOT(ISERROR(SEARCH(("P"),(AD20))))</formula>
    </cfRule>
    <cfRule type="containsText" dxfId="2135" priority="2300" operator="containsText" text="K">
      <formula>NOT(ISERROR(SEARCH(("K"),(AD20))))</formula>
    </cfRule>
    <cfRule type="containsText" dxfId="2134" priority="2301" operator="containsText" text="X">
      <formula>NOT(ISERROR(SEARCH(("X"),(AD20))))</formula>
    </cfRule>
    <cfRule type="containsText" dxfId="2133" priority="2302" operator="containsText" text="L">
      <formula>NOT(ISERROR(SEARCH(("L"),(AD20))))</formula>
    </cfRule>
    <cfRule type="containsText" dxfId="2132" priority="2303" operator="containsText" text="N">
      <formula>NOT(ISERROR(SEARCH(("N"),(AD20))))</formula>
    </cfRule>
    <cfRule type="containsText" dxfId="2131" priority="2304" operator="containsText" text="O">
      <formula>NOT(ISERROR(SEARCH(("O"),(AD20))))</formula>
    </cfRule>
    <cfRule type="containsText" dxfId="2130" priority="2305" operator="containsText" text="C">
      <formula>NOT(ISERROR(SEARCH(("C"),(AD20))))</formula>
    </cfRule>
    <cfRule type="containsText" dxfId="2129" priority="2306" operator="containsText" text="P">
      <formula>NOT(ISERROR(SEARCH(("P"),(AD20))))</formula>
    </cfRule>
    <cfRule type="containsText" dxfId="2128" priority="2307" operator="containsText" text="K">
      <formula>NOT(ISERROR(SEARCH(("K"),(AD20))))</formula>
    </cfRule>
    <cfRule type="containsText" dxfId="2127" priority="2308" operator="containsText" text="X">
      <formula>NOT(ISERROR(SEARCH(("X"),(AD20))))</formula>
    </cfRule>
    <cfRule type="containsText" dxfId="2126" priority="2309" operator="containsText" text="L">
      <formula>NOT(ISERROR(SEARCH(("L"),(AD20))))</formula>
    </cfRule>
    <cfRule type="containsText" dxfId="2125" priority="2310" operator="containsText" text="N">
      <formula>NOT(ISERROR(SEARCH(("N"),(AD20))))</formula>
    </cfRule>
    <cfRule type="containsText" dxfId="2124" priority="2357" operator="containsText" text="N">
      <formula>NOT(ISERROR(SEARCH(("N"),(AD20))))</formula>
    </cfRule>
    <cfRule type="containsText" dxfId="2123" priority="2356" operator="containsText" text="L">
      <formula>NOT(ISERROR(SEARCH(("L"),(AD20))))</formula>
    </cfRule>
    <cfRule type="containsText" dxfId="2122" priority="2355" operator="containsText" text="N">
      <formula>NOT(ISERROR(SEARCH(("N"),(AD20))))</formula>
    </cfRule>
    <cfRule type="containsText" dxfId="2121" priority="2370" operator="containsText" text="X">
      <formula>NOT(ISERROR(SEARCH(("X"),(AD20))))</formula>
    </cfRule>
    <cfRule type="containsText" dxfId="2120" priority="2369" operator="containsText" text="K">
      <formula>NOT(ISERROR(SEARCH(("K"),(AD20))))</formula>
    </cfRule>
    <cfRule type="containsText" dxfId="2119" priority="2368" operator="containsText" text="P">
      <formula>NOT(ISERROR(SEARCH(("P"),(AD20))))</formula>
    </cfRule>
    <cfRule type="containsText" dxfId="2118" priority="2367" operator="containsText" text="C">
      <formula>NOT(ISERROR(SEARCH(("C"),(AD20))))</formula>
    </cfRule>
    <cfRule type="containsText" dxfId="2117" priority="2366" operator="containsText" text="O">
      <formula>NOT(ISERROR(SEARCH(("O"),(AD20))))</formula>
    </cfRule>
    <cfRule type="containsText" dxfId="2116" priority="2364" operator="containsText" text="L">
      <formula>NOT(ISERROR(SEARCH(("L"),(AD20))))</formula>
    </cfRule>
  </conditionalFormatting>
  <conditionalFormatting sqref="AD21:AE26">
    <cfRule type="containsText" dxfId="2115" priority="7962" operator="containsText" text="C">
      <formula>NOT(ISERROR(SEARCH(("C"),(AD21))))</formula>
    </cfRule>
    <cfRule type="containsText" dxfId="2114" priority="8010" operator="containsText" text="K">
      <formula>NOT(ISERROR(SEARCH(("K"),(AD21))))</formula>
    </cfRule>
    <cfRule type="containsText" dxfId="2113" priority="7961" operator="containsText" text="O">
      <formula>NOT(ISERROR(SEARCH(("O"),(AD21))))</formula>
    </cfRule>
    <cfRule type="containsText" dxfId="2112" priority="8011" operator="containsText" text="X">
      <formula>NOT(ISERROR(SEARCH(("X"),(AD21))))</formula>
    </cfRule>
    <cfRule type="containsText" dxfId="2111" priority="8009" operator="containsText" text="P">
      <formula>NOT(ISERROR(SEARCH(("P"),(AD21))))</formula>
    </cfRule>
  </conditionalFormatting>
  <conditionalFormatting sqref="AD22:AE22">
    <cfRule type="containsText" dxfId="2110" priority="1446" operator="containsText" text="X">
      <formula>NOT(ISERROR(SEARCH(("X"),(AD22))))</formula>
    </cfRule>
    <cfRule type="containsText" dxfId="2109" priority="1445" operator="containsText" text="K">
      <formula>NOT(ISERROR(SEARCH(("K"),(AD22))))</formula>
    </cfRule>
    <cfRule type="containsText" dxfId="2108" priority="1444" operator="containsText" text="P">
      <formula>NOT(ISERROR(SEARCH(("P"),(AD22))))</formula>
    </cfRule>
    <cfRule type="containsText" dxfId="2107" priority="1443" operator="containsText" text="C">
      <formula>NOT(ISERROR(SEARCH(("C"),(AD22))))</formula>
    </cfRule>
    <cfRule type="containsText" dxfId="2106" priority="1442" operator="containsText" text="N">
      <formula>NOT(ISERROR(SEARCH(("N"),(AD22))))</formula>
    </cfRule>
    <cfRule type="containsText" dxfId="2105" priority="1441" operator="containsText" text="L">
      <formula>NOT(ISERROR(SEARCH(("L"),(AD22))))</formula>
    </cfRule>
    <cfRule type="containsText" dxfId="2104" priority="1440" operator="containsText" text="X">
      <formula>NOT(ISERROR(SEARCH(("X"),(AD22))))</formula>
    </cfRule>
    <cfRule type="containsText" dxfId="2103" priority="1439" operator="containsText" text="K">
      <formula>NOT(ISERROR(SEARCH(("K"),(AD22))))</formula>
    </cfRule>
    <cfRule type="containsText" dxfId="2102" priority="1438" operator="containsText" text="P">
      <formula>NOT(ISERROR(SEARCH(("P"),(AD22))))</formula>
    </cfRule>
    <cfRule type="containsText" dxfId="2101" priority="1437" operator="containsText" text="C">
      <formula>NOT(ISERROR(SEARCH(("C"),(AD22))))</formula>
    </cfRule>
    <cfRule type="containsText" dxfId="2100" priority="1436" operator="containsText" text="O">
      <formula>NOT(ISERROR(SEARCH(("O"),(AD22))))</formula>
    </cfRule>
    <cfRule type="containsText" dxfId="2099" priority="1435" operator="containsText" text="N">
      <formula>NOT(ISERROR(SEARCH(("N"),(AD22))))</formula>
    </cfRule>
    <cfRule type="containsText" dxfId="2098" priority="1434" operator="containsText" text="L">
      <formula>NOT(ISERROR(SEARCH(("L"),(AD22))))</formula>
    </cfRule>
    <cfRule type="containsText" dxfId="2097" priority="1433" operator="containsText" text="X">
      <formula>NOT(ISERROR(SEARCH(("X"),(AD22))))</formula>
    </cfRule>
    <cfRule type="containsText" dxfId="2096" priority="1432" operator="containsText" text="K">
      <formula>NOT(ISERROR(SEARCH(("K"),(AD22))))</formula>
    </cfRule>
    <cfRule type="containsText" dxfId="2095" priority="1431" operator="containsText" text="P">
      <formula>NOT(ISERROR(SEARCH(("P"),(AD22))))</formula>
    </cfRule>
    <cfRule type="containsText" dxfId="2094" priority="1430" operator="containsText" text="C">
      <formula>NOT(ISERROR(SEARCH(("C"),(AD22))))</formula>
    </cfRule>
    <cfRule type="containsText" dxfId="2093" priority="1429" operator="containsText" text="O">
      <formula>NOT(ISERROR(SEARCH(("O"),(AD22))))</formula>
    </cfRule>
    <cfRule type="containsText" dxfId="2092" priority="1428" operator="containsText" text="L">
      <formula>NOT(ISERROR(SEARCH(("L"),(AD22))))</formula>
    </cfRule>
    <cfRule type="containsText" dxfId="2091" priority="1427" operator="containsText" text="N">
      <formula>NOT(ISERROR(SEARCH(("N"),(AD22))))</formula>
    </cfRule>
    <cfRule type="containsText" dxfId="2090" priority="1426" operator="containsText" text="L">
      <formula>NOT(ISERROR(SEARCH(("L"),(AD22))))</formula>
    </cfRule>
    <cfRule type="containsText" dxfId="2089" priority="1425" operator="containsText" text="N">
      <formula>NOT(ISERROR(SEARCH(("N"),(AD22))))</formula>
    </cfRule>
    <cfRule type="containsText" dxfId="2088" priority="1424" operator="containsText" text="L">
      <formula>NOT(ISERROR(SEARCH(("L"),(AD22))))</formula>
    </cfRule>
    <cfRule type="containsText" dxfId="2087" priority="1423" operator="containsText" text="X">
      <formula>NOT(ISERROR(SEARCH(("X"),(AD22))))</formula>
    </cfRule>
    <cfRule type="containsText" dxfId="2086" priority="1422" operator="containsText" text="K">
      <formula>NOT(ISERROR(SEARCH(("K"),(AD22))))</formula>
    </cfRule>
    <cfRule type="containsText" dxfId="2085" priority="1421" operator="containsText" text="P">
      <formula>NOT(ISERROR(SEARCH(("P"),(AD22))))</formula>
    </cfRule>
    <cfRule type="containsText" dxfId="2084" priority="1420" operator="containsText" text="C">
      <formula>NOT(ISERROR(SEARCH(("C"),(AD22))))</formula>
    </cfRule>
    <cfRule type="containsText" dxfId="2083" priority="1419" operator="containsText" text="O">
      <formula>NOT(ISERROR(SEARCH(("O"),(AD22))))</formula>
    </cfRule>
    <cfRule type="containsText" dxfId="2082" priority="1418" operator="containsText" text="N">
      <formula>NOT(ISERROR(SEARCH(("N"),(AD22))))</formula>
    </cfRule>
    <cfRule type="containsText" dxfId="2081" priority="1417" operator="containsText" text="L">
      <formula>NOT(ISERROR(SEARCH(("L"),(AD22))))</formula>
    </cfRule>
    <cfRule type="containsText" dxfId="2080" priority="1416" operator="containsText" text="X">
      <formula>NOT(ISERROR(SEARCH(("X"),(AD22))))</formula>
    </cfRule>
    <cfRule type="containsText" dxfId="2079" priority="1415" operator="containsText" text="K">
      <formula>NOT(ISERROR(SEARCH(("K"),(AD22))))</formula>
    </cfRule>
    <cfRule type="containsText" dxfId="2078" priority="1414" operator="containsText" text="P">
      <formula>NOT(ISERROR(SEARCH(("P"),(AD22))))</formula>
    </cfRule>
    <cfRule type="containsText" dxfId="2077" priority="1413" operator="containsText" text="C">
      <formula>NOT(ISERROR(SEARCH(("C"),(AD22))))</formula>
    </cfRule>
    <cfRule type="containsText" dxfId="2076" priority="1411" operator="containsText" text="N">
      <formula>NOT(ISERROR(SEARCH(("N"),(AD22))))</formula>
    </cfRule>
    <cfRule type="containsText" dxfId="2075" priority="1410" operator="containsText" text="L">
      <formula>NOT(ISERROR(SEARCH(("L"),(AD22))))</formula>
    </cfRule>
    <cfRule type="containsText" dxfId="2074" priority="1409" operator="containsText" text="X">
      <formula>NOT(ISERROR(SEARCH(("X"),(AD22))))</formula>
    </cfRule>
    <cfRule type="containsText" dxfId="2073" priority="1408" operator="containsText" text="K">
      <formula>NOT(ISERROR(SEARCH(("K"),(AD22))))</formula>
    </cfRule>
    <cfRule type="containsText" dxfId="2072" priority="1407" operator="containsText" text="P">
      <formula>NOT(ISERROR(SEARCH(("P"),(AD22))))</formula>
    </cfRule>
    <cfRule type="containsText" dxfId="2071" priority="1406" operator="containsText" text="C">
      <formula>NOT(ISERROR(SEARCH(("C"),(AD22))))</formula>
    </cfRule>
    <cfRule type="containsText" dxfId="2070" priority="1405" operator="containsText" text="O">
      <formula>NOT(ISERROR(SEARCH(("O"),(AD22))))</formula>
    </cfRule>
    <cfRule type="containsText" dxfId="2069" priority="1404" operator="containsText" text="N">
      <formula>NOT(ISERROR(SEARCH(("N"),(AD22))))</formula>
    </cfRule>
    <cfRule type="containsText" dxfId="2068" priority="1403" operator="containsText" text="L">
      <formula>NOT(ISERROR(SEARCH(("L"),(AD22))))</formula>
    </cfRule>
    <cfRule type="containsText" dxfId="2067" priority="1402" operator="containsText" text="X">
      <formula>NOT(ISERROR(SEARCH(("X"),(AD22))))</formula>
    </cfRule>
    <cfRule type="containsText" dxfId="2066" priority="1401" operator="containsText" text="K">
      <formula>NOT(ISERROR(SEARCH(("K"),(AD22))))</formula>
    </cfRule>
    <cfRule type="containsText" dxfId="2065" priority="1400" operator="containsText" text="P">
      <formula>NOT(ISERROR(SEARCH(("P"),(AD22))))</formula>
    </cfRule>
    <cfRule type="containsText" dxfId="2064" priority="1399" operator="containsText" text="C">
      <formula>NOT(ISERROR(SEARCH(("C"),(AD22))))</formula>
    </cfRule>
    <cfRule type="containsText" dxfId="2063" priority="1398" operator="containsText" text="O">
      <formula>NOT(ISERROR(SEARCH(("O"),(AD22))))</formula>
    </cfRule>
    <cfRule type="containsText" dxfId="2062" priority="1397" operator="containsText" text="N">
      <formula>NOT(ISERROR(SEARCH(("N"),(AD22))))</formula>
    </cfRule>
    <cfRule type="containsText" dxfId="2061" priority="1396" operator="containsText" text="L">
      <formula>NOT(ISERROR(SEARCH(("L"),(AD22))))</formula>
    </cfRule>
    <cfRule type="containsText" dxfId="2060" priority="1395" operator="containsText" text="X">
      <formula>NOT(ISERROR(SEARCH(("X"),(AD22))))</formula>
    </cfRule>
    <cfRule type="containsText" dxfId="2059" priority="1394" operator="containsText" text="K">
      <formula>NOT(ISERROR(SEARCH(("K"),(AD22))))</formula>
    </cfRule>
    <cfRule type="containsText" dxfId="2058" priority="1393" operator="containsText" text="P">
      <formula>NOT(ISERROR(SEARCH(("P"),(AD22))))</formula>
    </cfRule>
    <cfRule type="containsText" dxfId="2057" priority="1392" operator="containsText" text="C">
      <formula>NOT(ISERROR(SEARCH(("C"),(AD22))))</formula>
    </cfRule>
    <cfRule type="containsText" dxfId="2056" priority="1391" operator="containsText" text="O">
      <formula>NOT(ISERROR(SEARCH(("O"),(AD22))))</formula>
    </cfRule>
    <cfRule type="containsText" dxfId="2055" priority="1390" operator="containsText" text="L">
      <formula>NOT(ISERROR(SEARCH(("L"),(AD22))))</formula>
    </cfRule>
    <cfRule type="containsText" dxfId="2054" priority="1389" operator="containsText" text="N">
      <formula>NOT(ISERROR(SEARCH(("N"),(AD22))))</formula>
    </cfRule>
    <cfRule type="containsText" dxfId="2053" priority="1388" operator="containsText" text="L">
      <formula>NOT(ISERROR(SEARCH(("L"),(AD22))))</formula>
    </cfRule>
    <cfRule type="containsText" dxfId="2052" priority="1387" operator="containsText" text="N">
      <formula>NOT(ISERROR(SEARCH(("N"),(AD22))))</formula>
    </cfRule>
    <cfRule type="containsText" dxfId="2051" priority="1386" operator="containsText" text="L">
      <formula>NOT(ISERROR(SEARCH(("L"),(AD22))))</formula>
    </cfRule>
    <cfRule type="containsText" dxfId="2050" priority="1385" operator="containsText" text="X">
      <formula>NOT(ISERROR(SEARCH(("X"),(AD22))))</formula>
    </cfRule>
    <cfRule type="containsText" dxfId="2049" priority="1384" operator="containsText" text="K">
      <formula>NOT(ISERROR(SEARCH(("K"),(AD22))))</formula>
    </cfRule>
    <cfRule type="containsText" dxfId="2048" priority="1383" operator="containsText" text="P">
      <formula>NOT(ISERROR(SEARCH(("P"),(AD22))))</formula>
    </cfRule>
    <cfRule type="containsText" dxfId="2047" priority="1381" operator="containsText" text="O">
      <formula>NOT(ISERROR(SEARCH(("O"),(AD22))))</formula>
    </cfRule>
    <cfRule type="containsText" dxfId="2046" priority="1380" operator="containsText" text="N">
      <formula>NOT(ISERROR(SEARCH(("N"),(AD22))))</formula>
    </cfRule>
    <cfRule type="containsText" dxfId="2045" priority="1379" operator="containsText" text="L">
      <formula>NOT(ISERROR(SEARCH(("L"),(AD22))))</formula>
    </cfRule>
    <cfRule type="containsText" dxfId="2044" priority="1378" operator="containsText" text="X">
      <formula>NOT(ISERROR(SEARCH(("X"),(AD22))))</formula>
    </cfRule>
    <cfRule type="containsText" dxfId="2043" priority="1377" operator="containsText" text="K">
      <formula>NOT(ISERROR(SEARCH(("K"),(AD22))))</formula>
    </cfRule>
    <cfRule type="containsText" dxfId="2042" priority="1376" operator="containsText" text="P">
      <formula>NOT(ISERROR(SEARCH(("P"),(AD22))))</formula>
    </cfRule>
    <cfRule type="containsText" dxfId="2041" priority="1375" operator="containsText" text="C">
      <formula>NOT(ISERROR(SEARCH(("C"),(AD22))))</formula>
    </cfRule>
    <cfRule type="containsText" dxfId="2040" priority="1374" operator="containsText" text="O">
      <formula>NOT(ISERROR(SEARCH(("O"),(AD22))))</formula>
    </cfRule>
    <cfRule type="containsText" dxfId="2039" priority="1382" operator="containsText" text="C">
      <formula>NOT(ISERROR(SEARCH(("C"),(AD22))))</formula>
    </cfRule>
    <cfRule type="containsText" dxfId="2038" priority="1451" operator="containsText" text="X">
      <formula>NOT(ISERROR(SEARCH(("X"),(AD22))))</formula>
    </cfRule>
    <cfRule type="containsText" dxfId="2037" priority="1450" operator="containsText" text="K">
      <formula>NOT(ISERROR(SEARCH(("K"),(AD22))))</formula>
    </cfRule>
    <cfRule type="containsText" dxfId="2036" priority="1449" operator="containsText" text="P">
      <formula>NOT(ISERROR(SEARCH(("P"),(AD22))))</formula>
    </cfRule>
    <cfRule type="containsText" dxfId="2035" priority="1373" operator="containsText" text="N">
      <formula>NOT(ISERROR(SEARCH(("N"),(AD22))))</formula>
    </cfRule>
    <cfRule type="containsText" dxfId="2034" priority="1372" operator="containsText" text="L">
      <formula>NOT(ISERROR(SEARCH(("L"),(AD22))))</formula>
    </cfRule>
    <cfRule type="containsText" dxfId="2033" priority="1371" operator="containsText" text="X">
      <formula>NOT(ISERROR(SEARCH(("X"),(AD22))))</formula>
    </cfRule>
    <cfRule type="containsText" dxfId="2032" priority="1370" operator="containsText" text="K">
      <formula>NOT(ISERROR(SEARCH(("K"),(AD22))))</formula>
    </cfRule>
    <cfRule type="containsText" dxfId="2031" priority="1369" operator="containsText" text="P">
      <formula>NOT(ISERROR(SEARCH(("P"),(AD22))))</formula>
    </cfRule>
    <cfRule type="containsText" dxfId="2030" priority="1368" operator="containsText" text="C">
      <formula>NOT(ISERROR(SEARCH(("C"),(AD22))))</formula>
    </cfRule>
    <cfRule type="containsText" dxfId="2029" priority="1367" operator="containsText" text="O">
      <formula>NOT(ISERROR(SEARCH(("O"),(AD22))))</formula>
    </cfRule>
    <cfRule type="containsText" dxfId="2028" priority="1448" operator="containsText" text="C">
      <formula>NOT(ISERROR(SEARCH(("C"),(AD22))))</formula>
    </cfRule>
    <cfRule type="containsText" dxfId="2027" priority="1447" operator="containsText" text="L">
      <formula>NOT(ISERROR(SEARCH(("L"),(AD22))))</formula>
    </cfRule>
    <cfRule type="containsText" dxfId="2026" priority="1366" operator="containsText" text="N">
      <formula>NOT(ISERROR(SEARCH(("N"),(AD22))))</formula>
    </cfRule>
    <cfRule type="containsText" dxfId="2025" priority="1365" operator="containsText" text="L">
      <formula>NOT(ISERROR(SEARCH(("L"),(AD22))))</formula>
    </cfRule>
    <cfRule type="containsText" dxfId="2024" priority="1364" operator="containsText" text="X">
      <formula>NOT(ISERROR(SEARCH(("X"),(AD22))))</formula>
    </cfRule>
    <cfRule type="containsText" dxfId="2023" priority="1363" operator="containsText" text="K">
      <formula>NOT(ISERROR(SEARCH(("K"),(AD22))))</formula>
    </cfRule>
    <cfRule type="containsText" dxfId="2022" priority="1362" operator="containsText" text="P">
      <formula>NOT(ISERROR(SEARCH(("P"),(AD22))))</formula>
    </cfRule>
    <cfRule type="containsText" dxfId="2021" priority="1361" operator="containsText" text="C">
      <formula>NOT(ISERROR(SEARCH(("C"),(AD22))))</formula>
    </cfRule>
    <cfRule type="containsText" dxfId="2020" priority="1360" operator="containsText" text="O">
      <formula>NOT(ISERROR(SEARCH(("O"),(AD22))))</formula>
    </cfRule>
    <cfRule type="containsText" dxfId="2019" priority="1359" operator="containsText" text="N">
      <formula>NOT(ISERROR(SEARCH(("N"),(AD22))))</formula>
    </cfRule>
    <cfRule type="containsText" dxfId="2018" priority="1358" operator="containsText" text="L">
      <formula>NOT(ISERROR(SEARCH(("L"),(AD22))))</formula>
    </cfRule>
    <cfRule type="containsText" dxfId="2017" priority="1357" operator="containsText" text="X">
      <formula>NOT(ISERROR(SEARCH(("X"),(AD22))))</formula>
    </cfRule>
    <cfRule type="containsText" dxfId="2016" priority="1356" operator="containsText" text="K">
      <formula>NOT(ISERROR(SEARCH(("K"),(AD22))))</formula>
    </cfRule>
    <cfRule type="containsText" dxfId="2015" priority="1355" operator="containsText" text="P">
      <formula>NOT(ISERROR(SEARCH(("P"),(AD22))))</formula>
    </cfRule>
    <cfRule type="containsText" dxfId="2014" priority="1354" operator="containsText" text="C">
      <formula>NOT(ISERROR(SEARCH(("C"),(AD22))))</formula>
    </cfRule>
    <cfRule type="containsText" dxfId="2013" priority="1353" operator="containsText" text="O">
      <formula>NOT(ISERROR(SEARCH(("O"),(AD22))))</formula>
    </cfRule>
    <cfRule type="containsText" dxfId="2012" priority="1352" operator="containsText" text="N">
      <formula>NOT(ISERROR(SEARCH(("N"),(AD22))))</formula>
    </cfRule>
    <cfRule type="containsText" dxfId="2011" priority="1351" operator="containsText" text="N">
      <formula>NOT(ISERROR(SEARCH(("N"),(AD22))))</formula>
    </cfRule>
    <cfRule type="containsText" dxfId="2010" priority="1350" operator="containsText" text="N">
      <formula>NOT(ISERROR(SEARCH(("N"),(AD22))))</formula>
    </cfRule>
    <cfRule type="containsText" dxfId="2009" priority="1412" operator="containsText" text="O">
      <formula>NOT(ISERROR(SEARCH(("O"),(AD22))))</formula>
    </cfRule>
  </conditionalFormatting>
  <conditionalFormatting sqref="AD17:AG17">
    <cfRule type="containsText" dxfId="2008" priority="3701" operator="containsText" text="X">
      <formula>NOT(ISERROR(SEARCH(("X"),(AD17))))</formula>
    </cfRule>
    <cfRule type="containsText" dxfId="2007" priority="3706" operator="containsText" text="K">
      <formula>NOT(ISERROR(SEARCH(("K"),(AD17))))</formula>
    </cfRule>
    <cfRule type="containsText" dxfId="2006" priority="3705" operator="containsText" text="P">
      <formula>NOT(ISERROR(SEARCH(("P"),(AD17))))</formula>
    </cfRule>
    <cfRule type="containsText" dxfId="2005" priority="3704" operator="containsText" text="C">
      <formula>NOT(ISERROR(SEARCH(("C"),(AD17))))</formula>
    </cfRule>
    <cfRule type="containsText" dxfId="2004" priority="3703" operator="containsText" text="O">
      <formula>NOT(ISERROR(SEARCH(("O"),(AD17))))</formula>
    </cfRule>
    <cfRule type="containsText" dxfId="2003" priority="3702" operator="containsText" text="L">
      <formula>NOT(ISERROR(SEARCH(("L"),(AD17))))</formula>
    </cfRule>
    <cfRule type="containsText" dxfId="2002" priority="3700" operator="containsText" text="K">
      <formula>NOT(ISERROR(SEARCH(("K"),(AD17))))</formula>
    </cfRule>
    <cfRule type="containsText" dxfId="2001" priority="3699" operator="containsText" text="P">
      <formula>NOT(ISERROR(SEARCH(("P"),(AD17))))</formula>
    </cfRule>
    <cfRule type="containsText" dxfId="2000" priority="3697" operator="containsText" text="O">
      <formula>NOT(ISERROR(SEARCH(("O"),(AD17))))</formula>
    </cfRule>
    <cfRule type="containsText" dxfId="1999" priority="3698" operator="containsText" text="C">
      <formula>NOT(ISERROR(SEARCH(("C"),(AD17))))</formula>
    </cfRule>
    <cfRule type="containsText" dxfId="1998" priority="3707" operator="containsText" text="X">
      <formula>NOT(ISERROR(SEARCH(("X"),(AD17))))</formula>
    </cfRule>
    <cfRule type="containsText" dxfId="1997" priority="3708" operator="containsText" text="L">
      <formula>NOT(ISERROR(SEARCH(("L"),(AD17))))</formula>
    </cfRule>
  </conditionalFormatting>
  <conditionalFormatting sqref="AD22:AG22">
    <cfRule type="containsText" dxfId="1996" priority="1913" operator="containsText" text="X">
      <formula>NOT(ISERROR(SEARCH(("X"),(AD22))))</formula>
    </cfRule>
    <cfRule type="containsText" dxfId="1995" priority="1910" operator="containsText" text="C">
      <formula>NOT(ISERROR(SEARCH(("C"),(AD22))))</formula>
    </cfRule>
    <cfRule type="containsText" dxfId="1994" priority="1926" operator="containsText" text="L">
      <formula>NOT(ISERROR(SEARCH(("L"),(AD22))))</formula>
    </cfRule>
    <cfRule type="containsText" dxfId="1993" priority="1925" operator="containsText" text="X">
      <formula>NOT(ISERROR(SEARCH(("X"),(AD22))))</formula>
    </cfRule>
    <cfRule type="containsText" dxfId="1992" priority="1909" operator="containsText" text="O">
      <formula>NOT(ISERROR(SEARCH(("O"),(AD22))))</formula>
    </cfRule>
    <cfRule type="containsText" dxfId="1991" priority="1911" operator="containsText" text="P">
      <formula>NOT(ISERROR(SEARCH(("P"),(AD22))))</formula>
    </cfRule>
    <cfRule type="containsText" dxfId="1990" priority="1912" operator="containsText" text="K">
      <formula>NOT(ISERROR(SEARCH(("K"),(AD22))))</formula>
    </cfRule>
    <cfRule type="containsText" dxfId="1989" priority="1914" operator="containsText" text="L">
      <formula>NOT(ISERROR(SEARCH(("L"),(AD22))))</formula>
    </cfRule>
    <cfRule type="containsText" dxfId="1988" priority="1923" operator="containsText" text="P">
      <formula>NOT(ISERROR(SEARCH(("P"),(AD22))))</formula>
    </cfRule>
    <cfRule type="containsText" dxfId="1987" priority="1921" operator="containsText" text="O">
      <formula>NOT(ISERROR(SEARCH(("O"),(AD22))))</formula>
    </cfRule>
    <cfRule type="containsText" dxfId="1986" priority="1922" operator="containsText" text="C">
      <formula>NOT(ISERROR(SEARCH(("C"),(AD22))))</formula>
    </cfRule>
    <cfRule type="containsText" dxfId="1985" priority="1924" operator="containsText" text="K">
      <formula>NOT(ISERROR(SEARCH(("K"),(AD22))))</formula>
    </cfRule>
  </conditionalFormatting>
  <conditionalFormatting sqref="AD11:AH12 I12:J12 N12:Q12 U12:X12 AB12:AD12 AI12:AL12 AC13:AI13 AK15:AL26">
    <cfRule type="containsText" dxfId="1984" priority="5875" operator="containsText" text="L">
      <formula>NOT(ISERROR(SEARCH(("L"),(I11))))</formula>
    </cfRule>
  </conditionalFormatting>
  <conditionalFormatting sqref="AD11:AH12 AI12:AL12 I12:J12 N12:Q12 U12:X12 AB12:AD12 AC13:AH13 AK15:AL26">
    <cfRule type="containsText" dxfId="1983" priority="5871" operator="containsText" text="C">
      <formula>NOT(ISERROR(SEARCH(("C"),(I11))))</formula>
    </cfRule>
    <cfRule type="containsText" dxfId="1982" priority="5872" operator="containsText" text="P">
      <formula>NOT(ISERROR(SEARCH(("P"),(I11))))</formula>
    </cfRule>
    <cfRule type="containsText" dxfId="1981" priority="5874" operator="containsText" text="X">
      <formula>NOT(ISERROR(SEARCH(("X"),(I11))))</formula>
    </cfRule>
    <cfRule type="containsText" dxfId="1980" priority="5873" operator="containsText" text="K">
      <formula>NOT(ISERROR(SEARCH(("K"),(I11))))</formula>
    </cfRule>
    <cfRule type="containsText" dxfId="1979" priority="5870" operator="containsText" text="O">
      <formula>NOT(ISERROR(SEARCH(("O"),(I11))))</formula>
    </cfRule>
  </conditionalFormatting>
  <conditionalFormatting sqref="AD11:AH12 AI12:AL12 AK15:AL26 I12:J12 N12:Q12 U12:X12 AB12:AD12">
    <cfRule type="containsText" dxfId="1978" priority="5869" operator="containsText" text="N">
      <formula>NOT(ISERROR(SEARCH(("N"),(I11))))</formula>
    </cfRule>
  </conditionalFormatting>
  <conditionalFormatting sqref="AD17:AH17">
    <cfRule type="containsText" dxfId="1977" priority="10569" operator="containsText" text="X">
      <formula>NOT(ISERROR(SEARCH(("X"),(AD17))))</formula>
    </cfRule>
    <cfRule type="containsText" dxfId="1976" priority="10570" operator="containsText" text="L">
      <formula>NOT(ISERROR(SEARCH(("L"),(AD17))))</formula>
    </cfRule>
    <cfRule type="containsText" dxfId="1975" priority="10566" operator="containsText" text="C">
      <formula>NOT(ISERROR(SEARCH(("C"),(AD17))))</formula>
    </cfRule>
    <cfRule type="containsText" dxfId="1974" priority="10568" operator="containsText" text="K">
      <formula>NOT(ISERROR(SEARCH(("K"),(AD17))))</formula>
    </cfRule>
    <cfRule type="containsText" dxfId="1973" priority="10565" operator="containsText" text="O">
      <formula>NOT(ISERROR(SEARCH(("O"),(AD17))))</formula>
    </cfRule>
    <cfRule type="containsText" dxfId="1972" priority="10567" operator="containsText" text="P">
      <formula>NOT(ISERROR(SEARCH(("P"),(AD17))))</formula>
    </cfRule>
  </conditionalFormatting>
  <conditionalFormatting sqref="AD20:AH20">
    <cfRule type="containsText" dxfId="1971" priority="8512" operator="containsText" text="L">
      <formula>NOT(ISERROR(SEARCH(("L"),(AD20))))</formula>
    </cfRule>
    <cfRule type="containsText" dxfId="1970" priority="8498" operator="containsText" text="X">
      <formula>NOT(ISERROR(SEARCH(("X"),(AD20))))</formula>
    </cfRule>
    <cfRule type="containsText" dxfId="1969" priority="8507" operator="containsText" text="O">
      <formula>NOT(ISERROR(SEARCH(("O"),(AD20))))</formula>
    </cfRule>
    <cfRule type="containsText" dxfId="1968" priority="8499" operator="containsText" text="L">
      <formula>NOT(ISERROR(SEARCH(("L"),(AD20))))</formula>
    </cfRule>
    <cfRule type="containsText" dxfId="1967" priority="8494" operator="containsText" text="O">
      <formula>NOT(ISERROR(SEARCH(("O"),(AD20))))</formula>
    </cfRule>
    <cfRule type="containsText" dxfId="1966" priority="8495" operator="containsText" text="C">
      <formula>NOT(ISERROR(SEARCH(("C"),(AD20))))</formula>
    </cfRule>
    <cfRule type="containsText" dxfId="1965" priority="8496" operator="containsText" text="P">
      <formula>NOT(ISERROR(SEARCH(("P"),(AD20))))</formula>
    </cfRule>
    <cfRule type="containsText" dxfId="1964" priority="8497" operator="containsText" text="K">
      <formula>NOT(ISERROR(SEARCH(("K"),(AD20))))</formula>
    </cfRule>
    <cfRule type="containsText" dxfId="1963" priority="8509" operator="containsText" text="P">
      <formula>NOT(ISERROR(SEARCH(("P"),(AD20))))</formula>
    </cfRule>
    <cfRule type="containsText" dxfId="1962" priority="8508" operator="containsText" text="C">
      <formula>NOT(ISERROR(SEARCH(("C"),(AD20))))</formula>
    </cfRule>
    <cfRule type="containsText" dxfId="1961" priority="8510" operator="containsText" text="K">
      <formula>NOT(ISERROR(SEARCH(("K"),(AD20))))</formula>
    </cfRule>
    <cfRule type="containsText" dxfId="1960" priority="8511" operator="containsText" text="X">
      <formula>NOT(ISERROR(SEARCH(("X"),(AD20))))</formula>
    </cfRule>
  </conditionalFormatting>
  <conditionalFormatting sqref="AD16:AJ16">
    <cfRule type="containsText" dxfId="1959" priority="4148" operator="containsText" text="N">
      <formula>NOT(ISERROR(SEARCH(("N"),(AD16))))</formula>
    </cfRule>
  </conditionalFormatting>
  <conditionalFormatting sqref="AE20:AH26 W20:AA26 AC25:AG25">
    <cfRule type="containsText" dxfId="1958" priority="9480" operator="containsText" text="X">
      <formula>NOT(ISERROR(SEARCH(("X"),(W20))))</formula>
    </cfRule>
    <cfRule type="containsText" dxfId="1957" priority="9482" operator="containsText" text="O">
      <formula>NOT(ISERROR(SEARCH(("O"),(W20))))</formula>
    </cfRule>
    <cfRule type="containsText" dxfId="1956" priority="9484" operator="containsText" text="P">
      <formula>NOT(ISERROR(SEARCH(("P"),(W20))))</formula>
    </cfRule>
    <cfRule type="containsText" dxfId="1955" priority="9483" operator="containsText" text="C">
      <formula>NOT(ISERROR(SEARCH(("C"),(W20))))</formula>
    </cfRule>
    <cfRule type="containsText" dxfId="1954" priority="9476" operator="containsText" text="O">
      <formula>NOT(ISERROR(SEARCH(("O"),(W20))))</formula>
    </cfRule>
    <cfRule type="containsText" dxfId="1953" priority="9485" operator="containsText" text="K">
      <formula>NOT(ISERROR(SEARCH(("K"),(W20))))</formula>
    </cfRule>
    <cfRule type="containsText" dxfId="1952" priority="9486" operator="containsText" text="X">
      <formula>NOT(ISERROR(SEARCH(("X"),(W20))))</formula>
    </cfRule>
    <cfRule type="containsText" dxfId="1951" priority="9479" operator="containsText" text="K">
      <formula>NOT(ISERROR(SEARCH(("K"),(W20))))</formula>
    </cfRule>
    <cfRule type="containsText" dxfId="1950" priority="9478" operator="containsText" text="P">
      <formula>NOT(ISERROR(SEARCH(("P"),(W20))))</formula>
    </cfRule>
    <cfRule type="containsText" dxfId="1949" priority="9477" operator="containsText" text="C">
      <formula>NOT(ISERROR(SEARCH(("C"),(W20))))</formula>
    </cfRule>
  </conditionalFormatting>
  <conditionalFormatting sqref="AF17:AG17">
    <cfRule type="containsText" dxfId="1948" priority="3681" operator="containsText" text="O">
      <formula>NOT(ISERROR(SEARCH(("O"),(AF17))))</formula>
    </cfRule>
    <cfRule type="containsText" dxfId="1947" priority="3682" operator="containsText" text="C">
      <formula>NOT(ISERROR(SEARCH(("C"),(AF17))))</formula>
    </cfRule>
    <cfRule type="containsText" dxfId="1946" priority="3683" operator="containsText" text="P">
      <formula>NOT(ISERROR(SEARCH(("P"),(AF17))))</formula>
    </cfRule>
    <cfRule type="containsText" dxfId="1945" priority="3684" operator="containsText" text="K">
      <formula>NOT(ISERROR(SEARCH(("K"),(AF17))))</formula>
    </cfRule>
    <cfRule type="containsText" dxfId="1944" priority="3686" operator="containsText" text="L">
      <formula>NOT(ISERROR(SEARCH(("L"),(AF17))))</formula>
    </cfRule>
    <cfRule type="containsText" dxfId="1943" priority="3685" operator="containsText" text="X">
      <formula>NOT(ISERROR(SEARCH(("X"),(AF17))))</formula>
    </cfRule>
  </conditionalFormatting>
  <conditionalFormatting sqref="AF22:AG22">
    <cfRule type="containsText" dxfId="1942" priority="1769" operator="containsText" text="O">
      <formula>NOT(ISERROR(SEARCH(("O"),(AF22))))</formula>
    </cfRule>
    <cfRule type="containsText" dxfId="1941" priority="1770" operator="containsText" text="C">
      <formula>NOT(ISERROR(SEARCH(("C"),(AF22))))</formula>
    </cfRule>
    <cfRule type="containsText" dxfId="1940" priority="1773" operator="containsText" text="X">
      <formula>NOT(ISERROR(SEARCH(("X"),(AF22))))</formula>
    </cfRule>
    <cfRule type="containsText" dxfId="1939" priority="1771" operator="containsText" text="P">
      <formula>NOT(ISERROR(SEARCH(("P"),(AF22))))</formula>
    </cfRule>
    <cfRule type="containsText" dxfId="1938" priority="1772" operator="containsText" text="K">
      <formula>NOT(ISERROR(SEARCH(("K"),(AF22))))</formula>
    </cfRule>
    <cfRule type="containsText" dxfId="1937" priority="1774" operator="containsText" text="L">
      <formula>NOT(ISERROR(SEARCH(("L"),(AF22))))</formula>
    </cfRule>
    <cfRule type="containsText" dxfId="1936" priority="1761" operator="containsText" text="N">
      <formula>NOT(ISERROR(SEARCH(("N"),(AF22))))</formula>
    </cfRule>
    <cfRule type="containsText" dxfId="1935" priority="1762" operator="containsText" text="O">
      <formula>NOT(ISERROR(SEARCH(("O"),(AF22))))</formula>
    </cfRule>
    <cfRule type="containsText" dxfId="1934" priority="1763" operator="containsText" text="C">
      <formula>NOT(ISERROR(SEARCH(("C"),(AF22))))</formula>
    </cfRule>
    <cfRule type="containsText" dxfId="1933" priority="1764" operator="containsText" text="P">
      <formula>NOT(ISERROR(SEARCH(("P"),(AF22))))</formula>
    </cfRule>
    <cfRule type="containsText" dxfId="1932" priority="1765" operator="containsText" text="K">
      <formula>NOT(ISERROR(SEARCH(("K"),(AF22))))</formula>
    </cfRule>
    <cfRule type="containsText" dxfId="1931" priority="1766" operator="containsText" text="X">
      <formula>NOT(ISERROR(SEARCH(("X"),(AF22))))</formula>
    </cfRule>
    <cfRule type="containsText" dxfId="1930" priority="1767" operator="containsText" text="L">
      <formula>NOT(ISERROR(SEARCH(("L"),(AF22))))</formula>
    </cfRule>
    <cfRule type="containsText" dxfId="1929" priority="1768" operator="containsText" text="N">
      <formula>NOT(ISERROR(SEARCH(("N"),(AF22))))</formula>
    </cfRule>
  </conditionalFormatting>
  <conditionalFormatting sqref="AF11:AJ11">
    <cfRule type="containsText" dxfId="1928" priority="7875" operator="containsText" text="O">
      <formula>NOT(ISERROR(SEARCH(("O"),(AF11))))</formula>
    </cfRule>
    <cfRule type="containsText" dxfId="1927" priority="7874" operator="containsText" text="N">
      <formula>NOT(ISERROR(SEARCH(("N"),(AF11))))</formula>
    </cfRule>
    <cfRule type="containsText" dxfId="1926" priority="7804" operator="containsText" text="L">
      <formula>NOT(ISERROR(SEARCH(("L"),(AF11))))</formula>
    </cfRule>
    <cfRule type="containsText" dxfId="1925" priority="7800" operator="containsText" text="C">
      <formula>NOT(ISERROR(SEARCH(("C"),(AF11))))</formula>
    </cfRule>
    <cfRule type="containsText" dxfId="1924" priority="7803" operator="containsText" text="X">
      <formula>NOT(ISERROR(SEARCH(("X"),(AF11))))</formula>
    </cfRule>
    <cfRule type="containsText" dxfId="1923" priority="7802" operator="containsText" text="K">
      <formula>NOT(ISERROR(SEARCH(("K"),(AF11))))</formula>
    </cfRule>
    <cfRule type="containsText" dxfId="1922" priority="7879" operator="containsText" text="X">
      <formula>NOT(ISERROR(SEARCH(("X"),(AF11))))</formula>
    </cfRule>
    <cfRule type="containsText" dxfId="1921" priority="7801" operator="containsText" text="P">
      <formula>NOT(ISERROR(SEARCH(("P"),(AF11))))</formula>
    </cfRule>
    <cfRule type="containsText" dxfId="1920" priority="7877" operator="containsText" text="P">
      <formula>NOT(ISERROR(SEARCH(("P"),(AF11))))</formula>
    </cfRule>
    <cfRule type="containsText" dxfId="1919" priority="7880" operator="containsText" text="L">
      <formula>NOT(ISERROR(SEARCH(("L"),(AF11))))</formula>
    </cfRule>
    <cfRule type="containsText" dxfId="1918" priority="7878" operator="containsText" text="K">
      <formula>NOT(ISERROR(SEARCH(("K"),(AF11))))</formula>
    </cfRule>
    <cfRule type="containsText" dxfId="1917" priority="7876" operator="containsText" text="C">
      <formula>NOT(ISERROR(SEARCH(("C"),(AF11))))</formula>
    </cfRule>
    <cfRule type="containsText" dxfId="1916" priority="7798" operator="containsText" text="N">
      <formula>NOT(ISERROR(SEARCH(("N"),(AF11))))</formula>
    </cfRule>
    <cfRule type="containsText" dxfId="1915" priority="7799" operator="containsText" text="O">
      <formula>NOT(ISERROR(SEARCH(("O"),(AF11))))</formula>
    </cfRule>
  </conditionalFormatting>
  <conditionalFormatting sqref="AF12:AJ12">
    <cfRule type="containsText" dxfId="1914" priority="5849" operator="containsText" text="N">
      <formula>NOT(ISERROR(SEARCH(("N"),(AF12))))</formula>
    </cfRule>
    <cfRule type="containsText" dxfId="1913" priority="5851" operator="containsText" text="C">
      <formula>NOT(ISERROR(SEARCH(("C"),(AF12))))</formula>
    </cfRule>
    <cfRule type="containsText" dxfId="1912" priority="5852" operator="containsText" text="P">
      <formula>NOT(ISERROR(SEARCH(("P"),(AF12))))</formula>
    </cfRule>
    <cfRule type="containsText" dxfId="1911" priority="5853" operator="containsText" text="K">
      <formula>NOT(ISERROR(SEARCH(("K"),(AF12))))</formula>
    </cfRule>
    <cfRule type="containsText" dxfId="1910" priority="5854" operator="containsText" text="X">
      <formula>NOT(ISERROR(SEARCH(("X"),(AF12))))</formula>
    </cfRule>
    <cfRule type="containsText" dxfId="1909" priority="5855" operator="containsText" text="L">
      <formula>NOT(ISERROR(SEARCH(("L"),(AF12))))</formula>
    </cfRule>
    <cfRule type="containsText" dxfId="1908" priority="5856" operator="containsText" text="N">
      <formula>NOT(ISERROR(SEARCH(("N"),(AF12))))</formula>
    </cfRule>
    <cfRule type="containsText" dxfId="1907" priority="5857" operator="containsText" text="O">
      <formula>NOT(ISERROR(SEARCH(("O"),(AF12))))</formula>
    </cfRule>
    <cfRule type="containsText" dxfId="1906" priority="5858" operator="containsText" text="C">
      <formula>NOT(ISERROR(SEARCH(("C"),(AF12))))</formula>
    </cfRule>
    <cfRule type="containsText" dxfId="1905" priority="5859" operator="containsText" text="P">
      <formula>NOT(ISERROR(SEARCH(("P"),(AF12))))</formula>
    </cfRule>
    <cfRule type="containsText" dxfId="1904" priority="5860" operator="containsText" text="K">
      <formula>NOT(ISERROR(SEARCH(("K"),(AF12))))</formula>
    </cfRule>
    <cfRule type="containsText" dxfId="1903" priority="5861" operator="containsText" text="X">
      <formula>NOT(ISERROR(SEARCH(("X"),(AF12))))</formula>
    </cfRule>
    <cfRule type="containsText" dxfId="1902" priority="5862" operator="containsText" text="L">
      <formula>NOT(ISERROR(SEARCH(("L"),(AF12))))</formula>
    </cfRule>
    <cfRule type="containsText" dxfId="1901" priority="5850" operator="containsText" text="O">
      <formula>NOT(ISERROR(SEARCH(("O"),(AF12))))</formula>
    </cfRule>
  </conditionalFormatting>
  <conditionalFormatting sqref="AF14:AJ14">
    <cfRule type="containsText" dxfId="1900" priority="7469" operator="containsText" text="C">
      <formula>NOT(ISERROR(SEARCH(("C"),(AF14))))</formula>
    </cfRule>
    <cfRule type="containsText" dxfId="1899" priority="7470" operator="containsText" text="P">
      <formula>NOT(ISERROR(SEARCH(("P"),(AF14))))</formula>
    </cfRule>
    <cfRule type="containsText" dxfId="1898" priority="7471" operator="containsText" text="K">
      <formula>NOT(ISERROR(SEARCH(("K"),(AF14))))</formula>
    </cfRule>
    <cfRule type="containsText" dxfId="1897" priority="7472" operator="containsText" text="X">
      <formula>NOT(ISERROR(SEARCH(("X"),(AF14))))</formula>
    </cfRule>
    <cfRule type="containsText" dxfId="1896" priority="7473" operator="containsText" text="L">
      <formula>NOT(ISERROR(SEARCH(("L"),(AF14))))</formula>
    </cfRule>
    <cfRule type="containsText" dxfId="1895" priority="7466" operator="containsText" text="L">
      <formula>NOT(ISERROR(SEARCH(("L"),(AF14))))</formula>
    </cfRule>
    <cfRule type="containsText" dxfId="1894" priority="7460" operator="containsText" text="N">
      <formula>NOT(ISERROR(SEARCH(("N"),(AF14))))</formula>
    </cfRule>
    <cfRule type="containsText" dxfId="1893" priority="7461" operator="containsText" text="O">
      <formula>NOT(ISERROR(SEARCH(("O"),(AF14))))</formula>
    </cfRule>
    <cfRule type="containsText" dxfId="1892" priority="7462" operator="containsText" text="C">
      <formula>NOT(ISERROR(SEARCH(("C"),(AF14))))</formula>
    </cfRule>
    <cfRule type="containsText" dxfId="1891" priority="7463" operator="containsText" text="P">
      <formula>NOT(ISERROR(SEARCH(("P"),(AF14))))</formula>
    </cfRule>
    <cfRule type="containsText" dxfId="1890" priority="7464" operator="containsText" text="K">
      <formula>NOT(ISERROR(SEARCH(("K"),(AF14))))</formula>
    </cfRule>
    <cfRule type="containsText" dxfId="1889" priority="7465" operator="containsText" text="X">
      <formula>NOT(ISERROR(SEARCH(("X"),(AF14))))</formula>
    </cfRule>
    <cfRule type="containsText" dxfId="1888" priority="7467" operator="containsText" text="N">
      <formula>NOT(ISERROR(SEARCH(("N"),(AF14))))</formula>
    </cfRule>
    <cfRule type="containsText" dxfId="1887" priority="7468" operator="containsText" text="O">
      <formula>NOT(ISERROR(SEARCH(("O"),(AF14))))</formula>
    </cfRule>
  </conditionalFormatting>
  <conditionalFormatting sqref="AF15:AJ15">
    <cfRule type="containsText" dxfId="1886" priority="7269" operator="containsText" text="X">
      <formula>NOT(ISERROR(SEARCH(("X"),(AF15))))</formula>
    </cfRule>
    <cfRule type="containsText" dxfId="1885" priority="7277" operator="containsText" text="L">
      <formula>NOT(ISERROR(SEARCH(("L"),(AF15))))</formula>
    </cfRule>
    <cfRule type="containsText" dxfId="1884" priority="7268" operator="containsText" text="K">
      <formula>NOT(ISERROR(SEARCH(("K"),(AF15))))</formula>
    </cfRule>
    <cfRule type="containsText" dxfId="1883" priority="7267" operator="containsText" text="P">
      <formula>NOT(ISERROR(SEARCH(("P"),(AF15))))</formula>
    </cfRule>
    <cfRule type="containsText" dxfId="1882" priority="7266" operator="containsText" text="C">
      <formula>NOT(ISERROR(SEARCH(("C"),(AF15))))</formula>
    </cfRule>
    <cfRule type="containsText" dxfId="1881" priority="7265" operator="containsText" text="O">
      <formula>NOT(ISERROR(SEARCH(("O"),(AF15))))</formula>
    </cfRule>
    <cfRule type="containsText" dxfId="1880" priority="7264" operator="containsText" text="N">
      <formula>NOT(ISERROR(SEARCH(("N"),(AF15))))</formula>
    </cfRule>
    <cfRule type="containsText" dxfId="1879" priority="7275" operator="containsText" text="K">
      <formula>NOT(ISERROR(SEARCH(("K"),(AF15))))</formula>
    </cfRule>
    <cfRule type="containsText" dxfId="1878" priority="7274" operator="containsText" text="P">
      <formula>NOT(ISERROR(SEARCH(("P"),(AF15))))</formula>
    </cfRule>
    <cfRule type="containsText" dxfId="1877" priority="7273" operator="containsText" text="C">
      <formula>NOT(ISERROR(SEARCH(("C"),(AF15))))</formula>
    </cfRule>
    <cfRule type="containsText" dxfId="1876" priority="7272" operator="containsText" text="O">
      <formula>NOT(ISERROR(SEARCH(("O"),(AF15))))</formula>
    </cfRule>
    <cfRule type="containsText" dxfId="1875" priority="7271" operator="containsText" text="N">
      <formula>NOT(ISERROR(SEARCH(("N"),(AF15))))</formula>
    </cfRule>
    <cfRule type="containsText" dxfId="1874" priority="7270" operator="containsText" text="L">
      <formula>NOT(ISERROR(SEARCH(("L"),(AF15))))</formula>
    </cfRule>
    <cfRule type="containsText" dxfId="1873" priority="7276" operator="containsText" text="X">
      <formula>NOT(ISERROR(SEARCH(("X"),(AF15))))</formula>
    </cfRule>
  </conditionalFormatting>
  <conditionalFormatting sqref="AF16:AJ16">
    <cfRule type="containsText" dxfId="1872" priority="6959" operator="containsText" text="K">
      <formula>NOT(ISERROR(SEARCH(("K"),(AF16))))</formula>
    </cfRule>
    <cfRule type="containsText" dxfId="1871" priority="6960" operator="containsText" text="X">
      <formula>NOT(ISERROR(SEARCH(("X"),(AF16))))</formula>
    </cfRule>
    <cfRule type="containsText" dxfId="1870" priority="6961" operator="containsText" text="L">
      <formula>NOT(ISERROR(SEARCH(("L"),(AF16))))</formula>
    </cfRule>
    <cfRule type="containsText" dxfId="1869" priority="6958" operator="containsText" text="P">
      <formula>NOT(ISERROR(SEARCH(("P"),(AF16))))</formula>
    </cfRule>
    <cfRule type="containsText" dxfId="1868" priority="6957" operator="containsText" text="C">
      <formula>NOT(ISERROR(SEARCH(("C"),(AF16))))</formula>
    </cfRule>
    <cfRule type="containsText" dxfId="1867" priority="6956" operator="containsText" text="O">
      <formula>NOT(ISERROR(SEARCH(("O"),(AF16))))</formula>
    </cfRule>
  </conditionalFormatting>
  <conditionalFormatting sqref="AF16:AJ17">
    <cfRule type="containsText" dxfId="1866" priority="6963" operator="containsText" text="O">
      <formula>NOT(ISERROR(SEARCH(("O"),(AF16))))</formula>
    </cfRule>
    <cfRule type="containsText" dxfId="1865" priority="6964" operator="containsText" text="C">
      <formula>NOT(ISERROR(SEARCH(("C"),(AF16))))</formula>
    </cfRule>
    <cfRule type="containsText" dxfId="1864" priority="6965" operator="containsText" text="P">
      <formula>NOT(ISERROR(SEARCH(("P"),(AF16))))</formula>
    </cfRule>
    <cfRule type="containsText" dxfId="1863" priority="6966" operator="containsText" text="K">
      <formula>NOT(ISERROR(SEARCH(("K"),(AF16))))</formula>
    </cfRule>
    <cfRule type="containsText" dxfId="1862" priority="6967" operator="containsText" text="X">
      <formula>NOT(ISERROR(SEARCH(("X"),(AF16))))</formula>
    </cfRule>
    <cfRule type="containsText" dxfId="1861" priority="6968" operator="containsText" text="L">
      <formula>NOT(ISERROR(SEARCH(("L"),(AF16))))</formula>
    </cfRule>
    <cfRule type="containsText" dxfId="1860" priority="6962" operator="containsText" text="N">
      <formula>NOT(ISERROR(SEARCH(("N"),(AF16))))</formula>
    </cfRule>
  </conditionalFormatting>
  <conditionalFormatting sqref="AF17:AJ17">
    <cfRule type="containsText" dxfId="1859" priority="7111" operator="containsText" text="O">
      <formula>NOT(ISERROR(SEARCH(("O"),(AF17))))</formula>
    </cfRule>
    <cfRule type="containsText" dxfId="1858" priority="7112" operator="containsText" text="C">
      <formula>NOT(ISERROR(SEARCH(("C"),(AF17))))</formula>
    </cfRule>
    <cfRule type="containsText" dxfId="1857" priority="7110" operator="containsText" text="N">
      <formula>NOT(ISERROR(SEARCH(("N"),(AF17))))</formula>
    </cfRule>
    <cfRule type="containsText" dxfId="1856" priority="7116" operator="containsText" text="L">
      <formula>NOT(ISERROR(SEARCH(("L"),(AF17))))</formula>
    </cfRule>
    <cfRule type="containsText" dxfId="1855" priority="7115" operator="containsText" text="X">
      <formula>NOT(ISERROR(SEARCH(("X"),(AF17))))</formula>
    </cfRule>
    <cfRule type="containsText" dxfId="1854" priority="7114" operator="containsText" text="K">
      <formula>NOT(ISERROR(SEARCH(("K"),(AF17))))</formula>
    </cfRule>
    <cfRule type="containsText" dxfId="1853" priority="7113" operator="containsText" text="P">
      <formula>NOT(ISERROR(SEARCH(("P"),(AF17))))</formula>
    </cfRule>
  </conditionalFormatting>
  <conditionalFormatting sqref="AF18:AJ18">
    <cfRule type="containsText" dxfId="1852" priority="7658" operator="containsText" text="C">
      <formula>NOT(ISERROR(SEARCH(("C"),(AF18))))</formula>
    </cfRule>
    <cfRule type="containsText" dxfId="1851" priority="7657" operator="containsText" text="O">
      <formula>NOT(ISERROR(SEARCH(("O"),(AF18))))</formula>
    </cfRule>
    <cfRule type="containsText" dxfId="1850" priority="3352" operator="containsText" text="L">
      <formula>NOT(ISERROR(SEARCH(("L"),(AF18))))</formula>
    </cfRule>
    <cfRule type="containsText" dxfId="1849" priority="3351" operator="containsText" text="X">
      <formula>NOT(ISERROR(SEARCH(("X"),(AF18))))</formula>
    </cfRule>
    <cfRule type="containsText" dxfId="1848" priority="3350" operator="containsText" text="K">
      <formula>NOT(ISERROR(SEARCH(("K"),(AF18))))</formula>
    </cfRule>
    <cfRule type="containsText" dxfId="1847" priority="3349" operator="containsText" text="P">
      <formula>NOT(ISERROR(SEARCH(("P"),(AF18))))</formula>
    </cfRule>
    <cfRule type="containsText" dxfId="1846" priority="3347" operator="containsText" text="O">
      <formula>NOT(ISERROR(SEARCH(("O"),(AF18))))</formula>
    </cfRule>
    <cfRule type="containsText" dxfId="1845" priority="7668" operator="containsText" text="X">
      <formula>NOT(ISERROR(SEARCH(("X"),(AF18))))</formula>
    </cfRule>
    <cfRule type="containsText" dxfId="1844" priority="7669" operator="containsText" text="L">
      <formula>NOT(ISERROR(SEARCH(("L"),(AF18))))</formula>
    </cfRule>
    <cfRule type="containsText" dxfId="1843" priority="3345" operator="containsText" text="L">
      <formula>NOT(ISERROR(SEARCH(("L"),(AF18))))</formula>
    </cfRule>
    <cfRule type="containsText" dxfId="1842" priority="3344" operator="containsText" text="X">
      <formula>NOT(ISERROR(SEARCH(("X"),(AF18))))</formula>
    </cfRule>
    <cfRule type="containsText" dxfId="1841" priority="3343" operator="containsText" text="K">
      <formula>NOT(ISERROR(SEARCH(("K"),(AF18))))</formula>
    </cfRule>
    <cfRule type="containsText" dxfId="1840" priority="3342" operator="containsText" text="P">
      <formula>NOT(ISERROR(SEARCH(("P"),(AF18))))</formula>
    </cfRule>
    <cfRule type="containsText" dxfId="1839" priority="7656" operator="containsText" text="N">
      <formula>NOT(ISERROR(SEARCH(("N"),(AF18))))</formula>
    </cfRule>
    <cfRule type="containsText" dxfId="1838" priority="3348" operator="containsText" text="C">
      <formula>NOT(ISERROR(SEARCH(("C"),(AF18))))</formula>
    </cfRule>
    <cfRule type="containsText" dxfId="1837" priority="7662" operator="containsText" text="L">
      <formula>NOT(ISERROR(SEARCH(("L"),(AF18))))</formula>
    </cfRule>
    <cfRule type="containsText" dxfId="1836" priority="7663" operator="containsText" text="N">
      <formula>NOT(ISERROR(SEARCH(("N"),(AF18))))</formula>
    </cfRule>
    <cfRule type="containsText" dxfId="1835" priority="3341" operator="containsText" text="C">
      <formula>NOT(ISERROR(SEARCH(("C"),(AF18))))</formula>
    </cfRule>
    <cfRule type="containsText" dxfId="1834" priority="3340" operator="containsText" text="O">
      <formula>NOT(ISERROR(SEARCH(("O"),(AF18))))</formula>
    </cfRule>
    <cfRule type="containsText" dxfId="1833" priority="3338" operator="containsText" text="N">
      <formula>NOT(ISERROR(SEARCH(("N"),(AF18))))</formula>
    </cfRule>
    <cfRule type="containsText" dxfId="1832" priority="7661" operator="containsText" text="X">
      <formula>NOT(ISERROR(SEARCH(("X"),(AF18))))</formula>
    </cfRule>
    <cfRule type="containsText" dxfId="1831" priority="7660" operator="containsText" text="K">
      <formula>NOT(ISERROR(SEARCH(("K"),(AF18))))</formula>
    </cfRule>
    <cfRule type="containsText" dxfId="1830" priority="7659" operator="containsText" text="P">
      <formula>NOT(ISERROR(SEARCH(("P"),(AF18))))</formula>
    </cfRule>
    <cfRule type="containsText" dxfId="1829" priority="7667" operator="containsText" text="K">
      <formula>NOT(ISERROR(SEARCH(("K"),(AF18))))</formula>
    </cfRule>
    <cfRule type="containsText" dxfId="1828" priority="7666" operator="containsText" text="P">
      <formula>NOT(ISERROR(SEARCH(("P"),(AF18))))</formula>
    </cfRule>
    <cfRule type="containsText" dxfId="1827" priority="7665" operator="containsText" text="C">
      <formula>NOT(ISERROR(SEARCH(("C"),(AF18))))</formula>
    </cfRule>
    <cfRule type="containsText" dxfId="1826" priority="7664" operator="containsText" text="O">
      <formula>NOT(ISERROR(SEARCH(("O"),(AF18))))</formula>
    </cfRule>
  </conditionalFormatting>
  <conditionalFormatting sqref="AF18:AJ19">
    <cfRule type="containsText" dxfId="1825" priority="3346" operator="containsText" text="N">
      <formula>NOT(ISERROR(SEARCH(("N"),(AF18))))</formula>
    </cfRule>
  </conditionalFormatting>
  <conditionalFormatting sqref="AF19:AJ19">
    <cfRule type="containsText" dxfId="1824" priority="5706" operator="containsText" text="K">
      <formula>NOT(ISERROR(SEARCH(("K"),(AF19))))</formula>
    </cfRule>
    <cfRule type="containsText" dxfId="1823" priority="5707" operator="containsText" text="X">
      <formula>NOT(ISERROR(SEARCH(("X"),(AF19))))</formula>
    </cfRule>
    <cfRule type="containsText" dxfId="1822" priority="5708" operator="containsText" text="L">
      <formula>NOT(ISERROR(SEARCH(("L"),(AF19))))</formula>
    </cfRule>
    <cfRule type="containsText" dxfId="1821" priority="5709" operator="containsText" text="N">
      <formula>NOT(ISERROR(SEARCH(("N"),(AF19))))</formula>
    </cfRule>
    <cfRule type="containsText" dxfId="1820" priority="5710" operator="containsText" text="O">
      <formula>NOT(ISERROR(SEARCH(("O"),(AF19))))</formula>
    </cfRule>
    <cfRule type="containsText" dxfId="1819" priority="5711" operator="containsText" text="C">
      <formula>NOT(ISERROR(SEARCH(("C"),(AF19))))</formula>
    </cfRule>
    <cfRule type="containsText" dxfId="1818" priority="5712" operator="containsText" text="P">
      <formula>NOT(ISERROR(SEARCH(("P"),(AF19))))</formula>
    </cfRule>
    <cfRule type="containsText" dxfId="1817" priority="5713" operator="containsText" text="K">
      <formula>NOT(ISERROR(SEARCH(("K"),(AF19))))</formula>
    </cfRule>
    <cfRule type="containsText" dxfId="1816" priority="5714" operator="containsText" text="X">
      <formula>NOT(ISERROR(SEARCH(("X"),(AF19))))</formula>
    </cfRule>
    <cfRule type="containsText" dxfId="1815" priority="5715" operator="containsText" text="L">
      <formula>NOT(ISERROR(SEARCH(("L"),(AF19))))</formula>
    </cfRule>
    <cfRule type="containsText" dxfId="1814" priority="2903" operator="containsText" text="L">
      <formula>NOT(ISERROR(SEARCH(("L"),(AF19))))</formula>
    </cfRule>
    <cfRule type="containsText" dxfId="1813" priority="2902" operator="containsText" text="X">
      <formula>NOT(ISERROR(SEARCH(("X"),(AF19))))</formula>
    </cfRule>
    <cfRule type="containsText" dxfId="1812" priority="2901" operator="containsText" text="K">
      <formula>NOT(ISERROR(SEARCH(("K"),(AF19))))</formula>
    </cfRule>
    <cfRule type="containsText" dxfId="1811" priority="2900" operator="containsText" text="P">
      <formula>NOT(ISERROR(SEARCH(("P"),(AF19))))</formula>
    </cfRule>
    <cfRule type="containsText" dxfId="1810" priority="2899" operator="containsText" text="C">
      <formula>NOT(ISERROR(SEARCH(("C"),(AF19))))</formula>
    </cfRule>
    <cfRule type="containsText" dxfId="1809" priority="2898" operator="containsText" text="O">
      <formula>NOT(ISERROR(SEARCH(("O"),(AF19))))</formula>
    </cfRule>
    <cfRule type="containsText" dxfId="1808" priority="2896" operator="containsText" text="L">
      <formula>NOT(ISERROR(SEARCH(("L"),(AF19))))</formula>
    </cfRule>
    <cfRule type="containsText" dxfId="1807" priority="2895" operator="containsText" text="X">
      <formula>NOT(ISERROR(SEARCH(("X"),(AF19))))</formula>
    </cfRule>
    <cfRule type="containsText" dxfId="1806" priority="2894" operator="containsText" text="K">
      <formula>NOT(ISERROR(SEARCH(("K"),(AF19))))</formula>
    </cfRule>
    <cfRule type="containsText" dxfId="1805" priority="2897" operator="containsText" text="N">
      <formula>NOT(ISERROR(SEARCH(("N"),(AF19))))</formula>
    </cfRule>
    <cfRule type="containsText" dxfId="1804" priority="2892" operator="containsText" text="C">
      <formula>NOT(ISERROR(SEARCH(("C"),(AF19))))</formula>
    </cfRule>
    <cfRule type="containsText" dxfId="1803" priority="2891" operator="containsText" text="O">
      <formula>NOT(ISERROR(SEARCH(("O"),(AF19))))</formula>
    </cfRule>
    <cfRule type="containsText" dxfId="1802" priority="2890" operator="containsText" text="N">
      <formula>NOT(ISERROR(SEARCH(("N"),(AF19))))</formula>
    </cfRule>
    <cfRule type="containsText" dxfId="1801" priority="2893" operator="containsText" text="P">
      <formula>NOT(ISERROR(SEARCH(("P"),(AF19))))</formula>
    </cfRule>
    <cfRule type="containsText" dxfId="1800" priority="5703" operator="containsText" text="O">
      <formula>NOT(ISERROR(SEARCH(("O"),(AF19))))</formula>
    </cfRule>
    <cfRule type="containsText" dxfId="1799" priority="5704" operator="containsText" text="C">
      <formula>NOT(ISERROR(SEARCH(("C"),(AF19))))</formula>
    </cfRule>
    <cfRule type="containsText" dxfId="1798" priority="5705" operator="containsText" text="P">
      <formula>NOT(ISERROR(SEARCH(("P"),(AF19))))</formula>
    </cfRule>
  </conditionalFormatting>
  <conditionalFormatting sqref="AF20:AJ20">
    <cfRule type="containsText" dxfId="1797" priority="6750" operator="containsText" text="L">
      <formula>NOT(ISERROR(SEARCH(("L"),(AF20))))</formula>
    </cfRule>
    <cfRule type="containsText" dxfId="1796" priority="6746" operator="containsText" text="C">
      <formula>NOT(ISERROR(SEARCH(("C"),(AF20))))</formula>
    </cfRule>
    <cfRule type="containsText" dxfId="1795" priority="6745" operator="containsText" text="O">
      <formula>NOT(ISERROR(SEARCH(("O"),(AF20))))</formula>
    </cfRule>
    <cfRule type="containsText" dxfId="1794" priority="6744" operator="containsText" text="N">
      <formula>NOT(ISERROR(SEARCH(("N"),(AF20))))</formula>
    </cfRule>
    <cfRule type="containsText" dxfId="1793" priority="6743" operator="containsText" text="L">
      <formula>NOT(ISERROR(SEARCH(("L"),(AF20))))</formula>
    </cfRule>
    <cfRule type="containsText" dxfId="1792" priority="6742" operator="containsText" text="X">
      <formula>NOT(ISERROR(SEARCH(("X"),(AF20))))</formula>
    </cfRule>
    <cfRule type="containsText" dxfId="1791" priority="6737" operator="containsText" text="N">
      <formula>NOT(ISERROR(SEARCH(("N"),(AF20))))</formula>
    </cfRule>
    <cfRule type="containsText" dxfId="1790" priority="6748" operator="containsText" text="K">
      <formula>NOT(ISERROR(SEARCH(("K"),(AF20))))</formula>
    </cfRule>
    <cfRule type="containsText" dxfId="1789" priority="6739" operator="containsText" text="C">
      <formula>NOT(ISERROR(SEARCH(("C"),(AF20))))</formula>
    </cfRule>
    <cfRule type="containsText" dxfId="1788" priority="6749" operator="containsText" text="X">
      <formula>NOT(ISERROR(SEARCH(("X"),(AF20))))</formula>
    </cfRule>
    <cfRule type="containsText" dxfId="1787" priority="6741" operator="containsText" text="K">
      <formula>NOT(ISERROR(SEARCH(("K"),(AF20))))</formula>
    </cfRule>
    <cfRule type="containsText" dxfId="1786" priority="6740" operator="containsText" text="P">
      <formula>NOT(ISERROR(SEARCH(("P"),(AF20))))</formula>
    </cfRule>
    <cfRule type="containsText" dxfId="1785" priority="6747" operator="containsText" text="P">
      <formula>NOT(ISERROR(SEARCH(("P"),(AF20))))</formula>
    </cfRule>
    <cfRule type="containsText" dxfId="1784" priority="6738" operator="containsText" text="O">
      <formula>NOT(ISERROR(SEARCH(("O"),(AF20))))</formula>
    </cfRule>
  </conditionalFormatting>
  <conditionalFormatting sqref="AF21:AJ21">
    <cfRule type="containsText" dxfId="1783" priority="6526" operator="containsText" text="N">
      <formula>NOT(ISERROR(SEARCH(("N"),(AF21))))</formula>
    </cfRule>
    <cfRule type="containsText" dxfId="1782" priority="6525" operator="containsText" text="L">
      <formula>NOT(ISERROR(SEARCH(("L"),(AF21))))</formula>
    </cfRule>
    <cfRule type="containsText" dxfId="1781" priority="6524" operator="containsText" text="X">
      <formula>NOT(ISERROR(SEARCH(("X"),(AF21))))</formula>
    </cfRule>
    <cfRule type="containsText" dxfId="1780" priority="6523" operator="containsText" text="K">
      <formula>NOT(ISERROR(SEARCH(("K"),(AF21))))</formula>
    </cfRule>
    <cfRule type="containsText" dxfId="1779" priority="6522" operator="containsText" text="P">
      <formula>NOT(ISERROR(SEARCH(("P"),(AF21))))</formula>
    </cfRule>
    <cfRule type="containsText" dxfId="1778" priority="6521" operator="containsText" text="C">
      <formula>NOT(ISERROR(SEARCH(("C"),(AF21))))</formula>
    </cfRule>
    <cfRule type="containsText" dxfId="1777" priority="6520" operator="containsText" text="O">
      <formula>NOT(ISERROR(SEARCH(("O"),(AF21))))</formula>
    </cfRule>
    <cfRule type="containsText" dxfId="1776" priority="6531" operator="containsText" text="X">
      <formula>NOT(ISERROR(SEARCH(("X"),(AF21))))</formula>
    </cfRule>
    <cfRule type="containsText" dxfId="1775" priority="6519" operator="containsText" text="N">
      <formula>NOT(ISERROR(SEARCH(("N"),(AF21))))</formula>
    </cfRule>
    <cfRule type="containsText" dxfId="1774" priority="6528" operator="containsText" text="C">
      <formula>NOT(ISERROR(SEARCH(("C"),(AF21))))</formula>
    </cfRule>
    <cfRule type="containsText" dxfId="1773" priority="6529" operator="containsText" text="P">
      <formula>NOT(ISERROR(SEARCH(("P"),(AF21))))</formula>
    </cfRule>
    <cfRule type="containsText" dxfId="1772" priority="6530" operator="containsText" text="K">
      <formula>NOT(ISERROR(SEARCH(("K"),(AF21))))</formula>
    </cfRule>
    <cfRule type="containsText" dxfId="1771" priority="6527" operator="containsText" text="O">
      <formula>NOT(ISERROR(SEARCH(("O"),(AF21))))</formula>
    </cfRule>
  </conditionalFormatting>
  <conditionalFormatting sqref="AG17">
    <cfRule type="containsText" dxfId="1770" priority="3725" operator="containsText" text="K">
      <formula>NOT(ISERROR(SEARCH(("K"),(AG17))))</formula>
    </cfRule>
    <cfRule type="containsText" dxfId="1769" priority="3717" operator="containsText" text="C">
      <formula>NOT(ISERROR(SEARCH(("C"),(AG17))))</formula>
    </cfRule>
    <cfRule type="containsText" dxfId="1768" priority="3716" operator="containsText" text="O">
      <formula>NOT(ISERROR(SEARCH(("O"),(AG17))))</formula>
    </cfRule>
    <cfRule type="containsText" dxfId="1767" priority="3724" operator="containsText" text="P">
      <formula>NOT(ISERROR(SEARCH(("P"),(AG17))))</formula>
    </cfRule>
    <cfRule type="containsText" dxfId="1766" priority="3728" operator="containsText" text="N">
      <formula>NOT(ISERROR(SEARCH(("N"),(AG17))))</formula>
    </cfRule>
    <cfRule type="containsText" dxfId="1765" priority="3727" operator="containsText" text="L">
      <formula>NOT(ISERROR(SEARCH(("L"),(AG17))))</formula>
    </cfRule>
    <cfRule type="containsText" dxfId="1764" priority="3723" operator="containsText" text="C">
      <formula>NOT(ISERROR(SEARCH(("C"),(AG17))))</formula>
    </cfRule>
    <cfRule type="containsText" dxfId="1763" priority="3722" operator="containsText" text="O">
      <formula>NOT(ISERROR(SEARCH(("O"),(AG17))))</formula>
    </cfRule>
    <cfRule type="containsText" dxfId="1762" priority="3721" operator="containsText" text="L">
      <formula>NOT(ISERROR(SEARCH(("L"),(AG17))))</formula>
    </cfRule>
    <cfRule type="containsText" dxfId="1761" priority="3720" operator="containsText" text="X">
      <formula>NOT(ISERROR(SEARCH(("X"),(AG17))))</formula>
    </cfRule>
    <cfRule type="containsText" dxfId="1760" priority="3719" operator="containsText" text="K">
      <formula>NOT(ISERROR(SEARCH(("K"),(AG17))))</formula>
    </cfRule>
    <cfRule type="containsText" dxfId="1759" priority="3718" operator="containsText" text="P">
      <formula>NOT(ISERROR(SEARCH(("P"),(AG17))))</formula>
    </cfRule>
    <cfRule type="containsText" dxfId="1758" priority="3726" operator="containsText" text="X">
      <formula>NOT(ISERROR(SEARCH(("X"),(AG17))))</formula>
    </cfRule>
  </conditionalFormatting>
  <conditionalFormatting sqref="AH14:AH16">
    <cfRule type="containsText" dxfId="1757" priority="9131" operator="containsText" text="L">
      <formula>NOT(ISERROR(SEARCH(("L"),(AH14))))</formula>
    </cfRule>
    <cfRule type="containsText" dxfId="1756" priority="9130" operator="containsText" text="X">
      <formula>NOT(ISERROR(SEARCH(("X"),(AH14))))</formula>
    </cfRule>
    <cfRule type="containsText" dxfId="1755" priority="9129" operator="containsText" text="K">
      <formula>NOT(ISERROR(SEARCH(("K"),(AH14))))</formula>
    </cfRule>
    <cfRule type="containsText" dxfId="1754" priority="9128" operator="containsText" text="P">
      <formula>NOT(ISERROR(SEARCH(("P"),(AH14))))</formula>
    </cfRule>
    <cfRule type="containsText" dxfId="1753" priority="9127" operator="containsText" text="C">
      <formula>NOT(ISERROR(SEARCH(("C"),(AH14))))</formula>
    </cfRule>
    <cfRule type="containsText" dxfId="1752" priority="9126" operator="containsText" text="O">
      <formula>NOT(ISERROR(SEARCH(("O"),(AH14))))</formula>
    </cfRule>
    <cfRule type="containsText" dxfId="1751" priority="9125" operator="containsText" text="N">
      <formula>NOT(ISERROR(SEARCH(("N"),(AH14))))</formula>
    </cfRule>
  </conditionalFormatting>
  <conditionalFormatting sqref="AH18">
    <cfRule type="containsText" dxfId="1750" priority="3499" operator="containsText" text="K">
      <formula>NOT(ISERROR(SEARCH(("K"),(AH18))))</formula>
    </cfRule>
    <cfRule type="containsText" dxfId="1749" priority="3497" operator="containsText" text="C">
      <formula>NOT(ISERROR(SEARCH(("C"),(AH18))))</formula>
    </cfRule>
    <cfRule type="containsText" dxfId="1748" priority="3496" operator="containsText" text="O">
      <formula>NOT(ISERROR(SEARCH(("O"),(AH18))))</formula>
    </cfRule>
    <cfRule type="containsText" dxfId="1747" priority="3501" operator="containsText" text="L">
      <formula>NOT(ISERROR(SEARCH(("L"),(AH18))))</formula>
    </cfRule>
    <cfRule type="containsText" dxfId="1746" priority="3500" operator="containsText" text="X">
      <formula>NOT(ISERROR(SEARCH(("X"),(AH18))))</formula>
    </cfRule>
    <cfRule type="containsText" dxfId="1745" priority="3498" operator="containsText" text="P">
      <formula>NOT(ISERROR(SEARCH(("P"),(AH18))))</formula>
    </cfRule>
  </conditionalFormatting>
  <conditionalFormatting sqref="AH19">
    <cfRule type="containsText" dxfId="1744" priority="3048" operator="containsText" text="C">
      <formula>NOT(ISERROR(SEARCH(("C"),(AH19))))</formula>
    </cfRule>
    <cfRule type="containsText" dxfId="1743" priority="3046" operator="containsText" text="N">
      <formula>NOT(ISERROR(SEARCH(("N"),(AH19))))</formula>
    </cfRule>
    <cfRule type="containsText" dxfId="1742" priority="3047" operator="containsText" text="O">
      <formula>NOT(ISERROR(SEARCH(("O"),(AH19))))</formula>
    </cfRule>
    <cfRule type="containsText" dxfId="1741" priority="3050" operator="containsText" text="K">
      <formula>NOT(ISERROR(SEARCH(("K"),(AH19))))</formula>
    </cfRule>
    <cfRule type="containsText" dxfId="1740" priority="3052" operator="containsText" text="L">
      <formula>NOT(ISERROR(SEARCH(("L"),(AH19))))</formula>
    </cfRule>
    <cfRule type="containsText" dxfId="1739" priority="3051" operator="containsText" text="X">
      <formula>NOT(ISERROR(SEARCH(("X"),(AH19))))</formula>
    </cfRule>
    <cfRule type="containsText" dxfId="1738" priority="3049" operator="containsText" text="P">
      <formula>NOT(ISERROR(SEARCH(("P"),(AH19))))</formula>
    </cfRule>
  </conditionalFormatting>
  <conditionalFormatting sqref="AH13:AI13">
    <cfRule type="containsText" dxfId="1737" priority="5580" operator="containsText" text="O">
      <formula>NOT(ISERROR(SEARCH(("O"),(AH13))))</formula>
    </cfRule>
    <cfRule type="containsText" dxfId="1736" priority="5581" operator="containsText" text="C">
      <formula>NOT(ISERROR(SEARCH(("C"),(AH13))))</formula>
    </cfRule>
    <cfRule type="containsText" dxfId="1735" priority="5585" operator="containsText" text="N">
      <formula>NOT(ISERROR(SEARCH(("N"),(AH13))))</formula>
    </cfRule>
    <cfRule type="containsText" dxfId="1734" priority="5545" operator="containsText" text="O">
      <formula>NOT(ISERROR(SEARCH(("O"),(AH13))))</formula>
    </cfRule>
    <cfRule type="containsText" dxfId="1733" priority="5546" operator="containsText" text="C">
      <formula>NOT(ISERROR(SEARCH(("C"),(AH13))))</formula>
    </cfRule>
    <cfRule type="containsText" dxfId="1732" priority="5547" operator="containsText" text="P">
      <formula>NOT(ISERROR(SEARCH(("P"),(AH13))))</formula>
    </cfRule>
    <cfRule type="containsText" dxfId="1731" priority="5548" operator="containsText" text="K">
      <formula>NOT(ISERROR(SEARCH(("K"),(AH13))))</formula>
    </cfRule>
    <cfRule type="containsText" dxfId="1730" priority="5582" operator="containsText" text="P">
      <formula>NOT(ISERROR(SEARCH(("P"),(AH13))))</formula>
    </cfRule>
    <cfRule type="containsText" dxfId="1729" priority="5583" operator="containsText" text="K">
      <formula>NOT(ISERROR(SEARCH(("K"),(AH13))))</formula>
    </cfRule>
    <cfRule type="containsText" dxfId="1728" priority="5587" operator="containsText" text="C">
      <formula>NOT(ISERROR(SEARCH(("C"),(AH13))))</formula>
    </cfRule>
    <cfRule type="containsText" dxfId="1727" priority="5576" operator="containsText" text="P">
      <formula>NOT(ISERROR(SEARCH(("P"),(AH13))))</formula>
    </cfRule>
    <cfRule type="containsText" dxfId="1726" priority="5549" operator="containsText" text="X">
      <formula>NOT(ISERROR(SEARCH(("X"),(AH13))))</formula>
    </cfRule>
    <cfRule type="containsText" dxfId="1725" priority="5555" operator="containsText" text="C">
      <formula>NOT(ISERROR(SEARCH(("C"),(AH13))))</formula>
    </cfRule>
    <cfRule type="containsText" dxfId="1724" priority="5556" operator="containsText" text="P">
      <formula>NOT(ISERROR(SEARCH(("P"),(AH13))))</formula>
    </cfRule>
    <cfRule type="containsText" dxfId="1723" priority="5557" operator="containsText" text="K">
      <formula>NOT(ISERROR(SEARCH(("K"),(AH13))))</formula>
    </cfRule>
    <cfRule type="containsText" dxfId="1722" priority="5558" operator="containsText" text="X">
      <formula>NOT(ISERROR(SEARCH(("X"),(AH13))))</formula>
    </cfRule>
    <cfRule type="expression" dxfId="1721" priority="5551">
      <formula>WEEKDAY(AH$8)=1</formula>
    </cfRule>
    <cfRule type="containsText" dxfId="1720" priority="5552" operator="containsText" text="L">
      <formula>NOT(ISERROR(SEARCH(("L"),(AH13))))</formula>
    </cfRule>
    <cfRule type="containsText" dxfId="1719" priority="5553" operator="containsText" text="N">
      <formula>NOT(ISERROR(SEARCH(("N"),(AH13))))</formula>
    </cfRule>
    <cfRule type="containsText" dxfId="1718" priority="5554" operator="containsText" text="O">
      <formula>NOT(ISERROR(SEARCH(("O"),(AH13))))</formula>
    </cfRule>
    <cfRule type="containsText" dxfId="1717" priority="5559" operator="containsText" text="N">
      <formula>NOT(ISERROR(SEARCH(("N"),(AH13))))</formula>
    </cfRule>
    <cfRule type="containsText" dxfId="1716" priority="5560" operator="containsText" text="O">
      <formula>NOT(ISERROR(SEARCH(("O"),(AH13))))</formula>
    </cfRule>
    <cfRule type="containsText" dxfId="1715" priority="5561" operator="containsText" text="C">
      <formula>NOT(ISERROR(SEARCH(("C"),(AH13))))</formula>
    </cfRule>
    <cfRule type="containsText" dxfId="1714" priority="5562" operator="containsText" text="P">
      <formula>NOT(ISERROR(SEARCH(("P"),(AH13))))</formula>
    </cfRule>
    <cfRule type="containsText" dxfId="1713" priority="5550" operator="containsText" text="N">
      <formula>NOT(ISERROR(SEARCH(("N"),(AH13))))</formula>
    </cfRule>
    <cfRule type="containsText" dxfId="1712" priority="5563" operator="containsText" text="K">
      <formula>NOT(ISERROR(SEARCH(("K"),(AH13))))</formula>
    </cfRule>
    <cfRule type="containsText" dxfId="1711" priority="5564" operator="containsText" text="X">
      <formula>NOT(ISERROR(SEARCH(("X"),(AH13))))</formula>
    </cfRule>
    <cfRule type="containsText" dxfId="1710" priority="5565" operator="containsText" text="L">
      <formula>NOT(ISERROR(SEARCH(("L"),(AH13))))</formula>
    </cfRule>
    <cfRule type="containsText" dxfId="1709" priority="5566" operator="containsText" text="N">
      <formula>NOT(ISERROR(SEARCH(("N"),(AH13))))</formula>
    </cfRule>
    <cfRule type="containsText" dxfId="1708" priority="5567" operator="containsText" text="O">
      <formula>NOT(ISERROR(SEARCH(("O"),(AH13))))</formula>
    </cfRule>
    <cfRule type="containsText" dxfId="1707" priority="5591" operator="containsText" text="L">
      <formula>NOT(ISERROR(SEARCH(("L"),(AH13))))</formula>
    </cfRule>
    <cfRule type="containsText" dxfId="1706" priority="5590" operator="containsText" text="X">
      <formula>NOT(ISERROR(SEARCH(("X"),(AH13))))</formula>
    </cfRule>
    <cfRule type="containsText" dxfId="1705" priority="5589" operator="containsText" text="K">
      <formula>NOT(ISERROR(SEARCH(("K"),(AH13))))</formula>
    </cfRule>
    <cfRule type="containsText" dxfId="1704" priority="5588" operator="containsText" text="P">
      <formula>NOT(ISERROR(SEARCH(("P"),(AH13))))</formula>
    </cfRule>
    <cfRule type="containsText" dxfId="1703" priority="5568" operator="containsText" text="C">
      <formula>NOT(ISERROR(SEARCH(("C"),(AH13))))</formula>
    </cfRule>
    <cfRule type="containsText" dxfId="1702" priority="5569" operator="containsText" text="P">
      <formula>NOT(ISERROR(SEARCH(("P"),(AH13))))</formula>
    </cfRule>
    <cfRule type="containsText" dxfId="1701" priority="5570" operator="containsText" text="K">
      <formula>NOT(ISERROR(SEARCH(("K"),(AH13))))</formula>
    </cfRule>
    <cfRule type="containsText" dxfId="1700" priority="5579" operator="containsText" text="L">
      <formula>NOT(ISERROR(SEARCH(("L"),(AH13))))</formula>
    </cfRule>
    <cfRule type="containsText" dxfId="1699" priority="5584" operator="containsText" text="X">
      <formula>NOT(ISERROR(SEARCH(("X"),(AH13))))</formula>
    </cfRule>
    <cfRule type="containsText" dxfId="1698" priority="5571" operator="containsText" text="X">
      <formula>NOT(ISERROR(SEARCH(("X"),(AH13))))</formula>
    </cfRule>
    <cfRule type="containsText" dxfId="1697" priority="5572" operator="containsText" text="L">
      <formula>NOT(ISERROR(SEARCH(("L"),(AH13))))</formula>
    </cfRule>
    <cfRule type="containsText" dxfId="1696" priority="5573" operator="containsText" text="N">
      <formula>NOT(ISERROR(SEARCH(("N"),(AH13))))</formula>
    </cfRule>
    <cfRule type="containsText" dxfId="1695" priority="5574" operator="containsText" text="O">
      <formula>NOT(ISERROR(SEARCH(("O"),(AH13))))</formula>
    </cfRule>
    <cfRule type="containsText" dxfId="1694" priority="5575" operator="containsText" text="C">
      <formula>NOT(ISERROR(SEARCH(("C"),(AH13))))</formula>
    </cfRule>
    <cfRule type="containsText" dxfId="1693" priority="5577" operator="containsText" text="K">
      <formula>NOT(ISERROR(SEARCH(("K"),(AH13))))</formula>
    </cfRule>
    <cfRule type="containsText" dxfId="1692" priority="5578" operator="containsText" text="X">
      <formula>NOT(ISERROR(SEARCH(("X"),(AH13))))</formula>
    </cfRule>
    <cfRule type="containsText" dxfId="1691" priority="5586" operator="containsText" text="O">
      <formula>NOT(ISERROR(SEARCH(("O"),(AH13))))</formula>
    </cfRule>
  </conditionalFormatting>
  <conditionalFormatting sqref="AH12:AJ12">
    <cfRule type="containsText" dxfId="1690" priority="6042" operator="containsText" text="N">
      <formula>NOT(ISERROR(SEARCH(("N"),(AH12))))</formula>
    </cfRule>
    <cfRule type="containsText" dxfId="1689" priority="6043" operator="containsText" text="O">
      <formula>NOT(ISERROR(SEARCH(("O"),(AH12))))</formula>
    </cfRule>
    <cfRule type="containsText" dxfId="1688" priority="6044" operator="containsText" text="C">
      <formula>NOT(ISERROR(SEARCH(("C"),(AH12))))</formula>
    </cfRule>
    <cfRule type="containsText" dxfId="1687" priority="6045" operator="containsText" text="P">
      <formula>NOT(ISERROR(SEARCH(("P"),(AH12))))</formula>
    </cfRule>
    <cfRule type="containsText" dxfId="1686" priority="6046" operator="containsText" text="K">
      <formula>NOT(ISERROR(SEARCH(("K"),(AH12))))</formula>
    </cfRule>
    <cfRule type="containsText" dxfId="1685" priority="5994" operator="containsText" text="P">
      <formula>NOT(ISERROR(SEARCH(("P"),(AH12))))</formula>
    </cfRule>
    <cfRule type="containsText" dxfId="1684" priority="5997" operator="containsText" text="L">
      <formula>NOT(ISERROR(SEARCH(("L"),(AH12))))</formula>
    </cfRule>
    <cfRule type="containsText" dxfId="1683" priority="6048" operator="containsText" text="L">
      <formula>NOT(ISERROR(SEARCH(("L"),(AH12))))</formula>
    </cfRule>
    <cfRule type="containsText" dxfId="1682" priority="6047" operator="containsText" text="X">
      <formula>NOT(ISERROR(SEARCH(("X"),(AH12))))</formula>
    </cfRule>
    <cfRule type="containsText" dxfId="1681" priority="5991" operator="containsText" text="N">
      <formula>NOT(ISERROR(SEARCH(("N"),(AH12))))</formula>
    </cfRule>
    <cfRule type="containsText" dxfId="1680" priority="5992" operator="containsText" text="O">
      <formula>NOT(ISERROR(SEARCH(("O"),(AH12))))</formula>
    </cfRule>
    <cfRule type="containsText" dxfId="1679" priority="5993" operator="containsText" text="C">
      <formula>NOT(ISERROR(SEARCH(("C"),(AH12))))</formula>
    </cfRule>
    <cfRule type="containsText" dxfId="1678" priority="5995" operator="containsText" text="K">
      <formula>NOT(ISERROR(SEARCH(("K"),(AH12))))</formula>
    </cfRule>
    <cfRule type="containsText" dxfId="1677" priority="5996" operator="containsText" text="X">
      <formula>NOT(ISERROR(SEARCH(("X"),(AH12))))</formula>
    </cfRule>
  </conditionalFormatting>
  <conditionalFormatting sqref="AH14:AJ14">
    <cfRule type="containsText" dxfId="1676" priority="7605" operator="containsText" text="P">
      <formula>NOT(ISERROR(SEARCH(("P"),(AH14))))</formula>
    </cfRule>
    <cfRule type="containsText" dxfId="1675" priority="7606" operator="containsText" text="K">
      <formula>NOT(ISERROR(SEARCH(("K"),(AH14))))</formula>
    </cfRule>
    <cfRule type="containsText" dxfId="1674" priority="7608" operator="containsText" text="L">
      <formula>NOT(ISERROR(SEARCH(("L"),(AH14))))</formula>
    </cfRule>
    <cfRule type="containsText" dxfId="1673" priority="7602" operator="containsText" text="N">
      <formula>NOT(ISERROR(SEARCH(("N"),(AH14))))</formula>
    </cfRule>
    <cfRule type="containsText" dxfId="1672" priority="7603" operator="containsText" text="O">
      <formula>NOT(ISERROR(SEARCH(("O"),(AH14))))</formula>
    </cfRule>
    <cfRule type="containsText" dxfId="1671" priority="7604" operator="containsText" text="C">
      <formula>NOT(ISERROR(SEARCH(("C"),(AH14))))</formula>
    </cfRule>
    <cfRule type="containsText" dxfId="1670" priority="7607" operator="containsText" text="X">
      <formula>NOT(ISERROR(SEARCH(("X"),(AH14))))</formula>
    </cfRule>
  </conditionalFormatting>
  <conditionalFormatting sqref="AH15:AJ15">
    <cfRule type="containsText" dxfId="1669" priority="7406" operator="containsText" text="N">
      <formula>NOT(ISERROR(SEARCH(("N"),(AH15))))</formula>
    </cfRule>
    <cfRule type="containsText" dxfId="1668" priority="7408" operator="containsText" text="C">
      <formula>NOT(ISERROR(SEARCH(("C"),(AH15))))</formula>
    </cfRule>
    <cfRule type="containsText" dxfId="1667" priority="7409" operator="containsText" text="P">
      <formula>NOT(ISERROR(SEARCH(("P"),(AH15))))</formula>
    </cfRule>
    <cfRule type="containsText" dxfId="1666" priority="7412" operator="containsText" text="L">
      <formula>NOT(ISERROR(SEARCH(("L"),(AH15))))</formula>
    </cfRule>
    <cfRule type="containsText" dxfId="1665" priority="7411" operator="containsText" text="X">
      <formula>NOT(ISERROR(SEARCH(("X"),(AH15))))</formula>
    </cfRule>
    <cfRule type="containsText" dxfId="1664" priority="7410" operator="containsText" text="K">
      <formula>NOT(ISERROR(SEARCH(("K"),(AH15))))</formula>
    </cfRule>
    <cfRule type="containsText" dxfId="1663" priority="7407" operator="containsText" text="O">
      <formula>NOT(ISERROR(SEARCH(("O"),(AH15))))</formula>
    </cfRule>
  </conditionalFormatting>
  <conditionalFormatting sqref="AH16:AJ16">
    <cfRule type="containsText" dxfId="1662" priority="7076" operator="containsText" text="O">
      <formula>NOT(ISERROR(SEARCH(("O"),(AH16))))</formula>
    </cfRule>
    <cfRule type="containsText" dxfId="1661" priority="7077" operator="containsText" text="C">
      <formula>NOT(ISERROR(SEARCH(("C"),(AH16))))</formula>
    </cfRule>
    <cfRule type="containsText" dxfId="1660" priority="7080" operator="containsText" text="X">
      <formula>NOT(ISERROR(SEARCH(("X"),(AH16))))</formula>
    </cfRule>
    <cfRule type="containsText" dxfId="1659" priority="7078" operator="containsText" text="P">
      <formula>NOT(ISERROR(SEARCH(("P"),(AH16))))</formula>
    </cfRule>
    <cfRule type="containsText" dxfId="1658" priority="7079" operator="containsText" text="K">
      <formula>NOT(ISERROR(SEARCH(("K"),(AH16))))</formula>
    </cfRule>
    <cfRule type="containsText" dxfId="1657" priority="7081" operator="containsText" text="L">
      <formula>NOT(ISERROR(SEARCH(("L"),(AH16))))</formula>
    </cfRule>
    <cfRule type="containsText" dxfId="1656" priority="7075" operator="containsText" text="N">
      <formula>NOT(ISERROR(SEARCH(("N"),(AH16))))</formula>
    </cfRule>
  </conditionalFormatting>
  <conditionalFormatting sqref="AH17:AJ17">
    <cfRule type="containsText" dxfId="1655" priority="7227" operator="containsText" text="K">
      <formula>NOT(ISERROR(SEARCH(("K"),(AH17))))</formula>
    </cfRule>
    <cfRule type="containsText" dxfId="1654" priority="7225" operator="containsText" text="C">
      <formula>NOT(ISERROR(SEARCH(("C"),(AH17))))</formula>
    </cfRule>
    <cfRule type="containsText" dxfId="1653" priority="7224" operator="containsText" text="O">
      <formula>NOT(ISERROR(SEARCH(("O"),(AH17))))</formula>
    </cfRule>
    <cfRule type="containsText" dxfId="1652" priority="7229" operator="containsText" text="L">
      <formula>NOT(ISERROR(SEARCH(("L"),(AH17))))</formula>
    </cfRule>
    <cfRule type="containsText" dxfId="1651" priority="7223" operator="containsText" text="N">
      <formula>NOT(ISERROR(SEARCH(("N"),(AH17))))</formula>
    </cfRule>
    <cfRule type="containsText" dxfId="1650" priority="7228" operator="containsText" text="X">
      <formula>NOT(ISERROR(SEARCH(("X"),(AH17))))</formula>
    </cfRule>
    <cfRule type="containsText" dxfId="1649" priority="7226" operator="containsText" text="P">
      <formula>NOT(ISERROR(SEARCH(("P"),(AH17))))</formula>
    </cfRule>
  </conditionalFormatting>
  <conditionalFormatting sqref="AH18:AJ18">
    <cfRule type="containsText" dxfId="1648" priority="3451" operator="containsText" text="X">
      <formula>NOT(ISERROR(SEARCH(("X"),(AH18))))</formula>
    </cfRule>
    <cfRule type="containsText" dxfId="1647" priority="3450" operator="containsText" text="K">
      <formula>NOT(ISERROR(SEARCH(("K"),(AH18))))</formula>
    </cfRule>
    <cfRule type="containsText" dxfId="1646" priority="3449" operator="containsText" text="P">
      <formula>NOT(ISERROR(SEARCH(("P"),(AH18))))</formula>
    </cfRule>
    <cfRule type="containsText" dxfId="1645" priority="3448" operator="containsText" text="C">
      <formula>NOT(ISERROR(SEARCH(("C"),(AH18))))</formula>
    </cfRule>
    <cfRule type="containsText" dxfId="1644" priority="3452" operator="containsText" text="L">
      <formula>NOT(ISERROR(SEARCH(("L"),(AH18))))</formula>
    </cfRule>
    <cfRule type="containsText" dxfId="1643" priority="3446" operator="containsText" text="N">
      <formula>NOT(ISERROR(SEARCH(("N"),(AH18))))</formula>
    </cfRule>
    <cfRule type="containsText" dxfId="1642" priority="3447" operator="containsText" text="O">
      <formula>NOT(ISERROR(SEARCH(("O"),(AH18))))</formula>
    </cfRule>
  </conditionalFormatting>
  <conditionalFormatting sqref="AH19:AJ19">
    <cfRule type="containsText" dxfId="1641" priority="5808" operator="containsText" text="N">
      <formula>NOT(ISERROR(SEARCH(("N"),(AH19))))</formula>
    </cfRule>
    <cfRule type="containsText" dxfId="1640" priority="3002" operator="containsText" text="X">
      <formula>NOT(ISERROR(SEARCH(("X"),(AH19))))</formula>
    </cfRule>
    <cfRule type="containsText" dxfId="1639" priority="3001" operator="containsText" text="K">
      <formula>NOT(ISERROR(SEARCH(("K"),(AH19))))</formula>
    </cfRule>
    <cfRule type="containsText" dxfId="1638" priority="2997" operator="containsText" text="N">
      <formula>NOT(ISERROR(SEARCH(("N"),(AH19))))</formula>
    </cfRule>
    <cfRule type="containsText" dxfId="1637" priority="2998" operator="containsText" text="O">
      <formula>NOT(ISERROR(SEARCH(("O"),(AH19))))</formula>
    </cfRule>
    <cfRule type="containsText" dxfId="1636" priority="2999" operator="containsText" text="C">
      <formula>NOT(ISERROR(SEARCH(("C"),(AH19))))</formula>
    </cfRule>
    <cfRule type="containsText" dxfId="1635" priority="5811" operator="containsText" text="P">
      <formula>NOT(ISERROR(SEARCH(("P"),(AH19))))</formula>
    </cfRule>
    <cfRule type="containsText" dxfId="1634" priority="3003" operator="containsText" text="L">
      <formula>NOT(ISERROR(SEARCH(("L"),(AH19))))</formula>
    </cfRule>
    <cfRule type="containsText" dxfId="1633" priority="3000" operator="containsText" text="P">
      <formula>NOT(ISERROR(SEARCH(("P"),(AH19))))</formula>
    </cfRule>
    <cfRule type="containsText" dxfId="1632" priority="5809" operator="containsText" text="O">
      <formula>NOT(ISERROR(SEARCH(("O"),(AH19))))</formula>
    </cfRule>
    <cfRule type="containsText" dxfId="1631" priority="5814" operator="containsText" text="L">
      <formula>NOT(ISERROR(SEARCH(("L"),(AH19))))</formula>
    </cfRule>
    <cfRule type="containsText" dxfId="1630" priority="5813" operator="containsText" text="X">
      <formula>NOT(ISERROR(SEARCH(("X"),(AH19))))</formula>
    </cfRule>
    <cfRule type="containsText" dxfId="1629" priority="5812" operator="containsText" text="K">
      <formula>NOT(ISERROR(SEARCH(("K"),(AH19))))</formula>
    </cfRule>
    <cfRule type="containsText" dxfId="1628" priority="5810" operator="containsText" text="C">
      <formula>NOT(ISERROR(SEARCH(("C"),(AH19))))</formula>
    </cfRule>
  </conditionalFormatting>
  <conditionalFormatting sqref="AH20:AJ20">
    <cfRule type="containsText" dxfId="1627" priority="6843" operator="containsText" text="N">
      <formula>NOT(ISERROR(SEARCH(("N"),(AH20))))</formula>
    </cfRule>
    <cfRule type="containsText" dxfId="1626" priority="6897" operator="containsText" text="X">
      <formula>NOT(ISERROR(SEARCH(("X"),(AH20))))</formula>
    </cfRule>
    <cfRule type="containsText" dxfId="1625" priority="6845" operator="containsText" text="C">
      <formula>NOT(ISERROR(SEARCH(("C"),(AH20))))</formula>
    </cfRule>
    <cfRule type="containsText" dxfId="1624" priority="6846" operator="containsText" text="P">
      <formula>NOT(ISERROR(SEARCH(("P"),(AH20))))</formula>
    </cfRule>
    <cfRule type="containsText" dxfId="1623" priority="6848" operator="containsText" text="X">
      <formula>NOT(ISERROR(SEARCH(("X"),(AH20))))</formula>
    </cfRule>
    <cfRule type="containsText" dxfId="1622" priority="6892" operator="containsText" text="N">
      <formula>NOT(ISERROR(SEARCH(("N"),(AH20))))</formula>
    </cfRule>
    <cfRule type="containsText" dxfId="1621" priority="6898" operator="containsText" text="L">
      <formula>NOT(ISERROR(SEARCH(("L"),(AH20))))</formula>
    </cfRule>
    <cfRule type="containsText" dxfId="1620" priority="6844" operator="containsText" text="O">
      <formula>NOT(ISERROR(SEARCH(("O"),(AH20))))</formula>
    </cfRule>
    <cfRule type="containsText" dxfId="1619" priority="6847" operator="containsText" text="K">
      <formula>NOT(ISERROR(SEARCH(("K"),(AH20))))</formula>
    </cfRule>
    <cfRule type="containsText" dxfId="1618" priority="6896" operator="containsText" text="K">
      <formula>NOT(ISERROR(SEARCH(("K"),(AH20))))</formula>
    </cfRule>
    <cfRule type="containsText" dxfId="1617" priority="6895" operator="containsText" text="P">
      <formula>NOT(ISERROR(SEARCH(("P"),(AH20))))</formula>
    </cfRule>
    <cfRule type="containsText" dxfId="1616" priority="6894" operator="containsText" text="C">
      <formula>NOT(ISERROR(SEARCH(("C"),(AH20))))</formula>
    </cfRule>
    <cfRule type="containsText" dxfId="1615" priority="6893" operator="containsText" text="O">
      <formula>NOT(ISERROR(SEARCH(("O"),(AH20))))</formula>
    </cfRule>
    <cfRule type="containsText" dxfId="1614" priority="6849" operator="containsText" text="L">
      <formula>NOT(ISERROR(SEARCH(("L"),(AH20))))</formula>
    </cfRule>
  </conditionalFormatting>
  <conditionalFormatting sqref="AH21:AJ21">
    <cfRule type="containsText" dxfId="1613" priority="6626" operator="containsText" text="O">
      <formula>NOT(ISERROR(SEARCH(("O"),(AH21))))</formula>
    </cfRule>
    <cfRule type="containsText" dxfId="1612" priority="6625" operator="containsText" text="N">
      <formula>NOT(ISERROR(SEARCH(("N"),(AH21))))</formula>
    </cfRule>
    <cfRule type="containsText" dxfId="1611" priority="6631" operator="containsText" text="L">
      <formula>NOT(ISERROR(SEARCH(("L"),(AH21))))</formula>
    </cfRule>
    <cfRule type="containsText" dxfId="1610" priority="6628" operator="containsText" text="P">
      <formula>NOT(ISERROR(SEARCH(("P"),(AH21))))</formula>
    </cfRule>
    <cfRule type="containsText" dxfId="1609" priority="6630" operator="containsText" text="X">
      <formula>NOT(ISERROR(SEARCH(("X"),(AH21))))</formula>
    </cfRule>
    <cfRule type="containsText" dxfId="1608" priority="6629" operator="containsText" text="K">
      <formula>NOT(ISERROR(SEARCH(("K"),(AH21))))</formula>
    </cfRule>
    <cfRule type="containsText" dxfId="1607" priority="6627" operator="containsText" text="C">
      <formula>NOT(ISERROR(SEARCH(("C"),(AH21))))</formula>
    </cfRule>
  </conditionalFormatting>
  <conditionalFormatting sqref="AH16:AK16">
    <cfRule type="containsText" dxfId="1606" priority="8654" operator="containsText" text="L">
      <formula>NOT(ISERROR(SEARCH(("L"),(AH16))))</formula>
    </cfRule>
  </conditionalFormatting>
  <conditionalFormatting sqref="AH18:AK18">
    <cfRule type="containsText" dxfId="1605" priority="8772" operator="containsText" text="O">
      <formula>NOT(ISERROR(SEARCH(("O"),(AH18))))</formula>
    </cfRule>
    <cfRule type="containsText" dxfId="1604" priority="8773" operator="containsText" text="C">
      <formula>NOT(ISERROR(SEARCH(("C"),(AH18))))</formula>
    </cfRule>
    <cfRule type="containsText" dxfId="1603" priority="8774" operator="containsText" text="P">
      <formula>NOT(ISERROR(SEARCH(("P"),(AH18))))</formula>
    </cfRule>
    <cfRule type="containsText" dxfId="1602" priority="8775" operator="containsText" text="K">
      <formula>NOT(ISERROR(SEARCH(("K"),(AH18))))</formula>
    </cfRule>
    <cfRule type="containsText" dxfId="1601" priority="8776" operator="containsText" text="X">
      <formula>NOT(ISERROR(SEARCH(("X"),(AH18))))</formula>
    </cfRule>
    <cfRule type="containsText" dxfId="1600" priority="8771" operator="containsText" text="N">
      <formula>NOT(ISERROR(SEARCH(("N"),(AH18))))</formula>
    </cfRule>
    <cfRule type="containsText" dxfId="1599" priority="8777" operator="containsText" text="L">
      <formula>NOT(ISERROR(SEARCH(("L"),(AH18))))</formula>
    </cfRule>
    <cfRule type="containsText" dxfId="1598" priority="8817" operator="containsText" text="L">
      <formula>NOT(ISERROR(SEARCH(("L"),(AH18))))</formula>
    </cfRule>
    <cfRule type="containsText" dxfId="1597" priority="3495" operator="containsText" text="N">
      <formula>NOT(ISERROR(SEARCH(("N"),(AH18))))</formula>
    </cfRule>
    <cfRule type="containsText" dxfId="1596" priority="3554" operator="containsText" text="L">
      <formula>NOT(ISERROR(SEARCH(("L"),(AH18))))</formula>
    </cfRule>
  </conditionalFormatting>
  <conditionalFormatting sqref="AH19:AK19">
    <cfRule type="containsText" dxfId="1595" priority="8209" operator="containsText" text="O">
      <formula>NOT(ISERROR(SEARCH(("O"),(AH19))))</formula>
    </cfRule>
    <cfRule type="containsText" dxfId="1594" priority="8208" operator="containsText" text="N">
      <formula>NOT(ISERROR(SEARCH(("N"),(AH19))))</formula>
    </cfRule>
    <cfRule type="containsText" dxfId="1593" priority="8213" operator="containsText" text="X">
      <formula>NOT(ISERROR(SEARCH(("X"),(AH19))))</formula>
    </cfRule>
    <cfRule type="containsText" dxfId="1592" priority="8212" operator="containsText" text="K">
      <formula>NOT(ISERROR(SEARCH(("K"),(AH19))))</formula>
    </cfRule>
    <cfRule type="containsText" dxfId="1591" priority="8211" operator="containsText" text="P">
      <formula>NOT(ISERROR(SEARCH(("P"),(AH19))))</formula>
    </cfRule>
    <cfRule type="containsText" dxfId="1590" priority="8210" operator="containsText" text="C">
      <formula>NOT(ISERROR(SEARCH(("C"),(AH19))))</formula>
    </cfRule>
    <cfRule type="containsText" dxfId="1589" priority="8261" operator="containsText" text="L">
      <formula>NOT(ISERROR(SEARCH(("L"),(AH19))))</formula>
    </cfRule>
    <cfRule type="containsText" dxfId="1588" priority="3105" operator="containsText" text="L">
      <formula>NOT(ISERROR(SEARCH(("L"),(AH19))))</formula>
    </cfRule>
    <cfRule type="containsText" dxfId="1587" priority="8214" operator="containsText" text="L">
      <formula>NOT(ISERROR(SEARCH(("L"),(AH19))))</formula>
    </cfRule>
  </conditionalFormatting>
  <conditionalFormatting sqref="AH14:AL14">
    <cfRule type="containsText" dxfId="1586" priority="9177" operator="containsText" text="L">
      <formula>NOT(ISERROR(SEARCH(("L"),(AH14))))</formula>
    </cfRule>
  </conditionalFormatting>
  <conditionalFormatting sqref="AH15:AL15">
    <cfRule type="containsText" dxfId="1585" priority="9301" operator="containsText" text="L">
      <formula>NOT(ISERROR(SEARCH(("L"),(AH15))))</formula>
    </cfRule>
  </conditionalFormatting>
  <conditionalFormatting sqref="AI12 U22:X26 AA22:AB26 I12:J12 AB12:AD12 V23:Z23 V24:AB24">
    <cfRule type="containsText" dxfId="1584" priority="5910" operator="containsText" text="X">
      <formula>NOT(ISERROR(SEARCH(("X"),(I12))))</formula>
    </cfRule>
    <cfRule type="containsText" dxfId="1583" priority="5908" operator="containsText" text="P">
      <formula>NOT(ISERROR(SEARCH(("P"),(I12))))</formula>
    </cfRule>
    <cfRule type="containsText" dxfId="1582" priority="5907" operator="containsText" text="C">
      <formula>NOT(ISERROR(SEARCH(("C"),(I12))))</formula>
    </cfRule>
    <cfRule type="containsText" dxfId="1581" priority="5909" operator="containsText" text="K">
      <formula>NOT(ISERROR(SEARCH(("K"),(I12))))</formula>
    </cfRule>
    <cfRule type="containsText" dxfId="1580" priority="5906" operator="containsText" text="O">
      <formula>NOT(ISERROR(SEARCH(("O"),(I12))))</formula>
    </cfRule>
  </conditionalFormatting>
  <conditionalFormatting sqref="AI12">
    <cfRule type="containsText" dxfId="1579" priority="5838" operator="containsText" text="P">
      <formula>NOT(ISERROR(SEARCH(("P"),(AI12))))</formula>
    </cfRule>
    <cfRule type="containsText" dxfId="1578" priority="5836" operator="containsText" text="O">
      <formula>NOT(ISERROR(SEARCH(("O"),(AI12))))</formula>
    </cfRule>
    <cfRule type="containsText" dxfId="1577" priority="5837" operator="containsText" text="C">
      <formula>NOT(ISERROR(SEARCH(("C"),(AI12))))</formula>
    </cfRule>
    <cfRule type="containsText" dxfId="1576" priority="5841" operator="containsText" text="L">
      <formula>NOT(ISERROR(SEARCH(("L"),(AI12))))</formula>
    </cfRule>
    <cfRule type="containsText" dxfId="1575" priority="5840" operator="containsText" text="X">
      <formula>NOT(ISERROR(SEARCH(("X"),(AI12))))</formula>
    </cfRule>
    <cfRule type="containsText" dxfId="1574" priority="5839" operator="containsText" text="K">
      <formula>NOT(ISERROR(SEARCH(("K"),(AI12))))</formula>
    </cfRule>
  </conditionalFormatting>
  <conditionalFormatting sqref="AI14">
    <cfRule type="containsText" dxfId="1573" priority="7457" operator="containsText" text="K">
      <formula>NOT(ISERROR(SEARCH(("K"),(AI14))))</formula>
    </cfRule>
    <cfRule type="containsText" dxfId="1572" priority="7455" operator="containsText" text="C">
      <formula>NOT(ISERROR(SEARCH(("C"),(AI14))))</formula>
    </cfRule>
    <cfRule type="containsText" dxfId="1571" priority="7456" operator="containsText" text="P">
      <formula>NOT(ISERROR(SEARCH(("P"),(AI14))))</formula>
    </cfRule>
    <cfRule type="containsText" dxfId="1570" priority="7458" operator="containsText" text="X">
      <formula>NOT(ISERROR(SEARCH(("X"),(AI14))))</formula>
    </cfRule>
    <cfRule type="containsText" dxfId="1569" priority="7459" operator="containsText" text="L">
      <formula>NOT(ISERROR(SEARCH(("L"),(AI14))))</formula>
    </cfRule>
    <cfRule type="containsText" dxfId="1568" priority="7453" operator="containsText" text="N">
      <formula>NOT(ISERROR(SEARCH(("N"),(AI14))))</formula>
    </cfRule>
    <cfRule type="containsText" dxfId="1567" priority="7454" operator="containsText" text="O">
      <formula>NOT(ISERROR(SEARCH(("O"),(AI14))))</formula>
    </cfRule>
  </conditionalFormatting>
  <conditionalFormatting sqref="AI14:AI19">
    <cfRule type="containsText" dxfId="1566" priority="7263" operator="containsText" text="L">
      <formula>NOT(ISERROR(SEARCH(("L"),(AI14))))</formula>
    </cfRule>
    <cfRule type="containsText" dxfId="1565" priority="7260" operator="containsText" text="P">
      <formula>NOT(ISERROR(SEARCH(("P"),(AI14))))</formula>
    </cfRule>
    <cfRule type="containsText" dxfId="1564" priority="7259" operator="containsText" text="C">
      <formula>NOT(ISERROR(SEARCH(("C"),(AI14))))</formula>
    </cfRule>
    <cfRule type="containsText" dxfId="1563" priority="7261" operator="containsText" text="K">
      <formula>NOT(ISERROR(SEARCH(("K"),(AI14))))</formula>
    </cfRule>
    <cfRule type="containsText" dxfId="1562" priority="7262" operator="containsText" text="X">
      <formula>NOT(ISERROR(SEARCH(("X"),(AI14))))</formula>
    </cfRule>
    <cfRule type="containsText" dxfId="1561" priority="7258" operator="containsText" text="O">
      <formula>NOT(ISERROR(SEARCH(("O"),(AI14))))</formula>
    </cfRule>
  </conditionalFormatting>
  <conditionalFormatting sqref="AI15">
    <cfRule type="containsText" dxfId="1560" priority="7251" operator="containsText" text="O">
      <formula>NOT(ISERROR(SEARCH(("O"),(AI15))))</formula>
    </cfRule>
    <cfRule type="containsText" dxfId="1559" priority="7252" operator="containsText" text="C">
      <formula>NOT(ISERROR(SEARCH(("C"),(AI15))))</formula>
    </cfRule>
    <cfRule type="containsText" dxfId="1558" priority="7253" operator="containsText" text="P">
      <formula>NOT(ISERROR(SEARCH(("P"),(AI15))))</formula>
    </cfRule>
    <cfRule type="containsText" dxfId="1557" priority="7254" operator="containsText" text="K">
      <formula>NOT(ISERROR(SEARCH(("K"),(AI15))))</formula>
    </cfRule>
    <cfRule type="containsText" dxfId="1556" priority="7255" operator="containsText" text="X">
      <formula>NOT(ISERROR(SEARCH(("X"),(AI15))))</formula>
    </cfRule>
    <cfRule type="containsText" dxfId="1555" priority="7256" operator="containsText" text="L">
      <formula>NOT(ISERROR(SEARCH(("L"),(AI15))))</formula>
    </cfRule>
    <cfRule type="containsText" dxfId="1554" priority="7257" operator="containsText" text="N">
      <formula>NOT(ISERROR(SEARCH(("N"),(AI15))))</formula>
    </cfRule>
  </conditionalFormatting>
  <conditionalFormatting sqref="AI16:AI19">
    <cfRule type="containsText" dxfId="1553" priority="7653" operator="containsText" text="K">
      <formula>NOT(ISERROR(SEARCH(("K"),(AI16))))</formula>
    </cfRule>
    <cfRule type="containsText" dxfId="1552" priority="7652" operator="containsText" text="P">
      <formula>NOT(ISERROR(SEARCH(("P"),(AI16))))</formula>
    </cfRule>
    <cfRule type="containsText" dxfId="1551" priority="7651" operator="containsText" text="C">
      <formula>NOT(ISERROR(SEARCH(("C"),(AI16))))</formula>
    </cfRule>
    <cfRule type="containsText" dxfId="1550" priority="7655" operator="containsText" text="L">
      <formula>NOT(ISERROR(SEARCH(("L"),(AI16))))</formula>
    </cfRule>
    <cfRule type="containsText" dxfId="1549" priority="7650" operator="containsText" text="O">
      <formula>NOT(ISERROR(SEARCH(("O"),(AI16))))</formula>
    </cfRule>
    <cfRule type="containsText" dxfId="1548" priority="7649" operator="containsText" text="N">
      <formula>NOT(ISERROR(SEARCH(("N"),(AI16))))</formula>
    </cfRule>
    <cfRule type="containsText" dxfId="1547" priority="7654" operator="containsText" text="X">
      <formula>NOT(ISERROR(SEARCH(("X"),(AI16))))</formula>
    </cfRule>
  </conditionalFormatting>
  <conditionalFormatting sqref="AI18">
    <cfRule type="containsText" dxfId="1546" priority="3337" operator="containsText" text="L">
      <formula>NOT(ISERROR(SEARCH(("L"),(AI18))))</formula>
    </cfRule>
    <cfRule type="containsText" dxfId="1545" priority="3332" operator="containsText" text="O">
      <formula>NOT(ISERROR(SEARCH(("O"),(AI18))))</formula>
    </cfRule>
    <cfRule type="containsText" dxfId="1544" priority="3334" operator="containsText" text="P">
      <formula>NOT(ISERROR(SEARCH(("P"),(AI18))))</formula>
    </cfRule>
    <cfRule type="containsText" dxfId="1543" priority="3333" operator="containsText" text="C">
      <formula>NOT(ISERROR(SEARCH(("C"),(AI18))))</formula>
    </cfRule>
    <cfRule type="containsText" dxfId="1542" priority="3336" operator="containsText" text="X">
      <formula>NOT(ISERROR(SEARCH(("X"),(AI18))))</formula>
    </cfRule>
    <cfRule type="containsText" dxfId="1541" priority="3335" operator="containsText" text="K">
      <formula>NOT(ISERROR(SEARCH(("K"),(AI18))))</formula>
    </cfRule>
  </conditionalFormatting>
  <conditionalFormatting sqref="AI19">
    <cfRule type="containsText" dxfId="1540" priority="2888" operator="containsText" text="L">
      <formula>NOT(ISERROR(SEARCH(("L"),(AI19))))</formula>
    </cfRule>
    <cfRule type="containsText" dxfId="1539" priority="2887" operator="containsText" text="X">
      <formula>NOT(ISERROR(SEARCH(("X"),(AI19))))</formula>
    </cfRule>
    <cfRule type="containsText" dxfId="1538" priority="2884" operator="containsText" text="C">
      <formula>NOT(ISERROR(SEARCH(("C"),(AI19))))</formula>
    </cfRule>
    <cfRule type="containsText" dxfId="1537" priority="2883" operator="containsText" text="O">
      <formula>NOT(ISERROR(SEARCH(("O"),(AI19))))</formula>
    </cfRule>
    <cfRule type="containsText" dxfId="1536" priority="2886" operator="containsText" text="K">
      <formula>NOT(ISERROR(SEARCH(("K"),(AI19))))</formula>
    </cfRule>
    <cfRule type="containsText" dxfId="1535" priority="2885" operator="containsText" text="P">
      <formula>NOT(ISERROR(SEARCH(("P"),(AI19))))</formula>
    </cfRule>
    <cfRule type="containsText" dxfId="1534" priority="2889" operator="containsText" text="N">
      <formula>NOT(ISERROR(SEARCH(("N"),(AI19))))</formula>
    </cfRule>
  </conditionalFormatting>
  <conditionalFormatting sqref="AI20">
    <cfRule type="containsText" dxfId="1533" priority="6736" operator="containsText" text="L">
      <formula>NOT(ISERROR(SEARCH(("L"),(AI20))))</formula>
    </cfRule>
    <cfRule type="containsText" dxfId="1532" priority="6735" operator="containsText" text="X">
      <formula>NOT(ISERROR(SEARCH(("X"),(AI20))))</formula>
    </cfRule>
    <cfRule type="containsText" dxfId="1531" priority="6734" operator="containsText" text="K">
      <formula>NOT(ISERROR(SEARCH(("K"),(AI20))))</formula>
    </cfRule>
    <cfRule type="containsText" dxfId="1530" priority="6733" operator="containsText" text="P">
      <formula>NOT(ISERROR(SEARCH(("P"),(AI20))))</formula>
    </cfRule>
    <cfRule type="containsText" dxfId="1529" priority="6731" operator="containsText" text="O">
      <formula>NOT(ISERROR(SEARCH(("O"),(AI20))))</formula>
    </cfRule>
    <cfRule type="containsText" dxfId="1528" priority="6730" operator="containsText" text="N">
      <formula>NOT(ISERROR(SEARCH(("N"),(AI20))))</formula>
    </cfRule>
    <cfRule type="containsText" dxfId="1527" priority="6732" operator="containsText" text="C">
      <formula>NOT(ISERROR(SEARCH(("C"),(AI20))))</formula>
    </cfRule>
  </conditionalFormatting>
  <conditionalFormatting sqref="AI20:AI21">
    <cfRule type="containsText" dxfId="1526" priority="6514" operator="containsText" text="C">
      <formula>NOT(ISERROR(SEARCH(("C"),(AI20))))</formula>
    </cfRule>
    <cfRule type="containsText" dxfId="1525" priority="6518" operator="containsText" text="L">
      <formula>NOT(ISERROR(SEARCH(("L"),(AI20))))</formula>
    </cfRule>
    <cfRule type="containsText" dxfId="1524" priority="6517" operator="containsText" text="X">
      <formula>NOT(ISERROR(SEARCH(("X"),(AI20))))</formula>
    </cfRule>
    <cfRule type="containsText" dxfId="1523" priority="6516" operator="containsText" text="K">
      <formula>NOT(ISERROR(SEARCH(("K"),(AI20))))</formula>
    </cfRule>
    <cfRule type="containsText" dxfId="1522" priority="6513" operator="containsText" text="O">
      <formula>NOT(ISERROR(SEARCH(("O"),(AI20))))</formula>
    </cfRule>
    <cfRule type="containsText" dxfId="1521" priority="6515" operator="containsText" text="P">
      <formula>NOT(ISERROR(SEARCH(("P"),(AI20))))</formula>
    </cfRule>
  </conditionalFormatting>
  <conditionalFormatting sqref="AI21">
    <cfRule type="containsText" dxfId="1520" priority="6264" operator="containsText" text="L">
      <formula>NOT(ISERROR(SEARCH(("L"),(AI21))))</formula>
    </cfRule>
    <cfRule type="containsText" dxfId="1519" priority="6259" operator="containsText" text="O">
      <formula>NOT(ISERROR(SEARCH(("O"),(AI21))))</formula>
    </cfRule>
    <cfRule type="containsText" dxfId="1518" priority="6263" operator="containsText" text="X">
      <formula>NOT(ISERROR(SEARCH(("X"),(AI21))))</formula>
    </cfRule>
    <cfRule type="containsText" dxfId="1517" priority="6262" operator="containsText" text="K">
      <formula>NOT(ISERROR(SEARCH(("K"),(AI21))))</formula>
    </cfRule>
    <cfRule type="containsText" dxfId="1516" priority="6512" operator="containsText" text="N">
      <formula>NOT(ISERROR(SEARCH(("N"),(AI21))))</formula>
    </cfRule>
    <cfRule type="containsText" dxfId="1515" priority="6261" operator="containsText" text="P">
      <formula>NOT(ISERROR(SEARCH(("P"),(AI21))))</formula>
    </cfRule>
    <cfRule type="containsText" dxfId="1514" priority="6260" operator="containsText" text="C">
      <formula>NOT(ISERROR(SEARCH(("C"),(AI21))))</formula>
    </cfRule>
  </conditionalFormatting>
  <conditionalFormatting sqref="AI11:AJ11">
    <cfRule type="containsText" dxfId="1513" priority="9437" operator="containsText" text="K">
      <formula>NOT(ISERROR(SEARCH(("K"),(AI11))))</formula>
    </cfRule>
    <cfRule type="containsText" dxfId="1512" priority="9438" operator="containsText" text="X">
      <formula>NOT(ISERROR(SEARCH(("X"),(AI11))))</formula>
    </cfRule>
    <cfRule type="containsText" dxfId="1511" priority="9433" operator="containsText" text="N">
      <formula>NOT(ISERROR(SEARCH(("N"),(AI11))))</formula>
    </cfRule>
    <cfRule type="containsText" dxfId="1510" priority="9434" operator="containsText" text="O">
      <formula>NOT(ISERROR(SEARCH(("O"),(AI11))))</formula>
    </cfRule>
    <cfRule type="containsText" dxfId="1509" priority="9435" operator="containsText" text="C">
      <formula>NOT(ISERROR(SEARCH(("C"),(AI11))))</formula>
    </cfRule>
    <cfRule type="containsText" dxfId="1508" priority="9439" operator="containsText" text="L">
      <formula>NOT(ISERROR(SEARCH(("L"),(AI11))))</formula>
    </cfRule>
    <cfRule type="containsText" dxfId="1507" priority="9436" operator="containsText" text="P">
      <formula>NOT(ISERROR(SEARCH(("P"),(AI11))))</formula>
    </cfRule>
  </conditionalFormatting>
  <conditionalFormatting sqref="AI11:AJ12">
    <cfRule type="containsText" dxfId="1506" priority="8541" operator="containsText" text="C">
      <formula>NOT(ISERROR(SEARCH(("C"),(AI11))))</formula>
    </cfRule>
    <cfRule type="containsText" dxfId="1505" priority="8539" operator="containsText" text="N">
      <formula>NOT(ISERROR(SEARCH(("N"),(AI11))))</formula>
    </cfRule>
    <cfRule type="containsText" dxfId="1504" priority="8540" operator="containsText" text="O">
      <formula>NOT(ISERROR(SEARCH(("O"),(AI11))))</formula>
    </cfRule>
    <cfRule type="containsText" dxfId="1503" priority="8542" operator="containsText" text="P">
      <formula>NOT(ISERROR(SEARCH(("P"),(AI11))))</formula>
    </cfRule>
    <cfRule type="containsText" dxfId="1502" priority="8543" operator="containsText" text="K">
      <formula>NOT(ISERROR(SEARCH(("K"),(AI11))))</formula>
    </cfRule>
    <cfRule type="containsText" dxfId="1501" priority="8544" operator="containsText" text="X">
      <formula>NOT(ISERROR(SEARCH(("X"),(AI11))))</formula>
    </cfRule>
    <cfRule type="containsText" dxfId="1500" priority="8545" operator="containsText" text="L">
      <formula>NOT(ISERROR(SEARCH(("L"),(AI11))))</formula>
    </cfRule>
  </conditionalFormatting>
  <conditionalFormatting sqref="AI12:AJ12">
    <cfRule type="containsText" dxfId="1499" priority="6041" operator="containsText" text="L">
      <formula>NOT(ISERROR(SEARCH(("L"),(AI12))))</formula>
    </cfRule>
    <cfRule type="containsText" dxfId="1498" priority="5936" operator="containsText" text="P">
      <formula>NOT(ISERROR(SEARCH(("P"),(AI12))))</formula>
    </cfRule>
    <cfRule type="containsText" dxfId="1497" priority="5937" operator="containsText" text="K">
      <formula>NOT(ISERROR(SEARCH(("K"),(AI12))))</formula>
    </cfRule>
    <cfRule type="containsText" dxfId="1496" priority="5938" operator="containsText" text="X">
      <formula>NOT(ISERROR(SEARCH(("X"),(AI12))))</formula>
    </cfRule>
    <cfRule type="containsText" dxfId="1495" priority="5980" operator="containsText" text="P">
      <formula>NOT(ISERROR(SEARCH(("P"),(AI12))))</formula>
    </cfRule>
    <cfRule type="containsText" dxfId="1494" priority="5981" operator="containsText" text="K">
      <formula>NOT(ISERROR(SEARCH(("K"),(AI12))))</formula>
    </cfRule>
    <cfRule type="containsText" dxfId="1493" priority="5939" operator="containsText" text="L">
      <formula>NOT(ISERROR(SEARCH(("L"),(AI12))))</formula>
    </cfRule>
    <cfRule type="containsText" dxfId="1492" priority="5935" operator="containsText" text="C">
      <formula>NOT(ISERROR(SEARCH(("C"),(AI12))))</formula>
    </cfRule>
    <cfRule type="containsText" dxfId="1491" priority="5934" operator="containsText" text="O">
      <formula>NOT(ISERROR(SEARCH(("O"),(AI12))))</formula>
    </cfRule>
    <cfRule type="containsText" dxfId="1490" priority="6037" operator="containsText" text="C">
      <formula>NOT(ISERROR(SEARCH(("C"),(AI12))))</formula>
    </cfRule>
    <cfRule type="containsText" dxfId="1489" priority="6038" operator="containsText" text="P">
      <formula>NOT(ISERROR(SEARCH(("P"),(AI12))))</formula>
    </cfRule>
    <cfRule type="containsText" dxfId="1488" priority="6039" operator="containsText" text="K">
      <formula>NOT(ISERROR(SEARCH(("K"),(AI12))))</formula>
    </cfRule>
    <cfRule type="containsText" dxfId="1487" priority="5933" operator="containsText" text="N">
      <formula>NOT(ISERROR(SEARCH(("N"),(AI12))))</formula>
    </cfRule>
    <cfRule type="containsText" dxfId="1486" priority="6040" operator="containsText" text="X">
      <formula>NOT(ISERROR(SEARCH(("X"),(AI12))))</formula>
    </cfRule>
    <cfRule type="containsText" dxfId="1485" priority="5977" operator="containsText" text="N">
      <formula>NOT(ISERROR(SEARCH(("N"),(AI12))))</formula>
    </cfRule>
    <cfRule type="containsText" dxfId="1484" priority="5978" operator="containsText" text="O">
      <formula>NOT(ISERROR(SEARCH(("O"),(AI12))))</formula>
    </cfRule>
    <cfRule type="containsText" dxfId="1483" priority="5982" operator="containsText" text="X">
      <formula>NOT(ISERROR(SEARCH(("X"),(AI12))))</formula>
    </cfRule>
    <cfRule type="containsText" dxfId="1482" priority="5979" operator="containsText" text="C">
      <formula>NOT(ISERROR(SEARCH(("C"),(AI12))))</formula>
    </cfRule>
    <cfRule type="containsText" dxfId="1481" priority="5983" operator="containsText" text="L">
      <formula>NOT(ISERROR(SEARCH(("L"),(AI12))))</formula>
    </cfRule>
    <cfRule type="containsText" dxfId="1480" priority="6035" operator="containsText" text="N">
      <formula>NOT(ISERROR(SEARCH(("N"),(AI12))))</formula>
    </cfRule>
    <cfRule type="containsText" dxfId="1479" priority="6036" operator="containsText" text="O">
      <formula>NOT(ISERROR(SEARCH(("O"),(AI12))))</formula>
    </cfRule>
  </conditionalFormatting>
  <conditionalFormatting sqref="AI14:AJ14">
    <cfRule type="containsText" dxfId="1478" priority="7594" operator="containsText" text="L">
      <formula>NOT(ISERROR(SEARCH(("L"),(AI14))))</formula>
    </cfRule>
    <cfRule type="containsText" dxfId="1477" priority="7593" operator="containsText" text="X">
      <formula>NOT(ISERROR(SEARCH(("X"),(AI14))))</formula>
    </cfRule>
    <cfRule type="containsText" dxfId="1476" priority="7504" operator="containsText" text="P">
      <formula>NOT(ISERROR(SEARCH(("P"),(AI14))))</formula>
    </cfRule>
    <cfRule type="containsText" dxfId="1475" priority="7506" operator="containsText" text="X">
      <formula>NOT(ISERROR(SEARCH(("X"),(AI14))))</formula>
    </cfRule>
    <cfRule type="containsText" dxfId="1474" priority="7549" operator="containsText" text="X">
      <formula>NOT(ISERROR(SEARCH(("X"),(AI14))))</formula>
    </cfRule>
    <cfRule type="containsText" dxfId="1473" priority="7548" operator="containsText" text="K">
      <formula>NOT(ISERROR(SEARCH(("K"),(AI14))))</formula>
    </cfRule>
    <cfRule type="containsText" dxfId="1472" priority="7547" operator="containsText" text="P">
      <formula>NOT(ISERROR(SEARCH(("P"),(AI14))))</formula>
    </cfRule>
    <cfRule type="containsText" dxfId="1471" priority="7546" operator="containsText" text="C">
      <formula>NOT(ISERROR(SEARCH(("C"),(AI14))))</formula>
    </cfRule>
    <cfRule type="containsText" dxfId="1470" priority="7592" operator="containsText" text="K">
      <formula>NOT(ISERROR(SEARCH(("K"),(AI14))))</formula>
    </cfRule>
    <cfRule type="containsText" dxfId="1469" priority="7588" operator="containsText" text="N">
      <formula>NOT(ISERROR(SEARCH(("N"),(AI14))))</formula>
    </cfRule>
    <cfRule type="containsText" dxfId="1468" priority="7591" operator="containsText" text="P">
      <formula>NOT(ISERROR(SEARCH(("P"),(AI14))))</formula>
    </cfRule>
    <cfRule type="containsText" dxfId="1467" priority="7503" operator="containsText" text="C">
      <formula>NOT(ISERROR(SEARCH(("C"),(AI14))))</formula>
    </cfRule>
    <cfRule type="containsText" dxfId="1466" priority="7544" operator="containsText" text="N">
      <formula>NOT(ISERROR(SEARCH(("N"),(AI14))))</formula>
    </cfRule>
    <cfRule type="containsText" dxfId="1465" priority="7507" operator="containsText" text="L">
      <formula>NOT(ISERROR(SEARCH(("L"),(AI14))))</formula>
    </cfRule>
    <cfRule type="containsText" dxfId="1464" priority="7550" operator="containsText" text="L">
      <formula>NOT(ISERROR(SEARCH(("L"),(AI14))))</formula>
    </cfRule>
    <cfRule type="containsText" dxfId="1463" priority="7505" operator="containsText" text="K">
      <formula>NOT(ISERROR(SEARCH(("K"),(AI14))))</formula>
    </cfRule>
    <cfRule type="containsText" dxfId="1462" priority="7501" operator="containsText" text="N">
      <formula>NOT(ISERROR(SEARCH(("N"),(AI14))))</formula>
    </cfRule>
    <cfRule type="containsText" dxfId="1461" priority="7502" operator="containsText" text="O">
      <formula>NOT(ISERROR(SEARCH(("O"),(AI14))))</formula>
    </cfRule>
    <cfRule type="containsText" dxfId="1460" priority="7545" operator="containsText" text="O">
      <formula>NOT(ISERROR(SEARCH(("O"),(AI14))))</formula>
    </cfRule>
    <cfRule type="containsText" dxfId="1459" priority="7590" operator="containsText" text="C">
      <formula>NOT(ISERROR(SEARCH(("C"),(AI14))))</formula>
    </cfRule>
    <cfRule type="containsText" dxfId="1458" priority="7589" operator="containsText" text="O">
      <formula>NOT(ISERROR(SEARCH(("O"),(AI14))))</formula>
    </cfRule>
  </conditionalFormatting>
  <conditionalFormatting sqref="AI14:AJ15">
    <cfRule type="containsText" dxfId="1457" priority="9119" operator="containsText" text="O">
      <formula>NOT(ISERROR(SEARCH(("O"),(AI14))))</formula>
    </cfRule>
    <cfRule type="containsText" dxfId="1456" priority="9118" operator="containsText" text="N">
      <formula>NOT(ISERROR(SEARCH(("N"),(AI14))))</formula>
    </cfRule>
    <cfRule type="containsText" dxfId="1455" priority="9122" operator="containsText" text="K">
      <formula>NOT(ISERROR(SEARCH(("K"),(AI14))))</formula>
    </cfRule>
    <cfRule type="containsText" dxfId="1454" priority="9124" operator="containsText" text="L">
      <formula>NOT(ISERROR(SEARCH(("L"),(AI14))))</formula>
    </cfRule>
    <cfRule type="containsText" dxfId="1453" priority="9123" operator="containsText" text="X">
      <formula>NOT(ISERROR(SEARCH(("X"),(AI14))))</formula>
    </cfRule>
    <cfRule type="containsText" dxfId="1452" priority="9120" operator="containsText" text="C">
      <formula>NOT(ISERROR(SEARCH(("C"),(AI14))))</formula>
    </cfRule>
    <cfRule type="containsText" dxfId="1451" priority="9121" operator="containsText" text="P">
      <formula>NOT(ISERROR(SEARCH(("P"),(AI14))))</formula>
    </cfRule>
  </conditionalFormatting>
  <conditionalFormatting sqref="AI15:AJ15">
    <cfRule type="containsText" dxfId="1450" priority="7354" operator="containsText" text="L">
      <formula>NOT(ISERROR(SEARCH(("L"),(AI15))))</formula>
    </cfRule>
    <cfRule type="containsText" dxfId="1449" priority="7392" operator="containsText" text="N">
      <formula>NOT(ISERROR(SEARCH(("N"),(AI15))))</formula>
    </cfRule>
    <cfRule type="containsText" dxfId="1448" priority="7393" operator="containsText" text="O">
      <formula>NOT(ISERROR(SEARCH(("O"),(AI15))))</formula>
    </cfRule>
    <cfRule type="containsText" dxfId="1447" priority="7394" operator="containsText" text="C">
      <formula>NOT(ISERROR(SEARCH(("C"),(AI15))))</formula>
    </cfRule>
    <cfRule type="containsText" dxfId="1446" priority="7395" operator="containsText" text="P">
      <formula>NOT(ISERROR(SEARCH(("P"),(AI15))))</formula>
    </cfRule>
    <cfRule type="containsText" dxfId="1445" priority="7396" operator="containsText" text="K">
      <formula>NOT(ISERROR(SEARCH(("K"),(AI15))))</formula>
    </cfRule>
    <cfRule type="containsText" dxfId="1444" priority="7397" operator="containsText" text="X">
      <formula>NOT(ISERROR(SEARCH(("X"),(AI15))))</formula>
    </cfRule>
    <cfRule type="containsText" dxfId="1443" priority="7398" operator="containsText" text="L">
      <formula>NOT(ISERROR(SEARCH(("L"),(AI15))))</formula>
    </cfRule>
    <cfRule type="containsText" dxfId="1442" priority="7308" operator="containsText" text="P">
      <formula>NOT(ISERROR(SEARCH(("P"),(AI15))))</formula>
    </cfRule>
    <cfRule type="containsText" dxfId="1441" priority="7309" operator="containsText" text="K">
      <formula>NOT(ISERROR(SEARCH(("K"),(AI15))))</formula>
    </cfRule>
    <cfRule type="containsText" dxfId="1440" priority="7310" operator="containsText" text="X">
      <formula>NOT(ISERROR(SEARCH(("X"),(AI15))))</formula>
    </cfRule>
    <cfRule type="containsText" dxfId="1439" priority="7311" operator="containsText" text="L">
      <formula>NOT(ISERROR(SEARCH(("L"),(AI15))))</formula>
    </cfRule>
    <cfRule type="containsText" dxfId="1438" priority="7307" operator="containsText" text="C">
      <formula>NOT(ISERROR(SEARCH(("C"),(AI15))))</formula>
    </cfRule>
    <cfRule type="containsText" dxfId="1437" priority="7306" operator="containsText" text="O">
      <formula>NOT(ISERROR(SEARCH(("O"),(AI15))))</formula>
    </cfRule>
    <cfRule type="containsText" dxfId="1436" priority="7305" operator="containsText" text="N">
      <formula>NOT(ISERROR(SEARCH(("N"),(AI15))))</formula>
    </cfRule>
    <cfRule type="containsText" dxfId="1435" priority="7348" operator="containsText" text="N">
      <formula>NOT(ISERROR(SEARCH(("N"),(AI15))))</formula>
    </cfRule>
    <cfRule type="containsText" dxfId="1434" priority="7349" operator="containsText" text="O">
      <formula>NOT(ISERROR(SEARCH(("O"),(AI15))))</formula>
    </cfRule>
    <cfRule type="containsText" dxfId="1433" priority="7350" operator="containsText" text="C">
      <formula>NOT(ISERROR(SEARCH(("C"),(AI15))))</formula>
    </cfRule>
    <cfRule type="containsText" dxfId="1432" priority="7351" operator="containsText" text="P">
      <formula>NOT(ISERROR(SEARCH(("P"),(AI15))))</formula>
    </cfRule>
    <cfRule type="containsText" dxfId="1431" priority="7352" operator="containsText" text="K">
      <formula>NOT(ISERROR(SEARCH(("K"),(AI15))))</formula>
    </cfRule>
    <cfRule type="containsText" dxfId="1430" priority="7353" operator="containsText" text="X">
      <formula>NOT(ISERROR(SEARCH(("X"),(AI15))))</formula>
    </cfRule>
  </conditionalFormatting>
  <conditionalFormatting sqref="AI16:AJ16">
    <cfRule type="containsText" dxfId="1429" priority="6991" operator="containsText" text="C">
      <formula>NOT(ISERROR(SEARCH(("C"),(AI16))))</formula>
    </cfRule>
    <cfRule type="containsText" dxfId="1428" priority="7066" operator="containsText" text="X">
      <formula>NOT(ISERROR(SEARCH(("X"),(AI16))))</formula>
    </cfRule>
    <cfRule type="containsText" dxfId="1427" priority="7067" operator="containsText" text="L">
      <formula>NOT(ISERROR(SEARCH(("L"),(AI16))))</formula>
    </cfRule>
    <cfRule type="containsText" dxfId="1426" priority="7020" operator="containsText" text="P">
      <formula>NOT(ISERROR(SEARCH(("P"),(AI16))))</formula>
    </cfRule>
    <cfRule type="containsText" dxfId="1425" priority="7021" operator="containsText" text="K">
      <formula>NOT(ISERROR(SEARCH(("K"),(AI16))))</formula>
    </cfRule>
    <cfRule type="containsText" dxfId="1424" priority="7022" operator="containsText" text="X">
      <formula>NOT(ISERROR(SEARCH(("X"),(AI16))))</formula>
    </cfRule>
    <cfRule type="containsText" dxfId="1423" priority="7023" operator="containsText" text="L">
      <formula>NOT(ISERROR(SEARCH(("L"),(AI16))))</formula>
    </cfRule>
    <cfRule type="containsText" dxfId="1422" priority="7062" operator="containsText" text="O">
      <formula>NOT(ISERROR(SEARCH(("O"),(AI16))))</formula>
    </cfRule>
    <cfRule type="containsText" dxfId="1421" priority="7061" operator="containsText" text="N">
      <formula>NOT(ISERROR(SEARCH(("N"),(AI16))))</formula>
    </cfRule>
    <cfRule type="containsText" dxfId="1420" priority="7065" operator="containsText" text="K">
      <formula>NOT(ISERROR(SEARCH(("K"),(AI16))))</formula>
    </cfRule>
    <cfRule type="containsText" dxfId="1419" priority="6989" operator="containsText" text="N">
      <formula>NOT(ISERROR(SEARCH(("N"),(AI16))))</formula>
    </cfRule>
    <cfRule type="containsText" dxfId="1418" priority="6990" operator="containsText" text="O">
      <formula>NOT(ISERROR(SEARCH(("O"),(AI16))))</formula>
    </cfRule>
    <cfRule type="containsText" dxfId="1417" priority="7064" operator="containsText" text="P">
      <formula>NOT(ISERROR(SEARCH(("P"),(AI16))))</formula>
    </cfRule>
    <cfRule type="containsText" dxfId="1416" priority="6992" operator="containsText" text="P">
      <formula>NOT(ISERROR(SEARCH(("P"),(AI16))))</formula>
    </cfRule>
    <cfRule type="containsText" dxfId="1415" priority="6993" operator="containsText" text="K">
      <formula>NOT(ISERROR(SEARCH(("K"),(AI16))))</formula>
    </cfRule>
    <cfRule type="containsText" dxfId="1414" priority="6994" operator="containsText" text="X">
      <formula>NOT(ISERROR(SEARCH(("X"),(AI16))))</formula>
    </cfRule>
    <cfRule type="containsText" dxfId="1413" priority="6995" operator="containsText" text="L">
      <formula>NOT(ISERROR(SEARCH(("L"),(AI16))))</formula>
    </cfRule>
    <cfRule type="containsText" dxfId="1412" priority="7017" operator="containsText" text="N">
      <formula>NOT(ISERROR(SEARCH(("N"),(AI16))))</formula>
    </cfRule>
    <cfRule type="containsText" dxfId="1411" priority="7018" operator="containsText" text="O">
      <formula>NOT(ISERROR(SEARCH(("O"),(AI16))))</formula>
    </cfRule>
    <cfRule type="containsText" dxfId="1410" priority="7019" operator="containsText" text="C">
      <formula>NOT(ISERROR(SEARCH(("C"),(AI16))))</formula>
    </cfRule>
    <cfRule type="containsText" dxfId="1409" priority="7063" operator="containsText" text="C">
      <formula>NOT(ISERROR(SEARCH(("C"),(AI16))))</formula>
    </cfRule>
  </conditionalFormatting>
  <conditionalFormatting sqref="AI16:AJ17">
    <cfRule type="containsText" dxfId="1408" priority="8617" operator="containsText" text="C">
      <formula>NOT(ISERROR(SEARCH(("C"),(AI16))))</formula>
    </cfRule>
    <cfRule type="containsText" dxfId="1407" priority="8618" operator="containsText" text="P">
      <formula>NOT(ISERROR(SEARCH(("P"),(AI16))))</formula>
    </cfRule>
    <cfRule type="containsText" dxfId="1406" priority="8619" operator="containsText" text="K">
      <formula>NOT(ISERROR(SEARCH(("K"),(AI16))))</formula>
    </cfRule>
    <cfRule type="containsText" dxfId="1405" priority="8621" operator="containsText" text="L">
      <formula>NOT(ISERROR(SEARCH(("L"),(AI16))))</formula>
    </cfRule>
    <cfRule type="containsText" dxfId="1404" priority="8615" operator="containsText" text="N">
      <formula>NOT(ISERROR(SEARCH(("N"),(AI16))))</formula>
    </cfRule>
    <cfRule type="containsText" dxfId="1403" priority="8616" operator="containsText" text="O">
      <formula>NOT(ISERROR(SEARCH(("O"),(AI16))))</formula>
    </cfRule>
    <cfRule type="containsText" dxfId="1402" priority="8620" operator="containsText" text="X">
      <formula>NOT(ISERROR(SEARCH(("X"),(AI16))))</formula>
    </cfRule>
  </conditionalFormatting>
  <conditionalFormatting sqref="AI17:AJ17">
    <cfRule type="containsText" dxfId="1401" priority="7215" operator="containsText" text="L">
      <formula>NOT(ISERROR(SEARCH(("L"),(AI17))))</formula>
    </cfRule>
    <cfRule type="containsText" dxfId="1400" priority="7214" operator="containsText" text="X">
      <formula>NOT(ISERROR(SEARCH(("X"),(AI17))))</formula>
    </cfRule>
    <cfRule type="containsText" dxfId="1399" priority="7212" operator="containsText" text="P">
      <formula>NOT(ISERROR(SEARCH(("P"),(AI17))))</formula>
    </cfRule>
    <cfRule type="containsText" dxfId="1398" priority="7213" operator="containsText" text="K">
      <formula>NOT(ISERROR(SEARCH(("K"),(AI17))))</formula>
    </cfRule>
    <cfRule type="containsText" dxfId="1397" priority="7211" operator="containsText" text="C">
      <formula>NOT(ISERROR(SEARCH(("C"),(AI17))))</formula>
    </cfRule>
    <cfRule type="containsText" dxfId="1396" priority="7137" operator="containsText" text="N">
      <formula>NOT(ISERROR(SEARCH(("N"),(AI17))))</formula>
    </cfRule>
    <cfRule type="containsText" dxfId="1395" priority="7138" operator="containsText" text="O">
      <formula>NOT(ISERROR(SEARCH(("O"),(AI17))))</formula>
    </cfRule>
    <cfRule type="containsText" dxfId="1394" priority="7139" operator="containsText" text="C">
      <formula>NOT(ISERROR(SEARCH(("C"),(AI17))))</formula>
    </cfRule>
    <cfRule type="containsText" dxfId="1393" priority="7140" operator="containsText" text="P">
      <formula>NOT(ISERROR(SEARCH(("P"),(AI17))))</formula>
    </cfRule>
    <cfRule type="containsText" dxfId="1392" priority="7141" operator="containsText" text="K">
      <formula>NOT(ISERROR(SEARCH(("K"),(AI17))))</formula>
    </cfRule>
    <cfRule type="containsText" dxfId="1391" priority="7142" operator="containsText" text="X">
      <formula>NOT(ISERROR(SEARCH(("X"),(AI17))))</formula>
    </cfRule>
    <cfRule type="containsText" dxfId="1390" priority="7143" operator="containsText" text="L">
      <formula>NOT(ISERROR(SEARCH(("L"),(AI17))))</formula>
    </cfRule>
    <cfRule type="containsText" dxfId="1389" priority="7165" operator="containsText" text="N">
      <formula>NOT(ISERROR(SEARCH(("N"),(AI17))))</formula>
    </cfRule>
    <cfRule type="containsText" dxfId="1388" priority="7171" operator="containsText" text="L">
      <formula>NOT(ISERROR(SEARCH(("L"),(AI17))))</formula>
    </cfRule>
    <cfRule type="containsText" dxfId="1387" priority="7210" operator="containsText" text="O">
      <formula>NOT(ISERROR(SEARCH(("O"),(AI17))))</formula>
    </cfRule>
    <cfRule type="containsText" dxfId="1386" priority="8717" operator="containsText" text="N">
      <formula>NOT(ISERROR(SEARCH(("N"),(AI17))))</formula>
    </cfRule>
    <cfRule type="containsText" dxfId="1385" priority="7166" operator="containsText" text="O">
      <formula>NOT(ISERROR(SEARCH(("O"),(AI17))))</formula>
    </cfRule>
    <cfRule type="containsText" dxfId="1384" priority="7167" operator="containsText" text="C">
      <formula>NOT(ISERROR(SEARCH(("C"),(AI17))))</formula>
    </cfRule>
    <cfRule type="containsText" dxfId="1383" priority="7168" operator="containsText" text="P">
      <formula>NOT(ISERROR(SEARCH(("P"),(AI17))))</formula>
    </cfRule>
    <cfRule type="containsText" dxfId="1382" priority="7169" operator="containsText" text="K">
      <formula>NOT(ISERROR(SEARCH(("K"),(AI17))))</formula>
    </cfRule>
    <cfRule type="containsText" dxfId="1381" priority="7170" operator="containsText" text="X">
      <formula>NOT(ISERROR(SEARCH(("X"),(AI17))))</formula>
    </cfRule>
    <cfRule type="containsText" dxfId="1380" priority="7209" operator="containsText" text="N">
      <formula>NOT(ISERROR(SEARCH(("N"),(AI17))))</formula>
    </cfRule>
    <cfRule type="containsText" dxfId="1379" priority="8716" operator="containsText" text="X">
      <formula>NOT(ISERROR(SEARCH(("X"),(AI17))))</formula>
    </cfRule>
    <cfRule type="containsText" dxfId="1378" priority="8715" operator="containsText" text="K">
      <formula>NOT(ISERROR(SEARCH(("K"),(AI17))))</formula>
    </cfRule>
    <cfRule type="containsText" dxfId="1377" priority="8714" operator="containsText" text="P">
      <formula>NOT(ISERROR(SEARCH(("P"),(AI17))))</formula>
    </cfRule>
    <cfRule type="containsText" dxfId="1376" priority="8713" operator="containsText" text="C">
      <formula>NOT(ISERROR(SEARCH(("C"),(AI17))))</formula>
    </cfRule>
    <cfRule type="containsText" dxfId="1375" priority="8712" operator="containsText" text="O">
      <formula>NOT(ISERROR(SEARCH(("O"),(AI17))))</formula>
    </cfRule>
  </conditionalFormatting>
  <conditionalFormatting sqref="AI18:AJ18">
    <cfRule type="containsText" dxfId="1374" priority="7698" operator="containsText" text="O">
      <formula>NOT(ISERROR(SEARCH(("O"),(AI18))))</formula>
    </cfRule>
    <cfRule type="containsText" dxfId="1373" priority="7699" operator="containsText" text="C">
      <formula>NOT(ISERROR(SEARCH(("C"),(AI18))))</formula>
    </cfRule>
    <cfRule type="containsText" dxfId="1372" priority="7700" operator="containsText" text="P">
      <formula>NOT(ISERROR(SEARCH(("P"),(AI18))))</formula>
    </cfRule>
    <cfRule type="containsText" dxfId="1371" priority="7701" operator="containsText" text="K">
      <formula>NOT(ISERROR(SEARCH(("K"),(AI18))))</formula>
    </cfRule>
    <cfRule type="containsText" dxfId="1370" priority="7702" operator="containsText" text="X">
      <formula>NOT(ISERROR(SEARCH(("X"),(AI18))))</formula>
    </cfRule>
    <cfRule type="containsText" dxfId="1369" priority="7703" operator="containsText" text="L">
      <formula>NOT(ISERROR(SEARCH(("L"),(AI18))))</formula>
    </cfRule>
    <cfRule type="containsText" dxfId="1368" priority="3436" operator="containsText" text="K">
      <formula>NOT(ISERROR(SEARCH(("K"),(AI18))))</formula>
    </cfRule>
    <cfRule type="containsText" dxfId="1367" priority="3402" operator="containsText" text="N">
      <formula>NOT(ISERROR(SEARCH(("N"),(AI18))))</formula>
    </cfRule>
    <cfRule type="containsText" dxfId="1366" priority="7740" operator="containsText" text="N">
      <formula>NOT(ISERROR(SEARCH(("N"),(AI18))))</formula>
    </cfRule>
    <cfRule type="containsText" dxfId="1365" priority="7741" operator="containsText" text="O">
      <formula>NOT(ISERROR(SEARCH(("O"),(AI18))))</formula>
    </cfRule>
    <cfRule type="containsText" dxfId="1364" priority="7742" operator="containsText" text="C">
      <formula>NOT(ISERROR(SEARCH(("C"),(AI18))))</formula>
    </cfRule>
    <cfRule type="containsText" dxfId="1363" priority="7743" operator="containsText" text="P">
      <formula>NOT(ISERROR(SEARCH(("P"),(AI18))))</formula>
    </cfRule>
    <cfRule type="containsText" dxfId="1362" priority="7744" operator="containsText" text="K">
      <formula>NOT(ISERROR(SEARCH(("K"),(AI18))))</formula>
    </cfRule>
    <cfRule type="containsText" dxfId="1361" priority="7745" operator="containsText" text="X">
      <formula>NOT(ISERROR(SEARCH(("X"),(AI18))))</formula>
    </cfRule>
    <cfRule type="containsText" dxfId="1360" priority="7746" operator="containsText" text="L">
      <formula>NOT(ISERROR(SEARCH(("L"),(AI18))))</formula>
    </cfRule>
    <cfRule type="containsText" dxfId="1359" priority="3494" operator="containsText" text="L">
      <formula>NOT(ISERROR(SEARCH(("L"),(AI18))))</formula>
    </cfRule>
    <cfRule type="containsText" dxfId="1358" priority="3493" operator="containsText" text="X">
      <formula>NOT(ISERROR(SEARCH(("X"),(AI18))))</formula>
    </cfRule>
    <cfRule type="containsText" dxfId="1357" priority="3492" operator="containsText" text="K">
      <formula>NOT(ISERROR(SEARCH(("K"),(AI18))))</formula>
    </cfRule>
    <cfRule type="containsText" dxfId="1356" priority="3491" operator="containsText" text="P">
      <formula>NOT(ISERROR(SEARCH(("P"),(AI18))))</formula>
    </cfRule>
    <cfRule type="containsText" dxfId="1355" priority="3490" operator="containsText" text="C">
      <formula>NOT(ISERROR(SEARCH(("C"),(AI18))))</formula>
    </cfRule>
    <cfRule type="containsText" dxfId="1354" priority="3489" operator="containsText" text="O">
      <formula>NOT(ISERROR(SEARCH(("O"),(AI18))))</formula>
    </cfRule>
    <cfRule type="containsText" dxfId="1353" priority="3488" operator="containsText" text="N">
      <formula>NOT(ISERROR(SEARCH(("N"),(AI18))))</formula>
    </cfRule>
    <cfRule type="containsText" dxfId="1352" priority="3438" operator="containsText" text="L">
      <formula>NOT(ISERROR(SEARCH(("L"),(AI18))))</formula>
    </cfRule>
    <cfRule type="containsText" dxfId="1351" priority="3437" operator="containsText" text="X">
      <formula>NOT(ISERROR(SEARCH(("X"),(AI18))))</formula>
    </cfRule>
    <cfRule type="containsText" dxfId="1350" priority="3435" operator="containsText" text="P">
      <formula>NOT(ISERROR(SEARCH(("P"),(AI18))))</formula>
    </cfRule>
    <cfRule type="containsText" dxfId="1349" priority="3434" operator="containsText" text="C">
      <formula>NOT(ISERROR(SEARCH(("C"),(AI18))))</formula>
    </cfRule>
    <cfRule type="containsText" dxfId="1348" priority="3433" operator="containsText" text="O">
      <formula>NOT(ISERROR(SEARCH(("O"),(AI18))))</formula>
    </cfRule>
    <cfRule type="containsText" dxfId="1347" priority="3432" operator="containsText" text="N">
      <formula>NOT(ISERROR(SEARCH(("N"),(AI18))))</formula>
    </cfRule>
    <cfRule type="containsText" dxfId="1346" priority="3408" operator="containsText" text="L">
      <formula>NOT(ISERROR(SEARCH(("L"),(AI18))))</formula>
    </cfRule>
    <cfRule type="containsText" dxfId="1345" priority="3407" operator="containsText" text="X">
      <formula>NOT(ISERROR(SEARCH(("X"),(AI18))))</formula>
    </cfRule>
    <cfRule type="containsText" dxfId="1344" priority="3406" operator="containsText" text="K">
      <formula>NOT(ISERROR(SEARCH(("K"),(AI18))))</formula>
    </cfRule>
    <cfRule type="containsText" dxfId="1343" priority="3374" operator="containsText" text="N">
      <formula>NOT(ISERROR(SEARCH(("N"),(AI18))))</formula>
    </cfRule>
    <cfRule type="containsText" dxfId="1342" priority="3375" operator="containsText" text="O">
      <formula>NOT(ISERROR(SEARCH(("O"),(AI18))))</formula>
    </cfRule>
    <cfRule type="containsText" dxfId="1341" priority="3376" operator="containsText" text="C">
      <formula>NOT(ISERROR(SEARCH(("C"),(AI18))))</formula>
    </cfRule>
    <cfRule type="containsText" dxfId="1340" priority="3403" operator="containsText" text="O">
      <formula>NOT(ISERROR(SEARCH(("O"),(AI18))))</formula>
    </cfRule>
    <cfRule type="containsText" dxfId="1339" priority="3404" operator="containsText" text="C">
      <formula>NOT(ISERROR(SEARCH(("C"),(AI18))))</formula>
    </cfRule>
    <cfRule type="containsText" dxfId="1338" priority="3405" operator="containsText" text="P">
      <formula>NOT(ISERROR(SEARCH(("P"),(AI18))))</formula>
    </cfRule>
    <cfRule type="containsText" dxfId="1337" priority="3377" operator="containsText" text="P">
      <formula>NOT(ISERROR(SEARCH(("P"),(AI18))))</formula>
    </cfRule>
    <cfRule type="containsText" dxfId="1336" priority="3378" operator="containsText" text="K">
      <formula>NOT(ISERROR(SEARCH(("K"),(AI18))))</formula>
    </cfRule>
    <cfRule type="containsText" dxfId="1335" priority="3379" operator="containsText" text="X">
      <formula>NOT(ISERROR(SEARCH(("X"),(AI18))))</formula>
    </cfRule>
    <cfRule type="containsText" dxfId="1334" priority="3380" operator="containsText" text="L">
      <formula>NOT(ISERROR(SEARCH(("L"),(AI18))))</formula>
    </cfRule>
    <cfRule type="containsText" dxfId="1333" priority="7697" operator="containsText" text="N">
      <formula>NOT(ISERROR(SEARCH(("N"),(AI18))))</formula>
    </cfRule>
  </conditionalFormatting>
  <conditionalFormatting sqref="AI18:AJ19">
    <cfRule type="containsText" dxfId="1332" priority="8217" operator="containsText" text="C">
      <formula>NOT(ISERROR(SEARCH(("C"),(AI18))))</formula>
    </cfRule>
    <cfRule type="containsText" dxfId="1331" priority="8218" operator="containsText" text="P">
      <formula>NOT(ISERROR(SEARCH(("P"),(AI18))))</formula>
    </cfRule>
    <cfRule type="containsText" dxfId="1330" priority="8219" operator="containsText" text="K">
      <formula>NOT(ISERROR(SEARCH(("K"),(AI18))))</formula>
    </cfRule>
    <cfRule type="containsText" dxfId="1329" priority="8220" operator="containsText" text="X">
      <formula>NOT(ISERROR(SEARCH(("X"),(AI18))))</formula>
    </cfRule>
    <cfRule type="containsText" dxfId="1328" priority="8221" operator="containsText" text="L">
      <formula>NOT(ISERROR(SEARCH(("L"),(AI18))))</formula>
    </cfRule>
    <cfRule type="containsText" dxfId="1327" priority="8215" operator="containsText" text="N">
      <formula>NOT(ISERROR(SEARCH(("N"),(AI18))))</formula>
    </cfRule>
    <cfRule type="containsText" dxfId="1326" priority="8216" operator="containsText" text="O">
      <formula>NOT(ISERROR(SEARCH(("O"),(AI18))))</formula>
    </cfRule>
  </conditionalFormatting>
  <conditionalFormatting sqref="AI19:AJ19">
    <cfRule type="containsText" dxfId="1325" priority="5740" operator="containsText" text="K">
      <formula>NOT(ISERROR(SEARCH(("K"),(AI19))))</formula>
    </cfRule>
    <cfRule type="containsText" dxfId="1324" priority="2930" operator="containsText" text="X">
      <formula>NOT(ISERROR(SEARCH(("X"),(AI19))))</formula>
    </cfRule>
    <cfRule type="containsText" dxfId="1323" priority="3039" operator="containsText" text="N">
      <formula>NOT(ISERROR(SEARCH(("N"),(AI19))))</formula>
    </cfRule>
    <cfRule type="containsText" dxfId="1322" priority="3044" operator="containsText" text="X">
      <formula>NOT(ISERROR(SEARCH(("X"),(AI19))))</formula>
    </cfRule>
    <cfRule type="containsText" dxfId="1321" priority="3040" operator="containsText" text="O">
      <formula>NOT(ISERROR(SEARCH(("O"),(AI19))))</formula>
    </cfRule>
    <cfRule type="containsText" dxfId="1320" priority="3041" operator="containsText" text="C">
      <formula>NOT(ISERROR(SEARCH(("C"),(AI19))))</formula>
    </cfRule>
    <cfRule type="containsText" dxfId="1319" priority="2956" operator="containsText" text="P">
      <formula>NOT(ISERROR(SEARCH(("P"),(AI19))))</formula>
    </cfRule>
    <cfRule type="containsText" dxfId="1318" priority="3045" operator="containsText" text="L">
      <formula>NOT(ISERROR(SEARCH(("L"),(AI19))))</formula>
    </cfRule>
    <cfRule type="containsText" dxfId="1317" priority="2959" operator="containsText" text="L">
      <formula>NOT(ISERROR(SEARCH(("L"),(AI19))))</formula>
    </cfRule>
    <cfRule type="containsText" dxfId="1316" priority="5737" operator="containsText" text="O">
      <formula>NOT(ISERROR(SEARCH(("O"),(AI19))))</formula>
    </cfRule>
    <cfRule type="containsText" dxfId="1315" priority="2989" operator="containsText" text="L">
      <formula>NOT(ISERROR(SEARCH(("L"),(AI19))))</formula>
    </cfRule>
    <cfRule type="containsText" dxfId="1314" priority="2988" operator="containsText" text="X">
      <formula>NOT(ISERROR(SEARCH(("X"),(AI19))))</formula>
    </cfRule>
    <cfRule type="containsText" dxfId="1313" priority="2987" operator="containsText" text="K">
      <formula>NOT(ISERROR(SEARCH(("K"),(AI19))))</formula>
    </cfRule>
    <cfRule type="containsText" dxfId="1312" priority="2986" operator="containsText" text="P">
      <formula>NOT(ISERROR(SEARCH(("P"),(AI19))))</formula>
    </cfRule>
    <cfRule type="containsText" dxfId="1311" priority="5770" operator="containsText" text="L">
      <formula>NOT(ISERROR(SEARCH(("L"),(AI19))))</formula>
    </cfRule>
    <cfRule type="containsText" dxfId="1310" priority="5769" operator="containsText" text="X">
      <formula>NOT(ISERROR(SEARCH(("X"),(AI19))))</formula>
    </cfRule>
    <cfRule type="containsText" dxfId="1309" priority="5768" operator="containsText" text="K">
      <formula>NOT(ISERROR(SEARCH(("K"),(AI19))))</formula>
    </cfRule>
    <cfRule type="containsText" dxfId="1308" priority="5767" operator="containsText" text="P">
      <formula>NOT(ISERROR(SEARCH(("P"),(AI19))))</formula>
    </cfRule>
    <cfRule type="containsText" dxfId="1307" priority="2955" operator="containsText" text="C">
      <formula>NOT(ISERROR(SEARCH(("C"),(AI19))))</formula>
    </cfRule>
    <cfRule type="containsText" dxfId="1306" priority="5736" operator="containsText" text="N">
      <formula>NOT(ISERROR(SEARCH(("N"),(AI19))))</formula>
    </cfRule>
    <cfRule type="containsText" dxfId="1305" priority="2957" operator="containsText" text="K">
      <formula>NOT(ISERROR(SEARCH(("K"),(AI19))))</formula>
    </cfRule>
    <cfRule type="containsText" dxfId="1304" priority="2958" operator="containsText" text="X">
      <formula>NOT(ISERROR(SEARCH(("X"),(AI19))))</formula>
    </cfRule>
    <cfRule type="containsText" dxfId="1303" priority="3042" operator="containsText" text="P">
      <formula>NOT(ISERROR(SEARCH(("P"),(AI19))))</formula>
    </cfRule>
    <cfRule type="containsText" dxfId="1302" priority="3043" operator="containsText" text="K">
      <formula>NOT(ISERROR(SEARCH(("K"),(AI19))))</formula>
    </cfRule>
    <cfRule type="containsText" dxfId="1301" priority="5738" operator="containsText" text="C">
      <formula>NOT(ISERROR(SEARCH(("C"),(AI19))))</formula>
    </cfRule>
    <cfRule type="containsText" dxfId="1300" priority="5739" operator="containsText" text="P">
      <formula>NOT(ISERROR(SEARCH(("P"),(AI19))))</formula>
    </cfRule>
    <cfRule type="containsText" dxfId="1299" priority="2983" operator="containsText" text="N">
      <formula>NOT(ISERROR(SEARCH(("N"),(AI19))))</formula>
    </cfRule>
    <cfRule type="containsText" dxfId="1298" priority="2984" operator="containsText" text="O">
      <formula>NOT(ISERROR(SEARCH(("O"),(AI19))))</formula>
    </cfRule>
    <cfRule type="containsText" dxfId="1297" priority="2985" operator="containsText" text="C">
      <formula>NOT(ISERROR(SEARCH(("C"),(AI19))))</formula>
    </cfRule>
    <cfRule type="containsText" dxfId="1296" priority="5764" operator="containsText" text="N">
      <formula>NOT(ISERROR(SEARCH(("N"),(AI19))))</formula>
    </cfRule>
    <cfRule type="containsText" dxfId="1295" priority="5765" operator="containsText" text="O">
      <formula>NOT(ISERROR(SEARCH(("O"),(AI19))))</formula>
    </cfRule>
    <cfRule type="containsText" dxfId="1294" priority="5766" operator="containsText" text="C">
      <formula>NOT(ISERROR(SEARCH(("C"),(AI19))))</formula>
    </cfRule>
    <cfRule type="containsText" dxfId="1293" priority="2925" operator="containsText" text="N">
      <formula>NOT(ISERROR(SEARCH(("N"),(AI19))))</formula>
    </cfRule>
    <cfRule type="containsText" dxfId="1292" priority="2926" operator="containsText" text="O">
      <formula>NOT(ISERROR(SEARCH(("O"),(AI19))))</formula>
    </cfRule>
    <cfRule type="containsText" dxfId="1291" priority="2927" operator="containsText" text="C">
      <formula>NOT(ISERROR(SEARCH(("C"),(AI19))))</formula>
    </cfRule>
    <cfRule type="containsText" dxfId="1290" priority="5741" operator="containsText" text="X">
      <formula>NOT(ISERROR(SEARCH(("X"),(AI19))))</formula>
    </cfRule>
    <cfRule type="containsText" dxfId="1289" priority="5742" operator="containsText" text="L">
      <formula>NOT(ISERROR(SEARCH(("L"),(AI19))))</formula>
    </cfRule>
    <cfRule type="containsText" dxfId="1288" priority="2931" operator="containsText" text="L">
      <formula>NOT(ISERROR(SEARCH(("L"),(AI19))))</formula>
    </cfRule>
    <cfRule type="containsText" dxfId="1287" priority="2953" operator="containsText" text="N">
      <formula>NOT(ISERROR(SEARCH(("N"),(AI19))))</formula>
    </cfRule>
    <cfRule type="containsText" dxfId="1286" priority="2954" operator="containsText" text="O">
      <formula>NOT(ISERROR(SEARCH(("O"),(AI19))))</formula>
    </cfRule>
    <cfRule type="containsText" dxfId="1285" priority="2928" operator="containsText" text="P">
      <formula>NOT(ISERROR(SEARCH(("P"),(AI19))))</formula>
    </cfRule>
    <cfRule type="containsText" dxfId="1284" priority="2929" operator="containsText" text="K">
      <formula>NOT(ISERROR(SEARCH(("K"),(AI19))))</formula>
    </cfRule>
  </conditionalFormatting>
  <conditionalFormatting sqref="AI20:AJ20">
    <cfRule type="containsText" dxfId="1283" priority="6832" operator="containsText" text="P">
      <formula>NOT(ISERROR(SEARCH(("P"),(AI20))))</formula>
    </cfRule>
    <cfRule type="containsText" dxfId="1282" priority="6833" operator="containsText" text="K">
      <formula>NOT(ISERROR(SEARCH(("K"),(AI20))))</formula>
    </cfRule>
    <cfRule type="containsText" dxfId="1281" priority="6834" operator="containsText" text="X">
      <formula>NOT(ISERROR(SEARCH(("X"),(AI20))))</formula>
    </cfRule>
    <cfRule type="containsText" dxfId="1280" priority="8441" operator="containsText" text="C">
      <formula>NOT(ISERROR(SEARCH(("C"),(AI20))))</formula>
    </cfRule>
    <cfRule type="containsText" dxfId="1279" priority="8440" operator="containsText" text="O">
      <formula>NOT(ISERROR(SEARCH(("O"),(AI20))))</formula>
    </cfRule>
    <cfRule type="containsText" dxfId="1278" priority="8439" operator="containsText" text="L">
      <formula>NOT(ISERROR(SEARCH(("L"),(AI20))))</formula>
    </cfRule>
    <cfRule type="containsText" dxfId="1277" priority="6888" operator="containsText" text="P">
      <formula>NOT(ISERROR(SEARCH(("P"),(AI20))))</formula>
    </cfRule>
    <cfRule type="containsText" dxfId="1276" priority="6889" operator="containsText" text="K">
      <formula>NOT(ISERROR(SEARCH(("K"),(AI20))))</formula>
    </cfRule>
    <cfRule type="containsText" dxfId="1275" priority="6885" operator="containsText" text="N">
      <formula>NOT(ISERROR(SEARCH(("N"),(AI20))))</formula>
    </cfRule>
    <cfRule type="containsText" dxfId="1274" priority="6886" operator="containsText" text="O">
      <formula>NOT(ISERROR(SEARCH(("O"),(AI20))))</formula>
    </cfRule>
    <cfRule type="containsText" dxfId="1273" priority="6887" operator="containsText" text="C">
      <formula>NOT(ISERROR(SEARCH(("C"),(AI20))))</formula>
    </cfRule>
    <cfRule type="containsText" dxfId="1272" priority="6835" operator="containsText" text="L">
      <formula>NOT(ISERROR(SEARCH(("L"),(AI20))))</formula>
    </cfRule>
    <cfRule type="containsText" dxfId="1271" priority="6891" operator="containsText" text="L">
      <formula>NOT(ISERROR(SEARCH(("L"),(AI20))))</formula>
    </cfRule>
    <cfRule type="containsText" dxfId="1270" priority="6763" operator="containsText" text="L">
      <formula>NOT(ISERROR(SEARCH(("L"),(AI20))))</formula>
    </cfRule>
    <cfRule type="containsText" dxfId="1269" priority="6890" operator="containsText" text="X">
      <formula>NOT(ISERROR(SEARCH(("X"),(AI20))))</formula>
    </cfRule>
    <cfRule type="containsText" dxfId="1268" priority="6758" operator="containsText" text="O">
      <formula>NOT(ISERROR(SEARCH(("O"),(AI20))))</formula>
    </cfRule>
    <cfRule type="containsText" dxfId="1267" priority="6759" operator="containsText" text="C">
      <formula>NOT(ISERROR(SEARCH(("C"),(AI20))))</formula>
    </cfRule>
    <cfRule type="containsText" dxfId="1266" priority="6760" operator="containsText" text="P">
      <formula>NOT(ISERROR(SEARCH(("P"),(AI20))))</formula>
    </cfRule>
    <cfRule type="containsText" dxfId="1265" priority="6757" operator="containsText" text="N">
      <formula>NOT(ISERROR(SEARCH(("N"),(AI20))))</formula>
    </cfRule>
    <cfRule type="containsText" dxfId="1264" priority="6761" operator="containsText" text="K">
      <formula>NOT(ISERROR(SEARCH(("K"),(AI20))))</formula>
    </cfRule>
    <cfRule type="containsText" dxfId="1263" priority="8444" operator="containsText" text="X">
      <formula>NOT(ISERROR(SEARCH(("X"),(AI20))))</formula>
    </cfRule>
    <cfRule type="containsText" dxfId="1262" priority="8443" operator="containsText" text="K">
      <formula>NOT(ISERROR(SEARCH(("K"),(AI20))))</formula>
    </cfRule>
    <cfRule type="containsText" dxfId="1261" priority="8442" operator="containsText" text="P">
      <formula>NOT(ISERROR(SEARCH(("P"),(AI20))))</formula>
    </cfRule>
    <cfRule type="containsText" dxfId="1260" priority="6762" operator="containsText" text="X">
      <formula>NOT(ISERROR(SEARCH(("X"),(AI20))))</formula>
    </cfRule>
    <cfRule type="containsText" dxfId="1259" priority="6786" operator="containsText" text="O">
      <formula>NOT(ISERROR(SEARCH(("O"),(AI20))))</formula>
    </cfRule>
    <cfRule type="containsText" dxfId="1258" priority="6787" operator="containsText" text="C">
      <formula>NOT(ISERROR(SEARCH(("C"),(AI20))))</formula>
    </cfRule>
    <cfRule type="containsText" dxfId="1257" priority="6788" operator="containsText" text="P">
      <formula>NOT(ISERROR(SEARCH(("P"),(AI20))))</formula>
    </cfRule>
    <cfRule type="containsText" dxfId="1256" priority="6789" operator="containsText" text="K">
      <formula>NOT(ISERROR(SEARCH(("K"),(AI20))))</formula>
    </cfRule>
    <cfRule type="containsText" dxfId="1255" priority="6785" operator="containsText" text="N">
      <formula>NOT(ISERROR(SEARCH(("N"),(AI20))))</formula>
    </cfRule>
    <cfRule type="containsText" dxfId="1254" priority="6790" operator="containsText" text="X">
      <formula>NOT(ISERROR(SEARCH(("X"),(AI20))))</formula>
    </cfRule>
    <cfRule type="containsText" dxfId="1253" priority="6791" operator="containsText" text="L">
      <formula>NOT(ISERROR(SEARCH(("L"),(AI20))))</formula>
    </cfRule>
    <cfRule type="containsText" dxfId="1252" priority="6829" operator="containsText" text="N">
      <formula>NOT(ISERROR(SEARCH(("N"),(AI20))))</formula>
    </cfRule>
    <cfRule type="containsText" dxfId="1251" priority="6830" operator="containsText" text="O">
      <formula>NOT(ISERROR(SEARCH(("O"),(AI20))))</formula>
    </cfRule>
    <cfRule type="containsText" dxfId="1250" priority="6831" operator="containsText" text="C">
      <formula>NOT(ISERROR(SEARCH(("C"),(AI20))))</formula>
    </cfRule>
  </conditionalFormatting>
  <conditionalFormatting sqref="AI20:AJ21">
    <cfRule type="containsText" dxfId="1249" priority="8352" operator="containsText" text="X">
      <formula>NOT(ISERROR(SEARCH(("X"),(AI20))))</formula>
    </cfRule>
    <cfRule type="containsText" dxfId="1248" priority="8348" operator="containsText" text="O">
      <formula>NOT(ISERROR(SEARCH(("O"),(AI20))))</formula>
    </cfRule>
    <cfRule type="containsText" dxfId="1247" priority="8349" operator="containsText" text="C">
      <formula>NOT(ISERROR(SEARCH(("C"),(AI20))))</formula>
    </cfRule>
    <cfRule type="containsText" dxfId="1246" priority="8350" operator="containsText" text="P">
      <formula>NOT(ISERROR(SEARCH(("P"),(AI20))))</formula>
    </cfRule>
    <cfRule type="containsText" dxfId="1245" priority="8351" operator="containsText" text="K">
      <formula>NOT(ISERROR(SEARCH(("K"),(AI20))))</formula>
    </cfRule>
  </conditionalFormatting>
  <conditionalFormatting sqref="AI21:AJ21">
    <cfRule type="containsText" dxfId="1244" priority="6543" operator="containsText" text="K">
      <formula>NOT(ISERROR(SEARCH(("K"),(AI21))))</formula>
    </cfRule>
    <cfRule type="containsText" dxfId="1243" priority="6542" operator="containsText" text="P">
      <formula>NOT(ISERROR(SEARCH(("P"),(AI21))))</formula>
    </cfRule>
    <cfRule type="containsText" dxfId="1242" priority="6541" operator="containsText" text="C">
      <formula>NOT(ISERROR(SEARCH(("C"),(AI21))))</formula>
    </cfRule>
    <cfRule type="containsText" dxfId="1241" priority="6540" operator="containsText" text="O">
      <formula>NOT(ISERROR(SEARCH(("O"),(AI21))))</formula>
    </cfRule>
    <cfRule type="containsText" dxfId="1240" priority="6539" operator="containsText" text="N">
      <formula>NOT(ISERROR(SEARCH(("N"),(AI21))))</formula>
    </cfRule>
    <cfRule type="containsText" dxfId="1239" priority="6570" operator="containsText" text="P">
      <formula>NOT(ISERROR(SEARCH(("P"),(AI21))))</formula>
    </cfRule>
    <cfRule type="containsText" dxfId="1238" priority="8347" operator="containsText" text="L">
      <formula>NOT(ISERROR(SEARCH(("L"),(AI21))))</formula>
    </cfRule>
    <cfRule type="containsText" dxfId="1237" priority="6571" operator="containsText" text="K">
      <formula>NOT(ISERROR(SEARCH(("K"),(AI21))))</formula>
    </cfRule>
    <cfRule type="containsText" dxfId="1236" priority="6617" operator="containsText" text="L">
      <formula>NOT(ISERROR(SEARCH(("L"),(AI21))))</formula>
    </cfRule>
    <cfRule type="containsText" dxfId="1235" priority="6616" operator="containsText" text="X">
      <formula>NOT(ISERROR(SEARCH(("X"),(AI21))))</formula>
    </cfRule>
    <cfRule type="containsText" dxfId="1234" priority="6567" operator="containsText" text="N">
      <formula>NOT(ISERROR(SEARCH(("N"),(AI21))))</formula>
    </cfRule>
    <cfRule type="containsText" dxfId="1233" priority="6572" operator="containsText" text="X">
      <formula>NOT(ISERROR(SEARCH(("X"),(AI21))))</formula>
    </cfRule>
    <cfRule type="containsText" dxfId="1232" priority="6569" operator="containsText" text="C">
      <formula>NOT(ISERROR(SEARCH(("C"),(AI21))))</formula>
    </cfRule>
    <cfRule type="containsText" dxfId="1231" priority="6573" operator="containsText" text="L">
      <formula>NOT(ISERROR(SEARCH(("L"),(AI21))))</formula>
    </cfRule>
    <cfRule type="containsText" dxfId="1230" priority="6611" operator="containsText" text="N">
      <formula>NOT(ISERROR(SEARCH(("N"),(AI21))))</formula>
    </cfRule>
    <cfRule type="containsText" dxfId="1229" priority="6612" operator="containsText" text="O">
      <formula>NOT(ISERROR(SEARCH(("O"),(AI21))))</formula>
    </cfRule>
    <cfRule type="containsText" dxfId="1228" priority="6613" operator="containsText" text="C">
      <formula>NOT(ISERROR(SEARCH(("C"),(AI21))))</formula>
    </cfRule>
    <cfRule type="containsText" dxfId="1227" priority="6545" operator="containsText" text="L">
      <formula>NOT(ISERROR(SEARCH(("L"),(AI21))))</formula>
    </cfRule>
    <cfRule type="containsText" dxfId="1226" priority="6568" operator="containsText" text="O">
      <formula>NOT(ISERROR(SEARCH(("O"),(AI21))))</formula>
    </cfRule>
    <cfRule type="containsText" dxfId="1225" priority="6614" operator="containsText" text="P">
      <formula>NOT(ISERROR(SEARCH(("P"),(AI21))))</formula>
    </cfRule>
    <cfRule type="containsText" dxfId="1224" priority="6615" operator="containsText" text="K">
      <formula>NOT(ISERROR(SEARCH(("K"),(AI21))))</formula>
    </cfRule>
    <cfRule type="containsText" dxfId="1223" priority="6544" operator="containsText" text="X">
      <formula>NOT(ISERROR(SEARCH(("X"),(AI21))))</formula>
    </cfRule>
  </conditionalFormatting>
  <conditionalFormatting sqref="AI21:AJ26">
    <cfRule type="containsText" dxfId="1222" priority="8116" operator="containsText" text="C">
      <formula>NOT(ISERROR(SEARCH(("C"),(AI21))))</formula>
    </cfRule>
    <cfRule type="containsText" dxfId="1221" priority="8118" operator="containsText" text="K">
      <formula>NOT(ISERROR(SEARCH(("K"),(AI21))))</formula>
    </cfRule>
    <cfRule type="containsText" dxfId="1220" priority="8119" operator="containsText" text="X">
      <formula>NOT(ISERROR(SEARCH(("X"),(AI21))))</formula>
    </cfRule>
    <cfRule type="containsText" dxfId="1219" priority="8117" operator="containsText" text="P">
      <formula>NOT(ISERROR(SEARCH(("P"),(AI21))))</formula>
    </cfRule>
    <cfRule type="containsText" dxfId="1218" priority="8115" operator="containsText" text="O">
      <formula>NOT(ISERROR(SEARCH(("O"),(AI21))))</formula>
    </cfRule>
  </conditionalFormatting>
  <conditionalFormatting sqref="AI22:AJ26">
    <cfRule type="containsText" dxfId="1217" priority="7948" operator="containsText" text="O">
      <formula>NOT(ISERROR(SEARCH(("O"),(AI22))))</formula>
    </cfRule>
    <cfRule type="containsText" dxfId="1216" priority="7949" operator="containsText" text="C">
      <formula>NOT(ISERROR(SEARCH(("C"),(AI22))))</formula>
    </cfRule>
    <cfRule type="containsText" dxfId="1215" priority="7943" operator="containsText" text="C">
      <formula>NOT(ISERROR(SEARCH(("C"),(AI22))))</formula>
    </cfRule>
    <cfRule type="containsText" dxfId="1214" priority="6393" operator="containsText" text="N">
      <formula>NOT(ISERROR(SEARCH(("N"),(AI22))))</formula>
    </cfRule>
    <cfRule type="containsText" dxfId="1213" priority="7947" operator="containsText" text="L">
      <formula>NOT(ISERROR(SEARCH(("L"),(AI22))))</formula>
    </cfRule>
    <cfRule type="containsText" dxfId="1212" priority="7946" operator="containsText" text="X">
      <formula>NOT(ISERROR(SEARCH(("X"),(AI22))))</formula>
    </cfRule>
    <cfRule type="containsText" dxfId="1211" priority="7945" operator="containsText" text="K">
      <formula>NOT(ISERROR(SEARCH(("K"),(AI22))))</formula>
    </cfRule>
    <cfRule type="containsText" dxfId="1210" priority="6394" operator="containsText" text="O">
      <formula>NOT(ISERROR(SEARCH(("O"),(AI22))))</formula>
    </cfRule>
    <cfRule type="containsText" dxfId="1209" priority="6395" operator="containsText" text="C">
      <formula>NOT(ISERROR(SEARCH(("C"),(AI22))))</formula>
    </cfRule>
    <cfRule type="containsText" dxfId="1208" priority="6396" operator="containsText" text="P">
      <formula>NOT(ISERROR(SEARCH(("P"),(AI22))))</formula>
    </cfRule>
    <cfRule type="containsText" dxfId="1207" priority="7944" operator="containsText" text="P">
      <formula>NOT(ISERROR(SEARCH(("P"),(AI22))))</formula>
    </cfRule>
    <cfRule type="containsText" dxfId="1206" priority="6397" operator="containsText" text="K">
      <formula>NOT(ISERROR(SEARCH(("K"),(AI22))))</formula>
    </cfRule>
    <cfRule type="containsText" dxfId="1205" priority="6398" operator="containsText" text="X">
      <formula>NOT(ISERROR(SEARCH(("X"),(AI22))))</formula>
    </cfRule>
    <cfRule type="containsText" dxfId="1204" priority="7906" operator="containsText" text="N">
      <formula>NOT(ISERROR(SEARCH(("N"),(AI22))))</formula>
    </cfRule>
    <cfRule type="containsText" dxfId="1203" priority="7953" operator="containsText" text="N">
      <formula>NOT(ISERROR(SEARCH(("N"),(AI22))))</formula>
    </cfRule>
    <cfRule type="containsText" dxfId="1202" priority="8114" operator="containsText" text="L">
      <formula>NOT(ISERROR(SEARCH(("L"),(AI22))))</formula>
    </cfRule>
    <cfRule type="containsText" dxfId="1201" priority="7951" operator="containsText" text="K">
      <formula>NOT(ISERROR(SEARCH(("K"),(AI22))))</formula>
    </cfRule>
    <cfRule type="containsText" dxfId="1200" priority="7952" operator="containsText" text="X">
      <formula>NOT(ISERROR(SEARCH(("X"),(AI22))))</formula>
    </cfRule>
    <cfRule type="containsText" dxfId="1199" priority="7942" operator="containsText" text="O">
      <formula>NOT(ISERROR(SEARCH(("O"),(AI22))))</formula>
    </cfRule>
    <cfRule type="containsText" dxfId="1198" priority="7950" operator="containsText" text="P">
      <formula>NOT(ISERROR(SEARCH(("P"),(AI22))))</formula>
    </cfRule>
  </conditionalFormatting>
  <conditionalFormatting sqref="AI16:AK16">
    <cfRule type="containsText" dxfId="1197" priority="8608" operator="containsText" text="N">
      <formula>NOT(ISERROR(SEARCH(("N"),(AI16))))</formula>
    </cfRule>
    <cfRule type="containsText" dxfId="1196" priority="8611" operator="containsText" text="P">
      <formula>NOT(ISERROR(SEARCH(("P"),(AI16))))</formula>
    </cfRule>
    <cfRule type="containsText" dxfId="1195" priority="8609" operator="containsText" text="O">
      <formula>NOT(ISERROR(SEARCH(("O"),(AI16))))</formula>
    </cfRule>
    <cfRule type="containsText" dxfId="1194" priority="8610" operator="containsText" text="C">
      <formula>NOT(ISERROR(SEARCH(("C"),(AI16))))</formula>
    </cfRule>
    <cfRule type="containsText" dxfId="1193" priority="8612" operator="containsText" text="K">
      <formula>NOT(ISERROR(SEARCH(("K"),(AI16))))</formula>
    </cfRule>
    <cfRule type="containsText" dxfId="1192" priority="8613" operator="containsText" text="X">
      <formula>NOT(ISERROR(SEARCH(("X"),(AI16))))</formula>
    </cfRule>
    <cfRule type="containsText" dxfId="1191" priority="8614" operator="containsText" text="L">
      <formula>NOT(ISERROR(SEARCH(("L"),(AI16))))</formula>
    </cfRule>
  </conditionalFormatting>
  <conditionalFormatting sqref="AI18:AK18">
    <cfRule type="containsText" dxfId="1190" priority="3523" operator="containsText" text="O">
      <formula>NOT(ISERROR(SEARCH(("O"),(AI18))))</formula>
    </cfRule>
    <cfRule type="containsText" dxfId="1189" priority="3524" operator="containsText" text="C">
      <formula>NOT(ISERROR(SEARCH(("C"),(AI18))))</formula>
    </cfRule>
    <cfRule type="containsText" dxfId="1188" priority="3525" operator="containsText" text="P">
      <formula>NOT(ISERROR(SEARCH(("P"),(AI18))))</formula>
    </cfRule>
    <cfRule type="containsText" dxfId="1187" priority="3526" operator="containsText" text="K">
      <formula>NOT(ISERROR(SEARCH(("K"),(AI18))))</formula>
    </cfRule>
    <cfRule type="containsText" dxfId="1186" priority="3527" operator="containsText" text="X">
      <formula>NOT(ISERROR(SEARCH(("X"),(AI18))))</formula>
    </cfRule>
    <cfRule type="containsText" dxfId="1185" priority="3528" operator="containsText" text="L">
      <formula>NOT(ISERROR(SEARCH(("L"),(AI18))))</formula>
    </cfRule>
  </conditionalFormatting>
  <conditionalFormatting sqref="AI19:AK19">
    <cfRule type="containsText" dxfId="1184" priority="3078" operator="containsText" text="X">
      <formula>NOT(ISERROR(SEARCH(("X"),(AI19))))</formula>
    </cfRule>
    <cfRule type="containsText" dxfId="1183" priority="3079" operator="containsText" text="L">
      <formula>NOT(ISERROR(SEARCH(("L"),(AI19))))</formula>
    </cfRule>
    <cfRule type="containsText" dxfId="1182" priority="3075" operator="containsText" text="C">
      <formula>NOT(ISERROR(SEARCH(("C"),(AI19))))</formula>
    </cfRule>
    <cfRule type="containsText" dxfId="1181" priority="3076" operator="containsText" text="P">
      <formula>NOT(ISERROR(SEARCH(("P"),(AI19))))</formula>
    </cfRule>
    <cfRule type="containsText" dxfId="1180" priority="3077" operator="containsText" text="K">
      <formula>NOT(ISERROR(SEARCH(("K"),(AI19))))</formula>
    </cfRule>
    <cfRule type="containsText" dxfId="1179" priority="3074" operator="containsText" text="O">
      <formula>NOT(ISERROR(SEARCH(("O"),(AI19))))</formula>
    </cfRule>
    <cfRule type="containsText" dxfId="1178" priority="3073" operator="containsText" text="N">
      <formula>NOT(ISERROR(SEARCH(("N"),(AI19))))</formula>
    </cfRule>
  </conditionalFormatting>
  <conditionalFormatting sqref="AI14:AL14">
    <cfRule type="containsText" dxfId="1177" priority="9114" operator="containsText" text="P">
      <formula>NOT(ISERROR(SEARCH(("P"),(AI14))))</formula>
    </cfRule>
    <cfRule type="containsText" dxfId="1176" priority="9113" operator="containsText" text="C">
      <formula>NOT(ISERROR(SEARCH(("C"),(AI14))))</formula>
    </cfRule>
    <cfRule type="containsText" dxfId="1175" priority="9115" operator="containsText" text="K">
      <formula>NOT(ISERROR(SEARCH(("K"),(AI14))))</formula>
    </cfRule>
    <cfRule type="containsText" dxfId="1174" priority="9116" operator="containsText" text="X">
      <formula>NOT(ISERROR(SEARCH(("X"),(AI14))))</formula>
    </cfRule>
    <cfRule type="containsText" dxfId="1173" priority="9112" operator="containsText" text="O">
      <formula>NOT(ISERROR(SEARCH(("O"),(AI14))))</formula>
    </cfRule>
    <cfRule type="containsText" dxfId="1172" priority="9117" operator="containsText" text="L">
      <formula>NOT(ISERROR(SEARCH(("L"),(AI14))))</formula>
    </cfRule>
    <cfRule type="containsText" dxfId="1171" priority="9111" operator="containsText" text="N">
      <formula>NOT(ISERROR(SEARCH(("N"),(AI14))))</formula>
    </cfRule>
  </conditionalFormatting>
  <conditionalFormatting sqref="AI15:AL15">
    <cfRule type="containsText" dxfId="1170" priority="9242" operator="containsText" text="N">
      <formula>NOT(ISERROR(SEARCH(("N"),(AI15))))</formula>
    </cfRule>
    <cfRule type="containsText" dxfId="1169" priority="9243" operator="containsText" text="O">
      <formula>NOT(ISERROR(SEARCH(("O"),(AI15))))</formula>
    </cfRule>
    <cfRule type="containsText" dxfId="1168" priority="9244" operator="containsText" text="C">
      <formula>NOT(ISERROR(SEARCH(("C"),(AI15))))</formula>
    </cfRule>
    <cfRule type="containsText" dxfId="1167" priority="9246" operator="containsText" text="K">
      <formula>NOT(ISERROR(SEARCH(("K"),(AI15))))</formula>
    </cfRule>
    <cfRule type="containsText" dxfId="1166" priority="9247" operator="containsText" text="X">
      <formula>NOT(ISERROR(SEARCH(("X"),(AI15))))</formula>
    </cfRule>
    <cfRule type="containsText" dxfId="1165" priority="9248" operator="containsText" text="L">
      <formula>NOT(ISERROR(SEARCH(("L"),(AI15))))</formula>
    </cfRule>
    <cfRule type="containsText" dxfId="1164" priority="9245" operator="containsText" text="P">
      <formula>NOT(ISERROR(SEARCH(("P"),(AI15))))</formula>
    </cfRule>
  </conditionalFormatting>
  <conditionalFormatting sqref="AJ13:AK13">
    <cfRule type="containsText" dxfId="1163" priority="4730" operator="containsText" text="L">
      <formula>NOT(ISERROR(SEARCH(("L"),(AJ13))))</formula>
    </cfRule>
    <cfRule type="containsText" dxfId="1162" priority="4729" operator="containsText" text="X">
      <formula>NOT(ISERROR(SEARCH(("X"),(AJ13))))</formula>
    </cfRule>
    <cfRule type="containsText" dxfId="1161" priority="4728" operator="containsText" text="K">
      <formula>NOT(ISERROR(SEARCH(("K"),(AJ13))))</formula>
    </cfRule>
    <cfRule type="containsText" dxfId="1160" priority="4727" operator="containsText" text="P">
      <formula>NOT(ISERROR(SEARCH(("P"),(AJ13))))</formula>
    </cfRule>
    <cfRule type="containsText" dxfId="1159" priority="4726" operator="containsText" text="C">
      <formula>NOT(ISERROR(SEARCH(("C"),(AJ13))))</formula>
    </cfRule>
    <cfRule type="containsText" dxfId="1158" priority="4725" operator="containsText" text="O">
      <formula>NOT(ISERROR(SEARCH(("O"),(AJ13))))</formula>
    </cfRule>
    <cfRule type="containsText" dxfId="1157" priority="4724" operator="containsText" text="N">
      <formula>NOT(ISERROR(SEARCH(("N"),(AJ13))))</formula>
    </cfRule>
    <cfRule type="containsText" dxfId="1156" priority="4723" operator="containsText" text="L">
      <formula>NOT(ISERROR(SEARCH(("L"),(AJ13))))</formula>
    </cfRule>
    <cfRule type="containsText" dxfId="1155" priority="4722" operator="containsText" text="X">
      <formula>NOT(ISERROR(SEARCH(("X"),(AJ13))))</formula>
    </cfRule>
    <cfRule type="containsText" dxfId="1154" priority="4721" operator="containsText" text="K">
      <formula>NOT(ISERROR(SEARCH(("K"),(AJ13))))</formula>
    </cfRule>
    <cfRule type="containsText" dxfId="1153" priority="4720" operator="containsText" text="P">
      <formula>NOT(ISERROR(SEARCH(("P"),(AJ13))))</formula>
    </cfRule>
    <cfRule type="containsText" dxfId="1152" priority="4719" operator="containsText" text="C">
      <formula>NOT(ISERROR(SEARCH(("C"),(AJ13))))</formula>
    </cfRule>
    <cfRule type="containsText" dxfId="1151" priority="4718" operator="containsText" text="O">
      <formula>NOT(ISERROR(SEARCH(("O"),(AJ13))))</formula>
    </cfRule>
    <cfRule type="containsText" dxfId="1150" priority="4717" operator="containsText" text="N">
      <formula>NOT(ISERROR(SEARCH(("N"),(AJ13))))</formula>
    </cfRule>
    <cfRule type="containsText" dxfId="1149" priority="4745" operator="containsText" text="L">
      <formula>NOT(ISERROR(SEARCH(("L"),(AJ13))))</formula>
    </cfRule>
    <cfRule type="containsText" dxfId="1148" priority="4747" operator="containsText" text="N">
      <formula>NOT(ISERROR(SEARCH(("N"),(AJ13))))</formula>
    </cfRule>
    <cfRule type="containsText" dxfId="1147" priority="4748" operator="containsText" text="O">
      <formula>NOT(ISERROR(SEARCH(("O"),(AJ13))))</formula>
    </cfRule>
    <cfRule type="containsText" dxfId="1146" priority="4749" operator="containsText" text="C">
      <formula>NOT(ISERROR(SEARCH(("C"),(AJ13))))</formula>
    </cfRule>
    <cfRule type="containsText" dxfId="1145" priority="4750" operator="containsText" text="P">
      <formula>NOT(ISERROR(SEARCH(("P"),(AJ13))))</formula>
    </cfRule>
    <cfRule type="containsText" dxfId="1144" priority="4751" operator="containsText" text="K">
      <formula>NOT(ISERROR(SEARCH(("K"),(AJ13))))</formula>
    </cfRule>
    <cfRule type="containsText" dxfId="1143" priority="4752" operator="containsText" text="X">
      <formula>NOT(ISERROR(SEARCH(("X"),(AJ13))))</formula>
    </cfRule>
    <cfRule type="containsText" dxfId="1142" priority="4770" operator="containsText" text="N">
      <formula>NOT(ISERROR(SEARCH(("N"),(AJ13))))</formula>
    </cfRule>
    <cfRule type="containsText" dxfId="1141" priority="4771" operator="containsText" text="O">
      <formula>NOT(ISERROR(SEARCH(("O"),(AJ13))))</formula>
    </cfRule>
    <cfRule type="containsText" dxfId="1140" priority="4753" operator="containsText" text="L">
      <formula>NOT(ISERROR(SEARCH(("L"),(AJ13))))</formula>
    </cfRule>
    <cfRule type="containsText" dxfId="1139" priority="4754" operator="containsText" text="N">
      <formula>NOT(ISERROR(SEARCH(("N"),(AJ13))))</formula>
    </cfRule>
    <cfRule type="containsText" dxfId="1138" priority="4756" operator="containsText" text="C">
      <formula>NOT(ISERROR(SEARCH(("C"),(AJ13))))</formula>
    </cfRule>
    <cfRule type="containsText" dxfId="1137" priority="4757" operator="containsText" text="P">
      <formula>NOT(ISERROR(SEARCH(("P"),(AJ13))))</formula>
    </cfRule>
    <cfRule type="containsText" dxfId="1136" priority="4758" operator="containsText" text="K">
      <formula>NOT(ISERROR(SEARCH(("K"),(AJ13))))</formula>
    </cfRule>
    <cfRule type="containsText" dxfId="1135" priority="4759" operator="containsText" text="X">
      <formula>NOT(ISERROR(SEARCH(("X"),(AJ13))))</formula>
    </cfRule>
    <cfRule type="containsText" dxfId="1134" priority="4760" operator="containsText" text="L">
      <formula>NOT(ISERROR(SEARCH(("L"),(AJ13))))</formula>
    </cfRule>
    <cfRule type="containsText" dxfId="1133" priority="4761" operator="containsText" text="N">
      <formula>NOT(ISERROR(SEARCH(("N"),(AJ13))))</formula>
    </cfRule>
    <cfRule type="containsText" dxfId="1132" priority="4772" operator="containsText" text="C">
      <formula>NOT(ISERROR(SEARCH(("C"),(AJ13))))</formula>
    </cfRule>
    <cfRule type="containsText" dxfId="1131" priority="4773" operator="containsText" text="P">
      <formula>NOT(ISERROR(SEARCH(("P"),(AJ13))))</formula>
    </cfRule>
    <cfRule type="containsText" dxfId="1130" priority="4774" operator="containsText" text="K">
      <formula>NOT(ISERROR(SEARCH(("K"),(AJ13))))</formula>
    </cfRule>
    <cfRule type="containsText" dxfId="1129" priority="4775" operator="containsText" text="X">
      <formula>NOT(ISERROR(SEARCH(("X"),(AJ13))))</formula>
    </cfRule>
    <cfRule type="containsText" dxfId="1128" priority="4776" operator="containsText" text="L">
      <formula>NOT(ISERROR(SEARCH(("L"),(AJ13))))</formula>
    </cfRule>
    <cfRule type="containsText" dxfId="1127" priority="4777" operator="containsText" text="N">
      <formula>NOT(ISERROR(SEARCH(("N"),(AJ13))))</formula>
    </cfRule>
    <cfRule type="containsText" dxfId="1126" priority="4778" operator="containsText" text="O">
      <formula>NOT(ISERROR(SEARCH(("O"),(AJ13))))</formula>
    </cfRule>
    <cfRule type="containsText" dxfId="1125" priority="4779" operator="containsText" text="C">
      <formula>NOT(ISERROR(SEARCH(("C"),(AJ13))))</formula>
    </cfRule>
    <cfRule type="containsText" dxfId="1124" priority="4780" operator="containsText" text="P">
      <formula>NOT(ISERROR(SEARCH(("P"),(AJ13))))</formula>
    </cfRule>
    <cfRule type="containsText" dxfId="1123" priority="4762" operator="containsText" text="O">
      <formula>NOT(ISERROR(SEARCH(("O"),(AJ13))))</formula>
    </cfRule>
    <cfRule type="containsText" dxfId="1122" priority="4763" operator="containsText" text="C">
      <formula>NOT(ISERROR(SEARCH(("C"),(AJ13))))</formula>
    </cfRule>
    <cfRule type="containsText" dxfId="1121" priority="4764" operator="containsText" text="P">
      <formula>NOT(ISERROR(SEARCH(("P"),(AJ13))))</formula>
    </cfRule>
    <cfRule type="containsText" dxfId="1120" priority="4781" operator="containsText" text="K">
      <formula>NOT(ISERROR(SEARCH(("K"),(AJ13))))</formula>
    </cfRule>
    <cfRule type="containsText" dxfId="1119" priority="4782" operator="containsText" text="X">
      <formula>NOT(ISERROR(SEARCH(("X"),(AJ13))))</formula>
    </cfRule>
    <cfRule type="expression" dxfId="1118" priority="4783">
      <formula>WEEKDAY(AJ$8)=1</formula>
    </cfRule>
    <cfRule type="containsText" dxfId="1117" priority="4755" operator="containsText" text="O">
      <formula>NOT(ISERROR(SEARCH(("O"),(AJ13))))</formula>
    </cfRule>
    <cfRule type="containsText" dxfId="1116" priority="4731" operator="containsText" text="N">
      <formula>NOT(ISERROR(SEARCH(("N"),(AJ13))))</formula>
    </cfRule>
    <cfRule type="containsText" dxfId="1115" priority="4732" operator="containsText" text="O">
      <formula>NOT(ISERROR(SEARCH(("O"),(AJ13))))</formula>
    </cfRule>
    <cfRule type="containsText" dxfId="1114" priority="4733" operator="containsText" text="C">
      <formula>NOT(ISERROR(SEARCH(("C"),(AJ13))))</formula>
    </cfRule>
    <cfRule type="containsText" dxfId="1113" priority="4734" operator="containsText" text="P">
      <formula>NOT(ISERROR(SEARCH(("P"),(AJ13))))</formula>
    </cfRule>
    <cfRule type="containsText" dxfId="1112" priority="4735" operator="containsText" text="K">
      <formula>NOT(ISERROR(SEARCH(("K"),(AJ13))))</formula>
    </cfRule>
    <cfRule type="containsText" dxfId="1111" priority="4736" operator="containsText" text="X">
      <formula>NOT(ISERROR(SEARCH(("X"),(AJ13))))</formula>
    </cfRule>
    <cfRule type="containsText" dxfId="1110" priority="4737" operator="containsText" text="L">
      <formula>NOT(ISERROR(SEARCH(("L"),(AJ13))))</formula>
    </cfRule>
    <cfRule type="containsText" dxfId="1109" priority="4739" operator="containsText" text="N">
      <formula>NOT(ISERROR(SEARCH(("N"),(AJ13))))</formula>
    </cfRule>
    <cfRule type="containsText" dxfId="1108" priority="4740" operator="containsText" text="O">
      <formula>NOT(ISERROR(SEARCH(("O"),(AJ13))))</formula>
    </cfRule>
    <cfRule type="containsText" dxfId="1107" priority="4741" operator="containsText" text="C">
      <formula>NOT(ISERROR(SEARCH(("C"),(AJ13))))</formula>
    </cfRule>
    <cfRule type="containsText" dxfId="1106" priority="4742" operator="containsText" text="P">
      <formula>NOT(ISERROR(SEARCH(("P"),(AJ13))))</formula>
    </cfRule>
    <cfRule type="containsText" dxfId="1105" priority="4743" operator="containsText" text="K">
      <formula>NOT(ISERROR(SEARCH(("K"),(AJ13))))</formula>
    </cfRule>
    <cfRule type="containsText" dxfId="1104" priority="4744" operator="containsText" text="X">
      <formula>NOT(ISERROR(SEARCH(("X"),(AJ13))))</formula>
    </cfRule>
    <cfRule type="containsText" dxfId="1103" priority="4769" operator="containsText" text="L">
      <formula>NOT(ISERROR(SEARCH(("L"),(AJ13))))</formula>
    </cfRule>
    <cfRule type="containsText" dxfId="1102" priority="4765" operator="containsText" text="K">
      <formula>NOT(ISERROR(SEARCH(("K"),(AJ13))))</formula>
    </cfRule>
    <cfRule type="containsText" dxfId="1101" priority="4766" operator="containsText" text="X">
      <formula>NOT(ISERROR(SEARCH(("X"),(AJ13))))</formula>
    </cfRule>
    <cfRule type="containsText" dxfId="1100" priority="4767" operator="containsText" text="L">
      <formula>NOT(ISERROR(SEARCH(("L"),(AJ13))))</formula>
    </cfRule>
    <cfRule type="containsText" dxfId="1099" priority="4768" operator="containsText" text="N">
      <formula>NOT(ISERROR(SEARCH(("N"),(AJ13))))</formula>
    </cfRule>
  </conditionalFormatting>
  <conditionalFormatting sqref="AJ23:AK23">
    <cfRule type="containsText" dxfId="1098" priority="912" operator="containsText" text="O">
      <formula>NOT(ISERROR(SEARCH(("O"),(AJ23))))</formula>
    </cfRule>
    <cfRule type="containsText" dxfId="1097" priority="891" operator="containsText" text="N">
      <formula>NOT(ISERROR(SEARCH(("N"),(AJ23))))</formula>
    </cfRule>
    <cfRule type="containsText" dxfId="1096" priority="923" operator="containsText" text="X">
      <formula>NOT(ISERROR(SEARCH(("X"),(AJ23))))</formula>
    </cfRule>
    <cfRule type="containsText" dxfId="1095" priority="922" operator="containsText" text="K">
      <formula>NOT(ISERROR(SEARCH(("K"),(AJ23))))</formula>
    </cfRule>
    <cfRule type="containsText" dxfId="1094" priority="921" operator="containsText" text="P">
      <formula>NOT(ISERROR(SEARCH(("P"),(AJ23))))</formula>
    </cfRule>
    <cfRule type="containsText" dxfId="1093" priority="920" operator="containsText" text="C">
      <formula>NOT(ISERROR(SEARCH(("C"),(AJ23))))</formula>
    </cfRule>
    <cfRule type="containsText" dxfId="1092" priority="919" operator="containsText" text="O">
      <formula>NOT(ISERROR(SEARCH(("O"),(AJ23))))</formula>
    </cfRule>
    <cfRule type="containsText" dxfId="1091" priority="918" operator="containsText" text="N">
      <formula>NOT(ISERROR(SEARCH(("N"),(AJ23))))</formula>
    </cfRule>
    <cfRule type="containsText" dxfId="1090" priority="917" operator="containsText" text="N">
      <formula>NOT(ISERROR(SEARCH(("N"),(AJ23))))</formula>
    </cfRule>
    <cfRule type="containsText" dxfId="1089" priority="916" operator="containsText" text="X">
      <formula>NOT(ISERROR(SEARCH(("X"),(AJ23))))</formula>
    </cfRule>
    <cfRule type="containsText" dxfId="1088" priority="915" operator="containsText" text="K">
      <formula>NOT(ISERROR(SEARCH(("K"),(AJ23))))</formula>
    </cfRule>
    <cfRule type="containsText" dxfId="1087" priority="914" operator="containsText" text="P">
      <formula>NOT(ISERROR(SEARCH(("P"),(AJ23))))</formula>
    </cfRule>
    <cfRule type="containsText" dxfId="1086" priority="913" operator="containsText" text="C">
      <formula>NOT(ISERROR(SEARCH(("C"),(AJ23))))</formula>
    </cfRule>
    <cfRule type="containsText" dxfId="1085" priority="899" operator="containsText" text="O">
      <formula>NOT(ISERROR(SEARCH(("O"),(AJ23))))</formula>
    </cfRule>
    <cfRule type="containsText" dxfId="1084" priority="911" operator="containsText" text="L">
      <formula>NOT(ISERROR(SEARCH(("L"),(AJ23))))</formula>
    </cfRule>
    <cfRule type="containsText" dxfId="1083" priority="910" operator="containsText" text="X">
      <formula>NOT(ISERROR(SEARCH(("X"),(AJ23))))</formula>
    </cfRule>
    <cfRule type="containsText" dxfId="1082" priority="909" operator="containsText" text="K">
      <formula>NOT(ISERROR(SEARCH(("K"),(AJ23))))</formula>
    </cfRule>
    <cfRule type="containsText" dxfId="1081" priority="908" operator="containsText" text="P">
      <formula>NOT(ISERROR(SEARCH(("P"),(AJ23))))</formula>
    </cfRule>
    <cfRule type="containsText" dxfId="1080" priority="907" operator="containsText" text="C">
      <formula>NOT(ISERROR(SEARCH(("C"),(AJ23))))</formula>
    </cfRule>
    <cfRule type="containsText" dxfId="1079" priority="906" operator="containsText" text="O">
      <formula>NOT(ISERROR(SEARCH(("O"),(AJ23))))</formula>
    </cfRule>
    <cfRule type="containsText" dxfId="1078" priority="905" operator="containsText" text="N">
      <formula>NOT(ISERROR(SEARCH(("N"),(AJ23))))</formula>
    </cfRule>
    <cfRule type="containsText" dxfId="1077" priority="904" operator="containsText" text="L">
      <formula>NOT(ISERROR(SEARCH(("L"),(AJ23))))</formula>
    </cfRule>
    <cfRule type="containsText" dxfId="1076" priority="903" operator="containsText" text="X">
      <formula>NOT(ISERROR(SEARCH(("X"),(AJ23))))</formula>
    </cfRule>
    <cfRule type="containsText" dxfId="1075" priority="902" operator="containsText" text="K">
      <formula>NOT(ISERROR(SEARCH(("K"),(AJ23))))</formula>
    </cfRule>
    <cfRule type="containsText" dxfId="1074" priority="901" operator="containsText" text="P">
      <formula>NOT(ISERROR(SEARCH(("P"),(AJ23))))</formula>
    </cfRule>
    <cfRule type="containsText" dxfId="1073" priority="900" operator="containsText" text="C">
      <formula>NOT(ISERROR(SEARCH(("C"),(AJ23))))</formula>
    </cfRule>
    <cfRule type="containsText" dxfId="1072" priority="890" operator="containsText" text="L">
      <formula>NOT(ISERROR(SEARCH(("L"),(AJ23))))</formula>
    </cfRule>
    <cfRule type="containsText" dxfId="1071" priority="897" operator="containsText" text="L">
      <formula>NOT(ISERROR(SEARCH(("L"),(AJ23))))</formula>
    </cfRule>
    <cfRule type="containsText" dxfId="1070" priority="898" operator="containsText" text="N">
      <formula>NOT(ISERROR(SEARCH(("N"),(AJ23))))</formula>
    </cfRule>
    <cfRule type="containsText" dxfId="1069" priority="886" operator="containsText" text="C">
      <formula>NOT(ISERROR(SEARCH(("C"),(AJ23))))</formula>
    </cfRule>
    <cfRule type="containsText" dxfId="1068" priority="885" operator="containsText" text="O">
      <formula>NOT(ISERROR(SEARCH(("O"),(AJ23))))</formula>
    </cfRule>
    <cfRule type="containsText" dxfId="1067" priority="884" operator="containsText" text="N">
      <formula>NOT(ISERROR(SEARCH(("N"),(AJ23))))</formula>
    </cfRule>
    <cfRule type="containsText" dxfId="1066" priority="882" operator="containsText" text="L">
      <formula>NOT(ISERROR(SEARCH(("L"),(AJ23))))</formula>
    </cfRule>
    <cfRule type="containsText" dxfId="1065" priority="896" operator="containsText" text="X">
      <formula>NOT(ISERROR(SEARCH(("X"),(AJ23))))</formula>
    </cfRule>
    <cfRule type="containsText" dxfId="1064" priority="888" operator="containsText" text="K">
      <formula>NOT(ISERROR(SEARCH(("K"),(AJ23))))</formula>
    </cfRule>
    <cfRule type="containsText" dxfId="1063" priority="881" operator="containsText" text="X">
      <formula>NOT(ISERROR(SEARCH(("X"),(AJ23))))</formula>
    </cfRule>
    <cfRule type="containsText" dxfId="1062" priority="880" operator="containsText" text="K">
      <formula>NOT(ISERROR(SEARCH(("K"),(AJ23))))</formula>
    </cfRule>
    <cfRule type="containsText" dxfId="1061" priority="879" operator="containsText" text="P">
      <formula>NOT(ISERROR(SEARCH(("P"),(AJ23))))</formula>
    </cfRule>
    <cfRule type="containsText" dxfId="1060" priority="878" operator="containsText" text="C">
      <formula>NOT(ISERROR(SEARCH(("C"),(AJ23))))</formula>
    </cfRule>
    <cfRule type="containsText" dxfId="1059" priority="877" operator="containsText" text="O">
      <formula>NOT(ISERROR(SEARCH(("O"),(AJ23))))</formula>
    </cfRule>
    <cfRule type="containsText" dxfId="1058" priority="876" operator="containsText" text="N">
      <formula>NOT(ISERROR(SEARCH(("N"),(AJ23))))</formula>
    </cfRule>
    <cfRule type="containsText" dxfId="1057" priority="875" operator="containsText" text="L">
      <formula>NOT(ISERROR(SEARCH(("L"),(AJ23))))</formula>
    </cfRule>
    <cfRule type="containsText" dxfId="1056" priority="874" operator="containsText" text="X">
      <formula>NOT(ISERROR(SEARCH(("X"),(AJ23))))</formula>
    </cfRule>
    <cfRule type="containsText" dxfId="1055" priority="873" operator="containsText" text="K">
      <formula>NOT(ISERROR(SEARCH(("K"),(AJ23))))</formula>
    </cfRule>
    <cfRule type="containsText" dxfId="1054" priority="872" operator="containsText" text="P">
      <formula>NOT(ISERROR(SEARCH(("P"),(AJ23))))</formula>
    </cfRule>
    <cfRule type="containsText" dxfId="1053" priority="871" operator="containsText" text="C">
      <formula>NOT(ISERROR(SEARCH(("C"),(AJ23))))</formula>
    </cfRule>
    <cfRule type="containsText" dxfId="1052" priority="870" operator="containsText" text="O">
      <formula>NOT(ISERROR(SEARCH(("O"),(AJ23))))</formula>
    </cfRule>
    <cfRule type="containsText" dxfId="1051" priority="869" operator="containsText" text="N">
      <formula>NOT(ISERROR(SEARCH(("N"),(AJ23))))</formula>
    </cfRule>
    <cfRule type="containsText" dxfId="1050" priority="889" operator="containsText" text="X">
      <formula>NOT(ISERROR(SEARCH(("X"),(AJ23))))</formula>
    </cfRule>
    <cfRule type="containsText" dxfId="1049" priority="892" operator="containsText" text="O">
      <formula>NOT(ISERROR(SEARCH(("O"),(AJ23))))</formula>
    </cfRule>
    <cfRule type="containsText" dxfId="1048" priority="893" operator="containsText" text="C">
      <formula>NOT(ISERROR(SEARCH(("C"),(AJ23))))</formula>
    </cfRule>
    <cfRule type="containsText" dxfId="1047" priority="887" operator="containsText" text="P">
      <formula>NOT(ISERROR(SEARCH(("P"),(AJ23))))</formula>
    </cfRule>
    <cfRule type="containsText" dxfId="1046" priority="894" operator="containsText" text="P">
      <formula>NOT(ISERROR(SEARCH(("P"),(AJ23))))</formula>
    </cfRule>
    <cfRule type="containsText" dxfId="1045" priority="895" operator="containsText" text="K">
      <formula>NOT(ISERROR(SEARCH(("K"),(AJ23))))</formula>
    </cfRule>
  </conditionalFormatting>
  <conditionalFormatting sqref="AJ24:AK24">
    <cfRule type="containsText" dxfId="1044" priority="555" operator="containsText" text="K">
      <formula>NOT(ISERROR(SEARCH(("K"),(AJ24))))</formula>
    </cfRule>
    <cfRule type="containsText" dxfId="1043" priority="561" operator="containsText" text="K">
      <formula>NOT(ISERROR(SEARCH(("K"),(AJ24))))</formula>
    </cfRule>
    <cfRule type="containsText" dxfId="1042" priority="560" operator="containsText" text="P">
      <formula>NOT(ISERROR(SEARCH(("P"),(AJ24))))</formula>
    </cfRule>
    <cfRule type="containsText" dxfId="1041" priority="559" operator="containsText" text="C">
      <formula>NOT(ISERROR(SEARCH(("C"),(AJ24))))</formula>
    </cfRule>
    <cfRule type="containsText" dxfId="1040" priority="558" operator="containsText" text="O">
      <formula>NOT(ISERROR(SEARCH(("O"),(AJ24))))</formula>
    </cfRule>
    <cfRule type="containsText" dxfId="1039" priority="557" operator="containsText" text="L">
      <formula>NOT(ISERROR(SEARCH(("L"),(AJ24))))</formula>
    </cfRule>
    <cfRule type="containsText" dxfId="1038" priority="556" operator="containsText" text="X">
      <formula>NOT(ISERROR(SEARCH(("X"),(AJ24))))</formula>
    </cfRule>
    <cfRule type="containsText" dxfId="1037" priority="554" operator="containsText" text="P">
      <formula>NOT(ISERROR(SEARCH(("P"),(AJ24))))</formula>
    </cfRule>
    <cfRule type="containsText" dxfId="1036" priority="553" operator="containsText" text="C">
      <formula>NOT(ISERROR(SEARCH(("C"),(AJ24))))</formula>
    </cfRule>
    <cfRule type="containsText" dxfId="1035" priority="552" operator="containsText" text="O">
      <formula>NOT(ISERROR(SEARCH(("O"),(AJ24))))</formula>
    </cfRule>
    <cfRule type="containsText" dxfId="1034" priority="551" operator="containsText" text="N">
      <formula>NOT(ISERROR(SEARCH(("N"),(AJ24))))</formula>
    </cfRule>
    <cfRule type="containsText" dxfId="1033" priority="550" operator="containsText" text="L">
      <formula>NOT(ISERROR(SEARCH(("L"),(AJ24))))</formula>
    </cfRule>
    <cfRule type="containsText" dxfId="1032" priority="549" operator="containsText" text="X">
      <formula>NOT(ISERROR(SEARCH(("X"),(AJ24))))</formula>
    </cfRule>
    <cfRule type="containsText" dxfId="1031" priority="548" operator="containsText" text="K">
      <formula>NOT(ISERROR(SEARCH(("K"),(AJ24))))</formula>
    </cfRule>
    <cfRule type="containsText" dxfId="1030" priority="547" operator="containsText" text="P">
      <formula>NOT(ISERROR(SEARCH(("P"),(AJ24))))</formula>
    </cfRule>
    <cfRule type="containsText" dxfId="1029" priority="546" operator="containsText" text="C">
      <formula>NOT(ISERROR(SEARCH(("C"),(AJ24))))</formula>
    </cfRule>
    <cfRule type="containsText" dxfId="1028" priority="545" operator="containsText" text="O">
      <formula>NOT(ISERROR(SEARCH(("O"),(AJ24))))</formula>
    </cfRule>
    <cfRule type="containsText" dxfId="1027" priority="544" operator="containsText" text="N">
      <formula>NOT(ISERROR(SEARCH(("N"),(AJ24))))</formula>
    </cfRule>
    <cfRule type="containsText" dxfId="1026" priority="543" operator="containsText" text="L">
      <formula>NOT(ISERROR(SEARCH(("L"),(AJ24))))</formula>
    </cfRule>
    <cfRule type="containsText" dxfId="1025" priority="542" operator="containsText" text="X">
      <formula>NOT(ISERROR(SEARCH(("X"),(AJ24))))</formula>
    </cfRule>
    <cfRule type="containsText" dxfId="1024" priority="541" operator="containsText" text="K">
      <formula>NOT(ISERROR(SEARCH(("K"),(AJ24))))</formula>
    </cfRule>
    <cfRule type="containsText" dxfId="1023" priority="540" operator="containsText" text="P">
      <formula>NOT(ISERROR(SEARCH(("P"),(AJ24))))</formula>
    </cfRule>
    <cfRule type="containsText" dxfId="1022" priority="539" operator="containsText" text="C">
      <formula>NOT(ISERROR(SEARCH(("C"),(AJ24))))</formula>
    </cfRule>
    <cfRule type="containsText" dxfId="1021" priority="538" operator="containsText" text="O">
      <formula>NOT(ISERROR(SEARCH(("O"),(AJ24))))</formula>
    </cfRule>
    <cfRule type="containsText" dxfId="1020" priority="536" operator="containsText" text="L">
      <formula>NOT(ISERROR(SEARCH(("L"),(AJ24))))</formula>
    </cfRule>
    <cfRule type="containsText" dxfId="1019" priority="535" operator="containsText" text="X">
      <formula>NOT(ISERROR(SEARCH(("X"),(AJ24))))</formula>
    </cfRule>
    <cfRule type="containsText" dxfId="1018" priority="525" operator="containsText" text="P">
      <formula>NOT(ISERROR(SEARCH(("P"),(AJ24))))</formula>
    </cfRule>
    <cfRule type="containsText" dxfId="1017" priority="524" operator="containsText" text="C">
      <formula>NOT(ISERROR(SEARCH(("C"),(AJ24))))</formula>
    </cfRule>
    <cfRule type="containsText" dxfId="1016" priority="523" operator="containsText" text="O">
      <formula>NOT(ISERROR(SEARCH(("O"),(AJ24))))</formula>
    </cfRule>
    <cfRule type="containsText" dxfId="1015" priority="522" operator="containsText" text="N">
      <formula>NOT(ISERROR(SEARCH(("N"),(AJ24))))</formula>
    </cfRule>
    <cfRule type="containsText" dxfId="1014" priority="521" operator="containsText" text="L">
      <formula>NOT(ISERROR(SEARCH(("L"),(AJ24))))</formula>
    </cfRule>
    <cfRule type="containsText" dxfId="1013" priority="520" operator="containsText" text="X">
      <formula>NOT(ISERROR(SEARCH(("X"),(AJ24))))</formula>
    </cfRule>
    <cfRule type="containsText" dxfId="1012" priority="519" operator="containsText" text="K">
      <formula>NOT(ISERROR(SEARCH(("K"),(AJ24))))</formula>
    </cfRule>
    <cfRule type="containsText" dxfId="1011" priority="518" operator="containsText" text="P">
      <formula>NOT(ISERROR(SEARCH(("P"),(AJ24))))</formula>
    </cfRule>
    <cfRule type="containsText" dxfId="1010" priority="517" operator="containsText" text="C">
      <formula>NOT(ISERROR(SEARCH(("C"),(AJ24))))</formula>
    </cfRule>
    <cfRule type="containsText" dxfId="1009" priority="516" operator="containsText" text="O">
      <formula>NOT(ISERROR(SEARCH(("O"),(AJ24))))</formula>
    </cfRule>
    <cfRule type="containsText" dxfId="1008" priority="515" operator="containsText" text="N">
      <formula>NOT(ISERROR(SEARCH(("N"),(AJ24))))</formula>
    </cfRule>
    <cfRule type="containsText" dxfId="1007" priority="533" operator="containsText" text="P">
      <formula>NOT(ISERROR(SEARCH(("P"),(AJ24))))</formula>
    </cfRule>
    <cfRule type="containsText" dxfId="1006" priority="532" operator="containsText" text="C">
      <formula>NOT(ISERROR(SEARCH(("C"),(AJ24))))</formula>
    </cfRule>
    <cfRule type="containsText" dxfId="1005" priority="531" operator="containsText" text="O">
      <formula>NOT(ISERROR(SEARCH(("O"),(AJ24))))</formula>
    </cfRule>
    <cfRule type="containsText" dxfId="1004" priority="534" operator="containsText" text="K">
      <formula>NOT(ISERROR(SEARCH(("K"),(AJ24))))</formula>
    </cfRule>
    <cfRule type="containsText" dxfId="1003" priority="530" operator="containsText" text="N">
      <formula>NOT(ISERROR(SEARCH(("N"),(AJ24))))</formula>
    </cfRule>
    <cfRule type="containsText" dxfId="1002" priority="528" operator="containsText" text="L">
      <formula>NOT(ISERROR(SEARCH(("L"),(AJ24))))</formula>
    </cfRule>
    <cfRule type="containsText" dxfId="1001" priority="527" operator="containsText" text="X">
      <formula>NOT(ISERROR(SEARCH(("X"),(AJ24))))</formula>
    </cfRule>
    <cfRule type="containsText" dxfId="1000" priority="526" operator="containsText" text="K">
      <formula>NOT(ISERROR(SEARCH(("K"),(AJ24))))</formula>
    </cfRule>
    <cfRule type="containsText" dxfId="999" priority="569" operator="containsText" text="X">
      <formula>NOT(ISERROR(SEARCH(("X"),(AJ24))))</formula>
    </cfRule>
    <cfRule type="containsText" dxfId="998" priority="568" operator="containsText" text="K">
      <formula>NOT(ISERROR(SEARCH(("K"),(AJ24))))</formula>
    </cfRule>
    <cfRule type="containsText" dxfId="997" priority="567" operator="containsText" text="P">
      <formula>NOT(ISERROR(SEARCH(("P"),(AJ24))))</formula>
    </cfRule>
    <cfRule type="containsText" dxfId="996" priority="566" operator="containsText" text="C">
      <formula>NOT(ISERROR(SEARCH(("C"),(AJ24))))</formula>
    </cfRule>
    <cfRule type="containsText" dxfId="995" priority="565" operator="containsText" text="O">
      <formula>NOT(ISERROR(SEARCH(("O"),(AJ24))))</formula>
    </cfRule>
    <cfRule type="containsText" dxfId="994" priority="564" operator="containsText" text="N">
      <formula>NOT(ISERROR(SEARCH(("N"),(AJ24))))</formula>
    </cfRule>
    <cfRule type="containsText" dxfId="993" priority="563" operator="containsText" text="N">
      <formula>NOT(ISERROR(SEARCH(("N"),(AJ24))))</formula>
    </cfRule>
    <cfRule type="containsText" dxfId="992" priority="562" operator="containsText" text="X">
      <formula>NOT(ISERROR(SEARCH(("X"),(AJ24))))</formula>
    </cfRule>
    <cfRule type="containsText" dxfId="991" priority="537" operator="containsText" text="N">
      <formula>NOT(ISERROR(SEARCH(("N"),(AJ24))))</formula>
    </cfRule>
  </conditionalFormatting>
  <conditionalFormatting sqref="AJ25:AK25">
    <cfRule type="containsText" dxfId="990" priority="69" operator="containsText" text="C">
      <formula>NOT(ISERROR(SEARCH(("C"),(AJ25))))</formula>
    </cfRule>
    <cfRule type="containsText" dxfId="989" priority="68" operator="containsText" text="O">
      <formula>NOT(ISERROR(SEARCH(("O"),(AJ25))))</formula>
    </cfRule>
    <cfRule type="containsText" dxfId="988" priority="67" operator="containsText" text="L">
      <formula>NOT(ISERROR(SEARCH(("L"),(AJ25))))</formula>
    </cfRule>
    <cfRule type="containsText" dxfId="987" priority="66" operator="containsText" text="X">
      <formula>NOT(ISERROR(SEARCH(("X"),(AJ25))))</formula>
    </cfRule>
    <cfRule type="containsText" dxfId="986" priority="65" operator="containsText" text="K">
      <formula>NOT(ISERROR(SEARCH(("K"),(AJ25))))</formula>
    </cfRule>
    <cfRule type="containsText" dxfId="985" priority="64" operator="containsText" text="P">
      <formula>NOT(ISERROR(SEARCH(("P"),(AJ25))))</formula>
    </cfRule>
    <cfRule type="containsText" dxfId="984" priority="63" operator="containsText" text="C">
      <formula>NOT(ISERROR(SEARCH(("C"),(AJ25))))</formula>
    </cfRule>
    <cfRule type="containsText" dxfId="983" priority="62" operator="containsText" text="O">
      <formula>NOT(ISERROR(SEARCH(("O"),(AJ25))))</formula>
    </cfRule>
    <cfRule type="containsText" dxfId="982" priority="61" operator="containsText" text="N">
      <formula>NOT(ISERROR(SEARCH(("N"),(AJ25))))</formula>
    </cfRule>
    <cfRule type="containsText" dxfId="981" priority="60" operator="containsText" text="L">
      <formula>NOT(ISERROR(SEARCH(("L"),(AJ25))))</formula>
    </cfRule>
    <cfRule type="containsText" dxfId="980" priority="59" operator="containsText" text="X">
      <formula>NOT(ISERROR(SEARCH(("X"),(AJ25))))</formula>
    </cfRule>
    <cfRule type="containsText" dxfId="979" priority="58" operator="containsText" text="K">
      <formula>NOT(ISERROR(SEARCH(("K"),(AJ25))))</formula>
    </cfRule>
    <cfRule type="containsText" dxfId="978" priority="57" operator="containsText" text="P">
      <formula>NOT(ISERROR(SEARCH(("P"),(AJ25))))</formula>
    </cfRule>
    <cfRule type="containsText" dxfId="977" priority="56" operator="containsText" text="C">
      <formula>NOT(ISERROR(SEARCH(("C"),(AJ25))))</formula>
    </cfRule>
    <cfRule type="containsText" dxfId="976" priority="55" operator="containsText" text="X">
      <formula>NOT(ISERROR(SEARCH(("X"),(AJ25))))</formula>
    </cfRule>
    <cfRule type="containsText" dxfId="975" priority="54" operator="containsText" text="K">
      <formula>NOT(ISERROR(SEARCH(("K"),(AJ25))))</formula>
    </cfRule>
    <cfRule type="containsText" dxfId="974" priority="53" operator="containsText" text="P">
      <formula>NOT(ISERROR(SEARCH(("P"),(AJ25))))</formula>
    </cfRule>
    <cfRule type="containsText" dxfId="973" priority="2" operator="containsText" text="O">
      <formula>NOT(ISERROR(SEARCH(("O"),(AJ25))))</formula>
    </cfRule>
    <cfRule type="containsText" dxfId="972" priority="3" operator="containsText" text="C">
      <formula>NOT(ISERROR(SEARCH(("C"),(AJ25))))</formula>
    </cfRule>
    <cfRule type="containsText" dxfId="971" priority="4" operator="containsText" text="P">
      <formula>NOT(ISERROR(SEARCH(("P"),(AJ25))))</formula>
    </cfRule>
    <cfRule type="containsText" dxfId="970" priority="5" operator="containsText" text="K">
      <formula>NOT(ISERROR(SEARCH(("K"),(AJ25))))</formula>
    </cfRule>
    <cfRule type="containsText" dxfId="969" priority="6" operator="containsText" text="X">
      <formula>NOT(ISERROR(SEARCH(("X"),(AJ25))))</formula>
    </cfRule>
    <cfRule type="containsText" dxfId="968" priority="7" operator="containsText" text="L">
      <formula>NOT(ISERROR(SEARCH(("L"),(AJ25))))</formula>
    </cfRule>
    <cfRule type="containsText" dxfId="967" priority="8" operator="containsText" text="N">
      <formula>NOT(ISERROR(SEARCH(("N"),(AJ25))))</formula>
    </cfRule>
    <cfRule type="containsText" dxfId="966" priority="9" operator="containsText" text="O">
      <formula>NOT(ISERROR(SEARCH(("O"),(AJ25))))</formula>
    </cfRule>
    <cfRule type="containsText" dxfId="965" priority="10" operator="containsText" text="C">
      <formula>NOT(ISERROR(SEARCH(("C"),(AJ25))))</formula>
    </cfRule>
    <cfRule type="containsText" dxfId="964" priority="11" operator="containsText" text="P">
      <formula>NOT(ISERROR(SEARCH(("P"),(AJ25))))</formula>
    </cfRule>
    <cfRule type="containsText" dxfId="963" priority="12" operator="containsText" text="K">
      <formula>NOT(ISERROR(SEARCH(("K"),(AJ25))))</formula>
    </cfRule>
    <cfRule type="containsText" dxfId="962" priority="13" operator="containsText" text="X">
      <formula>NOT(ISERROR(SEARCH(("X"),(AJ25))))</formula>
    </cfRule>
    <cfRule type="containsText" dxfId="961" priority="14" operator="containsText" text="L">
      <formula>NOT(ISERROR(SEARCH(("L"),(AJ25))))</formula>
    </cfRule>
    <cfRule type="containsText" dxfId="960" priority="16" operator="containsText" text="N">
      <formula>NOT(ISERROR(SEARCH(("N"),(AJ25))))</formula>
    </cfRule>
    <cfRule type="containsText" dxfId="959" priority="17" operator="containsText" text="O">
      <formula>NOT(ISERROR(SEARCH(("O"),(AJ25))))</formula>
    </cfRule>
    <cfRule type="containsText" dxfId="958" priority="18" operator="containsText" text="C">
      <formula>NOT(ISERROR(SEARCH(("C"),(AJ25))))</formula>
    </cfRule>
    <cfRule type="containsText" dxfId="957" priority="19" operator="containsText" text="P">
      <formula>NOT(ISERROR(SEARCH(("P"),(AJ25))))</formula>
    </cfRule>
    <cfRule type="containsText" dxfId="956" priority="20" operator="containsText" text="K">
      <formula>NOT(ISERROR(SEARCH(("K"),(AJ25))))</formula>
    </cfRule>
    <cfRule type="containsText" dxfId="955" priority="21" operator="containsText" text="X">
      <formula>NOT(ISERROR(SEARCH(("X"),(AJ25))))</formula>
    </cfRule>
    <cfRule type="containsText" dxfId="954" priority="22" operator="containsText" text="L">
      <formula>NOT(ISERROR(SEARCH(("L"),(AJ25))))</formula>
    </cfRule>
    <cfRule type="containsText" dxfId="953" priority="23" operator="containsText" text="N">
      <formula>NOT(ISERROR(SEARCH(("N"),(AJ25))))</formula>
    </cfRule>
    <cfRule type="containsText" dxfId="952" priority="52" operator="containsText" text="C">
      <formula>NOT(ISERROR(SEARCH(("C"),(AJ25))))</formula>
    </cfRule>
    <cfRule type="containsText" dxfId="951" priority="51" operator="containsText" text="O">
      <formula>NOT(ISERROR(SEARCH(("O"),(AJ25))))</formula>
    </cfRule>
    <cfRule type="containsText" dxfId="950" priority="50" operator="containsText" text="N">
      <formula>NOT(ISERROR(SEARCH(("N"),(AJ25))))</formula>
    </cfRule>
    <cfRule type="containsText" dxfId="949" priority="49" operator="containsText" text="N">
      <formula>NOT(ISERROR(SEARCH(("N"),(AJ25))))</formula>
    </cfRule>
    <cfRule type="containsText" dxfId="948" priority="48" operator="containsText" text="X">
      <formula>NOT(ISERROR(SEARCH(("X"),(AJ25))))</formula>
    </cfRule>
    <cfRule type="containsText" dxfId="947" priority="47" operator="containsText" text="K">
      <formula>NOT(ISERROR(SEARCH(("K"),(AJ25))))</formula>
    </cfRule>
    <cfRule type="containsText" dxfId="946" priority="46" operator="containsText" text="P">
      <formula>NOT(ISERROR(SEARCH(("P"),(AJ25))))</formula>
    </cfRule>
    <cfRule type="containsText" dxfId="945" priority="45" operator="containsText" text="C">
      <formula>NOT(ISERROR(SEARCH(("C"),(AJ25))))</formula>
    </cfRule>
    <cfRule type="containsText" dxfId="944" priority="44" operator="containsText" text="O">
      <formula>NOT(ISERROR(SEARCH(("O"),(AJ25))))</formula>
    </cfRule>
    <cfRule type="containsText" dxfId="943" priority="43" operator="containsText" text="L">
      <formula>NOT(ISERROR(SEARCH(("L"),(AJ25))))</formula>
    </cfRule>
    <cfRule type="containsText" dxfId="942" priority="42" operator="containsText" text="X">
      <formula>NOT(ISERROR(SEARCH(("X"),(AJ25))))</formula>
    </cfRule>
    <cfRule type="containsText" dxfId="941" priority="41" operator="containsText" text="K">
      <formula>NOT(ISERROR(SEARCH(("K"),(AJ25))))</formula>
    </cfRule>
    <cfRule type="containsText" dxfId="940" priority="40" operator="containsText" text="P">
      <formula>NOT(ISERROR(SEARCH(("P"),(AJ25))))</formula>
    </cfRule>
    <cfRule type="containsText" dxfId="939" priority="39" operator="containsText" text="C">
      <formula>NOT(ISERROR(SEARCH(("C"),(AJ25))))</formula>
    </cfRule>
    <cfRule type="containsText" dxfId="938" priority="38" operator="containsText" text="O">
      <formula>NOT(ISERROR(SEARCH(("O"),(AJ25))))</formula>
    </cfRule>
    <cfRule type="containsText" dxfId="937" priority="37" operator="containsText" text="N">
      <formula>NOT(ISERROR(SEARCH(("N"),(AJ25))))</formula>
    </cfRule>
    <cfRule type="containsText" dxfId="936" priority="36" operator="containsText" text="L">
      <formula>NOT(ISERROR(SEARCH(("L"),(AJ25))))</formula>
    </cfRule>
    <cfRule type="containsText" dxfId="935" priority="35" operator="containsText" text="X">
      <formula>NOT(ISERROR(SEARCH(("X"),(AJ25))))</formula>
    </cfRule>
    <cfRule type="containsText" dxfId="934" priority="34" operator="containsText" text="K">
      <formula>NOT(ISERROR(SEARCH(("K"),(AJ25))))</formula>
    </cfRule>
    <cfRule type="containsText" dxfId="933" priority="33" operator="containsText" text="P">
      <formula>NOT(ISERROR(SEARCH(("P"),(AJ25))))</formula>
    </cfRule>
    <cfRule type="containsText" dxfId="932" priority="32" operator="containsText" text="C">
      <formula>NOT(ISERROR(SEARCH(("C"),(AJ25))))</formula>
    </cfRule>
    <cfRule type="containsText" dxfId="931" priority="31" operator="containsText" text="O">
      <formula>NOT(ISERROR(SEARCH(("O"),(AJ25))))</formula>
    </cfRule>
    <cfRule type="containsText" dxfId="930" priority="1" operator="containsText" text="N">
      <formula>NOT(ISERROR(SEARCH(("N"),(AJ25))))</formula>
    </cfRule>
    <cfRule type="containsText" dxfId="929" priority="30" operator="containsText" text="N">
      <formula>NOT(ISERROR(SEARCH(("N"),(AJ25))))</formula>
    </cfRule>
    <cfRule type="containsText" dxfId="928" priority="29" operator="containsText" text="L">
      <formula>NOT(ISERROR(SEARCH(("L"),(AJ25))))</formula>
    </cfRule>
    <cfRule type="containsText" dxfId="927" priority="28" operator="containsText" text="X">
      <formula>NOT(ISERROR(SEARCH(("X"),(AJ25))))</formula>
    </cfRule>
    <cfRule type="containsText" dxfId="926" priority="27" operator="containsText" text="K">
      <formula>NOT(ISERROR(SEARCH(("K"),(AJ25))))</formula>
    </cfRule>
    <cfRule type="containsText" dxfId="925" priority="26" operator="containsText" text="P">
      <formula>NOT(ISERROR(SEARCH(("P"),(AJ25))))</formula>
    </cfRule>
    <cfRule type="containsText" dxfId="924" priority="25" operator="containsText" text="C">
      <formula>NOT(ISERROR(SEARCH(("C"),(AJ25))))</formula>
    </cfRule>
    <cfRule type="containsText" dxfId="923" priority="24" operator="containsText" text="O">
      <formula>NOT(ISERROR(SEARCH(("O"),(AJ25))))</formula>
    </cfRule>
    <cfRule type="containsText" dxfId="922" priority="74" operator="containsText" text="N">
      <formula>NOT(ISERROR(SEARCH(("N"),(AJ25))))</formula>
    </cfRule>
    <cfRule type="containsText" dxfId="921" priority="73" operator="containsText" text="L">
      <formula>NOT(ISERROR(SEARCH(("L"),(AJ25))))</formula>
    </cfRule>
    <cfRule type="containsText" dxfId="920" priority="72" operator="containsText" text="X">
      <formula>NOT(ISERROR(SEARCH(("X"),(AJ25))))</formula>
    </cfRule>
    <cfRule type="containsText" dxfId="919" priority="71" operator="containsText" text="K">
      <formula>NOT(ISERROR(SEARCH(("K"),(AJ25))))</formula>
    </cfRule>
    <cfRule type="containsText" dxfId="918" priority="70" operator="containsText" text="P">
      <formula>NOT(ISERROR(SEARCH(("P"),(AJ25))))</formula>
    </cfRule>
  </conditionalFormatting>
  <conditionalFormatting sqref="AJ26:AK26">
    <cfRule type="containsText" dxfId="917" priority="5152" operator="containsText" text="O">
      <formula>NOT(ISERROR(SEARCH(("O"),(AJ26))))</formula>
    </cfRule>
    <cfRule type="containsText" dxfId="916" priority="5156" operator="containsText" text="X">
      <formula>NOT(ISERROR(SEARCH(("X"),(AJ26))))</formula>
    </cfRule>
    <cfRule type="containsText" dxfId="915" priority="5170" operator="containsText" text="X">
      <formula>NOT(ISERROR(SEARCH(("X"),(AJ26))))</formula>
    </cfRule>
    <cfRule type="containsText" dxfId="914" priority="5154" operator="containsText" text="P">
      <formula>NOT(ISERROR(SEARCH(("P"),(AJ26))))</formula>
    </cfRule>
    <cfRule type="containsText" dxfId="913" priority="5155" operator="containsText" text="K">
      <formula>NOT(ISERROR(SEARCH(("K"),(AJ26))))</formula>
    </cfRule>
    <cfRule type="containsText" dxfId="912" priority="5172" operator="containsText" text="N">
      <formula>NOT(ISERROR(SEARCH(("N"),(AJ26))))</formula>
    </cfRule>
    <cfRule type="containsText" dxfId="911" priority="5173" operator="containsText" text="L">
      <formula>NOT(ISERROR(SEARCH(("L"),(AJ26))))</formula>
    </cfRule>
    <cfRule type="containsText" dxfId="910" priority="5204" operator="containsText" text="N">
      <formula>NOT(ISERROR(SEARCH(("N"),(AJ26))))</formula>
    </cfRule>
    <cfRule type="containsText" dxfId="909" priority="5203" operator="containsText" text="L">
      <formula>NOT(ISERROR(SEARCH(("L"),(AJ26))))</formula>
    </cfRule>
    <cfRule type="containsText" dxfId="908" priority="5202" operator="containsText" text="X">
      <formula>NOT(ISERROR(SEARCH(("X"),(AJ26))))</formula>
    </cfRule>
    <cfRule type="containsText" dxfId="907" priority="5201" operator="containsText" text="K">
      <formula>NOT(ISERROR(SEARCH(("K"),(AJ26))))</formula>
    </cfRule>
    <cfRule type="containsText" dxfId="906" priority="5200" operator="containsText" text="P">
      <formula>NOT(ISERROR(SEARCH(("P"),(AJ26))))</formula>
    </cfRule>
    <cfRule type="containsText" dxfId="905" priority="5199" operator="containsText" text="C">
      <formula>NOT(ISERROR(SEARCH(("C"),(AJ26))))</formula>
    </cfRule>
    <cfRule type="containsText" dxfId="904" priority="5198" operator="containsText" text="O">
      <formula>NOT(ISERROR(SEARCH(("O"),(AJ26))))</formula>
    </cfRule>
    <cfRule type="containsText" dxfId="903" priority="5174" operator="containsText" text="N">
      <formula>NOT(ISERROR(SEARCH(("N"),(AJ26))))</formula>
    </cfRule>
    <cfRule type="containsText" dxfId="902" priority="5175" operator="containsText" text="O">
      <formula>NOT(ISERROR(SEARCH(("O"),(AJ26))))</formula>
    </cfRule>
    <cfRule type="containsText" dxfId="901" priority="5153" operator="containsText" text="C">
      <formula>NOT(ISERROR(SEARCH(("C"),(AJ26))))</formula>
    </cfRule>
    <cfRule type="containsText" dxfId="900" priority="5171" operator="containsText" text="L">
      <formula>NOT(ISERROR(SEARCH(("L"),(AJ26))))</formula>
    </cfRule>
    <cfRule type="containsText" dxfId="899" priority="5194" operator="containsText" text="P">
      <formula>NOT(ISERROR(SEARCH(("P"),(AJ26))))</formula>
    </cfRule>
    <cfRule type="containsText" dxfId="898" priority="5195" operator="containsText" text="K">
      <formula>NOT(ISERROR(SEARCH(("K"),(AJ26))))</formula>
    </cfRule>
    <cfRule type="containsText" dxfId="897" priority="5196" operator="containsText" text="X">
      <formula>NOT(ISERROR(SEARCH(("X"),(AJ26))))</formula>
    </cfRule>
    <cfRule type="containsText" dxfId="896" priority="5176" operator="containsText" text="C">
      <formula>NOT(ISERROR(SEARCH(("C"),(AJ26))))</formula>
    </cfRule>
    <cfRule type="containsText" dxfId="895" priority="5177" operator="containsText" text="P">
      <formula>NOT(ISERROR(SEARCH(("P"),(AJ26))))</formula>
    </cfRule>
    <cfRule type="containsText" dxfId="894" priority="5178" operator="containsText" text="K">
      <formula>NOT(ISERROR(SEARCH(("K"),(AJ26))))</formula>
    </cfRule>
    <cfRule type="containsText" dxfId="893" priority="5179" operator="containsText" text="X">
      <formula>NOT(ISERROR(SEARCH(("X"),(AJ26))))</formula>
    </cfRule>
    <cfRule type="containsText" dxfId="892" priority="5197" operator="containsText" text="L">
      <formula>NOT(ISERROR(SEARCH(("L"),(AJ26))))</formula>
    </cfRule>
    <cfRule type="containsText" dxfId="891" priority="5180" operator="containsText" text="L">
      <formula>NOT(ISERROR(SEARCH(("L"),(AJ26))))</formula>
    </cfRule>
    <cfRule type="containsText" dxfId="890" priority="5181" operator="containsText" text="O">
      <formula>NOT(ISERROR(SEARCH(("O"),(AJ26))))</formula>
    </cfRule>
    <cfRule type="containsText" dxfId="889" priority="5182" operator="containsText" text="C">
      <formula>NOT(ISERROR(SEARCH(("C"),(AJ26))))</formula>
    </cfRule>
    <cfRule type="containsText" dxfId="888" priority="5183" operator="containsText" text="P">
      <formula>NOT(ISERROR(SEARCH(("P"),(AJ26))))</formula>
    </cfRule>
    <cfRule type="containsText" dxfId="887" priority="5184" operator="containsText" text="K">
      <formula>NOT(ISERROR(SEARCH(("K"),(AJ26))))</formula>
    </cfRule>
    <cfRule type="containsText" dxfId="886" priority="5185" operator="containsText" text="X">
      <formula>NOT(ISERROR(SEARCH(("X"),(AJ26))))</formula>
    </cfRule>
    <cfRule type="containsText" dxfId="885" priority="5186" operator="containsText" text="C">
      <formula>NOT(ISERROR(SEARCH(("C"),(AJ26))))</formula>
    </cfRule>
    <cfRule type="containsText" dxfId="884" priority="5187" operator="containsText" text="P">
      <formula>NOT(ISERROR(SEARCH(("P"),(AJ26))))</formula>
    </cfRule>
    <cfRule type="containsText" dxfId="883" priority="5188" operator="containsText" text="K">
      <formula>NOT(ISERROR(SEARCH(("K"),(AJ26))))</formula>
    </cfRule>
    <cfRule type="containsText" dxfId="882" priority="5189" operator="containsText" text="X">
      <formula>NOT(ISERROR(SEARCH(("X"),(AJ26))))</formula>
    </cfRule>
    <cfRule type="containsText" dxfId="881" priority="5190" operator="containsText" text="L">
      <formula>NOT(ISERROR(SEARCH(("L"),(AJ26))))</formula>
    </cfRule>
    <cfRule type="containsText" dxfId="880" priority="5191" operator="containsText" text="N">
      <formula>NOT(ISERROR(SEARCH(("N"),(AJ26))))</formula>
    </cfRule>
    <cfRule type="containsText" dxfId="879" priority="5192" operator="containsText" text="O">
      <formula>NOT(ISERROR(SEARCH(("O"),(AJ26))))</formula>
    </cfRule>
    <cfRule type="containsText" dxfId="878" priority="5193" operator="containsText" text="C">
      <formula>NOT(ISERROR(SEARCH(("C"),(AJ26))))</formula>
    </cfRule>
    <cfRule type="containsText" dxfId="877" priority="5161" operator="containsText" text="P">
      <formula>NOT(ISERROR(SEARCH(("P"),(AJ26))))</formula>
    </cfRule>
    <cfRule type="containsText" dxfId="876" priority="5160" operator="containsText" text="C">
      <formula>NOT(ISERROR(SEARCH(("C"),(AJ26))))</formula>
    </cfRule>
    <cfRule type="containsText" dxfId="875" priority="5159" operator="containsText" text="O">
      <formula>NOT(ISERROR(SEARCH(("O"),(AJ26))))</formula>
    </cfRule>
    <cfRule type="containsText" dxfId="874" priority="5158" operator="containsText" text="N">
      <formula>NOT(ISERROR(SEARCH(("N"),(AJ26))))</formula>
    </cfRule>
    <cfRule type="containsText" dxfId="873" priority="5157" operator="containsText" text="L">
      <formula>NOT(ISERROR(SEARCH(("L"),(AJ26))))</formula>
    </cfRule>
    <cfRule type="containsText" dxfId="872" priority="5169" operator="containsText" text="K">
      <formula>NOT(ISERROR(SEARCH(("K"),(AJ26))))</formula>
    </cfRule>
    <cfRule type="containsText" dxfId="871" priority="5168" operator="containsText" text="P">
      <formula>NOT(ISERROR(SEARCH(("P"),(AJ26))))</formula>
    </cfRule>
    <cfRule type="containsText" dxfId="870" priority="5167" operator="containsText" text="C">
      <formula>NOT(ISERROR(SEARCH(("C"),(AJ26))))</formula>
    </cfRule>
    <cfRule type="containsText" dxfId="869" priority="5166" operator="containsText" text="O">
      <formula>NOT(ISERROR(SEARCH(("O"),(AJ26))))</formula>
    </cfRule>
    <cfRule type="containsText" dxfId="868" priority="5165" operator="containsText" text="N">
      <formula>NOT(ISERROR(SEARCH(("N"),(AJ26))))</formula>
    </cfRule>
    <cfRule type="containsText" dxfId="867" priority="5164" operator="containsText" text="L">
      <formula>NOT(ISERROR(SEARCH(("L"),(AJ26))))</formula>
    </cfRule>
    <cfRule type="containsText" dxfId="866" priority="5163" operator="containsText" text="X">
      <formula>NOT(ISERROR(SEARCH(("X"),(AJ26))))</formula>
    </cfRule>
    <cfRule type="containsText" dxfId="865" priority="5162" operator="containsText" text="K">
      <formula>NOT(ISERROR(SEARCH(("K"),(AJ26))))</formula>
    </cfRule>
  </conditionalFormatting>
  <conditionalFormatting sqref="AK11:AK12">
    <cfRule type="containsText" dxfId="864" priority="5372" operator="containsText" text="K">
      <formula>NOT(ISERROR(SEARCH(("K"),(AK11))))</formula>
    </cfRule>
    <cfRule type="containsText" dxfId="863" priority="5371" operator="containsText" text="P">
      <formula>NOT(ISERROR(SEARCH(("P"),(AK11))))</formula>
    </cfRule>
    <cfRule type="containsText" dxfId="862" priority="5355" operator="containsText" text="N">
      <formula>NOT(ISERROR(SEARCH(("N"),(AK11))))</formula>
    </cfRule>
    <cfRule type="containsText" dxfId="861" priority="5356" operator="containsText" text="O">
      <formula>NOT(ISERROR(SEARCH(("O"),(AK11))))</formula>
    </cfRule>
    <cfRule type="containsText" dxfId="860" priority="5357" operator="containsText" text="C">
      <formula>NOT(ISERROR(SEARCH(("C"),(AK11))))</formula>
    </cfRule>
    <cfRule type="containsText" dxfId="859" priority="5370" operator="containsText" text="C">
      <formula>NOT(ISERROR(SEARCH(("C"),(AK11))))</formula>
    </cfRule>
    <cfRule type="containsText" dxfId="858" priority="5369" operator="containsText" text="O">
      <formula>NOT(ISERROR(SEARCH(("O"),(AK11))))</formula>
    </cfRule>
    <cfRule type="containsText" dxfId="857" priority="5368" operator="containsText" text="L">
      <formula>NOT(ISERROR(SEARCH(("L"),(AK11))))</formula>
    </cfRule>
    <cfRule type="containsText" dxfId="856" priority="5367" operator="containsText" text="X">
      <formula>NOT(ISERROR(SEARCH(("X"),(AK11))))</formula>
    </cfRule>
    <cfRule type="containsText" dxfId="855" priority="5366" operator="containsText" text="K">
      <formula>NOT(ISERROR(SEARCH(("K"),(AK11))))</formula>
    </cfRule>
    <cfRule type="containsText" dxfId="854" priority="5365" operator="containsText" text="P">
      <formula>NOT(ISERROR(SEARCH(("P"),(AK11))))</formula>
    </cfRule>
    <cfRule type="containsText" dxfId="853" priority="5364" operator="containsText" text="C">
      <formula>NOT(ISERROR(SEARCH(("C"),(AK11))))</formula>
    </cfRule>
    <cfRule type="containsText" dxfId="852" priority="5363" operator="containsText" text="O">
      <formula>NOT(ISERROR(SEARCH(("O"),(AK11))))</formula>
    </cfRule>
    <cfRule type="containsText" dxfId="851" priority="5362" operator="containsText" text="N">
      <formula>NOT(ISERROR(SEARCH(("N"),(AK11))))</formula>
    </cfRule>
    <cfRule type="containsText" dxfId="850" priority="5361" operator="containsText" text="L">
      <formula>NOT(ISERROR(SEARCH(("L"),(AK11))))</formula>
    </cfRule>
    <cfRule type="containsText" dxfId="849" priority="5360" operator="containsText" text="X">
      <formula>NOT(ISERROR(SEARCH(("X"),(AK11))))</formula>
    </cfRule>
    <cfRule type="containsText" dxfId="848" priority="5359" operator="containsText" text="K">
      <formula>NOT(ISERROR(SEARCH(("K"),(AK11))))</formula>
    </cfRule>
    <cfRule type="containsText" dxfId="847" priority="5358" operator="containsText" text="P">
      <formula>NOT(ISERROR(SEARCH(("P"),(AK11))))</formula>
    </cfRule>
    <cfRule type="containsText" dxfId="846" priority="5352" operator="containsText" text="K">
      <formula>NOT(ISERROR(SEARCH(("K"),(AK11))))</formula>
    </cfRule>
    <cfRule type="containsText" dxfId="845" priority="5353" operator="containsText" text="X">
      <formula>NOT(ISERROR(SEARCH(("X"),(AK11))))</formula>
    </cfRule>
    <cfRule type="containsText" dxfId="844" priority="5354" operator="containsText" text="L">
      <formula>NOT(ISERROR(SEARCH(("L"),(AK11))))</formula>
    </cfRule>
    <cfRule type="containsText" dxfId="843" priority="5345" operator="containsText" text="K">
      <formula>NOT(ISERROR(SEARCH(("K"),(AK11))))</formula>
    </cfRule>
    <cfRule type="containsText" dxfId="842" priority="5346" operator="containsText" text="X">
      <formula>NOT(ISERROR(SEARCH(("X"),(AK11))))</formula>
    </cfRule>
    <cfRule type="containsText" dxfId="841" priority="5347" operator="containsText" text="L">
      <formula>NOT(ISERROR(SEARCH(("L"),(AK11))))</formula>
    </cfRule>
    <cfRule type="containsText" dxfId="840" priority="5348" operator="containsText" text="N">
      <formula>NOT(ISERROR(SEARCH(("N"),(AK11))))</formula>
    </cfRule>
    <cfRule type="containsText" dxfId="839" priority="5349" operator="containsText" text="O">
      <formula>NOT(ISERROR(SEARCH(("O"),(AK11))))</formula>
    </cfRule>
    <cfRule type="containsText" dxfId="838" priority="5350" operator="containsText" text="C">
      <formula>NOT(ISERROR(SEARCH(("C"),(AK11))))</formula>
    </cfRule>
    <cfRule type="containsText" dxfId="837" priority="5351" operator="containsText" text="P">
      <formula>NOT(ISERROR(SEARCH(("P"),(AK11))))</formula>
    </cfRule>
    <cfRule type="containsText" dxfId="836" priority="5342" operator="containsText" text="O">
      <formula>NOT(ISERROR(SEARCH(("O"),(AK11))))</formula>
    </cfRule>
    <cfRule type="containsText" dxfId="835" priority="5343" operator="containsText" text="C">
      <formula>NOT(ISERROR(SEARCH(("C"),(AK11))))</formula>
    </cfRule>
    <cfRule type="containsText" dxfId="834" priority="5344" operator="containsText" text="P">
      <formula>NOT(ISERROR(SEARCH(("P"),(AK11))))</formula>
    </cfRule>
    <cfRule type="containsText" dxfId="833" priority="5067" operator="containsText" text="N">
      <formula>NOT(ISERROR(SEARCH(("N"),(AK11))))</formula>
    </cfRule>
    <cfRule type="containsText" dxfId="832" priority="5374" operator="containsText" text="L">
      <formula>NOT(ISERROR(SEARCH(("L"),(AK11))))</formula>
    </cfRule>
    <cfRule type="containsText" dxfId="831" priority="5373" operator="containsText" text="X">
      <formula>NOT(ISERROR(SEARCH(("X"),(AK11))))</formula>
    </cfRule>
  </conditionalFormatting>
  <conditionalFormatting sqref="AK12">
    <cfRule type="containsText" dxfId="830" priority="8583" operator="containsText" text="P">
      <formula>NOT(ISERROR(SEARCH(("P"),(AK12))))</formula>
    </cfRule>
    <cfRule type="containsText" dxfId="829" priority="8582" operator="containsText" text="C">
      <formula>NOT(ISERROR(SEARCH(("C"),(AK12))))</formula>
    </cfRule>
    <cfRule type="containsText" dxfId="828" priority="8592" operator="containsText" text="X">
      <formula>NOT(ISERROR(SEARCH(("X"),(AK12))))</formula>
    </cfRule>
    <cfRule type="containsText" dxfId="827" priority="8580" operator="containsText" text="N">
      <formula>NOT(ISERROR(SEARCH(("N"),(AK12))))</formula>
    </cfRule>
    <cfRule type="containsText" dxfId="826" priority="8581" operator="containsText" text="O">
      <formula>NOT(ISERROR(SEARCH(("O"),(AK12))))</formula>
    </cfRule>
    <cfRule type="containsText" dxfId="825" priority="8591" operator="containsText" text="K">
      <formula>NOT(ISERROR(SEARCH(("K"),(AK12))))</formula>
    </cfRule>
    <cfRule type="containsText" dxfId="824" priority="8590" operator="containsText" text="P">
      <formula>NOT(ISERROR(SEARCH(("P"),(AK12))))</formula>
    </cfRule>
    <cfRule type="containsText" dxfId="823" priority="8588" operator="containsText" text="O">
      <formula>NOT(ISERROR(SEARCH(("O"),(AK12))))</formula>
    </cfRule>
    <cfRule type="containsText" dxfId="822" priority="8587" operator="containsText" text="N">
      <formula>NOT(ISERROR(SEARCH(("N"),(AK12))))</formula>
    </cfRule>
    <cfRule type="containsText" dxfId="821" priority="8586" operator="containsText" text="L">
      <formula>NOT(ISERROR(SEARCH(("L"),(AK12))))</formula>
    </cfRule>
    <cfRule type="containsText" dxfId="820" priority="8585" operator="containsText" text="X">
      <formula>NOT(ISERROR(SEARCH(("X"),(AK12))))</formula>
    </cfRule>
    <cfRule type="containsText" dxfId="819" priority="8584" operator="containsText" text="K">
      <formula>NOT(ISERROR(SEARCH(("K"),(AK12))))</formula>
    </cfRule>
    <cfRule type="containsText" dxfId="818" priority="8593" operator="containsText" text="L">
      <formula>NOT(ISERROR(SEARCH(("L"),(AK12))))</formula>
    </cfRule>
    <cfRule type="containsText" dxfId="817" priority="8589" operator="containsText" text="C">
      <formula>NOT(ISERROR(SEARCH(("C"),(AK12))))</formula>
    </cfRule>
  </conditionalFormatting>
  <conditionalFormatting sqref="AK14">
    <cfRule type="containsText" dxfId="816" priority="4562" operator="containsText" text="O">
      <formula>NOT(ISERROR(SEARCH(("O"),(AK14))))</formula>
    </cfRule>
    <cfRule type="containsText" dxfId="815" priority="4584" operator="containsText" text="C">
      <formula>NOT(ISERROR(SEARCH(("C"),(AK14))))</formula>
    </cfRule>
    <cfRule type="containsText" dxfId="814" priority="4583" operator="containsText" text="O">
      <formula>NOT(ISERROR(SEARCH(("O"),(AK14))))</formula>
    </cfRule>
    <cfRule type="containsText" dxfId="813" priority="4582" operator="containsText" text="N">
      <formula>NOT(ISERROR(SEARCH(("N"),(AK14))))</formula>
    </cfRule>
    <cfRule type="containsText" dxfId="812" priority="4571" operator="containsText" text="P">
      <formula>NOT(ISERROR(SEARCH(("P"),(AK14))))</formula>
    </cfRule>
    <cfRule type="containsText" dxfId="811" priority="4572" operator="containsText" text="K">
      <formula>NOT(ISERROR(SEARCH(("K"),(AK14))))</formula>
    </cfRule>
    <cfRule type="containsText" dxfId="810" priority="4573" operator="containsText" text="X">
      <formula>NOT(ISERROR(SEARCH(("X"),(AK14))))</formula>
    </cfRule>
    <cfRule type="containsText" dxfId="809" priority="4575" operator="containsText" text="N">
      <formula>NOT(ISERROR(SEARCH(("N"),(AK14))))</formula>
    </cfRule>
    <cfRule type="containsText" dxfId="808" priority="4576" operator="containsText" text="O">
      <formula>NOT(ISERROR(SEARCH(("O"),(AK14))))</formula>
    </cfRule>
    <cfRule type="containsText" dxfId="807" priority="4586" operator="containsText" text="K">
      <formula>NOT(ISERROR(SEARCH(("K"),(AK14))))</formula>
    </cfRule>
    <cfRule type="containsText" dxfId="806" priority="4587" operator="containsText" text="X">
      <formula>NOT(ISERROR(SEARCH(("X"),(AK14))))</formula>
    </cfRule>
    <cfRule type="containsText" dxfId="805" priority="4588" operator="containsText" text="N">
      <formula>NOT(ISERROR(SEARCH(("N"),(AK14))))</formula>
    </cfRule>
    <cfRule type="containsText" dxfId="804" priority="4589" operator="containsText" text="O">
      <formula>NOT(ISERROR(SEARCH(("O"),(AK14))))</formula>
    </cfRule>
    <cfRule type="containsText" dxfId="803" priority="4590" operator="containsText" text="C">
      <formula>NOT(ISERROR(SEARCH(("C"),(AK14))))</formula>
    </cfRule>
    <cfRule type="containsText" dxfId="802" priority="4591" operator="containsText" text="P">
      <formula>NOT(ISERROR(SEARCH(("P"),(AK14))))</formula>
    </cfRule>
    <cfRule type="containsText" dxfId="801" priority="4592" operator="containsText" text="K">
      <formula>NOT(ISERROR(SEARCH(("K"),(AK14))))</formula>
    </cfRule>
    <cfRule type="containsText" dxfId="800" priority="4593" operator="containsText" text="X">
      <formula>NOT(ISERROR(SEARCH(("X"),(AK14))))</formula>
    </cfRule>
    <cfRule type="containsText" dxfId="799" priority="4594" operator="containsText" text="L">
      <formula>NOT(ISERROR(SEARCH(("L"),(AK14))))</formula>
    </cfRule>
    <cfRule type="containsText" dxfId="798" priority="4567" operator="containsText" text="L">
      <formula>NOT(ISERROR(SEARCH(("L"),(AK14))))</formula>
    </cfRule>
    <cfRule type="containsText" dxfId="797" priority="4577" operator="containsText" text="C">
      <formula>NOT(ISERROR(SEARCH(("C"),(AK14))))</formula>
    </cfRule>
    <cfRule type="containsText" dxfId="796" priority="4578" operator="containsText" text="P">
      <formula>NOT(ISERROR(SEARCH(("P"),(AK14))))</formula>
    </cfRule>
    <cfRule type="containsText" dxfId="795" priority="4579" operator="containsText" text="K">
      <formula>NOT(ISERROR(SEARCH(("K"),(AK14))))</formula>
    </cfRule>
    <cfRule type="containsText" dxfId="794" priority="4580" operator="containsText" text="X">
      <formula>NOT(ISERROR(SEARCH(("X"),(AK14))))</formula>
    </cfRule>
    <cfRule type="containsText" dxfId="793" priority="4574" operator="containsText" text="L">
      <formula>NOT(ISERROR(SEARCH(("L"),(AK14))))</formula>
    </cfRule>
    <cfRule type="containsText" dxfId="792" priority="4566" operator="containsText" text="X">
      <formula>NOT(ISERROR(SEARCH(("X"),(AK14))))</formula>
    </cfRule>
    <cfRule type="containsText" dxfId="791" priority="4565" operator="containsText" text="K">
      <formula>NOT(ISERROR(SEARCH(("K"),(AK14))))</formula>
    </cfRule>
    <cfRule type="containsText" dxfId="790" priority="4564" operator="containsText" text="P">
      <formula>NOT(ISERROR(SEARCH(("P"),(AK14))))</formula>
    </cfRule>
    <cfRule type="containsText" dxfId="789" priority="4581" operator="containsText" text="L">
      <formula>NOT(ISERROR(SEARCH(("L"),(AK14))))</formula>
    </cfRule>
    <cfRule type="containsText" dxfId="788" priority="4563" operator="containsText" text="C">
      <formula>NOT(ISERROR(SEARCH(("C"),(AK14))))</formula>
    </cfRule>
    <cfRule type="containsText" dxfId="787" priority="4568" operator="containsText" text="N">
      <formula>NOT(ISERROR(SEARCH(("N"),(AK14))))</formula>
    </cfRule>
    <cfRule type="containsText" dxfId="786" priority="4561" operator="containsText" text="N">
      <formula>NOT(ISERROR(SEARCH(("N"),(AK14))))</formula>
    </cfRule>
    <cfRule type="containsText" dxfId="785" priority="4560" operator="containsText" text="L">
      <formula>NOT(ISERROR(SEARCH(("L"),(AK14))))</formula>
    </cfRule>
    <cfRule type="containsText" dxfId="784" priority="4559" operator="containsText" text="X">
      <formula>NOT(ISERROR(SEARCH(("X"),(AK14))))</formula>
    </cfRule>
    <cfRule type="containsText" dxfId="783" priority="4570" operator="containsText" text="C">
      <formula>NOT(ISERROR(SEARCH(("C"),(AK14))))</formula>
    </cfRule>
    <cfRule type="containsText" dxfId="782" priority="4569" operator="containsText" text="O">
      <formula>NOT(ISERROR(SEARCH(("O"),(AK14))))</formula>
    </cfRule>
    <cfRule type="containsText" dxfId="781" priority="4558" operator="containsText" text="K">
      <formula>NOT(ISERROR(SEARCH(("K"),(AK14))))</formula>
    </cfRule>
    <cfRule type="containsText" dxfId="780" priority="4557" operator="containsText" text="P">
      <formula>NOT(ISERROR(SEARCH(("P"),(AK14))))</formula>
    </cfRule>
    <cfRule type="containsText" dxfId="779" priority="4556" operator="containsText" text="C">
      <formula>NOT(ISERROR(SEARCH(("C"),(AK14))))</formula>
    </cfRule>
    <cfRule type="containsText" dxfId="778" priority="4555" operator="containsText" text="O">
      <formula>NOT(ISERROR(SEARCH(("O"),(AK14))))</formula>
    </cfRule>
    <cfRule type="containsText" dxfId="777" priority="4585" operator="containsText" text="P">
      <formula>NOT(ISERROR(SEARCH(("P"),(AK14))))</formula>
    </cfRule>
  </conditionalFormatting>
  <conditionalFormatting sqref="AK14:AK15">
    <cfRule type="containsText" dxfId="776" priority="4400" operator="containsText" text="N">
      <formula>NOT(ISERROR(SEARCH(("N"),(AK14))))</formula>
    </cfRule>
  </conditionalFormatting>
  <conditionalFormatting sqref="AK15">
    <cfRule type="containsText" dxfId="775" priority="4405" operator="containsText" text="K">
      <formula>NOT(ISERROR(SEARCH(("K"),(AK15))))</formula>
    </cfRule>
    <cfRule type="containsText" dxfId="774" priority="4406" operator="containsText" text="X">
      <formula>NOT(ISERROR(SEARCH(("X"),(AK15))))</formula>
    </cfRule>
    <cfRule type="containsText" dxfId="773" priority="4407" operator="containsText" text="L">
      <formula>NOT(ISERROR(SEARCH(("L"),(AK15))))</formula>
    </cfRule>
    <cfRule type="containsText" dxfId="772" priority="4376" operator="containsText" text="X">
      <formula>NOT(ISERROR(SEARCH(("X"),(AK15))))</formula>
    </cfRule>
    <cfRule type="containsText" dxfId="771" priority="4365" operator="containsText" text="O">
      <formula>NOT(ISERROR(SEARCH(("O"),(AK15))))</formula>
    </cfRule>
    <cfRule type="containsText" dxfId="770" priority="4366" operator="containsText" text="C">
      <formula>NOT(ISERROR(SEARCH(("C"),(AK15))))</formula>
    </cfRule>
    <cfRule type="containsText" dxfId="769" priority="4367" operator="containsText" text="P">
      <formula>NOT(ISERROR(SEARCH(("P"),(AK15))))</formula>
    </cfRule>
    <cfRule type="containsText" dxfId="768" priority="4368" operator="containsText" text="K">
      <formula>NOT(ISERROR(SEARCH(("K"),(AK15))))</formula>
    </cfRule>
    <cfRule type="containsText" dxfId="767" priority="4369" operator="containsText" text="X">
      <formula>NOT(ISERROR(SEARCH(("X"),(AK15))))</formula>
    </cfRule>
    <cfRule type="containsText" dxfId="766" priority="4370" operator="containsText" text="L">
      <formula>NOT(ISERROR(SEARCH(("L"),(AK15))))</formula>
    </cfRule>
    <cfRule type="containsText" dxfId="765" priority="4371" operator="containsText" text="N">
      <formula>NOT(ISERROR(SEARCH(("N"),(AK15))))</formula>
    </cfRule>
    <cfRule type="containsText" dxfId="764" priority="4372" operator="containsText" text="O">
      <formula>NOT(ISERROR(SEARCH(("O"),(AK15))))</formula>
    </cfRule>
    <cfRule type="containsText" dxfId="763" priority="4373" operator="containsText" text="C">
      <formula>NOT(ISERROR(SEARCH(("C"),(AK15))))</formula>
    </cfRule>
    <cfRule type="containsText" dxfId="762" priority="4374" operator="containsText" text="P">
      <formula>NOT(ISERROR(SEARCH(("P"),(AK15))))</formula>
    </cfRule>
    <cfRule type="containsText" dxfId="761" priority="4375" operator="containsText" text="K">
      <formula>NOT(ISERROR(SEARCH(("K"),(AK15))))</formula>
    </cfRule>
    <cfRule type="containsText" dxfId="760" priority="4377" operator="containsText" text="L">
      <formula>NOT(ISERROR(SEARCH(("L"),(AK15))))</formula>
    </cfRule>
    <cfRule type="containsText" dxfId="759" priority="4378" operator="containsText" text="N">
      <formula>NOT(ISERROR(SEARCH(("N"),(AK15))))</formula>
    </cfRule>
    <cfRule type="containsText" dxfId="758" priority="4379" operator="containsText" text="O">
      <formula>NOT(ISERROR(SEARCH(("O"),(AK15))))</formula>
    </cfRule>
    <cfRule type="containsText" dxfId="757" priority="4380" operator="containsText" text="C">
      <formula>NOT(ISERROR(SEARCH(("C"),(AK15))))</formula>
    </cfRule>
    <cfRule type="containsText" dxfId="756" priority="4381" operator="containsText" text="P">
      <formula>NOT(ISERROR(SEARCH(("P"),(AK15))))</formula>
    </cfRule>
    <cfRule type="containsText" dxfId="755" priority="4382" operator="containsText" text="K">
      <formula>NOT(ISERROR(SEARCH(("K"),(AK15))))</formula>
    </cfRule>
    <cfRule type="containsText" dxfId="754" priority="4383" operator="containsText" text="X">
      <formula>NOT(ISERROR(SEARCH(("X"),(AK15))))</formula>
    </cfRule>
    <cfRule type="containsText" dxfId="753" priority="4384" operator="containsText" text="L">
      <formula>NOT(ISERROR(SEARCH(("L"),(AK15))))</formula>
    </cfRule>
    <cfRule type="containsText" dxfId="752" priority="4385" operator="containsText" text="N">
      <formula>NOT(ISERROR(SEARCH(("N"),(AK15))))</formula>
    </cfRule>
    <cfRule type="containsText" dxfId="751" priority="4387" operator="containsText" text="O">
      <formula>NOT(ISERROR(SEARCH(("O"),(AK15))))</formula>
    </cfRule>
    <cfRule type="containsText" dxfId="750" priority="4388" operator="containsText" text="C">
      <formula>NOT(ISERROR(SEARCH(("C"),(AK15))))</formula>
    </cfRule>
    <cfRule type="containsText" dxfId="749" priority="4389" operator="containsText" text="P">
      <formula>NOT(ISERROR(SEARCH(("P"),(AK15))))</formula>
    </cfRule>
    <cfRule type="containsText" dxfId="748" priority="4390" operator="containsText" text="K">
      <formula>NOT(ISERROR(SEARCH(("K"),(AK15))))</formula>
    </cfRule>
    <cfRule type="containsText" dxfId="747" priority="4391" operator="containsText" text="X">
      <formula>NOT(ISERROR(SEARCH(("X"),(AK15))))</formula>
    </cfRule>
    <cfRule type="containsText" dxfId="746" priority="4392" operator="containsText" text="L">
      <formula>NOT(ISERROR(SEARCH(("L"),(AK15))))</formula>
    </cfRule>
    <cfRule type="containsText" dxfId="745" priority="4393" operator="containsText" text="N">
      <formula>NOT(ISERROR(SEARCH(("N"),(AK15))))</formula>
    </cfRule>
    <cfRule type="containsText" dxfId="744" priority="4394" operator="containsText" text="O">
      <formula>NOT(ISERROR(SEARCH(("O"),(AK15))))</formula>
    </cfRule>
    <cfRule type="containsText" dxfId="743" priority="4395" operator="containsText" text="C">
      <formula>NOT(ISERROR(SEARCH(("C"),(AK15))))</formula>
    </cfRule>
    <cfRule type="containsText" dxfId="742" priority="4396" operator="containsText" text="P">
      <formula>NOT(ISERROR(SEARCH(("P"),(AK15))))</formula>
    </cfRule>
    <cfRule type="containsText" dxfId="741" priority="4397" operator="containsText" text="K">
      <formula>NOT(ISERROR(SEARCH(("K"),(AK15))))</formula>
    </cfRule>
    <cfRule type="containsText" dxfId="740" priority="4398" operator="containsText" text="X">
      <formula>NOT(ISERROR(SEARCH(("X"),(AK15))))</formula>
    </cfRule>
    <cfRule type="containsText" dxfId="739" priority="4399" operator="containsText" text="L">
      <formula>NOT(ISERROR(SEARCH(("L"),(AK15))))</formula>
    </cfRule>
    <cfRule type="containsText" dxfId="738" priority="4401" operator="containsText" text="L">
      <formula>NOT(ISERROR(SEARCH(("L"),(AK15))))</formula>
    </cfRule>
    <cfRule type="containsText" dxfId="737" priority="4402" operator="containsText" text="O">
      <formula>NOT(ISERROR(SEARCH(("O"),(AK15))))</formula>
    </cfRule>
    <cfRule type="containsText" dxfId="736" priority="4403" operator="containsText" text="C">
      <formula>NOT(ISERROR(SEARCH(("C"),(AK15))))</formula>
    </cfRule>
    <cfRule type="containsText" dxfId="735" priority="4404" operator="containsText" text="P">
      <formula>NOT(ISERROR(SEARCH(("P"),(AK15))))</formula>
    </cfRule>
  </conditionalFormatting>
  <conditionalFormatting sqref="AK15:AK17">
    <cfRule type="containsText" dxfId="734" priority="4080" operator="containsText" text="N">
      <formula>NOT(ISERROR(SEARCH(("N"),(AK15))))</formula>
    </cfRule>
  </conditionalFormatting>
  <conditionalFormatting sqref="AK16:AK17">
    <cfRule type="containsText" dxfId="733" priority="4027" operator="containsText" text="P">
      <formula>NOT(ISERROR(SEARCH(("P"),(AK16))))</formula>
    </cfRule>
    <cfRule type="containsText" dxfId="732" priority="4070" operator="containsText" text="X">
      <formula>NOT(ISERROR(SEARCH(("X"),(AK16))))</formula>
    </cfRule>
    <cfRule type="containsText" dxfId="731" priority="4026" operator="containsText" text="C">
      <formula>NOT(ISERROR(SEARCH(("C"),(AK16))))</formula>
    </cfRule>
    <cfRule type="containsText" dxfId="730" priority="8689" operator="containsText" text="X">
      <formula>NOT(ISERROR(SEARCH(("X"),(AK16))))</formula>
    </cfRule>
    <cfRule type="containsText" dxfId="729" priority="4069" operator="containsText" text="K">
      <formula>NOT(ISERROR(SEARCH(("K"),(AK16))))</formula>
    </cfRule>
    <cfRule type="containsText" dxfId="728" priority="4068" operator="containsText" text="P">
      <formula>NOT(ISERROR(SEARCH(("P"),(AK16))))</formula>
    </cfRule>
    <cfRule type="containsText" dxfId="727" priority="4067" operator="containsText" text="C">
      <formula>NOT(ISERROR(SEARCH(("C"),(AK16))))</formula>
    </cfRule>
    <cfRule type="containsText" dxfId="726" priority="4025" operator="containsText" text="O">
      <formula>NOT(ISERROR(SEARCH(("O"),(AK16))))</formula>
    </cfRule>
    <cfRule type="containsText" dxfId="725" priority="4066" operator="containsText" text="O">
      <formula>NOT(ISERROR(SEARCH(("O"),(AK16))))</formula>
    </cfRule>
    <cfRule type="containsText" dxfId="724" priority="4065" operator="containsText" text="N">
      <formula>NOT(ISERROR(SEARCH(("N"),(AK16))))</formula>
    </cfRule>
    <cfRule type="containsText" dxfId="723" priority="4064" operator="containsText" text="X">
      <formula>NOT(ISERROR(SEARCH(("X"),(AK16))))</formula>
    </cfRule>
    <cfRule type="containsText" dxfId="722" priority="8688" operator="containsText" text="K">
      <formula>NOT(ISERROR(SEARCH(("K"),(AK16))))</formula>
    </cfRule>
    <cfRule type="containsText" dxfId="721" priority="4063" operator="containsText" text="K">
      <formula>NOT(ISERROR(SEARCH(("K"),(AK16))))</formula>
    </cfRule>
    <cfRule type="containsText" dxfId="720" priority="4062" operator="containsText" text="P">
      <formula>NOT(ISERROR(SEARCH(("P"),(AK16))))</formula>
    </cfRule>
    <cfRule type="containsText" dxfId="719" priority="4061" operator="containsText" text="C">
      <formula>NOT(ISERROR(SEARCH(("C"),(AK16))))</formula>
    </cfRule>
    <cfRule type="containsText" dxfId="718" priority="4060" operator="containsText" text="L">
      <formula>NOT(ISERROR(SEARCH(("L"),(AK16))))</formula>
    </cfRule>
    <cfRule type="containsText" dxfId="717" priority="4059" operator="containsText" text="X">
      <formula>NOT(ISERROR(SEARCH(("X"),(AK16))))</formula>
    </cfRule>
    <cfRule type="containsText" dxfId="716" priority="4058" operator="containsText" text="K">
      <formula>NOT(ISERROR(SEARCH(("K"),(AK16))))</formula>
    </cfRule>
    <cfRule type="containsText" dxfId="715" priority="4057" operator="containsText" text="P">
      <formula>NOT(ISERROR(SEARCH(("P"),(AK16))))</formula>
    </cfRule>
    <cfRule type="containsText" dxfId="714" priority="8687" operator="containsText" text="P">
      <formula>NOT(ISERROR(SEARCH(("P"),(AK16))))</formula>
    </cfRule>
    <cfRule type="containsText" dxfId="713" priority="8686" operator="containsText" text="C">
      <formula>NOT(ISERROR(SEARCH(("C"),(AK16))))</formula>
    </cfRule>
    <cfRule type="containsText" dxfId="712" priority="8685" operator="containsText" text="O">
      <formula>NOT(ISERROR(SEARCH(("O"),(AK16))))</formula>
    </cfRule>
    <cfRule type="containsText" dxfId="711" priority="4020" operator="containsText" text="P">
      <formula>NOT(ISERROR(SEARCH(("P"),(AK16))))</formula>
    </cfRule>
    <cfRule type="containsText" dxfId="710" priority="4021" operator="containsText" text="K">
      <formula>NOT(ISERROR(SEARCH(("K"),(AK16))))</formula>
    </cfRule>
    <cfRule type="containsText" dxfId="709" priority="4022" operator="containsText" text="X">
      <formula>NOT(ISERROR(SEARCH(("X"),(AK16))))</formula>
    </cfRule>
    <cfRule type="containsText" dxfId="708" priority="4023" operator="containsText" text="L">
      <formula>NOT(ISERROR(SEARCH(("L"),(AK16))))</formula>
    </cfRule>
    <cfRule type="containsText" dxfId="707" priority="4056" operator="containsText" text="C">
      <formula>NOT(ISERROR(SEARCH(("C"),(AK16))))</formula>
    </cfRule>
    <cfRule type="containsText" dxfId="706" priority="4055" operator="containsText" text="O">
      <formula>NOT(ISERROR(SEARCH(("O"),(AK16))))</formula>
    </cfRule>
    <cfRule type="containsText" dxfId="705" priority="4054" operator="containsText" text="L">
      <formula>NOT(ISERROR(SEARCH(("L"),(AK16))))</formula>
    </cfRule>
    <cfRule type="containsText" dxfId="704" priority="4053" operator="containsText" text="N">
      <formula>NOT(ISERROR(SEARCH(("N"),(AK16))))</formula>
    </cfRule>
    <cfRule type="containsText" dxfId="703" priority="4052" operator="containsText" text="L">
      <formula>NOT(ISERROR(SEARCH(("L"),(AK16))))</formula>
    </cfRule>
    <cfRule type="containsText" dxfId="702" priority="4051" operator="containsText" text="X">
      <formula>NOT(ISERROR(SEARCH(("X"),(AK16))))</formula>
    </cfRule>
    <cfRule type="containsText" dxfId="701" priority="4050" operator="containsText" text="K">
      <formula>NOT(ISERROR(SEARCH(("K"),(AK16))))</formula>
    </cfRule>
    <cfRule type="containsText" dxfId="700" priority="4017" operator="containsText" text="N">
      <formula>NOT(ISERROR(SEARCH(("N"),(AK16))))</formula>
    </cfRule>
    <cfRule type="containsText" dxfId="699" priority="4018" operator="containsText" text="O">
      <formula>NOT(ISERROR(SEARCH(("O"),(AK16))))</formula>
    </cfRule>
    <cfRule type="containsText" dxfId="698" priority="4019" operator="containsText" text="C">
      <formula>NOT(ISERROR(SEARCH(("C"),(AK16))))</formula>
    </cfRule>
    <cfRule type="containsText" dxfId="697" priority="8704" operator="containsText" text="L">
      <formula>NOT(ISERROR(SEARCH(("L"),(AK16))))</formula>
    </cfRule>
    <cfRule type="containsText" dxfId="696" priority="4049" operator="containsText" text="P">
      <formula>NOT(ISERROR(SEARCH(("P"),(AK16))))</formula>
    </cfRule>
    <cfRule type="containsText" dxfId="695" priority="8702" operator="containsText" text="K">
      <formula>NOT(ISERROR(SEARCH(("K"),(AK16))))</formula>
    </cfRule>
    <cfRule type="containsText" dxfId="694" priority="8701" operator="containsText" text="P">
      <formula>NOT(ISERROR(SEARCH(("P"),(AK16))))</formula>
    </cfRule>
    <cfRule type="containsText" dxfId="693" priority="8700" operator="containsText" text="C">
      <formula>NOT(ISERROR(SEARCH(("C"),(AK16))))</formula>
    </cfRule>
    <cfRule type="containsText" dxfId="692" priority="8699" operator="containsText" text="O">
      <formula>NOT(ISERROR(SEARCH(("O"),(AK16))))</formula>
    </cfRule>
    <cfRule type="containsText" dxfId="691" priority="8698" operator="containsText" text="N">
      <formula>NOT(ISERROR(SEARCH(("N"),(AK16))))</formula>
    </cfRule>
    <cfRule type="containsText" dxfId="690" priority="8697" operator="containsText" text="L">
      <formula>NOT(ISERROR(SEARCH(("L"),(AK16))))</formula>
    </cfRule>
    <cfRule type="containsText" dxfId="689" priority="8696" operator="containsText" text="X">
      <formula>NOT(ISERROR(SEARCH(("X"),(AK16))))</formula>
    </cfRule>
    <cfRule type="containsText" dxfId="688" priority="8695" operator="containsText" text="K">
      <formula>NOT(ISERROR(SEARCH(("K"),(AK16))))</formula>
    </cfRule>
    <cfRule type="containsText" dxfId="687" priority="4048" operator="containsText" text="C">
      <formula>NOT(ISERROR(SEARCH(("C"),(AK16))))</formula>
    </cfRule>
    <cfRule type="containsText" dxfId="686" priority="4047" operator="containsText" text="O">
      <formula>NOT(ISERROR(SEARCH(("O"),(AK16))))</formula>
    </cfRule>
    <cfRule type="containsText" dxfId="685" priority="4046" operator="containsText" text="N">
      <formula>NOT(ISERROR(SEARCH(("N"),(AK16))))</formula>
    </cfRule>
    <cfRule type="containsText" dxfId="684" priority="4045" operator="containsText" text="L">
      <formula>NOT(ISERROR(SEARCH(("L"),(AK16))))</formula>
    </cfRule>
    <cfRule type="containsText" dxfId="683" priority="4044" operator="containsText" text="X">
      <formula>NOT(ISERROR(SEARCH(("X"),(AK16))))</formula>
    </cfRule>
    <cfRule type="containsText" dxfId="682" priority="4043" operator="containsText" text="K">
      <formula>NOT(ISERROR(SEARCH(("K"),(AK16))))</formula>
    </cfRule>
    <cfRule type="containsText" dxfId="681" priority="4042" operator="containsText" text="P">
      <formula>NOT(ISERROR(SEARCH(("P"),(AK16))))</formula>
    </cfRule>
    <cfRule type="containsText" dxfId="680" priority="4041" operator="containsText" text="C">
      <formula>NOT(ISERROR(SEARCH(("C"),(AK16))))</formula>
    </cfRule>
    <cfRule type="containsText" dxfId="679" priority="4040" operator="containsText" text="O">
      <formula>NOT(ISERROR(SEARCH(("O"),(AK16))))</formula>
    </cfRule>
    <cfRule type="containsText" dxfId="678" priority="4038" operator="containsText" text="N">
      <formula>NOT(ISERROR(SEARCH(("N"),(AK16))))</formula>
    </cfRule>
    <cfRule type="containsText" dxfId="677" priority="4037" operator="containsText" text="L">
      <formula>NOT(ISERROR(SEARCH(("L"),(AK16))))</formula>
    </cfRule>
    <cfRule type="containsText" dxfId="676" priority="4036" operator="containsText" text="X">
      <formula>NOT(ISERROR(SEARCH(("X"),(AK16))))</formula>
    </cfRule>
    <cfRule type="containsText" dxfId="675" priority="4035" operator="containsText" text="K">
      <formula>NOT(ISERROR(SEARCH(("K"),(AK16))))</formula>
    </cfRule>
    <cfRule type="containsText" dxfId="674" priority="8629" operator="containsText" text="O">
      <formula>NOT(ISERROR(SEARCH(("O"),(AK16))))</formula>
    </cfRule>
    <cfRule type="containsText" dxfId="673" priority="8630" operator="containsText" text="C">
      <formula>NOT(ISERROR(SEARCH(("C"),(AK16))))</formula>
    </cfRule>
    <cfRule type="containsText" dxfId="672" priority="8631" operator="containsText" text="P">
      <formula>NOT(ISERROR(SEARCH(("P"),(AK16))))</formula>
    </cfRule>
    <cfRule type="containsText" dxfId="671" priority="8632" operator="containsText" text="K">
      <formula>NOT(ISERROR(SEARCH(("K"),(AK16))))</formula>
    </cfRule>
    <cfRule type="containsText" dxfId="670" priority="8633" operator="containsText" text="X">
      <formula>NOT(ISERROR(SEARCH(("X"),(AK16))))</formula>
    </cfRule>
    <cfRule type="containsText" dxfId="669" priority="8634" operator="containsText" text="L">
      <formula>NOT(ISERROR(SEARCH(("L"),(AK16))))</formula>
    </cfRule>
    <cfRule type="containsText" dxfId="668" priority="8635" operator="containsText" text="N">
      <formula>NOT(ISERROR(SEARCH(("N"),(AK16))))</formula>
    </cfRule>
    <cfRule type="containsText" dxfId="667" priority="8636" operator="containsText" text="O">
      <formula>NOT(ISERROR(SEARCH(("O"),(AK16))))</formula>
    </cfRule>
    <cfRule type="containsText" dxfId="666" priority="8637" operator="containsText" text="C">
      <formula>NOT(ISERROR(SEARCH(("C"),(AK16))))</formula>
    </cfRule>
    <cfRule type="containsText" dxfId="665" priority="8638" operator="containsText" text="P">
      <formula>NOT(ISERROR(SEARCH(("P"),(AK16))))</formula>
    </cfRule>
    <cfRule type="containsText" dxfId="664" priority="8639" operator="containsText" text="K">
      <formula>NOT(ISERROR(SEARCH(("K"),(AK16))))</formula>
    </cfRule>
    <cfRule type="containsText" dxfId="663" priority="8640" operator="containsText" text="X">
      <formula>NOT(ISERROR(SEARCH(("X"),(AK16))))</formula>
    </cfRule>
    <cfRule type="containsText" dxfId="662" priority="8641" operator="containsText" text="L">
      <formula>NOT(ISERROR(SEARCH(("L"),(AK16))))</formula>
    </cfRule>
    <cfRule type="containsText" dxfId="661" priority="8642" operator="containsText" text="O">
      <formula>NOT(ISERROR(SEARCH(("O"),(AK16))))</formula>
    </cfRule>
    <cfRule type="containsText" dxfId="660" priority="8643" operator="containsText" text="C">
      <formula>NOT(ISERROR(SEARCH(("C"),(AK16))))</formula>
    </cfRule>
    <cfRule type="containsText" dxfId="659" priority="8644" operator="containsText" text="P">
      <formula>NOT(ISERROR(SEARCH(("P"),(AK16))))</formula>
    </cfRule>
    <cfRule type="containsText" dxfId="658" priority="4031" operator="containsText" text="N">
      <formula>NOT(ISERROR(SEARCH(("N"),(AK16))))</formula>
    </cfRule>
    <cfRule type="containsText" dxfId="657" priority="4024" operator="containsText" text="N">
      <formula>NOT(ISERROR(SEARCH(("N"),(AK16))))</formula>
    </cfRule>
    <cfRule type="containsText" dxfId="656" priority="8645" operator="containsText" text="K">
      <formula>NOT(ISERROR(SEARCH(("K"),(AK16))))</formula>
    </cfRule>
    <cfRule type="containsText" dxfId="655" priority="8646" operator="containsText" text="X">
      <formula>NOT(ISERROR(SEARCH(("X"),(AK16))))</formula>
    </cfRule>
    <cfRule type="containsText" dxfId="654" priority="8647" operator="containsText" text="L">
      <formula>NOT(ISERROR(SEARCH(("L"),(AK16))))</formula>
    </cfRule>
    <cfRule type="containsText" dxfId="653" priority="8648" operator="containsText" text="N">
      <formula>NOT(ISERROR(SEARCH(("N"),(AK16))))</formula>
    </cfRule>
    <cfRule type="containsText" dxfId="652" priority="8649" operator="containsText" text="O">
      <formula>NOT(ISERROR(SEARCH(("O"),(AK16))))</formula>
    </cfRule>
    <cfRule type="containsText" dxfId="651" priority="8650" operator="containsText" text="C">
      <formula>NOT(ISERROR(SEARCH(("C"),(AK16))))</formula>
    </cfRule>
    <cfRule type="containsText" dxfId="650" priority="8651" operator="containsText" text="P">
      <formula>NOT(ISERROR(SEARCH(("P"),(AK16))))</formula>
    </cfRule>
    <cfRule type="containsText" dxfId="649" priority="8652" operator="containsText" text="K">
      <formula>NOT(ISERROR(SEARCH(("K"),(AK16))))</formula>
    </cfRule>
    <cfRule type="containsText" dxfId="648" priority="8653" operator="containsText" text="X">
      <formula>NOT(ISERROR(SEARCH(("X"),(AK16))))</formula>
    </cfRule>
    <cfRule type="containsText" dxfId="647" priority="4034" operator="containsText" text="P">
      <formula>NOT(ISERROR(SEARCH(("P"),(AK16))))</formula>
    </cfRule>
    <cfRule type="containsText" dxfId="646" priority="4033" operator="containsText" text="C">
      <formula>NOT(ISERROR(SEARCH(("C"),(AK16))))</formula>
    </cfRule>
    <cfRule type="containsText" dxfId="645" priority="4032" operator="containsText" text="O">
      <formula>NOT(ISERROR(SEARCH(("O"),(AK16))))</formula>
    </cfRule>
    <cfRule type="containsText" dxfId="644" priority="4030" operator="containsText" text="L">
      <formula>NOT(ISERROR(SEARCH(("L"),(AK16))))</formula>
    </cfRule>
    <cfRule type="containsText" dxfId="643" priority="4029" operator="containsText" text="X">
      <formula>NOT(ISERROR(SEARCH(("X"),(AK16))))</formula>
    </cfRule>
    <cfRule type="containsText" dxfId="642" priority="4028" operator="containsText" text="K">
      <formula>NOT(ISERROR(SEARCH(("K"),(AK16))))</formula>
    </cfRule>
    <cfRule type="containsText" dxfId="641" priority="8694" operator="containsText" text="P">
      <formula>NOT(ISERROR(SEARCH(("P"),(AK16))))</formula>
    </cfRule>
    <cfRule type="containsText" dxfId="640" priority="8693" operator="containsText" text="C">
      <formula>NOT(ISERROR(SEARCH(("C"),(AK16))))</formula>
    </cfRule>
    <cfRule type="containsText" dxfId="639" priority="8692" operator="containsText" text="O">
      <formula>NOT(ISERROR(SEARCH(("O"),(AK16))))</formula>
    </cfRule>
    <cfRule type="containsText" dxfId="638" priority="8691" operator="containsText" text="N">
      <formula>NOT(ISERROR(SEARCH(("N"),(AK16))))</formula>
    </cfRule>
    <cfRule type="containsText" dxfId="637" priority="8690" operator="containsText" text="L">
      <formula>NOT(ISERROR(SEARCH(("L"),(AK16))))</formula>
    </cfRule>
    <cfRule type="containsText" dxfId="636" priority="4075" operator="containsText" text="C">
      <formula>NOT(ISERROR(SEARCH(("C"),(AK16))))</formula>
    </cfRule>
    <cfRule type="containsText" dxfId="635" priority="4076" operator="containsText" text="P">
      <formula>NOT(ISERROR(SEARCH(("P"),(AK16))))</formula>
    </cfRule>
    <cfRule type="containsText" dxfId="634" priority="4077" operator="containsText" text="K">
      <formula>NOT(ISERROR(SEARCH(("K"),(AK16))))</formula>
    </cfRule>
    <cfRule type="containsText" dxfId="633" priority="4074" operator="containsText" text="O">
      <formula>NOT(ISERROR(SEARCH(("O"),(AK16))))</formula>
    </cfRule>
    <cfRule type="containsText" dxfId="632" priority="4073" operator="containsText" text="N">
      <formula>NOT(ISERROR(SEARCH(("N"),(AK16))))</formula>
    </cfRule>
    <cfRule type="containsText" dxfId="631" priority="4071" operator="containsText" text="L">
      <formula>NOT(ISERROR(SEARCH(("L"),(AK16))))</formula>
    </cfRule>
    <cfRule type="containsText" dxfId="630" priority="4091" operator="containsText" text="L">
      <formula>NOT(ISERROR(SEARCH(("L"),(AK16))))</formula>
    </cfRule>
    <cfRule type="containsText" dxfId="629" priority="4090" operator="containsText" text="X">
      <formula>NOT(ISERROR(SEARCH(("X"),(AK16))))</formula>
    </cfRule>
    <cfRule type="containsText" dxfId="628" priority="4089" operator="containsText" text="K">
      <formula>NOT(ISERROR(SEARCH(("K"),(AK16))))</formula>
    </cfRule>
    <cfRule type="containsText" dxfId="627" priority="4088" operator="containsText" text="P">
      <formula>NOT(ISERROR(SEARCH(("P"),(AK16))))</formula>
    </cfRule>
    <cfRule type="containsText" dxfId="626" priority="4087" operator="containsText" text="C">
      <formula>NOT(ISERROR(SEARCH(("C"),(AK16))))</formula>
    </cfRule>
    <cfRule type="containsText" dxfId="625" priority="4086" operator="containsText" text="L">
      <formula>NOT(ISERROR(SEARCH(("L"),(AK16))))</formula>
    </cfRule>
    <cfRule type="containsText" dxfId="624" priority="4085" operator="containsText" text="X">
      <formula>NOT(ISERROR(SEARCH(("X"),(AK16))))</formula>
    </cfRule>
    <cfRule type="containsText" dxfId="623" priority="4084" operator="containsText" text="K">
      <formula>NOT(ISERROR(SEARCH(("K"),(AK16))))</formula>
    </cfRule>
    <cfRule type="containsText" dxfId="622" priority="4083" operator="containsText" text="P">
      <formula>NOT(ISERROR(SEARCH(("P"),(AK16))))</formula>
    </cfRule>
    <cfRule type="containsText" dxfId="621" priority="4082" operator="containsText" text="C">
      <formula>NOT(ISERROR(SEARCH(("C"),(AK16))))</formula>
    </cfRule>
    <cfRule type="containsText" dxfId="620" priority="4081" operator="containsText" text="O">
      <formula>NOT(ISERROR(SEARCH(("O"),(AK16))))</formula>
    </cfRule>
    <cfRule type="containsText" dxfId="619" priority="8703" operator="containsText" text="X">
      <formula>NOT(ISERROR(SEARCH(("X"),(AK16))))</formula>
    </cfRule>
    <cfRule type="containsText" dxfId="618" priority="4079" operator="containsText" text="L">
      <formula>NOT(ISERROR(SEARCH(("L"),(AK16))))</formula>
    </cfRule>
    <cfRule type="containsText" dxfId="617" priority="4078" operator="containsText" text="X">
      <formula>NOT(ISERROR(SEARCH(("X"),(AK16))))</formula>
    </cfRule>
  </conditionalFormatting>
  <conditionalFormatting sqref="AK17">
    <cfRule type="containsText" dxfId="616" priority="3603" operator="containsText" text="N">
      <formula>NOT(ISERROR(SEARCH(("N"),(AK17))))</formula>
    </cfRule>
    <cfRule type="containsText" dxfId="615" priority="3604" operator="containsText" text="O">
      <formula>NOT(ISERROR(SEARCH(("O"),(AK17))))</formula>
    </cfRule>
    <cfRule type="containsText" dxfId="614" priority="3605" operator="containsText" text="C">
      <formula>NOT(ISERROR(SEARCH(("C"),(AK17))))</formula>
    </cfRule>
    <cfRule type="containsText" dxfId="613" priority="3606" operator="containsText" text="P">
      <formula>NOT(ISERROR(SEARCH(("P"),(AK17))))</formula>
    </cfRule>
    <cfRule type="containsText" dxfId="612" priority="3607" operator="containsText" text="K">
      <formula>NOT(ISERROR(SEARCH(("K"),(AK17))))</formula>
    </cfRule>
    <cfRule type="containsText" dxfId="611" priority="3608" operator="containsText" text="X">
      <formula>NOT(ISERROR(SEARCH(("X"),(AK17))))</formula>
    </cfRule>
    <cfRule type="containsText" dxfId="610" priority="3609" operator="containsText" text="L">
      <formula>NOT(ISERROR(SEARCH(("L"),(AK17))))</formula>
    </cfRule>
    <cfRule type="containsText" dxfId="609" priority="3583" operator="containsText" text="O">
      <formula>NOT(ISERROR(SEARCH(("O"),(AK17))))</formula>
    </cfRule>
    <cfRule type="containsText" dxfId="608" priority="3585" operator="containsText" text="P">
      <formula>NOT(ISERROR(SEARCH(("P"),(AK17))))</formula>
    </cfRule>
    <cfRule type="containsText" dxfId="607" priority="3586" operator="containsText" text="K">
      <formula>NOT(ISERROR(SEARCH(("K"),(AK17))))</formula>
    </cfRule>
    <cfRule type="containsText" dxfId="606" priority="3587" operator="containsText" text="X">
      <formula>NOT(ISERROR(SEARCH(("X"),(AK17))))</formula>
    </cfRule>
    <cfRule type="containsText" dxfId="605" priority="3588" operator="containsText" text="L">
      <formula>NOT(ISERROR(SEARCH(("L"),(AK17))))</formula>
    </cfRule>
    <cfRule type="containsText" dxfId="604" priority="3590" operator="containsText" text="N">
      <formula>NOT(ISERROR(SEARCH(("N"),(AK17))))</formula>
    </cfRule>
    <cfRule type="containsText" dxfId="603" priority="3591" operator="containsText" text="O">
      <formula>NOT(ISERROR(SEARCH(("O"),(AK17))))</formula>
    </cfRule>
    <cfRule type="containsText" dxfId="602" priority="3592" operator="containsText" text="C">
      <formula>NOT(ISERROR(SEARCH(("C"),(AK17))))</formula>
    </cfRule>
    <cfRule type="containsText" dxfId="601" priority="3584" operator="containsText" text="C">
      <formula>NOT(ISERROR(SEARCH(("C"),(AK17))))</formula>
    </cfRule>
    <cfRule type="containsText" dxfId="600" priority="3594" operator="containsText" text="K">
      <formula>NOT(ISERROR(SEARCH(("K"),(AK17))))</formula>
    </cfRule>
    <cfRule type="containsText" dxfId="599" priority="3595" operator="containsText" text="X">
      <formula>NOT(ISERROR(SEARCH(("X"),(AK17))))</formula>
    </cfRule>
    <cfRule type="containsText" dxfId="598" priority="3596" operator="containsText" text="L">
      <formula>NOT(ISERROR(SEARCH(("L"),(AK17))))</formula>
    </cfRule>
    <cfRule type="containsText" dxfId="597" priority="3597" operator="containsText" text="O">
      <formula>NOT(ISERROR(SEARCH(("O"),(AK17))))</formula>
    </cfRule>
    <cfRule type="containsText" dxfId="596" priority="3598" operator="containsText" text="C">
      <formula>NOT(ISERROR(SEARCH(("C"),(AK17))))</formula>
    </cfRule>
    <cfRule type="containsText" dxfId="595" priority="3599" operator="containsText" text="P">
      <formula>NOT(ISERROR(SEARCH(("P"),(AK17))))</formula>
    </cfRule>
    <cfRule type="containsText" dxfId="594" priority="3600" operator="containsText" text="K">
      <formula>NOT(ISERROR(SEARCH(("K"),(AK17))))</formula>
    </cfRule>
    <cfRule type="containsText" dxfId="593" priority="3601" operator="containsText" text="X">
      <formula>NOT(ISERROR(SEARCH(("X"),(AK17))))</formula>
    </cfRule>
    <cfRule type="containsText" dxfId="592" priority="3602" operator="containsText" text="L">
      <formula>NOT(ISERROR(SEARCH(("L"),(AK17))))</formula>
    </cfRule>
    <cfRule type="containsText" dxfId="591" priority="3593" operator="containsText" text="P">
      <formula>NOT(ISERROR(SEARCH(("P"),(AK17))))</formula>
    </cfRule>
  </conditionalFormatting>
  <conditionalFormatting sqref="AK17:AK18">
    <cfRule type="containsText" dxfId="590" priority="3575" operator="containsText" text="N">
      <formula>NOT(ISERROR(SEARCH(("N"),(AK17))))</formula>
    </cfRule>
  </conditionalFormatting>
  <conditionalFormatting sqref="AK18">
    <cfRule type="containsText" dxfId="589" priority="3542" operator="containsText" text="O">
      <formula>NOT(ISERROR(SEARCH(("O"),(AK18))))</formula>
    </cfRule>
    <cfRule type="containsText" dxfId="588" priority="3541" operator="containsText" text="L">
      <formula>NOT(ISERROR(SEARCH(("L"),(AK18))))</formula>
    </cfRule>
    <cfRule type="containsText" dxfId="587" priority="3540" operator="containsText" text="X">
      <formula>NOT(ISERROR(SEARCH(("X"),(AK18))))</formula>
    </cfRule>
    <cfRule type="containsText" dxfId="586" priority="3539" operator="containsText" text="K">
      <formula>NOT(ISERROR(SEARCH(("K"),(AK18))))</formula>
    </cfRule>
    <cfRule type="containsText" dxfId="585" priority="3538" operator="containsText" text="P">
      <formula>NOT(ISERROR(SEARCH(("P"),(AK18))))</formula>
    </cfRule>
    <cfRule type="containsText" dxfId="584" priority="3537" operator="containsText" text="C">
      <formula>NOT(ISERROR(SEARCH(("C"),(AK18))))</formula>
    </cfRule>
    <cfRule type="containsText" dxfId="583" priority="3536" operator="containsText" text="O">
      <formula>NOT(ISERROR(SEARCH(("O"),(AK18))))</formula>
    </cfRule>
    <cfRule type="containsText" dxfId="582" priority="8845" operator="containsText" text="X">
      <formula>NOT(ISERROR(SEARCH(("X"),(AK18))))</formula>
    </cfRule>
    <cfRule type="containsText" dxfId="581" priority="8846" operator="containsText" text="L">
      <formula>NOT(ISERROR(SEARCH(("L"),(AK18))))</formula>
    </cfRule>
    <cfRule type="containsText" dxfId="580" priority="8847" operator="containsText" text="O">
      <formula>NOT(ISERROR(SEARCH(("O"),(AK18))))</formula>
    </cfRule>
    <cfRule type="containsText" dxfId="579" priority="8848" operator="containsText" text="C">
      <formula>NOT(ISERROR(SEARCH(("C"),(AK18))))</formula>
    </cfRule>
    <cfRule type="containsText" dxfId="578" priority="8849" operator="containsText" text="P">
      <formula>NOT(ISERROR(SEARCH(("P"),(AK18))))</formula>
    </cfRule>
    <cfRule type="containsText" dxfId="577" priority="8850" operator="containsText" text="K">
      <formula>NOT(ISERROR(SEARCH(("K"),(AK18))))</formula>
    </cfRule>
    <cfRule type="containsText" dxfId="576" priority="8851" operator="containsText" text="X">
      <formula>NOT(ISERROR(SEARCH(("X"),(AK18))))</formula>
    </cfRule>
    <cfRule type="containsText" dxfId="575" priority="8852" operator="containsText" text="L">
      <formula>NOT(ISERROR(SEARCH(("L"),(AK18))))</formula>
    </cfRule>
    <cfRule type="containsText" dxfId="574" priority="8853" operator="containsText" text="N">
      <formula>NOT(ISERROR(SEARCH(("N"),(AK18))))</formula>
    </cfRule>
    <cfRule type="containsText" dxfId="573" priority="8854" operator="containsText" text="O">
      <formula>NOT(ISERROR(SEARCH(("O"),(AK18))))</formula>
    </cfRule>
    <cfRule type="containsText" dxfId="572" priority="8855" operator="containsText" text="C">
      <formula>NOT(ISERROR(SEARCH(("C"),(AK18))))</formula>
    </cfRule>
    <cfRule type="containsText" dxfId="571" priority="8802" operator="containsText" text="K">
      <formula>NOT(ISERROR(SEARCH(("K"),(AK18))))</formula>
    </cfRule>
    <cfRule type="containsText" dxfId="570" priority="8801" operator="containsText" text="P">
      <formula>NOT(ISERROR(SEARCH(("P"),(AK18))))</formula>
    </cfRule>
    <cfRule type="containsText" dxfId="569" priority="8800" operator="containsText" text="C">
      <formula>NOT(ISERROR(SEARCH(("C"),(AK18))))</formula>
    </cfRule>
    <cfRule type="containsText" dxfId="568" priority="8799" operator="containsText" text="O">
      <formula>NOT(ISERROR(SEARCH(("O"),(AK18))))</formula>
    </cfRule>
    <cfRule type="containsText" dxfId="567" priority="8798" operator="containsText" text="N">
      <formula>NOT(ISERROR(SEARCH(("N"),(AK18))))</formula>
    </cfRule>
    <cfRule type="containsText" dxfId="566" priority="8797" operator="containsText" text="L">
      <formula>NOT(ISERROR(SEARCH(("L"),(AK18))))</formula>
    </cfRule>
    <cfRule type="containsText" dxfId="565" priority="8796" operator="containsText" text="X">
      <formula>NOT(ISERROR(SEARCH(("X"),(AK18))))</formula>
    </cfRule>
    <cfRule type="containsText" dxfId="564" priority="8795" operator="containsText" text="K">
      <formula>NOT(ISERROR(SEARCH(("K"),(AK18))))</formula>
    </cfRule>
    <cfRule type="containsText" dxfId="563" priority="8794" operator="containsText" text="P">
      <formula>NOT(ISERROR(SEARCH(("P"),(AK18))))</formula>
    </cfRule>
    <cfRule type="containsText" dxfId="562" priority="8793" operator="containsText" text="C">
      <formula>NOT(ISERROR(SEARCH(("C"),(AK18))))</formula>
    </cfRule>
    <cfRule type="containsText" dxfId="561" priority="8792" operator="containsText" text="O">
      <formula>NOT(ISERROR(SEARCH(("O"),(AK18))))</formula>
    </cfRule>
    <cfRule type="containsText" dxfId="560" priority="8856" operator="containsText" text="P">
      <formula>NOT(ISERROR(SEARCH(("P"),(AK18))))</formula>
    </cfRule>
    <cfRule type="containsText" dxfId="559" priority="8857" operator="containsText" text="K">
      <formula>NOT(ISERROR(SEARCH(("K"),(AK18))))</formula>
    </cfRule>
    <cfRule type="containsText" dxfId="558" priority="8858" operator="containsText" text="X">
      <formula>NOT(ISERROR(SEARCH(("X"),(AK18))))</formula>
    </cfRule>
    <cfRule type="containsText" dxfId="557" priority="8859" operator="containsText" text="L">
      <formula>NOT(ISERROR(SEARCH(("L"),(AK18))))</formula>
    </cfRule>
    <cfRule type="containsText" dxfId="556" priority="8860" operator="containsText" text="N">
      <formula>NOT(ISERROR(SEARCH(("N"),(AK18))))</formula>
    </cfRule>
    <cfRule type="containsText" dxfId="555" priority="8861" operator="containsText" text="O">
      <formula>NOT(ISERROR(SEARCH(("O"),(AK18))))</formula>
    </cfRule>
    <cfRule type="containsText" dxfId="554" priority="8862" operator="containsText" text="C">
      <formula>NOT(ISERROR(SEARCH(("C"),(AK18))))</formula>
    </cfRule>
    <cfRule type="containsText" dxfId="553" priority="8863" operator="containsText" text="P">
      <formula>NOT(ISERROR(SEARCH(("P"),(AK18))))</formula>
    </cfRule>
    <cfRule type="containsText" dxfId="552" priority="8864" operator="containsText" text="K">
      <formula>NOT(ISERROR(SEARCH(("K"),(AK18))))</formula>
    </cfRule>
    <cfRule type="containsText" dxfId="551" priority="8866" operator="containsText" text="L">
      <formula>NOT(ISERROR(SEARCH(("L"),(AK18))))</formula>
    </cfRule>
    <cfRule type="containsText" dxfId="550" priority="8803" operator="containsText" text="X">
      <formula>NOT(ISERROR(SEARCH(("X"),(AK18))))</formula>
    </cfRule>
    <cfRule type="containsText" dxfId="549" priority="8805" operator="containsText" text="O">
      <formula>NOT(ISERROR(SEARCH(("O"),(AK18))))</formula>
    </cfRule>
    <cfRule type="containsText" dxfId="548" priority="3529" operator="containsText" text="O">
      <formula>NOT(ISERROR(SEARCH(("O"),(AK18))))</formula>
    </cfRule>
    <cfRule type="containsText" dxfId="547" priority="3530" operator="containsText" text="C">
      <formula>NOT(ISERROR(SEARCH(("C"),(AK18))))</formula>
    </cfRule>
    <cfRule type="containsText" dxfId="546" priority="3531" operator="containsText" text="P">
      <formula>NOT(ISERROR(SEARCH(("P"),(AK18))))</formula>
    </cfRule>
    <cfRule type="containsText" dxfId="545" priority="3532" operator="containsText" text="K">
      <formula>NOT(ISERROR(SEARCH(("K"),(AK18))))</formula>
    </cfRule>
    <cfRule type="containsText" dxfId="544" priority="3533" operator="containsText" text="X">
      <formula>NOT(ISERROR(SEARCH(("X"),(AK18))))</formula>
    </cfRule>
    <cfRule type="containsText" dxfId="543" priority="3534" operator="containsText" text="L">
      <formula>NOT(ISERROR(SEARCH(("L"),(AK18))))</formula>
    </cfRule>
    <cfRule type="containsText" dxfId="542" priority="3535" operator="containsText" text="N">
      <formula>NOT(ISERROR(SEARCH(("N"),(AK18))))</formula>
    </cfRule>
    <cfRule type="containsText" dxfId="541" priority="3581" operator="containsText" text="L">
      <formula>NOT(ISERROR(SEARCH(("L"),(AK18))))</formula>
    </cfRule>
    <cfRule type="containsText" dxfId="540" priority="3580" operator="containsText" text="X">
      <formula>NOT(ISERROR(SEARCH(("X"),(AK18))))</formula>
    </cfRule>
    <cfRule type="containsText" dxfId="539" priority="3579" operator="containsText" text="K">
      <formula>NOT(ISERROR(SEARCH(("K"),(AK18))))</formula>
    </cfRule>
    <cfRule type="containsText" dxfId="538" priority="3578" operator="containsText" text="P">
      <formula>NOT(ISERROR(SEARCH(("P"),(AK18))))</formula>
    </cfRule>
    <cfRule type="containsText" dxfId="537" priority="3577" operator="containsText" text="C">
      <formula>NOT(ISERROR(SEARCH(("C"),(AK18))))</formula>
    </cfRule>
    <cfRule type="containsText" dxfId="536" priority="3576" operator="containsText" text="O">
      <formula>NOT(ISERROR(SEARCH(("O"),(AK18))))</formula>
    </cfRule>
    <cfRule type="containsText" dxfId="535" priority="3574" operator="containsText" text="L">
      <formula>NOT(ISERROR(SEARCH(("L"),(AK18))))</formula>
    </cfRule>
    <cfRule type="containsText" dxfId="534" priority="3573" operator="containsText" text="X">
      <formula>NOT(ISERROR(SEARCH(("X"),(AK18))))</formula>
    </cfRule>
    <cfRule type="containsText" dxfId="533" priority="3572" operator="containsText" text="K">
      <formula>NOT(ISERROR(SEARCH(("K"),(AK18))))</formula>
    </cfRule>
    <cfRule type="containsText" dxfId="532" priority="3571" operator="containsText" text="P">
      <formula>NOT(ISERROR(SEARCH(("P"),(AK18))))</formula>
    </cfRule>
    <cfRule type="containsText" dxfId="531" priority="3570" operator="containsText" text="C">
      <formula>NOT(ISERROR(SEARCH(("C"),(AK18))))</formula>
    </cfRule>
    <cfRule type="containsText" dxfId="530" priority="3569" operator="containsText" text="O">
      <formula>NOT(ISERROR(SEARCH(("O"),(AK18))))</formula>
    </cfRule>
    <cfRule type="containsText" dxfId="529" priority="3568" operator="containsText" text="N">
      <formula>NOT(ISERROR(SEARCH(("N"),(AK18))))</formula>
    </cfRule>
    <cfRule type="containsText" dxfId="528" priority="3567" operator="containsText" text="L">
      <formula>NOT(ISERROR(SEARCH(("L"),(AK18))))</formula>
    </cfRule>
    <cfRule type="containsText" dxfId="527" priority="3566" operator="containsText" text="X">
      <formula>NOT(ISERROR(SEARCH(("X"),(AK18))))</formula>
    </cfRule>
    <cfRule type="containsText" dxfId="526" priority="3565" operator="containsText" text="K">
      <formula>NOT(ISERROR(SEARCH(("K"),(AK18))))</formula>
    </cfRule>
    <cfRule type="containsText" dxfId="525" priority="3564" operator="containsText" text="P">
      <formula>NOT(ISERROR(SEARCH(("P"),(AK18))))</formula>
    </cfRule>
    <cfRule type="containsText" dxfId="524" priority="3563" operator="containsText" text="C">
      <formula>NOT(ISERROR(SEARCH(("C"),(AK18))))</formula>
    </cfRule>
    <cfRule type="containsText" dxfId="523" priority="3562" operator="containsText" text="O">
      <formula>NOT(ISERROR(SEARCH(("O"),(AK18))))</formula>
    </cfRule>
    <cfRule type="containsText" dxfId="522" priority="3553" operator="containsText" text="X">
      <formula>NOT(ISERROR(SEARCH(("X"),(AK18))))</formula>
    </cfRule>
    <cfRule type="containsText" dxfId="521" priority="3552" operator="containsText" text="K">
      <formula>NOT(ISERROR(SEARCH(("K"),(AK18))))</formula>
    </cfRule>
    <cfRule type="containsText" dxfId="520" priority="3551" operator="containsText" text="P">
      <formula>NOT(ISERROR(SEARCH(("P"),(AK18))))</formula>
    </cfRule>
    <cfRule type="containsText" dxfId="519" priority="3550" operator="containsText" text="C">
      <formula>NOT(ISERROR(SEARCH(("C"),(AK18))))</formula>
    </cfRule>
    <cfRule type="containsText" dxfId="518" priority="3549" operator="containsText" text="O">
      <formula>NOT(ISERROR(SEARCH(("O"),(AK18))))</formula>
    </cfRule>
    <cfRule type="containsText" dxfId="517" priority="3548" operator="containsText" text="N">
      <formula>NOT(ISERROR(SEARCH(("N"),(AK18))))</formula>
    </cfRule>
    <cfRule type="containsText" dxfId="516" priority="3547" operator="containsText" text="L">
      <formula>NOT(ISERROR(SEARCH(("L"),(AK18))))</formula>
    </cfRule>
    <cfRule type="containsText" dxfId="515" priority="3546" operator="containsText" text="X">
      <formula>NOT(ISERROR(SEARCH(("X"),(AK18))))</formula>
    </cfRule>
    <cfRule type="containsText" dxfId="514" priority="3545" operator="containsText" text="K">
      <formula>NOT(ISERROR(SEARCH(("K"),(AK18))))</formula>
    </cfRule>
    <cfRule type="containsText" dxfId="513" priority="3147" operator="containsText" text="N">
      <formula>NOT(ISERROR(SEARCH(("N"),(AK18))))</formula>
    </cfRule>
    <cfRule type="containsText" dxfId="512" priority="3143" operator="containsText" text="P">
      <formula>NOT(ISERROR(SEARCH(("P"),(AK18))))</formula>
    </cfRule>
    <cfRule type="containsText" dxfId="511" priority="3544" operator="containsText" text="P">
      <formula>NOT(ISERROR(SEARCH(("P"),(AK18))))</formula>
    </cfRule>
    <cfRule type="containsText" dxfId="510" priority="3133" operator="containsText" text="N">
      <formula>NOT(ISERROR(SEARCH(("N"),(AK18))))</formula>
    </cfRule>
    <cfRule type="containsText" dxfId="509" priority="3134" operator="containsText" text="O">
      <formula>NOT(ISERROR(SEARCH(("O"),(AK18))))</formula>
    </cfRule>
    <cfRule type="containsText" dxfId="508" priority="3135" operator="containsText" text="C">
      <formula>NOT(ISERROR(SEARCH(("C"),(AK18))))</formula>
    </cfRule>
    <cfRule type="containsText" dxfId="507" priority="3136" operator="containsText" text="P">
      <formula>NOT(ISERROR(SEARCH(("P"),(AK18))))</formula>
    </cfRule>
    <cfRule type="containsText" dxfId="506" priority="3137" operator="containsText" text="K">
      <formula>NOT(ISERROR(SEARCH(("K"),(AK18))))</formula>
    </cfRule>
    <cfRule type="containsText" dxfId="505" priority="3138" operator="containsText" text="X">
      <formula>NOT(ISERROR(SEARCH(("X"),(AK18))))</formula>
    </cfRule>
    <cfRule type="containsText" dxfId="504" priority="3139" operator="containsText" text="L">
      <formula>NOT(ISERROR(SEARCH(("L"),(AK18))))</formula>
    </cfRule>
    <cfRule type="containsText" dxfId="503" priority="3140" operator="containsText" text="N">
      <formula>NOT(ISERROR(SEARCH(("N"),(AK18))))</formula>
    </cfRule>
    <cfRule type="containsText" dxfId="502" priority="3141" operator="containsText" text="O">
      <formula>NOT(ISERROR(SEARCH(("O"),(AK18))))</formula>
    </cfRule>
    <cfRule type="containsText" dxfId="501" priority="3142" operator="containsText" text="C">
      <formula>NOT(ISERROR(SEARCH(("C"),(AK18))))</formula>
    </cfRule>
    <cfRule type="containsText" dxfId="500" priority="8865" operator="containsText" text="X">
      <formula>NOT(ISERROR(SEARCH(("X"),(AK18))))</formula>
    </cfRule>
    <cfRule type="containsText" dxfId="499" priority="3543" operator="containsText" text="C">
      <formula>NOT(ISERROR(SEARCH(("C"),(AK18))))</formula>
    </cfRule>
    <cfRule type="containsText" dxfId="498" priority="3144" operator="containsText" text="K">
      <formula>NOT(ISERROR(SEARCH(("K"),(AK18))))</formula>
    </cfRule>
    <cfRule type="containsText" dxfId="497" priority="3145" operator="containsText" text="X">
      <formula>NOT(ISERROR(SEARCH(("X"),(AK18))))</formula>
    </cfRule>
    <cfRule type="containsText" dxfId="496" priority="3146" operator="containsText" text="L">
      <formula>NOT(ISERROR(SEARCH(("L"),(AK18))))</formula>
    </cfRule>
    <cfRule type="containsText" dxfId="495" priority="3148" operator="containsText" text="O">
      <formula>NOT(ISERROR(SEARCH(("O"),(AK18))))</formula>
    </cfRule>
    <cfRule type="containsText" dxfId="494" priority="3149" operator="containsText" text="C">
      <formula>NOT(ISERROR(SEARCH(("C"),(AK18))))</formula>
    </cfRule>
    <cfRule type="containsText" dxfId="493" priority="3150" operator="containsText" text="P">
      <formula>NOT(ISERROR(SEARCH(("P"),(AK18))))</formula>
    </cfRule>
    <cfRule type="containsText" dxfId="492" priority="3151" operator="containsText" text="K">
      <formula>NOT(ISERROR(SEARCH(("K"),(AK18))))</formula>
    </cfRule>
    <cfRule type="containsText" dxfId="491" priority="3152" operator="containsText" text="X">
      <formula>NOT(ISERROR(SEARCH(("X"),(AK18))))</formula>
    </cfRule>
    <cfRule type="containsText" dxfId="490" priority="3153" operator="containsText" text="L">
      <formula>NOT(ISERROR(SEARCH(("L"),(AK18))))</formula>
    </cfRule>
    <cfRule type="containsText" dxfId="489" priority="3154" operator="containsText" text="N">
      <formula>NOT(ISERROR(SEARCH(("N"),(AK18))))</formula>
    </cfRule>
    <cfRule type="containsText" dxfId="488" priority="3155" operator="containsText" text="N">
      <formula>NOT(ISERROR(SEARCH(("N"),(AK18))))</formula>
    </cfRule>
    <cfRule type="containsText" dxfId="487" priority="3156" operator="containsText" text="O">
      <formula>NOT(ISERROR(SEARCH(("O"),(AK18))))</formula>
    </cfRule>
    <cfRule type="containsText" dxfId="486" priority="3157" operator="containsText" text="C">
      <formula>NOT(ISERROR(SEARCH(("C"),(AK18))))</formula>
    </cfRule>
    <cfRule type="containsText" dxfId="485" priority="3158" operator="containsText" text="P">
      <formula>NOT(ISERROR(SEARCH(("P"),(AK18))))</formula>
    </cfRule>
    <cfRule type="containsText" dxfId="484" priority="3159" operator="containsText" text="K">
      <formula>NOT(ISERROR(SEARCH(("K"),(AK18))))</formula>
    </cfRule>
    <cfRule type="containsText" dxfId="483" priority="3160" operator="containsText" text="X">
      <formula>NOT(ISERROR(SEARCH(("X"),(AK18))))</formula>
    </cfRule>
    <cfRule type="containsText" dxfId="482" priority="3161" operator="containsText" text="L">
      <formula>NOT(ISERROR(SEARCH(("L"),(AK18))))</formula>
    </cfRule>
    <cfRule type="containsText" dxfId="481" priority="3162" operator="containsText" text="N">
      <formula>NOT(ISERROR(SEARCH(("N"),(AK18))))</formula>
    </cfRule>
    <cfRule type="containsText" dxfId="480" priority="3163" operator="containsText" text="O">
      <formula>NOT(ISERROR(SEARCH(("O"),(AK18))))</formula>
    </cfRule>
    <cfRule type="containsText" dxfId="479" priority="3164" operator="containsText" text="C">
      <formula>NOT(ISERROR(SEARCH(("C"),(AK18))))</formula>
    </cfRule>
    <cfRule type="containsText" dxfId="478" priority="3165" operator="containsText" text="P">
      <formula>NOT(ISERROR(SEARCH(("P"),(AK18))))</formula>
    </cfRule>
    <cfRule type="containsText" dxfId="477" priority="3166" operator="containsText" text="K">
      <formula>NOT(ISERROR(SEARCH(("K"),(AK18))))</formula>
    </cfRule>
    <cfRule type="containsText" dxfId="476" priority="3167" operator="containsText" text="X">
      <formula>NOT(ISERROR(SEARCH(("X"),(AK18))))</formula>
    </cfRule>
    <cfRule type="containsText" dxfId="475" priority="3168" operator="containsText" text="L">
      <formula>NOT(ISERROR(SEARCH(("L"),(AK18))))</formula>
    </cfRule>
    <cfRule type="containsText" dxfId="474" priority="3169" operator="containsText" text="N">
      <formula>NOT(ISERROR(SEARCH(("N"),(AK18))))</formula>
    </cfRule>
    <cfRule type="containsText" dxfId="473" priority="3170" operator="containsText" text="L">
      <formula>NOT(ISERROR(SEARCH(("L"),(AK18))))</formula>
    </cfRule>
    <cfRule type="containsText" dxfId="472" priority="3171" operator="containsText" text="O">
      <formula>NOT(ISERROR(SEARCH(("O"),(AK18))))</formula>
    </cfRule>
    <cfRule type="containsText" dxfId="471" priority="3172" operator="containsText" text="C">
      <formula>NOT(ISERROR(SEARCH(("C"),(AK18))))</formula>
    </cfRule>
    <cfRule type="containsText" dxfId="470" priority="3173" operator="containsText" text="P">
      <formula>NOT(ISERROR(SEARCH(("P"),(AK18))))</formula>
    </cfRule>
    <cfRule type="containsText" dxfId="469" priority="3174" operator="containsText" text="K">
      <formula>NOT(ISERROR(SEARCH(("K"),(AK18))))</formula>
    </cfRule>
    <cfRule type="containsText" dxfId="468" priority="3175" operator="containsText" text="X">
      <formula>NOT(ISERROR(SEARCH(("X"),(AK18))))</formula>
    </cfRule>
    <cfRule type="containsText" dxfId="467" priority="3176" operator="containsText" text="L">
      <formula>NOT(ISERROR(SEARCH(("L"),(AK18))))</formula>
    </cfRule>
    <cfRule type="containsText" dxfId="466" priority="8806" operator="containsText" text="C">
      <formula>NOT(ISERROR(SEARCH(("C"),(AK18))))</formula>
    </cfRule>
    <cfRule type="containsText" dxfId="465" priority="8807" operator="containsText" text="P">
      <formula>NOT(ISERROR(SEARCH(("P"),(AK18))))</formula>
    </cfRule>
    <cfRule type="containsText" dxfId="464" priority="8808" operator="containsText" text="K">
      <formula>NOT(ISERROR(SEARCH(("K"),(AK18))))</formula>
    </cfRule>
    <cfRule type="containsText" dxfId="463" priority="8809" operator="containsText" text="X">
      <formula>NOT(ISERROR(SEARCH(("X"),(AK18))))</formula>
    </cfRule>
    <cfRule type="containsText" dxfId="462" priority="8810" operator="containsText" text="L">
      <formula>NOT(ISERROR(SEARCH(("L"),(AK18))))</formula>
    </cfRule>
    <cfRule type="containsText" dxfId="461" priority="8811" operator="containsText" text="N">
      <formula>NOT(ISERROR(SEARCH(("N"),(AK18))))</formula>
    </cfRule>
    <cfRule type="containsText" dxfId="460" priority="8812" operator="containsText" text="O">
      <formula>NOT(ISERROR(SEARCH(("O"),(AK18))))</formula>
    </cfRule>
    <cfRule type="containsText" dxfId="459" priority="8813" operator="containsText" text="C">
      <formula>NOT(ISERROR(SEARCH(("C"),(AK18))))</formula>
    </cfRule>
    <cfRule type="containsText" dxfId="458" priority="8814" operator="containsText" text="P">
      <formula>NOT(ISERROR(SEARCH(("P"),(AK18))))</formula>
    </cfRule>
    <cfRule type="containsText" dxfId="457" priority="8815" operator="containsText" text="K">
      <formula>NOT(ISERROR(SEARCH(("K"),(AK18))))</formula>
    </cfRule>
    <cfRule type="containsText" dxfId="456" priority="8816" operator="containsText" text="X">
      <formula>NOT(ISERROR(SEARCH(("X"),(AK18))))</formula>
    </cfRule>
    <cfRule type="containsText" dxfId="455" priority="8804" operator="containsText" text="L">
      <formula>NOT(ISERROR(SEARCH(("L"),(AK18))))</formula>
    </cfRule>
    <cfRule type="containsText" dxfId="454" priority="8840" operator="containsText" text="N">
      <formula>NOT(ISERROR(SEARCH(("N"),(AK18))))</formula>
    </cfRule>
    <cfRule type="containsText" dxfId="453" priority="8841" operator="containsText" text="O">
      <formula>NOT(ISERROR(SEARCH(("O"),(AK18))))</formula>
    </cfRule>
    <cfRule type="containsText" dxfId="452" priority="8842" operator="containsText" text="C">
      <formula>NOT(ISERROR(SEARCH(("C"),(AK18))))</formula>
    </cfRule>
    <cfRule type="containsText" dxfId="451" priority="8843" operator="containsText" text="P">
      <formula>NOT(ISERROR(SEARCH(("P"),(AK18))))</formula>
    </cfRule>
    <cfRule type="containsText" dxfId="450" priority="8844" operator="containsText" text="K">
      <formula>NOT(ISERROR(SEARCH(("K"),(AK18))))</formula>
    </cfRule>
  </conditionalFormatting>
  <conditionalFormatting sqref="AK19">
    <cfRule type="containsText" dxfId="449" priority="8253" operator="containsText" text="X">
      <formula>NOT(ISERROR(SEARCH(("X"),(AK19))))</formula>
    </cfRule>
    <cfRule type="containsText" dxfId="448" priority="2725" operator="containsText" text="K">
      <formula>NOT(ISERROR(SEARCH(("K"),(AK19))))</formula>
    </cfRule>
    <cfRule type="containsText" dxfId="447" priority="2726" operator="containsText" text="X">
      <formula>NOT(ISERROR(SEARCH(("X"),(AK19))))</formula>
    </cfRule>
    <cfRule type="containsText" dxfId="446" priority="3132" operator="containsText" text="L">
      <formula>NOT(ISERROR(SEARCH(("L"),(AK19))))</formula>
    </cfRule>
    <cfRule type="containsText" dxfId="445" priority="2719" operator="containsText" text="L">
      <formula>NOT(ISERROR(SEARCH(("L"),(AK19))))</formula>
    </cfRule>
    <cfRule type="containsText" dxfId="444" priority="2718" operator="containsText" text="X">
      <formula>NOT(ISERROR(SEARCH(("X"),(AK19))))</formula>
    </cfRule>
    <cfRule type="containsText" dxfId="443" priority="2717" operator="containsText" text="K">
      <formula>NOT(ISERROR(SEARCH(("K"),(AK19))))</formula>
    </cfRule>
    <cfRule type="containsText" dxfId="442" priority="2716" operator="containsText" text="P">
      <formula>NOT(ISERROR(SEARCH(("P"),(AK19))))</formula>
    </cfRule>
    <cfRule type="containsText" dxfId="441" priority="2720" operator="containsText" text="N">
      <formula>NOT(ISERROR(SEARCH(("N"),(AK19))))</formula>
    </cfRule>
    <cfRule type="containsText" dxfId="440" priority="2715" operator="containsText" text="C">
      <formula>NOT(ISERROR(SEARCH(("C"),(AK19))))</formula>
    </cfRule>
    <cfRule type="containsText" dxfId="439" priority="2721" operator="containsText" text="L">
      <formula>NOT(ISERROR(SEARCH(("L"),(AK19))))</formula>
    </cfRule>
    <cfRule type="containsText" dxfId="438" priority="3114" operator="containsText" text="C">
      <formula>NOT(ISERROR(SEARCH(("C"),(AK19))))</formula>
    </cfRule>
    <cfRule type="containsText" dxfId="437" priority="8243" operator="containsText" text="O">
      <formula>NOT(ISERROR(SEARCH(("O"),(AK19))))</formula>
    </cfRule>
    <cfRule type="containsText" dxfId="436" priority="2722" operator="containsText" text="O">
      <formula>NOT(ISERROR(SEARCH(("O"),(AK19))))</formula>
    </cfRule>
    <cfRule type="containsText" dxfId="435" priority="2723" operator="containsText" text="C">
      <formula>NOT(ISERROR(SEARCH(("C"),(AK19))))</formula>
    </cfRule>
    <cfRule type="containsText" dxfId="434" priority="2724" operator="containsText" text="P">
      <formula>NOT(ISERROR(SEARCH(("P"),(AK19))))</formula>
    </cfRule>
    <cfRule type="containsText" dxfId="433" priority="2714" operator="containsText" text="O">
      <formula>NOT(ISERROR(SEARCH(("O"),(AK19))))</formula>
    </cfRule>
    <cfRule type="containsText" dxfId="432" priority="2713" operator="containsText" text="N">
      <formula>NOT(ISERROR(SEARCH(("N"),(AK19))))</formula>
    </cfRule>
    <cfRule type="containsText" dxfId="431" priority="2712" operator="containsText" text="L">
      <formula>NOT(ISERROR(SEARCH(("L"),(AK19))))</formula>
    </cfRule>
    <cfRule type="containsText" dxfId="430" priority="2711" operator="containsText" text="X">
      <formula>NOT(ISERROR(SEARCH(("X"),(AK19))))</formula>
    </cfRule>
    <cfRule type="containsText" dxfId="429" priority="2710" operator="containsText" text="K">
      <formula>NOT(ISERROR(SEARCH(("K"),(AK19))))</formula>
    </cfRule>
    <cfRule type="containsText" dxfId="428" priority="2709" operator="containsText" text="P">
      <formula>NOT(ISERROR(SEARCH(("P"),(AK19))))</formula>
    </cfRule>
    <cfRule type="containsText" dxfId="427" priority="2697" operator="containsText" text="L">
      <formula>NOT(ISERROR(SEARCH(("L"),(AK19))))</formula>
    </cfRule>
    <cfRule type="containsText" dxfId="426" priority="2698" operator="containsText" text="N">
      <formula>NOT(ISERROR(SEARCH(("N"),(AK19))))</formula>
    </cfRule>
    <cfRule type="containsText" dxfId="425" priority="2699" operator="containsText" text="O">
      <formula>NOT(ISERROR(SEARCH(("O"),(AK19))))</formula>
    </cfRule>
    <cfRule type="containsText" dxfId="424" priority="3103" operator="containsText" text="K">
      <formula>NOT(ISERROR(SEARCH(("K"),(AK19))))</formula>
    </cfRule>
    <cfRule type="containsText" dxfId="423" priority="3104" operator="containsText" text="X">
      <formula>NOT(ISERROR(SEARCH(("X"),(AK19))))</formula>
    </cfRule>
    <cfRule type="containsText" dxfId="422" priority="3113" operator="containsText" text="O">
      <formula>NOT(ISERROR(SEARCH(("O"),(AK19))))</formula>
    </cfRule>
    <cfRule type="containsText" dxfId="421" priority="2727" operator="containsText" text="L">
      <formula>NOT(ISERROR(SEARCH(("L"),(AK19))))</formula>
    </cfRule>
    <cfRule type="containsText" dxfId="420" priority="2700" operator="containsText" text="C">
      <formula>NOT(ISERROR(SEARCH(("C"),(AK19))))</formula>
    </cfRule>
    <cfRule type="containsText" dxfId="419" priority="2701" operator="containsText" text="P">
      <formula>NOT(ISERROR(SEARCH(("P"),(AK19))))</formula>
    </cfRule>
    <cfRule type="containsText" dxfId="418" priority="8259" operator="containsText" text="K">
      <formula>NOT(ISERROR(SEARCH(("K"),(AK19))))</formula>
    </cfRule>
    <cfRule type="containsText" dxfId="417" priority="8260" operator="containsText" text="X">
      <formula>NOT(ISERROR(SEARCH(("X"),(AK19))))</formula>
    </cfRule>
    <cfRule type="containsText" dxfId="416" priority="8242" operator="containsText" text="N">
      <formula>NOT(ISERROR(SEARCH(("N"),(AK19))))</formula>
    </cfRule>
    <cfRule type="containsText" dxfId="415" priority="8307" operator="containsText" text="N">
      <formula>NOT(ISERROR(SEARCH(("N"),(AK19))))</formula>
    </cfRule>
    <cfRule type="containsText" dxfId="414" priority="8308" operator="containsText" text="O">
      <formula>NOT(ISERROR(SEARCH(("O"),(AK19))))</formula>
    </cfRule>
    <cfRule type="containsText" dxfId="413" priority="2703" operator="containsText" text="X">
      <formula>NOT(ISERROR(SEARCH(("X"),(AK19))))</formula>
    </cfRule>
    <cfRule type="containsText" dxfId="412" priority="8309" operator="containsText" text="C">
      <formula>NOT(ISERROR(SEARCH(("C"),(AK19))))</formula>
    </cfRule>
    <cfRule type="containsText" dxfId="411" priority="8310" operator="containsText" text="P">
      <formula>NOT(ISERROR(SEARCH(("P"),(AK19))))</formula>
    </cfRule>
    <cfRule type="containsText" dxfId="410" priority="8311" operator="containsText" text="K">
      <formula>NOT(ISERROR(SEARCH(("K"),(AK19))))</formula>
    </cfRule>
    <cfRule type="containsText" dxfId="409" priority="8312" operator="containsText" text="X">
      <formula>NOT(ISERROR(SEARCH(("X"),(AK19))))</formula>
    </cfRule>
    <cfRule type="containsText" dxfId="408" priority="8313" operator="containsText" text="L">
      <formula>NOT(ISERROR(SEARCH(("L"),(AK19))))</formula>
    </cfRule>
    <cfRule type="containsText" dxfId="407" priority="8314" operator="containsText" text="O">
      <formula>NOT(ISERROR(SEARCH(("O"),(AK19))))</formula>
    </cfRule>
    <cfRule type="containsText" dxfId="406" priority="8315" operator="containsText" text="C">
      <formula>NOT(ISERROR(SEARCH(("C"),(AK19))))</formula>
    </cfRule>
    <cfRule type="containsText" dxfId="405" priority="8316" operator="containsText" text="P">
      <formula>NOT(ISERROR(SEARCH(("P"),(AK19))))</formula>
    </cfRule>
    <cfRule type="containsText" dxfId="404" priority="8317" operator="containsText" text="K">
      <formula>NOT(ISERROR(SEARCH(("K"),(AK19))))</formula>
    </cfRule>
    <cfRule type="containsText" dxfId="403" priority="8318" operator="containsText" text="X">
      <formula>NOT(ISERROR(SEARCH(("X"),(AK19))))</formula>
    </cfRule>
    <cfRule type="containsText" dxfId="402" priority="8319" operator="containsText" text="L">
      <formula>NOT(ISERROR(SEARCH(("L"),(AK19))))</formula>
    </cfRule>
    <cfRule type="containsText" dxfId="401" priority="8320" operator="containsText" text="N">
      <formula>NOT(ISERROR(SEARCH(("N"),(AK19))))</formula>
    </cfRule>
    <cfRule type="containsText" dxfId="400" priority="8321" operator="containsText" text="O">
      <formula>NOT(ISERROR(SEARCH(("O"),(AK19))))</formula>
    </cfRule>
    <cfRule type="containsText" dxfId="399" priority="8322" operator="containsText" text="C">
      <formula>NOT(ISERROR(SEARCH(("C"),(AK19))))</formula>
    </cfRule>
    <cfRule type="containsText" dxfId="398" priority="8323" operator="containsText" text="P">
      <formula>NOT(ISERROR(SEARCH(("P"),(AK19))))</formula>
    </cfRule>
    <cfRule type="containsText" dxfId="397" priority="8324" operator="containsText" text="K">
      <formula>NOT(ISERROR(SEARCH(("K"),(AK19))))</formula>
    </cfRule>
    <cfRule type="containsText" dxfId="396" priority="8325" operator="containsText" text="X">
      <formula>NOT(ISERROR(SEARCH(("X"),(AK19))))</formula>
    </cfRule>
    <cfRule type="containsText" dxfId="395" priority="8326" operator="containsText" text="L">
      <formula>NOT(ISERROR(SEARCH(("L"),(AK19))))</formula>
    </cfRule>
    <cfRule type="containsText" dxfId="394" priority="8327" operator="containsText" text="N">
      <formula>NOT(ISERROR(SEARCH(("N"),(AK19))))</formula>
    </cfRule>
    <cfRule type="containsText" dxfId="393" priority="8328" operator="containsText" text="O">
      <formula>NOT(ISERROR(SEARCH(("O"),(AK19))))</formula>
    </cfRule>
    <cfRule type="containsText" dxfId="392" priority="2704" operator="containsText" text="L">
      <formula>NOT(ISERROR(SEARCH(("L"),(AK19))))</formula>
    </cfRule>
    <cfRule type="containsText" dxfId="391" priority="2706" operator="containsText" text="N">
      <formula>NOT(ISERROR(SEARCH(("N"),(AK19))))</formula>
    </cfRule>
    <cfRule type="containsText" dxfId="390" priority="2705" operator="containsText" text="N">
      <formula>NOT(ISERROR(SEARCH(("N"),(AK19))))</formula>
    </cfRule>
    <cfRule type="containsText" dxfId="389" priority="8244" operator="containsText" text="C">
      <formula>NOT(ISERROR(SEARCH(("C"),(AK19))))</formula>
    </cfRule>
    <cfRule type="containsText" dxfId="388" priority="8245" operator="containsText" text="P">
      <formula>NOT(ISERROR(SEARCH(("P"),(AK19))))</formula>
    </cfRule>
    <cfRule type="containsText" dxfId="387" priority="8246" operator="containsText" text="K">
      <formula>NOT(ISERROR(SEARCH(("K"),(AK19))))</formula>
    </cfRule>
    <cfRule type="containsText" dxfId="386" priority="8247" operator="containsText" text="X">
      <formula>NOT(ISERROR(SEARCH(("X"),(AK19))))</formula>
    </cfRule>
    <cfRule type="containsText" dxfId="385" priority="8248" operator="containsText" text="L">
      <formula>NOT(ISERROR(SEARCH(("L"),(AK19))))</formula>
    </cfRule>
    <cfRule type="containsText" dxfId="384" priority="8249" operator="containsText" text="O">
      <formula>NOT(ISERROR(SEARCH(("O"),(AK19))))</formula>
    </cfRule>
    <cfRule type="containsText" dxfId="383" priority="8250" operator="containsText" text="C">
      <formula>NOT(ISERROR(SEARCH(("C"),(AK19))))</formula>
    </cfRule>
    <cfRule type="containsText" dxfId="382" priority="8251" operator="containsText" text="P">
      <formula>NOT(ISERROR(SEARCH(("P"),(AK19))))</formula>
    </cfRule>
    <cfRule type="containsText" dxfId="381" priority="8252" operator="containsText" text="K">
      <formula>NOT(ISERROR(SEARCH(("K"),(AK19))))</formula>
    </cfRule>
    <cfRule type="containsText" dxfId="380" priority="2702" operator="containsText" text="K">
      <formula>NOT(ISERROR(SEARCH(("K"),(AK19))))</formula>
    </cfRule>
    <cfRule type="containsText" dxfId="379" priority="8254" operator="containsText" text="L">
      <formula>NOT(ISERROR(SEARCH(("L"),(AK19))))</formula>
    </cfRule>
    <cfRule type="containsText" dxfId="378" priority="8255" operator="containsText" text="N">
      <formula>NOT(ISERROR(SEARCH(("N"),(AK19))))</formula>
    </cfRule>
    <cfRule type="containsText" dxfId="377" priority="8256" operator="containsText" text="O">
      <formula>NOT(ISERROR(SEARCH(("O"),(AK19))))</formula>
    </cfRule>
    <cfRule type="containsText" dxfId="376" priority="8257" operator="containsText" text="C">
      <formula>NOT(ISERROR(SEARCH(("C"),(AK19))))</formula>
    </cfRule>
    <cfRule type="containsText" dxfId="375" priority="8258" operator="containsText" text="P">
      <formula>NOT(ISERROR(SEARCH(("P"),(AK19))))</formula>
    </cfRule>
    <cfRule type="containsText" dxfId="374" priority="3118" operator="containsText" text="L">
      <formula>NOT(ISERROR(SEARCH(("L"),(AK19))))</formula>
    </cfRule>
    <cfRule type="containsText" dxfId="373" priority="2708" operator="containsText" text="C">
      <formula>NOT(ISERROR(SEARCH(("C"),(AK19))))</formula>
    </cfRule>
    <cfRule type="containsText" dxfId="372" priority="3102" operator="containsText" text="P">
      <formula>NOT(ISERROR(SEARCH(("P"),(AK19))))</formula>
    </cfRule>
    <cfRule type="containsText" dxfId="371" priority="3101" operator="containsText" text="C">
      <formula>NOT(ISERROR(SEARCH(("C"),(AK19))))</formula>
    </cfRule>
    <cfRule type="containsText" dxfId="370" priority="3100" operator="containsText" text="O">
      <formula>NOT(ISERROR(SEARCH(("O"),(AK19))))</formula>
    </cfRule>
    <cfRule type="containsText" dxfId="369" priority="3099" operator="containsText" text="N">
      <formula>NOT(ISERROR(SEARCH(("N"),(AK19))))</formula>
    </cfRule>
    <cfRule type="containsText" dxfId="368" priority="3097" operator="containsText" text="X">
      <formula>NOT(ISERROR(SEARCH(("X"),(AK19))))</formula>
    </cfRule>
    <cfRule type="containsText" dxfId="367" priority="2684" operator="containsText" text="N">
      <formula>NOT(ISERROR(SEARCH(("N"),(AK19))))</formula>
    </cfRule>
    <cfRule type="containsText" dxfId="366" priority="2685" operator="containsText" text="O">
      <formula>NOT(ISERROR(SEARCH(("O"),(AK19))))</formula>
    </cfRule>
    <cfRule type="containsText" dxfId="365" priority="2686" operator="containsText" text="C">
      <formula>NOT(ISERROR(SEARCH(("C"),(AK19))))</formula>
    </cfRule>
    <cfRule type="containsText" dxfId="364" priority="2687" operator="containsText" text="P">
      <formula>NOT(ISERROR(SEARCH(("P"),(AK19))))</formula>
    </cfRule>
    <cfRule type="containsText" dxfId="363" priority="2688" operator="containsText" text="K">
      <formula>NOT(ISERROR(SEARCH(("K"),(AK19))))</formula>
    </cfRule>
    <cfRule type="containsText" dxfId="362" priority="3087" operator="containsText" text="O">
      <formula>NOT(ISERROR(SEARCH(("O"),(AK19))))</formula>
    </cfRule>
    <cfRule type="containsText" dxfId="361" priority="8236" operator="containsText" text="O">
      <formula>NOT(ISERROR(SEARCH(("O"),(AK19))))</formula>
    </cfRule>
    <cfRule type="containsText" dxfId="360" priority="8237" operator="containsText" text="C">
      <formula>NOT(ISERROR(SEARCH(("C"),(AK19))))</formula>
    </cfRule>
    <cfRule type="containsText" dxfId="359" priority="8238" operator="containsText" text="P">
      <formula>NOT(ISERROR(SEARCH(("P"),(AK19))))</formula>
    </cfRule>
    <cfRule type="containsText" dxfId="358" priority="8239" operator="containsText" text="K">
      <formula>NOT(ISERROR(SEARCH(("K"),(AK19))))</formula>
    </cfRule>
    <cfRule type="containsText" dxfId="357" priority="8240" operator="containsText" text="X">
      <formula>NOT(ISERROR(SEARCH(("X"),(AK19))))</formula>
    </cfRule>
    <cfRule type="containsText" dxfId="356" priority="8241" operator="containsText" text="L">
      <formula>NOT(ISERROR(SEARCH(("L"),(AK19))))</formula>
    </cfRule>
    <cfRule type="containsText" dxfId="355" priority="8333" operator="containsText" text="L">
      <formula>NOT(ISERROR(SEARCH(("L"),(AK19))))</formula>
    </cfRule>
    <cfRule type="containsText" dxfId="354" priority="8332" operator="containsText" text="X">
      <formula>NOT(ISERROR(SEARCH(("X"),(AK19))))</formula>
    </cfRule>
    <cfRule type="containsText" dxfId="353" priority="8331" operator="containsText" text="K">
      <formula>NOT(ISERROR(SEARCH(("K"),(AK19))))</formula>
    </cfRule>
    <cfRule type="containsText" dxfId="352" priority="8330" operator="containsText" text="P">
      <formula>NOT(ISERROR(SEARCH(("P"),(AK19))))</formula>
    </cfRule>
    <cfRule type="containsText" dxfId="351" priority="3131" operator="containsText" text="X">
      <formula>NOT(ISERROR(SEARCH(("X"),(AK19))))</formula>
    </cfRule>
    <cfRule type="containsText" dxfId="350" priority="3130" operator="containsText" text="K">
      <formula>NOT(ISERROR(SEARCH(("K"),(AK19))))</formula>
    </cfRule>
    <cfRule type="containsText" dxfId="349" priority="3129" operator="containsText" text="P">
      <formula>NOT(ISERROR(SEARCH(("P"),(AK19))))</formula>
    </cfRule>
    <cfRule type="containsText" dxfId="348" priority="3128" operator="containsText" text="C">
      <formula>NOT(ISERROR(SEARCH(("C"),(AK19))))</formula>
    </cfRule>
    <cfRule type="containsText" dxfId="347" priority="3127" operator="containsText" text="O">
      <formula>NOT(ISERROR(SEARCH(("O"),(AK19))))</formula>
    </cfRule>
    <cfRule type="containsText" dxfId="346" priority="3126" operator="containsText" text="N">
      <formula>NOT(ISERROR(SEARCH(("N"),(AK19))))</formula>
    </cfRule>
    <cfRule type="containsText" dxfId="345" priority="2689" operator="containsText" text="X">
      <formula>NOT(ISERROR(SEARCH(("X"),(AK19))))</formula>
    </cfRule>
    <cfRule type="containsText" dxfId="344" priority="2690" operator="containsText" text="L">
      <formula>NOT(ISERROR(SEARCH(("L"),(AK19))))</formula>
    </cfRule>
    <cfRule type="containsText" dxfId="343" priority="2691" operator="containsText" text="N">
      <formula>NOT(ISERROR(SEARCH(("N"),(AK19))))</formula>
    </cfRule>
    <cfRule type="containsText" dxfId="342" priority="2692" operator="containsText" text="O">
      <formula>NOT(ISERROR(SEARCH(("O"),(AK19))))</formula>
    </cfRule>
    <cfRule type="containsText" dxfId="341" priority="2693" operator="containsText" text="C">
      <formula>NOT(ISERROR(SEARCH(("C"),(AK19))))</formula>
    </cfRule>
    <cfRule type="containsText" dxfId="340" priority="2694" operator="containsText" text="P">
      <formula>NOT(ISERROR(SEARCH(("P"),(AK19))))</formula>
    </cfRule>
    <cfRule type="containsText" dxfId="339" priority="2695" operator="containsText" text="K">
      <formula>NOT(ISERROR(SEARCH(("K"),(AK19))))</formula>
    </cfRule>
    <cfRule type="containsText" dxfId="338" priority="3096" operator="containsText" text="K">
      <formula>NOT(ISERROR(SEARCH(("K"),(AK19))))</formula>
    </cfRule>
    <cfRule type="containsText" dxfId="337" priority="3095" operator="containsText" text="P">
      <formula>NOT(ISERROR(SEARCH(("P"),(AK19))))</formula>
    </cfRule>
    <cfRule type="containsText" dxfId="336" priority="3094" operator="containsText" text="C">
      <formula>NOT(ISERROR(SEARCH(("C"),(AK19))))</formula>
    </cfRule>
    <cfRule type="containsText" dxfId="335" priority="3093" operator="containsText" text="O">
      <formula>NOT(ISERROR(SEARCH(("O"),(AK19))))</formula>
    </cfRule>
    <cfRule type="containsText" dxfId="334" priority="3092" operator="containsText" text="L">
      <formula>NOT(ISERROR(SEARCH(("L"),(AK19))))</formula>
    </cfRule>
    <cfRule type="containsText" dxfId="333" priority="3091" operator="containsText" text="X">
      <formula>NOT(ISERROR(SEARCH(("X"),(AK19))))</formula>
    </cfRule>
    <cfRule type="containsText" dxfId="332" priority="3090" operator="containsText" text="K">
      <formula>NOT(ISERROR(SEARCH(("K"),(AK19))))</formula>
    </cfRule>
    <cfRule type="containsText" dxfId="331" priority="3089" operator="containsText" text="P">
      <formula>NOT(ISERROR(SEARCH(("P"),(AK19))))</formula>
    </cfRule>
    <cfRule type="containsText" dxfId="330" priority="3088" operator="containsText" text="C">
      <formula>NOT(ISERROR(SEARCH(("C"),(AK19))))</formula>
    </cfRule>
    <cfRule type="containsText" dxfId="329" priority="3086" operator="containsText" text="N">
      <formula>NOT(ISERROR(SEARCH(("N"),(AK19))))</formula>
    </cfRule>
    <cfRule type="containsText" dxfId="328" priority="3085" operator="containsText" text="L">
      <formula>NOT(ISERROR(SEARCH(("L"),(AK19))))</formula>
    </cfRule>
    <cfRule type="containsText" dxfId="327" priority="3084" operator="containsText" text="X">
      <formula>NOT(ISERROR(SEARCH(("X"),(AK19))))</formula>
    </cfRule>
    <cfRule type="containsText" dxfId="326" priority="3083" operator="containsText" text="K">
      <formula>NOT(ISERROR(SEARCH(("K"),(AK19))))</formula>
    </cfRule>
    <cfRule type="containsText" dxfId="325" priority="3082" operator="containsText" text="P">
      <formula>NOT(ISERROR(SEARCH(("P"),(AK19))))</formula>
    </cfRule>
    <cfRule type="containsText" dxfId="324" priority="3081" operator="containsText" text="C">
      <formula>NOT(ISERROR(SEARCH(("C"),(AK19))))</formula>
    </cfRule>
    <cfRule type="containsText" dxfId="323" priority="3080" operator="containsText" text="O">
      <formula>NOT(ISERROR(SEARCH(("O"),(AK19))))</formula>
    </cfRule>
    <cfRule type="containsText" dxfId="322" priority="2696" operator="containsText" text="X">
      <formula>NOT(ISERROR(SEARCH(("X"),(AK19))))</formula>
    </cfRule>
    <cfRule type="containsText" dxfId="321" priority="3125" operator="containsText" text="L">
      <formula>NOT(ISERROR(SEARCH(("L"),(AK19))))</formula>
    </cfRule>
    <cfRule type="containsText" dxfId="320" priority="3124" operator="containsText" text="X">
      <formula>NOT(ISERROR(SEARCH(("X"),(AK19))))</formula>
    </cfRule>
    <cfRule type="containsText" dxfId="319" priority="3117" operator="containsText" text="X">
      <formula>NOT(ISERROR(SEARCH(("X"),(AK19))))</formula>
    </cfRule>
    <cfRule type="containsText" dxfId="318" priority="2707" operator="containsText" text="O">
      <formula>NOT(ISERROR(SEARCH(("O"),(AK19))))</formula>
    </cfRule>
    <cfRule type="containsText" dxfId="317" priority="3116" operator="containsText" text="K">
      <formula>NOT(ISERROR(SEARCH(("K"),(AK19))))</formula>
    </cfRule>
    <cfRule type="containsText" dxfId="316" priority="3123" operator="containsText" text="K">
      <formula>NOT(ISERROR(SEARCH(("K"),(AK19))))</formula>
    </cfRule>
    <cfRule type="containsText" dxfId="315" priority="3122" operator="containsText" text="P">
      <formula>NOT(ISERROR(SEARCH(("P"),(AK19))))</formula>
    </cfRule>
    <cfRule type="containsText" dxfId="314" priority="3121" operator="containsText" text="C">
      <formula>NOT(ISERROR(SEARCH(("C"),(AK19))))</formula>
    </cfRule>
    <cfRule type="containsText" dxfId="313" priority="3120" operator="containsText" text="O">
      <formula>NOT(ISERROR(SEARCH(("O"),(AK19))))</formula>
    </cfRule>
    <cfRule type="containsText" dxfId="312" priority="3098" operator="containsText" text="L">
      <formula>NOT(ISERROR(SEARCH(("L"),(AK19))))</formula>
    </cfRule>
    <cfRule type="containsText" dxfId="311" priority="3119" operator="containsText" text="N">
      <formula>NOT(ISERROR(SEARCH(("N"),(AK19))))</formula>
    </cfRule>
    <cfRule type="containsText" dxfId="310" priority="3115" operator="containsText" text="P">
      <formula>NOT(ISERROR(SEARCH(("P"),(AK19))))</formula>
    </cfRule>
    <cfRule type="containsText" dxfId="309" priority="8329" operator="containsText" text="C">
      <formula>NOT(ISERROR(SEARCH(("C"),(AK19))))</formula>
    </cfRule>
  </conditionalFormatting>
  <conditionalFormatting sqref="AK20">
    <cfRule type="containsText" dxfId="308" priority="2245" operator="containsText" text="N">
      <formula>NOT(ISERROR(SEARCH(("N"),(AK20))))</formula>
    </cfRule>
    <cfRule type="containsText" dxfId="307" priority="2246" operator="containsText" text="O">
      <formula>NOT(ISERROR(SEARCH(("O"),(AK20))))</formula>
    </cfRule>
    <cfRule type="containsText" dxfId="306" priority="2247" operator="containsText" text="C">
      <formula>NOT(ISERROR(SEARCH(("C"),(AK20))))</formula>
    </cfRule>
    <cfRule type="containsText" dxfId="305" priority="2248" operator="containsText" text="P">
      <formula>NOT(ISERROR(SEARCH(("P"),(AK20))))</formula>
    </cfRule>
    <cfRule type="containsText" dxfId="304" priority="2249" operator="containsText" text="K">
      <formula>NOT(ISERROR(SEARCH(("K"),(AK20))))</formula>
    </cfRule>
    <cfRule type="containsText" dxfId="303" priority="2229" operator="containsText" text="X">
      <formula>NOT(ISERROR(SEARCH(("X"),(AK20))))</formula>
    </cfRule>
    <cfRule type="containsText" dxfId="302" priority="2182" operator="containsText" text="P">
      <formula>NOT(ISERROR(SEARCH(("P"),(AK20))))</formula>
    </cfRule>
    <cfRule type="containsText" dxfId="301" priority="2264" operator="containsText" text="K">
      <formula>NOT(ISERROR(SEARCH(("K"),(AK20))))</formula>
    </cfRule>
    <cfRule type="containsText" dxfId="300" priority="2265" operator="containsText" text="X">
      <formula>NOT(ISERROR(SEARCH(("X"),(AK20))))</formula>
    </cfRule>
    <cfRule type="containsText" dxfId="299" priority="2257" operator="containsText" text="C">
      <formula>NOT(ISERROR(SEARCH(("C"),(AK20))))</formula>
    </cfRule>
    <cfRule type="containsText" dxfId="298" priority="2258" operator="containsText" text="P">
      <formula>NOT(ISERROR(SEARCH(("P"),(AK20))))</formula>
    </cfRule>
    <cfRule type="containsText" dxfId="297" priority="2259" operator="containsText" text="K">
      <formula>NOT(ISERROR(SEARCH(("K"),(AK20))))</formula>
    </cfRule>
    <cfRule type="containsText" dxfId="296" priority="2260" operator="containsText" text="X">
      <formula>NOT(ISERROR(SEARCH(("X"),(AK20))))</formula>
    </cfRule>
    <cfRule type="containsText" dxfId="295" priority="2261" operator="containsText" text="L">
      <formula>NOT(ISERROR(SEARCH(("L"),(AK20))))</formula>
    </cfRule>
    <cfRule type="containsText" dxfId="294" priority="2177" operator="containsText" text="N">
      <formula>NOT(ISERROR(SEARCH(("N"),(AK20))))</formula>
    </cfRule>
    <cfRule type="containsText" dxfId="293" priority="2262" operator="containsText" text="C">
      <formula>NOT(ISERROR(SEARCH(("C"),(AK20))))</formula>
    </cfRule>
    <cfRule type="containsText" dxfId="292" priority="2263" operator="containsText" text="P">
      <formula>NOT(ISERROR(SEARCH(("P"),(AK20))))</formula>
    </cfRule>
    <cfRule type="containsText" dxfId="291" priority="2178" operator="containsText" text="N">
      <formula>NOT(ISERROR(SEARCH(("N"),(AK20))))</formula>
    </cfRule>
    <cfRule type="containsText" dxfId="290" priority="2179" operator="containsText" text="N">
      <formula>NOT(ISERROR(SEARCH(("N"),(AK20))))</formula>
    </cfRule>
    <cfRule type="containsText" dxfId="289" priority="2180" operator="containsText" text="O">
      <formula>NOT(ISERROR(SEARCH(("O"),(AK20))))</formula>
    </cfRule>
    <cfRule type="containsText" dxfId="288" priority="2181" operator="containsText" text="C">
      <formula>NOT(ISERROR(SEARCH(("C"),(AK20))))</formula>
    </cfRule>
    <cfRule type="containsText" dxfId="287" priority="2183" operator="containsText" text="K">
      <formula>NOT(ISERROR(SEARCH(("K"),(AK20))))</formula>
    </cfRule>
    <cfRule type="containsText" dxfId="286" priority="2184" operator="containsText" text="X">
      <formula>NOT(ISERROR(SEARCH(("X"),(AK20))))</formula>
    </cfRule>
    <cfRule type="containsText" dxfId="285" priority="2185" operator="containsText" text="L">
      <formula>NOT(ISERROR(SEARCH(("L"),(AK20))))</formula>
    </cfRule>
    <cfRule type="containsText" dxfId="284" priority="2186" operator="containsText" text="N">
      <formula>NOT(ISERROR(SEARCH(("N"),(AK20))))</formula>
    </cfRule>
    <cfRule type="containsText" dxfId="283" priority="2187" operator="containsText" text="O">
      <formula>NOT(ISERROR(SEARCH(("O"),(AK20))))</formula>
    </cfRule>
    <cfRule type="containsText" dxfId="282" priority="2188" operator="containsText" text="C">
      <formula>NOT(ISERROR(SEARCH(("C"),(AK20))))</formula>
    </cfRule>
    <cfRule type="containsText" dxfId="281" priority="2189" operator="containsText" text="P">
      <formula>NOT(ISERROR(SEARCH(("P"),(AK20))))</formula>
    </cfRule>
    <cfRule type="containsText" dxfId="280" priority="2256" operator="containsText" text="O">
      <formula>NOT(ISERROR(SEARCH(("O"),(AK20))))</formula>
    </cfRule>
    <cfRule type="containsText" dxfId="279" priority="2255" operator="containsText" text="L">
      <formula>NOT(ISERROR(SEARCH(("L"),(AK20))))</formula>
    </cfRule>
    <cfRule type="containsText" dxfId="278" priority="2254" operator="containsText" text="N">
      <formula>NOT(ISERROR(SEARCH(("N"),(AK20))))</formula>
    </cfRule>
    <cfRule type="containsText" dxfId="277" priority="2253" operator="containsText" text="L">
      <formula>NOT(ISERROR(SEARCH(("L"),(AK20))))</formula>
    </cfRule>
    <cfRule type="containsText" dxfId="276" priority="2190" operator="containsText" text="K">
      <formula>NOT(ISERROR(SEARCH(("K"),(AK20))))</formula>
    </cfRule>
    <cfRule type="containsText" dxfId="275" priority="2251" operator="containsText" text="L">
      <formula>NOT(ISERROR(SEARCH(("L"),(AK20))))</formula>
    </cfRule>
    <cfRule type="containsText" dxfId="274" priority="2250" operator="containsText" text="X">
      <formula>NOT(ISERROR(SEARCH(("X"),(AK20))))</formula>
    </cfRule>
    <cfRule type="containsText" dxfId="273" priority="2191" operator="containsText" text="X">
      <formula>NOT(ISERROR(SEARCH(("X"),(AK20))))</formula>
    </cfRule>
    <cfRule type="containsText" dxfId="272" priority="2192" operator="containsText" text="L">
      <formula>NOT(ISERROR(SEARCH(("L"),(AK20))))</formula>
    </cfRule>
    <cfRule type="containsText" dxfId="271" priority="2193" operator="containsText" text="N">
      <formula>NOT(ISERROR(SEARCH(("N"),(AK20))))</formula>
    </cfRule>
    <cfRule type="containsText" dxfId="270" priority="2194" operator="containsText" text="O">
      <formula>NOT(ISERROR(SEARCH(("O"),(AK20))))</formula>
    </cfRule>
    <cfRule type="containsText" dxfId="269" priority="2195" operator="containsText" text="C">
      <formula>NOT(ISERROR(SEARCH(("C"),(AK20))))</formula>
    </cfRule>
    <cfRule type="containsText" dxfId="268" priority="2196" operator="containsText" text="P">
      <formula>NOT(ISERROR(SEARCH(("P"),(AK20))))</formula>
    </cfRule>
    <cfRule type="containsText" dxfId="267" priority="2197" operator="containsText" text="K">
      <formula>NOT(ISERROR(SEARCH(("K"),(AK20))))</formula>
    </cfRule>
    <cfRule type="containsText" dxfId="266" priority="2198" operator="containsText" text="X">
      <formula>NOT(ISERROR(SEARCH(("X"),(AK20))))</formula>
    </cfRule>
    <cfRule type="containsText" dxfId="265" priority="2199" operator="containsText" text="L">
      <formula>NOT(ISERROR(SEARCH(("L"),(AK20))))</formula>
    </cfRule>
    <cfRule type="containsText" dxfId="264" priority="2200" operator="containsText" text="N">
      <formula>NOT(ISERROR(SEARCH(("N"),(AK20))))</formula>
    </cfRule>
    <cfRule type="containsText" dxfId="263" priority="2201" operator="containsText" text="O">
      <formula>NOT(ISERROR(SEARCH(("O"),(AK20))))</formula>
    </cfRule>
    <cfRule type="containsText" dxfId="262" priority="2202" operator="containsText" text="C">
      <formula>NOT(ISERROR(SEARCH(("C"),(AK20))))</formula>
    </cfRule>
    <cfRule type="containsText" dxfId="261" priority="2203" operator="containsText" text="P">
      <formula>NOT(ISERROR(SEARCH(("P"),(AK20))))</formula>
    </cfRule>
    <cfRule type="containsText" dxfId="260" priority="2204" operator="containsText" text="K">
      <formula>NOT(ISERROR(SEARCH(("K"),(AK20))))</formula>
    </cfRule>
    <cfRule type="containsText" dxfId="259" priority="2205" operator="containsText" text="X">
      <formula>NOT(ISERROR(SEARCH(("X"),(AK20))))</formula>
    </cfRule>
    <cfRule type="containsText" dxfId="258" priority="2266" operator="containsText" text="L">
      <formula>NOT(ISERROR(SEARCH(("L"),(AK20))))</formula>
    </cfRule>
    <cfRule type="containsText" dxfId="257" priority="2206" operator="containsText" text="L">
      <formula>NOT(ISERROR(SEARCH(("L"),(AK20))))</formula>
    </cfRule>
    <cfRule type="containsText" dxfId="256" priority="2207" operator="containsText" text="N">
      <formula>NOT(ISERROR(SEARCH(("N"),(AK20))))</formula>
    </cfRule>
    <cfRule type="containsText" dxfId="255" priority="2208" operator="containsText" text="O">
      <formula>NOT(ISERROR(SEARCH(("O"),(AK20))))</formula>
    </cfRule>
    <cfRule type="containsText" dxfId="254" priority="2209" operator="containsText" text="C">
      <formula>NOT(ISERROR(SEARCH(("C"),(AK20))))</formula>
    </cfRule>
    <cfRule type="containsText" dxfId="253" priority="2210" operator="containsText" text="P">
      <formula>NOT(ISERROR(SEARCH(("P"),(AK20))))</formula>
    </cfRule>
    <cfRule type="containsText" dxfId="252" priority="2211" operator="containsText" text="K">
      <formula>NOT(ISERROR(SEARCH(("K"),(AK20))))</formula>
    </cfRule>
    <cfRule type="containsText" dxfId="251" priority="2212" operator="containsText" text="X">
      <formula>NOT(ISERROR(SEARCH(("X"),(AK20))))</formula>
    </cfRule>
    <cfRule type="containsText" dxfId="250" priority="2213" operator="containsText" text="L">
      <formula>NOT(ISERROR(SEARCH(("L"),(AK20))))</formula>
    </cfRule>
    <cfRule type="containsText" dxfId="249" priority="2214" operator="containsText" text="N">
      <formula>NOT(ISERROR(SEARCH(("N"),(AK20))))</formula>
    </cfRule>
    <cfRule type="containsText" dxfId="248" priority="2215" operator="containsText" text="L">
      <formula>NOT(ISERROR(SEARCH(("L"),(AK20))))</formula>
    </cfRule>
    <cfRule type="containsText" dxfId="247" priority="2216" operator="containsText" text="N">
      <formula>NOT(ISERROR(SEARCH(("N"),(AK20))))</formula>
    </cfRule>
    <cfRule type="containsText" dxfId="246" priority="2217" operator="containsText" text="L">
      <formula>NOT(ISERROR(SEARCH(("L"),(AK20))))</formula>
    </cfRule>
    <cfRule type="containsText" dxfId="245" priority="2218" operator="containsText" text="O">
      <formula>NOT(ISERROR(SEARCH(("O"),(AK20))))</formula>
    </cfRule>
    <cfRule type="containsText" dxfId="244" priority="2219" operator="containsText" text="C">
      <formula>NOT(ISERROR(SEARCH(("C"),(AK20))))</formula>
    </cfRule>
    <cfRule type="containsText" dxfId="243" priority="2220" operator="containsText" text="P">
      <formula>NOT(ISERROR(SEARCH(("P"),(AK20))))</formula>
    </cfRule>
    <cfRule type="containsText" dxfId="242" priority="2221" operator="containsText" text="K">
      <formula>NOT(ISERROR(SEARCH(("K"),(AK20))))</formula>
    </cfRule>
    <cfRule type="containsText" dxfId="241" priority="2222" operator="containsText" text="X">
      <formula>NOT(ISERROR(SEARCH(("X"),(AK20))))</formula>
    </cfRule>
    <cfRule type="containsText" dxfId="240" priority="2252" operator="containsText" text="N">
      <formula>NOT(ISERROR(SEARCH(("N"),(AK20))))</formula>
    </cfRule>
    <cfRule type="containsText" dxfId="239" priority="2223" operator="containsText" text="L">
      <formula>NOT(ISERROR(SEARCH(("L"),(AK20))))</formula>
    </cfRule>
    <cfRule type="containsText" dxfId="238" priority="2224" operator="containsText" text="N">
      <formula>NOT(ISERROR(SEARCH(("N"),(AK20))))</formula>
    </cfRule>
    <cfRule type="containsText" dxfId="237" priority="2225" operator="containsText" text="O">
      <formula>NOT(ISERROR(SEARCH(("O"),(AK20))))</formula>
    </cfRule>
    <cfRule type="containsText" dxfId="236" priority="2226" operator="containsText" text="C">
      <formula>NOT(ISERROR(SEARCH(("C"),(AK20))))</formula>
    </cfRule>
    <cfRule type="containsText" dxfId="235" priority="2227" operator="containsText" text="P">
      <formula>NOT(ISERROR(SEARCH(("P"),(AK20))))</formula>
    </cfRule>
    <cfRule type="containsText" dxfId="234" priority="2228" operator="containsText" text="K">
      <formula>NOT(ISERROR(SEARCH(("K"),(AK20))))</formula>
    </cfRule>
    <cfRule type="containsText" dxfId="233" priority="2230" operator="containsText" text="L">
      <formula>NOT(ISERROR(SEARCH(("L"),(AK20))))</formula>
    </cfRule>
    <cfRule type="containsText" dxfId="232" priority="2231" operator="containsText" text="N">
      <formula>NOT(ISERROR(SEARCH(("N"),(AK20))))</formula>
    </cfRule>
    <cfRule type="containsText" dxfId="231" priority="2232" operator="containsText" text="O">
      <formula>NOT(ISERROR(SEARCH(("O"),(AK20))))</formula>
    </cfRule>
    <cfRule type="containsText" dxfId="230" priority="2233" operator="containsText" text="C">
      <formula>NOT(ISERROR(SEARCH(("C"),(AK20))))</formula>
    </cfRule>
    <cfRule type="containsText" dxfId="229" priority="2279" operator="containsText" text="L">
      <formula>NOT(ISERROR(SEARCH(("L"),(AK20))))</formula>
    </cfRule>
    <cfRule type="containsText" dxfId="228" priority="2234" operator="containsText" text="P">
      <formula>NOT(ISERROR(SEARCH(("P"),(AK20))))</formula>
    </cfRule>
    <cfRule type="containsText" dxfId="227" priority="2278" operator="containsText" text="X">
      <formula>NOT(ISERROR(SEARCH(("X"),(AK20))))</formula>
    </cfRule>
    <cfRule type="containsText" dxfId="226" priority="2235" operator="containsText" text="K">
      <formula>NOT(ISERROR(SEARCH(("K"),(AK20))))</formula>
    </cfRule>
    <cfRule type="containsText" dxfId="225" priority="2236" operator="containsText" text="X">
      <formula>NOT(ISERROR(SEARCH(("X"),(AK20))))</formula>
    </cfRule>
    <cfRule type="containsText" dxfId="224" priority="2237" operator="containsText" text="L">
      <formula>NOT(ISERROR(SEARCH(("L"),(AK20))))</formula>
    </cfRule>
    <cfRule type="containsText" dxfId="223" priority="2238" operator="containsText" text="N">
      <formula>NOT(ISERROR(SEARCH(("N"),(AK20))))</formula>
    </cfRule>
    <cfRule type="containsText" dxfId="222" priority="2239" operator="containsText" text="O">
      <formula>NOT(ISERROR(SEARCH(("O"),(AK20))))</formula>
    </cfRule>
    <cfRule type="containsText" dxfId="221" priority="2240" operator="containsText" text="C">
      <formula>NOT(ISERROR(SEARCH(("C"),(AK20))))</formula>
    </cfRule>
    <cfRule type="containsText" dxfId="220" priority="2241" operator="containsText" text="P">
      <formula>NOT(ISERROR(SEARCH(("P"),(AK20))))</formula>
    </cfRule>
    <cfRule type="containsText" dxfId="219" priority="2242" operator="containsText" text="K">
      <formula>NOT(ISERROR(SEARCH(("K"),(AK20))))</formula>
    </cfRule>
    <cfRule type="containsText" dxfId="218" priority="2243" operator="containsText" text="X">
      <formula>NOT(ISERROR(SEARCH(("X"),(AK20))))</formula>
    </cfRule>
    <cfRule type="containsText" dxfId="217" priority="2277" operator="containsText" text="K">
      <formula>NOT(ISERROR(SEARCH(("K"),(AK20))))</formula>
    </cfRule>
    <cfRule type="containsText" dxfId="216" priority="2276" operator="containsText" text="P">
      <formula>NOT(ISERROR(SEARCH(("P"),(AK20))))</formula>
    </cfRule>
    <cfRule type="containsText" dxfId="215" priority="2275" operator="containsText" text="C">
      <formula>NOT(ISERROR(SEARCH(("C"),(AK20))))</formula>
    </cfRule>
    <cfRule type="containsText" dxfId="214" priority="2274" operator="containsText" text="N">
      <formula>NOT(ISERROR(SEARCH(("N"),(AK20))))</formula>
    </cfRule>
    <cfRule type="containsText" dxfId="213" priority="2273" operator="containsText" text="L">
      <formula>NOT(ISERROR(SEARCH(("L"),(AK20))))</formula>
    </cfRule>
    <cfRule type="containsText" dxfId="212" priority="2244" operator="containsText" text="L">
      <formula>NOT(ISERROR(SEARCH(("L"),(AK20))))</formula>
    </cfRule>
    <cfRule type="containsText" dxfId="211" priority="2272" operator="containsText" text="X">
      <formula>NOT(ISERROR(SEARCH(("X"),(AK20))))</formula>
    </cfRule>
    <cfRule type="containsText" dxfId="210" priority="2271" operator="containsText" text="K">
      <formula>NOT(ISERROR(SEARCH(("K"),(AK20))))</formula>
    </cfRule>
    <cfRule type="containsText" dxfId="209" priority="2270" operator="containsText" text="P">
      <formula>NOT(ISERROR(SEARCH(("P"),(AK20))))</formula>
    </cfRule>
    <cfRule type="containsText" dxfId="208" priority="2269" operator="containsText" text="C">
      <formula>NOT(ISERROR(SEARCH(("C"),(AK20))))</formula>
    </cfRule>
    <cfRule type="containsText" dxfId="207" priority="2268" operator="containsText" text="O">
      <formula>NOT(ISERROR(SEARCH(("O"),(AK20))))</formula>
    </cfRule>
    <cfRule type="containsText" dxfId="206" priority="2267" operator="containsText" text="N">
      <formula>NOT(ISERROR(SEARCH(("N"),(AK20))))</formula>
    </cfRule>
  </conditionalFormatting>
  <conditionalFormatting sqref="AK22">
    <cfRule type="containsText" dxfId="205" priority="1325" operator="containsText" text="N">
      <formula>NOT(ISERROR(SEARCH(("N"),(AK22))))</formula>
    </cfRule>
    <cfRule type="containsText" dxfId="204" priority="1330" operator="containsText" text="X">
      <formula>NOT(ISERROR(SEARCH(("X"),(AK22))))</formula>
    </cfRule>
    <cfRule type="containsText" dxfId="203" priority="1349" operator="containsText" text="X">
      <formula>NOT(ISERROR(SEARCH(("X"),(AK22))))</formula>
    </cfRule>
    <cfRule type="containsText" dxfId="202" priority="1348" operator="containsText" text="K">
      <formula>NOT(ISERROR(SEARCH(("K"),(AK22))))</formula>
    </cfRule>
    <cfRule type="containsText" dxfId="201" priority="1347" operator="containsText" text="P">
      <formula>NOT(ISERROR(SEARCH(("P"),(AK22))))</formula>
    </cfRule>
    <cfRule type="containsText" dxfId="200" priority="1346" operator="containsText" text="C">
      <formula>NOT(ISERROR(SEARCH(("C"),(AK22))))</formula>
    </cfRule>
    <cfRule type="containsText" dxfId="199" priority="1345" operator="containsText" text="O">
      <formula>NOT(ISERROR(SEARCH(("O"),(AK22))))</formula>
    </cfRule>
    <cfRule type="containsText" dxfId="198" priority="1344" operator="containsText" text="L">
      <formula>NOT(ISERROR(SEARCH(("L"),(AK22))))</formula>
    </cfRule>
    <cfRule type="containsText" dxfId="197" priority="1343" operator="containsText" text="N">
      <formula>NOT(ISERROR(SEARCH(("N"),(AK22))))</formula>
    </cfRule>
    <cfRule type="containsText" dxfId="196" priority="1342" operator="containsText" text="X">
      <formula>NOT(ISERROR(SEARCH(("X"),(AK22))))</formula>
    </cfRule>
    <cfRule type="containsText" dxfId="195" priority="1341" operator="containsText" text="K">
      <formula>NOT(ISERROR(SEARCH(("K"),(AK22))))</formula>
    </cfRule>
    <cfRule type="containsText" dxfId="194" priority="1340" operator="containsText" text="P">
      <formula>NOT(ISERROR(SEARCH(("P"),(AK22))))</formula>
    </cfRule>
    <cfRule type="containsText" dxfId="193" priority="1329" operator="containsText" text="K">
      <formula>NOT(ISERROR(SEARCH(("K"),(AK22))))</formula>
    </cfRule>
    <cfRule type="containsText" dxfId="192" priority="1326" operator="containsText" text="O">
      <formula>NOT(ISERROR(SEARCH(("O"),(AK22))))</formula>
    </cfRule>
    <cfRule type="containsText" dxfId="191" priority="1327" operator="containsText" text="C">
      <formula>NOT(ISERROR(SEARCH(("C"),(AK22))))</formula>
    </cfRule>
    <cfRule type="containsText" dxfId="190" priority="1339" operator="containsText" text="C">
      <formula>NOT(ISERROR(SEARCH(("C"),(AK22))))</formula>
    </cfRule>
    <cfRule type="containsText" dxfId="189" priority="1338" operator="containsText" text="O">
      <formula>NOT(ISERROR(SEARCH(("O"),(AK22))))</formula>
    </cfRule>
    <cfRule type="containsText" dxfId="188" priority="1337" operator="containsText" text="L">
      <formula>NOT(ISERROR(SEARCH(("L"),(AK22))))</formula>
    </cfRule>
    <cfRule type="containsText" dxfId="187" priority="1336" operator="containsText" text="X">
      <formula>NOT(ISERROR(SEARCH(("X"),(AK22))))</formula>
    </cfRule>
    <cfRule type="containsText" dxfId="186" priority="1335" operator="containsText" text="K">
      <formula>NOT(ISERROR(SEARCH(("K"),(AK22))))</formula>
    </cfRule>
    <cfRule type="containsText" dxfId="185" priority="1334" operator="containsText" text="P">
      <formula>NOT(ISERROR(SEARCH(("P"),(AK22))))</formula>
    </cfRule>
    <cfRule type="containsText" dxfId="184" priority="1333" operator="containsText" text="C">
      <formula>NOT(ISERROR(SEARCH(("C"),(AK22))))</formula>
    </cfRule>
    <cfRule type="containsText" dxfId="183" priority="1328" operator="containsText" text="P">
      <formula>NOT(ISERROR(SEARCH(("P"),(AK22))))</formula>
    </cfRule>
    <cfRule type="containsText" dxfId="182" priority="1332" operator="containsText" text="O">
      <formula>NOT(ISERROR(SEARCH(("O"),(AK22))))</formula>
    </cfRule>
    <cfRule type="containsText" dxfId="181" priority="1331" operator="containsText" text="N">
      <formula>NOT(ISERROR(SEARCH(("N"),(AK22))))</formula>
    </cfRule>
  </conditionalFormatting>
  <conditionalFormatting sqref="AK11:AL11">
    <cfRule type="containsText" dxfId="180" priority="10550" operator="containsText" text="N">
      <formula>NOT(ISERROR(SEARCH(("N"),(AK11))))</formula>
    </cfRule>
  </conditionalFormatting>
  <conditionalFormatting sqref="AK11:AL12">
    <cfRule type="containsText" dxfId="179" priority="10193" operator="containsText" text="L">
      <formula>NOT(ISERROR(SEARCH(("L"),(AK11))))</formula>
    </cfRule>
    <cfRule type="containsText" dxfId="178" priority="10192" operator="containsText" text="X">
      <formula>NOT(ISERROR(SEARCH(("X"),(AK11))))</formula>
    </cfRule>
    <cfRule type="containsText" dxfId="177" priority="10189" operator="containsText" text="C">
      <formula>NOT(ISERROR(SEARCH(("C"),(AK11))))</formula>
    </cfRule>
    <cfRule type="containsText" dxfId="176" priority="10188" operator="containsText" text="O">
      <formula>NOT(ISERROR(SEARCH(("O"),(AK11))))</formula>
    </cfRule>
    <cfRule type="containsText" dxfId="175" priority="10186" operator="containsText" text="N">
      <formula>NOT(ISERROR(SEARCH(("N"),(AK11))))</formula>
    </cfRule>
    <cfRule type="containsText" dxfId="174" priority="10191" operator="containsText" text="K">
      <formula>NOT(ISERROR(SEARCH(("K"),(AK11))))</formula>
    </cfRule>
    <cfRule type="containsText" dxfId="173" priority="10190" operator="containsText" text="P">
      <formula>NOT(ISERROR(SEARCH(("P"),(AK11))))</formula>
    </cfRule>
  </conditionalFormatting>
  <conditionalFormatting sqref="AK12:AL12">
    <cfRule type="containsText" dxfId="172" priority="10185" operator="containsText" text="L">
      <formula>NOT(ISERROR(SEARCH(("L"),(AK12))))</formula>
    </cfRule>
    <cfRule type="containsText" dxfId="171" priority="10184" operator="containsText" text="X">
      <formula>NOT(ISERROR(SEARCH(("X"),(AK12))))</formula>
    </cfRule>
    <cfRule type="containsText" dxfId="170" priority="10183" operator="containsText" text="K">
      <formula>NOT(ISERROR(SEARCH(("K"),(AK12))))</formula>
    </cfRule>
    <cfRule type="containsText" dxfId="169" priority="10182" operator="containsText" text="P">
      <formula>NOT(ISERROR(SEARCH(("P"),(AK12))))</formula>
    </cfRule>
    <cfRule type="containsText" dxfId="168" priority="10180" operator="containsText" text="O">
      <formula>NOT(ISERROR(SEARCH(("O"),(AK12))))</formula>
    </cfRule>
    <cfRule type="containsText" dxfId="167" priority="10179" operator="containsText" text="L">
      <formula>NOT(ISERROR(SEARCH(("L"),(AK12))))</formula>
    </cfRule>
    <cfRule type="containsText" dxfId="166" priority="10178" operator="containsText" text="X">
      <formula>NOT(ISERROR(SEARCH(("X"),(AK12))))</formula>
    </cfRule>
    <cfRule type="containsText" dxfId="165" priority="10181" operator="containsText" text="C">
      <formula>NOT(ISERROR(SEARCH(("C"),(AK12))))</formula>
    </cfRule>
    <cfRule type="containsText" dxfId="164" priority="10177" operator="containsText" text="K">
      <formula>NOT(ISERROR(SEARCH(("K"),(AK12))))</formula>
    </cfRule>
    <cfRule type="containsText" dxfId="163" priority="10176" operator="containsText" text="P">
      <formula>NOT(ISERROR(SEARCH(("P"),(AK12))))</formula>
    </cfRule>
    <cfRule type="containsText" dxfId="162" priority="10175" operator="containsText" text="C">
      <formula>NOT(ISERROR(SEARCH(("C"),(AK12))))</formula>
    </cfRule>
    <cfRule type="containsText" dxfId="161" priority="10174" operator="containsText" text="O">
      <formula>NOT(ISERROR(SEARCH(("O"),(AK12))))</formula>
    </cfRule>
  </conditionalFormatting>
  <conditionalFormatting sqref="AK14:AL14 AL13">
    <cfRule type="containsText" dxfId="160" priority="9176" operator="containsText" text="X">
      <formula>NOT(ISERROR(SEARCH(("X"),(AK13))))</formula>
    </cfRule>
    <cfRule type="containsText" dxfId="159" priority="9175" operator="containsText" text="K">
      <formula>NOT(ISERROR(SEARCH(("K"),(AK13))))</formula>
    </cfRule>
    <cfRule type="containsText" dxfId="158" priority="9172" operator="containsText" text="O">
      <formula>NOT(ISERROR(SEARCH(("O"),(AK13))))</formula>
    </cfRule>
    <cfRule type="containsText" dxfId="157" priority="9173" operator="containsText" text="C">
      <formula>NOT(ISERROR(SEARCH(("C"),(AK13))))</formula>
    </cfRule>
    <cfRule type="containsText" dxfId="156" priority="9174" operator="containsText" text="P">
      <formula>NOT(ISERROR(SEARCH(("P"),(AK13))))</formula>
    </cfRule>
  </conditionalFormatting>
  <conditionalFormatting sqref="AK14:AL14">
    <cfRule type="containsText" dxfId="155" priority="9147" operator="containsText" text="C">
      <formula>NOT(ISERROR(SEARCH(("C"),(AK14))))</formula>
    </cfRule>
    <cfRule type="containsText" dxfId="154" priority="9148" operator="containsText" text="P">
      <formula>NOT(ISERROR(SEARCH(("P"),(AK14))))</formula>
    </cfRule>
    <cfRule type="containsText" dxfId="153" priority="9149" operator="containsText" text="K">
      <formula>NOT(ISERROR(SEARCH(("K"),(AK14))))</formula>
    </cfRule>
    <cfRule type="containsText" dxfId="152" priority="9150" operator="containsText" text="X">
      <formula>NOT(ISERROR(SEARCH(("X"),(AK14))))</formula>
    </cfRule>
    <cfRule type="containsText" dxfId="151" priority="9151" operator="containsText" text="L">
      <formula>NOT(ISERROR(SEARCH(("L"),(AK14))))</formula>
    </cfRule>
    <cfRule type="containsText" dxfId="150" priority="9152" operator="containsText" text="O">
      <formula>NOT(ISERROR(SEARCH(("O"),(AK14))))</formula>
    </cfRule>
    <cfRule type="containsText" dxfId="149" priority="9153" operator="containsText" text="C">
      <formula>NOT(ISERROR(SEARCH(("C"),(AK14))))</formula>
    </cfRule>
    <cfRule type="containsText" dxfId="148" priority="9155" operator="containsText" text="K">
      <formula>NOT(ISERROR(SEARCH(("K"),(AK14))))</formula>
    </cfRule>
    <cfRule type="containsText" dxfId="147" priority="9156" operator="containsText" text="X">
      <formula>NOT(ISERROR(SEARCH(("X"),(AK14))))</formula>
    </cfRule>
    <cfRule type="containsText" dxfId="146" priority="9157" operator="containsText" text="L">
      <formula>NOT(ISERROR(SEARCH(("L"),(AK14))))</formula>
    </cfRule>
    <cfRule type="containsText" dxfId="145" priority="9158" operator="containsText" text="N">
      <formula>NOT(ISERROR(SEARCH(("N"),(AK14))))</formula>
    </cfRule>
    <cfRule type="containsText" dxfId="144" priority="9154" operator="containsText" text="P">
      <formula>NOT(ISERROR(SEARCH(("P"),(AK14))))</formula>
    </cfRule>
    <cfRule type="containsText" dxfId="143" priority="10152" operator="containsText" text="O">
      <formula>NOT(ISERROR(SEARCH(("O"),(AK14))))</formula>
    </cfRule>
    <cfRule type="containsText" dxfId="142" priority="10153" operator="containsText" text="C">
      <formula>NOT(ISERROR(SEARCH(("C"),(AK14))))</formula>
    </cfRule>
    <cfRule type="containsText" dxfId="141" priority="10154" operator="containsText" text="P">
      <formula>NOT(ISERROR(SEARCH(("P"),(AK14))))</formula>
    </cfRule>
    <cfRule type="containsText" dxfId="140" priority="10155" operator="containsText" text="K">
      <formula>NOT(ISERROR(SEARCH(("K"),(AK14))))</formula>
    </cfRule>
    <cfRule type="containsText" dxfId="139" priority="10156" operator="containsText" text="X">
      <formula>NOT(ISERROR(SEARCH(("X"),(AK14))))</formula>
    </cfRule>
    <cfRule type="containsText" dxfId="138" priority="10157" operator="containsText" text="L">
      <formula>NOT(ISERROR(SEARCH(("L"),(AK14))))</formula>
    </cfRule>
    <cfRule type="containsText" dxfId="137" priority="10158" operator="containsText" text="N">
      <formula>NOT(ISERROR(SEARCH(("N"),(AK14))))</formula>
    </cfRule>
    <cfRule type="containsText" dxfId="136" priority="10160" operator="containsText" text="O">
      <formula>NOT(ISERROR(SEARCH(("O"),(AK14))))</formula>
    </cfRule>
    <cfRule type="containsText" dxfId="135" priority="10161" operator="containsText" text="C">
      <formula>NOT(ISERROR(SEARCH(("C"),(AK14))))</formula>
    </cfRule>
    <cfRule type="containsText" dxfId="134" priority="10162" operator="containsText" text="P">
      <formula>NOT(ISERROR(SEARCH(("P"),(AK14))))</formula>
    </cfRule>
    <cfRule type="containsText" dxfId="133" priority="10163" operator="containsText" text="K">
      <formula>NOT(ISERROR(SEARCH(("K"),(AK14))))</formula>
    </cfRule>
    <cfRule type="containsText" dxfId="132" priority="10164" operator="containsText" text="X">
      <formula>NOT(ISERROR(SEARCH(("X"),(AK14))))</formula>
    </cfRule>
    <cfRule type="containsText" dxfId="131" priority="10165" operator="containsText" text="L">
      <formula>NOT(ISERROR(SEARCH(("L"),(AK14))))</formula>
    </cfRule>
    <cfRule type="containsText" dxfId="130" priority="9139" operator="containsText" text="O">
      <formula>NOT(ISERROR(SEARCH(("O"),(AK14))))</formula>
    </cfRule>
    <cfRule type="containsText" dxfId="129" priority="9140" operator="containsText" text="C">
      <formula>NOT(ISERROR(SEARCH(("C"),(AK14))))</formula>
    </cfRule>
    <cfRule type="containsText" dxfId="128" priority="10369" operator="containsText" text="N">
      <formula>NOT(ISERROR(SEARCH(("N"),(AK14))))</formula>
    </cfRule>
    <cfRule type="containsText" dxfId="127" priority="10370" operator="containsText" text="O">
      <formula>NOT(ISERROR(SEARCH(("O"),(AK14))))</formula>
    </cfRule>
    <cfRule type="containsText" dxfId="126" priority="10371" operator="containsText" text="C">
      <formula>NOT(ISERROR(SEARCH(("C"),(AK14))))</formula>
    </cfRule>
    <cfRule type="containsText" dxfId="125" priority="10372" operator="containsText" text="P">
      <formula>NOT(ISERROR(SEARCH(("P"),(AK14))))</formula>
    </cfRule>
    <cfRule type="containsText" dxfId="124" priority="10373" operator="containsText" text="K">
      <formula>NOT(ISERROR(SEARCH(("K"),(AK14))))</formula>
    </cfRule>
    <cfRule type="containsText" dxfId="123" priority="10374" operator="containsText" text="X">
      <formula>NOT(ISERROR(SEARCH(("X"),(AK14))))</formula>
    </cfRule>
    <cfRule type="containsText" dxfId="122" priority="10375" operator="containsText" text="L">
      <formula>NOT(ISERROR(SEARCH(("L"),(AK14))))</formula>
    </cfRule>
    <cfRule type="containsText" dxfId="121" priority="9141" operator="containsText" text="P">
      <formula>NOT(ISERROR(SEARCH(("P"),(AK14))))</formula>
    </cfRule>
    <cfRule type="containsText" dxfId="120" priority="9142" operator="containsText" text="K">
      <formula>NOT(ISERROR(SEARCH(("K"),(AK14))))</formula>
    </cfRule>
    <cfRule type="containsText" dxfId="119" priority="9143" operator="containsText" text="X">
      <formula>NOT(ISERROR(SEARCH(("X"),(AK14))))</formula>
    </cfRule>
    <cfRule type="containsText" dxfId="118" priority="9144" operator="containsText" text="L">
      <formula>NOT(ISERROR(SEARCH(("L"),(AK14))))</formula>
    </cfRule>
    <cfRule type="containsText" dxfId="117" priority="9145" operator="containsText" text="N">
      <formula>NOT(ISERROR(SEARCH(("N"),(AK14))))</formula>
    </cfRule>
    <cfRule type="containsText" dxfId="116" priority="9146" operator="containsText" text="O">
      <formula>NOT(ISERROR(SEARCH(("O"),(AK14))))</formula>
    </cfRule>
  </conditionalFormatting>
  <conditionalFormatting sqref="AK14:AL15">
    <cfRule type="containsText" dxfId="115" priority="10140" operator="containsText" text="C">
      <formula>NOT(ISERROR(SEARCH(("C"),(AK14))))</formula>
    </cfRule>
    <cfRule type="containsText" dxfId="114" priority="10143" operator="containsText" text="X">
      <formula>NOT(ISERROR(SEARCH(("X"),(AK14))))</formula>
    </cfRule>
    <cfRule type="containsText" dxfId="113" priority="10144" operator="containsText" text="L">
      <formula>NOT(ISERROR(SEARCH(("L"),(AK14))))</formula>
    </cfRule>
    <cfRule type="containsText" dxfId="112" priority="10142" operator="containsText" text="K">
      <formula>NOT(ISERROR(SEARCH(("K"),(AK14))))</formula>
    </cfRule>
    <cfRule type="containsText" dxfId="111" priority="10141" operator="containsText" text="P">
      <formula>NOT(ISERROR(SEARCH(("P"),(AK14))))</formula>
    </cfRule>
    <cfRule type="containsText" dxfId="110" priority="10139" operator="containsText" text="O">
      <formula>NOT(ISERROR(SEARCH(("O"),(AK14))))</formula>
    </cfRule>
    <cfRule type="containsText" dxfId="109" priority="10138" operator="containsText" text="N">
      <formula>NOT(ISERROR(SEARCH(("N"),(AK14))))</formula>
    </cfRule>
  </conditionalFormatting>
  <conditionalFormatting sqref="AK15:AL15">
    <cfRule type="containsText" dxfId="108" priority="9269" operator="containsText" text="N">
      <formula>NOT(ISERROR(SEARCH(("N"),(AK15))))</formula>
    </cfRule>
    <cfRule type="containsText" dxfId="107" priority="9272" operator="containsText" text="P">
      <formula>NOT(ISERROR(SEARCH(("P"),(AK15))))</formula>
    </cfRule>
    <cfRule type="containsText" dxfId="106" priority="9273" operator="containsText" text="K">
      <formula>NOT(ISERROR(SEARCH(("K"),(AK15))))</formula>
    </cfRule>
    <cfRule type="containsText" dxfId="105" priority="9265" operator="containsText" text="P">
      <formula>NOT(ISERROR(SEARCH(("P"),(AK15))))</formula>
    </cfRule>
    <cfRule type="containsText" dxfId="104" priority="9263" operator="containsText" text="O">
      <formula>NOT(ISERROR(SEARCH(("O"),(AK15))))</formula>
    </cfRule>
    <cfRule type="containsText" dxfId="103" priority="9278" operator="containsText" text="P">
      <formula>NOT(ISERROR(SEARCH(("P"),(AK15))))</formula>
    </cfRule>
    <cfRule type="containsText" dxfId="102" priority="9274" operator="containsText" text="X">
      <formula>NOT(ISERROR(SEARCH(("X"),(AK15))))</formula>
    </cfRule>
    <cfRule type="containsText" dxfId="101" priority="10130" operator="containsText" text="N">
      <formula>NOT(ISERROR(SEARCH(("N"),(AK15))))</formula>
    </cfRule>
    <cfRule type="containsText" dxfId="100" priority="9281" operator="containsText" text="L">
      <formula>NOT(ISERROR(SEARCH(("L"),(AK15))))</formula>
    </cfRule>
    <cfRule type="containsText" dxfId="99" priority="9266" operator="containsText" text="K">
      <formula>NOT(ISERROR(SEARCH(("K"),(AK15))))</formula>
    </cfRule>
    <cfRule type="containsText" dxfId="98" priority="9279" operator="containsText" text="K">
      <formula>NOT(ISERROR(SEARCH(("K"),(AK15))))</formula>
    </cfRule>
    <cfRule type="containsText" dxfId="97" priority="9267" operator="containsText" text="X">
      <formula>NOT(ISERROR(SEARCH(("X"),(AK15))))</formula>
    </cfRule>
    <cfRule type="containsText" dxfId="96" priority="9268" operator="containsText" text="L">
      <formula>NOT(ISERROR(SEARCH(("L"),(AK15))))</formula>
    </cfRule>
    <cfRule type="containsText" dxfId="95" priority="10132" operator="containsText" text="O">
      <formula>NOT(ISERROR(SEARCH(("O"),(AK15))))</formula>
    </cfRule>
    <cfRule type="containsText" dxfId="94" priority="9275" operator="containsText" text="L">
      <formula>NOT(ISERROR(SEARCH(("L"),(AK15))))</formula>
    </cfRule>
    <cfRule type="containsText" dxfId="93" priority="9276" operator="containsText" text="O">
      <formula>NOT(ISERROR(SEARCH(("O"),(AK15))))</formula>
    </cfRule>
    <cfRule type="containsText" dxfId="92" priority="9277" operator="containsText" text="C">
      <formula>NOT(ISERROR(SEARCH(("C"),(AK15))))</formula>
    </cfRule>
    <cfRule type="containsText" dxfId="91" priority="10134" operator="containsText" text="P">
      <formula>NOT(ISERROR(SEARCH(("P"),(AK15))))</formula>
    </cfRule>
    <cfRule type="containsText" dxfId="90" priority="9280" operator="containsText" text="X">
      <formula>NOT(ISERROR(SEARCH(("X"),(AK15))))</formula>
    </cfRule>
    <cfRule type="containsText" dxfId="89" priority="10133" operator="containsText" text="C">
      <formula>NOT(ISERROR(SEARCH(("C"),(AK15))))</formula>
    </cfRule>
    <cfRule type="containsText" dxfId="88" priority="9270" operator="containsText" text="O">
      <formula>NOT(ISERROR(SEARCH(("O"),(AK15))))</formula>
    </cfRule>
    <cfRule type="containsText" dxfId="87" priority="9264" operator="containsText" text="C">
      <formula>NOT(ISERROR(SEARCH(("C"),(AK15))))</formula>
    </cfRule>
    <cfRule type="containsText" dxfId="86" priority="9271" operator="containsText" text="C">
      <formula>NOT(ISERROR(SEARCH(("C"),(AK15))))</formula>
    </cfRule>
    <cfRule type="containsText" dxfId="85" priority="10136" operator="containsText" text="X">
      <formula>NOT(ISERROR(SEARCH(("X"),(AK15))))</formula>
    </cfRule>
    <cfRule type="containsText" dxfId="84" priority="10135" operator="containsText" text="K">
      <formula>NOT(ISERROR(SEARCH(("K"),(AK15))))</formula>
    </cfRule>
    <cfRule type="containsText" dxfId="83" priority="10137" operator="containsText" text="L">
      <formula>NOT(ISERROR(SEARCH(("L"),(AK15))))</formula>
    </cfRule>
  </conditionalFormatting>
  <conditionalFormatting sqref="AK15:AL16">
    <cfRule type="containsText" dxfId="82" priority="9298" operator="containsText" text="P">
      <formula>NOT(ISERROR(SEARCH(("P"),(AK15))))</formula>
    </cfRule>
    <cfRule type="containsText" dxfId="81" priority="9299" operator="containsText" text="K">
      <formula>NOT(ISERROR(SEARCH(("K"),(AK15))))</formula>
    </cfRule>
    <cfRule type="containsText" dxfId="80" priority="9297" operator="containsText" text="C">
      <formula>NOT(ISERROR(SEARCH(("C"),(AK15))))</formula>
    </cfRule>
    <cfRule type="containsText" dxfId="79" priority="9296" operator="containsText" text="O">
      <formula>NOT(ISERROR(SEARCH(("O"),(AK15))))</formula>
    </cfRule>
    <cfRule type="containsText" dxfId="78" priority="9300" operator="containsText" text="X">
      <formula>NOT(ISERROR(SEARCH(("X"),(AK15))))</formula>
    </cfRule>
    <cfRule type="containsText" dxfId="77" priority="10109" operator="containsText" text="L">
      <formula>NOT(ISERROR(SEARCH(("L"),(AK15))))</formula>
    </cfRule>
    <cfRule type="containsText" dxfId="76" priority="9282" operator="containsText" text="N">
      <formula>NOT(ISERROR(SEARCH(("N"),(AK15))))</formula>
    </cfRule>
    <cfRule type="containsText" dxfId="75" priority="10104" operator="containsText" text="O">
      <formula>NOT(ISERROR(SEARCH(("O"),(AK15))))</formula>
    </cfRule>
    <cfRule type="containsText" dxfId="74" priority="10105" operator="containsText" text="C">
      <formula>NOT(ISERROR(SEARCH(("C"),(AK15))))</formula>
    </cfRule>
    <cfRule type="containsText" dxfId="73" priority="10106" operator="containsText" text="P">
      <formula>NOT(ISERROR(SEARCH(("P"),(AK15))))</formula>
    </cfRule>
    <cfRule type="containsText" dxfId="72" priority="10107" operator="containsText" text="K">
      <formula>NOT(ISERROR(SEARCH(("K"),(AK15))))</formula>
    </cfRule>
    <cfRule type="containsText" dxfId="71" priority="10108" operator="containsText" text="X">
      <formula>NOT(ISERROR(SEARCH(("X"),(AK15))))</formula>
    </cfRule>
  </conditionalFormatting>
  <conditionalFormatting sqref="AK16:AL16">
    <cfRule type="containsText" dxfId="70" priority="10101" operator="containsText" text="L">
      <formula>NOT(ISERROR(SEARCH(("L"),(AK16))))</formula>
    </cfRule>
    <cfRule type="containsText" dxfId="69" priority="10096" operator="containsText" text="O">
      <formula>NOT(ISERROR(SEARCH(("O"),(AK16))))</formula>
    </cfRule>
    <cfRule type="containsText" dxfId="68" priority="10100" operator="containsText" text="X">
      <formula>NOT(ISERROR(SEARCH(("X"),(AK16))))</formula>
    </cfRule>
    <cfRule type="containsText" dxfId="67" priority="10097" operator="containsText" text="C">
      <formula>NOT(ISERROR(SEARCH(("C"),(AK16))))</formula>
    </cfRule>
    <cfRule type="containsText" dxfId="66" priority="10098" operator="containsText" text="P">
      <formula>NOT(ISERROR(SEARCH(("P"),(AK16))))</formula>
    </cfRule>
    <cfRule type="containsText" dxfId="65" priority="10099" operator="containsText" text="K">
      <formula>NOT(ISERROR(SEARCH(("K"),(AK16))))</formula>
    </cfRule>
    <cfRule type="containsText" dxfId="64" priority="10095" operator="containsText" text="L">
      <formula>NOT(ISERROR(SEARCH(("L"),(AK16))))</formula>
    </cfRule>
    <cfRule type="containsText" dxfId="63" priority="10102" operator="containsText" text="N">
      <formula>NOT(ISERROR(SEARCH(("N"),(AK16))))</formula>
    </cfRule>
  </conditionalFormatting>
  <conditionalFormatting sqref="AK18:AL18 I14:J14 AD14:AH26 O24:S25 V25:X25 W11:AA26 AC25:AG25 I19:M26 P14:T26">
    <cfRule type="containsText" dxfId="62" priority="9230" operator="containsText" text="C">
      <formula>NOT(ISERROR(SEARCH(("C"),(I11))))</formula>
    </cfRule>
    <cfRule type="containsText" dxfId="61" priority="9231" operator="containsText" text="P">
      <formula>NOT(ISERROR(SEARCH(("P"),(I11))))</formula>
    </cfRule>
    <cfRule type="containsText" dxfId="60" priority="9233" operator="containsText" text="X">
      <formula>NOT(ISERROR(SEARCH(("X"),(I11))))</formula>
    </cfRule>
    <cfRule type="containsText" dxfId="59" priority="9232" operator="containsText" text="K">
      <formula>NOT(ISERROR(SEARCH(("K"),(I11))))</formula>
    </cfRule>
  </conditionalFormatting>
  <conditionalFormatting sqref="AK18:AL18 I14:J14">
    <cfRule type="containsText" dxfId="58" priority="9229" operator="containsText" text="O">
      <formula>NOT(ISERROR(SEARCH(("O"),(I14))))</formula>
    </cfRule>
  </conditionalFormatting>
  <conditionalFormatting sqref="AL11">
    <cfRule type="containsText" dxfId="57" priority="10836" operator="containsText" text="X">
      <formula>NOT(ISERROR(SEARCH(("X"),(AL11))))</formula>
    </cfRule>
    <cfRule type="containsText" dxfId="56" priority="10829" operator="containsText" text="X">
      <formula>NOT(ISERROR(SEARCH(("X"),(AL11))))</formula>
    </cfRule>
    <cfRule type="containsText" dxfId="55" priority="10832" operator="containsText" text="O">
      <formula>NOT(ISERROR(SEARCH(("O"),(AL11))))</formula>
    </cfRule>
    <cfRule type="containsText" dxfId="54" priority="10833" operator="containsText" text="C">
      <formula>NOT(ISERROR(SEARCH(("C"),(AL11))))</formula>
    </cfRule>
    <cfRule type="containsText" dxfId="53" priority="10834" operator="containsText" text="P">
      <formula>NOT(ISERROR(SEARCH(("P"),(AL11))))</formula>
    </cfRule>
    <cfRule type="containsText" dxfId="52" priority="10835" operator="containsText" text="K">
      <formula>NOT(ISERROR(SEARCH(("K"),(AL11))))</formula>
    </cfRule>
    <cfRule type="containsText" dxfId="51" priority="10830" operator="containsText" text="L">
      <formula>NOT(ISERROR(SEARCH(("L"),(AL11))))</formula>
    </cfRule>
    <cfRule type="containsText" dxfId="50" priority="10837" operator="containsText" text="L">
      <formula>NOT(ISERROR(SEARCH(("L"),(AL11))))</formula>
    </cfRule>
    <cfRule type="containsText" dxfId="49" priority="10828" operator="containsText" text="K">
      <formula>NOT(ISERROR(SEARCH(("K"),(AL11))))</formula>
    </cfRule>
    <cfRule type="containsText" dxfId="48" priority="10827" operator="containsText" text="P">
      <formula>NOT(ISERROR(SEARCH(("P"),(AL11))))</formula>
    </cfRule>
    <cfRule type="containsText" dxfId="47" priority="10826" operator="containsText" text="C">
      <formula>NOT(ISERROR(SEARCH(("C"),(AL11))))</formula>
    </cfRule>
    <cfRule type="containsText" dxfId="46" priority="10825" operator="containsText" text="O">
      <formula>NOT(ISERROR(SEARCH(("O"),(AL11))))</formula>
    </cfRule>
    <cfRule type="containsText" dxfId="45" priority="10831" operator="containsText" text="N">
      <formula>NOT(ISERROR(SEARCH(("N"),(AL11))))</formula>
    </cfRule>
  </conditionalFormatting>
  <conditionalFormatting sqref="AL13 I13:N13 R13:AB13 AH13:AI13">
    <cfRule type="containsText" dxfId="44" priority="9886" operator="containsText" text="N">
      <formula>NOT(ISERROR(SEARCH(("N"),(I13))))</formula>
    </cfRule>
  </conditionalFormatting>
  <conditionalFormatting sqref="AL13">
    <cfRule type="containsText" dxfId="43" priority="9884" operator="containsText" text="L">
      <formula>NOT(ISERROR(SEARCH(("L"),(AL13))))</formula>
    </cfRule>
    <cfRule type="containsText" dxfId="42" priority="9878" operator="containsText" text="N">
      <formula>NOT(ISERROR(SEARCH(("N"),(AL13))))</formula>
    </cfRule>
    <cfRule type="containsText" dxfId="41" priority="9879" operator="containsText" text="O">
      <formula>NOT(ISERROR(SEARCH(("O"),(AL13))))</formula>
    </cfRule>
    <cfRule type="containsText" dxfId="40" priority="9882" operator="containsText" text="K">
      <formula>NOT(ISERROR(SEARCH(("K"),(AL13))))</formula>
    </cfRule>
    <cfRule type="containsText" dxfId="39" priority="9880" operator="containsText" text="C">
      <formula>NOT(ISERROR(SEARCH(("C"),(AL13))))</formula>
    </cfRule>
    <cfRule type="containsText" dxfId="38" priority="9881" operator="containsText" text="P">
      <formula>NOT(ISERROR(SEARCH(("P"),(AL13))))</formula>
    </cfRule>
    <cfRule type="containsText" dxfId="37" priority="9883" operator="containsText" text="X">
      <formula>NOT(ISERROR(SEARCH(("X"),(AL13))))</formula>
    </cfRule>
  </conditionalFormatting>
  <conditionalFormatting sqref="AL14">
    <cfRule type="containsText" dxfId="36" priority="9170" operator="containsText" text="X">
      <formula>NOT(ISERROR(SEARCH(("X"),(AL14))))</formula>
    </cfRule>
    <cfRule type="containsText" dxfId="35" priority="9171" operator="containsText" text="L">
      <formula>NOT(ISERROR(SEARCH(("L"),(AL14))))</formula>
    </cfRule>
    <cfRule type="containsText" dxfId="34" priority="9160" operator="containsText" text="C">
      <formula>NOT(ISERROR(SEARCH(("C"),(AL14))))</formula>
    </cfRule>
    <cfRule type="containsText" dxfId="33" priority="9168" operator="containsText" text="P">
      <formula>NOT(ISERROR(SEARCH(("P"),(AL14))))</formula>
    </cfRule>
    <cfRule type="containsText" dxfId="32" priority="9169" operator="containsText" text="K">
      <formula>NOT(ISERROR(SEARCH(("K"),(AL14))))</formula>
    </cfRule>
    <cfRule type="containsText" dxfId="31" priority="9166" operator="containsText" text="O">
      <formula>NOT(ISERROR(SEARCH(("O"),(AL14))))</formula>
    </cfRule>
    <cfRule type="containsText" dxfId="30" priority="9165" operator="containsText" text="N">
      <formula>NOT(ISERROR(SEARCH(("N"),(AL14))))</formula>
    </cfRule>
    <cfRule type="containsText" dxfId="29" priority="9164" operator="containsText" text="L">
      <formula>NOT(ISERROR(SEARCH(("L"),(AL14))))</formula>
    </cfRule>
    <cfRule type="containsText" dxfId="28" priority="9163" operator="containsText" text="X">
      <formula>NOT(ISERROR(SEARCH(("X"),(AL14))))</formula>
    </cfRule>
    <cfRule type="containsText" dxfId="27" priority="9162" operator="containsText" text="K">
      <formula>NOT(ISERROR(SEARCH(("K"),(AL14))))</formula>
    </cfRule>
    <cfRule type="containsText" dxfId="26" priority="9161" operator="containsText" text="P">
      <formula>NOT(ISERROR(SEARCH(("P"),(AL14))))</formula>
    </cfRule>
    <cfRule type="containsText" dxfId="25" priority="9159" operator="containsText" text="O">
      <formula>NOT(ISERROR(SEARCH(("O"),(AL14))))</formula>
    </cfRule>
    <cfRule type="containsText" dxfId="24" priority="9167" operator="containsText" text="C">
      <formula>NOT(ISERROR(SEARCH(("C"),(AL14))))</formula>
    </cfRule>
  </conditionalFormatting>
  <conditionalFormatting sqref="AL14:AL26 N20:O20">
    <cfRule type="containsText" dxfId="23" priority="6754" operator="containsText" text="K">
      <formula>NOT(ISERROR(SEARCH(("K"),(N14))))</formula>
    </cfRule>
    <cfRule type="containsText" dxfId="22" priority="6755" operator="containsText" text="X">
      <formula>NOT(ISERROR(SEARCH(("X"),(N14))))</formula>
    </cfRule>
    <cfRule type="containsText" dxfId="21" priority="6751" operator="containsText" text="O">
      <formula>NOT(ISERROR(SEARCH(("O"),(N14))))</formula>
    </cfRule>
    <cfRule type="containsText" dxfId="20" priority="6752" operator="containsText" text="C">
      <formula>NOT(ISERROR(SEARCH(("C"),(N14))))</formula>
    </cfRule>
    <cfRule type="containsText" dxfId="19" priority="6756" operator="containsText" text="L">
      <formula>NOT(ISERROR(SEARCH(("L"),(N14))))</formula>
    </cfRule>
    <cfRule type="containsText" dxfId="18" priority="6753" operator="containsText" text="P">
      <formula>NOT(ISERROR(SEARCH(("P"),(N14))))</formula>
    </cfRule>
  </conditionalFormatting>
  <conditionalFormatting sqref="AL14:AL26 N20:O21">
    <cfRule type="containsText" dxfId="17" priority="8474" operator="containsText" text="C">
      <formula>NOT(ISERROR(SEARCH(("C"),(N14))))</formula>
    </cfRule>
    <cfRule type="containsText" dxfId="16" priority="8475" operator="containsText" text="P">
      <formula>NOT(ISERROR(SEARCH(("P"),(N14))))</formula>
    </cfRule>
    <cfRule type="containsText" dxfId="15" priority="8477" operator="containsText" text="X">
      <formula>NOT(ISERROR(SEARCH(("X"),(N14))))</formula>
    </cfRule>
    <cfRule type="containsText" dxfId="14" priority="8478" operator="containsText" text="L">
      <formula>NOT(ISERROR(SEARCH(("L"),(N14))))</formula>
    </cfRule>
    <cfRule type="containsText" dxfId="13" priority="8476" operator="containsText" text="K">
      <formula>NOT(ISERROR(SEARCH(("K"),(N14))))</formula>
    </cfRule>
  </conditionalFormatting>
  <conditionalFormatting sqref="AL15">
    <cfRule type="containsText" dxfId="12" priority="9289" operator="containsText" text="N">
      <formula>NOT(ISERROR(SEARCH(("N"),(AL15))))</formula>
    </cfRule>
    <cfRule type="containsText" dxfId="11" priority="9290" operator="containsText" text="O">
      <formula>NOT(ISERROR(SEARCH(("O"),(AL15))))</formula>
    </cfRule>
    <cfRule type="containsText" dxfId="10" priority="9291" operator="containsText" text="C">
      <formula>NOT(ISERROR(SEARCH(("C"),(AL15))))</formula>
    </cfRule>
    <cfRule type="containsText" dxfId="9" priority="9292" operator="containsText" text="P">
      <formula>NOT(ISERROR(SEARCH(("P"),(AL15))))</formula>
    </cfRule>
    <cfRule type="containsText" dxfId="8" priority="9283" operator="containsText" text="O">
      <formula>NOT(ISERROR(SEARCH(("O"),(AL15))))</formula>
    </cfRule>
    <cfRule type="containsText" dxfId="7" priority="9284" operator="containsText" text="C">
      <formula>NOT(ISERROR(SEARCH(("C"),(AL15))))</formula>
    </cfRule>
    <cfRule type="containsText" dxfId="6" priority="9286" operator="containsText" text="K">
      <formula>NOT(ISERROR(SEARCH(("K"),(AL15))))</formula>
    </cfRule>
    <cfRule type="containsText" dxfId="5" priority="9287" operator="containsText" text="X">
      <formula>NOT(ISERROR(SEARCH(("X"),(AL15))))</formula>
    </cfRule>
    <cfRule type="containsText" dxfId="4" priority="9288" operator="containsText" text="L">
      <formula>NOT(ISERROR(SEARCH(("L"),(AL15))))</formula>
    </cfRule>
    <cfRule type="containsText" dxfId="3" priority="9285" operator="containsText" text="P">
      <formula>NOT(ISERROR(SEARCH(("P"),(AL15))))</formula>
    </cfRule>
    <cfRule type="containsText" dxfId="2" priority="9294" operator="containsText" text="X">
      <formula>NOT(ISERROR(SEARCH(("X"),(AL15))))</formula>
    </cfRule>
    <cfRule type="containsText" dxfId="1" priority="9295" operator="containsText" text="L">
      <formula>NOT(ISERROR(SEARCH(("L"),(AL15))))</formula>
    </cfRule>
    <cfRule type="containsText" dxfId="0" priority="9293" operator="containsText" text="K">
      <formula>NOT(ISERROR(SEARCH(("K"),(AL15))))</formula>
    </cfRule>
  </conditionalFormatting>
  <dataValidations count="1">
    <dataValidation type="list" allowBlank="1" sqref="G11:G26"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607" t="s">
        <v>355</v>
      </c>
      <c r="B1" s="509"/>
      <c r="C1" s="509"/>
      <c r="D1" s="510"/>
      <c r="E1" s="142"/>
      <c r="F1" s="143"/>
      <c r="G1" s="142"/>
      <c r="H1" s="142"/>
      <c r="I1" s="142"/>
      <c r="J1" s="142"/>
      <c r="K1" s="142"/>
      <c r="L1" s="142"/>
      <c r="M1" s="142"/>
      <c r="N1" s="142"/>
      <c r="O1" s="142"/>
      <c r="P1" s="142"/>
      <c r="Q1" s="142"/>
      <c r="R1" s="142"/>
      <c r="S1" s="142"/>
      <c r="T1" s="142"/>
      <c r="U1" s="140"/>
      <c r="V1" s="140"/>
    </row>
    <row r="2" spans="1:22" ht="30.75" customHeight="1" x14ac:dyDescent="0.25">
      <c r="A2" s="608" t="s">
        <v>1</v>
      </c>
      <c r="B2" s="610" t="s">
        <v>40</v>
      </c>
      <c r="C2" s="608" t="s">
        <v>109</v>
      </c>
      <c r="D2" s="608" t="s">
        <v>97</v>
      </c>
      <c r="E2" s="611" t="s">
        <v>356</v>
      </c>
      <c r="F2" s="612"/>
      <c r="G2" s="612"/>
      <c r="H2" s="612"/>
      <c r="I2" s="612"/>
      <c r="J2" s="612"/>
      <c r="K2" s="612"/>
      <c r="L2" s="612"/>
      <c r="M2" s="612"/>
      <c r="N2" s="612"/>
      <c r="O2" s="612"/>
      <c r="P2" s="612"/>
      <c r="Q2" s="613"/>
      <c r="R2" s="605" t="s">
        <v>357</v>
      </c>
      <c r="S2" s="605" t="s">
        <v>110</v>
      </c>
      <c r="T2" s="605" t="s">
        <v>111</v>
      </c>
      <c r="U2" s="605" t="s">
        <v>112</v>
      </c>
      <c r="V2" s="140"/>
    </row>
    <row r="3" spans="1:22" ht="48" customHeight="1" x14ac:dyDescent="0.25">
      <c r="A3" s="609"/>
      <c r="B3" s="609"/>
      <c r="C3" s="609"/>
      <c r="D3" s="609"/>
      <c r="E3" s="144" t="s">
        <v>116</v>
      </c>
      <c r="F3" s="144" t="s">
        <v>113</v>
      </c>
      <c r="G3" s="144" t="s">
        <v>114</v>
      </c>
      <c r="H3" s="144" t="s">
        <v>115</v>
      </c>
      <c r="I3" s="144" t="s">
        <v>117</v>
      </c>
      <c r="J3" s="144" t="s">
        <v>118</v>
      </c>
      <c r="K3" s="144" t="s">
        <v>119</v>
      </c>
      <c r="L3" s="144" t="s">
        <v>120</v>
      </c>
      <c r="M3" s="144" t="s">
        <v>121</v>
      </c>
      <c r="N3" s="144" t="s">
        <v>122</v>
      </c>
      <c r="O3" s="144" t="s">
        <v>123</v>
      </c>
      <c r="P3" s="144" t="s">
        <v>124</v>
      </c>
      <c r="Q3" s="144" t="s">
        <v>125</v>
      </c>
      <c r="R3" s="609"/>
      <c r="S3" s="609"/>
      <c r="T3" s="609"/>
      <c r="U3" s="606"/>
      <c r="V3" s="140"/>
    </row>
    <row r="4" spans="1:22" ht="15" hidden="1" customHeight="1" x14ac:dyDescent="0.25">
      <c r="A4" s="145"/>
      <c r="B4" s="145">
        <v>1</v>
      </c>
      <c r="C4" s="145">
        <f t="shared" ref="C4:U4" si="0">B4+1</f>
        <v>2</v>
      </c>
      <c r="D4" s="145">
        <f t="shared" si="0"/>
        <v>3</v>
      </c>
      <c r="E4" s="145" t="e">
        <f>#REF!+1</f>
        <v>#REF!</v>
      </c>
      <c r="F4" s="145" t="e">
        <f t="shared" si="0"/>
        <v>#REF!</v>
      </c>
      <c r="G4" s="145" t="e">
        <f t="shared" si="0"/>
        <v>#REF!</v>
      </c>
      <c r="H4" s="145" t="e">
        <f t="shared" si="0"/>
        <v>#REF!</v>
      </c>
      <c r="I4" s="145" t="e">
        <f t="shared" si="0"/>
        <v>#REF!</v>
      </c>
      <c r="J4" s="145" t="e">
        <f t="shared" si="0"/>
        <v>#REF!</v>
      </c>
      <c r="K4" s="145" t="e">
        <f t="shared" si="0"/>
        <v>#REF!</v>
      </c>
      <c r="L4" s="145" t="e">
        <f t="shared" si="0"/>
        <v>#REF!</v>
      </c>
      <c r="M4" s="145" t="e">
        <f t="shared" si="0"/>
        <v>#REF!</v>
      </c>
      <c r="N4" s="145" t="e">
        <f t="shared" si="0"/>
        <v>#REF!</v>
      </c>
      <c r="O4" s="145" t="e">
        <f t="shared" si="0"/>
        <v>#REF!</v>
      </c>
      <c r="P4" s="145" t="e">
        <f t="shared" si="0"/>
        <v>#REF!</v>
      </c>
      <c r="Q4" s="145" t="e">
        <f t="shared" si="0"/>
        <v>#REF!</v>
      </c>
      <c r="R4" s="145" t="e">
        <f t="shared" si="0"/>
        <v>#REF!</v>
      </c>
      <c r="S4" s="145" t="e">
        <f t="shared" si="0"/>
        <v>#REF!</v>
      </c>
      <c r="T4" s="145" t="e">
        <f t="shared" si="0"/>
        <v>#REF!</v>
      </c>
      <c r="U4" s="145" t="e">
        <f t="shared" si="0"/>
        <v>#REF!</v>
      </c>
      <c r="V4" s="146"/>
    </row>
    <row r="5" spans="1:22" ht="25.5" customHeight="1" x14ac:dyDescent="0.3">
      <c r="A5" s="147"/>
      <c r="B5" s="430"/>
      <c r="C5" s="431"/>
      <c r="D5" s="432"/>
      <c r="E5" s="148"/>
      <c r="F5" s="148">
        <f t="shared" ref="F5:R5" si="1">SUM(F6:F8)</f>
        <v>0</v>
      </c>
      <c r="G5" s="148">
        <f t="shared" si="1"/>
        <v>0</v>
      </c>
      <c r="H5" s="148">
        <f t="shared" si="1"/>
        <v>0</v>
      </c>
      <c r="I5" s="148">
        <f t="shared" si="1"/>
        <v>0</v>
      </c>
      <c r="J5" s="148">
        <f t="shared" si="1"/>
        <v>0</v>
      </c>
      <c r="K5" s="148">
        <f t="shared" si="1"/>
        <v>0</v>
      </c>
      <c r="L5" s="148">
        <f t="shared" si="1"/>
        <v>0</v>
      </c>
      <c r="M5" s="148">
        <f t="shared" si="1"/>
        <v>0</v>
      </c>
      <c r="N5" s="148">
        <f t="shared" si="1"/>
        <v>0</v>
      </c>
      <c r="O5" s="148">
        <f t="shared" si="1"/>
        <v>0</v>
      </c>
      <c r="P5" s="148">
        <f t="shared" si="1"/>
        <v>0</v>
      </c>
      <c r="Q5" s="148">
        <f t="shared" si="1"/>
        <v>0</v>
      </c>
      <c r="R5" s="148">
        <f t="shared" si="1"/>
        <v>0</v>
      </c>
      <c r="S5" s="148">
        <v>2</v>
      </c>
      <c r="T5" s="148">
        <f>SUM(T6:T8)</f>
        <v>2</v>
      </c>
      <c r="U5" s="433"/>
      <c r="V5" s="140"/>
    </row>
    <row r="6" spans="1:22" ht="27.75" customHeight="1" x14ac:dyDescent="0.3">
      <c r="A6" s="434">
        <f t="shared" ref="A6:A7" si="2">SUBTOTAL(3,$B$5:B6)</f>
        <v>1</v>
      </c>
      <c r="B6" s="435" t="s">
        <v>322</v>
      </c>
      <c r="C6" s="389"/>
      <c r="D6" s="374" t="str">
        <f>VLOOKUP(B6,' 5. Thông số TL'!$D$12:$E$16,2,0)</f>
        <v>Nguyễn Thị Thu Hảo</v>
      </c>
      <c r="E6" s="375"/>
      <c r="F6" s="376">
        <f>VLOOKUP(B6,'3. BẢNG CHẤM CÔNG'!$B$11:$AU$11,42,0)</f>
        <v>0</v>
      </c>
      <c r="G6" s="376">
        <v>0</v>
      </c>
      <c r="H6" s="376">
        <v>0</v>
      </c>
      <c r="I6" s="376">
        <v>0</v>
      </c>
      <c r="J6" s="376">
        <v>0</v>
      </c>
      <c r="K6" s="376">
        <v>0</v>
      </c>
      <c r="L6" s="376">
        <v>0</v>
      </c>
      <c r="M6" s="376">
        <v>0</v>
      </c>
      <c r="N6" s="376">
        <v>0</v>
      </c>
      <c r="O6" s="376">
        <v>0</v>
      </c>
      <c r="P6" s="376">
        <v>0</v>
      </c>
      <c r="Q6" s="376">
        <v>0</v>
      </c>
      <c r="R6" s="375">
        <f t="shared" ref="R6:R7" si="3">SUM(F6:Q6)</f>
        <v>0</v>
      </c>
      <c r="S6" s="375">
        <v>2</v>
      </c>
      <c r="T6" s="375">
        <v>2</v>
      </c>
      <c r="U6" s="377"/>
      <c r="V6" s="150" t="s">
        <v>108</v>
      </c>
    </row>
    <row r="7" spans="1:22" ht="27.75" customHeight="1" x14ac:dyDescent="0.3">
      <c r="A7" s="434">
        <f t="shared" si="2"/>
        <v>2</v>
      </c>
      <c r="B7" s="435" t="s">
        <v>323</v>
      </c>
      <c r="C7" s="389"/>
      <c r="D7" s="374" t="str">
        <f>VLOOKUP(B7,' 5. Thông số TL'!$D$12:$E$16,2,0)</f>
        <v>Lê Thị Kim Liên</v>
      </c>
      <c r="E7" s="375"/>
      <c r="F7" s="376">
        <v>0</v>
      </c>
      <c r="G7" s="376">
        <v>0</v>
      </c>
      <c r="H7" s="376">
        <v>0</v>
      </c>
      <c r="I7" s="376">
        <v>0</v>
      </c>
      <c r="J7" s="376">
        <v>0</v>
      </c>
      <c r="K7" s="376">
        <v>0</v>
      </c>
      <c r="L7" s="376">
        <v>0</v>
      </c>
      <c r="M7" s="376">
        <v>0</v>
      </c>
      <c r="N7" s="376">
        <v>0</v>
      </c>
      <c r="O7" s="376">
        <v>0</v>
      </c>
      <c r="P7" s="376">
        <v>0</v>
      </c>
      <c r="Q7" s="376">
        <v>0</v>
      </c>
      <c r="R7" s="375">
        <f t="shared" si="3"/>
        <v>0</v>
      </c>
      <c r="S7" s="375">
        <v>0</v>
      </c>
      <c r="T7" s="375">
        <v>0</v>
      </c>
      <c r="U7" s="377"/>
      <c r="V7" s="151"/>
    </row>
    <row r="8" spans="1:22" ht="22.2" customHeight="1" x14ac:dyDescent="0.25">
      <c r="A8" s="429">
        <v>3</v>
      </c>
      <c r="B8" s="429" t="s">
        <v>339</v>
      </c>
      <c r="C8" s="428"/>
      <c r="D8" s="374" t="str">
        <f>VLOOKUP(B8,' 5. Thông số TL'!$D$12:$E$16,2,0)</f>
        <v>Bùi Thanh Anh</v>
      </c>
      <c r="E8" s="375"/>
      <c r="F8" s="376">
        <v>0</v>
      </c>
      <c r="G8" s="376">
        <v>0</v>
      </c>
      <c r="H8" s="376">
        <v>0</v>
      </c>
      <c r="I8" s="376">
        <v>0</v>
      </c>
      <c r="J8" s="376">
        <v>0</v>
      </c>
      <c r="K8" s="376">
        <v>0</v>
      </c>
      <c r="L8" s="376">
        <v>0</v>
      </c>
      <c r="M8" s="376">
        <v>0</v>
      </c>
      <c r="N8" s="376">
        <v>0</v>
      </c>
      <c r="O8" s="376">
        <v>0</v>
      </c>
      <c r="P8" s="376">
        <v>0</v>
      </c>
      <c r="Q8" s="376">
        <v>0</v>
      </c>
      <c r="R8" s="375">
        <f t="shared" ref="R8" si="4">SUM(F8:Q8)</f>
        <v>0</v>
      </c>
      <c r="S8" s="375">
        <f t="shared" ref="S8" si="5">SUM(G8:R8)</f>
        <v>0</v>
      </c>
      <c r="T8" s="375">
        <f t="shared" ref="T8" si="6">SUM(H8:S8)</f>
        <v>0</v>
      </c>
      <c r="U8" s="428"/>
      <c r="V8" s="140"/>
    </row>
    <row r="9" spans="1:22" ht="22.2" customHeight="1" x14ac:dyDescent="0.25">
      <c r="A9" s="429">
        <v>5</v>
      </c>
      <c r="B9" s="429" t="s">
        <v>335</v>
      </c>
      <c r="C9" s="428"/>
      <c r="D9" s="374" t="str">
        <f>VLOOKUP(B9,' 5. Thông số TL'!$D$12:$E$16,2,0)</f>
        <v>Eugene</v>
      </c>
      <c r="E9" s="375"/>
      <c r="F9" s="376">
        <v>0</v>
      </c>
      <c r="G9" s="376">
        <v>0</v>
      </c>
      <c r="H9" s="376">
        <v>0</v>
      </c>
      <c r="I9" s="376">
        <v>0</v>
      </c>
      <c r="J9" s="376">
        <v>0</v>
      </c>
      <c r="K9" s="376">
        <v>0</v>
      </c>
      <c r="L9" s="376">
        <v>0</v>
      </c>
      <c r="M9" s="376">
        <v>0</v>
      </c>
      <c r="N9" s="376">
        <v>0</v>
      </c>
      <c r="O9" s="376">
        <v>0</v>
      </c>
      <c r="P9" s="376">
        <v>0</v>
      </c>
      <c r="Q9" s="376">
        <v>0</v>
      </c>
      <c r="R9" s="375">
        <f t="shared" ref="R9" si="7">SUM(F9:Q9)</f>
        <v>0</v>
      </c>
      <c r="S9" s="375">
        <f t="shared" ref="S9" si="8">SUM(G9:R9)</f>
        <v>0</v>
      </c>
      <c r="T9" s="375">
        <f t="shared" ref="T9" si="9">SUM(H9:S9)</f>
        <v>0</v>
      </c>
      <c r="U9" s="428"/>
      <c r="V9" s="140"/>
    </row>
    <row r="10" spans="1:22" ht="15" customHeight="1" x14ac:dyDescent="0.25">
      <c r="A10" s="140"/>
      <c r="B10" s="140"/>
      <c r="C10" s="140"/>
      <c r="D10" s="140"/>
      <c r="E10" s="140"/>
      <c r="F10" s="140"/>
      <c r="G10" s="140"/>
      <c r="H10" s="140"/>
      <c r="I10" s="140"/>
      <c r="J10" s="140"/>
      <c r="K10" s="140"/>
      <c r="L10" s="140"/>
      <c r="M10" s="140"/>
      <c r="N10" s="140"/>
      <c r="O10" s="140"/>
      <c r="P10" s="140"/>
      <c r="Q10" s="140"/>
      <c r="R10" s="152"/>
      <c r="S10" s="140"/>
      <c r="T10" s="140"/>
      <c r="U10" s="140"/>
      <c r="V10" s="140"/>
    </row>
    <row r="11" spans="1:22" ht="15" customHeight="1" x14ac:dyDescent="0.25">
      <c r="A11" s="140"/>
      <c r="B11" s="140"/>
      <c r="C11" s="140"/>
      <c r="D11" s="140"/>
      <c r="E11" s="140"/>
      <c r="F11" s="140"/>
      <c r="G11" s="140"/>
      <c r="H11" s="140"/>
      <c r="I11" s="140"/>
      <c r="J11" s="140"/>
      <c r="K11" s="140"/>
      <c r="L11" s="140"/>
      <c r="M11" s="140"/>
      <c r="N11" s="140"/>
      <c r="O11" s="140"/>
      <c r="P11" s="140"/>
      <c r="Q11" s="140"/>
      <c r="R11" s="140"/>
      <c r="S11" s="140"/>
      <c r="T11" s="140"/>
      <c r="U11" s="140"/>
      <c r="V11" s="140"/>
    </row>
    <row r="12" spans="1:22" ht="15" customHeight="1" x14ac:dyDescent="0.25">
      <c r="A12" s="140"/>
      <c r="B12" s="140"/>
      <c r="C12" s="140"/>
      <c r="D12" s="140"/>
      <c r="E12" s="140"/>
      <c r="F12" s="140"/>
      <c r="G12" s="140"/>
      <c r="H12" s="140"/>
      <c r="I12" s="140"/>
      <c r="J12" s="140"/>
      <c r="K12" s="140"/>
      <c r="L12" s="140"/>
      <c r="M12" s="140"/>
      <c r="N12" s="140"/>
      <c r="O12" s="140"/>
      <c r="P12" s="140"/>
      <c r="Q12" s="140"/>
      <c r="R12" s="140"/>
      <c r="S12" s="140"/>
      <c r="T12" s="140"/>
      <c r="U12" s="140"/>
      <c r="V12" s="140"/>
    </row>
    <row r="13" spans="1:22" ht="15.75" customHeight="1" x14ac:dyDescent="0.25">
      <c r="A13" s="140"/>
      <c r="B13" s="140"/>
      <c r="C13" s="140"/>
      <c r="D13" s="140"/>
      <c r="E13" s="140"/>
      <c r="F13" s="140"/>
      <c r="G13" s="140"/>
      <c r="H13" s="140"/>
      <c r="I13" s="140"/>
      <c r="J13" s="140"/>
      <c r="K13" s="140"/>
      <c r="L13" s="140"/>
      <c r="M13" s="140"/>
      <c r="N13" s="140"/>
      <c r="O13" s="140"/>
      <c r="P13" s="140"/>
      <c r="Q13" s="140"/>
      <c r="R13" s="140"/>
      <c r="S13" s="140"/>
      <c r="T13" s="140"/>
      <c r="U13" s="140"/>
      <c r="V13" s="140"/>
    </row>
    <row r="14" spans="1:22" ht="15.75" customHeight="1" x14ac:dyDescent="0.25">
      <c r="A14" s="140"/>
      <c r="B14" s="140"/>
      <c r="C14" s="140"/>
      <c r="D14" s="140"/>
      <c r="E14" s="140"/>
      <c r="F14" s="140"/>
      <c r="G14" s="140"/>
      <c r="H14" s="140"/>
      <c r="I14" s="140"/>
      <c r="J14" s="140"/>
      <c r="K14" s="140"/>
      <c r="L14" s="140"/>
      <c r="M14" s="140"/>
      <c r="N14" s="140"/>
      <c r="O14" s="140"/>
      <c r="P14" s="140"/>
      <c r="Q14" s="140"/>
      <c r="R14" s="140"/>
      <c r="S14" s="140"/>
      <c r="T14" s="140"/>
      <c r="U14" s="140"/>
      <c r="V14" s="140"/>
    </row>
    <row r="15" spans="1:22" ht="15.75" customHeight="1" x14ac:dyDescent="0.25">
      <c r="A15" s="140"/>
      <c r="B15" s="140"/>
      <c r="C15" s="140"/>
      <c r="D15" s="140"/>
      <c r="E15" s="140"/>
      <c r="F15" s="140"/>
      <c r="G15" s="140"/>
      <c r="H15" s="140"/>
      <c r="I15" s="140"/>
      <c r="J15" s="140"/>
      <c r="K15" s="140"/>
      <c r="L15" s="140"/>
      <c r="M15" s="140"/>
      <c r="N15" s="140"/>
      <c r="O15" s="140"/>
      <c r="P15" s="140"/>
      <c r="Q15" s="140"/>
      <c r="R15" s="140"/>
      <c r="S15" s="140"/>
      <c r="T15" s="140"/>
      <c r="U15" s="140"/>
      <c r="V15" s="140"/>
    </row>
    <row r="16" spans="1:22" ht="15.75" customHeight="1" x14ac:dyDescent="0.25">
      <c r="A16" s="140"/>
      <c r="B16" s="140"/>
      <c r="C16" s="140"/>
      <c r="D16" s="140"/>
      <c r="E16" s="140"/>
      <c r="F16" s="140"/>
      <c r="G16" s="140"/>
      <c r="H16" s="140"/>
      <c r="I16" s="140"/>
      <c r="J16" s="140"/>
      <c r="K16" s="140"/>
      <c r="L16" s="140"/>
      <c r="M16" s="140"/>
      <c r="N16" s="140"/>
      <c r="O16" s="140"/>
      <c r="P16" s="140"/>
      <c r="Q16" s="140"/>
      <c r="R16" s="140"/>
      <c r="S16" s="140"/>
      <c r="T16" s="140"/>
      <c r="U16" s="140"/>
      <c r="V16" s="140"/>
    </row>
    <row r="17" spans="1:22" ht="15.75" customHeight="1" x14ac:dyDescent="0.25">
      <c r="A17" s="140"/>
      <c r="B17" s="140"/>
      <c r="C17" s="140"/>
      <c r="D17" s="140"/>
      <c r="E17" s="140"/>
      <c r="F17" s="140"/>
      <c r="G17" s="140"/>
      <c r="H17" s="140"/>
      <c r="I17" s="140"/>
      <c r="J17" s="140"/>
      <c r="K17" s="140"/>
      <c r="L17" s="140"/>
      <c r="M17" s="140"/>
      <c r="N17" s="140"/>
      <c r="O17" s="140"/>
      <c r="P17" s="140"/>
      <c r="Q17" s="140"/>
      <c r="R17" s="140"/>
      <c r="S17" s="140"/>
      <c r="T17" s="140"/>
      <c r="U17" s="140"/>
      <c r="V17" s="140"/>
    </row>
    <row r="18" spans="1:22" ht="15.75" customHeight="1" x14ac:dyDescent="0.25">
      <c r="A18" s="140"/>
      <c r="B18" s="140"/>
      <c r="C18" s="140"/>
      <c r="D18" s="140"/>
      <c r="E18" s="140"/>
      <c r="F18" s="140"/>
      <c r="G18" s="140"/>
      <c r="H18" s="140"/>
      <c r="I18" s="140"/>
      <c r="J18" s="140"/>
      <c r="K18" s="140"/>
      <c r="L18" s="140"/>
      <c r="M18" s="140"/>
      <c r="N18" s="140"/>
      <c r="O18" s="140"/>
      <c r="P18" s="140"/>
      <c r="Q18" s="140"/>
      <c r="R18" s="140"/>
      <c r="S18" s="140"/>
      <c r="T18" s="140"/>
      <c r="U18" s="140"/>
      <c r="V18" s="140"/>
    </row>
    <row r="19" spans="1:22" ht="15.75" customHeight="1" x14ac:dyDescent="0.25">
      <c r="A19" s="140"/>
      <c r="B19" s="140"/>
      <c r="C19" s="140"/>
      <c r="D19" s="140"/>
      <c r="E19" s="140"/>
      <c r="F19" s="140"/>
      <c r="G19" s="140"/>
      <c r="H19" s="140"/>
      <c r="I19" s="140"/>
      <c r="J19" s="140"/>
      <c r="K19" s="140"/>
      <c r="L19" s="140"/>
      <c r="M19" s="140"/>
      <c r="N19" s="140"/>
      <c r="O19" s="140"/>
      <c r="P19" s="140"/>
      <c r="Q19" s="140"/>
      <c r="R19" s="140"/>
      <c r="S19" s="140"/>
      <c r="T19" s="140"/>
      <c r="U19" s="140"/>
      <c r="V19" s="140"/>
    </row>
    <row r="20" spans="1:22" ht="15.75" customHeight="1" x14ac:dyDescent="0.25">
      <c r="A20" s="140"/>
      <c r="B20" s="140"/>
      <c r="C20" s="140"/>
      <c r="D20" s="140"/>
      <c r="E20" s="140"/>
      <c r="F20" s="140"/>
      <c r="G20" s="140"/>
      <c r="H20" s="140"/>
      <c r="I20" s="140"/>
      <c r="J20" s="140"/>
      <c r="K20" s="140"/>
      <c r="L20" s="140"/>
      <c r="M20" s="140"/>
      <c r="N20" s="140"/>
      <c r="O20" s="140"/>
      <c r="P20" s="140"/>
      <c r="Q20" s="140"/>
      <c r="R20" s="140"/>
      <c r="S20" s="140"/>
      <c r="T20" s="140"/>
      <c r="U20" s="140"/>
      <c r="V20" s="140"/>
    </row>
    <row r="21" spans="1:22" ht="15.75" customHeight="1" x14ac:dyDescent="0.25">
      <c r="A21" s="140"/>
      <c r="B21" s="140"/>
      <c r="C21" s="140"/>
      <c r="D21" s="140"/>
      <c r="E21" s="140"/>
      <c r="F21" s="140"/>
      <c r="G21" s="140"/>
      <c r="H21" s="140"/>
      <c r="I21" s="140"/>
      <c r="J21" s="140"/>
      <c r="K21" s="140"/>
      <c r="L21" s="140"/>
      <c r="M21" s="140"/>
      <c r="N21" s="140"/>
      <c r="O21" s="140"/>
      <c r="P21" s="140"/>
      <c r="Q21" s="140"/>
      <c r="R21" s="140"/>
      <c r="S21" s="140"/>
      <c r="T21" s="140"/>
      <c r="U21" s="140"/>
      <c r="V21" s="140"/>
    </row>
    <row r="22" spans="1:22" ht="15.75" customHeight="1" x14ac:dyDescent="0.25">
      <c r="A22" s="140"/>
      <c r="B22" s="140"/>
      <c r="C22" s="140"/>
      <c r="D22" s="140"/>
      <c r="E22" s="140"/>
      <c r="F22" s="140"/>
      <c r="G22" s="140"/>
      <c r="H22" s="140"/>
      <c r="I22" s="140"/>
      <c r="J22" s="140"/>
      <c r="K22" s="140"/>
      <c r="L22" s="140"/>
      <c r="M22" s="140"/>
      <c r="N22" s="140"/>
      <c r="O22" s="140"/>
      <c r="P22" s="140"/>
      <c r="Q22" s="140"/>
      <c r="R22" s="140"/>
      <c r="S22" s="140"/>
      <c r="T22" s="140"/>
      <c r="U22" s="140"/>
      <c r="V22" s="140"/>
    </row>
    <row r="23" spans="1:22" ht="15.75" customHeight="1" x14ac:dyDescent="0.25">
      <c r="A23" s="140"/>
      <c r="B23" s="140"/>
      <c r="C23" s="140"/>
      <c r="D23" s="140"/>
      <c r="E23" s="140"/>
      <c r="F23" s="140"/>
      <c r="G23" s="140"/>
      <c r="H23" s="140"/>
      <c r="I23" s="140"/>
      <c r="J23" s="140"/>
      <c r="K23" s="140"/>
      <c r="L23" s="140"/>
      <c r="M23" s="140"/>
      <c r="N23" s="140"/>
      <c r="O23" s="140"/>
      <c r="P23" s="140"/>
      <c r="Q23" s="140"/>
      <c r="R23" s="140"/>
      <c r="S23" s="140"/>
      <c r="T23" s="140"/>
      <c r="U23" s="140"/>
      <c r="V23" s="140"/>
    </row>
    <row r="24" spans="1:22" ht="15.75" customHeight="1" x14ac:dyDescent="0.25">
      <c r="A24" s="140"/>
      <c r="B24" s="140"/>
      <c r="C24" s="140"/>
      <c r="D24" s="140"/>
      <c r="E24" s="140"/>
      <c r="F24" s="140"/>
      <c r="G24" s="140"/>
      <c r="H24" s="140"/>
      <c r="I24" s="140"/>
      <c r="J24" s="140"/>
      <c r="K24" s="140"/>
      <c r="L24" s="140"/>
      <c r="M24" s="140"/>
      <c r="N24" s="140"/>
      <c r="O24" s="140"/>
      <c r="P24" s="140"/>
      <c r="Q24" s="140"/>
      <c r="R24" s="140"/>
      <c r="S24" s="140"/>
      <c r="T24" s="140"/>
      <c r="U24" s="140"/>
      <c r="V24" s="140"/>
    </row>
    <row r="25" spans="1:22" ht="15.75" customHeight="1" x14ac:dyDescent="0.25">
      <c r="A25" s="140"/>
      <c r="B25" s="140"/>
      <c r="C25" s="140"/>
      <c r="D25" s="140"/>
      <c r="E25" s="140"/>
      <c r="F25" s="140"/>
      <c r="G25" s="140"/>
      <c r="H25" s="140"/>
      <c r="I25" s="140"/>
      <c r="J25" s="140"/>
      <c r="K25" s="140"/>
      <c r="L25" s="140"/>
      <c r="M25" s="140"/>
      <c r="N25" s="140"/>
      <c r="O25" s="140"/>
      <c r="P25" s="140"/>
      <c r="Q25" s="140"/>
      <c r="R25" s="140"/>
      <c r="S25" s="140"/>
      <c r="T25" s="140"/>
      <c r="U25" s="140"/>
      <c r="V25" s="140"/>
    </row>
    <row r="26" spans="1:22" ht="15.75" customHeight="1" x14ac:dyDescent="0.25">
      <c r="A26" s="140"/>
      <c r="B26" s="140"/>
      <c r="C26" s="140"/>
      <c r="D26" s="140"/>
      <c r="E26" s="140"/>
      <c r="F26" s="140"/>
      <c r="G26" s="140"/>
      <c r="H26" s="140"/>
      <c r="I26" s="140"/>
      <c r="J26" s="140"/>
      <c r="K26" s="140"/>
      <c r="L26" s="140"/>
      <c r="M26" s="140"/>
      <c r="N26" s="140"/>
      <c r="O26" s="140"/>
      <c r="P26" s="140"/>
      <c r="Q26" s="140"/>
      <c r="R26" s="140"/>
      <c r="S26" s="140"/>
      <c r="T26" s="140"/>
      <c r="U26" s="140"/>
      <c r="V26" s="140"/>
    </row>
    <row r="27" spans="1:22" ht="15.7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row>
    <row r="28" spans="1:22" ht="15.75" customHeight="1" x14ac:dyDescent="0.25">
      <c r="A28" s="140"/>
      <c r="B28" s="140"/>
      <c r="C28" s="140"/>
      <c r="D28" s="140"/>
      <c r="E28" s="140"/>
      <c r="F28" s="140"/>
      <c r="G28" s="140"/>
      <c r="H28" s="140"/>
      <c r="I28" s="140"/>
      <c r="J28" s="140"/>
      <c r="K28" s="140"/>
      <c r="L28" s="140"/>
      <c r="M28" s="140"/>
      <c r="N28" s="140"/>
      <c r="O28" s="140"/>
      <c r="P28" s="140"/>
      <c r="Q28" s="140"/>
      <c r="R28" s="140"/>
      <c r="S28" s="140"/>
      <c r="T28" s="140"/>
      <c r="U28" s="140"/>
      <c r="V28" s="140"/>
    </row>
    <row r="29" spans="1:22" ht="15.75" customHeight="1" x14ac:dyDescent="0.25">
      <c r="A29" s="140"/>
      <c r="B29" s="140"/>
      <c r="C29" s="140"/>
      <c r="D29" s="140"/>
      <c r="E29" s="140"/>
      <c r="F29" s="140"/>
      <c r="G29" s="140"/>
      <c r="H29" s="140"/>
      <c r="I29" s="140"/>
      <c r="J29" s="140"/>
      <c r="K29" s="140"/>
      <c r="L29" s="140"/>
      <c r="M29" s="140"/>
      <c r="N29" s="140"/>
      <c r="O29" s="140"/>
      <c r="P29" s="140"/>
      <c r="Q29" s="140"/>
      <c r="R29" s="140"/>
      <c r="S29" s="140"/>
      <c r="T29" s="140"/>
      <c r="U29" s="140"/>
      <c r="V29" s="140"/>
    </row>
    <row r="30" spans="1:22" ht="15.75" customHeight="1" x14ac:dyDescent="0.25">
      <c r="A30" s="140"/>
      <c r="B30" s="140"/>
      <c r="C30" s="140"/>
      <c r="D30" s="140"/>
      <c r="E30" s="140"/>
      <c r="F30" s="140"/>
      <c r="G30" s="140"/>
      <c r="H30" s="140"/>
      <c r="I30" s="140"/>
      <c r="J30" s="140"/>
      <c r="K30" s="140"/>
      <c r="L30" s="140"/>
      <c r="M30" s="140"/>
      <c r="N30" s="140"/>
      <c r="O30" s="140"/>
      <c r="P30" s="140"/>
      <c r="Q30" s="140"/>
      <c r="R30" s="140"/>
      <c r="S30" s="140"/>
      <c r="T30" s="140"/>
      <c r="U30" s="140"/>
      <c r="V30" s="140"/>
    </row>
    <row r="31" spans="1:22" ht="15.75" customHeight="1" x14ac:dyDescent="0.25">
      <c r="A31" s="140"/>
      <c r="B31" s="140"/>
      <c r="C31" s="140"/>
      <c r="D31" s="140"/>
      <c r="E31" s="140"/>
      <c r="F31" s="140"/>
      <c r="G31" s="140"/>
      <c r="H31" s="140"/>
      <c r="I31" s="140"/>
      <c r="J31" s="140"/>
      <c r="K31" s="140"/>
      <c r="L31" s="140"/>
      <c r="M31" s="140"/>
      <c r="N31" s="140"/>
      <c r="O31" s="140"/>
      <c r="P31" s="140"/>
      <c r="Q31" s="140"/>
      <c r="R31" s="140"/>
      <c r="S31" s="140"/>
      <c r="T31" s="140"/>
      <c r="U31" s="140"/>
      <c r="V31" s="140"/>
    </row>
    <row r="32" spans="1:22" ht="15.75" customHeight="1" x14ac:dyDescent="0.25">
      <c r="A32" s="140"/>
      <c r="B32" s="140"/>
      <c r="C32" s="140"/>
      <c r="D32" s="140"/>
      <c r="E32" s="140"/>
      <c r="F32" s="140"/>
      <c r="G32" s="140"/>
      <c r="H32" s="140"/>
      <c r="I32" s="140"/>
      <c r="J32" s="140"/>
      <c r="K32" s="140"/>
      <c r="L32" s="140"/>
      <c r="M32" s="140"/>
      <c r="N32" s="140"/>
      <c r="O32" s="140"/>
      <c r="P32" s="140"/>
      <c r="Q32" s="140"/>
      <c r="R32" s="140"/>
      <c r="S32" s="140"/>
      <c r="T32" s="140"/>
      <c r="U32" s="140"/>
      <c r="V32" s="140"/>
    </row>
    <row r="33" spans="1:22" ht="15.75" customHeight="1" x14ac:dyDescent="0.25">
      <c r="A33" s="140"/>
      <c r="B33" s="140"/>
      <c r="C33" s="140"/>
      <c r="D33" s="140"/>
      <c r="E33" s="140"/>
      <c r="F33" s="140"/>
      <c r="G33" s="140"/>
      <c r="H33" s="140"/>
      <c r="I33" s="140"/>
      <c r="J33" s="140"/>
      <c r="K33" s="140"/>
      <c r="L33" s="140"/>
      <c r="M33" s="140"/>
      <c r="N33" s="140"/>
      <c r="O33" s="140"/>
      <c r="P33" s="140"/>
      <c r="Q33" s="140"/>
      <c r="R33" s="140"/>
      <c r="S33" s="140"/>
      <c r="T33" s="140"/>
      <c r="U33" s="140"/>
      <c r="V33" s="140"/>
    </row>
    <row r="34" spans="1:22" ht="15.75" customHeight="1" x14ac:dyDescent="0.25">
      <c r="A34" s="140"/>
      <c r="B34" s="140"/>
      <c r="C34" s="140"/>
      <c r="D34" s="140"/>
      <c r="E34" s="140"/>
      <c r="F34" s="140"/>
      <c r="G34" s="140"/>
      <c r="H34" s="140"/>
      <c r="I34" s="140"/>
      <c r="J34" s="140"/>
      <c r="K34" s="140"/>
      <c r="L34" s="140"/>
      <c r="M34" s="140"/>
      <c r="N34" s="140"/>
      <c r="O34" s="140"/>
      <c r="P34" s="140"/>
      <c r="Q34" s="140"/>
      <c r="R34" s="140"/>
      <c r="S34" s="140"/>
      <c r="T34" s="140"/>
      <c r="U34" s="140"/>
      <c r="V34" s="140"/>
    </row>
    <row r="35" spans="1:22" ht="15.75" customHeight="1" x14ac:dyDescent="0.25">
      <c r="A35" s="140"/>
      <c r="B35" s="140"/>
      <c r="C35" s="140"/>
      <c r="D35" s="140"/>
      <c r="E35" s="140"/>
      <c r="F35" s="140"/>
      <c r="G35" s="140"/>
      <c r="H35" s="140"/>
      <c r="I35" s="140"/>
      <c r="J35" s="140"/>
      <c r="K35" s="140"/>
      <c r="L35" s="140"/>
      <c r="M35" s="140"/>
      <c r="N35" s="140"/>
      <c r="O35" s="140"/>
      <c r="P35" s="140"/>
      <c r="Q35" s="140"/>
      <c r="R35" s="140"/>
      <c r="S35" s="140"/>
      <c r="T35" s="140"/>
      <c r="U35" s="140"/>
      <c r="V35" s="140"/>
    </row>
    <row r="36" spans="1:22" ht="15.75" customHeight="1" x14ac:dyDescent="0.25">
      <c r="A36" s="140"/>
      <c r="B36" s="140"/>
      <c r="C36" s="140"/>
      <c r="D36" s="140"/>
      <c r="E36" s="140"/>
      <c r="F36" s="140"/>
      <c r="G36" s="140"/>
      <c r="H36" s="140"/>
      <c r="I36" s="140"/>
      <c r="J36" s="140"/>
      <c r="K36" s="140"/>
      <c r="L36" s="140"/>
      <c r="M36" s="140"/>
      <c r="N36" s="140"/>
      <c r="O36" s="140"/>
      <c r="P36" s="140"/>
      <c r="Q36" s="140"/>
      <c r="R36" s="140"/>
      <c r="S36" s="140"/>
      <c r="T36" s="140"/>
      <c r="U36" s="140"/>
      <c r="V36" s="140"/>
    </row>
    <row r="37" spans="1:22" ht="15.75" customHeight="1" x14ac:dyDescent="0.25">
      <c r="A37" s="140"/>
      <c r="B37" s="140"/>
      <c r="C37" s="140"/>
      <c r="D37" s="140"/>
      <c r="E37" s="140"/>
      <c r="F37" s="140"/>
      <c r="G37" s="140"/>
      <c r="H37" s="140"/>
      <c r="I37" s="140"/>
      <c r="J37" s="140"/>
      <c r="K37" s="140"/>
      <c r="L37" s="140"/>
      <c r="M37" s="140"/>
      <c r="N37" s="140"/>
      <c r="O37" s="140"/>
      <c r="P37" s="140"/>
      <c r="Q37" s="140"/>
      <c r="R37" s="140"/>
      <c r="S37" s="140"/>
      <c r="T37" s="140"/>
      <c r="U37" s="140"/>
      <c r="V37" s="140"/>
    </row>
    <row r="38" spans="1:22" ht="15.75" customHeight="1" x14ac:dyDescent="0.25">
      <c r="A38" s="140"/>
      <c r="B38" s="140"/>
      <c r="C38" s="140"/>
      <c r="D38" s="140"/>
      <c r="E38" s="140"/>
      <c r="F38" s="140"/>
      <c r="G38" s="140"/>
      <c r="H38" s="140"/>
      <c r="I38" s="140"/>
      <c r="J38" s="140"/>
      <c r="K38" s="140"/>
      <c r="L38" s="140"/>
      <c r="M38" s="140"/>
      <c r="N38" s="140"/>
      <c r="O38" s="140"/>
      <c r="P38" s="140"/>
      <c r="Q38" s="140"/>
      <c r="R38" s="140"/>
      <c r="S38" s="140"/>
      <c r="T38" s="140"/>
      <c r="U38" s="140"/>
      <c r="V38" s="140"/>
    </row>
    <row r="39" spans="1:22" ht="15.75" customHeight="1" x14ac:dyDescent="0.25">
      <c r="A39" s="140"/>
      <c r="B39" s="140"/>
      <c r="C39" s="140"/>
      <c r="D39" s="140"/>
      <c r="E39" s="140"/>
      <c r="F39" s="140"/>
      <c r="G39" s="140"/>
      <c r="H39" s="140"/>
      <c r="I39" s="140"/>
      <c r="J39" s="140"/>
      <c r="K39" s="140"/>
      <c r="L39" s="140"/>
      <c r="M39" s="140"/>
      <c r="N39" s="140"/>
      <c r="O39" s="140"/>
      <c r="P39" s="140"/>
      <c r="Q39" s="140"/>
      <c r="R39" s="140"/>
      <c r="S39" s="140"/>
      <c r="T39" s="140"/>
      <c r="U39" s="140"/>
      <c r="V39" s="140"/>
    </row>
    <row r="40" spans="1:22" ht="15.75" customHeight="1" x14ac:dyDescent="0.25">
      <c r="A40" s="140"/>
      <c r="B40" s="140"/>
      <c r="C40" s="140"/>
      <c r="D40" s="140"/>
      <c r="E40" s="140"/>
      <c r="F40" s="140"/>
      <c r="G40" s="140"/>
      <c r="H40" s="140"/>
      <c r="I40" s="140"/>
      <c r="J40" s="140"/>
      <c r="K40" s="140"/>
      <c r="L40" s="140"/>
      <c r="M40" s="140"/>
      <c r="N40" s="140"/>
      <c r="O40" s="140"/>
      <c r="P40" s="140"/>
      <c r="Q40" s="140"/>
      <c r="R40" s="140"/>
      <c r="S40" s="140"/>
      <c r="T40" s="140"/>
      <c r="U40" s="140"/>
      <c r="V40" s="140"/>
    </row>
    <row r="41" spans="1:22" ht="15.75" customHeight="1" x14ac:dyDescent="0.25">
      <c r="A41" s="140"/>
      <c r="B41" s="140"/>
      <c r="C41" s="140"/>
      <c r="D41" s="140"/>
      <c r="E41" s="140"/>
      <c r="F41" s="140"/>
      <c r="G41" s="140"/>
      <c r="H41" s="140"/>
      <c r="I41" s="140"/>
      <c r="J41" s="140"/>
      <c r="K41" s="140"/>
      <c r="L41" s="140"/>
      <c r="M41" s="140"/>
      <c r="N41" s="140"/>
      <c r="O41" s="140"/>
      <c r="P41" s="140"/>
      <c r="Q41" s="140"/>
      <c r="R41" s="140"/>
      <c r="S41" s="140"/>
      <c r="T41" s="140"/>
      <c r="U41" s="140"/>
      <c r="V41" s="140"/>
    </row>
    <row r="42" spans="1:22" ht="15.75" customHeight="1" x14ac:dyDescent="0.25">
      <c r="A42" s="140"/>
      <c r="B42" s="140"/>
      <c r="C42" s="140"/>
      <c r="D42" s="140"/>
      <c r="E42" s="140"/>
      <c r="F42" s="140"/>
      <c r="G42" s="140"/>
      <c r="H42" s="140"/>
      <c r="I42" s="140"/>
      <c r="J42" s="140"/>
      <c r="K42" s="140"/>
      <c r="L42" s="140"/>
      <c r="M42" s="140"/>
      <c r="N42" s="140"/>
      <c r="O42" s="140"/>
      <c r="P42" s="140"/>
      <c r="Q42" s="140"/>
      <c r="R42" s="140"/>
      <c r="S42" s="140"/>
      <c r="T42" s="140"/>
      <c r="U42" s="140"/>
      <c r="V42" s="140"/>
    </row>
    <row r="43" spans="1:22" ht="15.75" customHeight="1" x14ac:dyDescent="0.25">
      <c r="A43" s="140"/>
      <c r="B43" s="140"/>
      <c r="C43" s="140"/>
      <c r="D43" s="140"/>
      <c r="E43" s="140"/>
      <c r="F43" s="140"/>
      <c r="G43" s="140"/>
      <c r="H43" s="140"/>
      <c r="I43" s="140"/>
      <c r="J43" s="140"/>
      <c r="K43" s="140"/>
      <c r="L43" s="140"/>
      <c r="M43" s="140"/>
      <c r="N43" s="140"/>
      <c r="O43" s="140"/>
      <c r="P43" s="140"/>
      <c r="Q43" s="140"/>
      <c r="R43" s="140"/>
      <c r="S43" s="140"/>
      <c r="T43" s="140"/>
      <c r="U43" s="140"/>
      <c r="V43" s="140"/>
    </row>
    <row r="44" spans="1:22" ht="15.75" customHeight="1" x14ac:dyDescent="0.25">
      <c r="A44" s="140"/>
      <c r="B44" s="140"/>
      <c r="C44" s="140"/>
      <c r="D44" s="140"/>
      <c r="E44" s="140"/>
      <c r="F44" s="140"/>
      <c r="G44" s="140"/>
      <c r="H44" s="140"/>
      <c r="I44" s="140"/>
      <c r="J44" s="140"/>
      <c r="K44" s="140"/>
      <c r="L44" s="140"/>
      <c r="M44" s="140"/>
      <c r="N44" s="140"/>
      <c r="O44" s="140"/>
      <c r="P44" s="140"/>
      <c r="Q44" s="140"/>
      <c r="R44" s="140"/>
      <c r="S44" s="140"/>
      <c r="T44" s="140"/>
      <c r="U44" s="140"/>
      <c r="V44" s="140"/>
    </row>
    <row r="45" spans="1:22" ht="15.75" customHeight="1" x14ac:dyDescent="0.25">
      <c r="A45" s="140"/>
      <c r="B45" s="140"/>
      <c r="C45" s="140"/>
      <c r="D45" s="140"/>
      <c r="E45" s="140"/>
      <c r="F45" s="140"/>
      <c r="G45" s="140"/>
      <c r="H45" s="140"/>
      <c r="I45" s="140"/>
      <c r="J45" s="140"/>
      <c r="K45" s="140"/>
      <c r="L45" s="140"/>
      <c r="M45" s="140"/>
      <c r="N45" s="140"/>
      <c r="O45" s="140"/>
      <c r="P45" s="140"/>
      <c r="Q45" s="140"/>
      <c r="R45" s="140"/>
      <c r="S45" s="140"/>
      <c r="T45" s="140"/>
      <c r="U45" s="140"/>
      <c r="V45" s="140"/>
    </row>
    <row r="46" spans="1:22" ht="15.75" customHeight="1" x14ac:dyDescent="0.25">
      <c r="A46" s="140"/>
      <c r="B46" s="140"/>
      <c r="C46" s="140"/>
      <c r="D46" s="140"/>
      <c r="E46" s="140"/>
      <c r="F46" s="140"/>
      <c r="G46" s="140"/>
      <c r="H46" s="140"/>
      <c r="I46" s="140"/>
      <c r="J46" s="140"/>
      <c r="K46" s="140"/>
      <c r="L46" s="140"/>
      <c r="M46" s="140"/>
      <c r="N46" s="140"/>
      <c r="O46" s="140"/>
      <c r="P46" s="140"/>
      <c r="Q46" s="140"/>
      <c r="R46" s="140"/>
      <c r="S46" s="140"/>
      <c r="T46" s="140"/>
      <c r="U46" s="140"/>
      <c r="V46" s="140"/>
    </row>
    <row r="47" spans="1:22" ht="15.75" customHeight="1" x14ac:dyDescent="0.25">
      <c r="A47" s="140"/>
      <c r="B47" s="140"/>
      <c r="C47" s="140"/>
      <c r="D47" s="140"/>
      <c r="E47" s="140"/>
      <c r="F47" s="140"/>
      <c r="G47" s="140"/>
      <c r="H47" s="140"/>
      <c r="I47" s="140"/>
      <c r="J47" s="140"/>
      <c r="K47" s="140"/>
      <c r="L47" s="140"/>
      <c r="M47" s="140"/>
      <c r="N47" s="140"/>
      <c r="O47" s="140"/>
      <c r="P47" s="140"/>
      <c r="Q47" s="140"/>
      <c r="R47" s="140"/>
      <c r="S47" s="140"/>
      <c r="T47" s="140"/>
      <c r="U47" s="140"/>
      <c r="V47" s="140"/>
    </row>
    <row r="48" spans="1:22" ht="15.75" customHeight="1" x14ac:dyDescent="0.25">
      <c r="A48" s="140"/>
      <c r="B48" s="140"/>
      <c r="C48" s="140"/>
      <c r="D48" s="140"/>
      <c r="E48" s="140"/>
      <c r="F48" s="140"/>
      <c r="G48" s="140"/>
      <c r="H48" s="140"/>
      <c r="I48" s="140"/>
      <c r="J48" s="140"/>
      <c r="K48" s="140"/>
      <c r="L48" s="140"/>
      <c r="M48" s="140"/>
      <c r="N48" s="140"/>
      <c r="O48" s="140"/>
      <c r="P48" s="140"/>
      <c r="Q48" s="140"/>
      <c r="R48" s="140"/>
      <c r="S48" s="140"/>
      <c r="T48" s="140"/>
      <c r="U48" s="140"/>
      <c r="V48" s="140"/>
    </row>
    <row r="49" spans="1:22" ht="15.75" customHeight="1" x14ac:dyDescent="0.25">
      <c r="A49" s="140"/>
      <c r="B49" s="140"/>
      <c r="C49" s="140"/>
      <c r="D49" s="140"/>
      <c r="E49" s="140"/>
      <c r="F49" s="140"/>
      <c r="G49" s="140"/>
      <c r="H49" s="140"/>
      <c r="I49" s="140"/>
      <c r="J49" s="140"/>
      <c r="K49" s="140"/>
      <c r="L49" s="140"/>
      <c r="M49" s="140"/>
      <c r="N49" s="140"/>
      <c r="O49" s="140"/>
      <c r="P49" s="140"/>
      <c r="Q49" s="140"/>
      <c r="R49" s="140"/>
      <c r="S49" s="140"/>
      <c r="T49" s="140"/>
      <c r="U49" s="140"/>
      <c r="V49" s="140"/>
    </row>
    <row r="50" spans="1:22" ht="15.75" customHeight="1" x14ac:dyDescent="0.25">
      <c r="A50" s="140"/>
      <c r="B50" s="140"/>
      <c r="C50" s="140"/>
      <c r="D50" s="140"/>
      <c r="E50" s="140"/>
      <c r="F50" s="140"/>
      <c r="G50" s="140"/>
      <c r="H50" s="140"/>
      <c r="I50" s="140"/>
      <c r="J50" s="140"/>
      <c r="K50" s="140"/>
      <c r="L50" s="140"/>
      <c r="M50" s="140"/>
      <c r="N50" s="140"/>
      <c r="O50" s="140"/>
      <c r="P50" s="140"/>
      <c r="Q50" s="140"/>
      <c r="R50" s="140"/>
      <c r="S50" s="140"/>
      <c r="T50" s="140"/>
      <c r="U50" s="140"/>
      <c r="V50" s="140"/>
    </row>
    <row r="51" spans="1:22" ht="15.75" customHeight="1" x14ac:dyDescent="0.25">
      <c r="A51" s="140"/>
      <c r="B51" s="140"/>
      <c r="C51" s="140"/>
      <c r="D51" s="140"/>
      <c r="E51" s="140"/>
      <c r="F51" s="140"/>
      <c r="G51" s="140"/>
      <c r="H51" s="140"/>
      <c r="I51" s="140"/>
      <c r="J51" s="140"/>
      <c r="K51" s="140"/>
      <c r="L51" s="140"/>
      <c r="M51" s="140"/>
      <c r="N51" s="140"/>
      <c r="O51" s="140"/>
      <c r="P51" s="140"/>
      <c r="Q51" s="140"/>
      <c r="R51" s="140"/>
      <c r="S51" s="140"/>
      <c r="T51" s="140"/>
      <c r="U51" s="140"/>
      <c r="V51" s="140"/>
    </row>
    <row r="52" spans="1:22" ht="15.75" customHeight="1" x14ac:dyDescent="0.25">
      <c r="A52" s="140"/>
      <c r="B52" s="140"/>
      <c r="C52" s="140"/>
      <c r="D52" s="140"/>
      <c r="E52" s="140"/>
      <c r="F52" s="140"/>
      <c r="G52" s="140"/>
      <c r="H52" s="140"/>
      <c r="I52" s="140"/>
      <c r="J52" s="140"/>
      <c r="K52" s="140"/>
      <c r="L52" s="140"/>
      <c r="M52" s="140"/>
      <c r="N52" s="140"/>
      <c r="O52" s="140"/>
      <c r="P52" s="140"/>
      <c r="Q52" s="140"/>
      <c r="R52" s="140"/>
      <c r="S52" s="140"/>
      <c r="T52" s="140"/>
      <c r="U52" s="140"/>
      <c r="V52" s="140"/>
    </row>
    <row r="53" spans="1:22" ht="15.75" customHeight="1" x14ac:dyDescent="0.25">
      <c r="A53" s="140"/>
      <c r="B53" s="140"/>
      <c r="C53" s="140"/>
      <c r="D53" s="140"/>
      <c r="E53" s="140"/>
      <c r="F53" s="140"/>
      <c r="G53" s="140"/>
      <c r="H53" s="140"/>
      <c r="I53" s="140"/>
      <c r="J53" s="140"/>
      <c r="K53" s="140"/>
      <c r="L53" s="140"/>
      <c r="M53" s="140"/>
      <c r="N53" s="140"/>
      <c r="O53" s="140"/>
      <c r="P53" s="140"/>
      <c r="Q53" s="140"/>
      <c r="R53" s="140"/>
      <c r="S53" s="140"/>
      <c r="T53" s="140"/>
      <c r="U53" s="140"/>
      <c r="V53" s="140"/>
    </row>
    <row r="54" spans="1:22" ht="15.75" customHeight="1" x14ac:dyDescent="0.25">
      <c r="A54" s="140"/>
      <c r="B54" s="140"/>
      <c r="C54" s="140"/>
      <c r="D54" s="140"/>
      <c r="E54" s="140"/>
      <c r="F54" s="140"/>
      <c r="G54" s="140"/>
      <c r="H54" s="140"/>
      <c r="I54" s="140"/>
      <c r="J54" s="140"/>
      <c r="K54" s="140"/>
      <c r="L54" s="140"/>
      <c r="M54" s="140"/>
      <c r="N54" s="140"/>
      <c r="O54" s="140"/>
      <c r="P54" s="140"/>
      <c r="Q54" s="140"/>
      <c r="R54" s="140"/>
      <c r="S54" s="140"/>
      <c r="T54" s="140"/>
      <c r="U54" s="140"/>
      <c r="V54" s="140"/>
    </row>
    <row r="55" spans="1:22" ht="15.75" customHeight="1" x14ac:dyDescent="0.25">
      <c r="A55" s="140"/>
      <c r="B55" s="140"/>
      <c r="C55" s="140"/>
      <c r="D55" s="140"/>
      <c r="E55" s="140"/>
      <c r="F55" s="140"/>
      <c r="G55" s="140"/>
      <c r="H55" s="140"/>
      <c r="I55" s="140"/>
      <c r="J55" s="140"/>
      <c r="K55" s="140"/>
      <c r="L55" s="140"/>
      <c r="M55" s="140"/>
      <c r="N55" s="140"/>
      <c r="O55" s="140"/>
      <c r="P55" s="140"/>
      <c r="Q55" s="140"/>
      <c r="R55" s="140"/>
      <c r="S55" s="140"/>
      <c r="T55" s="140"/>
      <c r="U55" s="140"/>
      <c r="V55" s="140"/>
    </row>
    <row r="56" spans="1:22" ht="15.75" customHeight="1" x14ac:dyDescent="0.25">
      <c r="A56" s="140"/>
      <c r="B56" s="140"/>
      <c r="C56" s="140"/>
      <c r="D56" s="140"/>
      <c r="E56" s="140"/>
      <c r="F56" s="140"/>
      <c r="G56" s="140"/>
      <c r="H56" s="140"/>
      <c r="I56" s="140"/>
      <c r="J56" s="140"/>
      <c r="K56" s="140"/>
      <c r="L56" s="140"/>
      <c r="M56" s="140"/>
      <c r="N56" s="140"/>
      <c r="O56" s="140"/>
      <c r="P56" s="140"/>
      <c r="Q56" s="140"/>
      <c r="R56" s="140"/>
      <c r="S56" s="140"/>
      <c r="T56" s="140"/>
      <c r="U56" s="140"/>
      <c r="V56" s="140"/>
    </row>
    <row r="57" spans="1:22" ht="15.75" customHeight="1" x14ac:dyDescent="0.25">
      <c r="A57" s="140"/>
      <c r="B57" s="140"/>
      <c r="C57" s="140"/>
      <c r="D57" s="140"/>
      <c r="E57" s="140"/>
      <c r="F57" s="140"/>
      <c r="G57" s="140"/>
      <c r="H57" s="140"/>
      <c r="I57" s="140"/>
      <c r="J57" s="140"/>
      <c r="K57" s="140"/>
      <c r="L57" s="140"/>
      <c r="M57" s="140"/>
      <c r="N57" s="140"/>
      <c r="O57" s="140"/>
      <c r="P57" s="140"/>
      <c r="Q57" s="140"/>
      <c r="R57" s="140"/>
      <c r="S57" s="140"/>
      <c r="T57" s="140"/>
      <c r="U57" s="140"/>
      <c r="V57" s="140"/>
    </row>
    <row r="58" spans="1:22" ht="15.75" customHeight="1" x14ac:dyDescent="0.25">
      <c r="A58" s="140"/>
      <c r="B58" s="140"/>
      <c r="C58" s="140"/>
      <c r="D58" s="140"/>
      <c r="E58" s="140"/>
      <c r="F58" s="140"/>
      <c r="G58" s="140"/>
      <c r="H58" s="140"/>
      <c r="I58" s="140"/>
      <c r="J58" s="140"/>
      <c r="K58" s="140"/>
      <c r="L58" s="140"/>
      <c r="M58" s="140"/>
      <c r="N58" s="140"/>
      <c r="O58" s="140"/>
      <c r="P58" s="140"/>
      <c r="Q58" s="140"/>
      <c r="R58" s="140"/>
      <c r="S58" s="140"/>
      <c r="T58" s="140"/>
      <c r="U58" s="140"/>
      <c r="V58" s="140"/>
    </row>
    <row r="59" spans="1:22" ht="15.75" customHeight="1" x14ac:dyDescent="0.25">
      <c r="A59" s="140"/>
      <c r="B59" s="140"/>
      <c r="C59" s="140"/>
      <c r="D59" s="140"/>
      <c r="E59" s="140"/>
      <c r="F59" s="140"/>
      <c r="G59" s="140"/>
      <c r="H59" s="140"/>
      <c r="I59" s="140"/>
      <c r="J59" s="140"/>
      <c r="K59" s="140"/>
      <c r="L59" s="140"/>
      <c r="M59" s="140"/>
      <c r="N59" s="140"/>
      <c r="O59" s="140"/>
      <c r="P59" s="140"/>
      <c r="Q59" s="140"/>
      <c r="R59" s="140"/>
      <c r="S59" s="140"/>
      <c r="T59" s="140"/>
      <c r="U59" s="140"/>
      <c r="V59" s="140"/>
    </row>
    <row r="60" spans="1:22" ht="15.75" customHeight="1" x14ac:dyDescent="0.25">
      <c r="A60" s="140"/>
      <c r="B60" s="140"/>
      <c r="C60" s="140"/>
      <c r="D60" s="140"/>
      <c r="E60" s="140"/>
      <c r="F60" s="140"/>
      <c r="G60" s="140"/>
      <c r="H60" s="140"/>
      <c r="I60" s="140"/>
      <c r="J60" s="140"/>
      <c r="K60" s="140"/>
      <c r="L60" s="140"/>
      <c r="M60" s="140"/>
      <c r="N60" s="140"/>
      <c r="O60" s="140"/>
      <c r="P60" s="140"/>
      <c r="Q60" s="140"/>
      <c r="R60" s="140"/>
      <c r="S60" s="140"/>
      <c r="T60" s="140"/>
      <c r="U60" s="140"/>
      <c r="V60" s="140"/>
    </row>
    <row r="61" spans="1:22" ht="15.75" customHeight="1" x14ac:dyDescent="0.25">
      <c r="A61" s="140"/>
      <c r="B61" s="140"/>
      <c r="C61" s="140"/>
      <c r="D61" s="140"/>
      <c r="E61" s="140"/>
      <c r="F61" s="140"/>
      <c r="G61" s="140"/>
      <c r="H61" s="140"/>
      <c r="I61" s="140"/>
      <c r="J61" s="140"/>
      <c r="K61" s="140"/>
      <c r="L61" s="140"/>
      <c r="M61" s="140"/>
      <c r="N61" s="140"/>
      <c r="O61" s="140"/>
      <c r="P61" s="140"/>
      <c r="Q61" s="140"/>
      <c r="R61" s="140"/>
      <c r="S61" s="140"/>
      <c r="T61" s="140"/>
      <c r="U61" s="140"/>
      <c r="V61" s="140"/>
    </row>
    <row r="62" spans="1:22" ht="15.75" customHeight="1" x14ac:dyDescent="0.25">
      <c r="A62" s="140"/>
      <c r="B62" s="140"/>
      <c r="C62" s="140"/>
      <c r="D62" s="140"/>
      <c r="E62" s="140"/>
      <c r="F62" s="140"/>
      <c r="G62" s="140"/>
      <c r="H62" s="140"/>
      <c r="I62" s="140"/>
      <c r="J62" s="140"/>
      <c r="K62" s="140"/>
      <c r="L62" s="140"/>
      <c r="M62" s="140"/>
      <c r="N62" s="140"/>
      <c r="O62" s="140"/>
      <c r="P62" s="140"/>
      <c r="Q62" s="140"/>
      <c r="R62" s="140"/>
      <c r="S62" s="140"/>
      <c r="T62" s="140"/>
      <c r="U62" s="140"/>
      <c r="V62" s="140"/>
    </row>
    <row r="63" spans="1:22" ht="15.75" customHeight="1" x14ac:dyDescent="0.25">
      <c r="A63" s="140"/>
      <c r="B63" s="140"/>
      <c r="C63" s="140"/>
      <c r="D63" s="140"/>
      <c r="E63" s="140"/>
      <c r="F63" s="140"/>
      <c r="G63" s="140"/>
      <c r="H63" s="140"/>
      <c r="I63" s="140"/>
      <c r="J63" s="140"/>
      <c r="K63" s="140"/>
      <c r="L63" s="140"/>
      <c r="M63" s="140"/>
      <c r="N63" s="140"/>
      <c r="O63" s="140"/>
      <c r="P63" s="140"/>
      <c r="Q63" s="140"/>
      <c r="R63" s="140"/>
      <c r="S63" s="140"/>
      <c r="T63" s="140"/>
      <c r="U63" s="140"/>
      <c r="V63" s="140"/>
    </row>
    <row r="64" spans="1:22" ht="15.75" customHeight="1" x14ac:dyDescent="0.25">
      <c r="A64" s="140"/>
      <c r="B64" s="140"/>
      <c r="C64" s="140"/>
      <c r="D64" s="140"/>
      <c r="E64" s="140"/>
      <c r="F64" s="140"/>
      <c r="G64" s="140"/>
      <c r="H64" s="140"/>
      <c r="I64" s="140"/>
      <c r="J64" s="140"/>
      <c r="K64" s="140"/>
      <c r="L64" s="140"/>
      <c r="M64" s="140"/>
      <c r="N64" s="140"/>
      <c r="O64" s="140"/>
      <c r="P64" s="140"/>
      <c r="Q64" s="140"/>
      <c r="R64" s="140"/>
      <c r="S64" s="140"/>
      <c r="T64" s="140"/>
      <c r="U64" s="140"/>
      <c r="V64" s="140"/>
    </row>
    <row r="65" spans="1:22" ht="15.75" customHeight="1" x14ac:dyDescent="0.25">
      <c r="A65" s="140"/>
      <c r="B65" s="140"/>
      <c r="C65" s="140"/>
      <c r="D65" s="140"/>
      <c r="E65" s="140"/>
      <c r="F65" s="140"/>
      <c r="G65" s="140"/>
      <c r="H65" s="140"/>
      <c r="I65" s="140"/>
      <c r="J65" s="140"/>
      <c r="K65" s="140"/>
      <c r="L65" s="140"/>
      <c r="M65" s="140"/>
      <c r="N65" s="140"/>
      <c r="O65" s="140"/>
      <c r="P65" s="140"/>
      <c r="Q65" s="140"/>
      <c r="R65" s="140"/>
      <c r="S65" s="140"/>
      <c r="T65" s="140"/>
      <c r="U65" s="140"/>
      <c r="V65" s="140"/>
    </row>
    <row r="66" spans="1:22" ht="15.75" customHeight="1" x14ac:dyDescent="0.25">
      <c r="A66" s="140"/>
      <c r="B66" s="140"/>
      <c r="C66" s="140"/>
      <c r="D66" s="140"/>
      <c r="E66" s="140"/>
      <c r="F66" s="140"/>
      <c r="G66" s="140"/>
      <c r="H66" s="140"/>
      <c r="I66" s="140"/>
      <c r="J66" s="140"/>
      <c r="K66" s="140"/>
      <c r="L66" s="140"/>
      <c r="M66" s="140"/>
      <c r="N66" s="140"/>
      <c r="O66" s="140"/>
      <c r="P66" s="140"/>
      <c r="Q66" s="140"/>
      <c r="R66" s="140"/>
      <c r="S66" s="140"/>
      <c r="T66" s="140"/>
      <c r="U66" s="140"/>
      <c r="V66" s="140"/>
    </row>
    <row r="67" spans="1:22" ht="15.75" customHeight="1" x14ac:dyDescent="0.25">
      <c r="A67" s="140"/>
      <c r="B67" s="140"/>
      <c r="C67" s="140"/>
      <c r="D67" s="140"/>
      <c r="E67" s="140"/>
      <c r="F67" s="140"/>
      <c r="G67" s="140"/>
      <c r="H67" s="140"/>
      <c r="I67" s="140"/>
      <c r="J67" s="140"/>
      <c r="K67" s="140"/>
      <c r="L67" s="140"/>
      <c r="M67" s="140"/>
      <c r="N67" s="140"/>
      <c r="O67" s="140"/>
      <c r="P67" s="140"/>
      <c r="Q67" s="140"/>
      <c r="R67" s="140"/>
      <c r="S67" s="140"/>
      <c r="T67" s="140"/>
      <c r="U67" s="140"/>
      <c r="V67" s="140"/>
    </row>
    <row r="68" spans="1:22" ht="15.75" customHeight="1" x14ac:dyDescent="0.25">
      <c r="A68" s="140"/>
      <c r="B68" s="140"/>
      <c r="C68" s="140"/>
      <c r="D68" s="140"/>
      <c r="E68" s="140"/>
      <c r="F68" s="140"/>
      <c r="G68" s="140"/>
      <c r="H68" s="140"/>
      <c r="I68" s="140"/>
      <c r="J68" s="140"/>
      <c r="K68" s="140"/>
      <c r="L68" s="140"/>
      <c r="M68" s="140"/>
      <c r="N68" s="140"/>
      <c r="O68" s="140"/>
      <c r="P68" s="140"/>
      <c r="Q68" s="140"/>
      <c r="R68" s="140"/>
      <c r="S68" s="140"/>
      <c r="T68" s="140"/>
      <c r="U68" s="140"/>
      <c r="V68" s="140"/>
    </row>
    <row r="69" spans="1:22" ht="15.75" customHeight="1" x14ac:dyDescent="0.25">
      <c r="A69" s="140"/>
      <c r="B69" s="140"/>
      <c r="C69" s="140"/>
      <c r="D69" s="140"/>
      <c r="E69" s="140"/>
      <c r="F69" s="140"/>
      <c r="G69" s="140"/>
      <c r="H69" s="140"/>
      <c r="I69" s="140"/>
      <c r="J69" s="140"/>
      <c r="K69" s="140"/>
      <c r="L69" s="140"/>
      <c r="M69" s="140"/>
      <c r="N69" s="140"/>
      <c r="O69" s="140"/>
      <c r="P69" s="140"/>
      <c r="Q69" s="140"/>
      <c r="R69" s="140"/>
      <c r="S69" s="140"/>
      <c r="T69" s="140"/>
      <c r="U69" s="140"/>
      <c r="V69" s="140"/>
    </row>
    <row r="70" spans="1:22" ht="15.75" customHeight="1" x14ac:dyDescent="0.25">
      <c r="A70" s="140"/>
      <c r="B70" s="140"/>
      <c r="C70" s="140"/>
      <c r="D70" s="140"/>
      <c r="E70" s="140"/>
      <c r="F70" s="140"/>
      <c r="G70" s="140"/>
      <c r="H70" s="140"/>
      <c r="I70" s="140"/>
      <c r="J70" s="140"/>
      <c r="K70" s="140"/>
      <c r="L70" s="140"/>
      <c r="M70" s="140"/>
      <c r="N70" s="140"/>
      <c r="O70" s="140"/>
      <c r="P70" s="140"/>
      <c r="Q70" s="140"/>
      <c r="R70" s="140"/>
      <c r="S70" s="140"/>
      <c r="T70" s="140"/>
      <c r="U70" s="140"/>
      <c r="V70" s="140"/>
    </row>
    <row r="71" spans="1:22" ht="15.75" customHeight="1" x14ac:dyDescent="0.25">
      <c r="A71" s="140"/>
      <c r="B71" s="140"/>
      <c r="C71" s="140"/>
      <c r="D71" s="140"/>
      <c r="E71" s="140"/>
      <c r="F71" s="140"/>
      <c r="G71" s="140"/>
      <c r="H71" s="140"/>
      <c r="I71" s="140"/>
      <c r="J71" s="140"/>
      <c r="K71" s="140"/>
      <c r="L71" s="140"/>
      <c r="M71" s="140"/>
      <c r="N71" s="140"/>
      <c r="O71" s="140"/>
      <c r="P71" s="140"/>
      <c r="Q71" s="140"/>
      <c r="R71" s="140"/>
      <c r="S71" s="140"/>
      <c r="T71" s="140"/>
      <c r="U71" s="140"/>
      <c r="V71" s="140"/>
    </row>
    <row r="72" spans="1:22" ht="15.75" customHeight="1" x14ac:dyDescent="0.25">
      <c r="A72" s="140"/>
      <c r="B72" s="140"/>
      <c r="C72" s="140"/>
      <c r="D72" s="140"/>
      <c r="E72" s="140"/>
      <c r="F72" s="140"/>
      <c r="G72" s="140"/>
      <c r="H72" s="140"/>
      <c r="I72" s="140"/>
      <c r="J72" s="140"/>
      <c r="K72" s="140"/>
      <c r="L72" s="140"/>
      <c r="M72" s="140"/>
      <c r="N72" s="140"/>
      <c r="O72" s="140"/>
      <c r="P72" s="140"/>
      <c r="Q72" s="140"/>
      <c r="R72" s="140"/>
      <c r="S72" s="140"/>
      <c r="T72" s="140"/>
      <c r="U72" s="140"/>
      <c r="V72" s="140"/>
    </row>
    <row r="73" spans="1:22" ht="15.75" customHeight="1" x14ac:dyDescent="0.25">
      <c r="A73" s="140"/>
      <c r="B73" s="140"/>
      <c r="C73" s="140"/>
      <c r="D73" s="140"/>
      <c r="E73" s="140"/>
      <c r="F73" s="140"/>
      <c r="G73" s="140"/>
      <c r="H73" s="140"/>
      <c r="I73" s="140"/>
      <c r="J73" s="140"/>
      <c r="K73" s="140"/>
      <c r="L73" s="140"/>
      <c r="M73" s="140"/>
      <c r="N73" s="140"/>
      <c r="O73" s="140"/>
      <c r="P73" s="140"/>
      <c r="Q73" s="140"/>
      <c r="R73" s="140"/>
      <c r="S73" s="140"/>
      <c r="T73" s="140"/>
      <c r="U73" s="140"/>
      <c r="V73" s="140"/>
    </row>
    <row r="74" spans="1:22" ht="15.75" customHeight="1" x14ac:dyDescent="0.25">
      <c r="A74" s="140"/>
      <c r="B74" s="140"/>
      <c r="C74" s="140"/>
      <c r="D74" s="140"/>
      <c r="E74" s="140"/>
      <c r="F74" s="140"/>
      <c r="G74" s="140"/>
      <c r="H74" s="140"/>
      <c r="I74" s="140"/>
      <c r="J74" s="140"/>
      <c r="K74" s="140"/>
      <c r="L74" s="140"/>
      <c r="M74" s="140"/>
      <c r="N74" s="140"/>
      <c r="O74" s="140"/>
      <c r="P74" s="140"/>
      <c r="Q74" s="140"/>
      <c r="R74" s="140"/>
      <c r="S74" s="140"/>
      <c r="T74" s="140"/>
      <c r="U74" s="140"/>
      <c r="V74" s="140"/>
    </row>
    <row r="75" spans="1:22" ht="15.75" customHeight="1" x14ac:dyDescent="0.25">
      <c r="A75" s="140"/>
      <c r="B75" s="140"/>
      <c r="C75" s="140"/>
      <c r="D75" s="140"/>
      <c r="E75" s="140"/>
      <c r="F75" s="140"/>
      <c r="G75" s="140"/>
      <c r="H75" s="140"/>
      <c r="I75" s="140"/>
      <c r="J75" s="140"/>
      <c r="K75" s="140"/>
      <c r="L75" s="140"/>
      <c r="M75" s="140"/>
      <c r="N75" s="140"/>
      <c r="O75" s="140"/>
      <c r="P75" s="140"/>
      <c r="Q75" s="140"/>
      <c r="R75" s="140"/>
      <c r="S75" s="140"/>
      <c r="T75" s="140"/>
      <c r="U75" s="140"/>
      <c r="V75" s="140"/>
    </row>
    <row r="76" spans="1:22" ht="15.75" customHeight="1" x14ac:dyDescent="0.25">
      <c r="A76" s="140"/>
      <c r="B76" s="140"/>
      <c r="C76" s="140"/>
      <c r="D76" s="140"/>
      <c r="E76" s="140"/>
      <c r="F76" s="140"/>
      <c r="G76" s="140"/>
      <c r="H76" s="140"/>
      <c r="I76" s="140"/>
      <c r="J76" s="140"/>
      <c r="K76" s="140"/>
      <c r="L76" s="140"/>
      <c r="M76" s="140"/>
      <c r="N76" s="140"/>
      <c r="O76" s="140"/>
      <c r="P76" s="140"/>
      <c r="Q76" s="140"/>
      <c r="R76" s="140"/>
      <c r="S76" s="140"/>
      <c r="T76" s="140"/>
      <c r="U76" s="140"/>
      <c r="V76" s="140"/>
    </row>
    <row r="77" spans="1:22" ht="15.75" customHeight="1" x14ac:dyDescent="0.25">
      <c r="A77" s="140"/>
      <c r="B77" s="140"/>
      <c r="C77" s="140"/>
      <c r="D77" s="140"/>
      <c r="E77" s="140"/>
      <c r="F77" s="140"/>
      <c r="G77" s="140"/>
      <c r="H77" s="140"/>
      <c r="I77" s="140"/>
      <c r="J77" s="140"/>
      <c r="K77" s="140"/>
      <c r="L77" s="140"/>
      <c r="M77" s="140"/>
      <c r="N77" s="140"/>
      <c r="O77" s="140"/>
      <c r="P77" s="140"/>
      <c r="Q77" s="140"/>
      <c r="R77" s="140"/>
      <c r="S77" s="140"/>
      <c r="T77" s="140"/>
      <c r="U77" s="140"/>
      <c r="V77" s="140"/>
    </row>
    <row r="78" spans="1:22" ht="15.75" customHeight="1" x14ac:dyDescent="0.25">
      <c r="A78" s="140"/>
      <c r="B78" s="140"/>
      <c r="C78" s="140"/>
      <c r="D78" s="140"/>
      <c r="E78" s="140"/>
      <c r="F78" s="140"/>
      <c r="G78" s="140"/>
      <c r="H78" s="140"/>
      <c r="I78" s="140"/>
      <c r="J78" s="140"/>
      <c r="K78" s="140"/>
      <c r="L78" s="140"/>
      <c r="M78" s="140"/>
      <c r="N78" s="140"/>
      <c r="O78" s="140"/>
      <c r="P78" s="140"/>
      <c r="Q78" s="140"/>
      <c r="R78" s="140"/>
      <c r="S78" s="140"/>
      <c r="T78" s="140"/>
      <c r="U78" s="140"/>
      <c r="V78" s="140"/>
    </row>
    <row r="79" spans="1:22" ht="15.75" customHeight="1" x14ac:dyDescent="0.25">
      <c r="A79" s="140"/>
      <c r="B79" s="140"/>
      <c r="C79" s="140"/>
      <c r="D79" s="140"/>
      <c r="E79" s="140"/>
      <c r="F79" s="140"/>
      <c r="G79" s="140"/>
      <c r="H79" s="140"/>
      <c r="I79" s="140"/>
      <c r="J79" s="140"/>
      <c r="K79" s="140"/>
      <c r="L79" s="140"/>
      <c r="M79" s="140"/>
      <c r="N79" s="140"/>
      <c r="O79" s="140"/>
      <c r="P79" s="140"/>
      <c r="Q79" s="140"/>
      <c r="R79" s="140"/>
      <c r="S79" s="140"/>
      <c r="T79" s="140"/>
      <c r="U79" s="140"/>
      <c r="V79" s="140"/>
    </row>
    <row r="80" spans="1:22" ht="15.75" customHeight="1" x14ac:dyDescent="0.25">
      <c r="A80" s="140"/>
      <c r="B80" s="140"/>
      <c r="C80" s="140"/>
      <c r="D80" s="140"/>
      <c r="E80" s="140"/>
      <c r="F80" s="140"/>
      <c r="G80" s="140"/>
      <c r="H80" s="140"/>
      <c r="I80" s="140"/>
      <c r="J80" s="140"/>
      <c r="K80" s="140"/>
      <c r="L80" s="140"/>
      <c r="M80" s="140"/>
      <c r="N80" s="140"/>
      <c r="O80" s="140"/>
      <c r="P80" s="140"/>
      <c r="Q80" s="140"/>
      <c r="R80" s="140"/>
      <c r="S80" s="140"/>
      <c r="T80" s="140"/>
      <c r="U80" s="140"/>
      <c r="V80" s="140"/>
    </row>
    <row r="81" spans="1:22" ht="15.75" customHeight="1" x14ac:dyDescent="0.25">
      <c r="A81" s="140"/>
      <c r="B81" s="140"/>
      <c r="C81" s="140"/>
      <c r="D81" s="140"/>
      <c r="E81" s="140"/>
      <c r="F81" s="140"/>
      <c r="G81" s="140"/>
      <c r="H81" s="140"/>
      <c r="I81" s="140"/>
      <c r="J81" s="140"/>
      <c r="K81" s="140"/>
      <c r="L81" s="140"/>
      <c r="M81" s="140"/>
      <c r="N81" s="140"/>
      <c r="O81" s="140"/>
      <c r="P81" s="140"/>
      <c r="Q81" s="140"/>
      <c r="R81" s="140"/>
      <c r="S81" s="140"/>
      <c r="T81" s="140"/>
      <c r="U81" s="140"/>
      <c r="V81" s="140"/>
    </row>
    <row r="82" spans="1:22" ht="15.75" customHeight="1" x14ac:dyDescent="0.25">
      <c r="A82" s="140"/>
      <c r="B82" s="140"/>
      <c r="C82" s="140"/>
      <c r="D82" s="140"/>
      <c r="E82" s="140"/>
      <c r="F82" s="140"/>
      <c r="G82" s="140"/>
      <c r="H82" s="140"/>
      <c r="I82" s="140"/>
      <c r="J82" s="140"/>
      <c r="K82" s="140"/>
      <c r="L82" s="140"/>
      <c r="M82" s="140"/>
      <c r="N82" s="140"/>
      <c r="O82" s="140"/>
      <c r="P82" s="140"/>
      <c r="Q82" s="140"/>
      <c r="R82" s="140"/>
      <c r="S82" s="140"/>
      <c r="T82" s="140"/>
      <c r="U82" s="140"/>
      <c r="V82" s="140"/>
    </row>
    <row r="83" spans="1:22" ht="15.75" customHeight="1" x14ac:dyDescent="0.25">
      <c r="A83" s="140"/>
      <c r="B83" s="140"/>
      <c r="C83" s="140"/>
      <c r="D83" s="140"/>
      <c r="E83" s="140"/>
      <c r="F83" s="140"/>
      <c r="G83" s="140"/>
      <c r="H83" s="140"/>
      <c r="I83" s="140"/>
      <c r="J83" s="140"/>
      <c r="K83" s="140"/>
      <c r="L83" s="140"/>
      <c r="M83" s="140"/>
      <c r="N83" s="140"/>
      <c r="O83" s="140"/>
      <c r="P83" s="140"/>
      <c r="Q83" s="140"/>
      <c r="R83" s="140"/>
      <c r="S83" s="140"/>
      <c r="T83" s="140"/>
      <c r="U83" s="140"/>
      <c r="V83" s="140"/>
    </row>
    <row r="84" spans="1:22" ht="15.75" customHeight="1" x14ac:dyDescent="0.25">
      <c r="A84" s="140"/>
      <c r="B84" s="140"/>
      <c r="C84" s="140"/>
      <c r="D84" s="140"/>
      <c r="E84" s="140"/>
      <c r="F84" s="140"/>
      <c r="G84" s="140"/>
      <c r="H84" s="140"/>
      <c r="I84" s="140"/>
      <c r="J84" s="140"/>
      <c r="K84" s="140"/>
      <c r="L84" s="140"/>
      <c r="M84" s="140"/>
      <c r="N84" s="140"/>
      <c r="O84" s="140"/>
      <c r="P84" s="140"/>
      <c r="Q84" s="140"/>
      <c r="R84" s="140"/>
      <c r="S84" s="140"/>
      <c r="T84" s="140"/>
      <c r="U84" s="140"/>
      <c r="V84" s="140"/>
    </row>
    <row r="85" spans="1:22" ht="15.75" customHeight="1" x14ac:dyDescent="0.25">
      <c r="A85" s="140"/>
      <c r="B85" s="140"/>
      <c r="C85" s="140"/>
      <c r="D85" s="140"/>
      <c r="E85" s="140"/>
      <c r="F85" s="140"/>
      <c r="G85" s="140"/>
      <c r="H85" s="140"/>
      <c r="I85" s="140"/>
      <c r="J85" s="140"/>
      <c r="K85" s="140"/>
      <c r="L85" s="140"/>
      <c r="M85" s="140"/>
      <c r="N85" s="140"/>
      <c r="O85" s="140"/>
      <c r="P85" s="140"/>
      <c r="Q85" s="140"/>
      <c r="R85" s="140"/>
      <c r="S85" s="140"/>
      <c r="T85" s="140"/>
      <c r="U85" s="140"/>
      <c r="V85" s="140"/>
    </row>
    <row r="86" spans="1:22" ht="15.75" customHeight="1" x14ac:dyDescent="0.25">
      <c r="A86" s="140"/>
      <c r="B86" s="140"/>
      <c r="C86" s="140"/>
      <c r="D86" s="140"/>
      <c r="E86" s="140"/>
      <c r="F86" s="140"/>
      <c r="G86" s="140"/>
      <c r="H86" s="140"/>
      <c r="I86" s="140"/>
      <c r="J86" s="140"/>
      <c r="K86" s="140"/>
      <c r="L86" s="140"/>
      <c r="M86" s="140"/>
      <c r="N86" s="140"/>
      <c r="O86" s="140"/>
      <c r="P86" s="140"/>
      <c r="Q86" s="140"/>
      <c r="R86" s="140"/>
      <c r="S86" s="140"/>
      <c r="T86" s="140"/>
      <c r="U86" s="140"/>
      <c r="V86" s="140"/>
    </row>
    <row r="87" spans="1:22" ht="15.75" customHeight="1" x14ac:dyDescent="0.25">
      <c r="A87" s="140"/>
      <c r="B87" s="140"/>
      <c r="C87" s="140"/>
      <c r="D87" s="140"/>
      <c r="E87" s="140"/>
      <c r="F87" s="140"/>
      <c r="G87" s="140"/>
      <c r="H87" s="140"/>
      <c r="I87" s="140"/>
      <c r="J87" s="140"/>
      <c r="K87" s="140"/>
      <c r="L87" s="140"/>
      <c r="M87" s="140"/>
      <c r="N87" s="140"/>
      <c r="O87" s="140"/>
      <c r="P87" s="140"/>
      <c r="Q87" s="140"/>
      <c r="R87" s="140"/>
      <c r="S87" s="140"/>
      <c r="T87" s="140"/>
      <c r="U87" s="140"/>
      <c r="V87" s="140"/>
    </row>
    <row r="88" spans="1:22" ht="15.75" customHeight="1" x14ac:dyDescent="0.25">
      <c r="A88" s="140"/>
      <c r="B88" s="140"/>
      <c r="C88" s="140"/>
      <c r="D88" s="140"/>
      <c r="E88" s="140"/>
      <c r="F88" s="140"/>
      <c r="G88" s="140"/>
      <c r="H88" s="140"/>
      <c r="I88" s="140"/>
      <c r="J88" s="140"/>
      <c r="K88" s="140"/>
      <c r="L88" s="140"/>
      <c r="M88" s="140"/>
      <c r="N88" s="140"/>
      <c r="O88" s="140"/>
      <c r="P88" s="140"/>
      <c r="Q88" s="140"/>
      <c r="R88" s="140"/>
      <c r="S88" s="140"/>
      <c r="T88" s="140"/>
      <c r="U88" s="140"/>
      <c r="V88" s="140"/>
    </row>
    <row r="89" spans="1:22" ht="15.75" customHeight="1" x14ac:dyDescent="0.25">
      <c r="A89" s="140"/>
      <c r="B89" s="140"/>
      <c r="C89" s="140"/>
      <c r="D89" s="140"/>
      <c r="E89" s="140"/>
      <c r="F89" s="140"/>
      <c r="G89" s="140"/>
      <c r="H89" s="140"/>
      <c r="I89" s="140"/>
      <c r="J89" s="140"/>
      <c r="K89" s="140"/>
      <c r="L89" s="140"/>
      <c r="M89" s="140"/>
      <c r="N89" s="140"/>
      <c r="O89" s="140"/>
      <c r="P89" s="140"/>
      <c r="Q89" s="140"/>
      <c r="R89" s="140"/>
      <c r="S89" s="140"/>
      <c r="T89" s="140"/>
      <c r="U89" s="140"/>
      <c r="V89" s="140"/>
    </row>
    <row r="90" spans="1:22" ht="15.75" customHeight="1" x14ac:dyDescent="0.25">
      <c r="A90" s="140"/>
      <c r="B90" s="140"/>
      <c r="C90" s="140"/>
      <c r="D90" s="140"/>
      <c r="E90" s="140"/>
      <c r="F90" s="140"/>
      <c r="G90" s="140"/>
      <c r="H90" s="140"/>
      <c r="I90" s="140"/>
      <c r="J90" s="140"/>
      <c r="K90" s="140"/>
      <c r="L90" s="140"/>
      <c r="M90" s="140"/>
      <c r="N90" s="140"/>
      <c r="O90" s="140"/>
      <c r="P90" s="140"/>
      <c r="Q90" s="140"/>
      <c r="R90" s="140"/>
      <c r="S90" s="140"/>
      <c r="T90" s="140"/>
      <c r="U90" s="140"/>
      <c r="V90" s="140"/>
    </row>
    <row r="91" spans="1:22" ht="15.75" customHeight="1" x14ac:dyDescent="0.25">
      <c r="A91" s="140"/>
      <c r="B91" s="140"/>
      <c r="C91" s="140"/>
      <c r="D91" s="140"/>
      <c r="E91" s="140"/>
      <c r="F91" s="140"/>
      <c r="G91" s="140"/>
      <c r="H91" s="140"/>
      <c r="I91" s="140"/>
      <c r="J91" s="140"/>
      <c r="K91" s="140"/>
      <c r="L91" s="140"/>
      <c r="M91" s="140"/>
      <c r="N91" s="140"/>
      <c r="O91" s="140"/>
      <c r="P91" s="140"/>
      <c r="Q91" s="140"/>
      <c r="R91" s="140"/>
      <c r="S91" s="140"/>
      <c r="T91" s="140"/>
      <c r="U91" s="140"/>
      <c r="V91" s="140"/>
    </row>
    <row r="92" spans="1:22" ht="15.75" customHeight="1" x14ac:dyDescent="0.25">
      <c r="A92" s="140"/>
      <c r="B92" s="140"/>
      <c r="C92" s="140"/>
      <c r="D92" s="140"/>
      <c r="E92" s="140"/>
      <c r="F92" s="140"/>
      <c r="G92" s="140"/>
      <c r="H92" s="140"/>
      <c r="I92" s="140"/>
      <c r="J92" s="140"/>
      <c r="K92" s="140"/>
      <c r="L92" s="140"/>
      <c r="M92" s="140"/>
      <c r="N92" s="140"/>
      <c r="O92" s="140"/>
      <c r="P92" s="140"/>
      <c r="Q92" s="140"/>
      <c r="R92" s="140"/>
      <c r="S92" s="140"/>
      <c r="T92" s="140"/>
      <c r="U92" s="140"/>
      <c r="V92" s="140"/>
    </row>
    <row r="93" spans="1:22" ht="15.75" customHeight="1" x14ac:dyDescent="0.25">
      <c r="A93" s="140"/>
      <c r="B93" s="140"/>
      <c r="C93" s="140"/>
      <c r="D93" s="140"/>
      <c r="E93" s="140"/>
      <c r="F93" s="140"/>
      <c r="G93" s="140"/>
      <c r="H93" s="140"/>
      <c r="I93" s="140"/>
      <c r="J93" s="140"/>
      <c r="K93" s="140"/>
      <c r="L93" s="140"/>
      <c r="M93" s="140"/>
      <c r="N93" s="140"/>
      <c r="O93" s="140"/>
      <c r="P93" s="140"/>
      <c r="Q93" s="140"/>
      <c r="R93" s="140"/>
      <c r="S93" s="140"/>
      <c r="T93" s="140"/>
      <c r="U93" s="140"/>
      <c r="V93" s="140"/>
    </row>
    <row r="94" spans="1:22" ht="15.75" customHeight="1" x14ac:dyDescent="0.25">
      <c r="A94" s="140"/>
      <c r="B94" s="140"/>
      <c r="C94" s="140"/>
      <c r="D94" s="140"/>
      <c r="E94" s="140"/>
      <c r="F94" s="140"/>
      <c r="G94" s="140"/>
      <c r="H94" s="140"/>
      <c r="I94" s="140"/>
      <c r="J94" s="140"/>
      <c r="K94" s="140"/>
      <c r="L94" s="140"/>
      <c r="M94" s="140"/>
      <c r="N94" s="140"/>
      <c r="O94" s="140"/>
      <c r="P94" s="140"/>
      <c r="Q94" s="140"/>
      <c r="R94" s="140"/>
      <c r="S94" s="140"/>
      <c r="T94" s="140"/>
      <c r="U94" s="140"/>
      <c r="V94" s="140"/>
    </row>
    <row r="95" spans="1:22" ht="15.75" customHeight="1" x14ac:dyDescent="0.25">
      <c r="A95" s="140"/>
      <c r="B95" s="140"/>
      <c r="C95" s="140"/>
      <c r="D95" s="140"/>
      <c r="E95" s="140"/>
      <c r="F95" s="140"/>
      <c r="G95" s="140"/>
      <c r="H95" s="140"/>
      <c r="I95" s="140"/>
      <c r="J95" s="140"/>
      <c r="K95" s="140"/>
      <c r="L95" s="140"/>
      <c r="M95" s="140"/>
      <c r="N95" s="140"/>
      <c r="O95" s="140"/>
      <c r="P95" s="140"/>
      <c r="Q95" s="140"/>
      <c r="R95" s="140"/>
      <c r="S95" s="140"/>
      <c r="T95" s="140"/>
      <c r="U95" s="140"/>
      <c r="V95" s="140"/>
    </row>
    <row r="96" spans="1:22" ht="15.75" customHeight="1" x14ac:dyDescent="0.25">
      <c r="A96" s="140"/>
      <c r="B96" s="140"/>
      <c r="C96" s="140"/>
      <c r="D96" s="140"/>
      <c r="E96" s="140"/>
      <c r="F96" s="140"/>
      <c r="G96" s="140"/>
      <c r="H96" s="140"/>
      <c r="I96" s="140"/>
      <c r="J96" s="140"/>
      <c r="K96" s="140"/>
      <c r="L96" s="140"/>
      <c r="M96" s="140"/>
      <c r="N96" s="140"/>
      <c r="O96" s="140"/>
      <c r="P96" s="140"/>
      <c r="Q96" s="140"/>
      <c r="R96" s="140"/>
      <c r="S96" s="140"/>
      <c r="T96" s="140"/>
      <c r="U96" s="140"/>
      <c r="V96" s="140"/>
    </row>
    <row r="97" spans="1:22" ht="15.75" customHeight="1" x14ac:dyDescent="0.25">
      <c r="A97" s="140"/>
      <c r="B97" s="140"/>
      <c r="C97" s="140"/>
      <c r="D97" s="140"/>
      <c r="E97" s="140"/>
      <c r="F97" s="140"/>
      <c r="G97" s="140"/>
      <c r="H97" s="140"/>
      <c r="I97" s="140"/>
      <c r="J97" s="140"/>
      <c r="K97" s="140"/>
      <c r="L97" s="140"/>
      <c r="M97" s="140"/>
      <c r="N97" s="140"/>
      <c r="O97" s="140"/>
      <c r="P97" s="140"/>
      <c r="Q97" s="140"/>
      <c r="R97" s="140"/>
      <c r="S97" s="140"/>
      <c r="T97" s="140"/>
      <c r="U97" s="140"/>
      <c r="V97" s="140"/>
    </row>
    <row r="98" spans="1:22" ht="15.75" customHeight="1" x14ac:dyDescent="0.25">
      <c r="A98" s="140"/>
      <c r="B98" s="140"/>
      <c r="C98" s="140"/>
      <c r="D98" s="140"/>
      <c r="E98" s="140"/>
      <c r="F98" s="140"/>
      <c r="G98" s="140"/>
      <c r="H98" s="140"/>
      <c r="I98" s="140"/>
      <c r="J98" s="140"/>
      <c r="K98" s="140"/>
      <c r="L98" s="140"/>
      <c r="M98" s="140"/>
      <c r="N98" s="140"/>
      <c r="O98" s="140"/>
      <c r="P98" s="140"/>
      <c r="Q98" s="140"/>
      <c r="R98" s="140"/>
      <c r="S98" s="140"/>
      <c r="T98" s="140"/>
      <c r="U98" s="140"/>
      <c r="V98" s="140"/>
    </row>
    <row r="99" spans="1:22" ht="15.75" customHeight="1" x14ac:dyDescent="0.25">
      <c r="A99" s="140"/>
      <c r="B99" s="140"/>
      <c r="C99" s="140"/>
      <c r="D99" s="140"/>
      <c r="E99" s="140"/>
      <c r="F99" s="140"/>
      <c r="G99" s="140"/>
      <c r="H99" s="140"/>
      <c r="I99" s="140"/>
      <c r="J99" s="140"/>
      <c r="K99" s="140"/>
      <c r="L99" s="140"/>
      <c r="M99" s="140"/>
      <c r="N99" s="140"/>
      <c r="O99" s="140"/>
      <c r="P99" s="140"/>
      <c r="Q99" s="140"/>
      <c r="R99" s="140"/>
      <c r="S99" s="140"/>
      <c r="T99" s="140"/>
      <c r="U99" s="140"/>
      <c r="V99" s="140"/>
    </row>
    <row r="100" spans="1:22"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row>
    <row r="101" spans="1:22"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row>
    <row r="102" spans="1:22"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row>
    <row r="103" spans="1:22"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row>
    <row r="104" spans="1:22"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row>
    <row r="105" spans="1:22"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row>
    <row r="106" spans="1:22"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row>
    <row r="107" spans="1:22"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row>
    <row r="108" spans="1:22"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row>
    <row r="109" spans="1:22"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row>
    <row r="110" spans="1:22"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row>
    <row r="111" spans="1:22"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row>
    <row r="112" spans="1:22"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row>
    <row r="113" spans="1:22"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row>
    <row r="114" spans="1:22"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row>
    <row r="115" spans="1:22"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row>
    <row r="116" spans="1:22"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row>
    <row r="117" spans="1:22"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row>
    <row r="118" spans="1:22"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row>
    <row r="119" spans="1:22"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row>
    <row r="120" spans="1:22"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row>
    <row r="121" spans="1:22"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row>
    <row r="122" spans="1:22"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row>
    <row r="123" spans="1:22"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row>
    <row r="124" spans="1:22"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row>
    <row r="125" spans="1:22"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row>
    <row r="126" spans="1:22"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row>
    <row r="127" spans="1:22"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row>
    <row r="128" spans="1:22"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row>
    <row r="129" spans="1:22"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row>
    <row r="130" spans="1:22"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row>
    <row r="131" spans="1:22"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row>
    <row r="132" spans="1:22"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row>
    <row r="133" spans="1:22"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row>
    <row r="134" spans="1:22"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row>
    <row r="135" spans="1:22"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row>
    <row r="136" spans="1:22"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row>
    <row r="137" spans="1:22"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row>
    <row r="138" spans="1:22"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row>
    <row r="139" spans="1:22"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row>
    <row r="140" spans="1:22"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row>
    <row r="141" spans="1:22"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row>
    <row r="142" spans="1:22"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row>
    <row r="143" spans="1:22"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row>
    <row r="144" spans="1:22"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row>
    <row r="145" spans="1:22"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row>
    <row r="146" spans="1:22"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row>
    <row r="147" spans="1:22"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row>
    <row r="148" spans="1:22"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row>
    <row r="149" spans="1:22"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row>
    <row r="150" spans="1:22"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row>
    <row r="151" spans="1:22"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row>
    <row r="152" spans="1:22"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row>
    <row r="153" spans="1:22"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row>
    <row r="154" spans="1:22"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row>
    <row r="155" spans="1:22"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row>
    <row r="156" spans="1:22"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row>
    <row r="157" spans="1:22"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row>
    <row r="158" spans="1:22"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row>
    <row r="159" spans="1:22"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row>
    <row r="160" spans="1:22"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row>
    <row r="161" spans="1:22"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row>
    <row r="162" spans="1:22"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row>
    <row r="163" spans="1:22"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row>
    <row r="164" spans="1:22"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row>
    <row r="165" spans="1:22"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row>
    <row r="166" spans="1:22"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row>
    <row r="167" spans="1:22"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row>
    <row r="168" spans="1:22"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row>
    <row r="169" spans="1:22"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row>
    <row r="170" spans="1:22"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row>
    <row r="171" spans="1:22"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row>
    <row r="172" spans="1:22"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row>
    <row r="173" spans="1:22"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row>
    <row r="174" spans="1:22"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row>
    <row r="175" spans="1:22"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row>
    <row r="176" spans="1:22"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row>
    <row r="177" spans="1:22"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row>
    <row r="178" spans="1:22"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row>
    <row r="179" spans="1:22"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row>
    <row r="180" spans="1:22"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row>
    <row r="181" spans="1:22"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row>
    <row r="182" spans="1:22"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row>
    <row r="183" spans="1:22"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row>
    <row r="184" spans="1:22"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row>
    <row r="185" spans="1:22"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row>
    <row r="186" spans="1:22"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row>
    <row r="187" spans="1:22"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row>
    <row r="188" spans="1:22"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row>
    <row r="189" spans="1:22"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row>
    <row r="190" spans="1:22"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row>
    <row r="191" spans="1:22"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row>
    <row r="192" spans="1:22"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row>
    <row r="193" spans="1:22"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row>
    <row r="194" spans="1:22"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row>
    <row r="195" spans="1:22"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row>
    <row r="196" spans="1:22"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row>
    <row r="197" spans="1:22"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row>
    <row r="198" spans="1:22"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row>
    <row r="199" spans="1:22"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row>
    <row r="200" spans="1:22"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row>
    <row r="201" spans="1:22"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row>
    <row r="202" spans="1:22"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row>
    <row r="203" spans="1:22"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row>
    <row r="204" spans="1:22"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row>
    <row r="205" spans="1:22"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row>
    <row r="206" spans="1:22"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row>
    <row r="207" spans="1:22"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row>
    <row r="208" spans="1:22"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row>
    <row r="209" spans="1:22"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row>
    <row r="210" spans="1:22"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row>
    <row r="211" spans="1:22"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row>
    <row r="212" spans="1:22"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row>
    <row r="213" spans="1:22"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row>
    <row r="214" spans="1:22"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row>
    <row r="215" spans="1:22"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row>
    <row r="216" spans="1:22"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row>
    <row r="217" spans="1:22"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row>
    <row r="218" spans="1:22"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row>
    <row r="219" spans="1:22"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row>
    <row r="220" spans="1:22"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row>
    <row r="221" spans="1:22"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row>
    <row r="222" spans="1:22"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row>
    <row r="223" spans="1:22"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row>
    <row r="224" spans="1:22"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row>
    <row r="225" spans="1:22"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row>
    <row r="226" spans="1:22"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row>
    <row r="227" spans="1:22"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row>
    <row r="228" spans="1:22"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row>
    <row r="229" spans="1:22"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row>
    <row r="230" spans="1:22"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row>
    <row r="231" spans="1:22"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row>
    <row r="232" spans="1:22"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row>
    <row r="233" spans="1:22"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row>
    <row r="234" spans="1:22"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row>
    <row r="235" spans="1:22"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row>
    <row r="236" spans="1:22"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row>
    <row r="237" spans="1:22"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row>
    <row r="238" spans="1:22"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row>
    <row r="239" spans="1:22"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row>
    <row r="240" spans="1:22"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row>
    <row r="241" spans="1:22"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row>
    <row r="242" spans="1:22"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row>
    <row r="243" spans="1:22"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row>
    <row r="244" spans="1:22"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row>
    <row r="245" spans="1:22"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row>
    <row r="246" spans="1:22"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row>
    <row r="247" spans="1:22"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row>
    <row r="248" spans="1:22"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row>
    <row r="249" spans="1:22"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row>
    <row r="250" spans="1:22"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row>
    <row r="251" spans="1:22"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row>
    <row r="252" spans="1:22"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row>
    <row r="253" spans="1:22"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row>
    <row r="254" spans="1:22"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row>
    <row r="255" spans="1:22"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row>
    <row r="256" spans="1:22"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row>
    <row r="257" spans="1:22"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row>
    <row r="258" spans="1:22"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row>
    <row r="259" spans="1:22"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row>
    <row r="260" spans="1:22"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row>
    <row r="261" spans="1:22"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row>
    <row r="262" spans="1:22"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row>
    <row r="263" spans="1:22"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row>
    <row r="264" spans="1:22"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row>
    <row r="265" spans="1:22"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row>
    <row r="266" spans="1:22"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row>
    <row r="267" spans="1:22"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row>
    <row r="268" spans="1:22"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row>
    <row r="269" spans="1:22"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row>
    <row r="270" spans="1:22"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row>
    <row r="271" spans="1:22"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row>
    <row r="272" spans="1:22"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row>
    <row r="273" spans="1:22"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row>
    <row r="274" spans="1:22"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row>
    <row r="275" spans="1:22"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row>
    <row r="276" spans="1:22"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row>
    <row r="277" spans="1:22"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row>
    <row r="278" spans="1:22"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row>
    <row r="279" spans="1:22"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row>
    <row r="280" spans="1:22"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row>
    <row r="281" spans="1:22"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row>
    <row r="282" spans="1:22"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row>
    <row r="283" spans="1:22"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row>
    <row r="284" spans="1:22"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row>
    <row r="285" spans="1:22"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row>
    <row r="286" spans="1:22"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row>
    <row r="287" spans="1:22"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row>
    <row r="288" spans="1:22"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row>
    <row r="289" spans="1:22"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row>
    <row r="290" spans="1:22"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row>
    <row r="291" spans="1:22"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row>
    <row r="292" spans="1:22"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row>
    <row r="293" spans="1:22"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row>
    <row r="294" spans="1:22"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row>
    <row r="295" spans="1:22"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row>
    <row r="296" spans="1:22"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row>
    <row r="297" spans="1:22"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row>
    <row r="298" spans="1:22"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row>
    <row r="299" spans="1:22"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row>
    <row r="300" spans="1:22"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row>
    <row r="301" spans="1:22"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row>
    <row r="302" spans="1:22"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row>
    <row r="303" spans="1:22"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row>
    <row r="304" spans="1:22"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row>
    <row r="305" spans="1:22"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row>
    <row r="306" spans="1:22"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row>
    <row r="307" spans="1:22"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row>
    <row r="308" spans="1:22"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row>
    <row r="309" spans="1:22"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row>
    <row r="310" spans="1:22"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row>
    <row r="311" spans="1:22"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row>
    <row r="312" spans="1:22"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row>
    <row r="313" spans="1:22"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row>
    <row r="314" spans="1:22"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row>
    <row r="315" spans="1:22"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row>
    <row r="316" spans="1:22"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row>
    <row r="317" spans="1:22"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row>
    <row r="318" spans="1:22"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row>
    <row r="319" spans="1:22"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row>
    <row r="320" spans="1:22"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row>
    <row r="321" spans="1:22"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row>
    <row r="322" spans="1:22"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row>
    <row r="323" spans="1:22"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row>
    <row r="324" spans="1:22"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row>
    <row r="325" spans="1:22"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row>
    <row r="326" spans="1:22"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row>
    <row r="327" spans="1:22"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row>
    <row r="328" spans="1:22"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row>
    <row r="329" spans="1:22"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row>
    <row r="330" spans="1:22"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row>
    <row r="331" spans="1:22"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row>
    <row r="332" spans="1:22"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row>
    <row r="333" spans="1:22"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row>
    <row r="334" spans="1:22"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row>
    <row r="335" spans="1:22"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row>
    <row r="336" spans="1:22"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row>
    <row r="337" spans="1:22"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row>
    <row r="338" spans="1:22"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row>
    <row r="339" spans="1:22"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row>
    <row r="340" spans="1:22"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row>
    <row r="341" spans="1:22"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row>
    <row r="342" spans="1:22"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row>
    <row r="343" spans="1:22"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row>
    <row r="344" spans="1:22"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row>
    <row r="345" spans="1:22"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row>
    <row r="346" spans="1:22"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row>
    <row r="347" spans="1:22"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row>
    <row r="348" spans="1:22"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row>
    <row r="349" spans="1:22"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row>
    <row r="350" spans="1:22"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row>
    <row r="351" spans="1:22"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row>
    <row r="352" spans="1:22"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row>
    <row r="353" spans="1:22"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row>
    <row r="354" spans="1:22"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row>
    <row r="355" spans="1:22"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row>
    <row r="356" spans="1:22"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row>
    <row r="357" spans="1:22"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row>
    <row r="358" spans="1:22"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row>
    <row r="359" spans="1:22"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row>
    <row r="360" spans="1:22"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row>
    <row r="361" spans="1:22"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row>
    <row r="362" spans="1:22"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row>
    <row r="363" spans="1:22"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row>
    <row r="364" spans="1:22"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row>
    <row r="365" spans="1:22"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row>
    <row r="366" spans="1:22"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row>
    <row r="367" spans="1:22"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row>
    <row r="368" spans="1:22"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row>
    <row r="369" spans="1:22"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row>
    <row r="370" spans="1:22"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row>
    <row r="371" spans="1:22"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row>
    <row r="372" spans="1:22"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row>
    <row r="373" spans="1:22"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row>
    <row r="374" spans="1:22"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row>
    <row r="375" spans="1:22"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row>
    <row r="376" spans="1:22"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row>
    <row r="377" spans="1:22"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row>
    <row r="378" spans="1:22"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row>
    <row r="379" spans="1:22"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row>
    <row r="380" spans="1:22"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row>
    <row r="381" spans="1:22"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row>
    <row r="382" spans="1:22"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row>
    <row r="383" spans="1:22"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row>
    <row r="384" spans="1:22"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row>
    <row r="385" spans="1:22"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row>
    <row r="386" spans="1:22"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row>
    <row r="387" spans="1:22"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row>
    <row r="388" spans="1:22"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row>
    <row r="389" spans="1:22"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row>
    <row r="390" spans="1:22"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row>
    <row r="391" spans="1:22"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row>
    <row r="392" spans="1:22"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row>
    <row r="393" spans="1:22"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row>
    <row r="394" spans="1:22"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row>
    <row r="395" spans="1:22"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row>
    <row r="396" spans="1:22"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row>
    <row r="397" spans="1:22"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row>
    <row r="398" spans="1:22"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row>
    <row r="399" spans="1:22"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row>
    <row r="400" spans="1:22"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row>
    <row r="401" spans="1:22"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row>
    <row r="402" spans="1:22"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row>
    <row r="403" spans="1:22"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row>
    <row r="404" spans="1:22"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row>
    <row r="405" spans="1:22"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row>
    <row r="406" spans="1:22"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row>
    <row r="407" spans="1:22"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row>
    <row r="408" spans="1:22"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row>
    <row r="409" spans="1:22"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row>
    <row r="410" spans="1:22"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row>
    <row r="411" spans="1:22"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row>
    <row r="412" spans="1:22"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row>
    <row r="413" spans="1:22"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row>
    <row r="414" spans="1:22"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row>
    <row r="415" spans="1:22"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row>
    <row r="416" spans="1:22"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row>
    <row r="417" spans="1:22"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row>
    <row r="418" spans="1:22"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row>
    <row r="419" spans="1:22"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row>
    <row r="420" spans="1:22"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row>
    <row r="421" spans="1:22"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row>
    <row r="422" spans="1:22"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row>
    <row r="423" spans="1:22"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row>
    <row r="424" spans="1:22"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row>
    <row r="425" spans="1:22"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row>
    <row r="426" spans="1:22"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row>
    <row r="427" spans="1:22"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row>
    <row r="428" spans="1:22"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row>
    <row r="429" spans="1:22"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row>
    <row r="430" spans="1:22"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row>
    <row r="431" spans="1:22"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row>
    <row r="432" spans="1:22"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row>
    <row r="433" spans="1:22"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row>
    <row r="434" spans="1:22"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row>
    <row r="435" spans="1:22"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row>
    <row r="436" spans="1:22"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row>
    <row r="437" spans="1:22"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row>
    <row r="438" spans="1:22"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row>
    <row r="439" spans="1:22"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row>
    <row r="440" spans="1:22"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row>
    <row r="441" spans="1:22"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row>
    <row r="442" spans="1:22"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row>
    <row r="443" spans="1:22"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row>
    <row r="444" spans="1:22"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row>
    <row r="445" spans="1:22"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row>
    <row r="446" spans="1:22"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row>
    <row r="447" spans="1:22"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row>
    <row r="448" spans="1:22"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row>
    <row r="449" spans="1:22"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row>
    <row r="450" spans="1:22"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row>
    <row r="451" spans="1:22"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row>
    <row r="452" spans="1:22"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row>
    <row r="453" spans="1:22"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row>
    <row r="454" spans="1:22"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row>
    <row r="455" spans="1:22"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row>
    <row r="456" spans="1:22"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row>
    <row r="457" spans="1:22"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row>
    <row r="458" spans="1:22"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row>
    <row r="459" spans="1:22"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row>
    <row r="460" spans="1:22"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row>
    <row r="461" spans="1:22"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row>
    <row r="462" spans="1:22"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row>
    <row r="463" spans="1:22"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row>
    <row r="464" spans="1:22"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row>
    <row r="465" spans="1:22"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row>
    <row r="466" spans="1:22"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row>
    <row r="467" spans="1:22"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row>
    <row r="468" spans="1:22"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row>
    <row r="469" spans="1:22"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row>
    <row r="470" spans="1:22"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row>
    <row r="471" spans="1:22"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row>
    <row r="472" spans="1:22"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row>
    <row r="473" spans="1:22"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row>
    <row r="474" spans="1:22"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row>
    <row r="475" spans="1:22"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row>
    <row r="476" spans="1:22"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row>
    <row r="477" spans="1:22"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row>
    <row r="478" spans="1:22"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row>
    <row r="479" spans="1:22"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row>
    <row r="480" spans="1:22"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row>
    <row r="481" spans="1:22"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row>
    <row r="482" spans="1:22"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row>
    <row r="483" spans="1:22"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row>
    <row r="484" spans="1:22"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row>
    <row r="485" spans="1:22"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row>
    <row r="486" spans="1:22"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row>
    <row r="487" spans="1:22"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row>
    <row r="488" spans="1:22"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row>
    <row r="489" spans="1:22"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row>
    <row r="490" spans="1:22"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row>
    <row r="491" spans="1:22"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row>
    <row r="492" spans="1:22"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row>
    <row r="493" spans="1:22"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row>
    <row r="494" spans="1:22"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row>
    <row r="495" spans="1:22"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row>
    <row r="496" spans="1:22"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row>
    <row r="497" spans="1:22"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row>
    <row r="498" spans="1:22"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row>
    <row r="499" spans="1:22"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row>
    <row r="500" spans="1:22"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row>
    <row r="501" spans="1:22"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row>
    <row r="502" spans="1:22"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row>
    <row r="503" spans="1:22"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row>
    <row r="504" spans="1:22"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row>
    <row r="505" spans="1:22"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row>
    <row r="506" spans="1:22"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row>
    <row r="507" spans="1:22"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row>
    <row r="508" spans="1:22"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row>
    <row r="509" spans="1:22"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row>
    <row r="510" spans="1:22"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row>
    <row r="511" spans="1:22"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row>
    <row r="512" spans="1:22"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row>
    <row r="513" spans="1:22"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row>
    <row r="514" spans="1:22"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row>
    <row r="515" spans="1:22"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row>
    <row r="516" spans="1:22"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row>
    <row r="517" spans="1:22"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row>
    <row r="518" spans="1:22"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row>
    <row r="519" spans="1:22"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row>
    <row r="520" spans="1:22"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row>
    <row r="521" spans="1:22"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row>
    <row r="522" spans="1:22"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row>
    <row r="523" spans="1:22"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row>
    <row r="524" spans="1:22"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row>
    <row r="525" spans="1:22"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row>
    <row r="526" spans="1:22"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row>
    <row r="527" spans="1:22"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row>
    <row r="528" spans="1:22"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row>
    <row r="529" spans="1:22"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row>
    <row r="530" spans="1:22"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row>
    <row r="531" spans="1:22"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row>
    <row r="532" spans="1:22"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row>
    <row r="533" spans="1:22"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row>
    <row r="534" spans="1:22"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row>
    <row r="535" spans="1:22"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row>
    <row r="536" spans="1:22"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row>
    <row r="537" spans="1:22"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row>
    <row r="538" spans="1:22"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row>
    <row r="539" spans="1:22"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row>
    <row r="540" spans="1:22"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row>
    <row r="541" spans="1:22"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row>
    <row r="542" spans="1:22"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row>
    <row r="543" spans="1:22"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row>
    <row r="544" spans="1:22"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row>
    <row r="545" spans="1:22"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row>
    <row r="546" spans="1:22"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row>
    <row r="547" spans="1:22"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row>
    <row r="548" spans="1:22"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row>
    <row r="549" spans="1:22"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row>
    <row r="550" spans="1:22"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row>
    <row r="551" spans="1:22"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row>
    <row r="552" spans="1:22"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row>
    <row r="553" spans="1:22"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row>
    <row r="554" spans="1:22"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row>
    <row r="555" spans="1:22"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row>
    <row r="556" spans="1:22"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row>
    <row r="557" spans="1:22"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row>
    <row r="558" spans="1:22"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row>
    <row r="559" spans="1:22"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row>
    <row r="560" spans="1:22"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row>
    <row r="561" spans="1:22"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row>
    <row r="562" spans="1:22"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row>
    <row r="563" spans="1:22"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row>
    <row r="564" spans="1:22"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row>
    <row r="565" spans="1:22"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row>
    <row r="566" spans="1:22"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row>
    <row r="567" spans="1:22"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row>
    <row r="568" spans="1:22"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row>
    <row r="569" spans="1:22"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row>
    <row r="570" spans="1:22"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row>
    <row r="571" spans="1:22"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row>
    <row r="572" spans="1:22"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row>
    <row r="573" spans="1:22"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row>
    <row r="574" spans="1:22"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row>
    <row r="575" spans="1:22"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row>
    <row r="576" spans="1:22"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row>
    <row r="577" spans="1:22"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row>
    <row r="578" spans="1:22"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row>
    <row r="579" spans="1:22"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row>
    <row r="580" spans="1:22"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row>
    <row r="581" spans="1:22"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row>
    <row r="582" spans="1:22"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row>
    <row r="583" spans="1:22"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row>
    <row r="584" spans="1:22"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row>
    <row r="585" spans="1:22"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row>
    <row r="586" spans="1:22"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row>
    <row r="587" spans="1:22"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row>
    <row r="588" spans="1:22"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row>
    <row r="589" spans="1:22"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row>
    <row r="590" spans="1:22"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row>
    <row r="591" spans="1:22"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row>
    <row r="592" spans="1:22"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row>
    <row r="593" spans="1:22"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row>
    <row r="594" spans="1:22"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row>
    <row r="595" spans="1:22"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row>
    <row r="596" spans="1:22"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row>
    <row r="597" spans="1:22"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row>
    <row r="598" spans="1:22"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row>
    <row r="599" spans="1:22"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row>
    <row r="600" spans="1:22"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row>
    <row r="601" spans="1:22"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row>
    <row r="602" spans="1:22"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row>
    <row r="603" spans="1:22"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row>
    <row r="604" spans="1:22"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row>
    <row r="605" spans="1:22"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row>
    <row r="606" spans="1:22"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row>
    <row r="607" spans="1:22"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row>
    <row r="608" spans="1:22"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row>
    <row r="609" spans="1:22"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row>
    <row r="610" spans="1:22"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row>
    <row r="611" spans="1:22"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row>
    <row r="612" spans="1:22"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row>
    <row r="613" spans="1:22"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row>
    <row r="614" spans="1:22"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row>
    <row r="615" spans="1:22"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row>
    <row r="616" spans="1:22"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row>
    <row r="617" spans="1:22"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row>
    <row r="618" spans="1:22"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row>
    <row r="619" spans="1:22"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row>
    <row r="620" spans="1:22"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row>
    <row r="621" spans="1:22"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row>
    <row r="622" spans="1:22"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row>
    <row r="623" spans="1:22"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row>
    <row r="624" spans="1:22"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row>
    <row r="625" spans="1:22"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row>
    <row r="626" spans="1:22"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row>
    <row r="627" spans="1:22"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row>
    <row r="628" spans="1:22"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row>
    <row r="629" spans="1:22"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row>
    <row r="630" spans="1:22"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row>
    <row r="631" spans="1:22"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row>
    <row r="632" spans="1:22"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row>
    <row r="633" spans="1:22"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row>
    <row r="634" spans="1:22"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row>
    <row r="635" spans="1:22"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row>
    <row r="636" spans="1:22"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row>
    <row r="637" spans="1:22"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row>
    <row r="638" spans="1:22"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row>
    <row r="639" spans="1:22"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row>
    <row r="640" spans="1:22"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row>
    <row r="641" spans="1:22"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row>
    <row r="642" spans="1:22"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row>
    <row r="643" spans="1:22"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row>
    <row r="644" spans="1:22"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row>
    <row r="645" spans="1:22"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row>
    <row r="646" spans="1:22"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row>
    <row r="647" spans="1:22"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row>
    <row r="648" spans="1:22"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row>
    <row r="649" spans="1:22"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row>
    <row r="650" spans="1:22"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row>
    <row r="651" spans="1:22"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row>
    <row r="652" spans="1:22"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row>
    <row r="653" spans="1:22"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row>
    <row r="654" spans="1:22"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row>
    <row r="655" spans="1:22"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row>
    <row r="656" spans="1:22"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row>
    <row r="657" spans="1:22"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row>
    <row r="658" spans="1:22"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row>
    <row r="659" spans="1:22"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row>
    <row r="660" spans="1:22"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row>
    <row r="661" spans="1:22"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row>
    <row r="662" spans="1:22"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row>
    <row r="663" spans="1:22"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row>
    <row r="664" spans="1:22"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row>
    <row r="665" spans="1:22"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row>
    <row r="666" spans="1:22"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row>
    <row r="667" spans="1:22"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row>
    <row r="668" spans="1:22"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row>
    <row r="669" spans="1:22"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row>
    <row r="670" spans="1:22"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row>
    <row r="671" spans="1:22"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row>
    <row r="672" spans="1:22"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row>
    <row r="673" spans="1:22"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row>
    <row r="674" spans="1:22"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row>
    <row r="675" spans="1:22"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row>
    <row r="676" spans="1:22"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row>
    <row r="677" spans="1:22"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row>
    <row r="678" spans="1:22"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row>
    <row r="679" spans="1:22"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row>
    <row r="680" spans="1:22"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row>
    <row r="681" spans="1:22"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row>
    <row r="682" spans="1:22"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row>
    <row r="683" spans="1:22"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row>
    <row r="684" spans="1:22"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row>
    <row r="685" spans="1:22"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row>
    <row r="686" spans="1:22"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row>
    <row r="687" spans="1:22"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row>
    <row r="688" spans="1:22"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row>
    <row r="689" spans="1:22"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row>
    <row r="690" spans="1:22"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row>
    <row r="691" spans="1:22"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row>
    <row r="692" spans="1:22"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row>
    <row r="693" spans="1:22"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row>
    <row r="694" spans="1:22"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row>
    <row r="695" spans="1:22"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row>
    <row r="696" spans="1:22"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row>
    <row r="697" spans="1:22"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row>
    <row r="698" spans="1:22"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row>
    <row r="699" spans="1:22"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row>
    <row r="700" spans="1:22"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row>
    <row r="701" spans="1:22"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row>
    <row r="702" spans="1:22"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row>
    <row r="703" spans="1:22"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row>
    <row r="704" spans="1:22"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row>
    <row r="705" spans="1:22"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row>
    <row r="706" spans="1:22"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row>
    <row r="707" spans="1:22"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row>
    <row r="708" spans="1:22"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row>
    <row r="709" spans="1:22"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row>
    <row r="710" spans="1:22"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row>
    <row r="711" spans="1:22"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row>
    <row r="712" spans="1:22"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row>
    <row r="713" spans="1:22"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row>
    <row r="714" spans="1:22"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row>
    <row r="715" spans="1:22"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row>
    <row r="716" spans="1:22"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row>
    <row r="717" spans="1:22"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row>
    <row r="718" spans="1:22"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row>
    <row r="719" spans="1:22"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row>
    <row r="720" spans="1:22"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row>
    <row r="721" spans="1:22"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row>
    <row r="722" spans="1:22"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row>
    <row r="723" spans="1:22"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row>
    <row r="724" spans="1:22"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row>
    <row r="725" spans="1:22"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row>
    <row r="726" spans="1:22"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row>
    <row r="727" spans="1:22"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row>
    <row r="728" spans="1:22"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row>
    <row r="729" spans="1:22"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row>
    <row r="730" spans="1:22"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row>
    <row r="731" spans="1:22"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row>
    <row r="732" spans="1:22"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row>
    <row r="733" spans="1:22"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row>
    <row r="734" spans="1:22"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row>
    <row r="735" spans="1:22"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row>
    <row r="736" spans="1:22"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row>
    <row r="737" spans="1:22"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row>
    <row r="738" spans="1:22"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row>
    <row r="739" spans="1:22"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row>
    <row r="740" spans="1:22"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row>
    <row r="741" spans="1:22"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row>
    <row r="742" spans="1:22"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row>
    <row r="743" spans="1:22"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row>
    <row r="744" spans="1:22"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row>
    <row r="745" spans="1:22"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row>
    <row r="746" spans="1:22"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row>
    <row r="747" spans="1:22"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row>
    <row r="748" spans="1:22"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row>
    <row r="749" spans="1:22"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row>
    <row r="750" spans="1:22"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row>
    <row r="751" spans="1:22"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row>
    <row r="752" spans="1:22"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row>
    <row r="753" spans="1:22"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row>
    <row r="754" spans="1:22"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row>
    <row r="755" spans="1:22"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row>
    <row r="756" spans="1:22"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row>
    <row r="757" spans="1:22"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row>
    <row r="758" spans="1:22"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row>
    <row r="759" spans="1:22"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row>
    <row r="760" spans="1:22"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row>
    <row r="761" spans="1:22"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row>
    <row r="762" spans="1:22"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row>
    <row r="763" spans="1:22"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row>
    <row r="764" spans="1:22"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row>
    <row r="765" spans="1:22"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row>
    <row r="766" spans="1:22"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row>
    <row r="767" spans="1:22"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row>
    <row r="768" spans="1:22"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row>
    <row r="769" spans="1:22"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row>
    <row r="770" spans="1:22"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row>
    <row r="771" spans="1:22"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row>
    <row r="772" spans="1:22"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row>
    <row r="773" spans="1:22"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row>
    <row r="774" spans="1:22"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row>
    <row r="775" spans="1:22"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row>
    <row r="776" spans="1:22"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row>
    <row r="777" spans="1:22"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row>
    <row r="778" spans="1:22"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row>
    <row r="779" spans="1:22"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row>
    <row r="780" spans="1:22"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row>
    <row r="781" spans="1:22"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row>
    <row r="782" spans="1:22"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row>
    <row r="783" spans="1:22"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row>
    <row r="784" spans="1:22"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row>
    <row r="785" spans="1:22"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row>
    <row r="786" spans="1:22"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row>
    <row r="787" spans="1:22"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row>
    <row r="788" spans="1:22"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row>
    <row r="789" spans="1:22"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row>
    <row r="790" spans="1:22"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row>
    <row r="791" spans="1:22"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row>
    <row r="792" spans="1:22"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row>
    <row r="793" spans="1:22"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row>
    <row r="794" spans="1:22"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row>
    <row r="795" spans="1:22"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row>
    <row r="796" spans="1:22"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row>
    <row r="797" spans="1:22"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row>
    <row r="798" spans="1:22"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row>
    <row r="799" spans="1:22"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row>
    <row r="800" spans="1:22"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row>
    <row r="801" spans="1:22"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row>
    <row r="802" spans="1:22"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row>
    <row r="803" spans="1:22"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row>
    <row r="804" spans="1:22"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row>
    <row r="805" spans="1:22"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row>
    <row r="806" spans="1:22"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row>
    <row r="807" spans="1:22"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row>
    <row r="808" spans="1:22"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row>
    <row r="809" spans="1:22"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row>
    <row r="810" spans="1:22"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row>
    <row r="811" spans="1:22"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row>
    <row r="812" spans="1:22"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row>
    <row r="813" spans="1:22"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row>
    <row r="814" spans="1:22"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row>
    <row r="815" spans="1:22"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row>
    <row r="816" spans="1:22"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row>
    <row r="817" spans="1:22"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row>
    <row r="818" spans="1:22"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row>
    <row r="819" spans="1:22"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row>
    <row r="820" spans="1:22"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row>
    <row r="821" spans="1:22"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row>
    <row r="822" spans="1:22"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row>
    <row r="823" spans="1:22"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row>
    <row r="824" spans="1:22"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row>
    <row r="825" spans="1:22"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row>
    <row r="826" spans="1:22"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row>
    <row r="827" spans="1:22"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row>
    <row r="828" spans="1:22"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row>
    <row r="829" spans="1:22"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row>
    <row r="830" spans="1:22"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row>
    <row r="831" spans="1:22"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row>
    <row r="832" spans="1:22"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row>
    <row r="833" spans="1:22"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row>
    <row r="834" spans="1:22"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row>
    <row r="835" spans="1:22"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row>
    <row r="836" spans="1:22"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row>
    <row r="837" spans="1:22"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row>
    <row r="838" spans="1:22"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row>
    <row r="839" spans="1:22"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row>
    <row r="840" spans="1:22"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row>
    <row r="841" spans="1:22"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row>
    <row r="842" spans="1:22"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row>
    <row r="843" spans="1:22"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row>
    <row r="844" spans="1:22"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row>
    <row r="845" spans="1:22"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row>
    <row r="846" spans="1:22"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row>
    <row r="847" spans="1:22"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row>
    <row r="848" spans="1:22"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row>
    <row r="849" spans="1:22"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row>
    <row r="850" spans="1:22"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row>
    <row r="851" spans="1:22"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row>
    <row r="852" spans="1:22"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row>
    <row r="853" spans="1:22"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row>
    <row r="854" spans="1:22"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row>
    <row r="855" spans="1:22"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row>
    <row r="856" spans="1:22"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row>
    <row r="857" spans="1:22"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row>
    <row r="858" spans="1:22"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row>
    <row r="859" spans="1:22"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row>
    <row r="860" spans="1:22"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row>
    <row r="861" spans="1:22"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row>
    <row r="862" spans="1:22"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row>
    <row r="863" spans="1:22"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row>
    <row r="864" spans="1:22"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row>
    <row r="865" spans="1:22"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row>
    <row r="866" spans="1:22"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row>
    <row r="867" spans="1:22"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row>
    <row r="868" spans="1:22"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row>
    <row r="869" spans="1:22"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row>
    <row r="870" spans="1:22"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row>
    <row r="871" spans="1:22"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row>
    <row r="872" spans="1:22"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row>
    <row r="873" spans="1:22"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row>
    <row r="874" spans="1:22"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row>
    <row r="875" spans="1:22"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row>
    <row r="876" spans="1:22"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row>
    <row r="877" spans="1:22"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row>
    <row r="878" spans="1:22"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row>
    <row r="879" spans="1:22"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row>
    <row r="880" spans="1:22"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row>
    <row r="881" spans="1:22"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row>
    <row r="882" spans="1:22"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row>
    <row r="883" spans="1:22"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row>
    <row r="884" spans="1:22"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row>
    <row r="885" spans="1:22"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row>
    <row r="886" spans="1:22"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row>
    <row r="887" spans="1:22"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row>
    <row r="888" spans="1:22"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row>
    <row r="889" spans="1:22"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row>
    <row r="890" spans="1:22"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row>
    <row r="891" spans="1:22"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row>
    <row r="892" spans="1:22"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row>
    <row r="893" spans="1:22"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row>
    <row r="894" spans="1:22"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row>
    <row r="895" spans="1:22"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row>
    <row r="896" spans="1:22"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row>
    <row r="897" spans="1:22"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row>
    <row r="898" spans="1:22"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row>
    <row r="899" spans="1:22"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row>
    <row r="900" spans="1:22"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row>
    <row r="901" spans="1:22"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row>
    <row r="902" spans="1:22"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row>
    <row r="903" spans="1:22"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row>
    <row r="904" spans="1:22"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row>
    <row r="905" spans="1:22"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row>
    <row r="906" spans="1:22"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row>
    <row r="907" spans="1:22"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row>
    <row r="908" spans="1:22"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row>
    <row r="909" spans="1:22"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row>
    <row r="910" spans="1:22"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row>
    <row r="911" spans="1:22"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row>
    <row r="912" spans="1:22"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row>
    <row r="913" spans="1:22"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row>
    <row r="914" spans="1:22"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row>
    <row r="915" spans="1:22"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row>
    <row r="916" spans="1:22"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row>
    <row r="917" spans="1:22"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row>
    <row r="918" spans="1:22"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row>
    <row r="919" spans="1:22"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row>
    <row r="920" spans="1:22"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row>
    <row r="921" spans="1:22"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row>
    <row r="922" spans="1:22"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row>
    <row r="923" spans="1:22"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row>
    <row r="924" spans="1:22"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row>
    <row r="925" spans="1:22"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row>
    <row r="926" spans="1:22"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row>
    <row r="927" spans="1:22"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row>
    <row r="928" spans="1:22"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row>
    <row r="929" spans="1:22"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row>
    <row r="930" spans="1:22"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row>
    <row r="931" spans="1:22"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row>
    <row r="932" spans="1:22"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row>
    <row r="933" spans="1:22"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row>
    <row r="934" spans="1:22"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row>
    <row r="935" spans="1:22"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row>
    <row r="936" spans="1:22"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row>
    <row r="937" spans="1:22"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row>
    <row r="938" spans="1:22"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row>
    <row r="939" spans="1:22"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row>
    <row r="940" spans="1:22"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row>
    <row r="941" spans="1:22"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row>
    <row r="942" spans="1:22"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row>
    <row r="943" spans="1:22"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row>
    <row r="944" spans="1:22"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row>
    <row r="945" spans="1:22"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row>
    <row r="946" spans="1:22"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row>
    <row r="947" spans="1:22"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row>
    <row r="948" spans="1:22"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row>
    <row r="949" spans="1:22"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row>
    <row r="950" spans="1:22"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row>
    <row r="951" spans="1:22"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row>
    <row r="952" spans="1:22"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row>
    <row r="953" spans="1:22"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row>
    <row r="954" spans="1:22"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row>
    <row r="955" spans="1:22"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row>
    <row r="956" spans="1:22"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row>
    <row r="957" spans="1:22"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row>
    <row r="958" spans="1:22"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row>
    <row r="959" spans="1:22"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row>
    <row r="960" spans="1:22"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row>
    <row r="961" spans="1:22"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row>
    <row r="962" spans="1:22"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row>
    <row r="963" spans="1:22"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row>
    <row r="964" spans="1:22"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row>
    <row r="965" spans="1:22"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row>
    <row r="966" spans="1:22"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row>
    <row r="967" spans="1:22"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row>
    <row r="968" spans="1:22"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row>
    <row r="969" spans="1:22"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row>
    <row r="970" spans="1:22"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row>
    <row r="971" spans="1:22"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row>
    <row r="972" spans="1:22"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row>
    <row r="973" spans="1:22"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row>
    <row r="974" spans="1:22"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row>
    <row r="975" spans="1:22"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row>
    <row r="976" spans="1:22"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row>
    <row r="977" spans="1:22"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row>
    <row r="978" spans="1:22"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row>
    <row r="979" spans="1:22"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row>
    <row r="980" spans="1:22"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row>
    <row r="981" spans="1:22"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row>
    <row r="982" spans="1:22"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row>
    <row r="983" spans="1:22"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row>
    <row r="984" spans="1:22"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row>
    <row r="985" spans="1:22"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row>
    <row r="986" spans="1:22"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8129" priority="2" operator="lessThan">
      <formula>0</formula>
    </cfRule>
  </conditionalFormatting>
  <conditionalFormatting sqref="F5:F6">
    <cfRule type="cellIs" dxfId="8128"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Z1005"/>
  <sheetViews>
    <sheetView showGridLines="0" topLeftCell="D6" workbookViewId="0">
      <pane ySplit="6" topLeftCell="A28" activePane="bottomLeft" state="frozen"/>
      <selection activeCell="C6" sqref="C6"/>
      <selection pane="bottomLeft" activeCell="H30" sqref="H30"/>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44" customWidth="1"/>
    <col min="8" max="8" width="14.6640625" style="444"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x14ac:dyDescent="0.25">
      <c r="A1" s="153"/>
      <c r="B1" s="154"/>
      <c r="C1" s="154"/>
      <c r="D1" s="154"/>
      <c r="E1" s="155"/>
      <c r="F1" s="154"/>
      <c r="G1" s="436"/>
      <c r="H1" s="436"/>
      <c r="I1" s="153"/>
      <c r="J1" s="153"/>
      <c r="K1" s="153"/>
      <c r="L1" s="153"/>
      <c r="M1" s="153"/>
      <c r="N1" s="153"/>
      <c r="O1" s="153"/>
      <c r="P1" s="153"/>
      <c r="Q1" s="153"/>
      <c r="R1" s="153"/>
      <c r="S1" s="153"/>
      <c r="U1" s="42"/>
    </row>
    <row r="2" spans="1:26" ht="15.75" customHeight="1" x14ac:dyDescent="0.25">
      <c r="A2" s="156"/>
      <c r="B2" s="157"/>
      <c r="C2" s="157"/>
      <c r="D2" s="157"/>
      <c r="E2" s="158"/>
      <c r="F2" s="157"/>
      <c r="G2" s="436"/>
      <c r="H2" s="436"/>
      <c r="I2" s="156"/>
      <c r="J2" s="156"/>
      <c r="K2" s="156"/>
      <c r="L2" s="156"/>
      <c r="M2" s="156"/>
      <c r="N2" s="156"/>
      <c r="O2" s="156"/>
      <c r="P2" s="156"/>
      <c r="Q2" s="156"/>
      <c r="R2" s="156"/>
      <c r="S2" s="156"/>
      <c r="U2" s="42"/>
    </row>
    <row r="3" spans="1:26" ht="17.25" customHeight="1" x14ac:dyDescent="0.25">
      <c r="A3" s="624" t="s">
        <v>126</v>
      </c>
      <c r="B3" s="570"/>
      <c r="C3" s="570"/>
      <c r="D3" s="570"/>
      <c r="E3" s="570"/>
      <c r="F3" s="570"/>
      <c r="G3" s="570"/>
      <c r="H3" s="570"/>
      <c r="I3" s="570"/>
      <c r="J3" s="570"/>
      <c r="K3" s="570"/>
      <c r="L3" s="570"/>
      <c r="M3" s="570"/>
      <c r="N3" s="570"/>
      <c r="O3" s="570"/>
      <c r="P3" s="570"/>
      <c r="Q3" s="570"/>
      <c r="R3" s="570"/>
      <c r="S3" s="571"/>
      <c r="U3" s="42"/>
    </row>
    <row r="4" spans="1:26" ht="17.25" customHeight="1" x14ac:dyDescent="0.25">
      <c r="A4" s="574"/>
      <c r="B4" s="575"/>
      <c r="C4" s="575"/>
      <c r="D4" s="575"/>
      <c r="E4" s="575"/>
      <c r="F4" s="575"/>
      <c r="G4" s="575"/>
      <c r="H4" s="575"/>
      <c r="I4" s="575"/>
      <c r="J4" s="575"/>
      <c r="K4" s="575"/>
      <c r="L4" s="575"/>
      <c r="M4" s="575"/>
      <c r="N4" s="575"/>
      <c r="O4" s="575"/>
      <c r="P4" s="575"/>
      <c r="Q4" s="575"/>
      <c r="R4" s="575"/>
      <c r="S4" s="576"/>
      <c r="U4" s="42"/>
    </row>
    <row r="5" spans="1:26" ht="15.75" customHeight="1" x14ac:dyDescent="0.3">
      <c r="A5" s="159" t="s">
        <v>127</v>
      </c>
      <c r="B5" s="160"/>
      <c r="C5" s="160"/>
      <c r="D5" s="160"/>
      <c r="E5" s="160"/>
      <c r="F5" s="161"/>
      <c r="G5" s="437"/>
      <c r="H5" s="437"/>
      <c r="I5" s="162"/>
      <c r="J5" s="162"/>
      <c r="K5" s="162"/>
      <c r="L5" s="162"/>
      <c r="M5" s="162"/>
      <c r="N5" s="162"/>
      <c r="O5" s="163"/>
      <c r="P5" s="160"/>
      <c r="Q5" s="160"/>
      <c r="R5" s="162"/>
      <c r="S5" s="162"/>
      <c r="U5" s="42"/>
    </row>
    <row r="6" spans="1:26" ht="15.75" customHeight="1" x14ac:dyDescent="0.3">
      <c r="A6" s="160"/>
      <c r="B6" s="160"/>
      <c r="C6" s="160"/>
      <c r="D6" s="160"/>
      <c r="E6" s="160"/>
      <c r="F6" s="161"/>
      <c r="G6" s="437"/>
      <c r="H6" s="437"/>
      <c r="I6" s="162"/>
      <c r="J6" s="162"/>
      <c r="K6" s="162"/>
      <c r="L6" s="162"/>
      <c r="M6" s="162"/>
      <c r="N6" s="162"/>
      <c r="O6" s="163"/>
      <c r="P6" s="160"/>
      <c r="Q6" s="160"/>
      <c r="R6" s="162"/>
      <c r="S6" s="162"/>
      <c r="U6" s="42"/>
    </row>
    <row r="7" spans="1:26" ht="15.75" customHeight="1" x14ac:dyDescent="0.3">
      <c r="A7" s="160"/>
      <c r="B7" s="160"/>
      <c r="C7" s="160"/>
      <c r="D7" s="160"/>
      <c r="E7" s="160"/>
      <c r="F7" s="161"/>
      <c r="G7" s="437"/>
      <c r="H7" s="437"/>
      <c r="I7" s="162"/>
      <c r="J7" s="162"/>
      <c r="K7" s="162"/>
      <c r="L7" s="162"/>
      <c r="M7" s="162"/>
      <c r="N7" s="162"/>
      <c r="O7" s="163"/>
      <c r="P7" s="160"/>
      <c r="Q7" s="160"/>
      <c r="R7" s="162"/>
      <c r="S7" s="162"/>
      <c r="U7" s="42"/>
    </row>
    <row r="8" spans="1:26" ht="15.75" customHeight="1" x14ac:dyDescent="0.3">
      <c r="A8" s="159" t="s">
        <v>128</v>
      </c>
      <c r="B8" s="160"/>
      <c r="C8" s="160"/>
      <c r="D8" s="160"/>
      <c r="E8" s="160"/>
      <c r="F8" s="161"/>
      <c r="G8" s="437"/>
      <c r="H8" s="437"/>
      <c r="I8" s="162"/>
      <c r="J8" s="162"/>
      <c r="K8" s="162"/>
      <c r="L8" s="162"/>
      <c r="M8" s="162"/>
      <c r="N8" s="162"/>
      <c r="O8" s="163"/>
      <c r="P8" s="160"/>
      <c r="Q8" s="160"/>
      <c r="R8" s="162"/>
      <c r="S8" s="162"/>
      <c r="U8" s="42"/>
    </row>
    <row r="9" spans="1:26" ht="38.25" customHeight="1" x14ac:dyDescent="0.25">
      <c r="A9" s="628" t="s">
        <v>1</v>
      </c>
      <c r="B9" s="628" t="s">
        <v>129</v>
      </c>
      <c r="C9" s="628" t="s">
        <v>95</v>
      </c>
      <c r="D9" s="628" t="s">
        <v>130</v>
      </c>
      <c r="E9" s="628" t="s">
        <v>41</v>
      </c>
      <c r="F9" s="164" t="s">
        <v>131</v>
      </c>
      <c r="G9" s="631" t="s">
        <v>132</v>
      </c>
      <c r="H9" s="631" t="s">
        <v>133</v>
      </c>
      <c r="I9" s="625" t="s">
        <v>134</v>
      </c>
      <c r="J9" s="515"/>
      <c r="K9" s="515"/>
      <c r="L9" s="515"/>
      <c r="M9" s="515"/>
      <c r="N9" s="516"/>
      <c r="O9" s="636" t="s">
        <v>51</v>
      </c>
      <c r="P9" s="626" t="s">
        <v>135</v>
      </c>
      <c r="Q9" s="515"/>
      <c r="R9" s="516"/>
      <c r="S9" s="639" t="s">
        <v>136</v>
      </c>
      <c r="U9" s="42"/>
    </row>
    <row r="10" spans="1:26" ht="33.75" customHeight="1" x14ac:dyDescent="0.25">
      <c r="A10" s="629"/>
      <c r="B10" s="629"/>
      <c r="C10" s="629"/>
      <c r="D10" s="629"/>
      <c r="E10" s="629"/>
      <c r="F10" s="166"/>
      <c r="G10" s="632"/>
      <c r="H10" s="632"/>
      <c r="I10" s="625" t="s">
        <v>137</v>
      </c>
      <c r="J10" s="515"/>
      <c r="K10" s="516"/>
      <c r="L10" s="627" t="s">
        <v>138</v>
      </c>
      <c r="M10" s="613"/>
      <c r="N10" s="634" t="s">
        <v>139</v>
      </c>
      <c r="O10" s="637"/>
      <c r="P10" s="167" t="s">
        <v>140</v>
      </c>
      <c r="Q10" s="167" t="s">
        <v>141</v>
      </c>
      <c r="R10" s="168" t="s">
        <v>142</v>
      </c>
      <c r="S10" s="640"/>
      <c r="U10" s="42"/>
    </row>
    <row r="11" spans="1:26" ht="27" customHeight="1" x14ac:dyDescent="0.25">
      <c r="A11" s="629"/>
      <c r="B11" s="630"/>
      <c r="C11" s="630"/>
      <c r="D11" s="630"/>
      <c r="E11" s="630"/>
      <c r="F11" s="166"/>
      <c r="G11" s="633"/>
      <c r="H11" s="633"/>
      <c r="I11" s="165" t="s">
        <v>143</v>
      </c>
      <c r="J11" s="165" t="s">
        <v>144</v>
      </c>
      <c r="K11" s="165" t="s">
        <v>145</v>
      </c>
      <c r="L11" s="170" t="s">
        <v>146</v>
      </c>
      <c r="M11" s="165" t="s">
        <v>147</v>
      </c>
      <c r="N11" s="635"/>
      <c r="O11" s="638"/>
      <c r="P11" s="171"/>
      <c r="Q11" s="171"/>
      <c r="R11" s="171"/>
      <c r="S11" s="641"/>
      <c r="U11" s="42"/>
    </row>
    <row r="12" spans="1:26" ht="32.4" customHeight="1" x14ac:dyDescent="0.25">
      <c r="A12" s="450">
        <f>SUBTOTAL(3,$C$12:C12)</f>
        <v>1</v>
      </c>
      <c r="B12" s="447" t="s">
        <v>319</v>
      </c>
      <c r="C12" s="102" t="s">
        <v>321</v>
      </c>
      <c r="D12" s="182" t="s">
        <v>322</v>
      </c>
      <c r="E12" s="38" t="s">
        <v>318</v>
      </c>
      <c r="F12" s="174"/>
      <c r="G12" s="438">
        <v>7500000</v>
      </c>
      <c r="H12" s="438">
        <v>4880000</v>
      </c>
      <c r="I12" s="175">
        <v>720000</v>
      </c>
      <c r="J12" s="175">
        <v>400000</v>
      </c>
      <c r="K12" s="175">
        <v>2500000</v>
      </c>
      <c r="L12" s="176"/>
      <c r="M12" s="176"/>
      <c r="N12" s="175">
        <f t="shared" ref="N12:N17" si="0">SUM(I12:M12)</f>
        <v>3620000</v>
      </c>
      <c r="O12" s="177">
        <f t="shared" ref="O12" si="1">G12+H12+N12</f>
        <v>16000000</v>
      </c>
      <c r="P12" s="178"/>
      <c r="Q12" s="178"/>
      <c r="R12" s="178"/>
      <c r="S12" s="179">
        <f>O12+R12</f>
        <v>16000000</v>
      </c>
      <c r="T12" s="180"/>
      <c r="U12" s="181"/>
      <c r="V12" s="181"/>
      <c r="W12" s="180"/>
      <c r="X12" s="180"/>
      <c r="Y12" s="180"/>
      <c r="Z12" s="180"/>
    </row>
    <row r="13" spans="1:26" ht="27" customHeight="1" x14ac:dyDescent="0.25">
      <c r="A13" s="450">
        <f>SUBTOTAL(3,$C$12:C13)</f>
        <v>2</v>
      </c>
      <c r="B13" s="448" t="s">
        <v>347</v>
      </c>
      <c r="C13" s="381" t="s">
        <v>324</v>
      </c>
      <c r="D13" s="382" t="s">
        <v>323</v>
      </c>
      <c r="E13" s="373" t="s">
        <v>325</v>
      </c>
      <c r="F13" s="383"/>
      <c r="G13" s="439">
        <v>7500000</v>
      </c>
      <c r="H13" s="439">
        <v>7480000</v>
      </c>
      <c r="I13" s="384">
        <v>720000</v>
      </c>
      <c r="J13" s="384">
        <v>400000</v>
      </c>
      <c r="K13" s="384">
        <v>900000</v>
      </c>
      <c r="L13" s="384"/>
      <c r="M13" s="385"/>
      <c r="N13" s="384">
        <f>SUM(I13:M13)</f>
        <v>2020000</v>
      </c>
      <c r="O13" s="386">
        <f t="shared" ref="O13:O17" si="2">G13+H13+N13</f>
        <v>17000000</v>
      </c>
      <c r="P13" s="387"/>
      <c r="Q13" s="387"/>
      <c r="R13" s="387"/>
      <c r="S13" s="388">
        <f t="shared" ref="S13:S20" si="3">O13+R13</f>
        <v>17000000</v>
      </c>
      <c r="T13" s="180"/>
      <c r="U13" s="181"/>
      <c r="V13" s="181"/>
      <c r="W13" s="180"/>
      <c r="X13" s="180"/>
      <c r="Y13" s="180"/>
      <c r="Z13" s="180"/>
    </row>
    <row r="14" spans="1:26" ht="27" customHeight="1" x14ac:dyDescent="0.25">
      <c r="A14" s="450">
        <f>SUBTOTAL(3,$C$12:C14)</f>
        <v>3</v>
      </c>
      <c r="B14" s="449" t="s">
        <v>347</v>
      </c>
      <c r="C14" s="389" t="s">
        <v>341</v>
      </c>
      <c r="D14" s="390" t="s">
        <v>339</v>
      </c>
      <c r="E14" s="374" t="s">
        <v>340</v>
      </c>
      <c r="F14" s="391"/>
      <c r="G14" s="440"/>
      <c r="H14" s="440">
        <v>24157767</v>
      </c>
      <c r="I14" s="392">
        <v>720000</v>
      </c>
      <c r="J14" s="392">
        <v>400000</v>
      </c>
      <c r="K14" s="392">
        <v>2500000</v>
      </c>
      <c r="L14" s="392"/>
      <c r="M14" s="392"/>
      <c r="N14" s="392">
        <f t="shared" si="0"/>
        <v>3620000</v>
      </c>
      <c r="O14" s="393">
        <f t="shared" ref="O14" si="4">G14+H14+N14</f>
        <v>27777767</v>
      </c>
      <c r="P14" s="391"/>
      <c r="Q14" s="391"/>
      <c r="R14" s="391"/>
      <c r="S14" s="388">
        <f t="shared" si="3"/>
        <v>27777767</v>
      </c>
      <c r="T14" s="180"/>
      <c r="U14" s="181"/>
      <c r="V14" s="181"/>
      <c r="W14" s="180"/>
      <c r="X14" s="180"/>
      <c r="Y14" s="180"/>
      <c r="Z14" s="180"/>
    </row>
    <row r="15" spans="1:26" ht="27" customHeight="1" x14ac:dyDescent="0.25">
      <c r="A15" s="450">
        <f>SUBTOTAL(3,$C$12:C15)</f>
        <v>4</v>
      </c>
      <c r="B15" s="449" t="s">
        <v>347</v>
      </c>
      <c r="C15" s="389" t="s">
        <v>324</v>
      </c>
      <c r="D15" s="390" t="s">
        <v>333</v>
      </c>
      <c r="E15" s="374" t="s">
        <v>334</v>
      </c>
      <c r="F15" s="391"/>
      <c r="G15" s="440">
        <v>8000000</v>
      </c>
      <c r="H15" s="440">
        <v>10180000</v>
      </c>
      <c r="I15" s="392">
        <v>720000</v>
      </c>
      <c r="J15" s="392">
        <v>400000</v>
      </c>
      <c r="K15" s="392">
        <v>1924000</v>
      </c>
      <c r="L15" s="392"/>
      <c r="M15" s="392"/>
      <c r="N15" s="392">
        <f t="shared" si="0"/>
        <v>3044000</v>
      </c>
      <c r="O15" s="393">
        <f t="shared" si="2"/>
        <v>21224000</v>
      </c>
      <c r="P15" s="391"/>
      <c r="Q15" s="391"/>
      <c r="R15" s="391"/>
      <c r="S15" s="394">
        <f t="shared" si="3"/>
        <v>21224000</v>
      </c>
      <c r="T15" s="180"/>
      <c r="U15" s="181"/>
      <c r="V15" s="181"/>
      <c r="W15" s="180"/>
      <c r="X15" s="180"/>
      <c r="Y15" s="180"/>
      <c r="Z15" s="180"/>
    </row>
    <row r="16" spans="1:26" ht="27" customHeight="1" x14ac:dyDescent="0.25">
      <c r="A16" s="450">
        <f>SUBTOTAL(3,$C$12:C16)</f>
        <v>5</v>
      </c>
      <c r="B16" s="449" t="s">
        <v>338</v>
      </c>
      <c r="C16" s="389" t="s">
        <v>336</v>
      </c>
      <c r="D16" s="390" t="s">
        <v>335</v>
      </c>
      <c r="E16" s="374" t="s">
        <v>337</v>
      </c>
      <c r="F16" s="391"/>
      <c r="G16" s="440">
        <v>5500000</v>
      </c>
      <c r="H16" s="440">
        <v>42306650</v>
      </c>
      <c r="I16" s="392">
        <v>720000</v>
      </c>
      <c r="J16" s="392">
        <v>400000</v>
      </c>
      <c r="K16" s="392">
        <v>900000</v>
      </c>
      <c r="L16" s="392"/>
      <c r="M16" s="392"/>
      <c r="N16" s="392">
        <f t="shared" si="0"/>
        <v>2020000</v>
      </c>
      <c r="O16" s="393">
        <f t="shared" si="2"/>
        <v>49826650</v>
      </c>
      <c r="P16" s="391"/>
      <c r="Q16" s="391"/>
      <c r="R16" s="391"/>
      <c r="S16" s="394">
        <f t="shared" si="3"/>
        <v>49826650</v>
      </c>
      <c r="T16" s="180"/>
      <c r="U16" s="181"/>
      <c r="V16" s="181"/>
      <c r="W16" s="180"/>
      <c r="X16" s="180"/>
      <c r="Y16" s="180"/>
      <c r="Z16" s="180"/>
    </row>
    <row r="17" spans="1:26" ht="27" customHeight="1" x14ac:dyDescent="0.25">
      <c r="A17" s="450">
        <f>SUBTOTAL(3,$C$12:C17)</f>
        <v>6</v>
      </c>
      <c r="B17" s="449" t="s">
        <v>338</v>
      </c>
      <c r="C17" s="389" t="s">
        <v>349</v>
      </c>
      <c r="D17" s="390" t="s">
        <v>348</v>
      </c>
      <c r="E17" s="374" t="s">
        <v>377</v>
      </c>
      <c r="F17" s="391"/>
      <c r="G17" s="440">
        <v>5500000</v>
      </c>
      <c r="H17" s="440">
        <v>2457500</v>
      </c>
      <c r="I17" s="392">
        <v>720000</v>
      </c>
      <c r="J17" s="392">
        <v>400000</v>
      </c>
      <c r="K17" s="392">
        <v>500000</v>
      </c>
      <c r="L17" s="392"/>
      <c r="M17" s="392"/>
      <c r="N17" s="392">
        <f t="shared" si="0"/>
        <v>1620000</v>
      </c>
      <c r="O17" s="393">
        <f t="shared" si="2"/>
        <v>9577500</v>
      </c>
      <c r="P17" s="391"/>
      <c r="Q17" s="391"/>
      <c r="R17" s="391"/>
      <c r="S17" s="394">
        <f t="shared" si="3"/>
        <v>9577500</v>
      </c>
      <c r="T17" s="180"/>
      <c r="U17" s="181"/>
      <c r="V17" s="181"/>
      <c r="W17" s="180"/>
      <c r="X17" s="180"/>
      <c r="Y17" s="180"/>
      <c r="Z17" s="180"/>
    </row>
    <row r="18" spans="1:26" ht="27" customHeight="1" x14ac:dyDescent="0.25">
      <c r="A18" s="450">
        <f>SUBTOTAL(3,$C$12:C18)</f>
        <v>7</v>
      </c>
      <c r="B18" s="449" t="s">
        <v>338</v>
      </c>
      <c r="C18" s="389" t="s">
        <v>349</v>
      </c>
      <c r="D18" s="390" t="s">
        <v>350</v>
      </c>
      <c r="E18" s="374" t="s">
        <v>351</v>
      </c>
      <c r="F18" s="391"/>
      <c r="G18" s="440">
        <v>5500000</v>
      </c>
      <c r="H18" s="440">
        <v>1880000</v>
      </c>
      <c r="I18" s="392">
        <v>720000</v>
      </c>
      <c r="J18" s="392">
        <v>400000</v>
      </c>
      <c r="K18" s="392">
        <v>500000</v>
      </c>
      <c r="L18" s="392"/>
      <c r="M18" s="392"/>
      <c r="N18" s="392">
        <f t="shared" ref="N18:N23" si="5">SUM(I18:M18)</f>
        <v>1620000</v>
      </c>
      <c r="O18" s="393">
        <f t="shared" ref="O18:O20" si="6">G18+H18+N18</f>
        <v>9000000</v>
      </c>
      <c r="P18" s="391"/>
      <c r="Q18" s="391"/>
      <c r="R18" s="391"/>
      <c r="S18" s="394">
        <f t="shared" si="3"/>
        <v>9000000</v>
      </c>
      <c r="T18" s="180"/>
      <c r="U18" s="181"/>
      <c r="V18" s="181"/>
      <c r="W18" s="180"/>
      <c r="X18" s="180"/>
      <c r="Y18" s="180"/>
      <c r="Z18" s="180"/>
    </row>
    <row r="19" spans="1:26" ht="27" customHeight="1" x14ac:dyDescent="0.25">
      <c r="A19" s="450">
        <f>SUBTOTAL(3,$C$12:C19)</f>
        <v>8</v>
      </c>
      <c r="B19" s="449" t="s">
        <v>347</v>
      </c>
      <c r="C19" s="389" t="s">
        <v>352</v>
      </c>
      <c r="D19" s="390" t="s">
        <v>353</v>
      </c>
      <c r="E19" s="374" t="s">
        <v>354</v>
      </c>
      <c r="F19" s="391"/>
      <c r="G19" s="440"/>
      <c r="H19" s="440">
        <v>5768889</v>
      </c>
      <c r="I19" s="392">
        <v>720000</v>
      </c>
      <c r="J19" s="392">
        <v>400000</v>
      </c>
      <c r="K19" s="392">
        <v>2000000</v>
      </c>
      <c r="L19" s="392"/>
      <c r="M19" s="392"/>
      <c r="N19" s="392">
        <f t="shared" si="5"/>
        <v>3120000</v>
      </c>
      <c r="O19" s="393">
        <f t="shared" si="6"/>
        <v>8888889</v>
      </c>
      <c r="P19" s="391"/>
      <c r="Q19" s="391"/>
      <c r="R19" s="391"/>
      <c r="S19" s="394">
        <f t="shared" si="3"/>
        <v>8888889</v>
      </c>
      <c r="T19" s="180"/>
      <c r="U19" s="181"/>
      <c r="V19" s="181"/>
      <c r="W19" s="180"/>
      <c r="X19" s="180"/>
      <c r="Y19" s="180"/>
      <c r="Z19" s="180"/>
    </row>
    <row r="20" spans="1:26" ht="27" customHeight="1" x14ac:dyDescent="0.25">
      <c r="A20" s="450">
        <f>SUBTOTAL(3,$C$12:C20)</f>
        <v>9</v>
      </c>
      <c r="B20" s="449" t="s">
        <v>338</v>
      </c>
      <c r="C20" s="389" t="s">
        <v>359</v>
      </c>
      <c r="D20" s="390" t="s">
        <v>358</v>
      </c>
      <c r="E20" s="374" t="s">
        <v>360</v>
      </c>
      <c r="F20" s="391"/>
      <c r="G20" s="440">
        <v>5500000</v>
      </c>
      <c r="H20" s="440">
        <v>5880000</v>
      </c>
      <c r="I20" s="392">
        <v>720000</v>
      </c>
      <c r="J20" s="392">
        <v>400000</v>
      </c>
      <c r="K20" s="392">
        <v>500000</v>
      </c>
      <c r="L20" s="392"/>
      <c r="M20" s="392"/>
      <c r="N20" s="392">
        <f t="shared" si="5"/>
        <v>1620000</v>
      </c>
      <c r="O20" s="393">
        <f t="shared" si="6"/>
        <v>13000000</v>
      </c>
      <c r="P20" s="391"/>
      <c r="Q20" s="391"/>
      <c r="R20" s="391"/>
      <c r="S20" s="394">
        <f t="shared" si="3"/>
        <v>13000000</v>
      </c>
      <c r="T20" s="180"/>
      <c r="U20" s="181"/>
      <c r="V20" s="181"/>
      <c r="W20" s="180"/>
      <c r="X20" s="180"/>
      <c r="Y20" s="180"/>
      <c r="Z20" s="180"/>
    </row>
    <row r="21" spans="1:26" ht="27" customHeight="1" x14ac:dyDescent="0.25">
      <c r="A21" s="450">
        <f>SUBTOTAL(3,$C$12:C21)</f>
        <v>10</v>
      </c>
      <c r="B21" s="449" t="s">
        <v>338</v>
      </c>
      <c r="C21" s="389" t="s">
        <v>349</v>
      </c>
      <c r="D21" s="390" t="s">
        <v>362</v>
      </c>
      <c r="E21" s="374" t="s">
        <v>361</v>
      </c>
      <c r="F21" s="391"/>
      <c r="G21" s="440">
        <v>5500000</v>
      </c>
      <c r="H21" s="440">
        <v>2457500</v>
      </c>
      <c r="I21" s="392">
        <v>720000</v>
      </c>
      <c r="J21" s="392">
        <v>400000</v>
      </c>
      <c r="K21" s="392">
        <v>500000</v>
      </c>
      <c r="L21" s="392"/>
      <c r="M21" s="392"/>
      <c r="N21" s="392">
        <f t="shared" si="5"/>
        <v>1620000</v>
      </c>
      <c r="O21" s="393">
        <f t="shared" ref="O21:O22" si="7">G21+H21+N21</f>
        <v>9577500</v>
      </c>
      <c r="P21" s="391"/>
      <c r="Q21" s="391"/>
      <c r="R21" s="391"/>
      <c r="S21" s="394">
        <f t="shared" ref="S21:S22" si="8">O21+R21</f>
        <v>9577500</v>
      </c>
      <c r="T21" s="180"/>
      <c r="U21" s="181"/>
      <c r="V21" s="181"/>
      <c r="W21" s="180"/>
      <c r="X21" s="180"/>
      <c r="Y21" s="180"/>
      <c r="Z21" s="180"/>
    </row>
    <row r="22" spans="1:26" ht="27" customHeight="1" x14ac:dyDescent="0.25">
      <c r="A22" s="450">
        <f>SUBTOTAL(3,$C$12:C22)</f>
        <v>11</v>
      </c>
      <c r="B22" s="449" t="s">
        <v>319</v>
      </c>
      <c r="C22" s="389" t="s">
        <v>363</v>
      </c>
      <c r="D22" s="390" t="s">
        <v>364</v>
      </c>
      <c r="E22" s="374" t="s">
        <v>365</v>
      </c>
      <c r="F22" s="391"/>
      <c r="G22" s="440">
        <v>5300000</v>
      </c>
      <c r="H22" s="440">
        <v>736500</v>
      </c>
      <c r="I22" s="392">
        <v>720000</v>
      </c>
      <c r="J22" s="392">
        <v>400000</v>
      </c>
      <c r="K22" s="392">
        <v>400000</v>
      </c>
      <c r="L22" s="392"/>
      <c r="M22" s="392"/>
      <c r="N22" s="392">
        <f t="shared" si="5"/>
        <v>1520000</v>
      </c>
      <c r="O22" s="393">
        <f t="shared" si="7"/>
        <v>7556500</v>
      </c>
      <c r="P22" s="391"/>
      <c r="Q22" s="391"/>
      <c r="R22" s="391"/>
      <c r="S22" s="394">
        <f t="shared" si="8"/>
        <v>7556500</v>
      </c>
      <c r="T22" s="180"/>
      <c r="U22" s="181"/>
      <c r="V22" s="181"/>
      <c r="W22" s="180"/>
      <c r="X22" s="180"/>
      <c r="Y22" s="180"/>
      <c r="Z22" s="180"/>
    </row>
    <row r="23" spans="1:26" ht="27" customHeight="1" x14ac:dyDescent="0.25">
      <c r="A23" s="450">
        <f>SUBTOTAL(3,$C$12:C23)</f>
        <v>12</v>
      </c>
      <c r="B23" s="449" t="s">
        <v>319</v>
      </c>
      <c r="C23" s="389" t="s">
        <v>372</v>
      </c>
      <c r="D23" s="390" t="s">
        <v>366</v>
      </c>
      <c r="E23" s="374" t="s">
        <v>367</v>
      </c>
      <c r="F23" s="391"/>
      <c r="G23" s="440">
        <v>5300000</v>
      </c>
      <c r="H23" s="440">
        <v>3736500</v>
      </c>
      <c r="I23" s="392">
        <v>720000</v>
      </c>
      <c r="J23" s="392">
        <v>400000</v>
      </c>
      <c r="K23" s="392">
        <v>400000</v>
      </c>
      <c r="L23" s="392"/>
      <c r="M23" s="392"/>
      <c r="N23" s="392">
        <f t="shared" si="5"/>
        <v>1520000</v>
      </c>
      <c r="O23" s="393">
        <f t="shared" ref="O23" si="9">G23+H23+N23</f>
        <v>10556500</v>
      </c>
      <c r="P23" s="391"/>
      <c r="Q23" s="391"/>
      <c r="R23" s="391"/>
      <c r="S23" s="394">
        <f t="shared" ref="S23" si="10">O23+R23</f>
        <v>10556500</v>
      </c>
      <c r="T23" s="180"/>
      <c r="U23" s="181"/>
      <c r="V23" s="181"/>
      <c r="W23" s="180"/>
      <c r="X23" s="180"/>
      <c r="Y23" s="180"/>
      <c r="Z23" s="180"/>
    </row>
    <row r="24" spans="1:26" ht="27" customHeight="1" x14ac:dyDescent="0.25">
      <c r="A24" s="450">
        <f>SUBTOTAL(3,$C$12:C24)</f>
        <v>13</v>
      </c>
      <c r="B24" s="449" t="s">
        <v>319</v>
      </c>
      <c r="C24" s="389" t="s">
        <v>373</v>
      </c>
      <c r="D24" s="390" t="s">
        <v>368</v>
      </c>
      <c r="E24" s="374" t="s">
        <v>369</v>
      </c>
      <c r="F24" s="391"/>
      <c r="G24" s="440">
        <v>5500000</v>
      </c>
      <c r="H24" s="440">
        <v>3457500</v>
      </c>
      <c r="I24" s="392">
        <v>720000</v>
      </c>
      <c r="J24" s="392">
        <v>400000</v>
      </c>
      <c r="K24" s="392">
        <v>500000</v>
      </c>
      <c r="L24" s="392"/>
      <c r="M24" s="392"/>
      <c r="N24" s="392">
        <f t="shared" ref="N24" si="11">SUM(I24:M24)</f>
        <v>1620000</v>
      </c>
      <c r="O24" s="393">
        <f t="shared" ref="O24" si="12">G24+H24+N24</f>
        <v>10577500</v>
      </c>
      <c r="P24" s="391"/>
      <c r="Q24" s="391"/>
      <c r="R24" s="391"/>
      <c r="S24" s="394">
        <f t="shared" ref="S24" si="13">O24+R24</f>
        <v>10577500</v>
      </c>
      <c r="T24" s="180"/>
      <c r="U24" s="181"/>
      <c r="V24" s="181"/>
      <c r="W24" s="180"/>
      <c r="X24" s="180"/>
      <c r="Y24" s="180"/>
      <c r="Z24" s="180"/>
    </row>
    <row r="25" spans="1:26" ht="27" customHeight="1" x14ac:dyDescent="0.25">
      <c r="A25" s="450">
        <f>SUBTOTAL(3,$C$12:C25)</f>
        <v>14</v>
      </c>
      <c r="B25" s="449" t="s">
        <v>319</v>
      </c>
      <c r="C25" s="389" t="s">
        <v>319</v>
      </c>
      <c r="D25" s="390" t="s">
        <v>370</v>
      </c>
      <c r="E25" s="374" t="s">
        <v>371</v>
      </c>
      <c r="F25" s="391"/>
      <c r="G25" s="440">
        <v>5500000</v>
      </c>
      <c r="H25" s="440">
        <v>2457500</v>
      </c>
      <c r="I25" s="392">
        <v>720000</v>
      </c>
      <c r="J25" s="392">
        <v>400000</v>
      </c>
      <c r="K25" s="392">
        <v>500000</v>
      </c>
      <c r="L25" s="392"/>
      <c r="M25" s="392"/>
      <c r="N25" s="392">
        <f t="shared" ref="N25:N28" si="14">SUM(I25:M25)</f>
        <v>1620000</v>
      </c>
      <c r="O25" s="393">
        <f t="shared" ref="O25:O28" si="15">G25+H25+N25</f>
        <v>9577500</v>
      </c>
      <c r="P25" s="391"/>
      <c r="Q25" s="391"/>
      <c r="R25" s="391"/>
      <c r="S25" s="394">
        <f t="shared" ref="S25:S28" si="16">O25+R25</f>
        <v>9577500</v>
      </c>
      <c r="T25" s="180"/>
      <c r="U25" s="181"/>
      <c r="V25" s="181"/>
      <c r="W25" s="180"/>
      <c r="X25" s="180"/>
      <c r="Y25" s="180"/>
      <c r="Z25" s="180"/>
    </row>
    <row r="26" spans="1:26" ht="27" customHeight="1" x14ac:dyDescent="0.25">
      <c r="A26" s="450">
        <f>SUBTOTAL(3,$C$12:C26)</f>
        <v>15</v>
      </c>
      <c r="B26" s="449" t="s">
        <v>319</v>
      </c>
      <c r="C26" s="389" t="s">
        <v>378</v>
      </c>
      <c r="D26" s="390" t="s">
        <v>379</v>
      </c>
      <c r="E26" s="374" t="s">
        <v>380</v>
      </c>
      <c r="F26" s="391"/>
      <c r="G26" s="440">
        <v>5500000</v>
      </c>
      <c r="H26" s="440">
        <v>5880000</v>
      </c>
      <c r="I26" s="392">
        <v>720000</v>
      </c>
      <c r="J26" s="392">
        <v>400000</v>
      </c>
      <c r="K26" s="392">
        <v>500000</v>
      </c>
      <c r="L26" s="392"/>
      <c r="M26" s="392"/>
      <c r="N26" s="392">
        <f t="shared" si="14"/>
        <v>1620000</v>
      </c>
      <c r="O26" s="393">
        <f t="shared" si="15"/>
        <v>13000000</v>
      </c>
      <c r="P26" s="391"/>
      <c r="Q26" s="391"/>
      <c r="R26" s="391"/>
      <c r="S26" s="394">
        <f t="shared" si="16"/>
        <v>13000000</v>
      </c>
      <c r="T26" s="180"/>
      <c r="U26" s="181"/>
      <c r="V26" s="181"/>
      <c r="W26" s="180"/>
      <c r="X26" s="180"/>
      <c r="Y26" s="180"/>
      <c r="Z26" s="180"/>
    </row>
    <row r="27" spans="1:26" ht="27" customHeight="1" x14ac:dyDescent="0.25">
      <c r="A27" s="450">
        <f>SUBTOTAL(3,$C$12:C27)</f>
        <v>16</v>
      </c>
      <c r="B27" s="449" t="s">
        <v>338</v>
      </c>
      <c r="C27" s="389" t="s">
        <v>349</v>
      </c>
      <c r="D27" s="390" t="s">
        <v>381</v>
      </c>
      <c r="E27" s="374" t="s">
        <v>382</v>
      </c>
      <c r="F27" s="391"/>
      <c r="G27" s="440">
        <v>5500000</v>
      </c>
      <c r="H27" s="440">
        <v>1957500</v>
      </c>
      <c r="I27" s="392">
        <v>720000</v>
      </c>
      <c r="J27" s="392">
        <v>400000</v>
      </c>
      <c r="K27" s="392">
        <v>500000</v>
      </c>
      <c r="L27" s="392"/>
      <c r="M27" s="392"/>
      <c r="N27" s="392">
        <f t="shared" si="14"/>
        <v>1620000</v>
      </c>
      <c r="O27" s="393">
        <f t="shared" si="15"/>
        <v>9077500</v>
      </c>
      <c r="P27" s="391"/>
      <c r="Q27" s="391"/>
      <c r="R27" s="391"/>
      <c r="S27" s="394">
        <f t="shared" si="16"/>
        <v>9077500</v>
      </c>
      <c r="T27" s="180"/>
      <c r="U27" s="181"/>
      <c r="V27" s="181"/>
      <c r="W27" s="180"/>
      <c r="X27" s="180"/>
      <c r="Y27" s="180"/>
      <c r="Z27" s="180"/>
    </row>
    <row r="28" spans="1:26" ht="27" customHeight="1" x14ac:dyDescent="0.25">
      <c r="A28" s="450">
        <f>SUBTOTAL(3,$C$12:C28)</f>
        <v>17</v>
      </c>
      <c r="B28" s="449" t="s">
        <v>338</v>
      </c>
      <c r="C28" s="389" t="s">
        <v>349</v>
      </c>
      <c r="D28" s="390" t="s">
        <v>383</v>
      </c>
      <c r="E28" s="374" t="s">
        <v>384</v>
      </c>
      <c r="F28" s="391"/>
      <c r="G28" s="440">
        <v>5500000</v>
      </c>
      <c r="H28" s="440">
        <v>2457500</v>
      </c>
      <c r="I28" s="392">
        <v>720000</v>
      </c>
      <c r="J28" s="392">
        <v>400000</v>
      </c>
      <c r="K28" s="392">
        <v>500000</v>
      </c>
      <c r="L28" s="392"/>
      <c r="M28" s="392"/>
      <c r="N28" s="392">
        <f t="shared" si="14"/>
        <v>1620000</v>
      </c>
      <c r="O28" s="393">
        <f t="shared" si="15"/>
        <v>9577500</v>
      </c>
      <c r="P28" s="391"/>
      <c r="Q28" s="391"/>
      <c r="R28" s="391"/>
      <c r="S28" s="394">
        <f t="shared" si="16"/>
        <v>9577500</v>
      </c>
      <c r="T28" s="180"/>
      <c r="U28" s="181"/>
      <c r="V28" s="181"/>
      <c r="W28" s="180"/>
      <c r="X28" s="180"/>
      <c r="Y28" s="180"/>
      <c r="Z28" s="180"/>
    </row>
    <row r="29" spans="1:26" ht="27" customHeight="1" x14ac:dyDescent="0.25">
      <c r="A29" s="450">
        <f>SUBTOTAL(3,$C$12:C29)</f>
        <v>18</v>
      </c>
      <c r="B29" s="449" t="s">
        <v>319</v>
      </c>
      <c r="C29" s="389" t="s">
        <v>319</v>
      </c>
      <c r="D29" s="390" t="s">
        <v>388</v>
      </c>
      <c r="E29" s="374" t="s">
        <v>389</v>
      </c>
      <c r="F29" s="391"/>
      <c r="G29" s="440">
        <v>5300000</v>
      </c>
      <c r="H29" s="440">
        <v>2736500</v>
      </c>
      <c r="I29" s="392">
        <v>720000</v>
      </c>
      <c r="J29" s="392">
        <v>400000</v>
      </c>
      <c r="K29" s="392">
        <v>400000</v>
      </c>
      <c r="L29" s="392"/>
      <c r="M29" s="392"/>
      <c r="N29" s="392">
        <f t="shared" ref="N29:N33" si="17">SUM(I29:M29)</f>
        <v>1520000</v>
      </c>
      <c r="O29" s="393">
        <f t="shared" ref="O29:O33" si="18">G29+H29+N29</f>
        <v>9556500</v>
      </c>
      <c r="P29" s="391"/>
      <c r="Q29" s="391"/>
      <c r="R29" s="391"/>
      <c r="S29" s="394">
        <f t="shared" ref="S29:S33" si="19">O29+R29</f>
        <v>9556500</v>
      </c>
      <c r="T29" s="180"/>
      <c r="U29" s="181"/>
      <c r="V29" s="181"/>
      <c r="W29" s="180"/>
      <c r="X29" s="180"/>
      <c r="Y29" s="180"/>
      <c r="Z29" s="180"/>
    </row>
    <row r="30" spans="1:26" ht="27" customHeight="1" x14ac:dyDescent="0.25">
      <c r="A30" s="450">
        <f>SUBTOTAL(3,$C$12:C30)</f>
        <v>19</v>
      </c>
      <c r="B30" s="449" t="s">
        <v>338</v>
      </c>
      <c r="C30" s="389" t="s">
        <v>349</v>
      </c>
      <c r="D30" s="390" t="s">
        <v>392</v>
      </c>
      <c r="E30" s="374" t="s">
        <v>394</v>
      </c>
      <c r="F30" s="391"/>
      <c r="G30" s="440">
        <v>5500000</v>
      </c>
      <c r="H30" s="440">
        <v>5457500</v>
      </c>
      <c r="I30" s="392">
        <v>720000</v>
      </c>
      <c r="J30" s="392">
        <v>400000</v>
      </c>
      <c r="K30" s="392">
        <v>500000</v>
      </c>
      <c r="L30" s="392"/>
      <c r="M30" s="392"/>
      <c r="N30" s="392">
        <f t="shared" si="17"/>
        <v>1620000</v>
      </c>
      <c r="O30" s="393">
        <f t="shared" si="18"/>
        <v>12577500</v>
      </c>
      <c r="P30" s="391"/>
      <c r="Q30" s="391"/>
      <c r="R30" s="391"/>
      <c r="S30" s="394">
        <f t="shared" si="19"/>
        <v>12577500</v>
      </c>
      <c r="T30" s="181"/>
      <c r="U30" s="181"/>
      <c r="V30" s="181"/>
      <c r="W30" s="180"/>
      <c r="X30" s="180"/>
      <c r="Y30" s="180"/>
      <c r="Z30" s="180"/>
    </row>
    <row r="31" spans="1:26" ht="27" customHeight="1" x14ac:dyDescent="0.25">
      <c r="A31" s="450">
        <f>SUBTOTAL(3,$C$12:C31)</f>
        <v>20</v>
      </c>
      <c r="B31" s="449" t="s">
        <v>338</v>
      </c>
      <c r="C31" s="389" t="s">
        <v>349</v>
      </c>
      <c r="D31" s="390" t="s">
        <v>393</v>
      </c>
      <c r="E31" s="374" t="s">
        <v>395</v>
      </c>
      <c r="F31" s="391"/>
      <c r="G31" s="440">
        <v>5500000</v>
      </c>
      <c r="H31" s="440">
        <v>4457500</v>
      </c>
      <c r="I31" s="392">
        <v>720000</v>
      </c>
      <c r="J31" s="392">
        <v>400000</v>
      </c>
      <c r="K31" s="392">
        <v>500000</v>
      </c>
      <c r="L31" s="392"/>
      <c r="M31" s="392"/>
      <c r="N31" s="392">
        <f t="shared" si="17"/>
        <v>1620000</v>
      </c>
      <c r="O31" s="393">
        <f t="shared" si="18"/>
        <v>11577500</v>
      </c>
      <c r="P31" s="391"/>
      <c r="Q31" s="391"/>
      <c r="R31" s="391"/>
      <c r="S31" s="394">
        <f t="shared" si="19"/>
        <v>11577500</v>
      </c>
      <c r="T31" s="180"/>
      <c r="U31" s="181"/>
      <c r="V31" s="181"/>
      <c r="W31" s="180"/>
      <c r="X31" s="180"/>
      <c r="Y31" s="180"/>
      <c r="Z31" s="180"/>
    </row>
    <row r="32" spans="1:26" ht="27" customHeight="1" x14ac:dyDescent="0.25">
      <c r="A32" s="450">
        <v>21</v>
      </c>
      <c r="B32" s="449" t="s">
        <v>338</v>
      </c>
      <c r="C32" s="389" t="s">
        <v>349</v>
      </c>
      <c r="D32" s="390" t="s">
        <v>396</v>
      </c>
      <c r="E32" s="374" t="s">
        <v>397</v>
      </c>
      <c r="F32" s="391"/>
      <c r="G32" s="440">
        <v>5500000</v>
      </c>
      <c r="H32" s="440">
        <v>3457500</v>
      </c>
      <c r="I32" s="392">
        <v>720000</v>
      </c>
      <c r="J32" s="392">
        <v>400000</v>
      </c>
      <c r="K32" s="392">
        <v>500000</v>
      </c>
      <c r="L32" s="392"/>
      <c r="M32" s="392"/>
      <c r="N32" s="392">
        <f t="shared" si="17"/>
        <v>1620000</v>
      </c>
      <c r="O32" s="393">
        <f t="shared" si="18"/>
        <v>10577500</v>
      </c>
      <c r="P32" s="391"/>
      <c r="Q32" s="391"/>
      <c r="R32" s="391"/>
      <c r="S32" s="394">
        <f t="shared" si="19"/>
        <v>10577500</v>
      </c>
      <c r="T32" s="180"/>
      <c r="U32" s="181"/>
      <c r="V32" s="181"/>
      <c r="W32" s="180"/>
      <c r="X32" s="180"/>
      <c r="Y32" s="180"/>
      <c r="Z32" s="180"/>
    </row>
    <row r="33" spans="1:26" ht="27" customHeight="1" x14ac:dyDescent="0.25">
      <c r="A33" s="450">
        <v>22</v>
      </c>
      <c r="B33" s="449" t="s">
        <v>320</v>
      </c>
      <c r="C33" s="389" t="s">
        <v>324</v>
      </c>
      <c r="D33" s="390" t="s">
        <v>406</v>
      </c>
      <c r="E33" s="374" t="s">
        <v>407</v>
      </c>
      <c r="F33" s="391"/>
      <c r="G33" s="440">
        <v>7500000</v>
      </c>
      <c r="H33" s="440">
        <v>7667500</v>
      </c>
      <c r="I33" s="392">
        <v>720000</v>
      </c>
      <c r="J33" s="392">
        <v>400000</v>
      </c>
      <c r="K33" s="392">
        <v>2500000</v>
      </c>
      <c r="L33" s="392"/>
      <c r="M33" s="392"/>
      <c r="N33" s="392">
        <f t="shared" si="17"/>
        <v>3620000</v>
      </c>
      <c r="O33" s="393">
        <f t="shared" si="18"/>
        <v>18787500</v>
      </c>
      <c r="P33" s="391"/>
      <c r="Q33" s="391"/>
      <c r="R33" s="391"/>
      <c r="S33" s="394">
        <f t="shared" si="19"/>
        <v>18787500</v>
      </c>
      <c r="T33" s="180"/>
      <c r="U33" s="181"/>
      <c r="V33" s="181"/>
      <c r="W33" s="180"/>
      <c r="X33" s="180"/>
      <c r="Y33" s="180"/>
      <c r="Z33" s="180"/>
    </row>
    <row r="34" spans="1:26" ht="30" customHeight="1" x14ac:dyDescent="0.25">
      <c r="A34" s="620" t="s">
        <v>51</v>
      </c>
      <c r="B34" s="621"/>
      <c r="C34" s="621"/>
      <c r="D34" s="621"/>
      <c r="E34" s="621"/>
      <c r="F34" s="395"/>
      <c r="G34" s="441">
        <f>SUM(G12:G17)</f>
        <v>34000000</v>
      </c>
      <c r="H34" s="441">
        <f>SUM(H12:H17)</f>
        <v>91461917</v>
      </c>
      <c r="I34" s="396">
        <f>SUM(I12:I16)</f>
        <v>3600000</v>
      </c>
      <c r="J34" s="396">
        <f>SUM(J12:J16)</f>
        <v>2000000</v>
      </c>
      <c r="K34" s="396">
        <f>SUM(K12:K17)</f>
        <v>9224000</v>
      </c>
      <c r="L34" s="396">
        <f>SUM(L12:L13)</f>
        <v>0</v>
      </c>
      <c r="M34" s="396">
        <f>SUM(M12:M13)</f>
        <v>0</v>
      </c>
      <c r="N34" s="396">
        <f>SUM(N12:N17)</f>
        <v>15944000</v>
      </c>
      <c r="O34" s="396">
        <f>SUM(O12:O16)</f>
        <v>131828417</v>
      </c>
      <c r="P34" s="396">
        <f>SUM(P12:P13)</f>
        <v>0</v>
      </c>
      <c r="Q34" s="396">
        <f>SUM(Q12:Q13)</f>
        <v>0</v>
      </c>
      <c r="R34" s="396">
        <f>SUM(R12:R13)</f>
        <v>0</v>
      </c>
      <c r="S34" s="396">
        <f>SUM(S12:S16)</f>
        <v>131828417</v>
      </c>
      <c r="T34" s="42"/>
      <c r="U34" s="42"/>
      <c r="V34" s="42"/>
    </row>
    <row r="35" spans="1:26" ht="15.75" customHeight="1" x14ac:dyDescent="0.3">
      <c r="A35" s="40"/>
      <c r="B35" s="40"/>
      <c r="C35" s="40"/>
      <c r="D35" s="40">
        <v>1</v>
      </c>
      <c r="E35" s="40">
        <f>1+D35</f>
        <v>2</v>
      </c>
      <c r="F35" s="40">
        <f t="shared" ref="F35:M35" si="20">1+E35</f>
        <v>3</v>
      </c>
      <c r="G35" s="442">
        <f t="shared" si="20"/>
        <v>4</v>
      </c>
      <c r="H35" s="442">
        <f t="shared" si="20"/>
        <v>5</v>
      </c>
      <c r="I35" s="40">
        <f t="shared" si="20"/>
        <v>6</v>
      </c>
      <c r="J35" s="40">
        <f t="shared" si="20"/>
        <v>7</v>
      </c>
      <c r="K35" s="40">
        <f t="shared" si="20"/>
        <v>8</v>
      </c>
      <c r="L35" s="40">
        <f t="shared" si="20"/>
        <v>9</v>
      </c>
      <c r="M35" s="40">
        <f t="shared" si="20"/>
        <v>10</v>
      </c>
      <c r="N35" s="184"/>
      <c r="O35" s="185"/>
      <c r="P35" s="186"/>
      <c r="Q35" s="187" t="e">
        <f>+#REF!/R35</f>
        <v>#REF!</v>
      </c>
      <c r="R35" s="188">
        <v>2500000000</v>
      </c>
      <c r="S35" s="189"/>
      <c r="U35" s="42"/>
    </row>
    <row r="36" spans="1:26" ht="15.75" customHeight="1" x14ac:dyDescent="0.3">
      <c r="A36" s="47" t="s">
        <v>148</v>
      </c>
      <c r="B36" s="40"/>
      <c r="C36" s="40"/>
      <c r="D36" s="40"/>
      <c r="E36" s="40"/>
      <c r="F36" s="39"/>
      <c r="G36" s="442"/>
      <c r="H36" s="442"/>
      <c r="I36" s="184"/>
      <c r="J36" s="184"/>
      <c r="K36" s="184"/>
      <c r="L36" s="184"/>
      <c r="M36" s="184"/>
      <c r="N36" s="184"/>
      <c r="O36" s="184"/>
      <c r="P36" s="186"/>
      <c r="Q36" s="186" t="s">
        <v>149</v>
      </c>
      <c r="R36" s="188" t="s">
        <v>150</v>
      </c>
      <c r="S36" s="184"/>
      <c r="T36" s="190"/>
      <c r="U36" s="42"/>
    </row>
    <row r="37" spans="1:26" ht="15.75" customHeight="1" x14ac:dyDescent="0.3">
      <c r="A37" s="622" t="s">
        <v>151</v>
      </c>
      <c r="B37" s="507"/>
      <c r="C37" s="507"/>
      <c r="D37" s="507"/>
      <c r="E37" s="507"/>
      <c r="F37" s="507"/>
      <c r="G37" s="507"/>
      <c r="H37" s="507"/>
      <c r="I37" s="507"/>
      <c r="J37" s="507"/>
      <c r="K37" s="507"/>
      <c r="L37" s="507"/>
      <c r="M37" s="507"/>
      <c r="N37" s="507"/>
      <c r="O37" s="507"/>
      <c r="P37" s="507"/>
      <c r="Q37" s="507"/>
      <c r="R37" s="507"/>
      <c r="S37" s="507"/>
      <c r="U37" s="42"/>
    </row>
    <row r="38" spans="1:26" ht="15.75" customHeight="1" x14ac:dyDescent="0.3">
      <c r="A38" s="622" t="s">
        <v>152</v>
      </c>
      <c r="B38" s="507"/>
      <c r="C38" s="507"/>
      <c r="D38" s="507"/>
      <c r="E38" s="507"/>
      <c r="F38" s="507"/>
      <c r="G38" s="507"/>
      <c r="H38" s="507"/>
      <c r="I38" s="507"/>
      <c r="J38" s="507"/>
      <c r="K38" s="507"/>
      <c r="L38" s="507"/>
      <c r="M38" s="507"/>
      <c r="N38" s="507"/>
      <c r="O38" s="507"/>
      <c r="P38" s="507"/>
      <c r="Q38" s="507"/>
      <c r="R38" s="507"/>
      <c r="S38" s="507"/>
      <c r="U38" s="42"/>
    </row>
    <row r="39" spans="1:26" ht="15.75" customHeight="1" x14ac:dyDescent="0.3">
      <c r="A39" s="622" t="s">
        <v>153</v>
      </c>
      <c r="B39" s="507"/>
      <c r="C39" s="507"/>
      <c r="D39" s="507"/>
      <c r="E39" s="507"/>
      <c r="F39" s="507"/>
      <c r="G39" s="507"/>
      <c r="H39" s="507"/>
      <c r="I39" s="507"/>
      <c r="J39" s="507"/>
      <c r="K39" s="507"/>
      <c r="L39" s="507"/>
      <c r="M39" s="507"/>
      <c r="N39" s="507"/>
      <c r="O39" s="507"/>
      <c r="P39" s="507"/>
      <c r="Q39" s="507"/>
      <c r="R39" s="507"/>
      <c r="S39" s="507"/>
      <c r="U39" s="42"/>
    </row>
    <row r="40" spans="1:26" ht="15.75" customHeight="1" x14ac:dyDescent="0.3">
      <c r="A40" s="623" t="s">
        <v>329</v>
      </c>
      <c r="B40" s="507"/>
      <c r="C40" s="507"/>
      <c r="D40" s="507"/>
      <c r="E40" s="507"/>
      <c r="F40" s="507"/>
      <c r="G40" s="507"/>
      <c r="H40" s="507"/>
      <c r="I40" s="507"/>
      <c r="J40" s="507"/>
      <c r="K40" s="507"/>
      <c r="L40" s="507"/>
      <c r="M40" s="507"/>
      <c r="N40" s="507"/>
      <c r="O40" s="507"/>
      <c r="P40" s="507"/>
      <c r="Q40" s="507"/>
      <c r="R40" s="507"/>
      <c r="S40" s="507"/>
      <c r="U40" s="42"/>
    </row>
    <row r="41" spans="1:26" ht="15.75" customHeight="1" x14ac:dyDescent="0.3">
      <c r="A41" s="40"/>
      <c r="B41" s="40"/>
      <c r="C41" s="40"/>
      <c r="D41" s="40"/>
      <c r="E41" s="40"/>
      <c r="F41" s="39"/>
      <c r="G41" s="437"/>
      <c r="H41" s="437"/>
      <c r="I41" s="184"/>
      <c r="J41" s="184"/>
      <c r="K41" s="184"/>
      <c r="L41" s="184"/>
      <c r="M41" s="184"/>
      <c r="N41" s="184"/>
      <c r="O41" s="189"/>
      <c r="P41" s="40"/>
      <c r="Q41" s="40"/>
      <c r="R41" s="184"/>
      <c r="S41" s="184"/>
      <c r="U41" s="42"/>
    </row>
    <row r="42" spans="1:26" ht="15.75" customHeight="1" x14ac:dyDescent="0.3">
      <c r="A42" s="191" t="s">
        <v>154</v>
      </c>
      <c r="B42" s="192"/>
      <c r="C42" s="192"/>
      <c r="D42" s="192"/>
      <c r="E42" s="192"/>
      <c r="F42" s="192"/>
      <c r="G42" s="614" t="s">
        <v>328</v>
      </c>
      <c r="H42" s="507"/>
      <c r="I42" s="507"/>
      <c r="J42" s="507"/>
      <c r="K42" s="185"/>
      <c r="L42" s="185"/>
      <c r="M42" s="185"/>
      <c r="N42" s="615"/>
      <c r="O42" s="507"/>
      <c r="P42" s="507"/>
      <c r="Q42" s="507"/>
      <c r="R42" s="193"/>
      <c r="S42" s="193"/>
      <c r="U42" s="42"/>
    </row>
    <row r="43" spans="1:26" ht="15.75" customHeight="1" x14ac:dyDescent="0.3">
      <c r="A43" s="619" t="s">
        <v>155</v>
      </c>
      <c r="B43" s="507"/>
      <c r="C43" s="616"/>
      <c r="D43" s="507"/>
      <c r="E43" s="507"/>
      <c r="G43" s="617" t="s">
        <v>38</v>
      </c>
      <c r="H43" s="507"/>
      <c r="I43" s="507"/>
      <c r="J43" s="507"/>
      <c r="K43" s="194"/>
      <c r="L43" s="194"/>
      <c r="M43" s="194"/>
      <c r="N43" s="184"/>
      <c r="O43" s="189"/>
      <c r="P43" s="40"/>
      <c r="Q43" s="40"/>
      <c r="R43" s="184"/>
      <c r="S43" s="184"/>
      <c r="U43" s="42"/>
    </row>
    <row r="44" spans="1:26" ht="15.75" customHeight="1" x14ac:dyDescent="0.3">
      <c r="A44" s="619" t="s">
        <v>156</v>
      </c>
      <c r="B44" s="507"/>
      <c r="C44" s="192"/>
      <c r="D44" s="192"/>
      <c r="E44" s="192"/>
      <c r="F44" s="192"/>
      <c r="G44" s="443"/>
      <c r="H44" s="443"/>
      <c r="I44" s="185"/>
      <c r="J44" s="185"/>
      <c r="K44" s="185"/>
      <c r="L44" s="185"/>
      <c r="M44" s="185"/>
      <c r="N44" s="184"/>
      <c r="O44" s="189"/>
      <c r="P44" s="40"/>
      <c r="Q44" s="40"/>
      <c r="R44" s="184"/>
      <c r="S44" s="184"/>
      <c r="U44" s="42"/>
    </row>
    <row r="45" spans="1:26" ht="15.75" customHeight="1" x14ac:dyDescent="0.3">
      <c r="A45" s="619" t="s">
        <v>157</v>
      </c>
      <c r="B45" s="507"/>
      <c r="C45" s="192"/>
      <c r="D45" s="192"/>
      <c r="E45" s="192"/>
      <c r="F45" s="192"/>
      <c r="G45" s="443"/>
      <c r="H45" s="443"/>
      <c r="I45" s="185"/>
      <c r="J45" s="185"/>
      <c r="K45" s="185"/>
      <c r="L45" s="185"/>
      <c r="M45" s="185"/>
      <c r="N45" s="184"/>
      <c r="O45" s="189"/>
      <c r="P45" s="40"/>
      <c r="Q45" s="40"/>
      <c r="R45" s="184"/>
      <c r="S45" s="184"/>
      <c r="U45" s="42"/>
    </row>
    <row r="46" spans="1:26" ht="15.75" customHeight="1" x14ac:dyDescent="0.3">
      <c r="A46" s="619" t="s">
        <v>158</v>
      </c>
      <c r="B46" s="507"/>
      <c r="C46" s="192"/>
      <c r="D46" s="192"/>
      <c r="E46" s="192"/>
      <c r="F46" s="192"/>
      <c r="G46" s="443"/>
      <c r="H46" s="443"/>
      <c r="I46" s="185"/>
      <c r="J46" s="185"/>
      <c r="K46" s="185"/>
      <c r="L46" s="185"/>
      <c r="M46" s="185"/>
      <c r="N46" s="184"/>
      <c r="O46" s="189"/>
      <c r="P46" s="40"/>
      <c r="Q46" s="40"/>
      <c r="R46" s="184"/>
      <c r="S46" s="184"/>
      <c r="U46" s="42"/>
    </row>
    <row r="47" spans="1:26" ht="15.75" customHeight="1" x14ac:dyDescent="0.3">
      <c r="A47" s="192"/>
      <c r="B47" s="192"/>
      <c r="C47" s="192"/>
      <c r="D47" s="192"/>
      <c r="E47" s="192"/>
      <c r="F47" s="192"/>
      <c r="G47" s="443"/>
      <c r="H47" s="443"/>
      <c r="I47" s="185"/>
      <c r="J47" s="185"/>
      <c r="K47" s="185"/>
      <c r="L47" s="185"/>
      <c r="M47" s="185"/>
      <c r="N47" s="184"/>
      <c r="O47" s="189"/>
      <c r="P47" s="40"/>
      <c r="Q47" s="40"/>
      <c r="R47" s="184"/>
      <c r="S47" s="184"/>
      <c r="U47" s="42"/>
    </row>
    <row r="48" spans="1:26" ht="15.75" customHeight="1" x14ac:dyDescent="0.3">
      <c r="A48" s="140"/>
      <c r="B48" s="192"/>
      <c r="C48" s="616"/>
      <c r="D48" s="507"/>
      <c r="E48" s="507"/>
      <c r="G48" s="617"/>
      <c r="H48" s="507"/>
      <c r="I48" s="507"/>
      <c r="J48" s="507"/>
      <c r="K48" s="185"/>
      <c r="L48" s="185"/>
      <c r="M48" s="185"/>
      <c r="N48" s="184"/>
      <c r="O48" s="189"/>
      <c r="P48" s="40"/>
      <c r="Q48" s="40"/>
      <c r="R48" s="184"/>
      <c r="S48" s="184"/>
      <c r="U48" s="42"/>
    </row>
    <row r="49" spans="1:21" ht="15.75" customHeight="1" x14ac:dyDescent="0.3">
      <c r="A49" s="47"/>
      <c r="B49" s="618"/>
      <c r="C49" s="507"/>
      <c r="E49" s="618"/>
      <c r="F49" s="507"/>
      <c r="G49" s="507"/>
      <c r="H49" s="445"/>
      <c r="I49" s="193"/>
      <c r="J49" s="193"/>
      <c r="K49" s="193"/>
      <c r="L49" s="193"/>
      <c r="M49" s="193"/>
      <c r="N49" s="615"/>
      <c r="O49" s="507"/>
      <c r="P49" s="507"/>
      <c r="Q49" s="507"/>
      <c r="R49" s="193"/>
      <c r="S49" s="193"/>
      <c r="U49" s="42"/>
    </row>
    <row r="50" spans="1:21" ht="15.75" customHeight="1" x14ac:dyDescent="0.25">
      <c r="U50" s="42"/>
    </row>
    <row r="51" spans="1:21" ht="15.75" customHeight="1" x14ac:dyDescent="0.25">
      <c r="U51" s="42"/>
    </row>
    <row r="52" spans="1:21" ht="15.75" customHeight="1" x14ac:dyDescent="0.25">
      <c r="U52" s="42"/>
    </row>
    <row r="53" spans="1:21" ht="15.75" customHeight="1" x14ac:dyDescent="0.25">
      <c r="U53" s="42"/>
    </row>
    <row r="54" spans="1:21" ht="15.75" customHeight="1" x14ac:dyDescent="0.25">
      <c r="U54" s="42"/>
    </row>
    <row r="55" spans="1:21" ht="15.75" customHeight="1" x14ac:dyDescent="0.25">
      <c r="U55" s="42"/>
    </row>
    <row r="56" spans="1:21" ht="15.75" customHeight="1" x14ac:dyDescent="0.25">
      <c r="U56" s="42"/>
    </row>
    <row r="57" spans="1:21" ht="15.75" customHeight="1" x14ac:dyDescent="0.25">
      <c r="U57" s="42"/>
    </row>
    <row r="58" spans="1:21" ht="15.75" customHeight="1" x14ac:dyDescent="0.25">
      <c r="U58" s="42"/>
    </row>
    <row r="59" spans="1:21" ht="15.75" customHeight="1" x14ac:dyDescent="0.25">
      <c r="U59" s="42"/>
    </row>
    <row r="60" spans="1:21" ht="15.75" customHeight="1" x14ac:dyDescent="0.25">
      <c r="U60" s="42"/>
    </row>
    <row r="61" spans="1:21" ht="15.75" customHeight="1" x14ac:dyDescent="0.25">
      <c r="U61" s="42"/>
    </row>
    <row r="62" spans="1:21" ht="15.75" customHeight="1" x14ac:dyDescent="0.25">
      <c r="U62" s="42"/>
    </row>
    <row r="63" spans="1:21" ht="15.75" customHeight="1" x14ac:dyDescent="0.25">
      <c r="U63" s="42"/>
    </row>
    <row r="64" spans="1:21" ht="15.75" customHeight="1" x14ac:dyDescent="0.25">
      <c r="U64" s="42"/>
    </row>
    <row r="65" spans="21:21" ht="15.75" customHeight="1" x14ac:dyDescent="0.25">
      <c r="U65" s="42"/>
    </row>
    <row r="66" spans="21:21" ht="15.75" customHeight="1" x14ac:dyDescent="0.25">
      <c r="U66" s="42"/>
    </row>
    <row r="67" spans="21:21" ht="15.75" customHeight="1" x14ac:dyDescent="0.25">
      <c r="U67" s="42"/>
    </row>
    <row r="68" spans="21:21" ht="15.75" customHeight="1" x14ac:dyDescent="0.25">
      <c r="U68" s="42"/>
    </row>
    <row r="69" spans="21:21" ht="15.75" customHeight="1" x14ac:dyDescent="0.25">
      <c r="U69" s="42"/>
    </row>
    <row r="70" spans="21:21" ht="15.75" customHeight="1" x14ac:dyDescent="0.25">
      <c r="U70" s="42"/>
    </row>
    <row r="71" spans="21:21" ht="15.75" customHeight="1" x14ac:dyDescent="0.25">
      <c r="U71" s="42"/>
    </row>
    <row r="72" spans="21:21" ht="15.75" customHeight="1" x14ac:dyDescent="0.25">
      <c r="U72" s="42"/>
    </row>
    <row r="73" spans="21:21" ht="15.75" customHeight="1" x14ac:dyDescent="0.25">
      <c r="U73" s="42"/>
    </row>
    <row r="74" spans="21:21" ht="15.75" customHeight="1" x14ac:dyDescent="0.25">
      <c r="U74" s="42"/>
    </row>
    <row r="75" spans="21:21" ht="15.75" customHeight="1" x14ac:dyDescent="0.25">
      <c r="U75" s="42"/>
    </row>
    <row r="76" spans="21:21" ht="15.75" customHeight="1" x14ac:dyDescent="0.25">
      <c r="U76" s="42"/>
    </row>
    <row r="77" spans="21:21" ht="15.75" customHeight="1" x14ac:dyDescent="0.25">
      <c r="U77" s="42"/>
    </row>
    <row r="78" spans="21:21" ht="15.75" customHeight="1" x14ac:dyDescent="0.25">
      <c r="U78" s="42"/>
    </row>
    <row r="79" spans="21:21" ht="15.75" customHeight="1" x14ac:dyDescent="0.25">
      <c r="U79" s="42"/>
    </row>
    <row r="80" spans="21:21" ht="15.75" customHeight="1" x14ac:dyDescent="0.25">
      <c r="U80" s="42"/>
    </row>
    <row r="81" spans="21:21" ht="15.75" customHeight="1" x14ac:dyDescent="0.25">
      <c r="U81" s="42"/>
    </row>
    <row r="82" spans="21:21" ht="15.75" customHeight="1" x14ac:dyDescent="0.25">
      <c r="U82" s="42"/>
    </row>
    <row r="83" spans="21:21" ht="15.75" customHeight="1" x14ac:dyDescent="0.25">
      <c r="U83" s="42"/>
    </row>
    <row r="84" spans="21:21" ht="15.75" customHeight="1" x14ac:dyDescent="0.25">
      <c r="U84" s="42"/>
    </row>
    <row r="85" spans="21:21" ht="15.75" customHeight="1" x14ac:dyDescent="0.25">
      <c r="U85" s="42"/>
    </row>
    <row r="86" spans="21:21" ht="15.75" customHeight="1" x14ac:dyDescent="0.25">
      <c r="U86" s="42"/>
    </row>
    <row r="87" spans="21:21" ht="15.75" customHeight="1" x14ac:dyDescent="0.25">
      <c r="U87" s="42"/>
    </row>
    <row r="88" spans="21:21" ht="15.75" customHeight="1" x14ac:dyDescent="0.25">
      <c r="U88" s="42"/>
    </row>
    <row r="89" spans="21:21" ht="15.75" customHeight="1" x14ac:dyDescent="0.25">
      <c r="U89" s="42"/>
    </row>
    <row r="90" spans="21:21" ht="15.75" customHeight="1" x14ac:dyDescent="0.25">
      <c r="U90" s="42"/>
    </row>
    <row r="91" spans="21:21" ht="15.75" customHeight="1" x14ac:dyDescent="0.25">
      <c r="U91" s="42"/>
    </row>
    <row r="92" spans="21:21" ht="15.75" customHeight="1" x14ac:dyDescent="0.25">
      <c r="U92" s="42"/>
    </row>
    <row r="93" spans="21:21" ht="15.75" customHeight="1" x14ac:dyDescent="0.25">
      <c r="U93" s="42"/>
    </row>
    <row r="94" spans="21:21" ht="15.75" customHeight="1" x14ac:dyDescent="0.25">
      <c r="U94" s="42"/>
    </row>
    <row r="95" spans="21:21" ht="15.75" customHeight="1" x14ac:dyDescent="0.25">
      <c r="U95" s="42"/>
    </row>
    <row r="96" spans="21:21" ht="15.75" customHeight="1" x14ac:dyDescent="0.25">
      <c r="U96" s="42"/>
    </row>
    <row r="97" spans="21:21" ht="15.75" customHeight="1" x14ac:dyDescent="0.25">
      <c r="U97" s="42"/>
    </row>
    <row r="98" spans="21:21" ht="15.75" customHeight="1" x14ac:dyDescent="0.25">
      <c r="U98" s="42"/>
    </row>
    <row r="99" spans="21:21" ht="15.75" customHeight="1" x14ac:dyDescent="0.25">
      <c r="U99" s="42"/>
    </row>
    <row r="100" spans="21:21" ht="15.75" customHeight="1" x14ac:dyDescent="0.25">
      <c r="U100" s="42"/>
    </row>
    <row r="101" spans="21:21" ht="15.75" customHeight="1" x14ac:dyDescent="0.25">
      <c r="U101" s="42"/>
    </row>
    <row r="102" spans="21:21" ht="15.75" customHeight="1" x14ac:dyDescent="0.25">
      <c r="U102" s="42"/>
    </row>
    <row r="103" spans="21:21" ht="15.75" customHeight="1" x14ac:dyDescent="0.25">
      <c r="U103" s="42"/>
    </row>
    <row r="104" spans="21:21" ht="15.75" customHeight="1" x14ac:dyDescent="0.25">
      <c r="U104" s="42"/>
    </row>
    <row r="105" spans="21:21" ht="15.75" customHeight="1" x14ac:dyDescent="0.25">
      <c r="U105" s="42"/>
    </row>
    <row r="106" spans="21:21" ht="15.75" customHeight="1" x14ac:dyDescent="0.25">
      <c r="U106" s="42"/>
    </row>
    <row r="107" spans="21:21" ht="15.75" customHeight="1" x14ac:dyDescent="0.25">
      <c r="U107" s="42"/>
    </row>
    <row r="108" spans="21:21" ht="15.75" customHeight="1" x14ac:dyDescent="0.25">
      <c r="U108" s="42"/>
    </row>
    <row r="109" spans="21:21" ht="15.75" customHeight="1" x14ac:dyDescent="0.25">
      <c r="U109" s="42"/>
    </row>
    <row r="110" spans="21:21" ht="15.75" customHeight="1" x14ac:dyDescent="0.25">
      <c r="U110" s="42"/>
    </row>
    <row r="111" spans="21:21" ht="15.75" customHeight="1" x14ac:dyDescent="0.25">
      <c r="U111" s="42"/>
    </row>
    <row r="112" spans="21:21" ht="15.75" customHeight="1" x14ac:dyDescent="0.25">
      <c r="U112" s="42"/>
    </row>
    <row r="113" spans="21:21" ht="15.75" customHeight="1" x14ac:dyDescent="0.25">
      <c r="U113" s="42"/>
    </row>
    <row r="114" spans="21:21" ht="15.75" customHeight="1" x14ac:dyDescent="0.25">
      <c r="U114" s="42"/>
    </row>
    <row r="115" spans="21:21" ht="15.75" customHeight="1" x14ac:dyDescent="0.25">
      <c r="U115" s="42"/>
    </row>
    <row r="116" spans="21:21" ht="15.75" customHeight="1" x14ac:dyDescent="0.25">
      <c r="U116" s="42"/>
    </row>
    <row r="117" spans="21:21" ht="15.75" customHeight="1" x14ac:dyDescent="0.25">
      <c r="U117" s="42"/>
    </row>
    <row r="118" spans="21:21" ht="15.75" customHeight="1" x14ac:dyDescent="0.25">
      <c r="U118" s="42"/>
    </row>
    <row r="119" spans="21:21" ht="15.75" customHeight="1" x14ac:dyDescent="0.25">
      <c r="U119" s="42"/>
    </row>
    <row r="120" spans="21:21" ht="15.75" customHeight="1" x14ac:dyDescent="0.25">
      <c r="U120" s="42"/>
    </row>
    <row r="121" spans="21:21" ht="15.75" customHeight="1" x14ac:dyDescent="0.25">
      <c r="U121" s="42"/>
    </row>
    <row r="122" spans="21:21" ht="15.75" customHeight="1" x14ac:dyDescent="0.25">
      <c r="U122" s="42"/>
    </row>
    <row r="123" spans="21:21" ht="15.75" customHeight="1" x14ac:dyDescent="0.25">
      <c r="U123" s="42"/>
    </row>
    <row r="124" spans="21:21" ht="15.75" customHeight="1" x14ac:dyDescent="0.25">
      <c r="U124" s="42"/>
    </row>
    <row r="125" spans="21:21" ht="15.75" customHeight="1" x14ac:dyDescent="0.25">
      <c r="U125" s="42"/>
    </row>
    <row r="126" spans="21:21" ht="15.75" customHeight="1" x14ac:dyDescent="0.25">
      <c r="U126" s="42"/>
    </row>
    <row r="127" spans="21:21" ht="15.75" customHeight="1" x14ac:dyDescent="0.25">
      <c r="U127" s="42"/>
    </row>
    <row r="128" spans="21:21" ht="15.75" customHeight="1" x14ac:dyDescent="0.25">
      <c r="U128" s="42"/>
    </row>
    <row r="129" spans="21:21" ht="15.75" customHeight="1" x14ac:dyDescent="0.25">
      <c r="U129" s="42"/>
    </row>
    <row r="130" spans="21:21" ht="15.75" customHeight="1" x14ac:dyDescent="0.25">
      <c r="U130" s="42"/>
    </row>
    <row r="131" spans="21:21" ht="15.75" customHeight="1" x14ac:dyDescent="0.25">
      <c r="U131" s="42"/>
    </row>
    <row r="132" spans="21:21" ht="15.75" customHeight="1" x14ac:dyDescent="0.25">
      <c r="U132" s="42"/>
    </row>
    <row r="133" spans="21:21" ht="15.75" customHeight="1" x14ac:dyDescent="0.25">
      <c r="U133" s="42"/>
    </row>
    <row r="134" spans="21:21" ht="15.75" customHeight="1" x14ac:dyDescent="0.25">
      <c r="U134" s="42"/>
    </row>
    <row r="135" spans="21:21" ht="15.75" customHeight="1" x14ac:dyDescent="0.25">
      <c r="U135" s="42"/>
    </row>
    <row r="136" spans="21:21" ht="15.75" customHeight="1" x14ac:dyDescent="0.25">
      <c r="U136" s="42"/>
    </row>
    <row r="137" spans="21:21" ht="15.75" customHeight="1" x14ac:dyDescent="0.25">
      <c r="U137" s="42"/>
    </row>
    <row r="138" spans="21:21" ht="15.75" customHeight="1" x14ac:dyDescent="0.25">
      <c r="U138" s="42"/>
    </row>
    <row r="139" spans="21:21" ht="15.75" customHeight="1" x14ac:dyDescent="0.25">
      <c r="U139" s="42"/>
    </row>
    <row r="140" spans="21:21" ht="15.75" customHeight="1" x14ac:dyDescent="0.25">
      <c r="U140" s="42"/>
    </row>
    <row r="141" spans="21:21" ht="15.75" customHeight="1" x14ac:dyDescent="0.25">
      <c r="U141" s="42"/>
    </row>
    <row r="142" spans="21:21" ht="15.75" customHeight="1" x14ac:dyDescent="0.25">
      <c r="U142" s="42"/>
    </row>
    <row r="143" spans="21:21" ht="15.75" customHeight="1" x14ac:dyDescent="0.25">
      <c r="U143" s="42"/>
    </row>
    <row r="144" spans="21:21" ht="15.75" customHeight="1" x14ac:dyDescent="0.25">
      <c r="U144" s="42"/>
    </row>
    <row r="145" spans="21:21" ht="15.75" customHeight="1" x14ac:dyDescent="0.25">
      <c r="U145" s="42"/>
    </row>
    <row r="146" spans="21:21" ht="15.75" customHeight="1" x14ac:dyDescent="0.25">
      <c r="U146" s="42"/>
    </row>
    <row r="147" spans="21:21" ht="15.75" customHeight="1" x14ac:dyDescent="0.25">
      <c r="U147" s="42"/>
    </row>
    <row r="148" spans="21:21" ht="15.75" customHeight="1" x14ac:dyDescent="0.25">
      <c r="U148" s="42"/>
    </row>
    <row r="149" spans="21:21" ht="15.75" customHeight="1" x14ac:dyDescent="0.25">
      <c r="U149" s="42"/>
    </row>
    <row r="150" spans="21:21" ht="15.75" customHeight="1" x14ac:dyDescent="0.25">
      <c r="U150" s="42"/>
    </row>
    <row r="151" spans="21:21" ht="15.75" customHeight="1" x14ac:dyDescent="0.25">
      <c r="U151" s="42"/>
    </row>
    <row r="152" spans="21:21" ht="15.75" customHeight="1" x14ac:dyDescent="0.25">
      <c r="U152" s="42"/>
    </row>
    <row r="153" spans="21:21" ht="15.75" customHeight="1" x14ac:dyDescent="0.25">
      <c r="U153" s="42"/>
    </row>
    <row r="154" spans="21:21" ht="15.75" customHeight="1" x14ac:dyDescent="0.25">
      <c r="U154" s="42"/>
    </row>
    <row r="155" spans="21:21" ht="15.75" customHeight="1" x14ac:dyDescent="0.25">
      <c r="U155" s="42"/>
    </row>
    <row r="156" spans="21:21" ht="15.75" customHeight="1" x14ac:dyDescent="0.25">
      <c r="U156" s="42"/>
    </row>
    <row r="157" spans="21:21" ht="15.75" customHeight="1" x14ac:dyDescent="0.25">
      <c r="U157" s="42"/>
    </row>
    <row r="158" spans="21:21" ht="15.75" customHeight="1" x14ac:dyDescent="0.25">
      <c r="U158" s="42"/>
    </row>
    <row r="159" spans="21:21" ht="15.75" customHeight="1" x14ac:dyDescent="0.25">
      <c r="U159" s="42"/>
    </row>
    <row r="160" spans="21:21" ht="15.75" customHeight="1" x14ac:dyDescent="0.25">
      <c r="U160" s="42"/>
    </row>
    <row r="161" spans="21:21" ht="15.75" customHeight="1" x14ac:dyDescent="0.25">
      <c r="U161" s="42"/>
    </row>
    <row r="162" spans="21:21" ht="15.75" customHeight="1" x14ac:dyDescent="0.25">
      <c r="U162" s="42"/>
    </row>
    <row r="163" spans="21:21" ht="15.75" customHeight="1" x14ac:dyDescent="0.25">
      <c r="U163" s="42"/>
    </row>
    <row r="164" spans="21:21" ht="15.75" customHeight="1" x14ac:dyDescent="0.25">
      <c r="U164" s="42"/>
    </row>
    <row r="165" spans="21:21" ht="15.75" customHeight="1" x14ac:dyDescent="0.25">
      <c r="U165" s="42"/>
    </row>
    <row r="166" spans="21:21" ht="15.75" customHeight="1" x14ac:dyDescent="0.25">
      <c r="U166" s="42"/>
    </row>
    <row r="167" spans="21:21" ht="15.75" customHeight="1" x14ac:dyDescent="0.25">
      <c r="U167" s="42"/>
    </row>
    <row r="168" spans="21:21" ht="15.75" customHeight="1" x14ac:dyDescent="0.25">
      <c r="U168" s="42"/>
    </row>
    <row r="169" spans="21:21" ht="15.75" customHeight="1" x14ac:dyDescent="0.25">
      <c r="U169" s="42"/>
    </row>
    <row r="170" spans="21:21" ht="15.75" customHeight="1" x14ac:dyDescent="0.25">
      <c r="U170" s="42"/>
    </row>
    <row r="171" spans="21:21" ht="15.75" customHeight="1" x14ac:dyDescent="0.25">
      <c r="U171" s="42"/>
    </row>
    <row r="172" spans="21:21" ht="15.75" customHeight="1" x14ac:dyDescent="0.25">
      <c r="U172" s="42"/>
    </row>
    <row r="173" spans="21:21" ht="15.75" customHeight="1" x14ac:dyDescent="0.25">
      <c r="U173" s="42"/>
    </row>
    <row r="174" spans="21:21" ht="15.75" customHeight="1" x14ac:dyDescent="0.25">
      <c r="U174" s="42"/>
    </row>
    <row r="175" spans="21:21" ht="15.75" customHeight="1" x14ac:dyDescent="0.25">
      <c r="U175" s="42"/>
    </row>
    <row r="176" spans="21:21" ht="15.75" customHeight="1" x14ac:dyDescent="0.25">
      <c r="U176" s="42"/>
    </row>
    <row r="177" spans="21:21" ht="15.75" customHeight="1" x14ac:dyDescent="0.25">
      <c r="U177" s="42"/>
    </row>
    <row r="178" spans="21:21" ht="15.75" customHeight="1" x14ac:dyDescent="0.25">
      <c r="U178" s="42"/>
    </row>
    <row r="179" spans="21:21" ht="15.75" customHeight="1" x14ac:dyDescent="0.25">
      <c r="U179" s="42"/>
    </row>
    <row r="180" spans="21:21" ht="15.75" customHeight="1" x14ac:dyDescent="0.25">
      <c r="U180" s="42"/>
    </row>
    <row r="181" spans="21:21" ht="15.75" customHeight="1" x14ac:dyDescent="0.25">
      <c r="U181" s="42"/>
    </row>
    <row r="182" spans="21:21" ht="15.75" customHeight="1" x14ac:dyDescent="0.25">
      <c r="U182" s="42"/>
    </row>
    <row r="183" spans="21:21" ht="15.75" customHeight="1" x14ac:dyDescent="0.25">
      <c r="U183" s="42"/>
    </row>
    <row r="184" spans="21:21" ht="15.75" customHeight="1" x14ac:dyDescent="0.25">
      <c r="U184" s="42"/>
    </row>
    <row r="185" spans="21:21" ht="15.75" customHeight="1" x14ac:dyDescent="0.25">
      <c r="U185" s="42"/>
    </row>
    <row r="186" spans="21:21" ht="15.75" customHeight="1" x14ac:dyDescent="0.25">
      <c r="U186" s="42"/>
    </row>
    <row r="187" spans="21:21" ht="15.75" customHeight="1" x14ac:dyDescent="0.25">
      <c r="U187" s="42"/>
    </row>
    <row r="188" spans="21:21" ht="15.75" customHeight="1" x14ac:dyDescent="0.25">
      <c r="U188" s="42"/>
    </row>
    <row r="189" spans="21:21" ht="15.75" customHeight="1" x14ac:dyDescent="0.25">
      <c r="U189" s="42"/>
    </row>
    <row r="190" spans="21:21" ht="15.75" customHeight="1" x14ac:dyDescent="0.25">
      <c r="U190" s="42"/>
    </row>
    <row r="191" spans="21:21" ht="15.75" customHeight="1" x14ac:dyDescent="0.25">
      <c r="U191" s="42"/>
    </row>
    <row r="192" spans="21:21" ht="15.75" customHeight="1" x14ac:dyDescent="0.25">
      <c r="U192" s="42"/>
    </row>
    <row r="193" spans="21:21" ht="15.75" customHeight="1" x14ac:dyDescent="0.25">
      <c r="U193" s="42"/>
    </row>
    <row r="194" spans="21:21" ht="15.75" customHeight="1" x14ac:dyDescent="0.25">
      <c r="U194" s="42"/>
    </row>
    <row r="195" spans="21:21" ht="15.75" customHeight="1" x14ac:dyDescent="0.25">
      <c r="U195" s="42"/>
    </row>
    <row r="196" spans="21:21" ht="15.75" customHeight="1" x14ac:dyDescent="0.25">
      <c r="U196" s="42"/>
    </row>
    <row r="197" spans="21:21" ht="15.75" customHeight="1" x14ac:dyDescent="0.25">
      <c r="U197" s="42"/>
    </row>
    <row r="198" spans="21:21" ht="15.75" customHeight="1" x14ac:dyDescent="0.25">
      <c r="U198" s="42"/>
    </row>
    <row r="199" spans="21:21" ht="15.75" customHeight="1" x14ac:dyDescent="0.25">
      <c r="U199" s="42"/>
    </row>
    <row r="200" spans="21:21" ht="15.75" customHeight="1" x14ac:dyDescent="0.25">
      <c r="U200" s="42"/>
    </row>
    <row r="201" spans="21:21" ht="15.75" customHeight="1" x14ac:dyDescent="0.25">
      <c r="U201" s="42"/>
    </row>
    <row r="202" spans="21:21" ht="15.75" customHeight="1" x14ac:dyDescent="0.25">
      <c r="U202" s="42"/>
    </row>
    <row r="203" spans="21:21" ht="15.75" customHeight="1" x14ac:dyDescent="0.25">
      <c r="U203" s="42"/>
    </row>
    <row r="204" spans="21:21" ht="15.75" customHeight="1" x14ac:dyDescent="0.25">
      <c r="U204" s="42"/>
    </row>
    <row r="205" spans="21:21" ht="15.75" customHeight="1" x14ac:dyDescent="0.25">
      <c r="U205" s="42"/>
    </row>
    <row r="206" spans="21:21" ht="15.75" customHeight="1" x14ac:dyDescent="0.25">
      <c r="U206" s="42"/>
    </row>
    <row r="207" spans="21:21" ht="15.75" customHeight="1" x14ac:dyDescent="0.25">
      <c r="U207" s="42"/>
    </row>
    <row r="208" spans="21:21" ht="15.75" customHeight="1" x14ac:dyDescent="0.25">
      <c r="U208" s="42"/>
    </row>
    <row r="209" spans="21:21" ht="15.75" customHeight="1" x14ac:dyDescent="0.25">
      <c r="U209" s="42"/>
    </row>
    <row r="210" spans="21:21" ht="15.75" customHeight="1" x14ac:dyDescent="0.25">
      <c r="U210" s="42"/>
    </row>
    <row r="211" spans="21:21" ht="15.75" customHeight="1" x14ac:dyDescent="0.25">
      <c r="U211" s="42"/>
    </row>
    <row r="212" spans="21:21" ht="15.75" customHeight="1" x14ac:dyDescent="0.25">
      <c r="U212" s="42"/>
    </row>
    <row r="213" spans="21:21" ht="15.75" customHeight="1" x14ac:dyDescent="0.25">
      <c r="U213" s="42"/>
    </row>
    <row r="214" spans="21:21" ht="15.75" customHeight="1" x14ac:dyDescent="0.25">
      <c r="U214" s="42"/>
    </row>
    <row r="215" spans="21:21" ht="15.75" customHeight="1" x14ac:dyDescent="0.25">
      <c r="U215" s="42"/>
    </row>
    <row r="216" spans="21:21" ht="15.75" customHeight="1" x14ac:dyDescent="0.25">
      <c r="U216" s="42"/>
    </row>
    <row r="217" spans="21:21" ht="15.75" customHeight="1" x14ac:dyDescent="0.25">
      <c r="U217" s="42"/>
    </row>
    <row r="218" spans="21:21" ht="15.75" customHeight="1" x14ac:dyDescent="0.25">
      <c r="U218" s="42"/>
    </row>
    <row r="219" spans="21:21" ht="15.75" customHeight="1" x14ac:dyDescent="0.25">
      <c r="U219" s="42"/>
    </row>
    <row r="220" spans="21:21" ht="15.75" customHeight="1" x14ac:dyDescent="0.25">
      <c r="U220" s="42"/>
    </row>
    <row r="221" spans="21:21" ht="15.75" customHeight="1" x14ac:dyDescent="0.25">
      <c r="U221" s="42"/>
    </row>
    <row r="222" spans="21:21" ht="15.75" customHeight="1" x14ac:dyDescent="0.25">
      <c r="U222" s="42"/>
    </row>
    <row r="223" spans="21:21" ht="15.75" customHeight="1" x14ac:dyDescent="0.25">
      <c r="U223" s="42"/>
    </row>
    <row r="224" spans="21:21" ht="15.75" customHeight="1" x14ac:dyDescent="0.25">
      <c r="U224" s="42"/>
    </row>
    <row r="225" spans="21:21" ht="15.75" customHeight="1" x14ac:dyDescent="0.25">
      <c r="U225" s="42"/>
    </row>
    <row r="226" spans="21:21" ht="15.75" customHeight="1" x14ac:dyDescent="0.25">
      <c r="U226" s="42"/>
    </row>
    <row r="227" spans="21:21" ht="15.75" customHeight="1" x14ac:dyDescent="0.25">
      <c r="U227" s="42"/>
    </row>
    <row r="228" spans="21:21" ht="15.75" customHeight="1" x14ac:dyDescent="0.25">
      <c r="U228" s="42"/>
    </row>
    <row r="229" spans="21:21" ht="15.75" customHeight="1" x14ac:dyDescent="0.25">
      <c r="U229" s="42"/>
    </row>
    <row r="230" spans="21:21" ht="15.75" customHeight="1" x14ac:dyDescent="0.25">
      <c r="U230" s="42"/>
    </row>
    <row r="231" spans="21:21" ht="15.75" customHeight="1" x14ac:dyDescent="0.25">
      <c r="U231" s="42"/>
    </row>
    <row r="232" spans="21:21" ht="15.75" customHeight="1" x14ac:dyDescent="0.25">
      <c r="U232" s="42"/>
    </row>
    <row r="233" spans="21:21" ht="15.75" customHeight="1" x14ac:dyDescent="0.25">
      <c r="U233" s="42"/>
    </row>
    <row r="234" spans="21:21" ht="15.75" customHeight="1" x14ac:dyDescent="0.25">
      <c r="U234" s="42"/>
    </row>
    <row r="235" spans="21:21" ht="15.75" customHeight="1" x14ac:dyDescent="0.25">
      <c r="U235" s="42"/>
    </row>
    <row r="236" spans="21:21" ht="15.75" customHeight="1" x14ac:dyDescent="0.25">
      <c r="U236" s="42"/>
    </row>
    <row r="237" spans="21:21" ht="15.75" customHeight="1" x14ac:dyDescent="0.25">
      <c r="U237" s="42"/>
    </row>
    <row r="238" spans="21:21" ht="15.75" customHeight="1" x14ac:dyDescent="0.25">
      <c r="U238" s="42"/>
    </row>
    <row r="239" spans="21:21" ht="15.75" customHeight="1" x14ac:dyDescent="0.25">
      <c r="U239" s="42"/>
    </row>
    <row r="240" spans="21:21" ht="15.75" customHeight="1" x14ac:dyDescent="0.25">
      <c r="U240" s="42"/>
    </row>
    <row r="241" spans="21:21" ht="15.75" customHeight="1" x14ac:dyDescent="0.25">
      <c r="U241" s="42"/>
    </row>
    <row r="242" spans="21:21" ht="15.75" customHeight="1" x14ac:dyDescent="0.25">
      <c r="U242" s="42"/>
    </row>
    <row r="243" spans="21:21" ht="15.75" customHeight="1" x14ac:dyDescent="0.25">
      <c r="U243" s="42"/>
    </row>
    <row r="244" spans="21:21" ht="15.75" customHeight="1" x14ac:dyDescent="0.25">
      <c r="U244" s="42"/>
    </row>
    <row r="245" spans="21:21" ht="15.75" customHeight="1" x14ac:dyDescent="0.25">
      <c r="U245" s="42"/>
    </row>
    <row r="246" spans="21:21" ht="15.75" customHeight="1" x14ac:dyDescent="0.25">
      <c r="U246" s="42"/>
    </row>
    <row r="247" spans="21:21" ht="15.75" customHeight="1" x14ac:dyDescent="0.25">
      <c r="U247" s="42"/>
    </row>
    <row r="248" spans="21:21" ht="15.75" customHeight="1" x14ac:dyDescent="0.25">
      <c r="U248" s="42"/>
    </row>
    <row r="249" spans="21:21" ht="15.75" customHeight="1" x14ac:dyDescent="0.25">
      <c r="U249" s="42"/>
    </row>
    <row r="250" spans="21:21" ht="15.75" customHeight="1" x14ac:dyDescent="0.25">
      <c r="U250" s="42"/>
    </row>
    <row r="251" spans="21:21" ht="15.75" customHeight="1" x14ac:dyDescent="0.25">
      <c r="U251" s="42"/>
    </row>
    <row r="252" spans="21:21" ht="15.75" customHeight="1" x14ac:dyDescent="0.25">
      <c r="U252" s="42"/>
    </row>
    <row r="253" spans="21:21" ht="15.75" customHeight="1" x14ac:dyDescent="0.25">
      <c r="U253" s="42"/>
    </row>
    <row r="254" spans="21:21" ht="15.75" customHeight="1" x14ac:dyDescent="0.25">
      <c r="U254" s="42"/>
    </row>
    <row r="255" spans="21:21" ht="15.75" customHeight="1" x14ac:dyDescent="0.25">
      <c r="U255" s="42"/>
    </row>
    <row r="256" spans="21:21" ht="15.75" customHeight="1" x14ac:dyDescent="0.25">
      <c r="U256" s="42"/>
    </row>
    <row r="257" spans="21:21" ht="15.75" customHeight="1" x14ac:dyDescent="0.25">
      <c r="U257" s="42"/>
    </row>
    <row r="258" spans="21:21" ht="15.75" customHeight="1" x14ac:dyDescent="0.25">
      <c r="U258" s="42"/>
    </row>
    <row r="259" spans="21:21" ht="15.75" customHeight="1" x14ac:dyDescent="0.25">
      <c r="U259" s="42"/>
    </row>
    <row r="260" spans="21:21" ht="15.75" customHeight="1" x14ac:dyDescent="0.25">
      <c r="U260" s="42"/>
    </row>
    <row r="261" spans="21:21" ht="15.75" customHeight="1" x14ac:dyDescent="0.25">
      <c r="U261" s="42"/>
    </row>
    <row r="262" spans="21:21" ht="15.75" customHeight="1" x14ac:dyDescent="0.25">
      <c r="U262" s="42"/>
    </row>
    <row r="263" spans="21:21" ht="15.75" customHeight="1" x14ac:dyDescent="0.25">
      <c r="U263" s="42"/>
    </row>
    <row r="264" spans="21:21" ht="15.75" customHeight="1" x14ac:dyDescent="0.25">
      <c r="U264" s="42"/>
    </row>
    <row r="265" spans="21:21" ht="15.75" customHeight="1" x14ac:dyDescent="0.25">
      <c r="U265" s="42"/>
    </row>
    <row r="266" spans="21:21" ht="15.75" customHeight="1" x14ac:dyDescent="0.25">
      <c r="U266" s="42"/>
    </row>
    <row r="267" spans="21:21" ht="15.75" customHeight="1" x14ac:dyDescent="0.25">
      <c r="U267" s="42"/>
    </row>
    <row r="268" spans="21:21" ht="15.75" customHeight="1" x14ac:dyDescent="0.25">
      <c r="U268" s="42"/>
    </row>
    <row r="269" spans="21:21" ht="15.75" customHeight="1" x14ac:dyDescent="0.25">
      <c r="U269" s="42"/>
    </row>
    <row r="270" spans="21:21" ht="15.75" customHeight="1" x14ac:dyDescent="0.25">
      <c r="U270" s="42"/>
    </row>
    <row r="271" spans="21:21" ht="15.75" customHeight="1" x14ac:dyDescent="0.25">
      <c r="U271" s="42"/>
    </row>
    <row r="272" spans="21:21" ht="15.75" customHeight="1" x14ac:dyDescent="0.25">
      <c r="U272" s="42"/>
    </row>
    <row r="273" spans="21:21" ht="15.75" customHeight="1" x14ac:dyDescent="0.25">
      <c r="U273" s="42"/>
    </row>
    <row r="274" spans="21:21" ht="15.75" customHeight="1" x14ac:dyDescent="0.25">
      <c r="U274" s="42"/>
    </row>
    <row r="275" spans="21:21" ht="15.75" customHeight="1" x14ac:dyDescent="0.25">
      <c r="U275" s="42"/>
    </row>
    <row r="276" spans="21:21" ht="15.75" customHeight="1" x14ac:dyDescent="0.25">
      <c r="U276" s="42"/>
    </row>
    <row r="277" spans="21:21" ht="15.75" customHeight="1" x14ac:dyDescent="0.25">
      <c r="U277" s="42"/>
    </row>
    <row r="278" spans="21:21" ht="15.75" customHeight="1" x14ac:dyDescent="0.25">
      <c r="U278" s="42"/>
    </row>
    <row r="279" spans="21:21" ht="15.75" customHeight="1" x14ac:dyDescent="0.25">
      <c r="U279" s="42"/>
    </row>
    <row r="280" spans="21:21" ht="15.75" customHeight="1" x14ac:dyDescent="0.25">
      <c r="U280" s="42"/>
    </row>
    <row r="281" spans="21:21" ht="15.75" customHeight="1" x14ac:dyDescent="0.25">
      <c r="U281" s="42"/>
    </row>
    <row r="282" spans="21:21" ht="15.75" customHeight="1" x14ac:dyDescent="0.25">
      <c r="U282" s="42"/>
    </row>
    <row r="283" spans="21:21" ht="15.75" customHeight="1" x14ac:dyDescent="0.25">
      <c r="U283" s="42"/>
    </row>
    <row r="284" spans="21:21" ht="15.75" customHeight="1" x14ac:dyDescent="0.25">
      <c r="U284" s="42"/>
    </row>
    <row r="285" spans="21:21" ht="15.75" customHeight="1" x14ac:dyDescent="0.25">
      <c r="U285" s="42"/>
    </row>
    <row r="286" spans="21:21" ht="15.75" customHeight="1" x14ac:dyDescent="0.25">
      <c r="U286" s="42"/>
    </row>
    <row r="287" spans="21:21" ht="15.75" customHeight="1" x14ac:dyDescent="0.25">
      <c r="U287" s="42"/>
    </row>
    <row r="288" spans="21:21" ht="15.75" customHeight="1" x14ac:dyDescent="0.25">
      <c r="U288" s="42"/>
    </row>
    <row r="289" spans="21:21" ht="15.75" customHeight="1" x14ac:dyDescent="0.25">
      <c r="U289" s="42"/>
    </row>
    <row r="290" spans="21:21" ht="15.75" customHeight="1" x14ac:dyDescent="0.25">
      <c r="U290" s="42"/>
    </row>
    <row r="291" spans="21:21" ht="15.75" customHeight="1" x14ac:dyDescent="0.25">
      <c r="U291" s="42"/>
    </row>
    <row r="292" spans="21:21" ht="15.75" customHeight="1" x14ac:dyDescent="0.25">
      <c r="U292" s="42"/>
    </row>
    <row r="293" spans="21:21" ht="15.75" customHeight="1" x14ac:dyDescent="0.25">
      <c r="U293" s="42"/>
    </row>
    <row r="294" spans="21:21" ht="15.75" customHeight="1" x14ac:dyDescent="0.25">
      <c r="U294" s="42"/>
    </row>
    <row r="295" spans="21:21" ht="15.75" customHeight="1" x14ac:dyDescent="0.25">
      <c r="U295" s="42"/>
    </row>
    <row r="296" spans="21:21" ht="15.75" customHeight="1" x14ac:dyDescent="0.25">
      <c r="U296" s="42"/>
    </row>
    <row r="297" spans="21:21" ht="15.75" customHeight="1" x14ac:dyDescent="0.25">
      <c r="U297" s="42"/>
    </row>
    <row r="298" spans="21:21" ht="15.75" customHeight="1" x14ac:dyDescent="0.25">
      <c r="U298" s="42"/>
    </row>
    <row r="299" spans="21:21" ht="15.75" customHeight="1" x14ac:dyDescent="0.25">
      <c r="U299" s="42"/>
    </row>
    <row r="300" spans="21:21" ht="15.75" customHeight="1" x14ac:dyDescent="0.25">
      <c r="U300" s="42"/>
    </row>
    <row r="301" spans="21:21" ht="15.75" customHeight="1" x14ac:dyDescent="0.25">
      <c r="U301" s="42"/>
    </row>
    <row r="302" spans="21:21" ht="15.75" customHeight="1" x14ac:dyDescent="0.25">
      <c r="U302" s="42"/>
    </row>
    <row r="303" spans="21:21" ht="15.75" customHeight="1" x14ac:dyDescent="0.25">
      <c r="U303" s="42"/>
    </row>
    <row r="304" spans="21:21" ht="15.75" customHeight="1" x14ac:dyDescent="0.25">
      <c r="U304" s="42"/>
    </row>
    <row r="305" spans="21:21" ht="15.75" customHeight="1" x14ac:dyDescent="0.25">
      <c r="U305" s="42"/>
    </row>
    <row r="306" spans="21:21" ht="15.75" customHeight="1" x14ac:dyDescent="0.25">
      <c r="U306" s="42"/>
    </row>
    <row r="307" spans="21:21" ht="15.75" customHeight="1" x14ac:dyDescent="0.25">
      <c r="U307" s="42"/>
    </row>
    <row r="308" spans="21:21" ht="15.75" customHeight="1" x14ac:dyDescent="0.25">
      <c r="U308" s="42"/>
    </row>
    <row r="309" spans="21:21" ht="15.75" customHeight="1" x14ac:dyDescent="0.25">
      <c r="U309" s="42"/>
    </row>
    <row r="310" spans="21:21" ht="15.75" customHeight="1" x14ac:dyDescent="0.25">
      <c r="U310" s="42"/>
    </row>
    <row r="311" spans="21:21" ht="15.75" customHeight="1" x14ac:dyDescent="0.25">
      <c r="U311" s="42"/>
    </row>
    <row r="312" spans="21:21" ht="15.75" customHeight="1" x14ac:dyDescent="0.25">
      <c r="U312" s="42"/>
    </row>
    <row r="313" spans="21:21" ht="15.75" customHeight="1" x14ac:dyDescent="0.25">
      <c r="U313" s="42"/>
    </row>
    <row r="314" spans="21:21" ht="15.75" customHeight="1" x14ac:dyDescent="0.25">
      <c r="U314" s="42"/>
    </row>
    <row r="315" spans="21:21" ht="15.75" customHeight="1" x14ac:dyDescent="0.25">
      <c r="U315" s="42"/>
    </row>
    <row r="316" spans="21:21" ht="15.75" customHeight="1" x14ac:dyDescent="0.25">
      <c r="U316" s="42"/>
    </row>
    <row r="317" spans="21:21" ht="15.75" customHeight="1" x14ac:dyDescent="0.25">
      <c r="U317" s="42"/>
    </row>
    <row r="318" spans="21:21" ht="15.75" customHeight="1" x14ac:dyDescent="0.25">
      <c r="U318" s="42"/>
    </row>
    <row r="319" spans="21:21" ht="15.75" customHeight="1" x14ac:dyDescent="0.25">
      <c r="U319" s="42"/>
    </row>
    <row r="320" spans="21:21" ht="15.75" customHeight="1" x14ac:dyDescent="0.25">
      <c r="U320" s="42"/>
    </row>
    <row r="321" spans="21:21" ht="15.75" customHeight="1" x14ac:dyDescent="0.25">
      <c r="U321" s="42"/>
    </row>
    <row r="322" spans="21:21" ht="15.75" customHeight="1" x14ac:dyDescent="0.25">
      <c r="U322" s="42"/>
    </row>
    <row r="323" spans="21:21" ht="15.75" customHeight="1" x14ac:dyDescent="0.25">
      <c r="U323" s="42"/>
    </row>
    <row r="324" spans="21:21" ht="15.75" customHeight="1" x14ac:dyDescent="0.25">
      <c r="U324" s="42"/>
    </row>
    <row r="325" spans="21:21" ht="15.75" customHeight="1" x14ac:dyDescent="0.25">
      <c r="U325" s="42"/>
    </row>
    <row r="326" spans="21:21" ht="15.75" customHeight="1" x14ac:dyDescent="0.25">
      <c r="U326" s="42"/>
    </row>
    <row r="327" spans="21:21" ht="15.75" customHeight="1" x14ac:dyDescent="0.25">
      <c r="U327" s="42"/>
    </row>
    <row r="328" spans="21:21" ht="15.75" customHeight="1" x14ac:dyDescent="0.25">
      <c r="U328" s="42"/>
    </row>
    <row r="329" spans="21:21" ht="15.75" customHeight="1" x14ac:dyDescent="0.25">
      <c r="U329" s="42"/>
    </row>
    <row r="330" spans="21:21" ht="15.75" customHeight="1" x14ac:dyDescent="0.25">
      <c r="U330" s="42"/>
    </row>
    <row r="331" spans="21:21" ht="15.75" customHeight="1" x14ac:dyDescent="0.25">
      <c r="U331" s="42"/>
    </row>
    <row r="332" spans="21:21" ht="15.75" customHeight="1" x14ac:dyDescent="0.25">
      <c r="U332" s="42"/>
    </row>
    <row r="333" spans="21:21" ht="15.75" customHeight="1" x14ac:dyDescent="0.25">
      <c r="U333" s="42"/>
    </row>
    <row r="334" spans="21:21" ht="15.75" customHeight="1" x14ac:dyDescent="0.25">
      <c r="U334" s="42"/>
    </row>
    <row r="335" spans="21:21" ht="15.75" customHeight="1" x14ac:dyDescent="0.25">
      <c r="U335" s="42"/>
    </row>
    <row r="336" spans="21:21" ht="15.75" customHeight="1" x14ac:dyDescent="0.25">
      <c r="U336" s="42"/>
    </row>
    <row r="337" spans="21:21" ht="15.75" customHeight="1" x14ac:dyDescent="0.25">
      <c r="U337" s="42"/>
    </row>
    <row r="338" spans="21:21" ht="15.75" customHeight="1" x14ac:dyDescent="0.25">
      <c r="U338" s="42"/>
    </row>
    <row r="339" spans="21:21" ht="15.75" customHeight="1" x14ac:dyDescent="0.25">
      <c r="U339" s="42"/>
    </row>
    <row r="340" spans="21:21" ht="15.75" customHeight="1" x14ac:dyDescent="0.25">
      <c r="U340" s="42"/>
    </row>
    <row r="341" spans="21:21" ht="15.75" customHeight="1" x14ac:dyDescent="0.25">
      <c r="U341" s="42"/>
    </row>
    <row r="342" spans="21:21" ht="15.75" customHeight="1" x14ac:dyDescent="0.25">
      <c r="U342" s="42"/>
    </row>
    <row r="343" spans="21:21" ht="15.75" customHeight="1" x14ac:dyDescent="0.25">
      <c r="U343" s="42"/>
    </row>
    <row r="344" spans="21:21" ht="15.75" customHeight="1" x14ac:dyDescent="0.25">
      <c r="U344" s="42"/>
    </row>
    <row r="345" spans="21:21" ht="15.75" customHeight="1" x14ac:dyDescent="0.25">
      <c r="U345" s="42"/>
    </row>
    <row r="346" spans="21:21" ht="15.75" customHeight="1" x14ac:dyDescent="0.25">
      <c r="U346" s="42"/>
    </row>
    <row r="347" spans="21:21" ht="15.75" customHeight="1" x14ac:dyDescent="0.25">
      <c r="U347" s="42"/>
    </row>
    <row r="348" spans="21:21" ht="15.75" customHeight="1" x14ac:dyDescent="0.25">
      <c r="U348" s="42"/>
    </row>
    <row r="349" spans="21:21" ht="15.75" customHeight="1" x14ac:dyDescent="0.25">
      <c r="U349" s="42"/>
    </row>
    <row r="350" spans="21:21" ht="15.75" customHeight="1" x14ac:dyDescent="0.25">
      <c r="U350" s="42"/>
    </row>
    <row r="351" spans="21:21" ht="15.75" customHeight="1" x14ac:dyDescent="0.25">
      <c r="U351" s="42"/>
    </row>
    <row r="352" spans="21:21" ht="15.75" customHeight="1" x14ac:dyDescent="0.25">
      <c r="U352" s="42"/>
    </row>
    <row r="353" spans="21:21" ht="15.75" customHeight="1" x14ac:dyDescent="0.25">
      <c r="U353" s="42"/>
    </row>
    <row r="354" spans="21:21" ht="15.75" customHeight="1" x14ac:dyDescent="0.25">
      <c r="U354" s="42"/>
    </row>
    <row r="355" spans="21:21" ht="15.75" customHeight="1" x14ac:dyDescent="0.25">
      <c r="U355" s="42"/>
    </row>
    <row r="356" spans="21:21" ht="15.75" customHeight="1" x14ac:dyDescent="0.25">
      <c r="U356" s="42"/>
    </row>
    <row r="357" spans="21:21" ht="15.75" customHeight="1" x14ac:dyDescent="0.25">
      <c r="U357" s="42"/>
    </row>
    <row r="358" spans="21:21" ht="15.75" customHeight="1" x14ac:dyDescent="0.25">
      <c r="U358" s="42"/>
    </row>
    <row r="359" spans="21:21" ht="15.75" customHeight="1" x14ac:dyDescent="0.25">
      <c r="U359" s="42"/>
    </row>
    <row r="360" spans="21:21" ht="15.75" customHeight="1" x14ac:dyDescent="0.25">
      <c r="U360" s="42"/>
    </row>
    <row r="361" spans="21:21" ht="15.75" customHeight="1" x14ac:dyDescent="0.25">
      <c r="U361" s="42"/>
    </row>
    <row r="362" spans="21:21" ht="15.75" customHeight="1" x14ac:dyDescent="0.25">
      <c r="U362" s="42"/>
    </row>
    <row r="363" spans="21:21" ht="15.75" customHeight="1" x14ac:dyDescent="0.25">
      <c r="U363" s="42"/>
    </row>
    <row r="364" spans="21:21" ht="15.75" customHeight="1" x14ac:dyDescent="0.25">
      <c r="U364" s="42"/>
    </row>
    <row r="365" spans="21:21" ht="15.75" customHeight="1" x14ac:dyDescent="0.25">
      <c r="U365" s="42"/>
    </row>
    <row r="366" spans="21:21" ht="15.75" customHeight="1" x14ac:dyDescent="0.25">
      <c r="U366" s="42"/>
    </row>
    <row r="367" spans="21:21" ht="15.75" customHeight="1" x14ac:dyDescent="0.25">
      <c r="U367" s="42"/>
    </row>
    <row r="368" spans="21:21" ht="15.75" customHeight="1" x14ac:dyDescent="0.25">
      <c r="U368" s="42"/>
    </row>
    <row r="369" spans="21:21" ht="15.75" customHeight="1" x14ac:dyDescent="0.25">
      <c r="U369" s="42"/>
    </row>
    <row r="370" spans="21:21" ht="15.75" customHeight="1" x14ac:dyDescent="0.25">
      <c r="U370" s="42"/>
    </row>
    <row r="371" spans="21:21" ht="15.75" customHeight="1" x14ac:dyDescent="0.25">
      <c r="U371" s="42"/>
    </row>
    <row r="372" spans="21:21" ht="15.75" customHeight="1" x14ac:dyDescent="0.25">
      <c r="U372" s="42"/>
    </row>
    <row r="373" spans="21:21" ht="15.75" customHeight="1" x14ac:dyDescent="0.25">
      <c r="U373" s="42"/>
    </row>
    <row r="374" spans="21:21" ht="15.75" customHeight="1" x14ac:dyDescent="0.25">
      <c r="U374" s="42"/>
    </row>
    <row r="375" spans="21:21" ht="15.75" customHeight="1" x14ac:dyDescent="0.25">
      <c r="U375" s="42"/>
    </row>
    <row r="376" spans="21:21" ht="15.75" customHeight="1" x14ac:dyDescent="0.25">
      <c r="U376" s="42"/>
    </row>
    <row r="377" spans="21:21" ht="15.75" customHeight="1" x14ac:dyDescent="0.25">
      <c r="U377" s="42"/>
    </row>
    <row r="378" spans="21:21" ht="15.75" customHeight="1" x14ac:dyDescent="0.25">
      <c r="U378" s="42"/>
    </row>
    <row r="379" spans="21:21" ht="15.75" customHeight="1" x14ac:dyDescent="0.25">
      <c r="U379" s="42"/>
    </row>
    <row r="380" spans="21:21" ht="15.75" customHeight="1" x14ac:dyDescent="0.25">
      <c r="U380" s="42"/>
    </row>
    <row r="381" spans="21:21" ht="15.75" customHeight="1" x14ac:dyDescent="0.25">
      <c r="U381" s="42"/>
    </row>
    <row r="382" spans="21:21" ht="15.75" customHeight="1" x14ac:dyDescent="0.25">
      <c r="U382" s="42"/>
    </row>
    <row r="383" spans="21:21" ht="15.75" customHeight="1" x14ac:dyDescent="0.25">
      <c r="U383" s="42"/>
    </row>
    <row r="384" spans="21:21" ht="15.75" customHeight="1" x14ac:dyDescent="0.25">
      <c r="U384" s="42"/>
    </row>
    <row r="385" spans="21:21" ht="15.75" customHeight="1" x14ac:dyDescent="0.25">
      <c r="U385" s="42"/>
    </row>
    <row r="386" spans="21:21" ht="15.75" customHeight="1" x14ac:dyDescent="0.25">
      <c r="U386" s="42"/>
    </row>
    <row r="387" spans="21:21" ht="15.75" customHeight="1" x14ac:dyDescent="0.25">
      <c r="U387" s="42"/>
    </row>
    <row r="388" spans="21:21" ht="15.75" customHeight="1" x14ac:dyDescent="0.25">
      <c r="U388" s="42"/>
    </row>
    <row r="389" spans="21:21" ht="15.75" customHeight="1" x14ac:dyDescent="0.25">
      <c r="U389" s="42"/>
    </row>
    <row r="390" spans="21:21" ht="15.75" customHeight="1" x14ac:dyDescent="0.25">
      <c r="U390" s="42"/>
    </row>
    <row r="391" spans="21:21" ht="15.75" customHeight="1" x14ac:dyDescent="0.25">
      <c r="U391" s="42"/>
    </row>
    <row r="392" spans="21:21" ht="15.75" customHeight="1" x14ac:dyDescent="0.25">
      <c r="U392" s="42"/>
    </row>
    <row r="393" spans="21:21" ht="15.75" customHeight="1" x14ac:dyDescent="0.25">
      <c r="U393" s="42"/>
    </row>
    <row r="394" spans="21:21" ht="15.75" customHeight="1" x14ac:dyDescent="0.25">
      <c r="U394" s="42"/>
    </row>
    <row r="395" spans="21:21" ht="15.75" customHeight="1" x14ac:dyDescent="0.25">
      <c r="U395" s="42"/>
    </row>
    <row r="396" spans="21:21" ht="15.75" customHeight="1" x14ac:dyDescent="0.25">
      <c r="U396" s="42"/>
    </row>
    <row r="397" spans="21:21" ht="15.75" customHeight="1" x14ac:dyDescent="0.25">
      <c r="U397" s="42"/>
    </row>
    <row r="398" spans="21:21" ht="15.75" customHeight="1" x14ac:dyDescent="0.25">
      <c r="U398" s="42"/>
    </row>
    <row r="399" spans="21:21" ht="15.75" customHeight="1" x14ac:dyDescent="0.25">
      <c r="U399" s="42"/>
    </row>
    <row r="400" spans="21:21" ht="15.75" customHeight="1" x14ac:dyDescent="0.25">
      <c r="U400" s="42"/>
    </row>
    <row r="401" spans="21:21" ht="15.75" customHeight="1" x14ac:dyDescent="0.25">
      <c r="U401" s="42"/>
    </row>
    <row r="402" spans="21:21" ht="15.75" customHeight="1" x14ac:dyDescent="0.25">
      <c r="U402" s="42"/>
    </row>
    <row r="403" spans="21:21" ht="15.75" customHeight="1" x14ac:dyDescent="0.25">
      <c r="U403" s="42"/>
    </row>
    <row r="404" spans="21:21" ht="15.75" customHeight="1" x14ac:dyDescent="0.25">
      <c r="U404" s="42"/>
    </row>
    <row r="405" spans="21:21" ht="15.75" customHeight="1" x14ac:dyDescent="0.25">
      <c r="U405" s="42"/>
    </row>
    <row r="406" spans="21:21" ht="15.75" customHeight="1" x14ac:dyDescent="0.25">
      <c r="U406" s="42"/>
    </row>
    <row r="407" spans="21:21" ht="15.75" customHeight="1" x14ac:dyDescent="0.25">
      <c r="U407" s="42"/>
    </row>
    <row r="408" spans="21:21" ht="15.75" customHeight="1" x14ac:dyDescent="0.25">
      <c r="U408" s="42"/>
    </row>
    <row r="409" spans="21:21" ht="15.75" customHeight="1" x14ac:dyDescent="0.25">
      <c r="U409" s="42"/>
    </row>
    <row r="410" spans="21:21" ht="15.75" customHeight="1" x14ac:dyDescent="0.25">
      <c r="U410" s="42"/>
    </row>
    <row r="411" spans="21:21" ht="15.75" customHeight="1" x14ac:dyDescent="0.25">
      <c r="U411" s="42"/>
    </row>
    <row r="412" spans="21:21" ht="15.75" customHeight="1" x14ac:dyDescent="0.25">
      <c r="U412" s="42"/>
    </row>
    <row r="413" spans="21:21" ht="15.75" customHeight="1" x14ac:dyDescent="0.25">
      <c r="U413" s="42"/>
    </row>
    <row r="414" spans="21:21" ht="15.75" customHeight="1" x14ac:dyDescent="0.25">
      <c r="U414" s="42"/>
    </row>
    <row r="415" spans="21:21" ht="15.75" customHeight="1" x14ac:dyDescent="0.25">
      <c r="U415" s="42"/>
    </row>
    <row r="416" spans="21:21" ht="15.75" customHeight="1" x14ac:dyDescent="0.25">
      <c r="U416" s="42"/>
    </row>
    <row r="417" spans="21:21" ht="15.75" customHeight="1" x14ac:dyDescent="0.25">
      <c r="U417" s="42"/>
    </row>
    <row r="418" spans="21:21" ht="15.75" customHeight="1" x14ac:dyDescent="0.25">
      <c r="U418" s="42"/>
    </row>
    <row r="419" spans="21:21" ht="15.75" customHeight="1" x14ac:dyDescent="0.25">
      <c r="U419" s="42"/>
    </row>
    <row r="420" spans="21:21" ht="15.75" customHeight="1" x14ac:dyDescent="0.25">
      <c r="U420" s="42"/>
    </row>
    <row r="421" spans="21:21" ht="15.75" customHeight="1" x14ac:dyDescent="0.25">
      <c r="U421" s="42"/>
    </row>
    <row r="422" spans="21:21" ht="15.75" customHeight="1" x14ac:dyDescent="0.25">
      <c r="U422" s="42"/>
    </row>
    <row r="423" spans="21:21" ht="15.75" customHeight="1" x14ac:dyDescent="0.25">
      <c r="U423" s="42"/>
    </row>
    <row r="424" spans="21:21" ht="15.75" customHeight="1" x14ac:dyDescent="0.25">
      <c r="U424" s="42"/>
    </row>
    <row r="425" spans="21:21" ht="15.75" customHeight="1" x14ac:dyDescent="0.25">
      <c r="U425" s="42"/>
    </row>
    <row r="426" spans="21:21" ht="15.75" customHeight="1" x14ac:dyDescent="0.25">
      <c r="U426" s="42"/>
    </row>
    <row r="427" spans="21:21" ht="15.75" customHeight="1" x14ac:dyDescent="0.25">
      <c r="U427" s="42"/>
    </row>
    <row r="428" spans="21:21" ht="15.75" customHeight="1" x14ac:dyDescent="0.25">
      <c r="U428" s="42"/>
    </row>
    <row r="429" spans="21:21" ht="15.75" customHeight="1" x14ac:dyDescent="0.25">
      <c r="U429" s="42"/>
    </row>
    <row r="430" spans="21:21" ht="15.75" customHeight="1" x14ac:dyDescent="0.25">
      <c r="U430" s="42"/>
    </row>
    <row r="431" spans="21:21" ht="15.75" customHeight="1" x14ac:dyDescent="0.25">
      <c r="U431" s="42"/>
    </row>
    <row r="432" spans="21:21" ht="15.75" customHeight="1" x14ac:dyDescent="0.25">
      <c r="U432" s="42"/>
    </row>
    <row r="433" spans="21:21" ht="15.75" customHeight="1" x14ac:dyDescent="0.25">
      <c r="U433" s="42"/>
    </row>
    <row r="434" spans="21:21" ht="15.75" customHeight="1" x14ac:dyDescent="0.25">
      <c r="U434" s="42"/>
    </row>
    <row r="435" spans="21:21" ht="15.75" customHeight="1" x14ac:dyDescent="0.25">
      <c r="U435" s="42"/>
    </row>
    <row r="436" spans="21:21" ht="15.75" customHeight="1" x14ac:dyDescent="0.25">
      <c r="U436" s="42"/>
    </row>
    <row r="437" spans="21:21" ht="15.75" customHeight="1" x14ac:dyDescent="0.25">
      <c r="U437" s="42"/>
    </row>
    <row r="438" spans="21:21" ht="15.75" customHeight="1" x14ac:dyDescent="0.25">
      <c r="U438" s="42"/>
    </row>
    <row r="439" spans="21:21" ht="15.75" customHeight="1" x14ac:dyDescent="0.25">
      <c r="U439" s="42"/>
    </row>
    <row r="440" spans="21:21" ht="15.75" customHeight="1" x14ac:dyDescent="0.25">
      <c r="U440" s="42"/>
    </row>
    <row r="441" spans="21:21" ht="15.75" customHeight="1" x14ac:dyDescent="0.25">
      <c r="U441" s="42"/>
    </row>
    <row r="442" spans="21:21" ht="15.75" customHeight="1" x14ac:dyDescent="0.25">
      <c r="U442" s="42"/>
    </row>
    <row r="443" spans="21:21" ht="15.75" customHeight="1" x14ac:dyDescent="0.25">
      <c r="U443" s="42"/>
    </row>
    <row r="444" spans="21:21" ht="15.75" customHeight="1" x14ac:dyDescent="0.25">
      <c r="U444" s="42"/>
    </row>
    <row r="445" spans="21:21" ht="15.75" customHeight="1" x14ac:dyDescent="0.25">
      <c r="U445" s="42"/>
    </row>
    <row r="446" spans="21:21" ht="15.75" customHeight="1" x14ac:dyDescent="0.25">
      <c r="U446" s="42"/>
    </row>
    <row r="447" spans="21:21" ht="15.75" customHeight="1" x14ac:dyDescent="0.25">
      <c r="U447" s="42"/>
    </row>
    <row r="448" spans="21:21" ht="15.75" customHeight="1" x14ac:dyDescent="0.25">
      <c r="U448" s="42"/>
    </row>
    <row r="449" spans="21:21" ht="15.75" customHeight="1" x14ac:dyDescent="0.25">
      <c r="U449" s="42"/>
    </row>
    <row r="450" spans="21:21" ht="15.75" customHeight="1" x14ac:dyDescent="0.25">
      <c r="U450" s="42"/>
    </row>
    <row r="451" spans="21:21" ht="15.75" customHeight="1" x14ac:dyDescent="0.25">
      <c r="U451" s="42"/>
    </row>
    <row r="452" spans="21:21" ht="15.75" customHeight="1" x14ac:dyDescent="0.25">
      <c r="U452" s="42"/>
    </row>
    <row r="453" spans="21:21" ht="15.75" customHeight="1" x14ac:dyDescent="0.25">
      <c r="U453" s="42"/>
    </row>
    <row r="454" spans="21:21" ht="15.75" customHeight="1" x14ac:dyDescent="0.25">
      <c r="U454" s="42"/>
    </row>
    <row r="455" spans="21:21" ht="15.75" customHeight="1" x14ac:dyDescent="0.25">
      <c r="U455" s="42"/>
    </row>
    <row r="456" spans="21:21" ht="15.75" customHeight="1" x14ac:dyDescent="0.25">
      <c r="U456" s="42"/>
    </row>
    <row r="457" spans="21:21" ht="15.75" customHeight="1" x14ac:dyDescent="0.25">
      <c r="U457" s="42"/>
    </row>
    <row r="458" spans="21:21" ht="15.75" customHeight="1" x14ac:dyDescent="0.25">
      <c r="U458" s="42"/>
    </row>
    <row r="459" spans="21:21" ht="15.75" customHeight="1" x14ac:dyDescent="0.25">
      <c r="U459" s="42"/>
    </row>
    <row r="460" spans="21:21" ht="15.75" customHeight="1" x14ac:dyDescent="0.25">
      <c r="U460" s="42"/>
    </row>
    <row r="461" spans="21:21" ht="15.75" customHeight="1" x14ac:dyDescent="0.25">
      <c r="U461" s="42"/>
    </row>
    <row r="462" spans="21:21" ht="15.75" customHeight="1" x14ac:dyDescent="0.25">
      <c r="U462" s="42"/>
    </row>
    <row r="463" spans="21:21" ht="15.75" customHeight="1" x14ac:dyDescent="0.25">
      <c r="U463" s="42"/>
    </row>
    <row r="464" spans="21:21" ht="15.75" customHeight="1" x14ac:dyDescent="0.25">
      <c r="U464" s="42"/>
    </row>
    <row r="465" spans="21:21" ht="15.75" customHeight="1" x14ac:dyDescent="0.25">
      <c r="U465" s="42"/>
    </row>
    <row r="466" spans="21:21" ht="15.75" customHeight="1" x14ac:dyDescent="0.25">
      <c r="U466" s="42"/>
    </row>
    <row r="467" spans="21:21" ht="15.75" customHeight="1" x14ac:dyDescent="0.25">
      <c r="U467" s="42"/>
    </row>
    <row r="468" spans="21:21" ht="15.75" customHeight="1" x14ac:dyDescent="0.25">
      <c r="U468" s="42"/>
    </row>
    <row r="469" spans="21:21" ht="15.75" customHeight="1" x14ac:dyDescent="0.25">
      <c r="U469" s="42"/>
    </row>
    <row r="470" spans="21:21" ht="15.75" customHeight="1" x14ac:dyDescent="0.25">
      <c r="U470" s="42"/>
    </row>
    <row r="471" spans="21:21" ht="15.75" customHeight="1" x14ac:dyDescent="0.25">
      <c r="U471" s="42"/>
    </row>
    <row r="472" spans="21:21" ht="15.75" customHeight="1" x14ac:dyDescent="0.25">
      <c r="U472" s="42"/>
    </row>
    <row r="473" spans="21:21" ht="15.75" customHeight="1" x14ac:dyDescent="0.25">
      <c r="U473" s="42"/>
    </row>
    <row r="474" spans="21:21" ht="15.75" customHeight="1" x14ac:dyDescent="0.25">
      <c r="U474" s="42"/>
    </row>
    <row r="475" spans="21:21" ht="15.75" customHeight="1" x14ac:dyDescent="0.25">
      <c r="U475" s="42"/>
    </row>
    <row r="476" spans="21:21" ht="15.75" customHeight="1" x14ac:dyDescent="0.25">
      <c r="U476" s="42"/>
    </row>
    <row r="477" spans="21:21" ht="15.75" customHeight="1" x14ac:dyDescent="0.25">
      <c r="U477" s="42"/>
    </row>
    <row r="478" spans="21:21" ht="15.75" customHeight="1" x14ac:dyDescent="0.25">
      <c r="U478" s="42"/>
    </row>
    <row r="479" spans="21:21" ht="15.75" customHeight="1" x14ac:dyDescent="0.25">
      <c r="U479" s="42"/>
    </row>
    <row r="480" spans="21:21" ht="15.75" customHeight="1" x14ac:dyDescent="0.25">
      <c r="U480" s="42"/>
    </row>
    <row r="481" spans="21:21" ht="15.75" customHeight="1" x14ac:dyDescent="0.25">
      <c r="U481" s="42"/>
    </row>
    <row r="482" spans="21:21" ht="15.75" customHeight="1" x14ac:dyDescent="0.25">
      <c r="U482" s="42"/>
    </row>
    <row r="483" spans="21:21" ht="15.75" customHeight="1" x14ac:dyDescent="0.25">
      <c r="U483" s="42"/>
    </row>
    <row r="484" spans="21:21" ht="15.75" customHeight="1" x14ac:dyDescent="0.25">
      <c r="U484" s="42"/>
    </row>
    <row r="485" spans="21:21" ht="15.75" customHeight="1" x14ac:dyDescent="0.25">
      <c r="U485" s="42"/>
    </row>
    <row r="486" spans="21:21" ht="15.75" customHeight="1" x14ac:dyDescent="0.25">
      <c r="U486" s="42"/>
    </row>
    <row r="487" spans="21:21" ht="15.75" customHeight="1" x14ac:dyDescent="0.25">
      <c r="U487" s="42"/>
    </row>
    <row r="488" spans="21:21" ht="15.75" customHeight="1" x14ac:dyDescent="0.25">
      <c r="U488" s="42"/>
    </row>
    <row r="489" spans="21:21" ht="15.75" customHeight="1" x14ac:dyDescent="0.25">
      <c r="U489" s="42"/>
    </row>
    <row r="490" spans="21:21" ht="15.75" customHeight="1" x14ac:dyDescent="0.25">
      <c r="U490" s="42"/>
    </row>
    <row r="491" spans="21:21" ht="15.75" customHeight="1" x14ac:dyDescent="0.25">
      <c r="U491" s="42"/>
    </row>
    <row r="492" spans="21:21" ht="15.75" customHeight="1" x14ac:dyDescent="0.25">
      <c r="U492" s="42"/>
    </row>
    <row r="493" spans="21:21" ht="15.75" customHeight="1" x14ac:dyDescent="0.25">
      <c r="U493" s="42"/>
    </row>
    <row r="494" spans="21:21" ht="15.75" customHeight="1" x14ac:dyDescent="0.25">
      <c r="U494" s="42"/>
    </row>
    <row r="495" spans="21:21" ht="15.75" customHeight="1" x14ac:dyDescent="0.25">
      <c r="U495" s="42"/>
    </row>
    <row r="496" spans="21:21" ht="15.75" customHeight="1" x14ac:dyDescent="0.25">
      <c r="U496" s="42"/>
    </row>
    <row r="497" spans="21:21" ht="15.75" customHeight="1" x14ac:dyDescent="0.25">
      <c r="U497" s="42"/>
    </row>
    <row r="498" spans="21:21" ht="15.75" customHeight="1" x14ac:dyDescent="0.25">
      <c r="U498" s="42"/>
    </row>
    <row r="499" spans="21:21" ht="15.75" customHeight="1" x14ac:dyDescent="0.25">
      <c r="U499" s="42"/>
    </row>
    <row r="500" spans="21:21" ht="15.75" customHeight="1" x14ac:dyDescent="0.25">
      <c r="U500" s="42"/>
    </row>
    <row r="501" spans="21:21" ht="15.75" customHeight="1" x14ac:dyDescent="0.25">
      <c r="U501" s="42"/>
    </row>
    <row r="502" spans="21:21" ht="15.75" customHeight="1" x14ac:dyDescent="0.25">
      <c r="U502" s="42"/>
    </row>
    <row r="503" spans="21:21" ht="15.75" customHeight="1" x14ac:dyDescent="0.25">
      <c r="U503" s="42"/>
    </row>
    <row r="504" spans="21:21" ht="15.75" customHeight="1" x14ac:dyDescent="0.25">
      <c r="U504" s="42"/>
    </row>
    <row r="505" spans="21:21" ht="15.75" customHeight="1" x14ac:dyDescent="0.25">
      <c r="U505" s="42"/>
    </row>
    <row r="506" spans="21:21" ht="15.75" customHeight="1" x14ac:dyDescent="0.25">
      <c r="U506" s="42"/>
    </row>
    <row r="507" spans="21:21" ht="15.75" customHeight="1" x14ac:dyDescent="0.25">
      <c r="U507" s="42"/>
    </row>
    <row r="508" spans="21:21" ht="15.75" customHeight="1" x14ac:dyDescent="0.25">
      <c r="U508" s="42"/>
    </row>
    <row r="509" spans="21:21" ht="15.75" customHeight="1" x14ac:dyDescent="0.25">
      <c r="U509" s="42"/>
    </row>
    <row r="510" spans="21:21" ht="15.75" customHeight="1" x14ac:dyDescent="0.25">
      <c r="U510" s="42"/>
    </row>
    <row r="511" spans="21:21" ht="15.75" customHeight="1" x14ac:dyDescent="0.25">
      <c r="U511" s="42"/>
    </row>
    <row r="512" spans="21:21" ht="15.75" customHeight="1" x14ac:dyDescent="0.25">
      <c r="U512" s="42"/>
    </row>
    <row r="513" spans="21:21" ht="15.75" customHeight="1" x14ac:dyDescent="0.25">
      <c r="U513" s="42"/>
    </row>
    <row r="514" spans="21:21" ht="15.75" customHeight="1" x14ac:dyDescent="0.25">
      <c r="U514" s="42"/>
    </row>
    <row r="515" spans="21:21" ht="15.75" customHeight="1" x14ac:dyDescent="0.25">
      <c r="U515" s="42"/>
    </row>
    <row r="516" spans="21:21" ht="15.75" customHeight="1" x14ac:dyDescent="0.25">
      <c r="U516" s="42"/>
    </row>
    <row r="517" spans="21:21" ht="15.75" customHeight="1" x14ac:dyDescent="0.25">
      <c r="U517" s="42"/>
    </row>
    <row r="518" spans="21:21" ht="15.75" customHeight="1" x14ac:dyDescent="0.25">
      <c r="U518" s="42"/>
    </row>
    <row r="519" spans="21:21" ht="15.75" customHeight="1" x14ac:dyDescent="0.25">
      <c r="U519" s="42"/>
    </row>
    <row r="520" spans="21:21" ht="15.75" customHeight="1" x14ac:dyDescent="0.25">
      <c r="U520" s="42"/>
    </row>
    <row r="521" spans="21:21" ht="15.75" customHeight="1" x14ac:dyDescent="0.25">
      <c r="U521" s="42"/>
    </row>
    <row r="522" spans="21:21" ht="15.75" customHeight="1" x14ac:dyDescent="0.25">
      <c r="U522" s="42"/>
    </row>
    <row r="523" spans="21:21" ht="15.75" customHeight="1" x14ac:dyDescent="0.25">
      <c r="U523" s="42"/>
    </row>
    <row r="524" spans="21:21" ht="15.75" customHeight="1" x14ac:dyDescent="0.25">
      <c r="U524" s="42"/>
    </row>
    <row r="525" spans="21:21" ht="15.75" customHeight="1" x14ac:dyDescent="0.25">
      <c r="U525" s="42"/>
    </row>
    <row r="526" spans="21:21" ht="15.75" customHeight="1" x14ac:dyDescent="0.25">
      <c r="U526" s="42"/>
    </row>
    <row r="527" spans="21:21" ht="15.75" customHeight="1" x14ac:dyDescent="0.25">
      <c r="U527" s="42"/>
    </row>
    <row r="528" spans="21:21" ht="15.75" customHeight="1" x14ac:dyDescent="0.25">
      <c r="U528" s="42"/>
    </row>
    <row r="529" spans="21:21" ht="15.75" customHeight="1" x14ac:dyDescent="0.25">
      <c r="U529" s="42"/>
    </row>
    <row r="530" spans="21:21" ht="15.75" customHeight="1" x14ac:dyDescent="0.25">
      <c r="U530" s="42"/>
    </row>
    <row r="531" spans="21:21" ht="15.75" customHeight="1" x14ac:dyDescent="0.25">
      <c r="U531" s="42"/>
    </row>
    <row r="532" spans="21:21" ht="15.75" customHeight="1" x14ac:dyDescent="0.25">
      <c r="U532" s="42"/>
    </row>
    <row r="533" spans="21:21" ht="15.75" customHeight="1" x14ac:dyDescent="0.25">
      <c r="U533" s="42"/>
    </row>
    <row r="534" spans="21:21" ht="15.75" customHeight="1" x14ac:dyDescent="0.25">
      <c r="U534" s="42"/>
    </row>
    <row r="535" spans="21:21" ht="15.75" customHeight="1" x14ac:dyDescent="0.25">
      <c r="U535" s="42"/>
    </row>
    <row r="536" spans="21:21" ht="15.75" customHeight="1" x14ac:dyDescent="0.25">
      <c r="U536" s="42"/>
    </row>
    <row r="537" spans="21:21" ht="15.75" customHeight="1" x14ac:dyDescent="0.25">
      <c r="U537" s="42"/>
    </row>
    <row r="538" spans="21:21" ht="15.75" customHeight="1" x14ac:dyDescent="0.25">
      <c r="U538" s="42"/>
    </row>
    <row r="539" spans="21:21" ht="15.75" customHeight="1" x14ac:dyDescent="0.25">
      <c r="U539" s="42"/>
    </row>
    <row r="540" spans="21:21" ht="15.75" customHeight="1" x14ac:dyDescent="0.25">
      <c r="U540" s="42"/>
    </row>
    <row r="541" spans="21:21" ht="15.75" customHeight="1" x14ac:dyDescent="0.25">
      <c r="U541" s="42"/>
    </row>
    <row r="542" spans="21:21" ht="15.75" customHeight="1" x14ac:dyDescent="0.25">
      <c r="U542" s="42"/>
    </row>
    <row r="543" spans="21:21" ht="15.75" customHeight="1" x14ac:dyDescent="0.25">
      <c r="U543" s="42"/>
    </row>
    <row r="544" spans="21:21" ht="15.75" customHeight="1" x14ac:dyDescent="0.25">
      <c r="U544" s="42"/>
    </row>
    <row r="545" spans="21:21" ht="15.75" customHeight="1" x14ac:dyDescent="0.25">
      <c r="U545" s="42"/>
    </row>
    <row r="546" spans="21:21" ht="15.75" customHeight="1" x14ac:dyDescent="0.25">
      <c r="U546" s="42"/>
    </row>
    <row r="547" spans="21:21" ht="15.75" customHeight="1" x14ac:dyDescent="0.25">
      <c r="U547" s="42"/>
    </row>
    <row r="548" spans="21:21" ht="15.75" customHeight="1" x14ac:dyDescent="0.25">
      <c r="U548" s="42"/>
    </row>
    <row r="549" spans="21:21" ht="15.75" customHeight="1" x14ac:dyDescent="0.25">
      <c r="U549" s="42"/>
    </row>
    <row r="550" spans="21:21" ht="15.75" customHeight="1" x14ac:dyDescent="0.25">
      <c r="U550" s="42"/>
    </row>
    <row r="551" spans="21:21" ht="15.75" customHeight="1" x14ac:dyDescent="0.25">
      <c r="U551" s="42"/>
    </row>
    <row r="552" spans="21:21" ht="15.75" customHeight="1" x14ac:dyDescent="0.25">
      <c r="U552" s="42"/>
    </row>
    <row r="553" spans="21:21" ht="15.75" customHeight="1" x14ac:dyDescent="0.25">
      <c r="U553" s="42"/>
    </row>
    <row r="554" spans="21:21" ht="15.75" customHeight="1" x14ac:dyDescent="0.25">
      <c r="U554" s="42"/>
    </row>
    <row r="555" spans="21:21" ht="15.75" customHeight="1" x14ac:dyDescent="0.25">
      <c r="U555" s="42"/>
    </row>
    <row r="556" spans="21:21" ht="15.75" customHeight="1" x14ac:dyDescent="0.25">
      <c r="U556" s="42"/>
    </row>
    <row r="557" spans="21:21" ht="15.75" customHeight="1" x14ac:dyDescent="0.25">
      <c r="U557" s="42"/>
    </row>
    <row r="558" spans="21:21" ht="15.75" customHeight="1" x14ac:dyDescent="0.25">
      <c r="U558" s="42"/>
    </row>
    <row r="559" spans="21:21" ht="15.75" customHeight="1" x14ac:dyDescent="0.25">
      <c r="U559" s="42"/>
    </row>
    <row r="560" spans="21:21" ht="15.75" customHeight="1" x14ac:dyDescent="0.25">
      <c r="U560" s="42"/>
    </row>
    <row r="561" spans="21:21" ht="15.75" customHeight="1" x14ac:dyDescent="0.25">
      <c r="U561" s="42"/>
    </row>
    <row r="562" spans="21:21" ht="15.75" customHeight="1" x14ac:dyDescent="0.25">
      <c r="U562" s="42"/>
    </row>
    <row r="563" spans="21:21" ht="15.75" customHeight="1" x14ac:dyDescent="0.25">
      <c r="U563" s="42"/>
    </row>
    <row r="564" spans="21:21" ht="15.75" customHeight="1" x14ac:dyDescent="0.25">
      <c r="U564" s="42"/>
    </row>
    <row r="565" spans="21:21" ht="15.75" customHeight="1" x14ac:dyDescent="0.25">
      <c r="U565" s="42"/>
    </row>
    <row r="566" spans="21:21" ht="15.75" customHeight="1" x14ac:dyDescent="0.25">
      <c r="U566" s="42"/>
    </row>
    <row r="567" spans="21:21" ht="15.75" customHeight="1" x14ac:dyDescent="0.25">
      <c r="U567" s="42"/>
    </row>
    <row r="568" spans="21:21" ht="15.75" customHeight="1" x14ac:dyDescent="0.25">
      <c r="U568" s="42"/>
    </row>
    <row r="569" spans="21:21" ht="15.75" customHeight="1" x14ac:dyDescent="0.25">
      <c r="U569" s="42"/>
    </row>
    <row r="570" spans="21:21" ht="15.75" customHeight="1" x14ac:dyDescent="0.25">
      <c r="U570" s="42"/>
    </row>
    <row r="571" spans="21:21" ht="15.75" customHeight="1" x14ac:dyDescent="0.25">
      <c r="U571" s="42"/>
    </row>
    <row r="572" spans="21:21" ht="15.75" customHeight="1" x14ac:dyDescent="0.25">
      <c r="U572" s="42"/>
    </row>
    <row r="573" spans="21:21" ht="15.75" customHeight="1" x14ac:dyDescent="0.25">
      <c r="U573" s="42"/>
    </row>
    <row r="574" spans="21:21" ht="15.75" customHeight="1" x14ac:dyDescent="0.25">
      <c r="U574" s="42"/>
    </row>
    <row r="575" spans="21:21" ht="15.75" customHeight="1" x14ac:dyDescent="0.25">
      <c r="U575" s="42"/>
    </row>
    <row r="576" spans="21:21" ht="15.75" customHeight="1" x14ac:dyDescent="0.25">
      <c r="U576" s="42"/>
    </row>
    <row r="577" spans="21:21" ht="15.75" customHeight="1" x14ac:dyDescent="0.25">
      <c r="U577" s="42"/>
    </row>
    <row r="578" spans="21:21" ht="15.75" customHeight="1" x14ac:dyDescent="0.25">
      <c r="U578" s="42"/>
    </row>
    <row r="579" spans="21:21" ht="15.75" customHeight="1" x14ac:dyDescent="0.25">
      <c r="U579" s="42"/>
    </row>
    <row r="580" spans="21:21" ht="15.75" customHeight="1" x14ac:dyDescent="0.25">
      <c r="U580" s="42"/>
    </row>
    <row r="581" spans="21:21" ht="15.75" customHeight="1" x14ac:dyDescent="0.25">
      <c r="U581" s="42"/>
    </row>
    <row r="582" spans="21:21" ht="15.75" customHeight="1" x14ac:dyDescent="0.25">
      <c r="U582" s="42"/>
    </row>
    <row r="583" spans="21:21" ht="15.75" customHeight="1" x14ac:dyDescent="0.25">
      <c r="U583" s="42"/>
    </row>
    <row r="584" spans="21:21" ht="15.75" customHeight="1" x14ac:dyDescent="0.25">
      <c r="U584" s="42"/>
    </row>
    <row r="585" spans="21:21" ht="15.75" customHeight="1" x14ac:dyDescent="0.25">
      <c r="U585" s="42"/>
    </row>
    <row r="586" spans="21:21" ht="15.75" customHeight="1" x14ac:dyDescent="0.25">
      <c r="U586" s="42"/>
    </row>
    <row r="587" spans="21:21" ht="15.75" customHeight="1" x14ac:dyDescent="0.25">
      <c r="U587" s="42"/>
    </row>
    <row r="588" spans="21:21" ht="15.75" customHeight="1" x14ac:dyDescent="0.25">
      <c r="U588" s="42"/>
    </row>
    <row r="589" spans="21:21" ht="15.75" customHeight="1" x14ac:dyDescent="0.25">
      <c r="U589" s="42"/>
    </row>
    <row r="590" spans="21:21" ht="15.75" customHeight="1" x14ac:dyDescent="0.25">
      <c r="U590" s="42"/>
    </row>
    <row r="591" spans="21:21" ht="15.75" customHeight="1" x14ac:dyDescent="0.25">
      <c r="U591" s="42"/>
    </row>
    <row r="592" spans="21:21" ht="15.75" customHeight="1" x14ac:dyDescent="0.25">
      <c r="U592" s="42"/>
    </row>
    <row r="593" spans="21:21" ht="15.75" customHeight="1" x14ac:dyDescent="0.25">
      <c r="U593" s="42"/>
    </row>
    <row r="594" spans="21:21" ht="15.75" customHeight="1" x14ac:dyDescent="0.25">
      <c r="U594" s="42"/>
    </row>
    <row r="595" spans="21:21" ht="15.75" customHeight="1" x14ac:dyDescent="0.25">
      <c r="U595" s="42"/>
    </row>
    <row r="596" spans="21:21" ht="15.75" customHeight="1" x14ac:dyDescent="0.25">
      <c r="U596" s="42"/>
    </row>
    <row r="597" spans="21:21" ht="15.75" customHeight="1" x14ac:dyDescent="0.25">
      <c r="U597" s="42"/>
    </row>
    <row r="598" spans="21:21" ht="15.75" customHeight="1" x14ac:dyDescent="0.25">
      <c r="U598" s="42"/>
    </row>
    <row r="599" spans="21:21" ht="15.75" customHeight="1" x14ac:dyDescent="0.25">
      <c r="U599" s="42"/>
    </row>
    <row r="600" spans="21:21" ht="15.75" customHeight="1" x14ac:dyDescent="0.25">
      <c r="U600" s="42"/>
    </row>
    <row r="601" spans="21:21" ht="15.75" customHeight="1" x14ac:dyDescent="0.25">
      <c r="U601" s="42"/>
    </row>
    <row r="602" spans="21:21" ht="15.75" customHeight="1" x14ac:dyDescent="0.25">
      <c r="U602" s="42"/>
    </row>
    <row r="603" spans="21:21" ht="15.75" customHeight="1" x14ac:dyDescent="0.25">
      <c r="U603" s="42"/>
    </row>
    <row r="604" spans="21:21" ht="15.75" customHeight="1" x14ac:dyDescent="0.25">
      <c r="U604" s="42"/>
    </row>
    <row r="605" spans="21:21" ht="15.75" customHeight="1" x14ac:dyDescent="0.25">
      <c r="U605" s="42"/>
    </row>
    <row r="606" spans="21:21" ht="15.75" customHeight="1" x14ac:dyDescent="0.25">
      <c r="U606" s="42"/>
    </row>
    <row r="607" spans="21:21" ht="15.75" customHeight="1" x14ac:dyDescent="0.25">
      <c r="U607" s="42"/>
    </row>
    <row r="608" spans="21:21" ht="15.75" customHeight="1" x14ac:dyDescent="0.25">
      <c r="U608" s="42"/>
    </row>
    <row r="609" spans="21:21" ht="15.75" customHeight="1" x14ac:dyDescent="0.25">
      <c r="U609" s="42"/>
    </row>
    <row r="610" spans="21:21" ht="15.75" customHeight="1" x14ac:dyDescent="0.25">
      <c r="U610" s="42"/>
    </row>
    <row r="611" spans="21:21" ht="15.75" customHeight="1" x14ac:dyDescent="0.25">
      <c r="U611" s="42"/>
    </row>
    <row r="612" spans="21:21" ht="15.75" customHeight="1" x14ac:dyDescent="0.25">
      <c r="U612" s="42"/>
    </row>
    <row r="613" spans="21:21" ht="15.75" customHeight="1" x14ac:dyDescent="0.25">
      <c r="U613" s="42"/>
    </row>
    <row r="614" spans="21:21" ht="15.75" customHeight="1" x14ac:dyDescent="0.25">
      <c r="U614" s="42"/>
    </row>
    <row r="615" spans="21:21" ht="15.75" customHeight="1" x14ac:dyDescent="0.25">
      <c r="U615" s="42"/>
    </row>
    <row r="616" spans="21:21" ht="15.75" customHeight="1" x14ac:dyDescent="0.25">
      <c r="U616" s="42"/>
    </row>
    <row r="617" spans="21:21" ht="15.75" customHeight="1" x14ac:dyDescent="0.25">
      <c r="U617" s="42"/>
    </row>
    <row r="618" spans="21:21" ht="15.75" customHeight="1" x14ac:dyDescent="0.25">
      <c r="U618" s="42"/>
    </row>
    <row r="619" spans="21:21" ht="15.75" customHeight="1" x14ac:dyDescent="0.25">
      <c r="U619" s="42"/>
    </row>
    <row r="620" spans="21:21" ht="15.75" customHeight="1" x14ac:dyDescent="0.25">
      <c r="U620" s="42"/>
    </row>
    <row r="621" spans="21:21" ht="15.75" customHeight="1" x14ac:dyDescent="0.25">
      <c r="U621" s="42"/>
    </row>
    <row r="622" spans="21:21" ht="15.75" customHeight="1" x14ac:dyDescent="0.25">
      <c r="U622" s="42"/>
    </row>
    <row r="623" spans="21:21" ht="15.75" customHeight="1" x14ac:dyDescent="0.25">
      <c r="U623" s="42"/>
    </row>
    <row r="624" spans="21:21" ht="15.75" customHeight="1" x14ac:dyDescent="0.25">
      <c r="U624" s="42"/>
    </row>
    <row r="625" spans="21:21" ht="15.75" customHeight="1" x14ac:dyDescent="0.25">
      <c r="U625" s="42"/>
    </row>
    <row r="626" spans="21:21" ht="15.75" customHeight="1" x14ac:dyDescent="0.25">
      <c r="U626" s="42"/>
    </row>
    <row r="627" spans="21:21" ht="15.75" customHeight="1" x14ac:dyDescent="0.25">
      <c r="U627" s="42"/>
    </row>
    <row r="628" spans="21:21" ht="15.75" customHeight="1" x14ac:dyDescent="0.25">
      <c r="U628" s="42"/>
    </row>
    <row r="629" spans="21:21" ht="15.75" customHeight="1" x14ac:dyDescent="0.25">
      <c r="U629" s="42"/>
    </row>
    <row r="630" spans="21:21" ht="15.75" customHeight="1" x14ac:dyDescent="0.25">
      <c r="U630" s="42"/>
    </row>
    <row r="631" spans="21:21" ht="15.75" customHeight="1" x14ac:dyDescent="0.25">
      <c r="U631" s="42"/>
    </row>
    <row r="632" spans="21:21" ht="15.75" customHeight="1" x14ac:dyDescent="0.25">
      <c r="U632" s="42"/>
    </row>
    <row r="633" spans="21:21" ht="15.75" customHeight="1" x14ac:dyDescent="0.25">
      <c r="U633" s="42"/>
    </row>
    <row r="634" spans="21:21" ht="15.75" customHeight="1" x14ac:dyDescent="0.25">
      <c r="U634" s="42"/>
    </row>
    <row r="635" spans="21:21" ht="15.75" customHeight="1" x14ac:dyDescent="0.25">
      <c r="U635" s="42"/>
    </row>
    <row r="636" spans="21:21" ht="15.75" customHeight="1" x14ac:dyDescent="0.25">
      <c r="U636" s="42"/>
    </row>
    <row r="637" spans="21:21" ht="15.75" customHeight="1" x14ac:dyDescent="0.25">
      <c r="U637" s="42"/>
    </row>
    <row r="638" spans="21:21" ht="15.75" customHeight="1" x14ac:dyDescent="0.25">
      <c r="U638" s="42"/>
    </row>
    <row r="639" spans="21:21" ht="15.75" customHeight="1" x14ac:dyDescent="0.25">
      <c r="U639" s="42"/>
    </row>
    <row r="640" spans="21:21" ht="15.75" customHeight="1" x14ac:dyDescent="0.25">
      <c r="U640" s="42"/>
    </row>
    <row r="641" spans="21:21" ht="15.75" customHeight="1" x14ac:dyDescent="0.25">
      <c r="U641" s="42"/>
    </row>
    <row r="642" spans="21:21" ht="15.75" customHeight="1" x14ac:dyDescent="0.25">
      <c r="U642" s="42"/>
    </row>
    <row r="643" spans="21:21" ht="15.75" customHeight="1" x14ac:dyDescent="0.25">
      <c r="U643" s="42"/>
    </row>
    <row r="644" spans="21:21" ht="15.75" customHeight="1" x14ac:dyDescent="0.25">
      <c r="U644" s="42"/>
    </row>
    <row r="645" spans="21:21" ht="15.75" customHeight="1" x14ac:dyDescent="0.25">
      <c r="U645" s="42"/>
    </row>
    <row r="646" spans="21:21" ht="15.75" customHeight="1" x14ac:dyDescent="0.25">
      <c r="U646" s="42"/>
    </row>
    <row r="647" spans="21:21" ht="15.75" customHeight="1" x14ac:dyDescent="0.25">
      <c r="U647" s="42"/>
    </row>
    <row r="648" spans="21:21" ht="15.75" customHeight="1" x14ac:dyDescent="0.25">
      <c r="U648" s="42"/>
    </row>
    <row r="649" spans="21:21" ht="15.75" customHeight="1" x14ac:dyDescent="0.25">
      <c r="U649" s="42"/>
    </row>
    <row r="650" spans="21:21" ht="15.75" customHeight="1" x14ac:dyDescent="0.25">
      <c r="U650" s="42"/>
    </row>
    <row r="651" spans="21:21" ht="15.75" customHeight="1" x14ac:dyDescent="0.25">
      <c r="U651" s="42"/>
    </row>
    <row r="652" spans="21:21" ht="15.75" customHeight="1" x14ac:dyDescent="0.25">
      <c r="U652" s="42"/>
    </row>
    <row r="653" spans="21:21" ht="15.75" customHeight="1" x14ac:dyDescent="0.25">
      <c r="U653" s="42"/>
    </row>
    <row r="654" spans="21:21" ht="15.75" customHeight="1" x14ac:dyDescent="0.25">
      <c r="U654" s="42"/>
    </row>
    <row r="655" spans="21:21" ht="15.75" customHeight="1" x14ac:dyDescent="0.25">
      <c r="U655" s="42"/>
    </row>
    <row r="656" spans="21:21" ht="15.75" customHeight="1" x14ac:dyDescent="0.25">
      <c r="U656" s="42"/>
    </row>
    <row r="657" spans="21:21" ht="15.75" customHeight="1" x14ac:dyDescent="0.25">
      <c r="U657" s="42"/>
    </row>
    <row r="658" spans="21:21" ht="15.75" customHeight="1" x14ac:dyDescent="0.25">
      <c r="U658" s="42"/>
    </row>
    <row r="659" spans="21:21" ht="15.75" customHeight="1" x14ac:dyDescent="0.25">
      <c r="U659" s="42"/>
    </row>
    <row r="660" spans="21:21" ht="15.75" customHeight="1" x14ac:dyDescent="0.25">
      <c r="U660" s="42"/>
    </row>
    <row r="661" spans="21:21" ht="15.75" customHeight="1" x14ac:dyDescent="0.25">
      <c r="U661" s="42"/>
    </row>
    <row r="662" spans="21:21" ht="15.75" customHeight="1" x14ac:dyDescent="0.25">
      <c r="U662" s="42"/>
    </row>
    <row r="663" spans="21:21" ht="15.75" customHeight="1" x14ac:dyDescent="0.25">
      <c r="U663" s="42"/>
    </row>
    <row r="664" spans="21:21" ht="15.75" customHeight="1" x14ac:dyDescent="0.25">
      <c r="U664" s="42"/>
    </row>
    <row r="665" spans="21:21" ht="15.75" customHeight="1" x14ac:dyDescent="0.25">
      <c r="U665" s="42"/>
    </row>
    <row r="666" spans="21:21" ht="15.75" customHeight="1" x14ac:dyDescent="0.25">
      <c r="U666" s="42"/>
    </row>
    <row r="667" spans="21:21" ht="15.75" customHeight="1" x14ac:dyDescent="0.25">
      <c r="U667" s="42"/>
    </row>
    <row r="668" spans="21:21" ht="15.75" customHeight="1" x14ac:dyDescent="0.25">
      <c r="U668" s="42"/>
    </row>
    <row r="669" spans="21:21" ht="15.75" customHeight="1" x14ac:dyDescent="0.25">
      <c r="U669" s="42"/>
    </row>
    <row r="670" spans="21:21" ht="15.75" customHeight="1" x14ac:dyDescent="0.25">
      <c r="U670" s="42"/>
    </row>
    <row r="671" spans="21:21" ht="15.75" customHeight="1" x14ac:dyDescent="0.25">
      <c r="U671" s="42"/>
    </row>
    <row r="672" spans="21:21" ht="15.75" customHeight="1" x14ac:dyDescent="0.25">
      <c r="U672" s="42"/>
    </row>
    <row r="673" spans="21:21" ht="15.75" customHeight="1" x14ac:dyDescent="0.25">
      <c r="U673" s="42"/>
    </row>
    <row r="674" spans="21:21" ht="15.75" customHeight="1" x14ac:dyDescent="0.25">
      <c r="U674" s="42"/>
    </row>
    <row r="675" spans="21:21" ht="15.75" customHeight="1" x14ac:dyDescent="0.25">
      <c r="U675" s="42"/>
    </row>
    <row r="676" spans="21:21" ht="15.75" customHeight="1" x14ac:dyDescent="0.25">
      <c r="U676" s="42"/>
    </row>
    <row r="677" spans="21:21" ht="15.75" customHeight="1" x14ac:dyDescent="0.25">
      <c r="U677" s="42"/>
    </row>
    <row r="678" spans="21:21" ht="15.75" customHeight="1" x14ac:dyDescent="0.25">
      <c r="U678" s="42"/>
    </row>
    <row r="679" spans="21:21" ht="15.75" customHeight="1" x14ac:dyDescent="0.25">
      <c r="U679" s="42"/>
    </row>
    <row r="680" spans="21:21" ht="15.75" customHeight="1" x14ac:dyDescent="0.25">
      <c r="U680" s="42"/>
    </row>
    <row r="681" spans="21:21" ht="15.75" customHeight="1" x14ac:dyDescent="0.25">
      <c r="U681" s="42"/>
    </row>
    <row r="682" spans="21:21" ht="15.75" customHeight="1" x14ac:dyDescent="0.25">
      <c r="U682" s="42"/>
    </row>
    <row r="683" spans="21:21" ht="15.75" customHeight="1" x14ac:dyDescent="0.25">
      <c r="U683" s="42"/>
    </row>
    <row r="684" spans="21:21" ht="15.75" customHeight="1" x14ac:dyDescent="0.25">
      <c r="U684" s="42"/>
    </row>
    <row r="685" spans="21:21" ht="15.75" customHeight="1" x14ac:dyDescent="0.25">
      <c r="U685" s="42"/>
    </row>
    <row r="686" spans="21:21" ht="15.75" customHeight="1" x14ac:dyDescent="0.25">
      <c r="U686" s="42"/>
    </row>
    <row r="687" spans="21:21" ht="15.75" customHeight="1" x14ac:dyDescent="0.25">
      <c r="U687" s="42"/>
    </row>
    <row r="688" spans="21:21" ht="15.75" customHeight="1" x14ac:dyDescent="0.25">
      <c r="U688" s="42"/>
    </row>
    <row r="689" spans="21:21" ht="15.75" customHeight="1" x14ac:dyDescent="0.25">
      <c r="U689" s="42"/>
    </row>
    <row r="690" spans="21:21" ht="15.75" customHeight="1" x14ac:dyDescent="0.25">
      <c r="U690" s="42"/>
    </row>
    <row r="691" spans="21:21" ht="15.75" customHeight="1" x14ac:dyDescent="0.25">
      <c r="U691" s="42"/>
    </row>
    <row r="692" spans="21:21" ht="15.75" customHeight="1" x14ac:dyDescent="0.25">
      <c r="U692" s="42"/>
    </row>
    <row r="693" spans="21:21" ht="15.75" customHeight="1" x14ac:dyDescent="0.25">
      <c r="U693" s="42"/>
    </row>
    <row r="694" spans="21:21" ht="15.75" customHeight="1" x14ac:dyDescent="0.25">
      <c r="U694" s="42"/>
    </row>
    <row r="695" spans="21:21" ht="15.75" customHeight="1" x14ac:dyDescent="0.25">
      <c r="U695" s="42"/>
    </row>
    <row r="696" spans="21:21" ht="15.75" customHeight="1" x14ac:dyDescent="0.25">
      <c r="U696" s="42"/>
    </row>
    <row r="697" spans="21:21" ht="15.75" customHeight="1" x14ac:dyDescent="0.25">
      <c r="U697" s="42"/>
    </row>
    <row r="698" spans="21:21" ht="15.75" customHeight="1" x14ac:dyDescent="0.25">
      <c r="U698" s="42"/>
    </row>
    <row r="699" spans="21:21" ht="15.75" customHeight="1" x14ac:dyDescent="0.25">
      <c r="U699" s="42"/>
    </row>
    <row r="700" spans="21:21" ht="15.75" customHeight="1" x14ac:dyDescent="0.25">
      <c r="U700" s="42"/>
    </row>
    <row r="701" spans="21:21" ht="15.75" customHeight="1" x14ac:dyDescent="0.25">
      <c r="U701" s="42"/>
    </row>
    <row r="702" spans="21:21" ht="15.75" customHeight="1" x14ac:dyDescent="0.25">
      <c r="U702" s="42"/>
    </row>
    <row r="703" spans="21:21" ht="15.75" customHeight="1" x14ac:dyDescent="0.25">
      <c r="U703" s="42"/>
    </row>
    <row r="704" spans="21:21" ht="15.75" customHeight="1" x14ac:dyDescent="0.25">
      <c r="U704" s="42"/>
    </row>
    <row r="705" spans="21:21" ht="15.75" customHeight="1" x14ac:dyDescent="0.25">
      <c r="U705" s="42"/>
    </row>
    <row r="706" spans="21:21" ht="15.75" customHeight="1" x14ac:dyDescent="0.25">
      <c r="U706" s="42"/>
    </row>
    <row r="707" spans="21:21" ht="15.75" customHeight="1" x14ac:dyDescent="0.25">
      <c r="U707" s="42"/>
    </row>
    <row r="708" spans="21:21" ht="15.75" customHeight="1" x14ac:dyDescent="0.25">
      <c r="U708" s="42"/>
    </row>
    <row r="709" spans="21:21" ht="15.75" customHeight="1" x14ac:dyDescent="0.25">
      <c r="U709" s="42"/>
    </row>
    <row r="710" spans="21:21" ht="15.75" customHeight="1" x14ac:dyDescent="0.25">
      <c r="U710" s="42"/>
    </row>
    <row r="711" spans="21:21" ht="15.75" customHeight="1" x14ac:dyDescent="0.25">
      <c r="U711" s="42"/>
    </row>
    <row r="712" spans="21:21" ht="15.75" customHeight="1" x14ac:dyDescent="0.25">
      <c r="U712" s="42"/>
    </row>
    <row r="713" spans="21:21" ht="15.75" customHeight="1" x14ac:dyDescent="0.25">
      <c r="U713" s="42"/>
    </row>
    <row r="714" spans="21:21" ht="15.75" customHeight="1" x14ac:dyDescent="0.25">
      <c r="U714" s="42"/>
    </row>
    <row r="715" spans="21:21" ht="15.75" customHeight="1" x14ac:dyDescent="0.25">
      <c r="U715" s="42"/>
    </row>
    <row r="716" spans="21:21" ht="15.75" customHeight="1" x14ac:dyDescent="0.25">
      <c r="U716" s="42"/>
    </row>
    <row r="717" spans="21:21" ht="15.75" customHeight="1" x14ac:dyDescent="0.25">
      <c r="U717" s="42"/>
    </row>
    <row r="718" spans="21:21" ht="15.75" customHeight="1" x14ac:dyDescent="0.25">
      <c r="U718" s="42"/>
    </row>
    <row r="719" spans="21:21" ht="15.75" customHeight="1" x14ac:dyDescent="0.25">
      <c r="U719" s="42"/>
    </row>
    <row r="720" spans="21:21" ht="15.75" customHeight="1" x14ac:dyDescent="0.25">
      <c r="U720" s="42"/>
    </row>
    <row r="721" spans="21:21" ht="15.75" customHeight="1" x14ac:dyDescent="0.25">
      <c r="U721" s="42"/>
    </row>
    <row r="722" spans="21:21" ht="15.75" customHeight="1" x14ac:dyDescent="0.25">
      <c r="U722" s="42"/>
    </row>
    <row r="723" spans="21:21" ht="15.75" customHeight="1" x14ac:dyDescent="0.25">
      <c r="U723" s="42"/>
    </row>
    <row r="724" spans="21:21" ht="15.75" customHeight="1" x14ac:dyDescent="0.25">
      <c r="U724" s="42"/>
    </row>
    <row r="725" spans="21:21" ht="15.75" customHeight="1" x14ac:dyDescent="0.25">
      <c r="U725" s="42"/>
    </row>
    <row r="726" spans="21:21" ht="15.75" customHeight="1" x14ac:dyDescent="0.25">
      <c r="U726" s="42"/>
    </row>
    <row r="727" spans="21:21" ht="15.75" customHeight="1" x14ac:dyDescent="0.25">
      <c r="U727" s="42"/>
    </row>
    <row r="728" spans="21:21" ht="15.75" customHeight="1" x14ac:dyDescent="0.25">
      <c r="U728" s="42"/>
    </row>
    <row r="729" spans="21:21" ht="15.75" customHeight="1" x14ac:dyDescent="0.25">
      <c r="U729" s="42"/>
    </row>
    <row r="730" spans="21:21" ht="15.75" customHeight="1" x14ac:dyDescent="0.25">
      <c r="U730" s="42"/>
    </row>
    <row r="731" spans="21:21" ht="15.75" customHeight="1" x14ac:dyDescent="0.25">
      <c r="U731" s="42"/>
    </row>
    <row r="732" spans="21:21" ht="15.75" customHeight="1" x14ac:dyDescent="0.25">
      <c r="U732" s="42"/>
    </row>
    <row r="733" spans="21:21" ht="15.75" customHeight="1" x14ac:dyDescent="0.25">
      <c r="U733" s="42"/>
    </row>
    <row r="734" spans="21:21" ht="15.75" customHeight="1" x14ac:dyDescent="0.25">
      <c r="U734" s="42"/>
    </row>
    <row r="735" spans="21:21" ht="15.75" customHeight="1" x14ac:dyDescent="0.25">
      <c r="U735" s="42"/>
    </row>
    <row r="736" spans="21:21" ht="15.75" customHeight="1" x14ac:dyDescent="0.25">
      <c r="U736" s="42"/>
    </row>
    <row r="737" spans="21:21" ht="15.75" customHeight="1" x14ac:dyDescent="0.25">
      <c r="U737" s="42"/>
    </row>
    <row r="738" spans="21:21" ht="15.75" customHeight="1" x14ac:dyDescent="0.25">
      <c r="U738" s="42"/>
    </row>
    <row r="739" spans="21:21" ht="15.75" customHeight="1" x14ac:dyDescent="0.25">
      <c r="U739" s="42"/>
    </row>
    <row r="740" spans="21:21" ht="15.75" customHeight="1" x14ac:dyDescent="0.25">
      <c r="U740" s="42"/>
    </row>
    <row r="741" spans="21:21" ht="15.75" customHeight="1" x14ac:dyDescent="0.25">
      <c r="U741" s="42"/>
    </row>
    <row r="742" spans="21:21" ht="15.75" customHeight="1" x14ac:dyDescent="0.25">
      <c r="U742" s="42"/>
    </row>
    <row r="743" spans="21:21" ht="15.75" customHeight="1" x14ac:dyDescent="0.25">
      <c r="U743" s="42"/>
    </row>
    <row r="744" spans="21:21" ht="15.75" customHeight="1" x14ac:dyDescent="0.25">
      <c r="U744" s="42"/>
    </row>
    <row r="745" spans="21:21" ht="15.75" customHeight="1" x14ac:dyDescent="0.25">
      <c r="U745" s="42"/>
    </row>
    <row r="746" spans="21:21" ht="15.75" customHeight="1" x14ac:dyDescent="0.25">
      <c r="U746" s="42"/>
    </row>
    <row r="747" spans="21:21" ht="15.75" customHeight="1" x14ac:dyDescent="0.25">
      <c r="U747" s="42"/>
    </row>
    <row r="748" spans="21:21" ht="15.75" customHeight="1" x14ac:dyDescent="0.25">
      <c r="U748" s="42"/>
    </row>
    <row r="749" spans="21:21" ht="15.75" customHeight="1" x14ac:dyDescent="0.25">
      <c r="U749" s="42"/>
    </row>
    <row r="750" spans="21:21" ht="15.75" customHeight="1" x14ac:dyDescent="0.25">
      <c r="U750" s="42"/>
    </row>
    <row r="751" spans="21:21" ht="15.75" customHeight="1" x14ac:dyDescent="0.25">
      <c r="U751" s="42"/>
    </row>
    <row r="752" spans="21:21" ht="15.75" customHeight="1" x14ac:dyDescent="0.25">
      <c r="U752" s="42"/>
    </row>
    <row r="753" spans="21:21" ht="15.75" customHeight="1" x14ac:dyDescent="0.25">
      <c r="U753" s="42"/>
    </row>
    <row r="754" spans="21:21" ht="15.75" customHeight="1" x14ac:dyDescent="0.25">
      <c r="U754" s="42"/>
    </row>
    <row r="755" spans="21:21" ht="15.75" customHeight="1" x14ac:dyDescent="0.25">
      <c r="U755" s="42"/>
    </row>
    <row r="756" spans="21:21" ht="15.75" customHeight="1" x14ac:dyDescent="0.25">
      <c r="U756" s="42"/>
    </row>
    <row r="757" spans="21:21" ht="15.75" customHeight="1" x14ac:dyDescent="0.25">
      <c r="U757" s="42"/>
    </row>
    <row r="758" spans="21:21" ht="15.75" customHeight="1" x14ac:dyDescent="0.25">
      <c r="U758" s="42"/>
    </row>
    <row r="759" spans="21:21" ht="15.75" customHeight="1" x14ac:dyDescent="0.25">
      <c r="U759" s="42"/>
    </row>
    <row r="760" spans="21:21" ht="15.75" customHeight="1" x14ac:dyDescent="0.25">
      <c r="U760" s="42"/>
    </row>
    <row r="761" spans="21:21" ht="15.75" customHeight="1" x14ac:dyDescent="0.25">
      <c r="U761" s="42"/>
    </row>
    <row r="762" spans="21:21" ht="15.75" customHeight="1" x14ac:dyDescent="0.25">
      <c r="U762" s="42"/>
    </row>
    <row r="763" spans="21:21" ht="15.75" customHeight="1" x14ac:dyDescent="0.25">
      <c r="U763" s="42"/>
    </row>
    <row r="764" spans="21:21" ht="15.75" customHeight="1" x14ac:dyDescent="0.25">
      <c r="U764" s="42"/>
    </row>
    <row r="765" spans="21:21" ht="15.75" customHeight="1" x14ac:dyDescent="0.25">
      <c r="U765" s="42"/>
    </row>
    <row r="766" spans="21:21" ht="15.75" customHeight="1" x14ac:dyDescent="0.25">
      <c r="U766" s="42"/>
    </row>
    <row r="767" spans="21:21" ht="15.75" customHeight="1" x14ac:dyDescent="0.25">
      <c r="U767" s="42"/>
    </row>
    <row r="768" spans="21:21" ht="15.75" customHeight="1" x14ac:dyDescent="0.25">
      <c r="U768" s="42"/>
    </row>
    <row r="769" spans="21:21" ht="15.75" customHeight="1" x14ac:dyDescent="0.25">
      <c r="U769" s="42"/>
    </row>
    <row r="770" spans="21:21" ht="15.75" customHeight="1" x14ac:dyDescent="0.25">
      <c r="U770" s="42"/>
    </row>
    <row r="771" spans="21:21" ht="15.75" customHeight="1" x14ac:dyDescent="0.25">
      <c r="U771" s="42"/>
    </row>
    <row r="772" spans="21:21" ht="15.75" customHeight="1" x14ac:dyDescent="0.25">
      <c r="U772" s="42"/>
    </row>
    <row r="773" spans="21:21" ht="15.75" customHeight="1" x14ac:dyDescent="0.25">
      <c r="U773" s="42"/>
    </row>
    <row r="774" spans="21:21" ht="15.75" customHeight="1" x14ac:dyDescent="0.25">
      <c r="U774" s="42"/>
    </row>
    <row r="775" spans="21:21" ht="15.75" customHeight="1" x14ac:dyDescent="0.25">
      <c r="U775" s="42"/>
    </row>
    <row r="776" spans="21:21" ht="15.75" customHeight="1" x14ac:dyDescent="0.25">
      <c r="U776" s="42"/>
    </row>
    <row r="777" spans="21:21" ht="15.75" customHeight="1" x14ac:dyDescent="0.25">
      <c r="U777" s="42"/>
    </row>
    <row r="778" spans="21:21" ht="15.75" customHeight="1" x14ac:dyDescent="0.25">
      <c r="U778" s="42"/>
    </row>
    <row r="779" spans="21:21" ht="15.75" customHeight="1" x14ac:dyDescent="0.25">
      <c r="U779" s="42"/>
    </row>
    <row r="780" spans="21:21" ht="15.75" customHeight="1" x14ac:dyDescent="0.25">
      <c r="U780" s="42"/>
    </row>
    <row r="781" spans="21:21" ht="15.75" customHeight="1" x14ac:dyDescent="0.25">
      <c r="U781" s="42"/>
    </row>
    <row r="782" spans="21:21" ht="15.75" customHeight="1" x14ac:dyDescent="0.25">
      <c r="U782" s="42"/>
    </row>
    <row r="783" spans="21:21" ht="15.75" customHeight="1" x14ac:dyDescent="0.25">
      <c r="U783" s="42"/>
    </row>
    <row r="784" spans="21:21" ht="15.75" customHeight="1" x14ac:dyDescent="0.25">
      <c r="U784" s="42"/>
    </row>
    <row r="785" spans="21:21" ht="15.75" customHeight="1" x14ac:dyDescent="0.25">
      <c r="U785" s="42"/>
    </row>
    <row r="786" spans="21:21" ht="15.75" customHeight="1" x14ac:dyDescent="0.25">
      <c r="U786" s="42"/>
    </row>
    <row r="787" spans="21:21" ht="15.75" customHeight="1" x14ac:dyDescent="0.25">
      <c r="U787" s="42"/>
    </row>
    <row r="788" spans="21:21" ht="15.75" customHeight="1" x14ac:dyDescent="0.25">
      <c r="U788" s="42"/>
    </row>
    <row r="789" spans="21:21" ht="15.75" customHeight="1" x14ac:dyDescent="0.25">
      <c r="U789" s="42"/>
    </row>
    <row r="790" spans="21:21" ht="15.75" customHeight="1" x14ac:dyDescent="0.25">
      <c r="U790" s="42"/>
    </row>
    <row r="791" spans="21:21" ht="15.75" customHeight="1" x14ac:dyDescent="0.25">
      <c r="U791" s="42"/>
    </row>
    <row r="792" spans="21:21" ht="15.75" customHeight="1" x14ac:dyDescent="0.25">
      <c r="U792" s="42"/>
    </row>
    <row r="793" spans="21:21" ht="15.75" customHeight="1" x14ac:dyDescent="0.25">
      <c r="U793" s="42"/>
    </row>
    <row r="794" spans="21:21" ht="15.75" customHeight="1" x14ac:dyDescent="0.25">
      <c r="U794" s="42"/>
    </row>
    <row r="795" spans="21:21" ht="15.75" customHeight="1" x14ac:dyDescent="0.25">
      <c r="U795" s="42"/>
    </row>
    <row r="796" spans="21:21" ht="15.75" customHeight="1" x14ac:dyDescent="0.25">
      <c r="U796" s="42"/>
    </row>
    <row r="797" spans="21:21" ht="15.75" customHeight="1" x14ac:dyDescent="0.25">
      <c r="U797" s="42"/>
    </row>
    <row r="798" spans="21:21" ht="15.75" customHeight="1" x14ac:dyDescent="0.25">
      <c r="U798" s="42"/>
    </row>
    <row r="799" spans="21:21" ht="15.75" customHeight="1" x14ac:dyDescent="0.25">
      <c r="U799" s="42"/>
    </row>
    <row r="800" spans="21:21" ht="15.75" customHeight="1" x14ac:dyDescent="0.25">
      <c r="U800" s="42"/>
    </row>
    <row r="801" spans="21:21" ht="15.75" customHeight="1" x14ac:dyDescent="0.25">
      <c r="U801" s="42"/>
    </row>
    <row r="802" spans="21:21" ht="15.75" customHeight="1" x14ac:dyDescent="0.25">
      <c r="U802" s="42"/>
    </row>
    <row r="803" spans="21:21" ht="15.75" customHeight="1" x14ac:dyDescent="0.25">
      <c r="U803" s="42"/>
    </row>
    <row r="804" spans="21:21" ht="15.75" customHeight="1" x14ac:dyDescent="0.25">
      <c r="U804" s="42"/>
    </row>
    <row r="805" spans="21:21" ht="15.75" customHeight="1" x14ac:dyDescent="0.25">
      <c r="U805" s="42"/>
    </row>
    <row r="806" spans="21:21" ht="15.75" customHeight="1" x14ac:dyDescent="0.25">
      <c r="U806" s="42"/>
    </row>
    <row r="807" spans="21:21" ht="15.75" customHeight="1" x14ac:dyDescent="0.25">
      <c r="U807" s="42"/>
    </row>
    <row r="808" spans="21:21" ht="15.75" customHeight="1" x14ac:dyDescent="0.25">
      <c r="U808" s="42"/>
    </row>
    <row r="809" spans="21:21" ht="15.75" customHeight="1" x14ac:dyDescent="0.25">
      <c r="U809" s="42"/>
    </row>
    <row r="810" spans="21:21" ht="15.75" customHeight="1" x14ac:dyDescent="0.25">
      <c r="U810" s="42"/>
    </row>
    <row r="811" spans="21:21" ht="15.75" customHeight="1" x14ac:dyDescent="0.25">
      <c r="U811" s="42"/>
    </row>
    <row r="812" spans="21:21" ht="15.75" customHeight="1" x14ac:dyDescent="0.25">
      <c r="U812" s="42"/>
    </row>
    <row r="813" spans="21:21" ht="15.75" customHeight="1" x14ac:dyDescent="0.25">
      <c r="U813" s="42"/>
    </row>
    <row r="814" spans="21:21" ht="15.75" customHeight="1" x14ac:dyDescent="0.25">
      <c r="U814" s="42"/>
    </row>
    <row r="815" spans="21:21" ht="15.75" customHeight="1" x14ac:dyDescent="0.25">
      <c r="U815" s="42"/>
    </row>
    <row r="816" spans="21:21" ht="15.75" customHeight="1" x14ac:dyDescent="0.25">
      <c r="U816" s="42"/>
    </row>
    <row r="817" spans="21:21" ht="15.75" customHeight="1" x14ac:dyDescent="0.25">
      <c r="U817" s="42"/>
    </row>
    <row r="818" spans="21:21" ht="15.75" customHeight="1" x14ac:dyDescent="0.25">
      <c r="U818" s="42"/>
    </row>
    <row r="819" spans="21:21" ht="15.75" customHeight="1" x14ac:dyDescent="0.25">
      <c r="U819" s="42"/>
    </row>
    <row r="820" spans="21:21" ht="15.75" customHeight="1" x14ac:dyDescent="0.25">
      <c r="U820" s="42"/>
    </row>
    <row r="821" spans="21:21" ht="15.75" customHeight="1" x14ac:dyDescent="0.25">
      <c r="U821" s="42"/>
    </row>
    <row r="822" spans="21:21" ht="15.75" customHeight="1" x14ac:dyDescent="0.25">
      <c r="U822" s="42"/>
    </row>
    <row r="823" spans="21:21" ht="15.75" customHeight="1" x14ac:dyDescent="0.25">
      <c r="U823" s="42"/>
    </row>
    <row r="824" spans="21:21" ht="15.75" customHeight="1" x14ac:dyDescent="0.25">
      <c r="U824" s="42"/>
    </row>
    <row r="825" spans="21:21" ht="15.75" customHeight="1" x14ac:dyDescent="0.25">
      <c r="U825" s="42"/>
    </row>
    <row r="826" spans="21:21" ht="15.75" customHeight="1" x14ac:dyDescent="0.25">
      <c r="U826" s="42"/>
    </row>
    <row r="827" spans="21:21" ht="15.75" customHeight="1" x14ac:dyDescent="0.25">
      <c r="U827" s="42"/>
    </row>
    <row r="828" spans="21:21" ht="15.75" customHeight="1" x14ac:dyDescent="0.25">
      <c r="U828" s="42"/>
    </row>
    <row r="829" spans="21:21" ht="15.75" customHeight="1" x14ac:dyDescent="0.25">
      <c r="U829" s="42"/>
    </row>
    <row r="830" spans="21:21" ht="15.75" customHeight="1" x14ac:dyDescent="0.25">
      <c r="U830" s="42"/>
    </row>
    <row r="831" spans="21:21" ht="15.75" customHeight="1" x14ac:dyDescent="0.25">
      <c r="U831" s="42"/>
    </row>
    <row r="832" spans="21:21" ht="15.75" customHeight="1" x14ac:dyDescent="0.25">
      <c r="U832" s="42"/>
    </row>
    <row r="833" spans="21:21" ht="15.75" customHeight="1" x14ac:dyDescent="0.25">
      <c r="U833" s="42"/>
    </row>
    <row r="834" spans="21:21" ht="15.75" customHeight="1" x14ac:dyDescent="0.25">
      <c r="U834" s="42"/>
    </row>
    <row r="835" spans="21:21" ht="15.75" customHeight="1" x14ac:dyDescent="0.25">
      <c r="U835" s="42"/>
    </row>
    <row r="836" spans="21:21" ht="15.75" customHeight="1" x14ac:dyDescent="0.25">
      <c r="U836" s="42"/>
    </row>
    <row r="837" spans="21:21" ht="15.75" customHeight="1" x14ac:dyDescent="0.25">
      <c r="U837" s="42"/>
    </row>
    <row r="838" spans="21:21" ht="15.75" customHeight="1" x14ac:dyDescent="0.25">
      <c r="U838" s="42"/>
    </row>
    <row r="839" spans="21:21" ht="15.75" customHeight="1" x14ac:dyDescent="0.25">
      <c r="U839" s="42"/>
    </row>
    <row r="840" spans="21:21" ht="15.75" customHeight="1" x14ac:dyDescent="0.25">
      <c r="U840" s="42"/>
    </row>
    <row r="841" spans="21:21" ht="15.75" customHeight="1" x14ac:dyDescent="0.25">
      <c r="U841" s="42"/>
    </row>
    <row r="842" spans="21:21" ht="15.75" customHeight="1" x14ac:dyDescent="0.25">
      <c r="U842" s="42"/>
    </row>
    <row r="843" spans="21:21" ht="15.75" customHeight="1" x14ac:dyDescent="0.25">
      <c r="U843" s="42"/>
    </row>
    <row r="844" spans="21:21" ht="15.75" customHeight="1" x14ac:dyDescent="0.25">
      <c r="U844" s="42"/>
    </row>
    <row r="845" spans="21:21" ht="15.75" customHeight="1" x14ac:dyDescent="0.25">
      <c r="U845" s="42"/>
    </row>
    <row r="846" spans="21:21" ht="15.75" customHeight="1" x14ac:dyDescent="0.25">
      <c r="U846" s="42"/>
    </row>
    <row r="847" spans="21:21" ht="15.75" customHeight="1" x14ac:dyDescent="0.25">
      <c r="U847" s="42"/>
    </row>
    <row r="848" spans="21:21" ht="15.75" customHeight="1" x14ac:dyDescent="0.25">
      <c r="U848" s="42"/>
    </row>
    <row r="849" spans="21:21" ht="15.75" customHeight="1" x14ac:dyDescent="0.25">
      <c r="U849" s="42"/>
    </row>
    <row r="850" spans="21:21" ht="15.75" customHeight="1" x14ac:dyDescent="0.25">
      <c r="U850" s="42"/>
    </row>
    <row r="851" spans="21:21" ht="15.75" customHeight="1" x14ac:dyDescent="0.25">
      <c r="U851" s="42"/>
    </row>
    <row r="852" spans="21:21" ht="15.75" customHeight="1" x14ac:dyDescent="0.25">
      <c r="U852" s="42"/>
    </row>
    <row r="853" spans="21:21" ht="15.75" customHeight="1" x14ac:dyDescent="0.25">
      <c r="U853" s="42"/>
    </row>
    <row r="854" spans="21:21" ht="15.75" customHeight="1" x14ac:dyDescent="0.25">
      <c r="U854" s="42"/>
    </row>
    <row r="855" spans="21:21" ht="15.75" customHeight="1" x14ac:dyDescent="0.25">
      <c r="U855" s="42"/>
    </row>
    <row r="856" spans="21:21" ht="15.75" customHeight="1" x14ac:dyDescent="0.25">
      <c r="U856" s="42"/>
    </row>
    <row r="857" spans="21:21" ht="15.75" customHeight="1" x14ac:dyDescent="0.25">
      <c r="U857" s="42"/>
    </row>
    <row r="858" spans="21:21" ht="15.75" customHeight="1" x14ac:dyDescent="0.25">
      <c r="U858" s="42"/>
    </row>
    <row r="859" spans="21:21" ht="15.75" customHeight="1" x14ac:dyDescent="0.25">
      <c r="U859" s="42"/>
    </row>
    <row r="860" spans="21:21" ht="15.75" customHeight="1" x14ac:dyDescent="0.25">
      <c r="U860" s="42"/>
    </row>
    <row r="861" spans="21:21" ht="15.75" customHeight="1" x14ac:dyDescent="0.25">
      <c r="U861" s="42"/>
    </row>
    <row r="862" spans="21:21" ht="15.75" customHeight="1" x14ac:dyDescent="0.25">
      <c r="U862" s="42"/>
    </row>
    <row r="863" spans="21:21" ht="15.75" customHeight="1" x14ac:dyDescent="0.25">
      <c r="U863" s="42"/>
    </row>
    <row r="864" spans="21:21" ht="15.75" customHeight="1" x14ac:dyDescent="0.25">
      <c r="U864" s="42"/>
    </row>
    <row r="865" spans="21:21" ht="15.75" customHeight="1" x14ac:dyDescent="0.25">
      <c r="U865" s="42"/>
    </row>
    <row r="866" spans="21:21" ht="15.75" customHeight="1" x14ac:dyDescent="0.25">
      <c r="U866" s="42"/>
    </row>
    <row r="867" spans="21:21" ht="15.75" customHeight="1" x14ac:dyDescent="0.25">
      <c r="U867" s="42"/>
    </row>
    <row r="868" spans="21:21" ht="15.75" customHeight="1" x14ac:dyDescent="0.25">
      <c r="U868" s="42"/>
    </row>
    <row r="869" spans="21:21" ht="15.75" customHeight="1" x14ac:dyDescent="0.25">
      <c r="U869" s="42"/>
    </row>
    <row r="870" spans="21:21" ht="15.75" customHeight="1" x14ac:dyDescent="0.25">
      <c r="U870" s="42"/>
    </row>
    <row r="871" spans="21:21" ht="15.75" customHeight="1" x14ac:dyDescent="0.25">
      <c r="U871" s="42"/>
    </row>
    <row r="872" spans="21:21" ht="15.75" customHeight="1" x14ac:dyDescent="0.25">
      <c r="U872" s="42"/>
    </row>
    <row r="873" spans="21:21" ht="15.75" customHeight="1" x14ac:dyDescent="0.25">
      <c r="U873" s="42"/>
    </row>
    <row r="874" spans="21:21" ht="15.75" customHeight="1" x14ac:dyDescent="0.25">
      <c r="U874" s="42"/>
    </row>
    <row r="875" spans="21:21" ht="15.75" customHeight="1" x14ac:dyDescent="0.25">
      <c r="U875" s="42"/>
    </row>
    <row r="876" spans="21:21" ht="15.75" customHeight="1" x14ac:dyDescent="0.25">
      <c r="U876" s="42"/>
    </row>
    <row r="877" spans="21:21" ht="15.75" customHeight="1" x14ac:dyDescent="0.25">
      <c r="U877" s="42"/>
    </row>
    <row r="878" spans="21:21" ht="15.75" customHeight="1" x14ac:dyDescent="0.25">
      <c r="U878" s="42"/>
    </row>
    <row r="879" spans="21:21" ht="15.75" customHeight="1" x14ac:dyDescent="0.25">
      <c r="U879" s="42"/>
    </row>
    <row r="880" spans="21:21" ht="15.75" customHeight="1" x14ac:dyDescent="0.25">
      <c r="U880" s="42"/>
    </row>
    <row r="881" spans="21:21" ht="15.75" customHeight="1" x14ac:dyDescent="0.25">
      <c r="U881" s="42"/>
    </row>
    <row r="882" spans="21:21" ht="15.75" customHeight="1" x14ac:dyDescent="0.25">
      <c r="U882" s="42"/>
    </row>
    <row r="883" spans="21:21" ht="15.75" customHeight="1" x14ac:dyDescent="0.25">
      <c r="U883" s="42"/>
    </row>
    <row r="884" spans="21:21" ht="15.75" customHeight="1" x14ac:dyDescent="0.25">
      <c r="U884" s="42"/>
    </row>
    <row r="885" spans="21:21" ht="15.75" customHeight="1" x14ac:dyDescent="0.25">
      <c r="U885" s="42"/>
    </row>
    <row r="886" spans="21:21" ht="15.75" customHeight="1" x14ac:dyDescent="0.25">
      <c r="U886" s="42"/>
    </row>
    <row r="887" spans="21:21" ht="15.75" customHeight="1" x14ac:dyDescent="0.25">
      <c r="U887" s="42"/>
    </row>
    <row r="888" spans="21:21" ht="15.75" customHeight="1" x14ac:dyDescent="0.25">
      <c r="U888" s="42"/>
    </row>
    <row r="889" spans="21:21" ht="15.75" customHeight="1" x14ac:dyDescent="0.25">
      <c r="U889" s="42"/>
    </row>
    <row r="890" spans="21:21" ht="15.75" customHeight="1" x14ac:dyDescent="0.25">
      <c r="U890" s="42"/>
    </row>
    <row r="891" spans="21:21" ht="15.75" customHeight="1" x14ac:dyDescent="0.25">
      <c r="U891" s="42"/>
    </row>
    <row r="892" spans="21:21" ht="15.75" customHeight="1" x14ac:dyDescent="0.25">
      <c r="U892" s="42"/>
    </row>
    <row r="893" spans="21:21" ht="15.75" customHeight="1" x14ac:dyDescent="0.25">
      <c r="U893" s="42"/>
    </row>
    <row r="894" spans="21:21" ht="15.75" customHeight="1" x14ac:dyDescent="0.25">
      <c r="U894" s="42"/>
    </row>
    <row r="895" spans="21:21" ht="15.75" customHeight="1" x14ac:dyDescent="0.25">
      <c r="U895" s="42"/>
    </row>
    <row r="896" spans="21:21" ht="15.75" customHeight="1" x14ac:dyDescent="0.25">
      <c r="U896" s="42"/>
    </row>
    <row r="897" spans="21:21" ht="15.75" customHeight="1" x14ac:dyDescent="0.25">
      <c r="U897" s="42"/>
    </row>
    <row r="898" spans="21:21" ht="15.75" customHeight="1" x14ac:dyDescent="0.25">
      <c r="U898" s="42"/>
    </row>
    <row r="899" spans="21:21" ht="15.75" customHeight="1" x14ac:dyDescent="0.25">
      <c r="U899" s="42"/>
    </row>
    <row r="900" spans="21:21" ht="15.75" customHeight="1" x14ac:dyDescent="0.25">
      <c r="U900" s="42"/>
    </row>
    <row r="901" spans="21:21" ht="15.75" customHeight="1" x14ac:dyDescent="0.25">
      <c r="U901" s="42"/>
    </row>
    <row r="902" spans="21:21" ht="15.75" customHeight="1" x14ac:dyDescent="0.25">
      <c r="U902" s="42"/>
    </row>
    <row r="903" spans="21:21" ht="15.75" customHeight="1" x14ac:dyDescent="0.25">
      <c r="U903" s="42"/>
    </row>
    <row r="904" spans="21:21" ht="15.75" customHeight="1" x14ac:dyDescent="0.25">
      <c r="U904" s="42"/>
    </row>
    <row r="905" spans="21:21" ht="15.75" customHeight="1" x14ac:dyDescent="0.25">
      <c r="U905" s="42"/>
    </row>
    <row r="906" spans="21:21" ht="15.75" customHeight="1" x14ac:dyDescent="0.25">
      <c r="U906" s="42"/>
    </row>
    <row r="907" spans="21:21" ht="15.75" customHeight="1" x14ac:dyDescent="0.25">
      <c r="U907" s="42"/>
    </row>
    <row r="908" spans="21:21" ht="15.75" customHeight="1" x14ac:dyDescent="0.25">
      <c r="U908" s="42"/>
    </row>
    <row r="909" spans="21:21" ht="15.75" customHeight="1" x14ac:dyDescent="0.25">
      <c r="U909" s="42"/>
    </row>
    <row r="910" spans="21:21" ht="15.75" customHeight="1" x14ac:dyDescent="0.25">
      <c r="U910" s="42"/>
    </row>
    <row r="911" spans="21:21" ht="15.75" customHeight="1" x14ac:dyDescent="0.25">
      <c r="U911" s="42"/>
    </row>
    <row r="912" spans="21:21" ht="15.75" customHeight="1" x14ac:dyDescent="0.25">
      <c r="U912" s="42"/>
    </row>
    <row r="913" spans="21:21" ht="15.75" customHeight="1" x14ac:dyDescent="0.25">
      <c r="U913" s="42"/>
    </row>
    <row r="914" spans="21:21" ht="15.75" customHeight="1" x14ac:dyDescent="0.25">
      <c r="U914" s="42"/>
    </row>
    <row r="915" spans="21:21" ht="15.75" customHeight="1" x14ac:dyDescent="0.25">
      <c r="U915" s="42"/>
    </row>
    <row r="916" spans="21:21" ht="15.75" customHeight="1" x14ac:dyDescent="0.25">
      <c r="U916" s="42"/>
    </row>
    <row r="917" spans="21:21" ht="15.75" customHeight="1" x14ac:dyDescent="0.25">
      <c r="U917" s="42"/>
    </row>
    <row r="918" spans="21:21" ht="15.75" customHeight="1" x14ac:dyDescent="0.25">
      <c r="U918" s="42"/>
    </row>
    <row r="919" spans="21:21" ht="15.75" customHeight="1" x14ac:dyDescent="0.25">
      <c r="U919" s="42"/>
    </row>
    <row r="920" spans="21:21" ht="15.75" customHeight="1" x14ac:dyDescent="0.25">
      <c r="U920" s="42"/>
    </row>
    <row r="921" spans="21:21" ht="15.75" customHeight="1" x14ac:dyDescent="0.25">
      <c r="U921" s="42"/>
    </row>
    <row r="922" spans="21:21" ht="15.75" customHeight="1" x14ac:dyDescent="0.25">
      <c r="U922" s="42"/>
    </row>
    <row r="923" spans="21:21" ht="15.75" customHeight="1" x14ac:dyDescent="0.25">
      <c r="U923" s="42"/>
    </row>
    <row r="924" spans="21:21" ht="15.75" customHeight="1" x14ac:dyDescent="0.25">
      <c r="U924" s="42"/>
    </row>
    <row r="925" spans="21:21" ht="15.75" customHeight="1" x14ac:dyDescent="0.25">
      <c r="U925" s="42"/>
    </row>
    <row r="926" spans="21:21" ht="15.75" customHeight="1" x14ac:dyDescent="0.25">
      <c r="U926" s="42"/>
    </row>
    <row r="927" spans="21:21" ht="15.75" customHeight="1" x14ac:dyDescent="0.25">
      <c r="U927" s="42"/>
    </row>
    <row r="928" spans="21:21" ht="15.75" customHeight="1" x14ac:dyDescent="0.25">
      <c r="U928" s="42"/>
    </row>
    <row r="929" spans="21:21" ht="15.75" customHeight="1" x14ac:dyDescent="0.25">
      <c r="U929" s="42"/>
    </row>
    <row r="930" spans="21:21" ht="15.75" customHeight="1" x14ac:dyDescent="0.25">
      <c r="U930" s="42"/>
    </row>
    <row r="931" spans="21:21" ht="15.75" customHeight="1" x14ac:dyDescent="0.25">
      <c r="U931" s="42"/>
    </row>
    <row r="932" spans="21:21" ht="15.75" customHeight="1" x14ac:dyDescent="0.25">
      <c r="U932" s="42"/>
    </row>
    <row r="933" spans="21:21" ht="15.75" customHeight="1" x14ac:dyDescent="0.25">
      <c r="U933" s="42"/>
    </row>
    <row r="934" spans="21:21" ht="15.75" customHeight="1" x14ac:dyDescent="0.25">
      <c r="U934" s="42"/>
    </row>
    <row r="935" spans="21:21" ht="15.75" customHeight="1" x14ac:dyDescent="0.25">
      <c r="U935" s="42"/>
    </row>
    <row r="936" spans="21:21" ht="15.75" customHeight="1" x14ac:dyDescent="0.25">
      <c r="U936" s="42"/>
    </row>
    <row r="937" spans="21:21" ht="15.75" customHeight="1" x14ac:dyDescent="0.25">
      <c r="U937" s="42"/>
    </row>
    <row r="938" spans="21:21" ht="15.75" customHeight="1" x14ac:dyDescent="0.25">
      <c r="U938" s="42"/>
    </row>
    <row r="939" spans="21:21" ht="15.75" customHeight="1" x14ac:dyDescent="0.25">
      <c r="U939" s="42"/>
    </row>
    <row r="940" spans="21:21" ht="15.75" customHeight="1" x14ac:dyDescent="0.25">
      <c r="U940" s="42"/>
    </row>
    <row r="941" spans="21:21" ht="15.75" customHeight="1" x14ac:dyDescent="0.25">
      <c r="U941" s="42"/>
    </row>
    <row r="942" spans="21:21" ht="15.75" customHeight="1" x14ac:dyDescent="0.25">
      <c r="U942" s="42"/>
    </row>
    <row r="943" spans="21:21" ht="15.75" customHeight="1" x14ac:dyDescent="0.25">
      <c r="U943" s="42"/>
    </row>
    <row r="944" spans="21:21" ht="15.75" customHeight="1" x14ac:dyDescent="0.25">
      <c r="U944" s="42"/>
    </row>
    <row r="945" spans="21:21" ht="15.75" customHeight="1" x14ac:dyDescent="0.25">
      <c r="U945" s="42"/>
    </row>
    <row r="946" spans="21:21" ht="15.75" customHeight="1" x14ac:dyDescent="0.25">
      <c r="U946" s="42"/>
    </row>
    <row r="947" spans="21:21" ht="15.75" customHeight="1" x14ac:dyDescent="0.25">
      <c r="U947" s="42"/>
    </row>
    <row r="948" spans="21:21" ht="15.75" customHeight="1" x14ac:dyDescent="0.25">
      <c r="U948" s="42"/>
    </row>
    <row r="949" spans="21:21" ht="15.75" customHeight="1" x14ac:dyDescent="0.25">
      <c r="U949" s="42"/>
    </row>
    <row r="950" spans="21:21" ht="15.75" customHeight="1" x14ac:dyDescent="0.25">
      <c r="U950" s="42"/>
    </row>
    <row r="951" spans="21:21" ht="15.75" customHeight="1" x14ac:dyDescent="0.25">
      <c r="U951" s="42"/>
    </row>
    <row r="952" spans="21:21" ht="15.75" customHeight="1" x14ac:dyDescent="0.25">
      <c r="U952" s="42"/>
    </row>
    <row r="953" spans="21:21" ht="15.75" customHeight="1" x14ac:dyDescent="0.25">
      <c r="U953" s="42"/>
    </row>
    <row r="954" spans="21:21" ht="15.75" customHeight="1" x14ac:dyDescent="0.25">
      <c r="U954" s="42"/>
    </row>
    <row r="955" spans="21:21" ht="15.75" customHeight="1" x14ac:dyDescent="0.25">
      <c r="U955" s="42"/>
    </row>
    <row r="956" spans="21:21" ht="15.75" customHeight="1" x14ac:dyDescent="0.25">
      <c r="U956" s="42"/>
    </row>
    <row r="957" spans="21:21" ht="15.75" customHeight="1" x14ac:dyDescent="0.25">
      <c r="U957" s="42"/>
    </row>
    <row r="958" spans="21:21" ht="15.75" customHeight="1" x14ac:dyDescent="0.25">
      <c r="U958" s="42"/>
    </row>
    <row r="959" spans="21:21" ht="15.75" customHeight="1" x14ac:dyDescent="0.25">
      <c r="U959" s="42"/>
    </row>
    <row r="960" spans="21:21" ht="15.75" customHeight="1" x14ac:dyDescent="0.25">
      <c r="U960" s="42"/>
    </row>
    <row r="961" spans="21:21" ht="15.75" customHeight="1" x14ac:dyDescent="0.25">
      <c r="U961" s="42"/>
    </row>
    <row r="962" spans="21:21" ht="15.75" customHeight="1" x14ac:dyDescent="0.25">
      <c r="U962" s="42"/>
    </row>
    <row r="963" spans="21:21" ht="15.75" customHeight="1" x14ac:dyDescent="0.25">
      <c r="U963" s="42"/>
    </row>
    <row r="964" spans="21:21" ht="15.75" customHeight="1" x14ac:dyDescent="0.25">
      <c r="U964" s="42"/>
    </row>
    <row r="965" spans="21:21" ht="15.75" customHeight="1" x14ac:dyDescent="0.25">
      <c r="U965" s="42"/>
    </row>
    <row r="966" spans="21:21" ht="15.75" customHeight="1" x14ac:dyDescent="0.25">
      <c r="U966" s="42"/>
    </row>
    <row r="967" spans="21:21" ht="15.75" customHeight="1" x14ac:dyDescent="0.25">
      <c r="U967" s="42"/>
    </row>
    <row r="968" spans="21:21" ht="15.75" customHeight="1" x14ac:dyDescent="0.25">
      <c r="U968" s="42"/>
    </row>
    <row r="969" spans="21:21" ht="15.75" customHeight="1" x14ac:dyDescent="0.25">
      <c r="U969" s="42"/>
    </row>
    <row r="970" spans="21:21" ht="15.75" customHeight="1" x14ac:dyDescent="0.25">
      <c r="U970" s="42"/>
    </row>
    <row r="971" spans="21:21" ht="15.75" customHeight="1" x14ac:dyDescent="0.25">
      <c r="U971" s="42"/>
    </row>
    <row r="972" spans="21:21" ht="15.75" customHeight="1" x14ac:dyDescent="0.25">
      <c r="U972" s="42"/>
    </row>
    <row r="973" spans="21:21" ht="15.75" customHeight="1" x14ac:dyDescent="0.25">
      <c r="U973" s="42"/>
    </row>
    <row r="974" spans="21:21" ht="15.75" customHeight="1" x14ac:dyDescent="0.25">
      <c r="U974" s="42"/>
    </row>
    <row r="975" spans="21:21" ht="15.75" customHeight="1" x14ac:dyDescent="0.25">
      <c r="U975" s="42"/>
    </row>
    <row r="976" spans="21:21" ht="15.75" customHeight="1" x14ac:dyDescent="0.25">
      <c r="U976" s="42"/>
    </row>
    <row r="977" spans="21:21" ht="15.75" customHeight="1" x14ac:dyDescent="0.25">
      <c r="U977" s="42"/>
    </row>
    <row r="978" spans="21:21" ht="15.75" customHeight="1" x14ac:dyDescent="0.25">
      <c r="U978" s="42"/>
    </row>
    <row r="979" spans="21:21" ht="15.75" customHeight="1" x14ac:dyDescent="0.25">
      <c r="U979" s="42"/>
    </row>
    <row r="980" spans="21:21" ht="15.75" customHeight="1" x14ac:dyDescent="0.25">
      <c r="U980" s="42"/>
    </row>
    <row r="981" spans="21:21" ht="15.75" customHeight="1" x14ac:dyDescent="0.25">
      <c r="U981" s="42"/>
    </row>
    <row r="982" spans="21:21" ht="15.75" customHeight="1" x14ac:dyDescent="0.25">
      <c r="U982" s="42"/>
    </row>
    <row r="983" spans="21:21" ht="15.75" customHeight="1" x14ac:dyDescent="0.25">
      <c r="U983" s="42"/>
    </row>
    <row r="984" spans="21:21" ht="15.75" customHeight="1" x14ac:dyDescent="0.25">
      <c r="U984" s="42"/>
    </row>
    <row r="985" spans="21:21" ht="15.75" customHeight="1" x14ac:dyDescent="0.25">
      <c r="U985" s="42"/>
    </row>
    <row r="986" spans="21:21" ht="15.75" customHeight="1" x14ac:dyDescent="0.25">
      <c r="U986" s="42"/>
    </row>
    <row r="987" spans="21:21" ht="15.75" customHeight="1" x14ac:dyDescent="0.25">
      <c r="U987" s="42"/>
    </row>
    <row r="988" spans="21:21" ht="15.75" customHeight="1" x14ac:dyDescent="0.25">
      <c r="U988" s="42"/>
    </row>
    <row r="989" spans="21:21" ht="15.75" customHeight="1" x14ac:dyDescent="0.25">
      <c r="U989" s="42"/>
    </row>
    <row r="990" spans="21:21" ht="15.75" customHeight="1" x14ac:dyDescent="0.25">
      <c r="U990" s="42"/>
    </row>
    <row r="991" spans="21:21" ht="15.75" customHeight="1" x14ac:dyDescent="0.25">
      <c r="U991" s="42"/>
    </row>
    <row r="992" spans="21:21" ht="15.75" customHeight="1" x14ac:dyDescent="0.25">
      <c r="U992" s="42"/>
    </row>
    <row r="993" spans="21:21" ht="15.75" customHeight="1" x14ac:dyDescent="0.25">
      <c r="U993" s="42"/>
    </row>
    <row r="994" spans="21:21" ht="15.75" customHeight="1" x14ac:dyDescent="0.25">
      <c r="U994" s="42"/>
    </row>
    <row r="995" spans="21:21" ht="15.75" customHeight="1" x14ac:dyDescent="0.25">
      <c r="U995" s="42"/>
    </row>
    <row r="996" spans="21:21" ht="15.75" customHeight="1" x14ac:dyDescent="0.25">
      <c r="U996" s="42"/>
    </row>
    <row r="997" spans="21:21" ht="15.75" customHeight="1" x14ac:dyDescent="0.25">
      <c r="U997" s="42"/>
    </row>
    <row r="998" spans="21:21" ht="15.75" customHeight="1" x14ac:dyDescent="0.25">
      <c r="U998" s="42"/>
    </row>
    <row r="999" spans="21:21" ht="15.75" customHeight="1" x14ac:dyDescent="0.25">
      <c r="U999" s="42"/>
    </row>
    <row r="1000" spans="21:21" ht="15.75" customHeight="1" x14ac:dyDescent="0.25">
      <c r="U1000" s="42"/>
    </row>
    <row r="1001" spans="21:21" ht="15.75" customHeight="1" x14ac:dyDescent="0.25">
      <c r="U1001" s="42"/>
    </row>
    <row r="1002" spans="21:21" ht="15.75" customHeight="1" x14ac:dyDescent="0.25">
      <c r="U1002" s="42"/>
    </row>
    <row r="1003" spans="21:21" ht="15.75" customHeight="1" x14ac:dyDescent="0.25">
      <c r="U1003" s="42"/>
    </row>
    <row r="1004" spans="21:21" ht="15.75" customHeight="1" x14ac:dyDescent="0.25">
      <c r="U1004" s="42"/>
    </row>
    <row r="1005" spans="21:21" ht="15.75" customHeight="1" x14ac:dyDescent="0.25">
      <c r="U1005" s="42"/>
    </row>
  </sheetData>
  <autoFilter ref="A11:V40" xr:uid="{00000000-0009-0000-0000-000005000000}"/>
  <mergeCells count="3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 ref="A34:E34"/>
    <mergeCell ref="A37:S37"/>
    <mergeCell ref="A38:S38"/>
    <mergeCell ref="A39:S39"/>
    <mergeCell ref="A40:S40"/>
    <mergeCell ref="G42:J42"/>
    <mergeCell ref="N42:Q42"/>
    <mergeCell ref="C43:E43"/>
    <mergeCell ref="G43:J43"/>
    <mergeCell ref="E49:G49"/>
    <mergeCell ref="N49:Q49"/>
    <mergeCell ref="G48:J48"/>
    <mergeCell ref="B49:C49"/>
    <mergeCell ref="A43:B43"/>
    <mergeCell ref="A44:B44"/>
    <mergeCell ref="A45:B45"/>
    <mergeCell ref="A46:B46"/>
    <mergeCell ref="C48:E48"/>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56"/>
      <c r="B1" s="157"/>
      <c r="C1" s="157"/>
      <c r="D1" s="157"/>
      <c r="E1" s="158"/>
      <c r="F1" s="157"/>
      <c r="G1" s="156"/>
      <c r="H1" s="156"/>
      <c r="I1" s="156"/>
      <c r="J1" s="156"/>
      <c r="K1" s="156"/>
      <c r="L1" s="156"/>
      <c r="M1" s="156"/>
      <c r="N1" s="156"/>
      <c r="O1" s="156"/>
      <c r="P1" s="156"/>
      <c r="Q1" s="156"/>
      <c r="R1" s="156"/>
      <c r="S1" s="140"/>
      <c r="T1" s="196"/>
      <c r="U1" s="140"/>
      <c r="V1" s="140"/>
      <c r="W1" s="140"/>
      <c r="X1" s="140"/>
      <c r="Y1" s="140"/>
      <c r="Z1" s="140"/>
    </row>
    <row r="2" spans="1:26" ht="17.25" customHeight="1" x14ac:dyDescent="0.25">
      <c r="A2" s="624" t="s">
        <v>126</v>
      </c>
      <c r="B2" s="570"/>
      <c r="C2" s="570"/>
      <c r="D2" s="570"/>
      <c r="E2" s="570"/>
      <c r="F2" s="570"/>
      <c r="G2" s="570"/>
      <c r="H2" s="570"/>
      <c r="I2" s="570"/>
      <c r="J2" s="570"/>
      <c r="K2" s="570"/>
      <c r="L2" s="570"/>
      <c r="M2" s="570"/>
      <c r="N2" s="570"/>
      <c r="O2" s="570"/>
      <c r="P2" s="570"/>
      <c r="Q2" s="570"/>
      <c r="R2" s="571"/>
      <c r="S2" s="140"/>
      <c r="T2" s="196"/>
      <c r="U2" s="140"/>
      <c r="V2" s="140"/>
      <c r="W2" s="140"/>
      <c r="X2" s="140"/>
      <c r="Y2" s="140"/>
      <c r="Z2" s="140"/>
    </row>
    <row r="3" spans="1:26" ht="17.25" customHeight="1" x14ac:dyDescent="0.25">
      <c r="A3" s="574"/>
      <c r="B3" s="575"/>
      <c r="C3" s="575"/>
      <c r="D3" s="575"/>
      <c r="E3" s="575"/>
      <c r="F3" s="575"/>
      <c r="G3" s="575"/>
      <c r="H3" s="575"/>
      <c r="I3" s="575"/>
      <c r="J3" s="575"/>
      <c r="K3" s="575"/>
      <c r="L3" s="575"/>
      <c r="M3" s="575"/>
      <c r="N3" s="575"/>
      <c r="O3" s="575"/>
      <c r="P3" s="575"/>
      <c r="Q3" s="575"/>
      <c r="R3" s="576"/>
      <c r="S3" s="140"/>
      <c r="T3" s="196"/>
      <c r="U3" s="140"/>
      <c r="V3" s="140"/>
      <c r="W3" s="140"/>
      <c r="X3" s="140"/>
      <c r="Y3" s="140"/>
      <c r="Z3" s="140"/>
    </row>
    <row r="4" spans="1:26" ht="21.75" customHeight="1" x14ac:dyDescent="0.25">
      <c r="A4" s="628" t="s">
        <v>1</v>
      </c>
      <c r="B4" s="628" t="s">
        <v>129</v>
      </c>
      <c r="C4" s="628" t="s">
        <v>95</v>
      </c>
      <c r="D4" s="628" t="s">
        <v>130</v>
      </c>
      <c r="E4" s="628" t="s">
        <v>41</v>
      </c>
      <c r="F4" s="628" t="s">
        <v>131</v>
      </c>
      <c r="G4" s="645" t="s">
        <v>159</v>
      </c>
      <c r="H4" s="646" t="s">
        <v>160</v>
      </c>
      <c r="I4" s="644" t="s">
        <v>159</v>
      </c>
      <c r="J4" s="140"/>
      <c r="K4" s="140"/>
      <c r="L4" s="140"/>
      <c r="M4" s="140"/>
      <c r="N4" s="140"/>
      <c r="O4" s="140"/>
      <c r="P4" s="140"/>
      <c r="Q4" s="140"/>
      <c r="R4" s="140"/>
      <c r="S4" s="140"/>
      <c r="T4" s="140"/>
      <c r="U4" s="140"/>
      <c r="V4" s="140"/>
      <c r="W4" s="140"/>
      <c r="X4" s="140"/>
      <c r="Y4" s="140"/>
      <c r="Z4" s="140"/>
    </row>
    <row r="5" spans="1:26" ht="33.75" customHeight="1" x14ac:dyDescent="0.25">
      <c r="A5" s="643"/>
      <c r="B5" s="643"/>
      <c r="C5" s="643"/>
      <c r="D5" s="643"/>
      <c r="E5" s="643"/>
      <c r="F5" s="643"/>
      <c r="G5" s="643"/>
      <c r="H5" s="643"/>
      <c r="I5" s="643"/>
      <c r="J5" s="140"/>
      <c r="K5" s="140"/>
      <c r="L5" s="140"/>
      <c r="M5" s="140"/>
      <c r="N5" s="140"/>
      <c r="O5" s="140"/>
      <c r="P5" s="140"/>
      <c r="Q5" s="140"/>
      <c r="R5" s="140"/>
      <c r="S5" s="140"/>
      <c r="T5" s="140"/>
      <c r="U5" s="140"/>
      <c r="V5" s="140"/>
      <c r="W5" s="140"/>
      <c r="X5" s="140"/>
      <c r="Y5" s="140"/>
      <c r="Z5" s="140"/>
    </row>
    <row r="6" spans="1:26" ht="27" customHeight="1" x14ac:dyDescent="0.25">
      <c r="A6" s="609"/>
      <c r="B6" s="609"/>
      <c r="C6" s="609"/>
      <c r="D6" s="609"/>
      <c r="E6" s="609"/>
      <c r="F6" s="609"/>
      <c r="G6" s="609"/>
      <c r="H6" s="609"/>
      <c r="I6" s="609"/>
      <c r="J6" s="140"/>
      <c r="K6" s="140"/>
      <c r="L6" s="140"/>
      <c r="M6" s="140"/>
      <c r="N6" s="140"/>
      <c r="O6" s="140"/>
      <c r="P6" s="140"/>
      <c r="Q6" s="140"/>
      <c r="R6" s="140"/>
      <c r="S6" s="140"/>
      <c r="T6" s="140"/>
      <c r="U6" s="140"/>
      <c r="V6" s="140"/>
      <c r="W6" s="140"/>
      <c r="X6" s="140"/>
      <c r="Y6" s="140"/>
      <c r="Z6" s="140"/>
    </row>
    <row r="7" spans="1:26" ht="37.5" customHeight="1" x14ac:dyDescent="0.25">
      <c r="A7" s="172">
        <f t="shared" ref="A7:A8" si="0">SUBTOTAL(3,$C$7:C7)</f>
        <v>1</v>
      </c>
      <c r="B7" s="117" t="s">
        <v>103</v>
      </c>
      <c r="C7" s="117" t="s">
        <v>161</v>
      </c>
      <c r="D7" s="37" t="s">
        <v>49</v>
      </c>
      <c r="E7" s="38" t="s">
        <v>50</v>
      </c>
      <c r="F7" s="183"/>
      <c r="G7" s="175">
        <f>I7/90%</f>
        <v>3333333.333333333</v>
      </c>
      <c r="H7" s="197">
        <f t="shared" ref="H7:H8" si="1">G7*10%</f>
        <v>333333.33333333331</v>
      </c>
      <c r="I7" s="175">
        <v>3000000</v>
      </c>
      <c r="J7" s="198"/>
      <c r="K7" s="151"/>
      <c r="L7" s="151"/>
      <c r="M7" s="151"/>
      <c r="N7" s="151"/>
      <c r="O7" s="151"/>
      <c r="P7" s="151"/>
      <c r="Q7" s="151"/>
      <c r="R7" s="151"/>
      <c r="S7" s="151"/>
      <c r="T7" s="151"/>
      <c r="U7" s="151"/>
      <c r="V7" s="151"/>
      <c r="W7" s="151"/>
      <c r="X7" s="151"/>
      <c r="Y7" s="151"/>
      <c r="Z7" s="151"/>
    </row>
    <row r="8" spans="1:26" ht="37.5" customHeight="1" x14ac:dyDescent="0.25">
      <c r="A8" s="172">
        <f t="shared" si="0"/>
        <v>2</v>
      </c>
      <c r="B8" s="117" t="s">
        <v>103</v>
      </c>
      <c r="C8" s="117" t="s">
        <v>161</v>
      </c>
      <c r="D8" s="37" t="s">
        <v>162</v>
      </c>
      <c r="E8" s="38" t="s">
        <v>163</v>
      </c>
      <c r="F8" s="183"/>
      <c r="G8" s="175">
        <v>13333333</v>
      </c>
      <c r="H8" s="197">
        <f t="shared" si="1"/>
        <v>1333333.3</v>
      </c>
      <c r="I8" s="175">
        <v>12000000</v>
      </c>
      <c r="J8" s="198"/>
      <c r="K8" s="151"/>
      <c r="L8" s="151"/>
      <c r="M8" s="151"/>
      <c r="N8" s="151"/>
      <c r="O8" s="151"/>
      <c r="P8" s="151"/>
      <c r="Q8" s="151"/>
      <c r="R8" s="151"/>
      <c r="S8" s="151"/>
      <c r="T8" s="151"/>
      <c r="U8" s="151"/>
      <c r="V8" s="151"/>
      <c r="W8" s="151"/>
      <c r="X8" s="151"/>
      <c r="Y8" s="151"/>
      <c r="Z8" s="151"/>
    </row>
    <row r="9" spans="1:26" ht="30" customHeight="1" x14ac:dyDescent="0.25">
      <c r="A9" s="642" t="s">
        <v>51</v>
      </c>
      <c r="B9" s="515"/>
      <c r="C9" s="515"/>
      <c r="D9" s="515"/>
      <c r="E9" s="516"/>
      <c r="F9" s="2"/>
      <c r="G9" s="199">
        <f t="shared" ref="G9:I9" si="2">SUM(G7)</f>
        <v>3333333.333333333</v>
      </c>
      <c r="H9" s="199">
        <f t="shared" si="2"/>
        <v>333333.33333333331</v>
      </c>
      <c r="I9" s="199">
        <f t="shared" si="2"/>
        <v>3000000</v>
      </c>
      <c r="J9" s="196"/>
      <c r="K9" s="140"/>
      <c r="L9" s="140"/>
      <c r="M9" s="140"/>
      <c r="N9" s="140"/>
      <c r="O9" s="140"/>
      <c r="P9" s="140"/>
      <c r="Q9" s="140"/>
      <c r="R9" s="140"/>
      <c r="S9" s="140"/>
      <c r="T9" s="140"/>
      <c r="U9" s="140"/>
      <c r="V9" s="140"/>
      <c r="W9" s="140"/>
      <c r="X9" s="140"/>
      <c r="Y9" s="140"/>
      <c r="Z9" s="140"/>
    </row>
    <row r="10" spans="1:26" ht="15.75" customHeight="1" x14ac:dyDescent="0.3">
      <c r="A10" s="40"/>
      <c r="B10" s="40"/>
      <c r="C10" s="40"/>
      <c r="D10" s="40"/>
      <c r="E10" s="40"/>
      <c r="F10" s="39"/>
      <c r="G10" s="162"/>
      <c r="H10" s="162"/>
      <c r="I10" s="184"/>
      <c r="J10" s="184"/>
      <c r="K10" s="184"/>
      <c r="L10" s="184"/>
      <c r="M10" s="184"/>
      <c r="N10" s="185"/>
      <c r="O10" s="186"/>
      <c r="P10" s="187" t="e">
        <f>+#REF!/Q10</f>
        <v>#REF!</v>
      </c>
      <c r="Q10" s="188">
        <v>2500000000</v>
      </c>
      <c r="R10" s="188"/>
      <c r="S10" s="140"/>
      <c r="T10" s="196"/>
      <c r="U10" s="140"/>
      <c r="V10" s="140"/>
      <c r="W10" s="140"/>
      <c r="X10" s="140"/>
      <c r="Y10" s="140"/>
      <c r="Z10" s="140"/>
    </row>
    <row r="11" spans="1:26" ht="15.75" customHeight="1" x14ac:dyDescent="0.3">
      <c r="A11" s="40"/>
      <c r="B11" s="40"/>
      <c r="C11" s="40"/>
      <c r="D11" s="40"/>
      <c r="E11" s="40"/>
      <c r="F11" s="39"/>
      <c r="G11" s="162"/>
      <c r="H11" s="162"/>
      <c r="I11" s="184"/>
      <c r="J11" s="184"/>
      <c r="K11" s="184"/>
      <c r="L11" s="184"/>
      <c r="M11" s="184"/>
      <c r="N11" s="189"/>
      <c r="O11" s="40"/>
      <c r="P11" s="40"/>
      <c r="Q11" s="184"/>
      <c r="R11" s="184"/>
      <c r="S11" s="140"/>
      <c r="T11" s="196"/>
      <c r="U11" s="140"/>
      <c r="V11" s="140"/>
      <c r="W11" s="140"/>
      <c r="X11" s="140"/>
      <c r="Y11" s="140"/>
      <c r="Z11" s="140"/>
    </row>
    <row r="12" spans="1:26" ht="15.75" customHeight="1" x14ac:dyDescent="0.3">
      <c r="A12" s="191"/>
      <c r="B12" s="192"/>
      <c r="C12" s="192"/>
      <c r="D12" s="192"/>
      <c r="E12" s="192"/>
      <c r="F12" s="192"/>
      <c r="G12" s="614" t="s">
        <v>164</v>
      </c>
      <c r="H12" s="507"/>
      <c r="I12" s="507"/>
      <c r="J12" s="507"/>
      <c r="K12" s="185"/>
      <c r="L12" s="185"/>
      <c r="M12" s="615"/>
      <c r="N12" s="507"/>
      <c r="O12" s="507"/>
      <c r="P12" s="507"/>
      <c r="Q12" s="193"/>
      <c r="R12" s="193"/>
      <c r="S12" s="140"/>
      <c r="T12" s="196"/>
      <c r="U12" s="140"/>
      <c r="V12" s="140"/>
      <c r="W12" s="140"/>
      <c r="X12" s="140"/>
      <c r="Y12" s="140"/>
      <c r="Z12" s="140"/>
    </row>
    <row r="13" spans="1:26" ht="15.75" customHeight="1" x14ac:dyDescent="0.3">
      <c r="A13" s="619"/>
      <c r="B13" s="507"/>
      <c r="C13" s="616"/>
      <c r="D13" s="507"/>
      <c r="E13" s="507"/>
      <c r="F13" s="140"/>
      <c r="G13" s="617" t="s">
        <v>38</v>
      </c>
      <c r="H13" s="507"/>
      <c r="I13" s="507"/>
      <c r="J13" s="507"/>
      <c r="K13" s="194"/>
      <c r="L13" s="194"/>
      <c r="M13" s="184"/>
      <c r="N13" s="189"/>
      <c r="O13" s="40"/>
      <c r="P13" s="40"/>
      <c r="Q13" s="184"/>
      <c r="R13" s="184"/>
      <c r="S13" s="140"/>
      <c r="T13" s="196"/>
      <c r="U13" s="140"/>
      <c r="V13" s="140"/>
      <c r="W13" s="140"/>
      <c r="X13" s="140"/>
      <c r="Y13" s="140"/>
      <c r="Z13" s="140"/>
    </row>
    <row r="14" spans="1:26" ht="15.75" customHeight="1" x14ac:dyDescent="0.3">
      <c r="A14" s="619"/>
      <c r="B14" s="507"/>
      <c r="C14" s="192"/>
      <c r="D14" s="192"/>
      <c r="E14" s="200">
        <f>G8*90%</f>
        <v>11999999.700000001</v>
      </c>
      <c r="F14" s="192"/>
      <c r="G14" s="185"/>
      <c r="H14" s="185"/>
      <c r="I14" s="185"/>
      <c r="J14" s="185"/>
      <c r="K14" s="185"/>
      <c r="L14" s="185"/>
      <c r="M14" s="184"/>
      <c r="N14" s="189"/>
      <c r="O14" s="40"/>
      <c r="P14" s="40"/>
      <c r="Q14" s="184"/>
      <c r="R14" s="184"/>
      <c r="S14" s="140"/>
      <c r="T14" s="196"/>
      <c r="U14" s="140"/>
      <c r="V14" s="140"/>
      <c r="W14" s="140"/>
      <c r="X14" s="140"/>
      <c r="Y14" s="140"/>
      <c r="Z14" s="140"/>
    </row>
    <row r="15" spans="1:26" ht="15.75" customHeight="1" x14ac:dyDescent="0.3">
      <c r="A15" s="619"/>
      <c r="B15" s="507"/>
      <c r="C15" s="192"/>
      <c r="D15" s="192"/>
      <c r="E15" s="192"/>
      <c r="F15" s="192"/>
      <c r="G15" s="185"/>
      <c r="H15" s="185"/>
      <c r="I15" s="185"/>
      <c r="J15" s="185"/>
      <c r="K15" s="185"/>
      <c r="L15" s="185"/>
      <c r="M15" s="184"/>
      <c r="N15" s="189"/>
      <c r="O15" s="40"/>
      <c r="P15" s="40"/>
      <c r="Q15" s="184"/>
      <c r="R15" s="184"/>
      <c r="S15" s="140"/>
      <c r="T15" s="196"/>
      <c r="U15" s="140"/>
      <c r="V15" s="140"/>
      <c r="W15" s="140"/>
      <c r="X15" s="140"/>
      <c r="Y15" s="140"/>
      <c r="Z15" s="140"/>
    </row>
    <row r="16" spans="1:26" ht="15.75" customHeight="1" x14ac:dyDescent="0.3">
      <c r="A16" s="619"/>
      <c r="B16" s="507"/>
      <c r="C16" s="192"/>
      <c r="D16" s="192"/>
      <c r="E16" s="192"/>
      <c r="F16" s="192"/>
      <c r="G16" s="185"/>
      <c r="H16" s="185"/>
      <c r="I16" s="185"/>
      <c r="J16" s="185"/>
      <c r="K16" s="185"/>
      <c r="L16" s="185"/>
      <c r="M16" s="184"/>
      <c r="N16" s="189"/>
      <c r="O16" s="40"/>
      <c r="P16" s="40"/>
      <c r="Q16" s="184"/>
      <c r="R16" s="184"/>
      <c r="S16" s="140"/>
      <c r="T16" s="196"/>
      <c r="U16" s="140"/>
      <c r="V16" s="140"/>
      <c r="W16" s="140"/>
      <c r="X16" s="140"/>
      <c r="Y16" s="140"/>
      <c r="Z16" s="140"/>
    </row>
    <row r="17" spans="1:26" ht="15.75" customHeight="1" x14ac:dyDescent="0.3">
      <c r="A17" s="192"/>
      <c r="B17" s="192"/>
      <c r="C17" s="192"/>
      <c r="D17" s="192"/>
      <c r="E17" s="192"/>
      <c r="F17" s="192"/>
      <c r="G17" s="185"/>
      <c r="H17" s="185"/>
      <c r="I17" s="185"/>
      <c r="J17" s="185"/>
      <c r="K17" s="185"/>
      <c r="L17" s="185"/>
      <c r="M17" s="184"/>
      <c r="N17" s="189"/>
      <c r="O17" s="40"/>
      <c r="P17" s="40"/>
      <c r="Q17" s="184"/>
      <c r="R17" s="184"/>
      <c r="S17" s="140"/>
      <c r="T17" s="196"/>
      <c r="U17" s="140"/>
      <c r="V17" s="140"/>
      <c r="W17" s="140"/>
      <c r="X17" s="140"/>
      <c r="Y17" s="140"/>
      <c r="Z17" s="140"/>
    </row>
    <row r="18" spans="1:26" ht="15.75" customHeight="1" x14ac:dyDescent="0.3">
      <c r="A18" s="140"/>
      <c r="B18" s="192"/>
      <c r="C18" s="616"/>
      <c r="D18" s="507"/>
      <c r="E18" s="507"/>
      <c r="F18" s="140"/>
      <c r="G18" s="617" t="s">
        <v>39</v>
      </c>
      <c r="H18" s="507"/>
      <c r="I18" s="507"/>
      <c r="J18" s="507"/>
      <c r="K18" s="185"/>
      <c r="L18" s="185"/>
      <c r="M18" s="184"/>
      <c r="N18" s="189"/>
      <c r="O18" s="40"/>
      <c r="P18" s="40"/>
      <c r="Q18" s="184"/>
      <c r="R18" s="184"/>
      <c r="S18" s="140"/>
      <c r="T18" s="196"/>
      <c r="U18" s="140"/>
      <c r="V18" s="140"/>
      <c r="W18" s="140"/>
      <c r="X18" s="140"/>
      <c r="Y18" s="140"/>
      <c r="Z18" s="140"/>
    </row>
    <row r="19" spans="1:26" ht="15.75" customHeight="1" x14ac:dyDescent="0.3">
      <c r="A19" s="47"/>
      <c r="B19" s="618"/>
      <c r="C19" s="507"/>
      <c r="D19" s="140"/>
      <c r="E19" s="618"/>
      <c r="F19" s="507"/>
      <c r="G19" s="507"/>
      <c r="H19" s="195"/>
      <c r="I19" s="193"/>
      <c r="J19" s="193"/>
      <c r="K19" s="193"/>
      <c r="L19" s="193"/>
      <c r="M19" s="615"/>
      <c r="N19" s="507"/>
      <c r="O19" s="507"/>
      <c r="P19" s="507"/>
      <c r="Q19" s="193"/>
      <c r="R19" s="193"/>
      <c r="S19" s="140"/>
      <c r="T19" s="196"/>
      <c r="U19" s="140"/>
      <c r="V19" s="140"/>
      <c r="W19" s="140"/>
      <c r="X19" s="140"/>
      <c r="Y19" s="140"/>
      <c r="Z19" s="140"/>
    </row>
    <row r="20" spans="1:26" ht="13.2" x14ac:dyDescent="0.25">
      <c r="A20" s="140"/>
      <c r="B20" s="140"/>
      <c r="C20" s="140"/>
      <c r="D20" s="140"/>
      <c r="E20" s="140"/>
      <c r="F20" s="140"/>
      <c r="G20" s="140"/>
      <c r="H20" s="140"/>
      <c r="I20" s="140"/>
      <c r="J20" s="140"/>
      <c r="K20" s="140"/>
      <c r="L20" s="140"/>
      <c r="M20" s="140"/>
      <c r="N20" s="140"/>
      <c r="O20" s="140"/>
      <c r="P20" s="140"/>
      <c r="Q20" s="140"/>
      <c r="R20" s="140"/>
      <c r="S20" s="140"/>
      <c r="T20" s="196"/>
      <c r="U20" s="140"/>
      <c r="V20" s="140"/>
      <c r="W20" s="140"/>
      <c r="X20" s="140"/>
      <c r="Y20" s="140"/>
      <c r="Z20" s="140"/>
    </row>
    <row r="21" spans="1:26" ht="15.75" customHeight="1" x14ac:dyDescent="0.25">
      <c r="A21" s="140"/>
      <c r="B21" s="140"/>
      <c r="C21" s="140"/>
      <c r="D21" s="140"/>
      <c r="E21" s="140"/>
      <c r="F21" s="140"/>
      <c r="G21" s="140"/>
      <c r="H21" s="140"/>
      <c r="I21" s="140"/>
      <c r="J21" s="140"/>
      <c r="K21" s="140"/>
      <c r="L21" s="140"/>
      <c r="M21" s="140"/>
      <c r="N21" s="140"/>
      <c r="O21" s="140"/>
      <c r="P21" s="140"/>
      <c r="Q21" s="140"/>
      <c r="R21" s="140"/>
      <c r="S21" s="140"/>
      <c r="T21" s="196"/>
      <c r="U21" s="140"/>
      <c r="V21" s="140"/>
      <c r="W21" s="140"/>
      <c r="X21" s="140"/>
      <c r="Y21" s="140"/>
      <c r="Z21" s="140"/>
    </row>
    <row r="22" spans="1:26" ht="15.75" customHeight="1" x14ac:dyDescent="0.25">
      <c r="A22" s="140"/>
      <c r="B22" s="140"/>
      <c r="C22" s="140"/>
      <c r="D22" s="140"/>
      <c r="E22" s="140"/>
      <c r="F22" s="140"/>
      <c r="G22" s="140"/>
      <c r="H22" s="140"/>
      <c r="I22" s="140"/>
      <c r="J22" s="140"/>
      <c r="K22" s="140"/>
      <c r="L22" s="140"/>
      <c r="M22" s="140"/>
      <c r="N22" s="140"/>
      <c r="O22" s="140"/>
      <c r="P22" s="140"/>
      <c r="Q22" s="140"/>
      <c r="R22" s="140"/>
      <c r="S22" s="140"/>
      <c r="T22" s="196"/>
      <c r="U22" s="140"/>
      <c r="V22" s="140"/>
      <c r="W22" s="140"/>
      <c r="X22" s="140"/>
      <c r="Y22" s="140"/>
      <c r="Z22" s="140"/>
    </row>
    <row r="23" spans="1:26" ht="15.75" customHeight="1" x14ac:dyDescent="0.25">
      <c r="A23" s="140"/>
      <c r="B23" s="140"/>
      <c r="C23" s="140"/>
      <c r="D23" s="140"/>
      <c r="E23" s="140"/>
      <c r="F23" s="140"/>
      <c r="G23" s="140"/>
      <c r="H23" s="140"/>
      <c r="I23" s="140"/>
      <c r="J23" s="140"/>
      <c r="K23" s="140"/>
      <c r="L23" s="140"/>
      <c r="M23" s="140"/>
      <c r="N23" s="140"/>
      <c r="O23" s="140"/>
      <c r="P23" s="140"/>
      <c r="Q23" s="140"/>
      <c r="R23" s="140"/>
      <c r="S23" s="140"/>
      <c r="T23" s="196"/>
      <c r="U23" s="140"/>
      <c r="V23" s="140"/>
      <c r="W23" s="140"/>
      <c r="X23" s="140"/>
      <c r="Y23" s="140"/>
      <c r="Z23" s="140"/>
    </row>
    <row r="24" spans="1:26" ht="15.75" customHeight="1" x14ac:dyDescent="0.25">
      <c r="A24" s="140"/>
      <c r="B24" s="140"/>
      <c r="C24" s="140"/>
      <c r="D24" s="140"/>
      <c r="E24" s="140"/>
      <c r="F24" s="140"/>
      <c r="G24" s="140"/>
      <c r="H24" s="140"/>
      <c r="I24" s="140"/>
      <c r="J24" s="140"/>
      <c r="K24" s="140"/>
      <c r="L24" s="140"/>
      <c r="M24" s="140"/>
      <c r="N24" s="140"/>
      <c r="O24" s="140"/>
      <c r="P24" s="140"/>
      <c r="Q24" s="140"/>
      <c r="R24" s="140"/>
      <c r="S24" s="140"/>
      <c r="T24" s="196"/>
      <c r="U24" s="140"/>
      <c r="V24" s="140"/>
      <c r="W24" s="140"/>
      <c r="X24" s="140"/>
      <c r="Y24" s="140"/>
      <c r="Z24" s="140"/>
    </row>
    <row r="25" spans="1:26" ht="15.75" customHeight="1" x14ac:dyDescent="0.25">
      <c r="A25" s="140"/>
      <c r="B25" s="140"/>
      <c r="C25" s="140"/>
      <c r="D25" s="140"/>
      <c r="E25" s="140"/>
      <c r="F25" s="140"/>
      <c r="G25" s="140"/>
      <c r="H25" s="140"/>
      <c r="I25" s="140"/>
      <c r="J25" s="140"/>
      <c r="K25" s="140"/>
      <c r="L25" s="140"/>
      <c r="M25" s="140"/>
      <c r="N25" s="140"/>
      <c r="O25" s="140"/>
      <c r="P25" s="140"/>
      <c r="Q25" s="140"/>
      <c r="R25" s="140"/>
      <c r="S25" s="140"/>
      <c r="T25" s="196"/>
      <c r="U25" s="140"/>
      <c r="V25" s="140"/>
      <c r="W25" s="140"/>
      <c r="X25" s="140"/>
      <c r="Y25" s="140"/>
      <c r="Z25" s="140"/>
    </row>
    <row r="26" spans="1:26" ht="15.75" customHeight="1" x14ac:dyDescent="0.25">
      <c r="A26" s="140"/>
      <c r="B26" s="140"/>
      <c r="C26" s="140"/>
      <c r="D26" s="140"/>
      <c r="E26" s="140"/>
      <c r="F26" s="140"/>
      <c r="G26" s="140"/>
      <c r="H26" s="140"/>
      <c r="I26" s="140"/>
      <c r="J26" s="140"/>
      <c r="K26" s="140"/>
      <c r="L26" s="140"/>
      <c r="M26" s="140"/>
      <c r="N26" s="140"/>
      <c r="O26" s="140"/>
      <c r="P26" s="140"/>
      <c r="Q26" s="140"/>
      <c r="R26" s="140"/>
      <c r="S26" s="140"/>
      <c r="T26" s="196"/>
      <c r="U26" s="140"/>
      <c r="V26" s="140"/>
      <c r="W26" s="140"/>
      <c r="X26" s="140"/>
      <c r="Y26" s="140"/>
      <c r="Z26" s="140"/>
    </row>
    <row r="27" spans="1:26" ht="15.75" customHeight="1" x14ac:dyDescent="0.25">
      <c r="A27" s="140"/>
      <c r="B27" s="140"/>
      <c r="C27" s="140"/>
      <c r="D27" s="140"/>
      <c r="E27" s="140"/>
      <c r="F27" s="140"/>
      <c r="G27" s="140"/>
      <c r="H27" s="140"/>
      <c r="I27" s="140"/>
      <c r="J27" s="140"/>
      <c r="K27" s="140"/>
      <c r="L27" s="140"/>
      <c r="M27" s="140"/>
      <c r="N27" s="140"/>
      <c r="O27" s="140"/>
      <c r="P27" s="140"/>
      <c r="Q27" s="140"/>
      <c r="R27" s="140"/>
      <c r="S27" s="140"/>
      <c r="T27" s="196"/>
      <c r="U27" s="140"/>
      <c r="V27" s="140"/>
      <c r="W27" s="140"/>
      <c r="X27" s="140"/>
      <c r="Y27" s="140"/>
      <c r="Z27" s="140"/>
    </row>
    <row r="28" spans="1:26" ht="15.75" customHeight="1" x14ac:dyDescent="0.25">
      <c r="A28" s="140"/>
      <c r="B28" s="140"/>
      <c r="C28" s="140"/>
      <c r="D28" s="140"/>
      <c r="E28" s="140"/>
      <c r="F28" s="140"/>
      <c r="G28" s="140"/>
      <c r="H28" s="140"/>
      <c r="I28" s="140"/>
      <c r="J28" s="140"/>
      <c r="K28" s="140"/>
      <c r="L28" s="140"/>
      <c r="M28" s="140"/>
      <c r="N28" s="140"/>
      <c r="O28" s="140"/>
      <c r="P28" s="140"/>
      <c r="Q28" s="140"/>
      <c r="R28" s="140"/>
      <c r="S28" s="140"/>
      <c r="T28" s="196"/>
      <c r="U28" s="140"/>
      <c r="V28" s="140"/>
      <c r="W28" s="140"/>
      <c r="X28" s="140"/>
      <c r="Y28" s="140"/>
      <c r="Z28" s="140"/>
    </row>
    <row r="29" spans="1:26" ht="15.75" customHeight="1" x14ac:dyDescent="0.25">
      <c r="A29" s="140"/>
      <c r="B29" s="140"/>
      <c r="C29" s="140"/>
      <c r="D29" s="140"/>
      <c r="E29" s="140"/>
      <c r="F29" s="140"/>
      <c r="G29" s="140"/>
      <c r="H29" s="140"/>
      <c r="I29" s="140"/>
      <c r="J29" s="140"/>
      <c r="K29" s="140"/>
      <c r="L29" s="140"/>
      <c r="M29" s="140"/>
      <c r="N29" s="140"/>
      <c r="O29" s="140"/>
      <c r="P29" s="140"/>
      <c r="Q29" s="140"/>
      <c r="R29" s="140"/>
      <c r="S29" s="140"/>
      <c r="T29" s="196"/>
      <c r="U29" s="140"/>
      <c r="V29" s="140"/>
      <c r="W29" s="140"/>
      <c r="X29" s="140"/>
      <c r="Y29" s="140"/>
      <c r="Z29" s="140"/>
    </row>
    <row r="30" spans="1:26" ht="15.75" customHeight="1" x14ac:dyDescent="0.25">
      <c r="A30" s="140"/>
      <c r="B30" s="140"/>
      <c r="C30" s="140"/>
      <c r="D30" s="140"/>
      <c r="E30" s="140"/>
      <c r="F30" s="140"/>
      <c r="G30" s="140"/>
      <c r="H30" s="140"/>
      <c r="I30" s="140"/>
      <c r="J30" s="140"/>
      <c r="K30" s="140"/>
      <c r="L30" s="140"/>
      <c r="M30" s="140"/>
      <c r="N30" s="140"/>
      <c r="O30" s="140"/>
      <c r="P30" s="140"/>
      <c r="Q30" s="140"/>
      <c r="R30" s="140"/>
      <c r="S30" s="140"/>
      <c r="T30" s="196"/>
      <c r="U30" s="140"/>
      <c r="V30" s="140"/>
      <c r="W30" s="140"/>
      <c r="X30" s="140"/>
      <c r="Y30" s="140"/>
      <c r="Z30" s="140"/>
    </row>
    <row r="31" spans="1:26" ht="15.75" customHeight="1" x14ac:dyDescent="0.25">
      <c r="A31" s="140"/>
      <c r="B31" s="140"/>
      <c r="C31" s="140"/>
      <c r="D31" s="140"/>
      <c r="E31" s="140"/>
      <c r="F31" s="140"/>
      <c r="G31" s="140"/>
      <c r="H31" s="140"/>
      <c r="I31" s="140"/>
      <c r="J31" s="140"/>
      <c r="K31" s="140"/>
      <c r="L31" s="140"/>
      <c r="M31" s="140"/>
      <c r="N31" s="140"/>
      <c r="O31" s="140"/>
      <c r="P31" s="140"/>
      <c r="Q31" s="140"/>
      <c r="R31" s="140"/>
      <c r="S31" s="140"/>
      <c r="T31" s="196"/>
      <c r="U31" s="140"/>
      <c r="V31" s="140"/>
      <c r="W31" s="140"/>
      <c r="X31" s="140"/>
      <c r="Y31" s="140"/>
      <c r="Z31" s="140"/>
    </row>
    <row r="32" spans="1:26" ht="15.75" customHeight="1" x14ac:dyDescent="0.25">
      <c r="A32" s="140"/>
      <c r="B32" s="140"/>
      <c r="C32" s="140"/>
      <c r="D32" s="140"/>
      <c r="E32" s="140"/>
      <c r="F32" s="140"/>
      <c r="G32" s="140"/>
      <c r="H32" s="140"/>
      <c r="I32" s="140"/>
      <c r="J32" s="140"/>
      <c r="K32" s="140"/>
      <c r="L32" s="140"/>
      <c r="M32" s="140"/>
      <c r="N32" s="140"/>
      <c r="O32" s="140"/>
      <c r="P32" s="140"/>
      <c r="Q32" s="140"/>
      <c r="R32" s="140"/>
      <c r="S32" s="140"/>
      <c r="T32" s="196"/>
      <c r="U32" s="140"/>
      <c r="V32" s="140"/>
      <c r="W32" s="140"/>
      <c r="X32" s="140"/>
      <c r="Y32" s="140"/>
      <c r="Z32" s="140"/>
    </row>
    <row r="33" spans="1:26" ht="15.75" customHeight="1" x14ac:dyDescent="0.25">
      <c r="A33" s="140"/>
      <c r="B33" s="140"/>
      <c r="C33" s="140"/>
      <c r="D33" s="140"/>
      <c r="E33" s="140"/>
      <c r="F33" s="140"/>
      <c r="G33" s="140"/>
      <c r="H33" s="140"/>
      <c r="I33" s="140"/>
      <c r="J33" s="140"/>
      <c r="K33" s="140"/>
      <c r="L33" s="140"/>
      <c r="M33" s="140"/>
      <c r="N33" s="140"/>
      <c r="O33" s="140"/>
      <c r="P33" s="140"/>
      <c r="Q33" s="140"/>
      <c r="R33" s="140"/>
      <c r="S33" s="140"/>
      <c r="T33" s="196"/>
      <c r="U33" s="140"/>
      <c r="V33" s="140"/>
      <c r="W33" s="140"/>
      <c r="X33" s="140"/>
      <c r="Y33" s="140"/>
      <c r="Z33" s="140"/>
    </row>
    <row r="34" spans="1:26" ht="15.75" customHeight="1" x14ac:dyDescent="0.25">
      <c r="A34" s="140"/>
      <c r="B34" s="140"/>
      <c r="C34" s="140"/>
      <c r="D34" s="140"/>
      <c r="E34" s="140"/>
      <c r="F34" s="140"/>
      <c r="G34" s="140"/>
      <c r="H34" s="140"/>
      <c r="I34" s="140"/>
      <c r="J34" s="140"/>
      <c r="K34" s="140"/>
      <c r="L34" s="140"/>
      <c r="M34" s="140"/>
      <c r="N34" s="140"/>
      <c r="O34" s="140"/>
      <c r="P34" s="140"/>
      <c r="Q34" s="140"/>
      <c r="R34" s="140"/>
      <c r="S34" s="140"/>
      <c r="T34" s="196"/>
      <c r="U34" s="140"/>
      <c r="V34" s="140"/>
      <c r="W34" s="140"/>
      <c r="X34" s="140"/>
      <c r="Y34" s="140"/>
      <c r="Z34" s="140"/>
    </row>
    <row r="35" spans="1:26" ht="15.75" customHeight="1" x14ac:dyDescent="0.25">
      <c r="A35" s="140"/>
      <c r="B35" s="140"/>
      <c r="C35" s="140"/>
      <c r="D35" s="140"/>
      <c r="E35" s="140"/>
      <c r="F35" s="140"/>
      <c r="G35" s="140"/>
      <c r="H35" s="140"/>
      <c r="I35" s="140"/>
      <c r="J35" s="140"/>
      <c r="K35" s="140"/>
      <c r="L35" s="140"/>
      <c r="M35" s="140"/>
      <c r="N35" s="140"/>
      <c r="O35" s="140"/>
      <c r="P35" s="140"/>
      <c r="Q35" s="140"/>
      <c r="R35" s="140"/>
      <c r="S35" s="140"/>
      <c r="T35" s="196"/>
      <c r="U35" s="140"/>
      <c r="V35" s="140"/>
      <c r="W35" s="140"/>
      <c r="X35" s="140"/>
      <c r="Y35" s="140"/>
      <c r="Z35" s="140"/>
    </row>
    <row r="36" spans="1:26" ht="15.75" customHeight="1" x14ac:dyDescent="0.25">
      <c r="A36" s="140"/>
      <c r="B36" s="140"/>
      <c r="C36" s="140"/>
      <c r="D36" s="140"/>
      <c r="E36" s="140"/>
      <c r="F36" s="140"/>
      <c r="G36" s="140"/>
      <c r="H36" s="140"/>
      <c r="I36" s="140"/>
      <c r="J36" s="140"/>
      <c r="K36" s="140"/>
      <c r="L36" s="140"/>
      <c r="M36" s="140"/>
      <c r="N36" s="140"/>
      <c r="O36" s="140"/>
      <c r="P36" s="140"/>
      <c r="Q36" s="140"/>
      <c r="R36" s="140"/>
      <c r="S36" s="140"/>
      <c r="T36" s="196"/>
      <c r="U36" s="140"/>
      <c r="V36" s="140"/>
      <c r="W36" s="140"/>
      <c r="X36" s="140"/>
      <c r="Y36" s="140"/>
      <c r="Z36" s="140"/>
    </row>
    <row r="37" spans="1:26" ht="15.75" customHeight="1" x14ac:dyDescent="0.25">
      <c r="A37" s="140"/>
      <c r="B37" s="140"/>
      <c r="C37" s="140"/>
      <c r="D37" s="140"/>
      <c r="E37" s="140"/>
      <c r="F37" s="140"/>
      <c r="G37" s="140"/>
      <c r="H37" s="140"/>
      <c r="I37" s="140"/>
      <c r="J37" s="140"/>
      <c r="K37" s="140"/>
      <c r="L37" s="140"/>
      <c r="M37" s="140"/>
      <c r="N37" s="140"/>
      <c r="O37" s="140"/>
      <c r="P37" s="140"/>
      <c r="Q37" s="140"/>
      <c r="R37" s="140"/>
      <c r="S37" s="140"/>
      <c r="T37" s="196"/>
      <c r="U37" s="140"/>
      <c r="V37" s="140"/>
      <c r="W37" s="140"/>
      <c r="X37" s="140"/>
      <c r="Y37" s="140"/>
      <c r="Z37" s="140"/>
    </row>
    <row r="38" spans="1:26" ht="15.75" customHeight="1" x14ac:dyDescent="0.25">
      <c r="A38" s="140"/>
      <c r="B38" s="140"/>
      <c r="C38" s="140"/>
      <c r="D38" s="140"/>
      <c r="E38" s="140"/>
      <c r="F38" s="140"/>
      <c r="G38" s="140"/>
      <c r="H38" s="140"/>
      <c r="I38" s="140"/>
      <c r="J38" s="140"/>
      <c r="K38" s="140"/>
      <c r="L38" s="140"/>
      <c r="M38" s="140"/>
      <c r="N38" s="140"/>
      <c r="O38" s="140"/>
      <c r="P38" s="140"/>
      <c r="Q38" s="140"/>
      <c r="R38" s="140"/>
      <c r="S38" s="140"/>
      <c r="T38" s="196"/>
      <c r="U38" s="140"/>
      <c r="V38" s="140"/>
      <c r="W38" s="140"/>
      <c r="X38" s="140"/>
      <c r="Y38" s="140"/>
      <c r="Z38" s="140"/>
    </row>
    <row r="39" spans="1:26" ht="15.75" customHeight="1" x14ac:dyDescent="0.25">
      <c r="A39" s="140"/>
      <c r="B39" s="140"/>
      <c r="C39" s="140"/>
      <c r="D39" s="140"/>
      <c r="E39" s="140"/>
      <c r="F39" s="140"/>
      <c r="G39" s="140"/>
      <c r="H39" s="140"/>
      <c r="I39" s="140"/>
      <c r="J39" s="140"/>
      <c r="K39" s="140"/>
      <c r="L39" s="140"/>
      <c r="M39" s="140"/>
      <c r="N39" s="140"/>
      <c r="O39" s="140"/>
      <c r="P39" s="140"/>
      <c r="Q39" s="140"/>
      <c r="R39" s="140"/>
      <c r="S39" s="140"/>
      <c r="T39" s="196"/>
      <c r="U39" s="140"/>
      <c r="V39" s="140"/>
      <c r="W39" s="140"/>
      <c r="X39" s="140"/>
      <c r="Y39" s="140"/>
      <c r="Z39" s="140"/>
    </row>
    <row r="40" spans="1:26" ht="15.75" customHeight="1" x14ac:dyDescent="0.25">
      <c r="A40" s="140"/>
      <c r="B40" s="140"/>
      <c r="C40" s="140"/>
      <c r="D40" s="140"/>
      <c r="E40" s="140"/>
      <c r="F40" s="140"/>
      <c r="G40" s="140"/>
      <c r="H40" s="140"/>
      <c r="I40" s="140"/>
      <c r="J40" s="140"/>
      <c r="K40" s="140"/>
      <c r="L40" s="140"/>
      <c r="M40" s="140"/>
      <c r="N40" s="140"/>
      <c r="O40" s="140"/>
      <c r="P40" s="140"/>
      <c r="Q40" s="140"/>
      <c r="R40" s="140"/>
      <c r="S40" s="140"/>
      <c r="T40" s="196"/>
      <c r="U40" s="140"/>
      <c r="V40" s="140"/>
      <c r="W40" s="140"/>
      <c r="X40" s="140"/>
      <c r="Y40" s="140"/>
      <c r="Z40" s="140"/>
    </row>
    <row r="41" spans="1:26" ht="15.75" customHeight="1" x14ac:dyDescent="0.25">
      <c r="A41" s="140"/>
      <c r="B41" s="140"/>
      <c r="C41" s="140"/>
      <c r="D41" s="140"/>
      <c r="E41" s="140"/>
      <c r="F41" s="140"/>
      <c r="G41" s="140"/>
      <c r="H41" s="140"/>
      <c r="I41" s="140"/>
      <c r="J41" s="140"/>
      <c r="K41" s="140"/>
      <c r="L41" s="140"/>
      <c r="M41" s="140"/>
      <c r="N41" s="140"/>
      <c r="O41" s="140"/>
      <c r="P41" s="140"/>
      <c r="Q41" s="140"/>
      <c r="R41" s="140"/>
      <c r="S41" s="140"/>
      <c r="T41" s="196"/>
      <c r="U41" s="140"/>
      <c r="V41" s="140"/>
      <c r="W41" s="140"/>
      <c r="X41" s="140"/>
      <c r="Y41" s="140"/>
      <c r="Z41" s="140"/>
    </row>
    <row r="42" spans="1:26" ht="15.75" customHeight="1" x14ac:dyDescent="0.25">
      <c r="A42" s="140"/>
      <c r="B42" s="140"/>
      <c r="C42" s="140"/>
      <c r="D42" s="140"/>
      <c r="E42" s="140"/>
      <c r="F42" s="140"/>
      <c r="G42" s="140"/>
      <c r="H42" s="140"/>
      <c r="I42" s="140"/>
      <c r="J42" s="140"/>
      <c r="K42" s="140"/>
      <c r="L42" s="140"/>
      <c r="M42" s="140"/>
      <c r="N42" s="140"/>
      <c r="O42" s="140"/>
      <c r="P42" s="140"/>
      <c r="Q42" s="140"/>
      <c r="R42" s="140"/>
      <c r="S42" s="140"/>
      <c r="T42" s="196"/>
      <c r="U42" s="140"/>
      <c r="V42" s="140"/>
      <c r="W42" s="140"/>
      <c r="X42" s="140"/>
      <c r="Y42" s="140"/>
      <c r="Z42" s="140"/>
    </row>
    <row r="43" spans="1:26" ht="15.75" customHeight="1" x14ac:dyDescent="0.25">
      <c r="A43" s="140"/>
      <c r="B43" s="140"/>
      <c r="C43" s="140"/>
      <c r="D43" s="140"/>
      <c r="E43" s="140"/>
      <c r="F43" s="140"/>
      <c r="G43" s="140"/>
      <c r="H43" s="140"/>
      <c r="I43" s="140"/>
      <c r="J43" s="140"/>
      <c r="K43" s="140"/>
      <c r="L43" s="140"/>
      <c r="M43" s="140"/>
      <c r="N43" s="140"/>
      <c r="O43" s="140"/>
      <c r="P43" s="140"/>
      <c r="Q43" s="140"/>
      <c r="R43" s="140"/>
      <c r="S43" s="140"/>
      <c r="T43" s="196"/>
      <c r="U43" s="140"/>
      <c r="V43" s="140"/>
      <c r="W43" s="140"/>
      <c r="X43" s="140"/>
      <c r="Y43" s="140"/>
      <c r="Z43" s="140"/>
    </row>
    <row r="44" spans="1:26" ht="15.75" customHeight="1" x14ac:dyDescent="0.25">
      <c r="A44" s="140"/>
      <c r="B44" s="140"/>
      <c r="C44" s="140"/>
      <c r="D44" s="140"/>
      <c r="E44" s="140"/>
      <c r="F44" s="140"/>
      <c r="G44" s="140"/>
      <c r="H44" s="140"/>
      <c r="I44" s="140"/>
      <c r="J44" s="140"/>
      <c r="K44" s="140"/>
      <c r="L44" s="140"/>
      <c r="M44" s="140"/>
      <c r="N44" s="140"/>
      <c r="O44" s="140"/>
      <c r="P44" s="140"/>
      <c r="Q44" s="140"/>
      <c r="R44" s="140"/>
      <c r="S44" s="140"/>
      <c r="T44" s="196"/>
      <c r="U44" s="140"/>
      <c r="V44" s="140"/>
      <c r="W44" s="140"/>
      <c r="X44" s="140"/>
      <c r="Y44" s="140"/>
      <c r="Z44" s="140"/>
    </row>
    <row r="45" spans="1:26" ht="15.75" customHeight="1" x14ac:dyDescent="0.25">
      <c r="A45" s="140"/>
      <c r="B45" s="140"/>
      <c r="C45" s="140"/>
      <c r="D45" s="140"/>
      <c r="E45" s="140"/>
      <c r="F45" s="140"/>
      <c r="G45" s="140"/>
      <c r="H45" s="140"/>
      <c r="I45" s="140"/>
      <c r="J45" s="140"/>
      <c r="K45" s="140"/>
      <c r="L45" s="140"/>
      <c r="M45" s="140"/>
      <c r="N45" s="140"/>
      <c r="O45" s="140"/>
      <c r="P45" s="140"/>
      <c r="Q45" s="140"/>
      <c r="R45" s="140"/>
      <c r="S45" s="140"/>
      <c r="T45" s="196"/>
      <c r="U45" s="140"/>
      <c r="V45" s="140"/>
      <c r="W45" s="140"/>
      <c r="X45" s="140"/>
      <c r="Y45" s="140"/>
      <c r="Z45" s="140"/>
    </row>
    <row r="46" spans="1:26" ht="15.75" customHeight="1" x14ac:dyDescent="0.25">
      <c r="A46" s="140"/>
      <c r="B46" s="140"/>
      <c r="C46" s="140"/>
      <c r="D46" s="140"/>
      <c r="E46" s="140"/>
      <c r="F46" s="140"/>
      <c r="G46" s="140"/>
      <c r="H46" s="140"/>
      <c r="I46" s="140"/>
      <c r="J46" s="140"/>
      <c r="K46" s="140"/>
      <c r="L46" s="140"/>
      <c r="M46" s="140"/>
      <c r="N46" s="140"/>
      <c r="O46" s="140"/>
      <c r="P46" s="140"/>
      <c r="Q46" s="140"/>
      <c r="R46" s="140"/>
      <c r="S46" s="140"/>
      <c r="T46" s="196"/>
      <c r="U46" s="140"/>
      <c r="V46" s="140"/>
      <c r="W46" s="140"/>
      <c r="X46" s="140"/>
      <c r="Y46" s="140"/>
      <c r="Z46" s="140"/>
    </row>
    <row r="47" spans="1:26" ht="15.75" customHeight="1" x14ac:dyDescent="0.25">
      <c r="A47" s="140"/>
      <c r="B47" s="140"/>
      <c r="C47" s="140"/>
      <c r="D47" s="140"/>
      <c r="E47" s="140"/>
      <c r="F47" s="140"/>
      <c r="G47" s="140"/>
      <c r="H47" s="140"/>
      <c r="I47" s="140"/>
      <c r="J47" s="140"/>
      <c r="K47" s="140"/>
      <c r="L47" s="140"/>
      <c r="M47" s="140"/>
      <c r="N47" s="140"/>
      <c r="O47" s="140"/>
      <c r="P47" s="140"/>
      <c r="Q47" s="140"/>
      <c r="R47" s="140"/>
      <c r="S47" s="140"/>
      <c r="T47" s="196"/>
      <c r="U47" s="140"/>
      <c r="V47" s="140"/>
      <c r="W47" s="140"/>
      <c r="X47" s="140"/>
      <c r="Y47" s="140"/>
      <c r="Z47" s="140"/>
    </row>
    <row r="48" spans="1:26" ht="15.75" customHeight="1" x14ac:dyDescent="0.25">
      <c r="A48" s="140"/>
      <c r="B48" s="140"/>
      <c r="C48" s="140"/>
      <c r="D48" s="140"/>
      <c r="E48" s="140"/>
      <c r="F48" s="140"/>
      <c r="G48" s="140"/>
      <c r="H48" s="140"/>
      <c r="I48" s="140"/>
      <c r="J48" s="140"/>
      <c r="K48" s="140"/>
      <c r="L48" s="140"/>
      <c r="M48" s="140"/>
      <c r="N48" s="140"/>
      <c r="O48" s="140"/>
      <c r="P48" s="140"/>
      <c r="Q48" s="140"/>
      <c r="R48" s="140"/>
      <c r="S48" s="140"/>
      <c r="T48" s="196"/>
      <c r="U48" s="140"/>
      <c r="V48" s="140"/>
      <c r="W48" s="140"/>
      <c r="X48" s="140"/>
      <c r="Y48" s="140"/>
      <c r="Z48" s="140"/>
    </row>
    <row r="49" spans="1:26" ht="15.75" customHeight="1" x14ac:dyDescent="0.25">
      <c r="A49" s="140"/>
      <c r="B49" s="140"/>
      <c r="C49" s="140"/>
      <c r="D49" s="140"/>
      <c r="E49" s="140"/>
      <c r="F49" s="140"/>
      <c r="G49" s="140"/>
      <c r="H49" s="140"/>
      <c r="I49" s="140"/>
      <c r="J49" s="140"/>
      <c r="K49" s="140"/>
      <c r="L49" s="140"/>
      <c r="M49" s="140"/>
      <c r="N49" s="140"/>
      <c r="O49" s="140"/>
      <c r="P49" s="140"/>
      <c r="Q49" s="140"/>
      <c r="R49" s="140"/>
      <c r="S49" s="140"/>
      <c r="T49" s="196"/>
      <c r="U49" s="140"/>
      <c r="V49" s="140"/>
      <c r="W49" s="140"/>
      <c r="X49" s="140"/>
      <c r="Y49" s="140"/>
      <c r="Z49" s="140"/>
    </row>
    <row r="50" spans="1:26" ht="15.75" customHeight="1" x14ac:dyDescent="0.25">
      <c r="A50" s="140"/>
      <c r="B50" s="140"/>
      <c r="C50" s="140"/>
      <c r="D50" s="140"/>
      <c r="E50" s="140"/>
      <c r="F50" s="140"/>
      <c r="G50" s="140"/>
      <c r="H50" s="140"/>
      <c r="I50" s="140"/>
      <c r="J50" s="140"/>
      <c r="K50" s="140"/>
      <c r="L50" s="140"/>
      <c r="M50" s="140"/>
      <c r="N50" s="140"/>
      <c r="O50" s="140"/>
      <c r="P50" s="140"/>
      <c r="Q50" s="140"/>
      <c r="R50" s="140"/>
      <c r="S50" s="140"/>
      <c r="T50" s="196"/>
      <c r="U50" s="140"/>
      <c r="V50" s="140"/>
      <c r="W50" s="140"/>
      <c r="X50" s="140"/>
      <c r="Y50" s="140"/>
      <c r="Z50" s="140"/>
    </row>
    <row r="51" spans="1:26" ht="15.75" customHeight="1" x14ac:dyDescent="0.25">
      <c r="A51" s="140"/>
      <c r="B51" s="140"/>
      <c r="C51" s="140"/>
      <c r="D51" s="140"/>
      <c r="E51" s="140"/>
      <c r="F51" s="140"/>
      <c r="G51" s="140"/>
      <c r="H51" s="140"/>
      <c r="I51" s="140"/>
      <c r="J51" s="140"/>
      <c r="K51" s="140"/>
      <c r="L51" s="140"/>
      <c r="M51" s="140"/>
      <c r="N51" s="140"/>
      <c r="O51" s="140"/>
      <c r="P51" s="140"/>
      <c r="Q51" s="140"/>
      <c r="R51" s="140"/>
      <c r="S51" s="140"/>
      <c r="T51" s="196"/>
      <c r="U51" s="140"/>
      <c r="V51" s="140"/>
      <c r="W51" s="140"/>
      <c r="X51" s="140"/>
      <c r="Y51" s="140"/>
      <c r="Z51" s="140"/>
    </row>
    <row r="52" spans="1:26" ht="15.75" customHeight="1" x14ac:dyDescent="0.25">
      <c r="A52" s="140"/>
      <c r="B52" s="140"/>
      <c r="C52" s="140"/>
      <c r="D52" s="140"/>
      <c r="E52" s="140"/>
      <c r="F52" s="140"/>
      <c r="G52" s="140"/>
      <c r="H52" s="140"/>
      <c r="I52" s="140"/>
      <c r="J52" s="140"/>
      <c r="K52" s="140"/>
      <c r="L52" s="140"/>
      <c r="M52" s="140"/>
      <c r="N52" s="140"/>
      <c r="O52" s="140"/>
      <c r="P52" s="140"/>
      <c r="Q52" s="140"/>
      <c r="R52" s="140"/>
      <c r="S52" s="140"/>
      <c r="T52" s="196"/>
      <c r="U52" s="140"/>
      <c r="V52" s="140"/>
      <c r="W52" s="140"/>
      <c r="X52" s="140"/>
      <c r="Y52" s="140"/>
      <c r="Z52" s="140"/>
    </row>
    <row r="53" spans="1:26" ht="15.75" customHeight="1" x14ac:dyDescent="0.25">
      <c r="A53" s="140"/>
      <c r="B53" s="140"/>
      <c r="C53" s="140"/>
      <c r="D53" s="140"/>
      <c r="E53" s="140"/>
      <c r="F53" s="140"/>
      <c r="G53" s="140"/>
      <c r="H53" s="140"/>
      <c r="I53" s="140"/>
      <c r="J53" s="140"/>
      <c r="K53" s="140"/>
      <c r="L53" s="140"/>
      <c r="M53" s="140"/>
      <c r="N53" s="140"/>
      <c r="O53" s="140"/>
      <c r="P53" s="140"/>
      <c r="Q53" s="140"/>
      <c r="R53" s="140"/>
      <c r="S53" s="140"/>
      <c r="T53" s="196"/>
      <c r="U53" s="140"/>
      <c r="V53" s="140"/>
      <c r="W53" s="140"/>
      <c r="X53" s="140"/>
      <c r="Y53" s="140"/>
      <c r="Z53" s="140"/>
    </row>
    <row r="54" spans="1:26" ht="15.75" customHeight="1" x14ac:dyDescent="0.25">
      <c r="A54" s="140"/>
      <c r="B54" s="140"/>
      <c r="C54" s="140"/>
      <c r="D54" s="140"/>
      <c r="E54" s="140"/>
      <c r="F54" s="140"/>
      <c r="G54" s="140"/>
      <c r="H54" s="140"/>
      <c r="I54" s="140"/>
      <c r="J54" s="140"/>
      <c r="K54" s="140"/>
      <c r="L54" s="140"/>
      <c r="M54" s="140"/>
      <c r="N54" s="140"/>
      <c r="O54" s="140"/>
      <c r="P54" s="140"/>
      <c r="Q54" s="140"/>
      <c r="R54" s="140"/>
      <c r="S54" s="140"/>
      <c r="T54" s="196"/>
      <c r="U54" s="140"/>
      <c r="V54" s="140"/>
      <c r="W54" s="140"/>
      <c r="X54" s="140"/>
      <c r="Y54" s="140"/>
      <c r="Z54" s="140"/>
    </row>
    <row r="55" spans="1:26" ht="15.75" customHeight="1" x14ac:dyDescent="0.25">
      <c r="A55" s="140"/>
      <c r="B55" s="140"/>
      <c r="C55" s="140"/>
      <c r="D55" s="140"/>
      <c r="E55" s="140"/>
      <c r="F55" s="140"/>
      <c r="G55" s="140"/>
      <c r="H55" s="140"/>
      <c r="I55" s="140"/>
      <c r="J55" s="140"/>
      <c r="K55" s="140"/>
      <c r="L55" s="140"/>
      <c r="M55" s="140"/>
      <c r="N55" s="140"/>
      <c r="O55" s="140"/>
      <c r="P55" s="140"/>
      <c r="Q55" s="140"/>
      <c r="R55" s="140"/>
      <c r="S55" s="140"/>
      <c r="T55" s="196"/>
      <c r="U55" s="140"/>
      <c r="V55" s="140"/>
      <c r="W55" s="140"/>
      <c r="X55" s="140"/>
      <c r="Y55" s="140"/>
      <c r="Z55" s="140"/>
    </row>
    <row r="56" spans="1:26" ht="15.75" customHeight="1" x14ac:dyDescent="0.25">
      <c r="A56" s="140"/>
      <c r="B56" s="140"/>
      <c r="C56" s="140"/>
      <c r="D56" s="140"/>
      <c r="E56" s="140"/>
      <c r="F56" s="140"/>
      <c r="G56" s="140"/>
      <c r="H56" s="140"/>
      <c r="I56" s="140"/>
      <c r="J56" s="140"/>
      <c r="K56" s="140"/>
      <c r="L56" s="140"/>
      <c r="M56" s="140"/>
      <c r="N56" s="140"/>
      <c r="O56" s="140"/>
      <c r="P56" s="140"/>
      <c r="Q56" s="140"/>
      <c r="R56" s="140"/>
      <c r="S56" s="140"/>
      <c r="T56" s="196"/>
      <c r="U56" s="140"/>
      <c r="V56" s="140"/>
      <c r="W56" s="140"/>
      <c r="X56" s="140"/>
      <c r="Y56" s="140"/>
      <c r="Z56" s="140"/>
    </row>
    <row r="57" spans="1:26" ht="15.75" customHeight="1" x14ac:dyDescent="0.25">
      <c r="A57" s="140"/>
      <c r="B57" s="140"/>
      <c r="C57" s="140"/>
      <c r="D57" s="140"/>
      <c r="E57" s="140"/>
      <c r="F57" s="140"/>
      <c r="G57" s="140"/>
      <c r="H57" s="140"/>
      <c r="I57" s="140"/>
      <c r="J57" s="140"/>
      <c r="K57" s="140"/>
      <c r="L57" s="140"/>
      <c r="M57" s="140"/>
      <c r="N57" s="140"/>
      <c r="O57" s="140"/>
      <c r="P57" s="140"/>
      <c r="Q57" s="140"/>
      <c r="R57" s="140"/>
      <c r="S57" s="140"/>
      <c r="T57" s="196"/>
      <c r="U57" s="140"/>
      <c r="V57" s="140"/>
      <c r="W57" s="140"/>
      <c r="X57" s="140"/>
      <c r="Y57" s="140"/>
      <c r="Z57" s="140"/>
    </row>
    <row r="58" spans="1:26" ht="15.75" customHeight="1" x14ac:dyDescent="0.25">
      <c r="A58" s="140"/>
      <c r="B58" s="140"/>
      <c r="C58" s="140"/>
      <c r="D58" s="140"/>
      <c r="E58" s="140"/>
      <c r="F58" s="140"/>
      <c r="G58" s="140"/>
      <c r="H58" s="140"/>
      <c r="I58" s="140"/>
      <c r="J58" s="140"/>
      <c r="K58" s="140"/>
      <c r="L58" s="140"/>
      <c r="M58" s="140"/>
      <c r="N58" s="140"/>
      <c r="O58" s="140"/>
      <c r="P58" s="140"/>
      <c r="Q58" s="140"/>
      <c r="R58" s="140"/>
      <c r="S58" s="140"/>
      <c r="T58" s="196"/>
      <c r="U58" s="140"/>
      <c r="V58" s="140"/>
      <c r="W58" s="140"/>
      <c r="X58" s="140"/>
      <c r="Y58" s="140"/>
      <c r="Z58" s="140"/>
    </row>
    <row r="59" spans="1:26" ht="15.75" customHeight="1" x14ac:dyDescent="0.25">
      <c r="A59" s="140"/>
      <c r="B59" s="140"/>
      <c r="C59" s="140"/>
      <c r="D59" s="140"/>
      <c r="E59" s="140"/>
      <c r="F59" s="140"/>
      <c r="G59" s="140"/>
      <c r="H59" s="140"/>
      <c r="I59" s="140"/>
      <c r="J59" s="140"/>
      <c r="K59" s="140"/>
      <c r="L59" s="140"/>
      <c r="M59" s="140"/>
      <c r="N59" s="140"/>
      <c r="O59" s="140"/>
      <c r="P59" s="140"/>
      <c r="Q59" s="140"/>
      <c r="R59" s="140"/>
      <c r="S59" s="140"/>
      <c r="T59" s="196"/>
      <c r="U59" s="140"/>
      <c r="V59" s="140"/>
      <c r="W59" s="140"/>
      <c r="X59" s="140"/>
      <c r="Y59" s="140"/>
      <c r="Z59" s="140"/>
    </row>
    <row r="60" spans="1:26" ht="15.75" customHeight="1" x14ac:dyDescent="0.25">
      <c r="A60" s="140"/>
      <c r="B60" s="140"/>
      <c r="C60" s="140"/>
      <c r="D60" s="140"/>
      <c r="E60" s="140"/>
      <c r="F60" s="140"/>
      <c r="G60" s="140"/>
      <c r="H60" s="140"/>
      <c r="I60" s="140"/>
      <c r="J60" s="140"/>
      <c r="K60" s="140"/>
      <c r="L60" s="140"/>
      <c r="M60" s="140"/>
      <c r="N60" s="140"/>
      <c r="O60" s="140"/>
      <c r="P60" s="140"/>
      <c r="Q60" s="140"/>
      <c r="R60" s="140"/>
      <c r="S60" s="140"/>
      <c r="T60" s="196"/>
      <c r="U60" s="140"/>
      <c r="V60" s="140"/>
      <c r="W60" s="140"/>
      <c r="X60" s="140"/>
      <c r="Y60" s="140"/>
      <c r="Z60" s="140"/>
    </row>
    <row r="61" spans="1:26" ht="15.75" customHeight="1" x14ac:dyDescent="0.25">
      <c r="A61" s="140"/>
      <c r="B61" s="140"/>
      <c r="C61" s="140"/>
      <c r="D61" s="140"/>
      <c r="E61" s="140"/>
      <c r="F61" s="140"/>
      <c r="G61" s="140"/>
      <c r="H61" s="140"/>
      <c r="I61" s="140"/>
      <c r="J61" s="140"/>
      <c r="K61" s="140"/>
      <c r="L61" s="140"/>
      <c r="M61" s="140"/>
      <c r="N61" s="140"/>
      <c r="O61" s="140"/>
      <c r="P61" s="140"/>
      <c r="Q61" s="140"/>
      <c r="R61" s="140"/>
      <c r="S61" s="140"/>
      <c r="T61" s="196"/>
      <c r="U61" s="140"/>
      <c r="V61" s="140"/>
      <c r="W61" s="140"/>
      <c r="X61" s="140"/>
      <c r="Y61" s="140"/>
      <c r="Z61" s="140"/>
    </row>
    <row r="62" spans="1:26" ht="15.75" customHeight="1" x14ac:dyDescent="0.25">
      <c r="A62" s="140"/>
      <c r="B62" s="140"/>
      <c r="C62" s="140"/>
      <c r="D62" s="140"/>
      <c r="E62" s="140"/>
      <c r="F62" s="140"/>
      <c r="G62" s="140"/>
      <c r="H62" s="140"/>
      <c r="I62" s="140"/>
      <c r="J62" s="140"/>
      <c r="K62" s="140"/>
      <c r="L62" s="140"/>
      <c r="M62" s="140"/>
      <c r="N62" s="140"/>
      <c r="O62" s="140"/>
      <c r="P62" s="140"/>
      <c r="Q62" s="140"/>
      <c r="R62" s="140"/>
      <c r="S62" s="140"/>
      <c r="T62" s="196"/>
      <c r="U62" s="140"/>
      <c r="V62" s="140"/>
      <c r="W62" s="140"/>
      <c r="X62" s="140"/>
      <c r="Y62" s="140"/>
      <c r="Z62" s="140"/>
    </row>
    <row r="63" spans="1:26" ht="15.75" customHeight="1" x14ac:dyDescent="0.25">
      <c r="A63" s="140"/>
      <c r="B63" s="140"/>
      <c r="C63" s="140"/>
      <c r="D63" s="140"/>
      <c r="E63" s="140"/>
      <c r="F63" s="140"/>
      <c r="G63" s="140"/>
      <c r="H63" s="140"/>
      <c r="I63" s="140"/>
      <c r="J63" s="140"/>
      <c r="K63" s="140"/>
      <c r="L63" s="140"/>
      <c r="M63" s="140"/>
      <c r="N63" s="140"/>
      <c r="O63" s="140"/>
      <c r="P63" s="140"/>
      <c r="Q63" s="140"/>
      <c r="R63" s="140"/>
      <c r="S63" s="140"/>
      <c r="T63" s="196"/>
      <c r="U63" s="140"/>
      <c r="V63" s="140"/>
      <c r="W63" s="140"/>
      <c r="X63" s="140"/>
      <c r="Y63" s="140"/>
      <c r="Z63" s="140"/>
    </row>
    <row r="64" spans="1:26" ht="15.75" customHeight="1" x14ac:dyDescent="0.25">
      <c r="A64" s="140"/>
      <c r="B64" s="140"/>
      <c r="C64" s="140"/>
      <c r="D64" s="140"/>
      <c r="E64" s="140"/>
      <c r="F64" s="140"/>
      <c r="G64" s="140"/>
      <c r="H64" s="140"/>
      <c r="I64" s="140"/>
      <c r="J64" s="140"/>
      <c r="K64" s="140"/>
      <c r="L64" s="140"/>
      <c r="M64" s="140"/>
      <c r="N64" s="140"/>
      <c r="O64" s="140"/>
      <c r="P64" s="140"/>
      <c r="Q64" s="140"/>
      <c r="R64" s="140"/>
      <c r="S64" s="140"/>
      <c r="T64" s="196"/>
      <c r="U64" s="140"/>
      <c r="V64" s="140"/>
      <c r="W64" s="140"/>
      <c r="X64" s="140"/>
      <c r="Y64" s="140"/>
      <c r="Z64" s="140"/>
    </row>
    <row r="65" spans="1:26" ht="15.75" customHeight="1" x14ac:dyDescent="0.25">
      <c r="A65" s="140"/>
      <c r="B65" s="140"/>
      <c r="C65" s="140"/>
      <c r="D65" s="140"/>
      <c r="E65" s="140"/>
      <c r="F65" s="140"/>
      <c r="G65" s="140"/>
      <c r="H65" s="140"/>
      <c r="I65" s="140"/>
      <c r="J65" s="140"/>
      <c r="K65" s="140"/>
      <c r="L65" s="140"/>
      <c r="M65" s="140"/>
      <c r="N65" s="140"/>
      <c r="O65" s="140"/>
      <c r="P65" s="140"/>
      <c r="Q65" s="140"/>
      <c r="R65" s="140"/>
      <c r="S65" s="140"/>
      <c r="T65" s="196"/>
      <c r="U65" s="140"/>
      <c r="V65" s="140"/>
      <c r="W65" s="140"/>
      <c r="X65" s="140"/>
      <c r="Y65" s="140"/>
      <c r="Z65" s="140"/>
    </row>
    <row r="66" spans="1:26" ht="15.75" customHeight="1" x14ac:dyDescent="0.25">
      <c r="A66" s="140"/>
      <c r="B66" s="140"/>
      <c r="C66" s="140"/>
      <c r="D66" s="140"/>
      <c r="E66" s="140"/>
      <c r="F66" s="140"/>
      <c r="G66" s="140"/>
      <c r="H66" s="140"/>
      <c r="I66" s="140"/>
      <c r="J66" s="140"/>
      <c r="K66" s="140"/>
      <c r="L66" s="140"/>
      <c r="M66" s="140"/>
      <c r="N66" s="140"/>
      <c r="O66" s="140"/>
      <c r="P66" s="140"/>
      <c r="Q66" s="140"/>
      <c r="R66" s="140"/>
      <c r="S66" s="140"/>
      <c r="T66" s="196"/>
      <c r="U66" s="140"/>
      <c r="V66" s="140"/>
      <c r="W66" s="140"/>
      <c r="X66" s="140"/>
      <c r="Y66" s="140"/>
      <c r="Z66" s="140"/>
    </row>
    <row r="67" spans="1:26" ht="15.75" customHeight="1" x14ac:dyDescent="0.25">
      <c r="A67" s="140"/>
      <c r="B67" s="140"/>
      <c r="C67" s="140"/>
      <c r="D67" s="140"/>
      <c r="E67" s="140"/>
      <c r="F67" s="140"/>
      <c r="G67" s="140"/>
      <c r="H67" s="140"/>
      <c r="I67" s="140"/>
      <c r="J67" s="140"/>
      <c r="K67" s="140"/>
      <c r="L67" s="140"/>
      <c r="M67" s="140"/>
      <c r="N67" s="140"/>
      <c r="O67" s="140"/>
      <c r="P67" s="140"/>
      <c r="Q67" s="140"/>
      <c r="R67" s="140"/>
      <c r="S67" s="140"/>
      <c r="T67" s="196"/>
      <c r="U67" s="140"/>
      <c r="V67" s="140"/>
      <c r="W67" s="140"/>
      <c r="X67" s="140"/>
      <c r="Y67" s="140"/>
      <c r="Z67" s="140"/>
    </row>
    <row r="68" spans="1:26" ht="15.75" customHeight="1" x14ac:dyDescent="0.25">
      <c r="A68" s="140"/>
      <c r="B68" s="140"/>
      <c r="C68" s="140"/>
      <c r="D68" s="140"/>
      <c r="E68" s="140"/>
      <c r="F68" s="140"/>
      <c r="G68" s="140"/>
      <c r="H68" s="140"/>
      <c r="I68" s="140"/>
      <c r="J68" s="140"/>
      <c r="K68" s="140"/>
      <c r="L68" s="140"/>
      <c r="M68" s="140"/>
      <c r="N68" s="140"/>
      <c r="O68" s="140"/>
      <c r="P68" s="140"/>
      <c r="Q68" s="140"/>
      <c r="R68" s="140"/>
      <c r="S68" s="140"/>
      <c r="T68" s="196"/>
      <c r="U68" s="140"/>
      <c r="V68" s="140"/>
      <c r="W68" s="140"/>
      <c r="X68" s="140"/>
      <c r="Y68" s="140"/>
      <c r="Z68" s="140"/>
    </row>
    <row r="69" spans="1:26" ht="15.75" customHeight="1" x14ac:dyDescent="0.25">
      <c r="A69" s="140"/>
      <c r="B69" s="140"/>
      <c r="C69" s="140"/>
      <c r="D69" s="140"/>
      <c r="E69" s="140"/>
      <c r="F69" s="140"/>
      <c r="G69" s="140"/>
      <c r="H69" s="140"/>
      <c r="I69" s="140"/>
      <c r="J69" s="140"/>
      <c r="K69" s="140"/>
      <c r="L69" s="140"/>
      <c r="M69" s="140"/>
      <c r="N69" s="140"/>
      <c r="O69" s="140"/>
      <c r="P69" s="140"/>
      <c r="Q69" s="140"/>
      <c r="R69" s="140"/>
      <c r="S69" s="140"/>
      <c r="T69" s="196"/>
      <c r="U69" s="140"/>
      <c r="V69" s="140"/>
      <c r="W69" s="140"/>
      <c r="X69" s="140"/>
      <c r="Y69" s="140"/>
      <c r="Z69" s="140"/>
    </row>
    <row r="70" spans="1:26" ht="15.75" customHeight="1" x14ac:dyDescent="0.25">
      <c r="A70" s="140"/>
      <c r="B70" s="140"/>
      <c r="C70" s="140"/>
      <c r="D70" s="140"/>
      <c r="E70" s="140"/>
      <c r="F70" s="140"/>
      <c r="G70" s="140"/>
      <c r="H70" s="140"/>
      <c r="I70" s="140"/>
      <c r="J70" s="140"/>
      <c r="K70" s="140"/>
      <c r="L70" s="140"/>
      <c r="M70" s="140"/>
      <c r="N70" s="140"/>
      <c r="O70" s="140"/>
      <c r="P70" s="140"/>
      <c r="Q70" s="140"/>
      <c r="R70" s="140"/>
      <c r="S70" s="140"/>
      <c r="T70" s="196"/>
      <c r="U70" s="140"/>
      <c r="V70" s="140"/>
      <c r="W70" s="140"/>
      <c r="X70" s="140"/>
      <c r="Y70" s="140"/>
      <c r="Z70" s="140"/>
    </row>
    <row r="71" spans="1:26" ht="15.75" customHeight="1" x14ac:dyDescent="0.25">
      <c r="A71" s="140"/>
      <c r="B71" s="140"/>
      <c r="C71" s="140"/>
      <c r="D71" s="140"/>
      <c r="E71" s="140"/>
      <c r="F71" s="140"/>
      <c r="G71" s="140"/>
      <c r="H71" s="140"/>
      <c r="I71" s="140"/>
      <c r="J71" s="140"/>
      <c r="K71" s="140"/>
      <c r="L71" s="140"/>
      <c r="M71" s="140"/>
      <c r="N71" s="140"/>
      <c r="O71" s="140"/>
      <c r="P71" s="140"/>
      <c r="Q71" s="140"/>
      <c r="R71" s="140"/>
      <c r="S71" s="140"/>
      <c r="T71" s="196"/>
      <c r="U71" s="140"/>
      <c r="V71" s="140"/>
      <c r="W71" s="140"/>
      <c r="X71" s="140"/>
      <c r="Y71" s="140"/>
      <c r="Z71" s="140"/>
    </row>
    <row r="72" spans="1:26" ht="15.75" customHeight="1" x14ac:dyDescent="0.25">
      <c r="A72" s="140"/>
      <c r="B72" s="140"/>
      <c r="C72" s="140"/>
      <c r="D72" s="140"/>
      <c r="E72" s="140"/>
      <c r="F72" s="140"/>
      <c r="G72" s="140"/>
      <c r="H72" s="140"/>
      <c r="I72" s="140"/>
      <c r="J72" s="140"/>
      <c r="K72" s="140"/>
      <c r="L72" s="140"/>
      <c r="M72" s="140"/>
      <c r="N72" s="140"/>
      <c r="O72" s="140"/>
      <c r="P72" s="140"/>
      <c r="Q72" s="140"/>
      <c r="R72" s="140"/>
      <c r="S72" s="140"/>
      <c r="T72" s="196"/>
      <c r="U72" s="140"/>
      <c r="V72" s="140"/>
      <c r="W72" s="140"/>
      <c r="X72" s="140"/>
      <c r="Y72" s="140"/>
      <c r="Z72" s="140"/>
    </row>
    <row r="73" spans="1:26" ht="15.75" customHeight="1" x14ac:dyDescent="0.25">
      <c r="A73" s="140"/>
      <c r="B73" s="140"/>
      <c r="C73" s="140"/>
      <c r="D73" s="140"/>
      <c r="E73" s="140"/>
      <c r="F73" s="140"/>
      <c r="G73" s="140"/>
      <c r="H73" s="140"/>
      <c r="I73" s="140"/>
      <c r="J73" s="140"/>
      <c r="K73" s="140"/>
      <c r="L73" s="140"/>
      <c r="M73" s="140"/>
      <c r="N73" s="140"/>
      <c r="O73" s="140"/>
      <c r="P73" s="140"/>
      <c r="Q73" s="140"/>
      <c r="R73" s="140"/>
      <c r="S73" s="140"/>
      <c r="T73" s="196"/>
      <c r="U73" s="140"/>
      <c r="V73" s="140"/>
      <c r="W73" s="140"/>
      <c r="X73" s="140"/>
      <c r="Y73" s="140"/>
      <c r="Z73" s="140"/>
    </row>
    <row r="74" spans="1:26" ht="15.75" customHeight="1" x14ac:dyDescent="0.25">
      <c r="A74" s="140"/>
      <c r="B74" s="140"/>
      <c r="C74" s="140"/>
      <c r="D74" s="140"/>
      <c r="E74" s="140"/>
      <c r="F74" s="140"/>
      <c r="G74" s="140"/>
      <c r="H74" s="140"/>
      <c r="I74" s="140"/>
      <c r="J74" s="140"/>
      <c r="K74" s="140"/>
      <c r="L74" s="140"/>
      <c r="M74" s="140"/>
      <c r="N74" s="140"/>
      <c r="O74" s="140"/>
      <c r="P74" s="140"/>
      <c r="Q74" s="140"/>
      <c r="R74" s="140"/>
      <c r="S74" s="140"/>
      <c r="T74" s="196"/>
      <c r="U74" s="140"/>
      <c r="V74" s="140"/>
      <c r="W74" s="140"/>
      <c r="X74" s="140"/>
      <c r="Y74" s="140"/>
      <c r="Z74" s="140"/>
    </row>
    <row r="75" spans="1:26" ht="15.75" customHeight="1" x14ac:dyDescent="0.25">
      <c r="A75" s="140"/>
      <c r="B75" s="140"/>
      <c r="C75" s="140"/>
      <c r="D75" s="140"/>
      <c r="E75" s="140"/>
      <c r="F75" s="140"/>
      <c r="G75" s="140"/>
      <c r="H75" s="140"/>
      <c r="I75" s="140"/>
      <c r="J75" s="140"/>
      <c r="K75" s="140"/>
      <c r="L75" s="140"/>
      <c r="M75" s="140"/>
      <c r="N75" s="140"/>
      <c r="O75" s="140"/>
      <c r="P75" s="140"/>
      <c r="Q75" s="140"/>
      <c r="R75" s="140"/>
      <c r="S75" s="140"/>
      <c r="T75" s="196"/>
      <c r="U75" s="140"/>
      <c r="V75" s="140"/>
      <c r="W75" s="140"/>
      <c r="X75" s="140"/>
      <c r="Y75" s="140"/>
      <c r="Z75" s="140"/>
    </row>
    <row r="76" spans="1:26" ht="15.75" customHeight="1" x14ac:dyDescent="0.25">
      <c r="A76" s="140"/>
      <c r="B76" s="140"/>
      <c r="C76" s="140"/>
      <c r="D76" s="140"/>
      <c r="E76" s="140"/>
      <c r="F76" s="140"/>
      <c r="G76" s="140"/>
      <c r="H76" s="140"/>
      <c r="I76" s="140"/>
      <c r="J76" s="140"/>
      <c r="K76" s="140"/>
      <c r="L76" s="140"/>
      <c r="M76" s="140"/>
      <c r="N76" s="140"/>
      <c r="O76" s="140"/>
      <c r="P76" s="140"/>
      <c r="Q76" s="140"/>
      <c r="R76" s="140"/>
      <c r="S76" s="140"/>
      <c r="T76" s="196"/>
      <c r="U76" s="140"/>
      <c r="V76" s="140"/>
      <c r="W76" s="140"/>
      <c r="X76" s="140"/>
      <c r="Y76" s="140"/>
      <c r="Z76" s="140"/>
    </row>
    <row r="77" spans="1:26" ht="15.75" customHeight="1" x14ac:dyDescent="0.25">
      <c r="A77" s="140"/>
      <c r="B77" s="140"/>
      <c r="C77" s="140"/>
      <c r="D77" s="140"/>
      <c r="E77" s="140"/>
      <c r="F77" s="140"/>
      <c r="G77" s="140"/>
      <c r="H77" s="140"/>
      <c r="I77" s="140"/>
      <c r="J77" s="140"/>
      <c r="K77" s="140"/>
      <c r="L77" s="140"/>
      <c r="M77" s="140"/>
      <c r="N77" s="140"/>
      <c r="O77" s="140"/>
      <c r="P77" s="140"/>
      <c r="Q77" s="140"/>
      <c r="R77" s="140"/>
      <c r="S77" s="140"/>
      <c r="T77" s="196"/>
      <c r="U77" s="140"/>
      <c r="V77" s="140"/>
      <c r="W77" s="140"/>
      <c r="X77" s="140"/>
      <c r="Y77" s="140"/>
      <c r="Z77" s="140"/>
    </row>
    <row r="78" spans="1:26" ht="15.75" customHeight="1" x14ac:dyDescent="0.25">
      <c r="A78" s="140"/>
      <c r="B78" s="140"/>
      <c r="C78" s="140"/>
      <c r="D78" s="140"/>
      <c r="E78" s="140"/>
      <c r="F78" s="140"/>
      <c r="G78" s="140"/>
      <c r="H78" s="140"/>
      <c r="I78" s="140"/>
      <c r="J78" s="140"/>
      <c r="K78" s="140"/>
      <c r="L78" s="140"/>
      <c r="M78" s="140"/>
      <c r="N78" s="140"/>
      <c r="O78" s="140"/>
      <c r="P78" s="140"/>
      <c r="Q78" s="140"/>
      <c r="R78" s="140"/>
      <c r="S78" s="140"/>
      <c r="T78" s="196"/>
      <c r="U78" s="140"/>
      <c r="V78" s="140"/>
      <c r="W78" s="140"/>
      <c r="X78" s="140"/>
      <c r="Y78" s="140"/>
      <c r="Z78" s="140"/>
    </row>
    <row r="79" spans="1:26" ht="15.75" customHeight="1" x14ac:dyDescent="0.25">
      <c r="A79" s="140"/>
      <c r="B79" s="140"/>
      <c r="C79" s="140"/>
      <c r="D79" s="140"/>
      <c r="E79" s="140"/>
      <c r="F79" s="140"/>
      <c r="G79" s="140"/>
      <c r="H79" s="140"/>
      <c r="I79" s="140"/>
      <c r="J79" s="140"/>
      <c r="K79" s="140"/>
      <c r="L79" s="140"/>
      <c r="M79" s="140"/>
      <c r="N79" s="140"/>
      <c r="O79" s="140"/>
      <c r="P79" s="140"/>
      <c r="Q79" s="140"/>
      <c r="R79" s="140"/>
      <c r="S79" s="140"/>
      <c r="T79" s="196"/>
      <c r="U79" s="140"/>
      <c r="V79" s="140"/>
      <c r="W79" s="140"/>
      <c r="X79" s="140"/>
      <c r="Y79" s="140"/>
      <c r="Z79" s="140"/>
    </row>
    <row r="80" spans="1:26" ht="15.75" customHeight="1" x14ac:dyDescent="0.25">
      <c r="A80" s="140"/>
      <c r="B80" s="140"/>
      <c r="C80" s="140"/>
      <c r="D80" s="140"/>
      <c r="E80" s="140"/>
      <c r="F80" s="140"/>
      <c r="G80" s="140"/>
      <c r="H80" s="140"/>
      <c r="I80" s="140"/>
      <c r="J80" s="140"/>
      <c r="K80" s="140"/>
      <c r="L80" s="140"/>
      <c r="M80" s="140"/>
      <c r="N80" s="140"/>
      <c r="O80" s="140"/>
      <c r="P80" s="140"/>
      <c r="Q80" s="140"/>
      <c r="R80" s="140"/>
      <c r="S80" s="140"/>
      <c r="T80" s="196"/>
      <c r="U80" s="140"/>
      <c r="V80" s="140"/>
      <c r="W80" s="140"/>
      <c r="X80" s="140"/>
      <c r="Y80" s="140"/>
      <c r="Z80" s="140"/>
    </row>
    <row r="81" spans="1:26" ht="15.75" customHeight="1" x14ac:dyDescent="0.25">
      <c r="A81" s="140"/>
      <c r="B81" s="140"/>
      <c r="C81" s="140"/>
      <c r="D81" s="140"/>
      <c r="E81" s="140"/>
      <c r="F81" s="140"/>
      <c r="G81" s="140"/>
      <c r="H81" s="140"/>
      <c r="I81" s="140"/>
      <c r="J81" s="140"/>
      <c r="K81" s="140"/>
      <c r="L81" s="140"/>
      <c r="M81" s="140"/>
      <c r="N81" s="140"/>
      <c r="O81" s="140"/>
      <c r="P81" s="140"/>
      <c r="Q81" s="140"/>
      <c r="R81" s="140"/>
      <c r="S81" s="140"/>
      <c r="T81" s="196"/>
      <c r="U81" s="140"/>
      <c r="V81" s="140"/>
      <c r="W81" s="140"/>
      <c r="X81" s="140"/>
      <c r="Y81" s="140"/>
      <c r="Z81" s="140"/>
    </row>
    <row r="82" spans="1:26" ht="15.75" customHeight="1" x14ac:dyDescent="0.25">
      <c r="A82" s="140"/>
      <c r="B82" s="140"/>
      <c r="C82" s="140"/>
      <c r="D82" s="140"/>
      <c r="E82" s="140"/>
      <c r="F82" s="140"/>
      <c r="G82" s="140"/>
      <c r="H82" s="140"/>
      <c r="I82" s="140"/>
      <c r="J82" s="140"/>
      <c r="K82" s="140"/>
      <c r="L82" s="140"/>
      <c r="M82" s="140"/>
      <c r="N82" s="140"/>
      <c r="O82" s="140"/>
      <c r="P82" s="140"/>
      <c r="Q82" s="140"/>
      <c r="R82" s="140"/>
      <c r="S82" s="140"/>
      <c r="T82" s="196"/>
      <c r="U82" s="140"/>
      <c r="V82" s="140"/>
      <c r="W82" s="140"/>
      <c r="X82" s="140"/>
      <c r="Y82" s="140"/>
      <c r="Z82" s="140"/>
    </row>
    <row r="83" spans="1:26" ht="15.75" customHeight="1" x14ac:dyDescent="0.25">
      <c r="A83" s="140"/>
      <c r="B83" s="140"/>
      <c r="C83" s="140"/>
      <c r="D83" s="140"/>
      <c r="E83" s="140"/>
      <c r="F83" s="140"/>
      <c r="G83" s="140"/>
      <c r="H83" s="140"/>
      <c r="I83" s="140"/>
      <c r="J83" s="140"/>
      <c r="K83" s="140"/>
      <c r="L83" s="140"/>
      <c r="M83" s="140"/>
      <c r="N83" s="140"/>
      <c r="O83" s="140"/>
      <c r="P83" s="140"/>
      <c r="Q83" s="140"/>
      <c r="R83" s="140"/>
      <c r="S83" s="140"/>
      <c r="T83" s="196"/>
      <c r="U83" s="140"/>
      <c r="V83" s="140"/>
      <c r="W83" s="140"/>
      <c r="X83" s="140"/>
      <c r="Y83" s="140"/>
      <c r="Z83" s="140"/>
    </row>
    <row r="84" spans="1:26" ht="15.75" customHeight="1" x14ac:dyDescent="0.25">
      <c r="A84" s="140"/>
      <c r="B84" s="140"/>
      <c r="C84" s="140"/>
      <c r="D84" s="140"/>
      <c r="E84" s="140"/>
      <c r="F84" s="140"/>
      <c r="G84" s="140"/>
      <c r="H84" s="140"/>
      <c r="I84" s="140"/>
      <c r="J84" s="140"/>
      <c r="K84" s="140"/>
      <c r="L84" s="140"/>
      <c r="M84" s="140"/>
      <c r="N84" s="140"/>
      <c r="O84" s="140"/>
      <c r="P84" s="140"/>
      <c r="Q84" s="140"/>
      <c r="R84" s="140"/>
      <c r="S84" s="140"/>
      <c r="T84" s="196"/>
      <c r="U84" s="140"/>
      <c r="V84" s="140"/>
      <c r="W84" s="140"/>
      <c r="X84" s="140"/>
      <c r="Y84" s="140"/>
      <c r="Z84" s="140"/>
    </row>
    <row r="85" spans="1:26" ht="15.75" customHeight="1" x14ac:dyDescent="0.25">
      <c r="A85" s="140"/>
      <c r="B85" s="140"/>
      <c r="C85" s="140"/>
      <c r="D85" s="140"/>
      <c r="E85" s="140"/>
      <c r="F85" s="140"/>
      <c r="G85" s="140"/>
      <c r="H85" s="140"/>
      <c r="I85" s="140"/>
      <c r="J85" s="140"/>
      <c r="K85" s="140"/>
      <c r="L85" s="140"/>
      <c r="M85" s="140"/>
      <c r="N85" s="140"/>
      <c r="O85" s="140"/>
      <c r="P85" s="140"/>
      <c r="Q85" s="140"/>
      <c r="R85" s="140"/>
      <c r="S85" s="140"/>
      <c r="T85" s="196"/>
      <c r="U85" s="140"/>
      <c r="V85" s="140"/>
      <c r="W85" s="140"/>
      <c r="X85" s="140"/>
      <c r="Y85" s="140"/>
      <c r="Z85" s="140"/>
    </row>
    <row r="86" spans="1:26" ht="15.75" customHeight="1" x14ac:dyDescent="0.25">
      <c r="A86" s="140"/>
      <c r="B86" s="140"/>
      <c r="C86" s="140"/>
      <c r="D86" s="140"/>
      <c r="E86" s="140"/>
      <c r="F86" s="140"/>
      <c r="G86" s="140"/>
      <c r="H86" s="140"/>
      <c r="I86" s="140"/>
      <c r="J86" s="140"/>
      <c r="K86" s="140"/>
      <c r="L86" s="140"/>
      <c r="M86" s="140"/>
      <c r="N86" s="140"/>
      <c r="O86" s="140"/>
      <c r="P86" s="140"/>
      <c r="Q86" s="140"/>
      <c r="R86" s="140"/>
      <c r="S86" s="140"/>
      <c r="T86" s="196"/>
      <c r="U86" s="140"/>
      <c r="V86" s="140"/>
      <c r="W86" s="140"/>
      <c r="X86" s="140"/>
      <c r="Y86" s="140"/>
      <c r="Z86" s="140"/>
    </row>
    <row r="87" spans="1:26" ht="15.75" customHeight="1" x14ac:dyDescent="0.25">
      <c r="A87" s="140"/>
      <c r="B87" s="140"/>
      <c r="C87" s="140"/>
      <c r="D87" s="140"/>
      <c r="E87" s="140"/>
      <c r="F87" s="140"/>
      <c r="G87" s="140"/>
      <c r="H87" s="140"/>
      <c r="I87" s="140"/>
      <c r="J87" s="140"/>
      <c r="K87" s="140"/>
      <c r="L87" s="140"/>
      <c r="M87" s="140"/>
      <c r="N87" s="140"/>
      <c r="O87" s="140"/>
      <c r="P87" s="140"/>
      <c r="Q87" s="140"/>
      <c r="R87" s="140"/>
      <c r="S87" s="140"/>
      <c r="T87" s="196"/>
      <c r="U87" s="140"/>
      <c r="V87" s="140"/>
      <c r="W87" s="140"/>
      <c r="X87" s="140"/>
      <c r="Y87" s="140"/>
      <c r="Z87" s="140"/>
    </row>
    <row r="88" spans="1:26" ht="15.75" customHeight="1" x14ac:dyDescent="0.25">
      <c r="A88" s="140"/>
      <c r="B88" s="140"/>
      <c r="C88" s="140"/>
      <c r="D88" s="140"/>
      <c r="E88" s="140"/>
      <c r="F88" s="140"/>
      <c r="G88" s="140"/>
      <c r="H88" s="140"/>
      <c r="I88" s="140"/>
      <c r="J88" s="140"/>
      <c r="K88" s="140"/>
      <c r="L88" s="140"/>
      <c r="M88" s="140"/>
      <c r="N88" s="140"/>
      <c r="O88" s="140"/>
      <c r="P88" s="140"/>
      <c r="Q88" s="140"/>
      <c r="R88" s="140"/>
      <c r="S88" s="140"/>
      <c r="T88" s="196"/>
      <c r="U88" s="140"/>
      <c r="V88" s="140"/>
      <c r="W88" s="140"/>
      <c r="X88" s="140"/>
      <c r="Y88" s="140"/>
      <c r="Z88" s="140"/>
    </row>
    <row r="89" spans="1:26" ht="15.75" customHeight="1" x14ac:dyDescent="0.25">
      <c r="A89" s="140"/>
      <c r="B89" s="140"/>
      <c r="C89" s="140"/>
      <c r="D89" s="140"/>
      <c r="E89" s="140"/>
      <c r="F89" s="140"/>
      <c r="G89" s="140"/>
      <c r="H89" s="140"/>
      <c r="I89" s="140"/>
      <c r="J89" s="140"/>
      <c r="K89" s="140"/>
      <c r="L89" s="140"/>
      <c r="M89" s="140"/>
      <c r="N89" s="140"/>
      <c r="O89" s="140"/>
      <c r="P89" s="140"/>
      <c r="Q89" s="140"/>
      <c r="R89" s="140"/>
      <c r="S89" s="140"/>
      <c r="T89" s="196"/>
      <c r="U89" s="140"/>
      <c r="V89" s="140"/>
      <c r="W89" s="140"/>
      <c r="X89" s="140"/>
      <c r="Y89" s="140"/>
      <c r="Z89" s="140"/>
    </row>
    <row r="90" spans="1:26" ht="15.75" customHeight="1" x14ac:dyDescent="0.25">
      <c r="A90" s="140"/>
      <c r="B90" s="140"/>
      <c r="C90" s="140"/>
      <c r="D90" s="140"/>
      <c r="E90" s="140"/>
      <c r="F90" s="140"/>
      <c r="G90" s="140"/>
      <c r="H90" s="140"/>
      <c r="I90" s="140"/>
      <c r="J90" s="140"/>
      <c r="K90" s="140"/>
      <c r="L90" s="140"/>
      <c r="M90" s="140"/>
      <c r="N90" s="140"/>
      <c r="O90" s="140"/>
      <c r="P90" s="140"/>
      <c r="Q90" s="140"/>
      <c r="R90" s="140"/>
      <c r="S90" s="140"/>
      <c r="T90" s="196"/>
      <c r="U90" s="140"/>
      <c r="V90" s="140"/>
      <c r="W90" s="140"/>
      <c r="X90" s="140"/>
      <c r="Y90" s="140"/>
      <c r="Z90" s="140"/>
    </row>
    <row r="91" spans="1:26" ht="15.75" customHeight="1" x14ac:dyDescent="0.25">
      <c r="A91" s="140"/>
      <c r="B91" s="140"/>
      <c r="C91" s="140"/>
      <c r="D91" s="140"/>
      <c r="E91" s="140"/>
      <c r="F91" s="140"/>
      <c r="G91" s="140"/>
      <c r="H91" s="140"/>
      <c r="I91" s="140"/>
      <c r="J91" s="140"/>
      <c r="K91" s="140"/>
      <c r="L91" s="140"/>
      <c r="M91" s="140"/>
      <c r="N91" s="140"/>
      <c r="O91" s="140"/>
      <c r="P91" s="140"/>
      <c r="Q91" s="140"/>
      <c r="R91" s="140"/>
      <c r="S91" s="140"/>
      <c r="T91" s="196"/>
      <c r="U91" s="140"/>
      <c r="V91" s="140"/>
      <c r="W91" s="140"/>
      <c r="X91" s="140"/>
      <c r="Y91" s="140"/>
      <c r="Z91" s="140"/>
    </row>
    <row r="92" spans="1:26" ht="15.75" customHeight="1" x14ac:dyDescent="0.25">
      <c r="A92" s="140"/>
      <c r="B92" s="140"/>
      <c r="C92" s="140"/>
      <c r="D92" s="140"/>
      <c r="E92" s="140"/>
      <c r="F92" s="140"/>
      <c r="G92" s="140"/>
      <c r="H92" s="140"/>
      <c r="I92" s="140"/>
      <c r="J92" s="140"/>
      <c r="K92" s="140"/>
      <c r="L92" s="140"/>
      <c r="M92" s="140"/>
      <c r="N92" s="140"/>
      <c r="O92" s="140"/>
      <c r="P92" s="140"/>
      <c r="Q92" s="140"/>
      <c r="R92" s="140"/>
      <c r="S92" s="140"/>
      <c r="T92" s="196"/>
      <c r="U92" s="140"/>
      <c r="V92" s="140"/>
      <c r="W92" s="140"/>
      <c r="X92" s="140"/>
      <c r="Y92" s="140"/>
      <c r="Z92" s="140"/>
    </row>
    <row r="93" spans="1:26" ht="15.75" customHeight="1" x14ac:dyDescent="0.25">
      <c r="A93" s="140"/>
      <c r="B93" s="140"/>
      <c r="C93" s="140"/>
      <c r="D93" s="140"/>
      <c r="E93" s="140"/>
      <c r="F93" s="140"/>
      <c r="G93" s="140"/>
      <c r="H93" s="140"/>
      <c r="I93" s="140"/>
      <c r="J93" s="140"/>
      <c r="K93" s="140"/>
      <c r="L93" s="140"/>
      <c r="M93" s="140"/>
      <c r="N93" s="140"/>
      <c r="O93" s="140"/>
      <c r="P93" s="140"/>
      <c r="Q93" s="140"/>
      <c r="R93" s="140"/>
      <c r="S93" s="140"/>
      <c r="T93" s="196"/>
      <c r="U93" s="140"/>
      <c r="V93" s="140"/>
      <c r="W93" s="140"/>
      <c r="X93" s="140"/>
      <c r="Y93" s="140"/>
      <c r="Z93" s="140"/>
    </row>
    <row r="94" spans="1:26" ht="15.75" customHeight="1" x14ac:dyDescent="0.25">
      <c r="A94" s="140"/>
      <c r="B94" s="140"/>
      <c r="C94" s="140"/>
      <c r="D94" s="140"/>
      <c r="E94" s="140"/>
      <c r="F94" s="140"/>
      <c r="G94" s="140"/>
      <c r="H94" s="140"/>
      <c r="I94" s="140"/>
      <c r="J94" s="140"/>
      <c r="K94" s="140"/>
      <c r="L94" s="140"/>
      <c r="M94" s="140"/>
      <c r="N94" s="140"/>
      <c r="O94" s="140"/>
      <c r="P94" s="140"/>
      <c r="Q94" s="140"/>
      <c r="R94" s="140"/>
      <c r="S94" s="140"/>
      <c r="T94" s="196"/>
      <c r="U94" s="140"/>
      <c r="V94" s="140"/>
      <c r="W94" s="140"/>
      <c r="X94" s="140"/>
      <c r="Y94" s="140"/>
      <c r="Z94" s="140"/>
    </row>
    <row r="95" spans="1:26" ht="15.75" customHeight="1" x14ac:dyDescent="0.25">
      <c r="A95" s="140"/>
      <c r="B95" s="140"/>
      <c r="C95" s="140"/>
      <c r="D95" s="140"/>
      <c r="E95" s="140"/>
      <c r="F95" s="140"/>
      <c r="G95" s="140"/>
      <c r="H95" s="140"/>
      <c r="I95" s="140"/>
      <c r="J95" s="140"/>
      <c r="K95" s="140"/>
      <c r="L95" s="140"/>
      <c r="M95" s="140"/>
      <c r="N95" s="140"/>
      <c r="O95" s="140"/>
      <c r="P95" s="140"/>
      <c r="Q95" s="140"/>
      <c r="R95" s="140"/>
      <c r="S95" s="140"/>
      <c r="T95" s="196"/>
      <c r="U95" s="140"/>
      <c r="V95" s="140"/>
      <c r="W95" s="140"/>
      <c r="X95" s="140"/>
      <c r="Y95" s="140"/>
      <c r="Z95" s="140"/>
    </row>
    <row r="96" spans="1:26" ht="15.75" customHeight="1" x14ac:dyDescent="0.25">
      <c r="A96" s="140"/>
      <c r="B96" s="140"/>
      <c r="C96" s="140"/>
      <c r="D96" s="140"/>
      <c r="E96" s="140"/>
      <c r="F96" s="140"/>
      <c r="G96" s="140"/>
      <c r="H96" s="140"/>
      <c r="I96" s="140"/>
      <c r="J96" s="140"/>
      <c r="K96" s="140"/>
      <c r="L96" s="140"/>
      <c r="M96" s="140"/>
      <c r="N96" s="140"/>
      <c r="O96" s="140"/>
      <c r="P96" s="140"/>
      <c r="Q96" s="140"/>
      <c r="R96" s="140"/>
      <c r="S96" s="140"/>
      <c r="T96" s="196"/>
      <c r="U96" s="140"/>
      <c r="V96" s="140"/>
      <c r="W96" s="140"/>
      <c r="X96" s="140"/>
      <c r="Y96" s="140"/>
      <c r="Z96" s="140"/>
    </row>
    <row r="97" spans="1:26" ht="15.75" customHeight="1" x14ac:dyDescent="0.25">
      <c r="A97" s="140"/>
      <c r="B97" s="140"/>
      <c r="C97" s="140"/>
      <c r="D97" s="140"/>
      <c r="E97" s="140"/>
      <c r="F97" s="140"/>
      <c r="G97" s="140"/>
      <c r="H97" s="140"/>
      <c r="I97" s="140"/>
      <c r="J97" s="140"/>
      <c r="K97" s="140"/>
      <c r="L97" s="140"/>
      <c r="M97" s="140"/>
      <c r="N97" s="140"/>
      <c r="O97" s="140"/>
      <c r="P97" s="140"/>
      <c r="Q97" s="140"/>
      <c r="R97" s="140"/>
      <c r="S97" s="140"/>
      <c r="T97" s="196"/>
      <c r="U97" s="140"/>
      <c r="V97" s="140"/>
      <c r="W97" s="140"/>
      <c r="X97" s="140"/>
      <c r="Y97" s="140"/>
      <c r="Z97" s="140"/>
    </row>
    <row r="98" spans="1:26" ht="15.75" customHeight="1" x14ac:dyDescent="0.25">
      <c r="A98" s="140"/>
      <c r="B98" s="140"/>
      <c r="C98" s="140"/>
      <c r="D98" s="140"/>
      <c r="E98" s="140"/>
      <c r="F98" s="140"/>
      <c r="G98" s="140"/>
      <c r="H98" s="140"/>
      <c r="I98" s="140"/>
      <c r="J98" s="140"/>
      <c r="K98" s="140"/>
      <c r="L98" s="140"/>
      <c r="M98" s="140"/>
      <c r="N98" s="140"/>
      <c r="O98" s="140"/>
      <c r="P98" s="140"/>
      <c r="Q98" s="140"/>
      <c r="R98" s="140"/>
      <c r="S98" s="140"/>
      <c r="T98" s="196"/>
      <c r="U98" s="140"/>
      <c r="V98" s="140"/>
      <c r="W98" s="140"/>
      <c r="X98" s="140"/>
      <c r="Y98" s="140"/>
      <c r="Z98" s="140"/>
    </row>
    <row r="99" spans="1:26" ht="15.75" customHeight="1" x14ac:dyDescent="0.25">
      <c r="A99" s="140"/>
      <c r="B99" s="140"/>
      <c r="C99" s="140"/>
      <c r="D99" s="140"/>
      <c r="E99" s="140"/>
      <c r="F99" s="140"/>
      <c r="G99" s="140"/>
      <c r="H99" s="140"/>
      <c r="I99" s="140"/>
      <c r="J99" s="140"/>
      <c r="K99" s="140"/>
      <c r="L99" s="140"/>
      <c r="M99" s="140"/>
      <c r="N99" s="140"/>
      <c r="O99" s="140"/>
      <c r="P99" s="140"/>
      <c r="Q99" s="140"/>
      <c r="R99" s="140"/>
      <c r="S99" s="140"/>
      <c r="T99" s="196"/>
      <c r="U99" s="140"/>
      <c r="V99" s="140"/>
      <c r="W99" s="140"/>
      <c r="X99" s="140"/>
      <c r="Y99" s="140"/>
      <c r="Z99" s="140"/>
    </row>
    <row r="100" spans="1:26"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96"/>
      <c r="U100" s="140"/>
      <c r="V100" s="140"/>
      <c r="W100" s="140"/>
      <c r="X100" s="140"/>
      <c r="Y100" s="140"/>
      <c r="Z100" s="140"/>
    </row>
    <row r="101" spans="1:26"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96"/>
      <c r="U101" s="140"/>
      <c r="V101" s="140"/>
      <c r="W101" s="140"/>
      <c r="X101" s="140"/>
      <c r="Y101" s="140"/>
      <c r="Z101" s="140"/>
    </row>
    <row r="102" spans="1:26"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96"/>
      <c r="U102" s="140"/>
      <c r="V102" s="140"/>
      <c r="W102" s="140"/>
      <c r="X102" s="140"/>
      <c r="Y102" s="140"/>
      <c r="Z102" s="140"/>
    </row>
    <row r="103" spans="1:26"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96"/>
      <c r="U103" s="140"/>
      <c r="V103" s="140"/>
      <c r="W103" s="140"/>
      <c r="X103" s="140"/>
      <c r="Y103" s="140"/>
      <c r="Z103" s="140"/>
    </row>
    <row r="104" spans="1:26"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96"/>
      <c r="U104" s="140"/>
      <c r="V104" s="140"/>
      <c r="W104" s="140"/>
      <c r="X104" s="140"/>
      <c r="Y104" s="140"/>
      <c r="Z104" s="140"/>
    </row>
    <row r="105" spans="1:26"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96"/>
      <c r="U105" s="140"/>
      <c r="V105" s="140"/>
      <c r="W105" s="140"/>
      <c r="X105" s="140"/>
      <c r="Y105" s="140"/>
      <c r="Z105" s="140"/>
    </row>
    <row r="106" spans="1:26"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96"/>
      <c r="U106" s="140"/>
      <c r="V106" s="140"/>
      <c r="W106" s="140"/>
      <c r="X106" s="140"/>
      <c r="Y106" s="140"/>
      <c r="Z106" s="140"/>
    </row>
    <row r="107" spans="1:26"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96"/>
      <c r="U107" s="140"/>
      <c r="V107" s="140"/>
      <c r="W107" s="140"/>
      <c r="X107" s="140"/>
      <c r="Y107" s="140"/>
      <c r="Z107" s="140"/>
    </row>
    <row r="108" spans="1:26"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96"/>
      <c r="U108" s="140"/>
      <c r="V108" s="140"/>
      <c r="W108" s="140"/>
      <c r="X108" s="140"/>
      <c r="Y108" s="140"/>
      <c r="Z108" s="140"/>
    </row>
    <row r="109" spans="1:26"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96"/>
      <c r="U109" s="140"/>
      <c r="V109" s="140"/>
      <c r="W109" s="140"/>
      <c r="X109" s="140"/>
      <c r="Y109" s="140"/>
      <c r="Z109" s="140"/>
    </row>
    <row r="110" spans="1:26"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96"/>
      <c r="U110" s="140"/>
      <c r="V110" s="140"/>
      <c r="W110" s="140"/>
      <c r="X110" s="140"/>
      <c r="Y110" s="140"/>
      <c r="Z110" s="140"/>
    </row>
    <row r="111" spans="1:26"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96"/>
      <c r="U111" s="140"/>
      <c r="V111" s="140"/>
      <c r="W111" s="140"/>
      <c r="X111" s="140"/>
      <c r="Y111" s="140"/>
      <c r="Z111" s="140"/>
    </row>
    <row r="112" spans="1:26"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96"/>
      <c r="U112" s="140"/>
      <c r="V112" s="140"/>
      <c r="W112" s="140"/>
      <c r="X112" s="140"/>
      <c r="Y112" s="140"/>
      <c r="Z112" s="140"/>
    </row>
    <row r="113" spans="1:26"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96"/>
      <c r="U113" s="140"/>
      <c r="V113" s="140"/>
      <c r="W113" s="140"/>
      <c r="X113" s="140"/>
      <c r="Y113" s="140"/>
      <c r="Z113" s="140"/>
    </row>
    <row r="114" spans="1:26"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96"/>
      <c r="U114" s="140"/>
      <c r="V114" s="140"/>
      <c r="W114" s="140"/>
      <c r="X114" s="140"/>
      <c r="Y114" s="140"/>
      <c r="Z114" s="140"/>
    </row>
    <row r="115" spans="1:26"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96"/>
      <c r="U115" s="140"/>
      <c r="V115" s="140"/>
      <c r="W115" s="140"/>
      <c r="X115" s="140"/>
      <c r="Y115" s="140"/>
      <c r="Z115" s="140"/>
    </row>
    <row r="116" spans="1:26"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96"/>
      <c r="U116" s="140"/>
      <c r="V116" s="140"/>
      <c r="W116" s="140"/>
      <c r="X116" s="140"/>
      <c r="Y116" s="140"/>
      <c r="Z116" s="140"/>
    </row>
    <row r="117" spans="1:26"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96"/>
      <c r="U117" s="140"/>
      <c r="V117" s="140"/>
      <c r="W117" s="140"/>
      <c r="X117" s="140"/>
      <c r="Y117" s="140"/>
      <c r="Z117" s="140"/>
    </row>
    <row r="118" spans="1:26"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96"/>
      <c r="U118" s="140"/>
      <c r="V118" s="140"/>
      <c r="W118" s="140"/>
      <c r="X118" s="140"/>
      <c r="Y118" s="140"/>
      <c r="Z118" s="140"/>
    </row>
    <row r="119" spans="1:26"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96"/>
      <c r="U119" s="140"/>
      <c r="V119" s="140"/>
      <c r="W119" s="140"/>
      <c r="X119" s="140"/>
      <c r="Y119" s="140"/>
      <c r="Z119" s="140"/>
    </row>
    <row r="120" spans="1:26"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96"/>
      <c r="U120" s="140"/>
      <c r="V120" s="140"/>
      <c r="W120" s="140"/>
      <c r="X120" s="140"/>
      <c r="Y120" s="140"/>
      <c r="Z120" s="140"/>
    </row>
    <row r="121" spans="1:26"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96"/>
      <c r="U121" s="140"/>
      <c r="V121" s="140"/>
      <c r="W121" s="140"/>
      <c r="X121" s="140"/>
      <c r="Y121" s="140"/>
      <c r="Z121" s="140"/>
    </row>
    <row r="122" spans="1:26"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96"/>
      <c r="U122" s="140"/>
      <c r="V122" s="140"/>
      <c r="W122" s="140"/>
      <c r="X122" s="140"/>
      <c r="Y122" s="140"/>
      <c r="Z122" s="140"/>
    </row>
    <row r="123" spans="1:26"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96"/>
      <c r="U123" s="140"/>
      <c r="V123" s="140"/>
      <c r="W123" s="140"/>
      <c r="X123" s="140"/>
      <c r="Y123" s="140"/>
      <c r="Z123" s="140"/>
    </row>
    <row r="124" spans="1:26"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96"/>
      <c r="U124" s="140"/>
      <c r="V124" s="140"/>
      <c r="W124" s="140"/>
      <c r="X124" s="140"/>
      <c r="Y124" s="140"/>
      <c r="Z124" s="140"/>
    </row>
    <row r="125" spans="1:26"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96"/>
      <c r="U125" s="140"/>
      <c r="V125" s="140"/>
      <c r="W125" s="140"/>
      <c r="X125" s="140"/>
      <c r="Y125" s="140"/>
      <c r="Z125" s="140"/>
    </row>
    <row r="126" spans="1:26"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96"/>
      <c r="U126" s="140"/>
      <c r="V126" s="140"/>
      <c r="W126" s="140"/>
      <c r="X126" s="140"/>
      <c r="Y126" s="140"/>
      <c r="Z126" s="140"/>
    </row>
    <row r="127" spans="1:26"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96"/>
      <c r="U127" s="140"/>
      <c r="V127" s="140"/>
      <c r="W127" s="140"/>
      <c r="X127" s="140"/>
      <c r="Y127" s="140"/>
      <c r="Z127" s="140"/>
    </row>
    <row r="128" spans="1:26"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96"/>
      <c r="U128" s="140"/>
      <c r="V128" s="140"/>
      <c r="W128" s="140"/>
      <c r="X128" s="140"/>
      <c r="Y128" s="140"/>
      <c r="Z128" s="140"/>
    </row>
    <row r="129" spans="1:26"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96"/>
      <c r="U129" s="140"/>
      <c r="V129" s="140"/>
      <c r="W129" s="140"/>
      <c r="X129" s="140"/>
      <c r="Y129" s="140"/>
      <c r="Z129" s="140"/>
    </row>
    <row r="130" spans="1:26"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96"/>
      <c r="U130" s="140"/>
      <c r="V130" s="140"/>
      <c r="W130" s="140"/>
      <c r="X130" s="140"/>
      <c r="Y130" s="140"/>
      <c r="Z130" s="140"/>
    </row>
    <row r="131" spans="1:26"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96"/>
      <c r="U131" s="140"/>
      <c r="V131" s="140"/>
      <c r="W131" s="140"/>
      <c r="X131" s="140"/>
      <c r="Y131" s="140"/>
      <c r="Z131" s="140"/>
    </row>
    <row r="132" spans="1:26"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96"/>
      <c r="U132" s="140"/>
      <c r="V132" s="140"/>
      <c r="W132" s="140"/>
      <c r="X132" s="140"/>
      <c r="Y132" s="140"/>
      <c r="Z132" s="140"/>
    </row>
    <row r="133" spans="1:26"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96"/>
      <c r="U133" s="140"/>
      <c r="V133" s="140"/>
      <c r="W133" s="140"/>
      <c r="X133" s="140"/>
      <c r="Y133" s="140"/>
      <c r="Z133" s="140"/>
    </row>
    <row r="134" spans="1:26"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96"/>
      <c r="U134" s="140"/>
      <c r="V134" s="140"/>
      <c r="W134" s="140"/>
      <c r="X134" s="140"/>
      <c r="Y134" s="140"/>
      <c r="Z134" s="140"/>
    </row>
    <row r="135" spans="1:26"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96"/>
      <c r="U135" s="140"/>
      <c r="V135" s="140"/>
      <c r="W135" s="140"/>
      <c r="X135" s="140"/>
      <c r="Y135" s="140"/>
      <c r="Z135" s="140"/>
    </row>
    <row r="136" spans="1:26"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96"/>
      <c r="U136" s="140"/>
      <c r="V136" s="140"/>
      <c r="W136" s="140"/>
      <c r="X136" s="140"/>
      <c r="Y136" s="140"/>
      <c r="Z136" s="140"/>
    </row>
    <row r="137" spans="1:26"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96"/>
      <c r="U137" s="140"/>
      <c r="V137" s="140"/>
      <c r="W137" s="140"/>
      <c r="X137" s="140"/>
      <c r="Y137" s="140"/>
      <c r="Z137" s="140"/>
    </row>
    <row r="138" spans="1:26"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96"/>
      <c r="U138" s="140"/>
      <c r="V138" s="140"/>
      <c r="W138" s="140"/>
      <c r="X138" s="140"/>
      <c r="Y138" s="140"/>
      <c r="Z138" s="140"/>
    </row>
    <row r="139" spans="1:26"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96"/>
      <c r="U139" s="140"/>
      <c r="V139" s="140"/>
      <c r="W139" s="140"/>
      <c r="X139" s="140"/>
      <c r="Y139" s="140"/>
      <c r="Z139" s="140"/>
    </row>
    <row r="140" spans="1:26"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96"/>
      <c r="U140" s="140"/>
      <c r="V140" s="140"/>
      <c r="W140" s="140"/>
      <c r="X140" s="140"/>
      <c r="Y140" s="140"/>
      <c r="Z140" s="140"/>
    </row>
    <row r="141" spans="1:26"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96"/>
      <c r="U141" s="140"/>
      <c r="V141" s="140"/>
      <c r="W141" s="140"/>
      <c r="X141" s="140"/>
      <c r="Y141" s="140"/>
      <c r="Z141" s="140"/>
    </row>
    <row r="142" spans="1:26"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96"/>
      <c r="U142" s="140"/>
      <c r="V142" s="140"/>
      <c r="W142" s="140"/>
      <c r="X142" s="140"/>
      <c r="Y142" s="140"/>
      <c r="Z142" s="140"/>
    </row>
    <row r="143" spans="1:26"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96"/>
      <c r="U143" s="140"/>
      <c r="V143" s="140"/>
      <c r="W143" s="140"/>
      <c r="X143" s="140"/>
      <c r="Y143" s="140"/>
      <c r="Z143" s="140"/>
    </row>
    <row r="144" spans="1:26"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96"/>
      <c r="U144" s="140"/>
      <c r="V144" s="140"/>
      <c r="W144" s="140"/>
      <c r="X144" s="140"/>
      <c r="Y144" s="140"/>
      <c r="Z144" s="140"/>
    </row>
    <row r="145" spans="1:26"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96"/>
      <c r="U145" s="140"/>
      <c r="V145" s="140"/>
      <c r="W145" s="140"/>
      <c r="X145" s="140"/>
      <c r="Y145" s="140"/>
      <c r="Z145" s="140"/>
    </row>
    <row r="146" spans="1:26"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96"/>
      <c r="U146" s="140"/>
      <c r="V146" s="140"/>
      <c r="W146" s="140"/>
      <c r="X146" s="140"/>
      <c r="Y146" s="140"/>
      <c r="Z146" s="140"/>
    </row>
    <row r="147" spans="1:26"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96"/>
      <c r="U147" s="140"/>
      <c r="V147" s="140"/>
      <c r="W147" s="140"/>
      <c r="X147" s="140"/>
      <c r="Y147" s="140"/>
      <c r="Z147" s="140"/>
    </row>
    <row r="148" spans="1:26"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96"/>
      <c r="U148" s="140"/>
      <c r="V148" s="140"/>
      <c r="W148" s="140"/>
      <c r="X148" s="140"/>
      <c r="Y148" s="140"/>
      <c r="Z148" s="140"/>
    </row>
    <row r="149" spans="1:26"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96"/>
      <c r="U149" s="140"/>
      <c r="V149" s="140"/>
      <c r="W149" s="140"/>
      <c r="X149" s="140"/>
      <c r="Y149" s="140"/>
      <c r="Z149" s="140"/>
    </row>
    <row r="150" spans="1:26"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96"/>
      <c r="U150" s="140"/>
      <c r="V150" s="140"/>
      <c r="W150" s="140"/>
      <c r="X150" s="140"/>
      <c r="Y150" s="140"/>
      <c r="Z150" s="140"/>
    </row>
    <row r="151" spans="1:26"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96"/>
      <c r="U151" s="140"/>
      <c r="V151" s="140"/>
      <c r="W151" s="140"/>
      <c r="X151" s="140"/>
      <c r="Y151" s="140"/>
      <c r="Z151" s="140"/>
    </row>
    <row r="152" spans="1:26"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96"/>
      <c r="U152" s="140"/>
      <c r="V152" s="140"/>
      <c r="W152" s="140"/>
      <c r="X152" s="140"/>
      <c r="Y152" s="140"/>
      <c r="Z152" s="140"/>
    </row>
    <row r="153" spans="1:26"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96"/>
      <c r="U153" s="140"/>
      <c r="V153" s="140"/>
      <c r="W153" s="140"/>
      <c r="X153" s="140"/>
      <c r="Y153" s="140"/>
      <c r="Z153" s="140"/>
    </row>
    <row r="154" spans="1:26"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96"/>
      <c r="U154" s="140"/>
      <c r="V154" s="140"/>
      <c r="W154" s="140"/>
      <c r="X154" s="140"/>
      <c r="Y154" s="140"/>
      <c r="Z154" s="140"/>
    </row>
    <row r="155" spans="1:26"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96"/>
      <c r="U155" s="140"/>
      <c r="V155" s="140"/>
      <c r="W155" s="140"/>
      <c r="X155" s="140"/>
      <c r="Y155" s="140"/>
      <c r="Z155" s="140"/>
    </row>
    <row r="156" spans="1:26"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96"/>
      <c r="U156" s="140"/>
      <c r="V156" s="140"/>
      <c r="W156" s="140"/>
      <c r="X156" s="140"/>
      <c r="Y156" s="140"/>
      <c r="Z156" s="140"/>
    </row>
    <row r="157" spans="1:26"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96"/>
      <c r="U157" s="140"/>
      <c r="V157" s="140"/>
      <c r="W157" s="140"/>
      <c r="X157" s="140"/>
      <c r="Y157" s="140"/>
      <c r="Z157" s="140"/>
    </row>
    <row r="158" spans="1:26"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96"/>
      <c r="U158" s="140"/>
      <c r="V158" s="140"/>
      <c r="W158" s="140"/>
      <c r="X158" s="140"/>
      <c r="Y158" s="140"/>
      <c r="Z158" s="140"/>
    </row>
    <row r="159" spans="1:26"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96"/>
      <c r="U159" s="140"/>
      <c r="V159" s="140"/>
      <c r="W159" s="140"/>
      <c r="X159" s="140"/>
      <c r="Y159" s="140"/>
      <c r="Z159" s="140"/>
    </row>
    <row r="160" spans="1:26"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96"/>
      <c r="U160" s="140"/>
      <c r="V160" s="140"/>
      <c r="W160" s="140"/>
      <c r="X160" s="140"/>
      <c r="Y160" s="140"/>
      <c r="Z160" s="140"/>
    </row>
    <row r="161" spans="1:26"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96"/>
      <c r="U161" s="140"/>
      <c r="V161" s="140"/>
      <c r="W161" s="140"/>
      <c r="X161" s="140"/>
      <c r="Y161" s="140"/>
      <c r="Z161" s="140"/>
    </row>
    <row r="162" spans="1:26"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96"/>
      <c r="U162" s="140"/>
      <c r="V162" s="140"/>
      <c r="W162" s="140"/>
      <c r="X162" s="140"/>
      <c r="Y162" s="140"/>
      <c r="Z162" s="140"/>
    </row>
    <row r="163" spans="1:26"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96"/>
      <c r="U163" s="140"/>
      <c r="V163" s="140"/>
      <c r="W163" s="140"/>
      <c r="X163" s="140"/>
      <c r="Y163" s="140"/>
      <c r="Z163" s="140"/>
    </row>
    <row r="164" spans="1:26"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96"/>
      <c r="U164" s="140"/>
      <c r="V164" s="140"/>
      <c r="W164" s="140"/>
      <c r="X164" s="140"/>
      <c r="Y164" s="140"/>
      <c r="Z164" s="140"/>
    </row>
    <row r="165" spans="1:26"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96"/>
      <c r="U165" s="140"/>
      <c r="V165" s="140"/>
      <c r="W165" s="140"/>
      <c r="X165" s="140"/>
      <c r="Y165" s="140"/>
      <c r="Z165" s="140"/>
    </row>
    <row r="166" spans="1:26"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96"/>
      <c r="U166" s="140"/>
      <c r="V166" s="140"/>
      <c r="W166" s="140"/>
      <c r="X166" s="140"/>
      <c r="Y166" s="140"/>
      <c r="Z166" s="140"/>
    </row>
    <row r="167" spans="1:26"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96"/>
      <c r="U167" s="140"/>
      <c r="V167" s="140"/>
      <c r="W167" s="140"/>
      <c r="X167" s="140"/>
      <c r="Y167" s="140"/>
      <c r="Z167" s="140"/>
    </row>
    <row r="168" spans="1:26"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96"/>
      <c r="U168" s="140"/>
      <c r="V168" s="140"/>
      <c r="W168" s="140"/>
      <c r="X168" s="140"/>
      <c r="Y168" s="140"/>
      <c r="Z168" s="140"/>
    </row>
    <row r="169" spans="1:26"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96"/>
      <c r="U169" s="140"/>
      <c r="V169" s="140"/>
      <c r="W169" s="140"/>
      <c r="X169" s="140"/>
      <c r="Y169" s="140"/>
      <c r="Z169" s="140"/>
    </row>
    <row r="170" spans="1:26"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96"/>
      <c r="U170" s="140"/>
      <c r="V170" s="140"/>
      <c r="W170" s="140"/>
      <c r="X170" s="140"/>
      <c r="Y170" s="140"/>
      <c r="Z170" s="140"/>
    </row>
    <row r="171" spans="1:26"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96"/>
      <c r="U171" s="140"/>
      <c r="V171" s="140"/>
      <c r="W171" s="140"/>
      <c r="X171" s="140"/>
      <c r="Y171" s="140"/>
      <c r="Z171" s="140"/>
    </row>
    <row r="172" spans="1:26"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96"/>
      <c r="U172" s="140"/>
      <c r="V172" s="140"/>
      <c r="W172" s="140"/>
      <c r="X172" s="140"/>
      <c r="Y172" s="140"/>
      <c r="Z172" s="140"/>
    </row>
    <row r="173" spans="1:26"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96"/>
      <c r="U173" s="140"/>
      <c r="V173" s="140"/>
      <c r="W173" s="140"/>
      <c r="X173" s="140"/>
      <c r="Y173" s="140"/>
      <c r="Z173" s="140"/>
    </row>
    <row r="174" spans="1:26"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96"/>
      <c r="U174" s="140"/>
      <c r="V174" s="140"/>
      <c r="W174" s="140"/>
      <c r="X174" s="140"/>
      <c r="Y174" s="140"/>
      <c r="Z174" s="140"/>
    </row>
    <row r="175" spans="1:26"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96"/>
      <c r="U175" s="140"/>
      <c r="V175" s="140"/>
      <c r="W175" s="140"/>
      <c r="X175" s="140"/>
      <c r="Y175" s="140"/>
      <c r="Z175" s="140"/>
    </row>
    <row r="176" spans="1:26"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96"/>
      <c r="U176" s="140"/>
      <c r="V176" s="140"/>
      <c r="W176" s="140"/>
      <c r="X176" s="140"/>
      <c r="Y176" s="140"/>
      <c r="Z176" s="140"/>
    </row>
    <row r="177" spans="1:26"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96"/>
      <c r="U177" s="140"/>
      <c r="V177" s="140"/>
      <c r="W177" s="140"/>
      <c r="X177" s="140"/>
      <c r="Y177" s="140"/>
      <c r="Z177" s="140"/>
    </row>
    <row r="178" spans="1:26"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96"/>
      <c r="U178" s="140"/>
      <c r="V178" s="140"/>
      <c r="W178" s="140"/>
      <c r="X178" s="140"/>
      <c r="Y178" s="140"/>
      <c r="Z178" s="140"/>
    </row>
    <row r="179" spans="1:26"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96"/>
      <c r="U179" s="140"/>
      <c r="V179" s="140"/>
      <c r="W179" s="140"/>
      <c r="X179" s="140"/>
      <c r="Y179" s="140"/>
      <c r="Z179" s="140"/>
    </row>
    <row r="180" spans="1:26"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96"/>
      <c r="U180" s="140"/>
      <c r="V180" s="140"/>
      <c r="W180" s="140"/>
      <c r="X180" s="140"/>
      <c r="Y180" s="140"/>
      <c r="Z180" s="140"/>
    </row>
    <row r="181" spans="1:26"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96"/>
      <c r="U181" s="140"/>
      <c r="V181" s="140"/>
      <c r="W181" s="140"/>
      <c r="X181" s="140"/>
      <c r="Y181" s="140"/>
      <c r="Z181" s="140"/>
    </row>
    <row r="182" spans="1:26"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96"/>
      <c r="U182" s="140"/>
      <c r="V182" s="140"/>
      <c r="W182" s="140"/>
      <c r="X182" s="140"/>
      <c r="Y182" s="140"/>
      <c r="Z182" s="140"/>
    </row>
    <row r="183" spans="1:26"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96"/>
      <c r="U183" s="140"/>
      <c r="V183" s="140"/>
      <c r="W183" s="140"/>
      <c r="X183" s="140"/>
      <c r="Y183" s="140"/>
      <c r="Z183" s="140"/>
    </row>
    <row r="184" spans="1:26"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96"/>
      <c r="U184" s="140"/>
      <c r="V184" s="140"/>
      <c r="W184" s="140"/>
      <c r="X184" s="140"/>
      <c r="Y184" s="140"/>
      <c r="Z184" s="140"/>
    </row>
    <row r="185" spans="1:26"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96"/>
      <c r="U185" s="140"/>
      <c r="V185" s="140"/>
      <c r="W185" s="140"/>
      <c r="X185" s="140"/>
      <c r="Y185" s="140"/>
      <c r="Z185" s="140"/>
    </row>
    <row r="186" spans="1:26"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96"/>
      <c r="U186" s="140"/>
      <c r="V186" s="140"/>
      <c r="W186" s="140"/>
      <c r="X186" s="140"/>
      <c r="Y186" s="140"/>
      <c r="Z186" s="140"/>
    </row>
    <row r="187" spans="1:26"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96"/>
      <c r="U187" s="140"/>
      <c r="V187" s="140"/>
      <c r="W187" s="140"/>
      <c r="X187" s="140"/>
      <c r="Y187" s="140"/>
      <c r="Z187" s="140"/>
    </row>
    <row r="188" spans="1:26"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96"/>
      <c r="U188" s="140"/>
      <c r="V188" s="140"/>
      <c r="W188" s="140"/>
      <c r="X188" s="140"/>
      <c r="Y188" s="140"/>
      <c r="Z188" s="140"/>
    </row>
    <row r="189" spans="1:26"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96"/>
      <c r="U189" s="140"/>
      <c r="V189" s="140"/>
      <c r="W189" s="140"/>
      <c r="X189" s="140"/>
      <c r="Y189" s="140"/>
      <c r="Z189" s="140"/>
    </row>
    <row r="190" spans="1:26"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96"/>
      <c r="U190" s="140"/>
      <c r="V190" s="140"/>
      <c r="W190" s="140"/>
      <c r="X190" s="140"/>
      <c r="Y190" s="140"/>
      <c r="Z190" s="140"/>
    </row>
    <row r="191" spans="1:26"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96"/>
      <c r="U191" s="140"/>
      <c r="V191" s="140"/>
      <c r="W191" s="140"/>
      <c r="X191" s="140"/>
      <c r="Y191" s="140"/>
      <c r="Z191" s="140"/>
    </row>
    <row r="192" spans="1:26"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96"/>
      <c r="U192" s="140"/>
      <c r="V192" s="140"/>
      <c r="W192" s="140"/>
      <c r="X192" s="140"/>
      <c r="Y192" s="140"/>
      <c r="Z192" s="140"/>
    </row>
    <row r="193" spans="1:26"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96"/>
      <c r="U193" s="140"/>
      <c r="V193" s="140"/>
      <c r="W193" s="140"/>
      <c r="X193" s="140"/>
      <c r="Y193" s="140"/>
      <c r="Z193" s="140"/>
    </row>
    <row r="194" spans="1:26"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96"/>
      <c r="U194" s="140"/>
      <c r="V194" s="140"/>
      <c r="W194" s="140"/>
      <c r="X194" s="140"/>
      <c r="Y194" s="140"/>
      <c r="Z194" s="140"/>
    </row>
    <row r="195" spans="1:26"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96"/>
      <c r="U195" s="140"/>
      <c r="V195" s="140"/>
      <c r="W195" s="140"/>
      <c r="X195" s="140"/>
      <c r="Y195" s="140"/>
      <c r="Z195" s="140"/>
    </row>
    <row r="196" spans="1:26"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96"/>
      <c r="U196" s="140"/>
      <c r="V196" s="140"/>
      <c r="W196" s="140"/>
      <c r="X196" s="140"/>
      <c r="Y196" s="140"/>
      <c r="Z196" s="140"/>
    </row>
    <row r="197" spans="1:26"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96"/>
      <c r="U197" s="140"/>
      <c r="V197" s="140"/>
      <c r="W197" s="140"/>
      <c r="X197" s="140"/>
      <c r="Y197" s="140"/>
      <c r="Z197" s="140"/>
    </row>
    <row r="198" spans="1:26"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96"/>
      <c r="U198" s="140"/>
      <c r="V198" s="140"/>
      <c r="W198" s="140"/>
      <c r="X198" s="140"/>
      <c r="Y198" s="140"/>
      <c r="Z198" s="140"/>
    </row>
    <row r="199" spans="1:26"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96"/>
      <c r="U199" s="140"/>
      <c r="V199" s="140"/>
      <c r="W199" s="140"/>
      <c r="X199" s="140"/>
      <c r="Y199" s="140"/>
      <c r="Z199" s="140"/>
    </row>
    <row r="200" spans="1:26"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96"/>
      <c r="U200" s="140"/>
      <c r="V200" s="140"/>
      <c r="W200" s="140"/>
      <c r="X200" s="140"/>
      <c r="Y200" s="140"/>
      <c r="Z200" s="140"/>
    </row>
    <row r="201" spans="1:26"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96"/>
      <c r="U201" s="140"/>
      <c r="V201" s="140"/>
      <c r="W201" s="140"/>
      <c r="X201" s="140"/>
      <c r="Y201" s="140"/>
      <c r="Z201" s="140"/>
    </row>
    <row r="202" spans="1:26"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96"/>
      <c r="U202" s="140"/>
      <c r="V202" s="140"/>
      <c r="W202" s="140"/>
      <c r="X202" s="140"/>
      <c r="Y202" s="140"/>
      <c r="Z202" s="140"/>
    </row>
    <row r="203" spans="1:26"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96"/>
      <c r="U203" s="140"/>
      <c r="V203" s="140"/>
      <c r="W203" s="140"/>
      <c r="X203" s="140"/>
      <c r="Y203" s="140"/>
      <c r="Z203" s="140"/>
    </row>
    <row r="204" spans="1:26"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96"/>
      <c r="U204" s="140"/>
      <c r="V204" s="140"/>
      <c r="W204" s="140"/>
      <c r="X204" s="140"/>
      <c r="Y204" s="140"/>
      <c r="Z204" s="140"/>
    </row>
    <row r="205" spans="1:26"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96"/>
      <c r="U205" s="140"/>
      <c r="V205" s="140"/>
      <c r="W205" s="140"/>
      <c r="X205" s="140"/>
      <c r="Y205" s="140"/>
      <c r="Z205" s="140"/>
    </row>
    <row r="206" spans="1:26"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96"/>
      <c r="U206" s="140"/>
      <c r="V206" s="140"/>
      <c r="W206" s="140"/>
      <c r="X206" s="140"/>
      <c r="Y206" s="140"/>
      <c r="Z206" s="140"/>
    </row>
    <row r="207" spans="1:26"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96"/>
      <c r="U207" s="140"/>
      <c r="V207" s="140"/>
      <c r="W207" s="140"/>
      <c r="X207" s="140"/>
      <c r="Y207" s="140"/>
      <c r="Z207" s="140"/>
    </row>
    <row r="208" spans="1:26"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96"/>
      <c r="U208" s="140"/>
      <c r="V208" s="140"/>
      <c r="W208" s="140"/>
      <c r="X208" s="140"/>
      <c r="Y208" s="140"/>
      <c r="Z208" s="140"/>
    </row>
    <row r="209" spans="1:26"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96"/>
      <c r="U209" s="140"/>
      <c r="V209" s="140"/>
      <c r="W209" s="140"/>
      <c r="X209" s="140"/>
      <c r="Y209" s="140"/>
      <c r="Z209" s="140"/>
    </row>
    <row r="210" spans="1:26"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96"/>
      <c r="U210" s="140"/>
      <c r="V210" s="140"/>
      <c r="W210" s="140"/>
      <c r="X210" s="140"/>
      <c r="Y210" s="140"/>
      <c r="Z210" s="140"/>
    </row>
    <row r="211" spans="1:26"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96"/>
      <c r="U211" s="140"/>
      <c r="V211" s="140"/>
      <c r="W211" s="140"/>
      <c r="X211" s="140"/>
      <c r="Y211" s="140"/>
      <c r="Z211" s="140"/>
    </row>
    <row r="212" spans="1:26"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96"/>
      <c r="U212" s="140"/>
      <c r="V212" s="140"/>
      <c r="W212" s="140"/>
      <c r="X212" s="140"/>
      <c r="Y212" s="140"/>
      <c r="Z212" s="140"/>
    </row>
    <row r="213" spans="1:26"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96"/>
      <c r="U213" s="140"/>
      <c r="V213" s="140"/>
      <c r="W213" s="140"/>
      <c r="X213" s="140"/>
      <c r="Y213" s="140"/>
      <c r="Z213" s="140"/>
    </row>
    <row r="214" spans="1:26"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96"/>
      <c r="U214" s="140"/>
      <c r="V214" s="140"/>
      <c r="W214" s="140"/>
      <c r="X214" s="140"/>
      <c r="Y214" s="140"/>
      <c r="Z214" s="140"/>
    </row>
    <row r="215" spans="1:26"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96"/>
      <c r="U215" s="140"/>
      <c r="V215" s="140"/>
      <c r="W215" s="140"/>
      <c r="X215" s="140"/>
      <c r="Y215" s="140"/>
      <c r="Z215" s="140"/>
    </row>
    <row r="216" spans="1:26"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96"/>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96"/>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96"/>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96"/>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96"/>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96"/>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96"/>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96"/>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96"/>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96"/>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96"/>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96"/>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96"/>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96"/>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96"/>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96"/>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96"/>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96"/>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96"/>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96"/>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96"/>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96"/>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96"/>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96"/>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96"/>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96"/>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96"/>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96"/>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96"/>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96"/>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96"/>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96"/>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96"/>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96"/>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96"/>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96"/>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96"/>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96"/>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96"/>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96"/>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96"/>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96"/>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96"/>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96"/>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96"/>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96"/>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96"/>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96"/>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96"/>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96"/>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96"/>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96"/>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96"/>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96"/>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96"/>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96"/>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96"/>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96"/>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96"/>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96"/>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96"/>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96"/>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96"/>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96"/>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96"/>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96"/>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96"/>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96"/>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96"/>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96"/>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96"/>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96"/>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96"/>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96"/>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96"/>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96"/>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96"/>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96"/>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96"/>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96"/>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96"/>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96"/>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96"/>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96"/>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96"/>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96"/>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96"/>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96"/>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96"/>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96"/>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96"/>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96"/>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96"/>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96"/>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96"/>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96"/>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96"/>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96"/>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96"/>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96"/>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96"/>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96"/>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96"/>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96"/>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96"/>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96"/>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96"/>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96"/>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96"/>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96"/>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96"/>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96"/>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96"/>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96"/>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96"/>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96"/>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96"/>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96"/>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96"/>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96"/>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96"/>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96"/>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96"/>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96"/>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96"/>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96"/>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96"/>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96"/>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96"/>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96"/>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96"/>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96"/>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96"/>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96"/>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96"/>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96"/>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96"/>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96"/>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96"/>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96"/>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96"/>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96"/>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96"/>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96"/>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96"/>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96"/>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96"/>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96"/>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96"/>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96"/>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96"/>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96"/>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96"/>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96"/>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96"/>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96"/>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96"/>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96"/>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96"/>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96"/>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96"/>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96"/>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96"/>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96"/>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96"/>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96"/>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96"/>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96"/>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96"/>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96"/>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96"/>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96"/>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96"/>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96"/>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96"/>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96"/>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96"/>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96"/>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96"/>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96"/>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96"/>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96"/>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96"/>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96"/>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96"/>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96"/>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96"/>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96"/>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96"/>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96"/>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96"/>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96"/>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96"/>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96"/>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96"/>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96"/>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96"/>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96"/>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96"/>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96"/>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96"/>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96"/>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96"/>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96"/>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96"/>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96"/>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96"/>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96"/>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96"/>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96"/>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96"/>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96"/>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96"/>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96"/>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96"/>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96"/>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96"/>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96"/>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96"/>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96"/>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96"/>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96"/>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96"/>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96"/>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96"/>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96"/>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96"/>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96"/>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96"/>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96"/>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96"/>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96"/>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96"/>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96"/>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96"/>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96"/>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96"/>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96"/>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96"/>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96"/>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96"/>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96"/>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96"/>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96"/>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96"/>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96"/>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96"/>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96"/>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96"/>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96"/>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96"/>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96"/>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96"/>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96"/>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96"/>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96"/>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96"/>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96"/>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96"/>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96"/>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96"/>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96"/>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96"/>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96"/>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96"/>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96"/>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96"/>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96"/>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96"/>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96"/>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96"/>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96"/>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96"/>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96"/>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96"/>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96"/>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96"/>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96"/>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96"/>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96"/>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96"/>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96"/>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96"/>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96"/>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96"/>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96"/>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96"/>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96"/>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96"/>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96"/>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96"/>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96"/>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96"/>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96"/>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96"/>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96"/>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96"/>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96"/>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96"/>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96"/>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96"/>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96"/>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96"/>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96"/>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96"/>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96"/>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96"/>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96"/>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96"/>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96"/>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96"/>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96"/>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96"/>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96"/>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96"/>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96"/>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96"/>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96"/>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96"/>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96"/>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96"/>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96"/>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96"/>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96"/>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96"/>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96"/>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96"/>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96"/>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96"/>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96"/>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96"/>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96"/>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96"/>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96"/>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96"/>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96"/>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96"/>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96"/>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96"/>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96"/>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96"/>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96"/>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96"/>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96"/>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96"/>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96"/>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96"/>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96"/>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96"/>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96"/>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96"/>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96"/>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96"/>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96"/>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96"/>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96"/>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96"/>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96"/>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96"/>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96"/>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96"/>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96"/>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96"/>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96"/>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96"/>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96"/>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96"/>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96"/>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96"/>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96"/>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96"/>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96"/>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96"/>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96"/>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96"/>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96"/>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96"/>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96"/>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96"/>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96"/>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96"/>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96"/>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96"/>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96"/>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96"/>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96"/>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96"/>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96"/>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96"/>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96"/>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96"/>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96"/>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96"/>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96"/>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96"/>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96"/>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96"/>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96"/>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96"/>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96"/>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96"/>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96"/>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96"/>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96"/>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96"/>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96"/>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96"/>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96"/>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96"/>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96"/>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96"/>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96"/>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96"/>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96"/>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96"/>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96"/>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96"/>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96"/>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96"/>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96"/>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96"/>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96"/>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96"/>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96"/>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96"/>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96"/>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96"/>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96"/>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96"/>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96"/>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96"/>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96"/>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96"/>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96"/>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96"/>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96"/>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96"/>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96"/>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96"/>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96"/>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96"/>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96"/>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96"/>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96"/>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96"/>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96"/>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96"/>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96"/>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96"/>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96"/>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96"/>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96"/>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96"/>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96"/>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96"/>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96"/>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96"/>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96"/>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96"/>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96"/>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96"/>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96"/>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96"/>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96"/>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96"/>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96"/>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96"/>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96"/>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96"/>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96"/>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96"/>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96"/>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96"/>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96"/>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96"/>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96"/>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96"/>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96"/>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96"/>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96"/>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96"/>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96"/>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96"/>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96"/>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96"/>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96"/>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96"/>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96"/>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96"/>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96"/>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96"/>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96"/>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96"/>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96"/>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96"/>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96"/>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96"/>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96"/>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96"/>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96"/>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96"/>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96"/>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96"/>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96"/>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96"/>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96"/>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96"/>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96"/>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96"/>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96"/>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96"/>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96"/>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96"/>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96"/>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96"/>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96"/>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96"/>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96"/>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96"/>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96"/>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96"/>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96"/>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96"/>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96"/>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96"/>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96"/>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96"/>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96"/>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96"/>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96"/>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96"/>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96"/>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96"/>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96"/>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96"/>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96"/>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96"/>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96"/>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96"/>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96"/>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96"/>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96"/>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96"/>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96"/>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96"/>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96"/>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96"/>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96"/>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96"/>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96"/>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96"/>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96"/>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96"/>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96"/>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96"/>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96"/>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96"/>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96"/>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96"/>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96"/>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96"/>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96"/>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96"/>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96"/>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96"/>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96"/>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96"/>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96"/>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96"/>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96"/>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96"/>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96"/>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96"/>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96"/>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96"/>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96"/>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96"/>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96"/>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96"/>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96"/>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96"/>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96"/>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96"/>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96"/>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96"/>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96"/>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96"/>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96"/>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96"/>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96"/>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96"/>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96"/>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96"/>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96"/>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96"/>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96"/>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96"/>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96"/>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96"/>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96"/>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96"/>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96"/>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96"/>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96"/>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96"/>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96"/>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96"/>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96"/>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96"/>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96"/>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96"/>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96"/>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96"/>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96"/>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96"/>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96"/>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96"/>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96"/>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96"/>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96"/>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96"/>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96"/>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96"/>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96"/>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96"/>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96"/>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96"/>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96"/>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96"/>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96"/>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96"/>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96"/>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96"/>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96"/>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96"/>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96"/>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96"/>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96"/>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96"/>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96"/>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96"/>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96"/>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96"/>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96"/>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96"/>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96"/>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96"/>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96"/>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96"/>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96"/>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96"/>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96"/>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96"/>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96"/>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96"/>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96"/>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96"/>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96"/>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96"/>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96"/>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96"/>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96"/>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96"/>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96"/>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96"/>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96"/>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96"/>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96"/>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96"/>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96"/>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96"/>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96"/>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96"/>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96"/>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96"/>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96"/>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96"/>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96"/>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96"/>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96"/>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96"/>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96"/>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96"/>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96"/>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96"/>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96"/>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96"/>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96"/>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96"/>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96"/>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96"/>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96"/>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96"/>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96"/>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96"/>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96"/>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96"/>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96"/>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96"/>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96"/>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96"/>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96"/>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96"/>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96"/>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96"/>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96"/>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96"/>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96"/>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96"/>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96"/>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96"/>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96"/>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96"/>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96"/>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96"/>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96"/>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96"/>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96"/>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96"/>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96"/>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96"/>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96"/>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96"/>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96"/>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96"/>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96"/>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96"/>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96"/>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96"/>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96"/>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96"/>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96"/>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96"/>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96"/>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96"/>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96"/>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96"/>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96"/>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96"/>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96"/>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96"/>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96"/>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96"/>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96"/>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96"/>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96"/>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96"/>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96"/>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96"/>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96"/>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96"/>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96"/>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96"/>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96"/>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96"/>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96"/>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96"/>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96"/>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96"/>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96"/>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96"/>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96"/>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96"/>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96"/>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96"/>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96"/>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96"/>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96"/>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96"/>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96"/>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96"/>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96"/>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96"/>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96"/>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96"/>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96"/>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96"/>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96"/>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96"/>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96"/>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96"/>
      <c r="U996" s="140"/>
      <c r="V996" s="140"/>
      <c r="W996" s="140"/>
      <c r="X996" s="140"/>
      <c r="Y996" s="140"/>
      <c r="Z996" s="140"/>
    </row>
    <row r="997" spans="1:26" ht="15.75" customHeight="1" x14ac:dyDescent="0.25">
      <c r="A997" s="140"/>
      <c r="B997" s="140"/>
      <c r="C997" s="140"/>
      <c r="D997" s="140"/>
      <c r="E997" s="140"/>
      <c r="F997" s="140"/>
      <c r="G997" s="140"/>
      <c r="H997" s="140"/>
      <c r="I997" s="140"/>
      <c r="J997" s="140"/>
      <c r="K997" s="140"/>
      <c r="L997" s="140"/>
      <c r="M997" s="140"/>
      <c r="N997" s="140"/>
      <c r="O997" s="140"/>
      <c r="P997" s="140"/>
      <c r="Q997" s="140"/>
      <c r="R997" s="140"/>
      <c r="S997" s="140"/>
      <c r="T997" s="196"/>
      <c r="U997" s="140"/>
      <c r="V997" s="140"/>
      <c r="W997" s="140"/>
      <c r="X997" s="140"/>
      <c r="Y997" s="140"/>
      <c r="Z997" s="140"/>
    </row>
    <row r="998" spans="1:26" ht="15.75" customHeight="1" x14ac:dyDescent="0.25">
      <c r="A998" s="140"/>
      <c r="B998" s="140"/>
      <c r="C998" s="140"/>
      <c r="D998" s="140"/>
      <c r="E998" s="140"/>
      <c r="F998" s="140"/>
      <c r="G998" s="140"/>
      <c r="H998" s="140"/>
      <c r="I998" s="140"/>
      <c r="J998" s="140"/>
      <c r="K998" s="140"/>
      <c r="L998" s="140"/>
      <c r="M998" s="140"/>
      <c r="N998" s="140"/>
      <c r="O998" s="140"/>
      <c r="P998" s="140"/>
      <c r="Q998" s="140"/>
      <c r="R998" s="140"/>
      <c r="S998" s="140"/>
      <c r="T998" s="196"/>
      <c r="U998" s="140"/>
      <c r="V998" s="140"/>
      <c r="W998" s="140"/>
      <c r="X998" s="140"/>
      <c r="Y998" s="140"/>
      <c r="Z998" s="140"/>
    </row>
    <row r="999" spans="1:26" ht="15.75" customHeight="1" x14ac:dyDescent="0.25">
      <c r="A999" s="140"/>
      <c r="B999" s="140"/>
      <c r="C999" s="140"/>
      <c r="D999" s="140"/>
      <c r="E999" s="140"/>
      <c r="F999" s="140"/>
      <c r="G999" s="140"/>
      <c r="H999" s="140"/>
      <c r="I999" s="140"/>
      <c r="J999" s="140"/>
      <c r="K999" s="140"/>
      <c r="L999" s="140"/>
      <c r="M999" s="140"/>
      <c r="N999" s="140"/>
      <c r="O999" s="140"/>
      <c r="P999" s="140"/>
      <c r="Q999" s="140"/>
      <c r="R999" s="140"/>
      <c r="S999" s="140"/>
      <c r="T999" s="196"/>
      <c r="U999" s="140"/>
      <c r="V999" s="140"/>
      <c r="W999" s="140"/>
      <c r="X999" s="140"/>
      <c r="Y999" s="140"/>
      <c r="Z999" s="140"/>
    </row>
    <row r="1000" spans="1:26" ht="15.75" customHeight="1" x14ac:dyDescent="0.25">
      <c r="A1000" s="140"/>
      <c r="B1000" s="140"/>
      <c r="C1000" s="140"/>
      <c r="D1000" s="140"/>
      <c r="E1000" s="140"/>
      <c r="F1000" s="140"/>
      <c r="G1000" s="140"/>
      <c r="H1000" s="140"/>
      <c r="I1000" s="140"/>
      <c r="J1000" s="140"/>
      <c r="K1000" s="140"/>
      <c r="L1000" s="140"/>
      <c r="M1000" s="140"/>
      <c r="N1000" s="140"/>
      <c r="O1000" s="140"/>
      <c r="P1000" s="140"/>
      <c r="Q1000" s="140"/>
      <c r="R1000" s="140"/>
      <c r="S1000" s="140"/>
      <c r="T1000" s="196"/>
      <c r="U1000" s="140"/>
      <c r="V1000" s="140"/>
      <c r="W1000" s="140"/>
      <c r="X1000" s="140"/>
      <c r="Y1000" s="140"/>
      <c r="Z1000" s="140"/>
    </row>
  </sheetData>
  <mergeCells count="24">
    <mergeCell ref="A2:R3"/>
    <mergeCell ref="A4:A6"/>
    <mergeCell ref="B4:B6"/>
    <mergeCell ref="C4:C6"/>
    <mergeCell ref="D4:D6"/>
    <mergeCell ref="E4:E6"/>
    <mergeCell ref="F4:F6"/>
    <mergeCell ref="I4:I6"/>
    <mergeCell ref="G4:G6"/>
    <mergeCell ref="H4:H6"/>
    <mergeCell ref="A9:E9"/>
    <mergeCell ref="G12:J12"/>
    <mergeCell ref="M12:P12"/>
    <mergeCell ref="C13:E13"/>
    <mergeCell ref="G13:J13"/>
    <mergeCell ref="E19:G19"/>
    <mergeCell ref="M19:P19"/>
    <mergeCell ref="A13:B13"/>
    <mergeCell ref="A14:B14"/>
    <mergeCell ref="A15:B15"/>
    <mergeCell ref="A16:B16"/>
    <mergeCell ref="C18:E18"/>
    <mergeCell ref="G18:J18"/>
    <mergeCell ref="B19:C19"/>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95"/>
  <sheetViews>
    <sheetView showGridLines="0" zoomScale="75" zoomScaleNormal="75" workbookViewId="0">
      <pane xSplit="6" ySplit="10" topLeftCell="AH30" activePane="bottomRight" state="frozen"/>
      <selection pane="topRight" activeCell="G1" sqref="G1"/>
      <selection pane="bottomLeft" activeCell="A11" sqref="A11"/>
      <selection pane="bottomRight" activeCell="AL32" sqref="AL32:AV32"/>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661"/>
      <c r="B1" s="507"/>
      <c r="C1" s="527" t="s">
        <v>327</v>
      </c>
      <c r="D1" s="507"/>
      <c r="E1" s="507"/>
      <c r="F1" s="507"/>
      <c r="G1" s="507"/>
      <c r="H1" s="507"/>
      <c r="I1" s="507"/>
      <c r="J1" s="507"/>
      <c r="K1" s="507"/>
      <c r="L1" s="662" t="s">
        <v>404</v>
      </c>
      <c r="M1" s="507"/>
      <c r="N1" s="507"/>
      <c r="O1" s="507"/>
      <c r="P1" s="507"/>
      <c r="Q1" s="507"/>
      <c r="R1" s="507"/>
      <c r="S1" s="507"/>
      <c r="T1" s="507"/>
      <c r="U1" s="507"/>
      <c r="V1" s="507"/>
      <c r="W1" s="507"/>
      <c r="X1" s="507"/>
      <c r="Y1" s="507"/>
      <c r="Z1" s="507"/>
      <c r="AA1" s="507"/>
      <c r="AB1" s="507"/>
      <c r="AC1" s="507"/>
      <c r="AD1" s="507"/>
      <c r="AE1" s="507"/>
      <c r="AF1" s="507"/>
      <c r="AG1" s="507"/>
      <c r="AH1" s="507"/>
      <c r="AI1" s="507"/>
      <c r="AJ1" s="507"/>
      <c r="AK1" s="663"/>
      <c r="AL1" s="507"/>
      <c r="AM1" s="202"/>
      <c r="AN1" s="202"/>
      <c r="AO1" s="202"/>
      <c r="AP1" s="202"/>
      <c r="AQ1" s="202"/>
      <c r="AR1" s="202"/>
      <c r="AS1" s="202"/>
      <c r="AT1" s="202"/>
      <c r="AU1" s="202"/>
      <c r="AV1" s="202"/>
      <c r="AW1" s="202"/>
    </row>
    <row r="2" spans="1:50" ht="34.5" customHeight="1" x14ac:dyDescent="0.25">
      <c r="A2" s="507"/>
      <c r="B2" s="507"/>
      <c r="C2" s="507"/>
      <c r="D2" s="507"/>
      <c r="E2" s="507"/>
      <c r="F2" s="507"/>
      <c r="G2" s="507"/>
      <c r="H2" s="507"/>
      <c r="I2" s="507"/>
      <c r="J2" s="507"/>
      <c r="K2" s="507"/>
      <c r="L2" s="507"/>
      <c r="M2" s="507"/>
      <c r="N2" s="507"/>
      <c r="O2" s="507"/>
      <c r="P2" s="507"/>
      <c r="Q2" s="507"/>
      <c r="R2" s="507"/>
      <c r="S2" s="507"/>
      <c r="T2" s="507"/>
      <c r="U2" s="507"/>
      <c r="V2" s="507"/>
      <c r="W2" s="507"/>
      <c r="X2" s="507"/>
      <c r="Y2" s="507"/>
      <c r="Z2" s="507"/>
      <c r="AA2" s="507"/>
      <c r="AB2" s="507"/>
      <c r="AC2" s="507"/>
      <c r="AD2" s="507"/>
      <c r="AE2" s="507"/>
      <c r="AF2" s="507"/>
      <c r="AG2" s="507"/>
      <c r="AH2" s="507"/>
      <c r="AI2" s="507"/>
      <c r="AJ2" s="507"/>
      <c r="AK2" s="507"/>
      <c r="AL2" s="507"/>
      <c r="AM2" s="202"/>
      <c r="AN2" s="202"/>
      <c r="AO2" s="202"/>
      <c r="AP2" s="202"/>
      <c r="AQ2" s="202"/>
      <c r="AR2" s="202"/>
      <c r="AS2" s="202"/>
      <c r="AT2" s="202"/>
      <c r="AU2" s="202"/>
      <c r="AV2" s="202"/>
      <c r="AW2" s="202"/>
    </row>
    <row r="3" spans="1:50" ht="36" customHeight="1" x14ac:dyDescent="0.25">
      <c r="A3" s="507"/>
      <c r="B3" s="507"/>
      <c r="C3" s="507"/>
      <c r="D3" s="507"/>
      <c r="E3" s="507"/>
      <c r="F3" s="507"/>
      <c r="G3" s="507"/>
      <c r="H3" s="507"/>
      <c r="I3" s="507"/>
      <c r="J3" s="507"/>
      <c r="K3" s="507"/>
      <c r="N3" s="203"/>
      <c r="AE3" s="190"/>
      <c r="AH3" s="446"/>
      <c r="AM3" s="201"/>
      <c r="AN3" s="201"/>
      <c r="AO3" s="201"/>
      <c r="AP3" s="201"/>
      <c r="AQ3" s="201"/>
      <c r="AR3" s="201"/>
      <c r="AS3" s="201"/>
      <c r="AT3" s="201"/>
      <c r="AU3" s="204"/>
      <c r="AV3" s="201"/>
      <c r="AW3" s="201"/>
    </row>
    <row r="4" spans="1:50" ht="27" customHeight="1" x14ac:dyDescent="0.25">
      <c r="A4" s="647" t="s">
        <v>165</v>
      </c>
      <c r="B4" s="515"/>
      <c r="C4" s="515"/>
      <c r="D4" s="515"/>
      <c r="E4" s="515"/>
      <c r="F4" s="516"/>
      <c r="G4" s="205">
        <f>'3. BẢNG CHẤM CÔNG'!$AU$11</f>
        <v>22</v>
      </c>
      <c r="H4" s="206"/>
      <c r="I4" s="206"/>
      <c r="J4" s="206"/>
      <c r="K4" s="206"/>
      <c r="L4" s="206"/>
      <c r="M4" s="206"/>
      <c r="N4" s="207"/>
      <c r="O4" s="206"/>
      <c r="P4" s="206"/>
      <c r="Q4" s="206"/>
      <c r="R4" s="206"/>
      <c r="S4" s="206"/>
      <c r="T4" s="206"/>
      <c r="U4" s="206"/>
      <c r="V4" s="206"/>
      <c r="W4" s="208"/>
      <c r="X4" s="206"/>
      <c r="Y4" s="206"/>
      <c r="Z4" s="206"/>
      <c r="AA4" s="206"/>
      <c r="AB4" s="206"/>
      <c r="AC4" s="206"/>
      <c r="AD4" s="206"/>
      <c r="AE4" s="206"/>
      <c r="AF4" s="206"/>
      <c r="AG4" s="206"/>
      <c r="AH4" s="206"/>
      <c r="AI4" s="206"/>
      <c r="AJ4" s="209"/>
      <c r="AK4" s="206"/>
      <c r="AL4" s="206"/>
      <c r="AM4" s="206"/>
      <c r="AN4" s="206"/>
      <c r="AO4" s="206"/>
      <c r="AP4" s="206"/>
      <c r="AQ4" s="206"/>
      <c r="AR4" s="206"/>
      <c r="AS4" s="206"/>
      <c r="AT4" s="206"/>
      <c r="AU4" s="209"/>
      <c r="AV4" s="206"/>
      <c r="AW4" s="210"/>
    </row>
    <row r="5" spans="1:50" ht="45.75" customHeight="1" x14ac:dyDescent="0.25">
      <c r="A5" s="608" t="s">
        <v>166</v>
      </c>
      <c r="B5" s="608" t="s">
        <v>167</v>
      </c>
      <c r="C5" s="608" t="s">
        <v>41</v>
      </c>
      <c r="D5" s="608" t="s">
        <v>129</v>
      </c>
      <c r="E5" s="608" t="s">
        <v>168</v>
      </c>
      <c r="F5" s="608" t="s">
        <v>169</v>
      </c>
      <c r="G5" s="647" t="s">
        <v>170</v>
      </c>
      <c r="H5" s="515"/>
      <c r="I5" s="515"/>
      <c r="J5" s="515"/>
      <c r="K5" s="515"/>
      <c r="L5" s="516"/>
      <c r="M5" s="647" t="s">
        <v>171</v>
      </c>
      <c r="N5" s="515"/>
      <c r="O5" s="516"/>
      <c r="P5" s="648" t="s">
        <v>172</v>
      </c>
      <c r="Q5" s="649"/>
      <c r="R5" s="649"/>
      <c r="S5" s="650"/>
      <c r="T5" s="647" t="s">
        <v>173</v>
      </c>
      <c r="U5" s="515"/>
      <c r="V5" s="516"/>
      <c r="W5" s="647" t="s">
        <v>174</v>
      </c>
      <c r="X5" s="515"/>
      <c r="Y5" s="515"/>
      <c r="Z5" s="515"/>
      <c r="AA5" s="515"/>
      <c r="AB5" s="515"/>
      <c r="AC5" s="515"/>
      <c r="AD5" s="516"/>
      <c r="AE5" s="608" t="s">
        <v>136</v>
      </c>
      <c r="AF5" s="608" t="s">
        <v>175</v>
      </c>
      <c r="AG5" s="647" t="s">
        <v>176</v>
      </c>
      <c r="AH5" s="515"/>
      <c r="AI5" s="515"/>
      <c r="AJ5" s="515"/>
      <c r="AK5" s="515"/>
      <c r="AL5" s="515"/>
      <c r="AM5" s="515"/>
      <c r="AN5" s="516"/>
      <c r="AO5" s="654" t="s">
        <v>177</v>
      </c>
      <c r="AP5" s="649"/>
      <c r="AQ5" s="649"/>
      <c r="AR5" s="650"/>
      <c r="AS5" s="653" t="s">
        <v>178</v>
      </c>
      <c r="AT5" s="653" t="s">
        <v>179</v>
      </c>
      <c r="AU5" s="608" t="s">
        <v>317</v>
      </c>
      <c r="AV5" s="608" t="s">
        <v>181</v>
      </c>
      <c r="AW5" s="608" t="s">
        <v>182</v>
      </c>
    </row>
    <row r="6" spans="1:50" ht="40.5" customHeight="1" x14ac:dyDescent="0.25">
      <c r="A6" s="643"/>
      <c r="B6" s="643"/>
      <c r="C6" s="643"/>
      <c r="D6" s="643"/>
      <c r="E6" s="643"/>
      <c r="F6" s="643"/>
      <c r="G6" s="647" t="s">
        <v>183</v>
      </c>
      <c r="H6" s="515"/>
      <c r="I6" s="516"/>
      <c r="J6" s="608" t="s">
        <v>184</v>
      </c>
      <c r="K6" s="608" t="s">
        <v>185</v>
      </c>
      <c r="L6" s="653" t="s">
        <v>186</v>
      </c>
      <c r="M6" s="608" t="s">
        <v>187</v>
      </c>
      <c r="N6" s="658" t="s">
        <v>188</v>
      </c>
      <c r="O6" s="653" t="s">
        <v>189</v>
      </c>
      <c r="P6" s="651"/>
      <c r="Q6" s="548"/>
      <c r="R6" s="548"/>
      <c r="S6" s="652"/>
      <c r="T6" s="608" t="s">
        <v>190</v>
      </c>
      <c r="U6" s="608" t="s">
        <v>191</v>
      </c>
      <c r="V6" s="653" t="s">
        <v>192</v>
      </c>
      <c r="W6" s="647" t="s">
        <v>193</v>
      </c>
      <c r="X6" s="515"/>
      <c r="Y6" s="515"/>
      <c r="Z6" s="516"/>
      <c r="AA6" s="664" t="s">
        <v>194</v>
      </c>
      <c r="AB6" s="612"/>
      <c r="AC6" s="613"/>
      <c r="AD6" s="653" t="s">
        <v>195</v>
      </c>
      <c r="AE6" s="643"/>
      <c r="AF6" s="643"/>
      <c r="AG6" s="647" t="s">
        <v>196</v>
      </c>
      <c r="AH6" s="515"/>
      <c r="AI6" s="515"/>
      <c r="AJ6" s="516"/>
      <c r="AK6" s="647" t="s">
        <v>197</v>
      </c>
      <c r="AL6" s="515"/>
      <c r="AM6" s="515"/>
      <c r="AN6" s="516"/>
      <c r="AO6" s="651"/>
      <c r="AP6" s="548"/>
      <c r="AQ6" s="548"/>
      <c r="AR6" s="652"/>
      <c r="AS6" s="643"/>
      <c r="AT6" s="643"/>
      <c r="AU6" s="643"/>
      <c r="AV6" s="643"/>
      <c r="AW6" s="643"/>
    </row>
    <row r="7" spans="1:50" ht="48" customHeight="1" x14ac:dyDescent="0.25">
      <c r="A7" s="643"/>
      <c r="B7" s="643"/>
      <c r="C7" s="643"/>
      <c r="D7" s="643"/>
      <c r="E7" s="643"/>
      <c r="F7" s="643"/>
      <c r="G7" s="608" t="s">
        <v>198</v>
      </c>
      <c r="H7" s="608" t="s">
        <v>199</v>
      </c>
      <c r="I7" s="608" t="s">
        <v>200</v>
      </c>
      <c r="J7" s="643"/>
      <c r="K7" s="643"/>
      <c r="L7" s="643"/>
      <c r="M7" s="643"/>
      <c r="N7" s="643"/>
      <c r="O7" s="643"/>
      <c r="P7" s="608" t="s">
        <v>142</v>
      </c>
      <c r="Q7" s="608" t="s">
        <v>141</v>
      </c>
      <c r="R7" s="659" t="s">
        <v>201</v>
      </c>
      <c r="S7" s="653" t="s">
        <v>202</v>
      </c>
      <c r="T7" s="643"/>
      <c r="U7" s="643"/>
      <c r="V7" s="643"/>
      <c r="W7" s="608" t="s">
        <v>143</v>
      </c>
      <c r="X7" s="608" t="s">
        <v>144</v>
      </c>
      <c r="Y7" s="608" t="s">
        <v>145</v>
      </c>
      <c r="Z7" s="608" t="s">
        <v>203</v>
      </c>
      <c r="AA7" s="608" t="s">
        <v>147</v>
      </c>
      <c r="AB7" s="608" t="s">
        <v>204</v>
      </c>
      <c r="AC7" s="608" t="s">
        <v>205</v>
      </c>
      <c r="AD7" s="643"/>
      <c r="AE7" s="643"/>
      <c r="AF7" s="643"/>
      <c r="AG7" s="211" t="s">
        <v>206</v>
      </c>
      <c r="AH7" s="211" t="s">
        <v>207</v>
      </c>
      <c r="AI7" s="211" t="s">
        <v>208</v>
      </c>
      <c r="AJ7" s="653" t="s">
        <v>209</v>
      </c>
      <c r="AK7" s="211" t="s">
        <v>210</v>
      </c>
      <c r="AL7" s="211" t="s">
        <v>211</v>
      </c>
      <c r="AM7" s="211" t="s">
        <v>208</v>
      </c>
      <c r="AN7" s="653" t="s">
        <v>212</v>
      </c>
      <c r="AO7" s="655" t="s">
        <v>213</v>
      </c>
      <c r="AP7" s="656" t="s">
        <v>214</v>
      </c>
      <c r="AQ7" s="549"/>
      <c r="AR7" s="608" t="s">
        <v>215</v>
      </c>
      <c r="AS7" s="643"/>
      <c r="AT7" s="643"/>
      <c r="AU7" s="643"/>
      <c r="AV7" s="643"/>
      <c r="AW7" s="643"/>
    </row>
    <row r="8" spans="1:50" ht="43.5" customHeight="1" x14ac:dyDescent="0.25">
      <c r="A8" s="643"/>
      <c r="B8" s="643"/>
      <c r="C8" s="643"/>
      <c r="D8" s="643"/>
      <c r="E8" s="643"/>
      <c r="F8" s="643"/>
      <c r="G8" s="609"/>
      <c r="H8" s="609"/>
      <c r="I8" s="609"/>
      <c r="J8" s="609"/>
      <c r="K8" s="609"/>
      <c r="L8" s="609"/>
      <c r="M8" s="609"/>
      <c r="N8" s="609"/>
      <c r="O8" s="609"/>
      <c r="P8" s="609"/>
      <c r="Q8" s="609"/>
      <c r="R8" s="609"/>
      <c r="S8" s="609"/>
      <c r="T8" s="609"/>
      <c r="U8" s="609"/>
      <c r="V8" s="609"/>
      <c r="W8" s="609"/>
      <c r="X8" s="609"/>
      <c r="Y8" s="609"/>
      <c r="Z8" s="609"/>
      <c r="AA8" s="609"/>
      <c r="AB8" s="609"/>
      <c r="AC8" s="609"/>
      <c r="AD8" s="609"/>
      <c r="AE8" s="609"/>
      <c r="AF8" s="609"/>
      <c r="AG8" s="212">
        <v>0.17499999999999999</v>
      </c>
      <c r="AH8" s="213">
        <v>0.03</v>
      </c>
      <c r="AI8" s="212">
        <v>0.01</v>
      </c>
      <c r="AJ8" s="609"/>
      <c r="AK8" s="212">
        <v>0.08</v>
      </c>
      <c r="AL8" s="212">
        <v>1.4999999999999999E-2</v>
      </c>
      <c r="AM8" s="212">
        <v>0.01</v>
      </c>
      <c r="AN8" s="609"/>
      <c r="AO8" s="609"/>
      <c r="AP8" s="211" t="s">
        <v>216</v>
      </c>
      <c r="AQ8" s="211" t="s">
        <v>217</v>
      </c>
      <c r="AR8" s="609"/>
      <c r="AS8" s="609"/>
      <c r="AT8" s="609"/>
      <c r="AU8" s="609"/>
      <c r="AV8" s="609"/>
      <c r="AW8" s="609"/>
    </row>
    <row r="9" spans="1:50" ht="16.5" customHeight="1" x14ac:dyDescent="0.25">
      <c r="A9" s="609"/>
      <c r="B9" s="609"/>
      <c r="C9" s="609"/>
      <c r="D9" s="609"/>
      <c r="E9" s="609"/>
      <c r="F9" s="609"/>
      <c r="G9" s="214">
        <v>6</v>
      </c>
      <c r="H9" s="214">
        <f t="shared" ref="H9:AA9" si="0">G9+1</f>
        <v>7</v>
      </c>
      <c r="I9" s="214">
        <f t="shared" si="0"/>
        <v>8</v>
      </c>
      <c r="J9" s="214">
        <f t="shared" si="0"/>
        <v>9</v>
      </c>
      <c r="K9" s="214">
        <f t="shared" si="0"/>
        <v>10</v>
      </c>
      <c r="L9" s="214">
        <f t="shared" si="0"/>
        <v>11</v>
      </c>
      <c r="M9" s="214">
        <f t="shared" si="0"/>
        <v>12</v>
      </c>
      <c r="N9" s="214">
        <f t="shared" si="0"/>
        <v>13</v>
      </c>
      <c r="O9" s="214">
        <f t="shared" si="0"/>
        <v>14</v>
      </c>
      <c r="P9" s="214">
        <f t="shared" si="0"/>
        <v>15</v>
      </c>
      <c r="Q9" s="214">
        <f t="shared" si="0"/>
        <v>16</v>
      </c>
      <c r="R9" s="214">
        <f t="shared" si="0"/>
        <v>17</v>
      </c>
      <c r="S9" s="214">
        <f t="shared" si="0"/>
        <v>18</v>
      </c>
      <c r="T9" s="214">
        <f t="shared" si="0"/>
        <v>19</v>
      </c>
      <c r="U9" s="214">
        <f t="shared" si="0"/>
        <v>20</v>
      </c>
      <c r="V9" s="214">
        <f t="shared" si="0"/>
        <v>21</v>
      </c>
      <c r="W9" s="214">
        <f t="shared" si="0"/>
        <v>22</v>
      </c>
      <c r="X9" s="214">
        <f t="shared" si="0"/>
        <v>23</v>
      </c>
      <c r="Y9" s="214">
        <f t="shared" si="0"/>
        <v>24</v>
      </c>
      <c r="Z9" s="214">
        <f t="shared" si="0"/>
        <v>25</v>
      </c>
      <c r="AA9" s="214">
        <f t="shared" si="0"/>
        <v>26</v>
      </c>
      <c r="AB9" s="214"/>
      <c r="AC9" s="214">
        <f>AA9+1</f>
        <v>27</v>
      </c>
      <c r="AD9" s="214">
        <f t="shared" ref="AD9:AW9" si="1">AC9+1</f>
        <v>28</v>
      </c>
      <c r="AE9" s="214">
        <f t="shared" si="1"/>
        <v>29</v>
      </c>
      <c r="AF9" s="214">
        <f t="shared" si="1"/>
        <v>30</v>
      </c>
      <c r="AG9" s="214">
        <f t="shared" si="1"/>
        <v>31</v>
      </c>
      <c r="AH9" s="214">
        <f t="shared" si="1"/>
        <v>32</v>
      </c>
      <c r="AI9" s="214">
        <f t="shared" si="1"/>
        <v>33</v>
      </c>
      <c r="AJ9" s="214">
        <f t="shared" si="1"/>
        <v>34</v>
      </c>
      <c r="AK9" s="214">
        <f t="shared" si="1"/>
        <v>35</v>
      </c>
      <c r="AL9" s="214">
        <f t="shared" si="1"/>
        <v>36</v>
      </c>
      <c r="AM9" s="214">
        <f t="shared" si="1"/>
        <v>37</v>
      </c>
      <c r="AN9" s="214">
        <f t="shared" si="1"/>
        <v>38</v>
      </c>
      <c r="AO9" s="214">
        <f t="shared" si="1"/>
        <v>39</v>
      </c>
      <c r="AP9" s="214">
        <f t="shared" si="1"/>
        <v>40</v>
      </c>
      <c r="AQ9" s="214">
        <f t="shared" si="1"/>
        <v>41</v>
      </c>
      <c r="AR9" s="214">
        <f t="shared" si="1"/>
        <v>42</v>
      </c>
      <c r="AS9" s="214">
        <f t="shared" si="1"/>
        <v>43</v>
      </c>
      <c r="AT9" s="214">
        <f t="shared" si="1"/>
        <v>44</v>
      </c>
      <c r="AU9" s="214">
        <f t="shared" si="1"/>
        <v>45</v>
      </c>
      <c r="AV9" s="214">
        <f t="shared" si="1"/>
        <v>46</v>
      </c>
      <c r="AW9" s="214">
        <f t="shared" si="1"/>
        <v>47</v>
      </c>
    </row>
    <row r="10" spans="1:50" ht="16.5" customHeight="1" x14ac:dyDescent="0.25">
      <c r="A10" s="171"/>
      <c r="C10" s="169"/>
      <c r="D10" s="141"/>
      <c r="E10" s="215"/>
      <c r="F10" s="171"/>
      <c r="G10" s="214"/>
      <c r="H10" s="214"/>
      <c r="I10" s="214"/>
      <c r="J10" s="214"/>
      <c r="K10" s="214"/>
      <c r="L10" s="214"/>
      <c r="M10" s="214"/>
      <c r="N10" s="216"/>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7">
        <v>15500000</v>
      </c>
      <c r="AP10" s="214"/>
      <c r="AQ10" s="217">
        <v>6200000</v>
      </c>
      <c r="AR10" s="214"/>
      <c r="AS10" s="214"/>
      <c r="AT10" s="214"/>
      <c r="AU10" s="214"/>
      <c r="AV10" s="214"/>
      <c r="AW10" s="214"/>
    </row>
    <row r="11" spans="1:50" ht="16.5" customHeight="1" x14ac:dyDescent="0.25">
      <c r="A11" s="218"/>
      <c r="B11" s="219" t="s">
        <v>326</v>
      </c>
      <c r="C11" s="220"/>
      <c r="D11" s="221"/>
      <c r="E11" s="378"/>
      <c r="F11" s="222"/>
      <c r="G11" s="223"/>
      <c r="H11" s="223"/>
      <c r="I11" s="223"/>
      <c r="J11" s="230">
        <f t="shared" ref="J11:AT11" si="2">SUBTOTAL(9,J12:J13)</f>
        <v>0</v>
      </c>
      <c r="K11" s="230">
        <f t="shared" si="2"/>
        <v>0</v>
      </c>
      <c r="L11" s="230">
        <f t="shared" si="2"/>
        <v>0</v>
      </c>
      <c r="M11" s="230">
        <f t="shared" si="2"/>
        <v>29926656</v>
      </c>
      <c r="N11" s="230">
        <f t="shared" si="2"/>
        <v>2</v>
      </c>
      <c r="O11" s="230">
        <f t="shared" si="2"/>
        <v>29926656</v>
      </c>
      <c r="P11" s="230">
        <f t="shared" si="2"/>
        <v>0</v>
      </c>
      <c r="Q11" s="230">
        <f t="shared" si="2"/>
        <v>0</v>
      </c>
      <c r="R11" s="230">
        <f t="shared" si="2"/>
        <v>0</v>
      </c>
      <c r="S11" s="230">
        <f t="shared" si="2"/>
        <v>0</v>
      </c>
      <c r="T11" s="230">
        <f t="shared" si="2"/>
        <v>0</v>
      </c>
      <c r="U11" s="230">
        <f t="shared" si="2"/>
        <v>0</v>
      </c>
      <c r="V11" s="230">
        <f t="shared" si="2"/>
        <v>0</v>
      </c>
      <c r="W11" s="230">
        <f t="shared" si="2"/>
        <v>1440000</v>
      </c>
      <c r="X11" s="230">
        <f t="shared" si="2"/>
        <v>799999.99999999988</v>
      </c>
      <c r="Y11" s="230">
        <f t="shared" si="2"/>
        <v>4500000</v>
      </c>
      <c r="Z11" s="230">
        <f t="shared" si="2"/>
        <v>6740000</v>
      </c>
      <c r="AA11" s="230">
        <f t="shared" si="2"/>
        <v>0</v>
      </c>
      <c r="AB11" s="230">
        <f t="shared" si="2"/>
        <v>0</v>
      </c>
      <c r="AC11" s="230">
        <f t="shared" si="2"/>
        <v>0</v>
      </c>
      <c r="AD11" s="230">
        <f t="shared" si="2"/>
        <v>6740000</v>
      </c>
      <c r="AE11" s="230">
        <f t="shared" si="2"/>
        <v>36666656</v>
      </c>
      <c r="AF11" s="230">
        <f t="shared" si="2"/>
        <v>36666656</v>
      </c>
      <c r="AG11" s="230">
        <f t="shared" si="2"/>
        <v>0</v>
      </c>
      <c r="AH11" s="230">
        <f t="shared" si="2"/>
        <v>0</v>
      </c>
      <c r="AI11" s="230">
        <f t="shared" si="2"/>
        <v>0</v>
      </c>
      <c r="AJ11" s="230">
        <f t="shared" si="2"/>
        <v>0</v>
      </c>
      <c r="AK11" s="230">
        <f t="shared" si="2"/>
        <v>0</v>
      </c>
      <c r="AL11" s="230">
        <f t="shared" si="2"/>
        <v>0</v>
      </c>
      <c r="AM11" s="230">
        <f t="shared" si="2"/>
        <v>0</v>
      </c>
      <c r="AN11" s="230">
        <f t="shared" si="2"/>
        <v>0</v>
      </c>
      <c r="AO11" s="230">
        <f t="shared" si="2"/>
        <v>0</v>
      </c>
      <c r="AP11" s="230">
        <f t="shared" si="2"/>
        <v>0</v>
      </c>
      <c r="AQ11" s="230">
        <f t="shared" si="2"/>
        <v>0</v>
      </c>
      <c r="AR11" s="230">
        <f t="shared" si="2"/>
        <v>0</v>
      </c>
      <c r="AS11" s="230">
        <f t="shared" si="2"/>
        <v>36666656</v>
      </c>
      <c r="AT11" s="230">
        <f t="shared" si="2"/>
        <v>3666665.6</v>
      </c>
      <c r="AU11" s="222"/>
      <c r="AV11" s="230">
        <f>SUM(AV12:AV14)</f>
        <v>34451800</v>
      </c>
      <c r="AW11" s="214"/>
    </row>
    <row r="12" spans="1:50" ht="52.8" customHeight="1" x14ac:dyDescent="0.25">
      <c r="A12" s="100">
        <f>SUBTOTAL(3,$C$11:C12)</f>
        <v>1</v>
      </c>
      <c r="B12" s="37" t="s">
        <v>339</v>
      </c>
      <c r="C12" s="220" t="s">
        <v>340</v>
      </c>
      <c r="D12" s="221" t="s">
        <v>320</v>
      </c>
      <c r="E12" s="173" t="s">
        <v>342</v>
      </c>
      <c r="F12" s="222" t="str">
        <f>IFERROR(VLOOKUP($B12,'3. BẢNG CHẤM CÔNG'!$B$11:$AV$27,6,0),0)</f>
        <v>Chính Thức</v>
      </c>
      <c r="G12" s="223">
        <f>IFERROR(VLOOKUP($B12, '3. BẢNG CHẤM CÔNG'!$B$10:$AV31,43,0),0)</f>
        <v>21</v>
      </c>
      <c r="H12" s="223">
        <f>IFERROR(VLOOKUP($B12, '3. BẢNG CHẤM CÔNG'!$B$10:$AV31,44,0),0)</f>
        <v>1</v>
      </c>
      <c r="I12" s="223"/>
      <c r="J12" s="222">
        <f>IFERROR(VLOOKUP($B12,' 5. Thông số TL'!$D$12:$S$34,4,0),0)</f>
        <v>0</v>
      </c>
      <c r="K12" s="222">
        <f>IFERROR(IF($F12="Chính Thức",$J12/$G$4*($G12+$H12),IF($F12="Thử Việc",$J12/$G$4*($G12+$H12)*85%,"")),0)</f>
        <v>0</v>
      </c>
      <c r="L12" s="224">
        <f t="shared" ref="L12" si="3">SUM(K12)</f>
        <v>0</v>
      </c>
      <c r="M12" s="222">
        <f>IFERROR(VLOOKUP($B12,' 5. Thông số TL'!$D$12:$S$34,5,0),0)</f>
        <v>24157767</v>
      </c>
      <c r="N12" s="225">
        <v>1</v>
      </c>
      <c r="O12" s="222">
        <f>IFERROR(IF($F12="Chính Thức",$M12/$G$4*($G12+$H12)*N12,IF($F12="Thử Việc",$M12/$G$4*N12*($G12+$H12)*85%)),0)</f>
        <v>24157767</v>
      </c>
      <c r="P12" s="222"/>
      <c r="Q12" s="226"/>
      <c r="R12" s="222"/>
      <c r="S12" s="224"/>
      <c r="T12" s="222"/>
      <c r="U12" s="222"/>
      <c r="V12" s="224">
        <f t="shared" ref="V12" si="4">SUM(T12:U12)</f>
        <v>0</v>
      </c>
      <c r="W12" s="222">
        <f>IFERROR(IF($F12="Chính Thức",VLOOKUP($B12,' 5. Thông số TL'!$D$12:$S$34,6,0)/$G$4*($G12+$H12),IF($F12="Thử Việc",VLOOKUP($B12,' 5. Thông số TL'!$D$12:$S$34,6,0)/$G$4*($G12+$H12)*85%,"")),0)</f>
        <v>720000</v>
      </c>
      <c r="X12" s="222">
        <f>IFERROR(IF($F12="Chính Thức",VLOOKUP($B12,' 5. Thông số TL'!$D$12:$S$34,7,0)/$G$4*($G12+$H12),IF($F12="Thử Việc",VLOOKUP($B12,' 5. Thông số TL'!$D$12:$S$34,7,0)/$G$4*($G12+$H12)*85%,"")),0)</f>
        <v>399999.99999999994</v>
      </c>
      <c r="Y12" s="222">
        <f>IFERROR(IF($F12="Chính Thức",VLOOKUP($B12,' 5. Thông số TL'!$D$12:$S$34,8,0)/$G$4*($G12+$H12),IF($F12="Thử Việc",VLOOKUP($B12,' 5. Thông số TL'!$D$12:$S$34,8,0)/$G$4*($G12+$H12)*85%,"")),0)</f>
        <v>2500000</v>
      </c>
      <c r="Z12" s="222">
        <f t="shared" ref="Z12" si="5">SUM(W12:Y12)</f>
        <v>3620000</v>
      </c>
      <c r="AA12" s="222">
        <f>IFERROR(IF($F12="Chính Thức",VLOOKUP($B12,' 5. Thông số TL'!$D$12:$S$34,10,0)/$G$4*($G12+$H12),IF($F12="Thử Việc",VLOOKUP($B12,' 5. Thông số TL'!$D$12:$S$34,10,0)/$G$4*($G12+$H12)*85%,"")),0)</f>
        <v>0</v>
      </c>
      <c r="AB12" s="222"/>
      <c r="AC12" s="222">
        <f t="shared" ref="AC12" si="6">SUM(AA12:AB12)</f>
        <v>0</v>
      </c>
      <c r="AD12" s="224">
        <f t="shared" ref="AD12" si="7">Z12+AC12</f>
        <v>3620000</v>
      </c>
      <c r="AE12" s="224">
        <f>L12+O12+S12+V12+AD12</f>
        <v>27777767</v>
      </c>
      <c r="AF12" s="222">
        <f>IF(F12="Chính Thức",AE12,IF(F12="Thử Việc",AE12-W12-X12,IF(F12="CTV",AE12,0)))</f>
        <v>27777767</v>
      </c>
      <c r="AG12" s="227">
        <f t="shared" ref="AG12:AI12" si="8">IFERROR(IF(AND($F12="Chính Thức",($G12+$H12)&gt;=11),$J12*AG$8,IF(AND($F12="Chính Thức",($G12+$H12)&lt;11,0),IF($F12="Thử Việc",0),"")),0)</f>
        <v>0</v>
      </c>
      <c r="AH12" s="227">
        <f t="shared" si="8"/>
        <v>0</v>
      </c>
      <c r="AI12" s="227">
        <f t="shared" si="8"/>
        <v>0</v>
      </c>
      <c r="AJ12" s="228">
        <f t="shared" ref="AJ12" si="9">ROUND(SUM(AG12:AI12),0)</f>
        <v>0</v>
      </c>
      <c r="AK12" s="227">
        <f t="shared" ref="AK12:AM12" si="10">IFERROR(IF(AND($F12="Chính Thức",($G12+$H12)&gt;=11),$J12*AK$8,IF(AND($F12="Chính Thức",($G12+$H12)&lt;11,0),IF($F12="Thử Việc",0),"")),0)</f>
        <v>0</v>
      </c>
      <c r="AL12" s="227">
        <f t="shared" si="10"/>
        <v>0</v>
      </c>
      <c r="AM12" s="227">
        <f t="shared" si="10"/>
        <v>0</v>
      </c>
      <c r="AN12" s="224">
        <f t="shared" ref="AN12" si="11">ROUND(SUM(AK12:AM12),-1)</f>
        <v>0</v>
      </c>
      <c r="AO12" s="228">
        <v>0</v>
      </c>
      <c r="AP12" s="229"/>
      <c r="AQ12" s="222">
        <f t="shared" ref="AQ12" si="12">AP12*$AQ$10</f>
        <v>0</v>
      </c>
      <c r="AR12" s="222">
        <f t="shared" ref="AR12" si="13">+AO12+AQ12</f>
        <v>0</v>
      </c>
      <c r="AS12" s="222">
        <f>MAX(AF12,0)</f>
        <v>27777767</v>
      </c>
      <c r="AT12" s="224">
        <f>AS12*10%</f>
        <v>2777776.7</v>
      </c>
      <c r="AU12" s="222"/>
      <c r="AV12" s="224">
        <f t="shared" ref="AV12" si="14">ROUND(AE12-AN12-AT12+AU12,-2)</f>
        <v>25000000</v>
      </c>
      <c r="AW12" s="214"/>
      <c r="AX12" s="452"/>
    </row>
    <row r="13" spans="1:50" ht="58.5" customHeight="1" x14ac:dyDescent="0.25">
      <c r="A13" s="100">
        <f>SUBTOTAL(3,$C$11:C13)</f>
        <v>2</v>
      </c>
      <c r="B13" s="182" t="s">
        <v>353</v>
      </c>
      <c r="C13" s="220" t="s">
        <v>354</v>
      </c>
      <c r="D13" s="221" t="s">
        <v>320</v>
      </c>
      <c r="E13" s="173" t="s">
        <v>352</v>
      </c>
      <c r="F13" s="222" t="str">
        <f>IFERROR(VLOOKUP($B13,'3. BẢNG CHẤM CÔNG'!$B$11:$AV$27,6,0),0)</f>
        <v>Chính Thức</v>
      </c>
      <c r="G13" s="223">
        <f>IFERROR(VLOOKUP($B13, '3. BẢNG CHẤM CÔNG'!$B$10:$AV32,43,0),0)</f>
        <v>21</v>
      </c>
      <c r="H13" s="223">
        <f>IFERROR(VLOOKUP($B13, '3. BẢNG CHẤM CÔNG'!$B$10:$AV32,44,0),0)</f>
        <v>1</v>
      </c>
      <c r="I13" s="223"/>
      <c r="J13" s="222">
        <f>IFERROR(VLOOKUP($B13,' 5. Thông số TL'!$D$12:$S$34,4,0),0)</f>
        <v>0</v>
      </c>
      <c r="K13" s="222">
        <f>IFERROR(IF($F13="Chính Thức",$J13/$G$4*($G13+$H13),IF($F13="Thử Việc",$J13/$G$4*($G13+$H13)*85%,"")),0)</f>
        <v>0</v>
      </c>
      <c r="L13" s="224">
        <f t="shared" ref="L13:L14" si="15">SUM(K13)</f>
        <v>0</v>
      </c>
      <c r="M13" s="222">
        <f>IFERROR(VLOOKUP($B13,' 5. Thông số TL'!$D$12:$S$34,5,0),0)</f>
        <v>5768889</v>
      </c>
      <c r="N13" s="225">
        <v>1</v>
      </c>
      <c r="O13" s="222">
        <f>IFERROR(IF($F13="Chính Thức",$M13/$G$4*($G13+$H13)*N13,IF($F13="Thử Việc",$M13/$G$4*N13*($G13+$H13)*85%)),0)</f>
        <v>5768889</v>
      </c>
      <c r="P13" s="222"/>
      <c r="Q13" s="226"/>
      <c r="R13" s="222"/>
      <c r="S13" s="224"/>
      <c r="T13" s="222"/>
      <c r="U13" s="222"/>
      <c r="V13" s="224">
        <f t="shared" ref="V13:V14" si="16">SUM(T13:U13)</f>
        <v>0</v>
      </c>
      <c r="W13" s="222">
        <f>IFERROR(IF($F13="Chính Thức",VLOOKUP($B13,' 5. Thông số TL'!$D$12:$S$34,6,0)/$G$4*($G13+$H13),IF($F13="Thử Việc",VLOOKUP($B13,' 5. Thông số TL'!$D$12:$S$34,6,0)/$G$4*($G13+$H13)*85%,"")),0)</f>
        <v>720000</v>
      </c>
      <c r="X13" s="222">
        <f>IFERROR(IF($F13="Chính Thức",VLOOKUP($B13,' 5. Thông số TL'!$D$12:$S$34,7,0)/$G$4*($G13+$H13),IF($F13="Thử Việc",VLOOKUP($B13,' 5. Thông số TL'!$D$12:$S$34,7,0)/$G$4*($G13+$H13)*85%,"")),0)</f>
        <v>399999.99999999994</v>
      </c>
      <c r="Y13" s="222">
        <f>IFERROR(IF($F13="Chính Thức",VLOOKUP($B13,' 5. Thông số TL'!$D$12:$S$34,8,0)/$G$4*($G13+$H13),IF($F13="Thử Việc",VLOOKUP($B13,' 5. Thông số TL'!$D$12:$S$34,8,0)/$G$4*($G13+$H13)*85%,"")),0)</f>
        <v>2000000</v>
      </c>
      <c r="Z13" s="222">
        <f t="shared" ref="Z13:Z14" si="17">SUM(W13:Y13)</f>
        <v>3120000</v>
      </c>
      <c r="AA13" s="222">
        <f>IFERROR(IF($F13="Chính Thức",VLOOKUP($B13,' 5. Thông số TL'!$D$12:$S$34,10,0)/$G$4*($G13+$H13),IF($F13="Thử Việc",VLOOKUP($B13,' 5. Thông số TL'!$D$12:$S$34,10,0)/$G$4*($G13+$H13)*85%,"")),0)</f>
        <v>0</v>
      </c>
      <c r="AB13" s="222"/>
      <c r="AC13" s="222">
        <f t="shared" ref="AC13:AC14" si="18">SUM(AA13:AB13)</f>
        <v>0</v>
      </c>
      <c r="AD13" s="224">
        <f t="shared" ref="AD13:AD14" si="19">Z13+AC13</f>
        <v>3120000</v>
      </c>
      <c r="AE13" s="224">
        <f>L13+O13+S13+V13+AD13</f>
        <v>8888889</v>
      </c>
      <c r="AF13" s="222">
        <f>IF(F13="Chính Thức",AE13,IF(F13="Thử Việc",AE13-W13-X13,IF(F13="CTV",AE13,0)))</f>
        <v>8888889</v>
      </c>
      <c r="AG13" s="227">
        <f t="shared" ref="AG13:AI14" si="20">IFERROR(IF(AND($F13="Chính Thức",($G13+$H13)&gt;=11),$J13*AG$8,IF(AND($F13="Chính Thức",($G13+$H13)&lt;11,0),IF($F13="Thử Việc",0),"")),0)</f>
        <v>0</v>
      </c>
      <c r="AH13" s="227">
        <f t="shared" si="20"/>
        <v>0</v>
      </c>
      <c r="AI13" s="227">
        <f t="shared" si="20"/>
        <v>0</v>
      </c>
      <c r="AJ13" s="228">
        <f t="shared" ref="AJ13:AJ14" si="21">ROUND(SUM(AG13:AI13),0)</f>
        <v>0</v>
      </c>
      <c r="AK13" s="227">
        <f t="shared" ref="AK13:AM14" si="22">IFERROR(IF(AND($F13="Chính Thức",($G13+$H13)&gt;=11),$J13*AK$8,IF(AND($F13="Chính Thức",($G13+$H13)&lt;11,0),IF($F13="Thử Việc",0),"")),0)</f>
        <v>0</v>
      </c>
      <c r="AL13" s="227">
        <f t="shared" si="22"/>
        <v>0</v>
      </c>
      <c r="AM13" s="227">
        <f t="shared" si="22"/>
        <v>0</v>
      </c>
      <c r="AN13" s="224">
        <f t="shared" ref="AN13:AN14" si="23">ROUND(SUM(AK13:AM13),-1)</f>
        <v>0</v>
      </c>
      <c r="AO13" s="228">
        <v>0</v>
      </c>
      <c r="AP13" s="229"/>
      <c r="AQ13" s="222">
        <f t="shared" ref="AQ13:AQ14" si="24">AP13*$AQ$10</f>
        <v>0</v>
      </c>
      <c r="AR13" s="222">
        <f t="shared" ref="AR13:AR14" si="25">+AO13+AQ13</f>
        <v>0</v>
      </c>
      <c r="AS13" s="222">
        <f>MAX(AF13,0)</f>
        <v>8888889</v>
      </c>
      <c r="AT13" s="224">
        <f>AS13*10%</f>
        <v>888888.9</v>
      </c>
      <c r="AU13" s="222"/>
      <c r="AV13" s="224">
        <f t="shared" ref="AV13:AV14" si="26">ROUND(AE13-AN13-AT13+AU13,-2)</f>
        <v>8000000</v>
      </c>
      <c r="AW13" s="222"/>
    </row>
    <row r="14" spans="1:50" ht="58.5" customHeight="1" x14ac:dyDescent="0.25">
      <c r="A14" s="457">
        <v>3</v>
      </c>
      <c r="B14" s="382" t="s">
        <v>406</v>
      </c>
      <c r="C14" s="399" t="s">
        <v>407</v>
      </c>
      <c r="D14" s="221" t="s">
        <v>320</v>
      </c>
      <c r="E14" s="401" t="s">
        <v>324</v>
      </c>
      <c r="F14" s="222" t="str">
        <f>IFERROR(VLOOKUP($B14,'3. BẢNG CHẤM CÔNG'!$B$11:$AV$27,6,0),0)</f>
        <v>Thử Việc</v>
      </c>
      <c r="G14" s="223">
        <f>IFERROR(VLOOKUP($B14, '3. BẢNG CHẤM CÔNG'!$B$10:$AV32,43,0),0)</f>
        <v>2</v>
      </c>
      <c r="H14" s="410">
        <f>IFERROR(VLOOKUP($B14, '3. BẢNG CHẤM CÔNG'!$B$10:$AV31,44,0),0)</f>
        <v>0</v>
      </c>
      <c r="I14" s="410"/>
      <c r="J14" s="409">
        <f>IFERROR(VLOOKUP($B14,' 5. Thông số TL'!$D$12:$S$34,4,0),0)</f>
        <v>7500000</v>
      </c>
      <c r="K14" s="409">
        <f>IFERROR(IF($F14="Chính Thức",$J14/$G$4*($G14+$H14),IF($F14="Thử Việc",$J14/$G$4*($G14+$H14)*85%,"")),0)</f>
        <v>579545.45454545447</v>
      </c>
      <c r="L14" s="411">
        <f t="shared" si="15"/>
        <v>579545.45454545447</v>
      </c>
      <c r="M14" s="409">
        <f>IFERROR(VLOOKUP($B14,' 5. Thông số TL'!$D$12:$S$34,5,0),0)</f>
        <v>7667500</v>
      </c>
      <c r="N14" s="412">
        <v>1</v>
      </c>
      <c r="O14" s="409">
        <f>IFERROR(IF($F14="Chính Thức",$M14/$G$4*($G14+$H14)*N14,IF($F14="Thử Việc",$M14/$G$4*N14*($G14+$H14)*85%)),0)</f>
        <v>592488.63636363635</v>
      </c>
      <c r="P14" s="409"/>
      <c r="Q14" s="413"/>
      <c r="R14" s="409"/>
      <c r="S14" s="411"/>
      <c r="T14" s="409"/>
      <c r="U14" s="409"/>
      <c r="V14" s="411">
        <f t="shared" si="16"/>
        <v>0</v>
      </c>
      <c r="W14" s="409">
        <f>IFERROR(IF($F14="Chính Thức",VLOOKUP($B14,' 5. Thông số TL'!$D$12:$S$34,6,0)/$G$4*($G14+$H14),IF($F14="Thử Việc",VLOOKUP($B14,' 5. Thông số TL'!$D$12:$S$34,6,0)/$G$4*($G14+$H14)*85%,"")),0)</f>
        <v>55636.36363636364</v>
      </c>
      <c r="X14" s="409">
        <f>IFERROR(IF($F14="Chính Thức",VLOOKUP($B14,' 5. Thông số TL'!$D$12:$S$34,7,0)/$G$4*($G14+$H14),IF($F14="Thử Việc",VLOOKUP($B14,' 5. Thông số TL'!$D$12:$S$34,7,0)/$G$4*($G14+$H14)*85%,"")),0)</f>
        <v>30909.090909090904</v>
      </c>
      <c r="Y14" s="409">
        <f>IFERROR(IF($F14="Chính Thức",VLOOKUP($B14,' 5. Thông số TL'!$D$12:$S$34,8,0)/$G$4*($G14+$H14),IF($F14="Thử Việc",VLOOKUP($B14,' 5. Thông số TL'!$D$12:$S$34,8,0)/$G$4*($G14+$H14)*85%,"")),0)</f>
        <v>193181.81818181818</v>
      </c>
      <c r="Z14" s="409">
        <f t="shared" si="17"/>
        <v>279727.27272727271</v>
      </c>
      <c r="AA14" s="409">
        <f>IFERROR(IF($F14="Chính Thức",VLOOKUP($B14,' 5. Thông số TL'!$D$12:$S$34,10,0)/$G$4*($G14+$H14),IF($F14="Thử Việc",VLOOKUP($B14,' 5. Thông số TL'!$D$12:$S$34,10,0)/$G$4*($G14+$H14)*85%,"")),0)</f>
        <v>0</v>
      </c>
      <c r="AB14" s="409"/>
      <c r="AC14" s="409">
        <f t="shared" si="18"/>
        <v>0</v>
      </c>
      <c r="AD14" s="411">
        <f t="shared" si="19"/>
        <v>279727.27272727271</v>
      </c>
      <c r="AE14" s="411">
        <f t="shared" ref="AE14" si="27">L14+O14+S14+V14+AD14</f>
        <v>1451761.3636363635</v>
      </c>
      <c r="AF14" s="409">
        <f>IF(F14="Chính Thức",AE14-Z14,IF(F14="Thử Việc",AE14-W14-X14,IF(F14="CTV",AE14,0)))</f>
        <v>1365215.9090909092</v>
      </c>
      <c r="AG14" s="414" t="str">
        <f t="shared" si="20"/>
        <v/>
      </c>
      <c r="AH14" s="414" t="str">
        <f t="shared" si="20"/>
        <v/>
      </c>
      <c r="AI14" s="414" t="str">
        <f t="shared" si="20"/>
        <v/>
      </c>
      <c r="AJ14" s="415">
        <f t="shared" si="21"/>
        <v>0</v>
      </c>
      <c r="AK14" s="414" t="str">
        <f t="shared" si="22"/>
        <v/>
      </c>
      <c r="AL14" s="414" t="str">
        <f t="shared" si="22"/>
        <v/>
      </c>
      <c r="AM14" s="414" t="str">
        <f t="shared" si="22"/>
        <v/>
      </c>
      <c r="AN14" s="411">
        <f t="shared" si="23"/>
        <v>0</v>
      </c>
      <c r="AO14" s="415">
        <f>IF(F14="Chính Thức",$AO$10,0)</f>
        <v>0</v>
      </c>
      <c r="AP14" s="416"/>
      <c r="AQ14" s="409">
        <f t="shared" si="24"/>
        <v>0</v>
      </c>
      <c r="AR14" s="409">
        <f t="shared" si="25"/>
        <v>0</v>
      </c>
      <c r="AS14" s="409">
        <f t="shared" ref="AS14" si="28">MAX(AF14-AR14-AN14,0)</f>
        <v>1365215.9090909092</v>
      </c>
      <c r="AT14" s="411" t="b">
        <f>IF(F14="Chính Thức",IF(AS14&lt;=0,,IF(AND(AS14&gt;0,AS14&lt;=5000000),5%*AS14,IF(AND(AS14&gt;5000000,AS14&lt;=10000000),10%*AS14-250000,IF(AND(AS14&gt;10000000,AS14&lt;=18000000),15%*AS14-750000,IF(AND(AS14&gt;18000000,AS14&lt;=32000000),20%*AS14-1650000,IF(AND(AS14&gt;32000000,AS14&lt;=52000000),25%*AS14-3250000,IF(AND(AS14&gt;52000000,AS14&lt;=80000000),30%*AS14-5850000,IF(AS14&gt;80000000,35%*AS14-9850000)))))))),IF(AND(F14="Thử Việc",AS14&gt;=2000000),AS14*10%,IF(F14="CTV",AS14*10%)))</f>
        <v>0</v>
      </c>
      <c r="AU14" s="409"/>
      <c r="AV14" s="411">
        <f t="shared" si="26"/>
        <v>1451800</v>
      </c>
      <c r="AW14" s="222"/>
    </row>
    <row r="15" spans="1:50" ht="58.5" customHeight="1" x14ac:dyDescent="0.25">
      <c r="A15" s="398"/>
      <c r="B15" s="453" t="s">
        <v>319</v>
      </c>
      <c r="C15" s="399"/>
      <c r="D15" s="400"/>
      <c r="E15" s="401"/>
      <c r="F15" s="402"/>
      <c r="G15" s="403"/>
      <c r="H15" s="403"/>
      <c r="I15" s="403"/>
      <c r="J15" s="454">
        <f t="shared" ref="J15:AU15" si="29">SUBTOTAL(9,J16:J19)</f>
        <v>23600000</v>
      </c>
      <c r="K15" s="454">
        <f t="shared" si="29"/>
        <v>23600000</v>
      </c>
      <c r="L15" s="454">
        <f t="shared" si="29"/>
        <v>23600000</v>
      </c>
      <c r="M15" s="454">
        <f t="shared" si="29"/>
        <v>12810500</v>
      </c>
      <c r="N15" s="454">
        <f t="shared" si="29"/>
        <v>4</v>
      </c>
      <c r="O15" s="454">
        <f t="shared" si="29"/>
        <v>12810500</v>
      </c>
      <c r="P15" s="454">
        <f t="shared" si="29"/>
        <v>0</v>
      </c>
      <c r="Q15" s="454">
        <f t="shared" si="29"/>
        <v>0</v>
      </c>
      <c r="R15" s="454">
        <f t="shared" si="29"/>
        <v>0</v>
      </c>
      <c r="S15" s="454">
        <f t="shared" si="29"/>
        <v>0</v>
      </c>
      <c r="T15" s="454">
        <f t="shared" si="29"/>
        <v>0</v>
      </c>
      <c r="U15" s="454">
        <f t="shared" si="29"/>
        <v>0</v>
      </c>
      <c r="V15" s="454">
        <f t="shared" si="29"/>
        <v>0</v>
      </c>
      <c r="W15" s="454">
        <f t="shared" si="29"/>
        <v>2880000</v>
      </c>
      <c r="X15" s="454">
        <f t="shared" si="29"/>
        <v>1599999.9999999998</v>
      </c>
      <c r="Y15" s="454">
        <f t="shared" si="29"/>
        <v>3800000</v>
      </c>
      <c r="Z15" s="454">
        <f t="shared" si="29"/>
        <v>8280000</v>
      </c>
      <c r="AA15" s="454">
        <f t="shared" si="29"/>
        <v>0</v>
      </c>
      <c r="AB15" s="454">
        <f t="shared" si="29"/>
        <v>0</v>
      </c>
      <c r="AC15" s="454">
        <f t="shared" si="29"/>
        <v>0</v>
      </c>
      <c r="AD15" s="454">
        <f t="shared" si="29"/>
        <v>8280000</v>
      </c>
      <c r="AE15" s="454">
        <f t="shared" si="29"/>
        <v>44690500</v>
      </c>
      <c r="AF15" s="454">
        <f t="shared" si="29"/>
        <v>36410500</v>
      </c>
      <c r="AG15" s="454">
        <f t="shared" si="29"/>
        <v>4130000</v>
      </c>
      <c r="AH15" s="454">
        <f t="shared" si="29"/>
        <v>708000</v>
      </c>
      <c r="AI15" s="454">
        <f t="shared" si="29"/>
        <v>236000</v>
      </c>
      <c r="AJ15" s="454">
        <f t="shared" si="29"/>
        <v>5074000</v>
      </c>
      <c r="AK15" s="454">
        <f t="shared" si="29"/>
        <v>1888000</v>
      </c>
      <c r="AL15" s="454">
        <f t="shared" si="29"/>
        <v>354000</v>
      </c>
      <c r="AM15" s="454">
        <f t="shared" si="29"/>
        <v>236000</v>
      </c>
      <c r="AN15" s="454">
        <f t="shared" si="29"/>
        <v>2478000</v>
      </c>
      <c r="AO15" s="454">
        <f t="shared" si="29"/>
        <v>62000000</v>
      </c>
      <c r="AP15" s="454">
        <f t="shared" si="29"/>
        <v>0</v>
      </c>
      <c r="AQ15" s="454">
        <f t="shared" si="29"/>
        <v>0</v>
      </c>
      <c r="AR15" s="454">
        <f t="shared" si="29"/>
        <v>62000000</v>
      </c>
      <c r="AS15" s="454">
        <f t="shared" si="29"/>
        <v>0</v>
      </c>
      <c r="AT15" s="454">
        <f t="shared" si="29"/>
        <v>0</v>
      </c>
      <c r="AU15" s="454">
        <f t="shared" si="29"/>
        <v>0</v>
      </c>
      <c r="AV15" s="454">
        <f>SUM(AV16:AV20)</f>
        <v>51212500</v>
      </c>
      <c r="AW15" s="222"/>
    </row>
    <row r="16" spans="1:50" ht="58.5" customHeight="1" x14ac:dyDescent="0.25">
      <c r="A16" s="100">
        <f>SUBTOTAL(3,$C$11:C16)</f>
        <v>4</v>
      </c>
      <c r="B16" s="390" t="s">
        <v>322</v>
      </c>
      <c r="C16" s="407" t="s">
        <v>318</v>
      </c>
      <c r="D16" s="408" t="s">
        <v>319</v>
      </c>
      <c r="E16" s="408" t="s">
        <v>321</v>
      </c>
      <c r="F16" s="409" t="str">
        <f>IFERROR(VLOOKUP($B16,'3. BẢNG CHẤM CÔNG'!$B$11:$AV$27,6,0),0)</f>
        <v>Chính Thức</v>
      </c>
      <c r="G16" s="223">
        <f>IFERROR(VLOOKUP($B16, '3. BẢNG CHẤM CÔNG'!$B$10:$AV34,43,0),0)</f>
        <v>21</v>
      </c>
      <c r="H16" s="410">
        <f>IFERROR(VLOOKUP($B16, '3. BẢNG CHẤM CÔNG'!$B$10:$AV33,44,0),0)</f>
        <v>1</v>
      </c>
      <c r="I16" s="410"/>
      <c r="J16" s="409">
        <f>IFERROR(VLOOKUP($B16,' 5. Thông số TL'!$D$12:$S$34,4,0),0)</f>
        <v>7500000</v>
      </c>
      <c r="K16" s="409">
        <f>IFERROR(IF($F16="Chính Thức",$J16/$G$4*($G16+$H16),IF($F16="Thử Việc",$J16/$G$4*($G16+$H16)*85%,"")),0)</f>
        <v>7499999.9999999991</v>
      </c>
      <c r="L16" s="411">
        <f t="shared" ref="L16" si="30">SUM(K16)</f>
        <v>7499999.9999999991</v>
      </c>
      <c r="M16" s="409">
        <f>IFERROR(VLOOKUP($B16,' 5. Thông số TL'!$D$12:$S$34,5,0),0)</f>
        <v>4880000</v>
      </c>
      <c r="N16" s="412">
        <v>1</v>
      </c>
      <c r="O16" s="409">
        <f>IFERROR(IF($F16="Chính Thức",$M16/$G$4*($G16+$H16)*N16,IF($F16="Thử Việc",$M16/$G$4*N16*($G16+$H16)*85%)),0)</f>
        <v>4880000</v>
      </c>
      <c r="P16" s="409"/>
      <c r="Q16" s="413"/>
      <c r="R16" s="409"/>
      <c r="S16" s="411"/>
      <c r="T16" s="409"/>
      <c r="U16" s="409"/>
      <c r="V16" s="411">
        <f t="shared" ref="V16" si="31">SUM(T16:U16)</f>
        <v>0</v>
      </c>
      <c r="W16" s="409">
        <f>IFERROR(IF($F16="Chính Thức",VLOOKUP($B16,' 5. Thông số TL'!$D$12:$S$34,6,0)/$G$4*($G16+$H16),IF($F16="Thử Việc",VLOOKUP($B16,' 5. Thông số TL'!$D$12:$S$34,6,0)/$G$4*($G16+$H16)*85%,"")),0)</f>
        <v>720000</v>
      </c>
      <c r="X16" s="409">
        <f>IFERROR(IF($F16="Chính Thức",VLOOKUP($B16,' 5. Thông số TL'!$D$12:$S$34,7,0)/$G$4*($G16+$H16),IF($F16="Thử Việc",VLOOKUP($B16,' 5. Thông số TL'!$D$12:$S$34,7,0)/$G$4*($G16+$H16)*85%,"")),0)</f>
        <v>399999.99999999994</v>
      </c>
      <c r="Y16" s="409">
        <f>IFERROR(IF($F16="Chính Thức",VLOOKUP($B16,' 5. Thông số TL'!$D$12:$S$34,8,0)/$G$4*($G16+$H16),IF($F16="Thử Việc",VLOOKUP($B16,' 5. Thông số TL'!$D$12:$S$34,8,0)/$G$4*($G16+$H16)*85%,"")),0)</f>
        <v>2500000</v>
      </c>
      <c r="Z16" s="409">
        <f t="shared" ref="Z16" si="32">SUM(W16:Y16)</f>
        <v>3620000</v>
      </c>
      <c r="AA16" s="409">
        <f>IFERROR(IF($F16="Chính Thức",VLOOKUP($B16,' 5. Thông số TL'!$D$12:$S$34,10,0)/$G$4*($G16+$H16),IF($F16="Thử Việc",VLOOKUP($B16,' 5. Thông số TL'!$D$12:$S$34,10,0)/$G$4*($G16+$H16)*85%,"")),0)</f>
        <v>0</v>
      </c>
      <c r="AB16" s="409"/>
      <c r="AC16" s="409">
        <f t="shared" ref="AC16" si="33">SUM(AA16:AB16)</f>
        <v>0</v>
      </c>
      <c r="AD16" s="411">
        <f t="shared" ref="AD16" si="34">Z16+AC16</f>
        <v>3620000</v>
      </c>
      <c r="AE16" s="411">
        <f t="shared" ref="AE16" si="35">L16+O16+S16+V16+AD16</f>
        <v>16000000</v>
      </c>
      <c r="AF16" s="409">
        <f>IF(F16="Chính Thức",AE16-Z16,IF(F16="Thử Việc",AE16-W16-X16,IF(F16="CTV",AE16,0)))</f>
        <v>12380000</v>
      </c>
      <c r="AG16" s="414">
        <f>IFERROR(IF(AND($F16="Chính Thức",($G16+$H16)&gt;=11),$J16*AG$8,IF(AND($F16="Chính Thức",($G16+$H16)&lt;11,0),IF($F16="Thử Việc",0),"")),0)</f>
        <v>1312500</v>
      </c>
      <c r="AH16" s="414">
        <f>IFERROR(IF(AND($F16="Chính Thức",($G16+$H16)&gt;=11),$J16*AH$8,IF(AND($F16="Chính Thức",($G16+$H16)&lt;11,0),IF($F16="Thử Việc",0),"")),0)</f>
        <v>225000</v>
      </c>
      <c r="AI16" s="414">
        <f>IFERROR(IF(AND($F16="Chính Thức",($G16+$H16)&gt;=11),$J16*AI$8,IF(AND($F16="Chính Thức",($G16+$H16)&lt;11,0),IF($F16="Thử Việc",0),"")),0)</f>
        <v>75000</v>
      </c>
      <c r="AJ16" s="415">
        <f t="shared" ref="AJ16" si="36">ROUND(SUM(AG16:AI16),0)</f>
        <v>1612500</v>
      </c>
      <c r="AK16" s="414">
        <f>IFERROR(IF(AND($F16="Chính Thức",($G16+$H16)&gt;=11),$J16*AK$8,IF(AND($F16="Chính Thức",($G16+$H16)&lt;11,0),IF($F16="Thử Việc",0),"")),0)</f>
        <v>600000</v>
      </c>
      <c r="AL16" s="414">
        <f>IFERROR(IF(AND($F16="Chính Thức",($G16+$H16)&gt;=11),$J16*AL$8,IF(AND($F16="Chính Thức",($G16+$H16)&lt;11,0),IF($F16="Thử Việc",0),"")),0)</f>
        <v>112500</v>
      </c>
      <c r="AM16" s="414">
        <f>IFERROR(IF(AND($F16="Chính Thức",($G16+$H16)&gt;=11),$J16*AM$8,IF(AND($F16="Chính Thức",($G16+$H16)&lt;11,0),IF($F16="Thử Việc",0),"")),0)</f>
        <v>75000</v>
      </c>
      <c r="AN16" s="411">
        <f t="shared" ref="AN16" si="37">ROUND(SUM(AK16:AM16),-1)</f>
        <v>787500</v>
      </c>
      <c r="AO16" s="415">
        <f>IF(F16="Chính Thức",$AO$10,0)</f>
        <v>15500000</v>
      </c>
      <c r="AP16" s="416"/>
      <c r="AQ16" s="409">
        <f t="shared" ref="AQ16" si="38">AP16*$AQ$10</f>
        <v>0</v>
      </c>
      <c r="AR16" s="409">
        <f t="shared" ref="AR16" si="39">+AO16+AQ16</f>
        <v>15500000</v>
      </c>
      <c r="AS16" s="409">
        <f t="shared" ref="AS16" si="40">MAX(AF16-AR16-AN16,0)</f>
        <v>0</v>
      </c>
      <c r="AT16" s="411">
        <f>IF(F16="Chính Thức",IF(AS16&lt;=0,,IF(AND(AS16&gt;0,AS16&lt;=5000000),5%*AS16,IF(AND(AS16&gt;5000000,AS16&lt;=10000000),10%*AS16-250000,IF(AND(AS16&gt;10000000,AS16&lt;=18000000),15%*AS16-750000,IF(AND(AS16&gt;18000000,AS16&lt;=32000000),20%*AS16-1650000,IF(AND(AS16&gt;32000000,AS16&lt;=52000000),25%*AS16-3250000,IF(AND(AS16&gt;52000000,AS16&lt;=80000000),30%*AS16-5850000,IF(AS16&gt;80000000,35%*AS16-9850000)))))))),IF(AND(F16="Thử Việc",AS16&gt;=2000000),AS16*10%,IF(F16="CTV",AS16*10%)))</f>
        <v>0</v>
      </c>
      <c r="AU16" s="409"/>
      <c r="AV16" s="411">
        <f t="shared" ref="AV16" si="41">ROUND(AE16-AN16-AT16+AU16,-2)</f>
        <v>15212500</v>
      </c>
      <c r="AW16" s="397"/>
    </row>
    <row r="17" spans="1:50" ht="58.5" customHeight="1" x14ac:dyDescent="0.25">
      <c r="A17" s="100">
        <f>SUBTOTAL(3,$C$11:C17)</f>
        <v>5</v>
      </c>
      <c r="B17" s="390" t="s">
        <v>364</v>
      </c>
      <c r="C17" s="407" t="str">
        <f>VLOOKUP(B17,' 5. Thông số TL'!$D$12:$E$25,2,0)</f>
        <v>Đinh Thị Bích Ngọc</v>
      </c>
      <c r="D17" s="408" t="s">
        <v>319</v>
      </c>
      <c r="E17" s="408" t="s">
        <v>363</v>
      </c>
      <c r="F17" s="409" t="str">
        <f>IFERROR(VLOOKUP($B17,'3. BẢNG CHẤM CÔNG'!$B$11:$AV$27,6,0),0)</f>
        <v>Chính Thức</v>
      </c>
      <c r="G17" s="410">
        <f>IFERROR(VLOOKUP($B17, '3. BẢNG CHẤM CÔNG'!$B$10:$AV34,43,0),0)</f>
        <v>21</v>
      </c>
      <c r="H17" s="410">
        <f>IFERROR(VLOOKUP($B17, '3. BẢNG CHẤM CÔNG'!$B$10:$AV34,44,0),0)</f>
        <v>1</v>
      </c>
      <c r="I17" s="410"/>
      <c r="J17" s="409">
        <f>IFERROR(VLOOKUP($B17,' 5. Thông số TL'!$D$12:$S$34,4,0),0)</f>
        <v>5300000</v>
      </c>
      <c r="K17" s="409">
        <f t="shared" ref="K17:K19" si="42">IFERROR(IF($F17="Chính Thức",$J17/$G$4*($G17+$H17),IF($F17="Thử Việc",$J17/$G$4*($G17+$H17)*85%,"")),0)</f>
        <v>5300000</v>
      </c>
      <c r="L17" s="411">
        <f t="shared" ref="L17:L20" si="43">SUM(K17)</f>
        <v>5300000</v>
      </c>
      <c r="M17" s="409">
        <f>IFERROR(VLOOKUP($B17,' 5. Thông số TL'!$D$12:$S$34,5,0),0)</f>
        <v>736500</v>
      </c>
      <c r="N17" s="412">
        <v>1</v>
      </c>
      <c r="O17" s="409">
        <f t="shared" ref="O17:O19" si="44">IFERROR(IF($F17="Chính Thức",$M17/$G$4*($G17+$H17)*N17,IF($F17="Thử Việc",$M17/$G$4*N17*($G17+$H17)*85%)),0)</f>
        <v>736500</v>
      </c>
      <c r="P17" s="409"/>
      <c r="Q17" s="413"/>
      <c r="R17" s="409"/>
      <c r="S17" s="411"/>
      <c r="T17" s="409"/>
      <c r="U17" s="409"/>
      <c r="V17" s="411">
        <f t="shared" ref="V17:V20" si="45">SUM(T17:U17)</f>
        <v>0</v>
      </c>
      <c r="W17" s="409">
        <f>IFERROR(IF($F17="Chính Thức",VLOOKUP($B17,' 5. Thông số TL'!$D$12:$S$34,6,0)/$G$4*($G17+$H17),IF($F17="Thử Việc",VLOOKUP($B17,' 5. Thông số TL'!$D$12:$S$34,6,0)/$G$4*($G17+$H17)*85%,"")),0)</f>
        <v>720000</v>
      </c>
      <c r="X17" s="409">
        <f>IFERROR(IF($F17="Chính Thức",VLOOKUP($B17,' 5. Thông số TL'!$D$12:$S$34,7,0)/$G$4*($G17+$H17),IF($F17="Thử Việc",VLOOKUP($B17,' 5. Thông số TL'!$D$12:$S$34,7,0)/$G$4*($G17+$H17)*85%,"")),0)</f>
        <v>399999.99999999994</v>
      </c>
      <c r="Y17" s="409">
        <f>IFERROR(IF($F17="Chính Thức",VLOOKUP($B17,' 5. Thông số TL'!$D$12:$S$34,8,0)/$G$4*($G17+$H17),IF($F17="Thử Việc",VLOOKUP($B17,' 5. Thông số TL'!$D$12:$S$34,8,0)/$G$4*($G17+$H17)*85%,"")),0)</f>
        <v>399999.99999999994</v>
      </c>
      <c r="Z17" s="409">
        <f t="shared" ref="Z17:Z20" si="46">SUM(W17:Y17)</f>
        <v>1520000</v>
      </c>
      <c r="AA17" s="409">
        <f>IFERROR(IF($F17="Chính Thức",VLOOKUP($B17,' 5. Thông số TL'!$D$12:$S$34,10,0)/$G$4*($G17+$H17),IF($F17="Thử Việc",VLOOKUP($B17,' 5. Thông số TL'!$D$12:$S$34,10,0)/$G$4*($G17+$H17)*85%,"")),0)</f>
        <v>0</v>
      </c>
      <c r="AB17" s="409"/>
      <c r="AC17" s="409">
        <f t="shared" ref="AC17:AC20" si="47">SUM(AA17:AB17)</f>
        <v>0</v>
      </c>
      <c r="AD17" s="411">
        <f t="shared" ref="AD17:AD20" si="48">Z17+AC17</f>
        <v>1520000</v>
      </c>
      <c r="AE17" s="411">
        <f t="shared" ref="AE17:AE20" si="49">L17+O17+S17+V17+AD17</f>
        <v>7556500</v>
      </c>
      <c r="AF17" s="409">
        <f t="shared" ref="AF17:AF19" si="50">IF(F17="Chính Thức",AE17-Z17,IF(F17="Thử Việc",AE17-W17-X17,IF(F17="CTV",AE17,0)))</f>
        <v>6036500</v>
      </c>
      <c r="AG17" s="414">
        <f t="shared" ref="AG17:AI19" si="51">IFERROR(IF(AND($F17="Chính Thức",($G17+$H17)&gt;=11),$J17*AG$8,IF(AND($F17="Chính Thức",($G17+$H17)&lt;11,0),IF($F17="Thử Việc",0),"")),0)</f>
        <v>927499.99999999988</v>
      </c>
      <c r="AH17" s="414">
        <f t="shared" si="51"/>
        <v>159000</v>
      </c>
      <c r="AI17" s="414">
        <f t="shared" si="51"/>
        <v>53000</v>
      </c>
      <c r="AJ17" s="415">
        <f t="shared" ref="AJ17:AJ20" si="52">ROUND(SUM(AG17:AI17),0)</f>
        <v>1139500</v>
      </c>
      <c r="AK17" s="414">
        <f t="shared" ref="AK17:AM19" si="53">IFERROR(IF(AND($F17="Chính Thức",($G17+$H17)&gt;=11),$J17*AK$8,IF(AND($F17="Chính Thức",($G17+$H17)&lt;11,0),IF($F17="Thử Việc",0),"")),0)</f>
        <v>424000</v>
      </c>
      <c r="AL17" s="414">
        <f t="shared" si="53"/>
        <v>79500</v>
      </c>
      <c r="AM17" s="414">
        <f t="shared" si="53"/>
        <v>53000</v>
      </c>
      <c r="AN17" s="411">
        <f t="shared" ref="AN17:AN20" si="54">ROUND(SUM(AK17:AM17),-1)</f>
        <v>556500</v>
      </c>
      <c r="AO17" s="415">
        <f t="shared" ref="AO17:AO19" si="55">IF(F17="Chính Thức",$AO$10,0)</f>
        <v>15500000</v>
      </c>
      <c r="AP17" s="416"/>
      <c r="AQ17" s="409">
        <f t="shared" ref="AQ17:AQ20" si="56">AP17*$AQ$10</f>
        <v>0</v>
      </c>
      <c r="AR17" s="409">
        <f t="shared" ref="AR17:AR20" si="57">+AO17+AQ17</f>
        <v>15500000</v>
      </c>
      <c r="AS17" s="409">
        <f t="shared" ref="AS17:AS20" si="58">MAX(AF17-AR17-AN17,0)</f>
        <v>0</v>
      </c>
      <c r="AT17" s="411">
        <f t="shared" ref="AT17:AT19" si="59">IF(F17="Chính Thức",IF(AS17&lt;=0,,IF(AND(AS17&gt;0,AS17&lt;=5000000),5%*AS17,IF(AND(AS17&gt;5000000,AS17&lt;=10000000),10%*AS17-250000,IF(AND(AS17&gt;10000000,AS17&lt;=18000000),15%*AS17-750000,IF(AND(AS17&gt;18000000,AS17&lt;=32000000),20%*AS17-1650000,IF(AND(AS17&gt;32000000,AS17&lt;=52000000),25%*AS17-3250000,IF(AND(AS17&gt;52000000,AS17&lt;=80000000),30%*AS17-5850000,IF(AS17&gt;80000000,35%*AS17-9850000)))))))),IF(AND(F17="Thử Việc",AS17&gt;=2000000),AS17*10%,IF(F17="CTV",AS17*10%)))</f>
        <v>0</v>
      </c>
      <c r="AU17" s="409"/>
      <c r="AV17" s="411">
        <f t="shared" ref="AV17:AV20" si="60">ROUND(AE17-AN17-AT17+AU17,-2)</f>
        <v>7000000</v>
      </c>
      <c r="AW17" s="397"/>
    </row>
    <row r="18" spans="1:50" ht="58.5" customHeight="1" x14ac:dyDescent="0.25">
      <c r="A18" s="100">
        <f>SUBTOTAL(3,$C$11:C18)</f>
        <v>6</v>
      </c>
      <c r="B18" s="390" t="s">
        <v>366</v>
      </c>
      <c r="C18" s="407" t="str">
        <f>VLOOKUP(B18,' 5. Thông số TL'!$D$12:$E$25,2,0)</f>
        <v>Lương Văn Châm</v>
      </c>
      <c r="D18" s="408" t="s">
        <v>319</v>
      </c>
      <c r="E18" s="408" t="s">
        <v>372</v>
      </c>
      <c r="F18" s="409" t="str">
        <f>IFERROR(VLOOKUP($B18,'3. BẢNG CHẤM CÔNG'!$B$11:$AV$27,6,0),0)</f>
        <v>Chính Thức</v>
      </c>
      <c r="G18" s="410">
        <f>IFERROR(VLOOKUP($B18, '3. BẢNG CHẤM CÔNG'!$B$10:$AV35,43,0),0)</f>
        <v>21</v>
      </c>
      <c r="H18" s="410">
        <f>IFERROR(VLOOKUP($B18, '3. BẢNG CHẤM CÔNG'!$B$10:$AV35,44,0),0)</f>
        <v>1</v>
      </c>
      <c r="I18" s="410"/>
      <c r="J18" s="409">
        <f>IFERROR(VLOOKUP($B18,' 5. Thông số TL'!$D$12:$S$34,4,0),0)</f>
        <v>5300000</v>
      </c>
      <c r="K18" s="409">
        <f t="shared" si="42"/>
        <v>5300000</v>
      </c>
      <c r="L18" s="411">
        <f t="shared" si="43"/>
        <v>5300000</v>
      </c>
      <c r="M18" s="409">
        <f>IFERROR(VLOOKUP($B18,' 5. Thông số TL'!$D$12:$S$34,5,0),0)</f>
        <v>3736500</v>
      </c>
      <c r="N18" s="412">
        <v>1</v>
      </c>
      <c r="O18" s="409">
        <f t="shared" si="44"/>
        <v>3736500</v>
      </c>
      <c r="P18" s="409"/>
      <c r="Q18" s="413"/>
      <c r="R18" s="409"/>
      <c r="S18" s="411"/>
      <c r="T18" s="409"/>
      <c r="U18" s="409"/>
      <c r="V18" s="411">
        <f t="shared" si="45"/>
        <v>0</v>
      </c>
      <c r="W18" s="409">
        <f>IFERROR(IF($F18="Chính Thức",VLOOKUP($B18,' 5. Thông số TL'!$D$12:$S$34,6,0)/$G$4*($G18+$H18),IF($F18="Thử Việc",VLOOKUP($B18,' 5. Thông số TL'!$D$12:$S$34,6,0)/$G$4*($G18+$H18)*85%,"")),0)</f>
        <v>720000</v>
      </c>
      <c r="X18" s="409">
        <f>IFERROR(IF($F18="Chính Thức",VLOOKUP($B18,' 5. Thông số TL'!$D$12:$S$34,7,0)/$G$4*($G18+$H18),IF($F18="Thử Việc",VLOOKUP($B18,' 5. Thông số TL'!$D$12:$S$34,7,0)/$G$4*($G18+$H18)*85%,"")),0)</f>
        <v>399999.99999999994</v>
      </c>
      <c r="Y18" s="409">
        <f>IFERROR(IF($F18="Chính Thức",VLOOKUP($B18,' 5. Thông số TL'!$D$12:$S$34,8,0)/$G$4*($G18+$H18),IF($F18="Thử Việc",VLOOKUP($B18,' 5. Thông số TL'!$D$12:$S$34,8,0)/$G$4*($G18+$H18)*85%,"")),0)</f>
        <v>399999.99999999994</v>
      </c>
      <c r="Z18" s="409">
        <f t="shared" si="46"/>
        <v>1520000</v>
      </c>
      <c r="AA18" s="409">
        <f>IFERROR(IF($F18="Chính Thức",VLOOKUP($B18,' 5. Thông số TL'!$D$12:$S$34,10,0)/$G$4*($G18+$H18),IF($F18="Thử Việc",VLOOKUP($B18,' 5. Thông số TL'!$D$12:$S$34,10,0)/$G$4*($G18+$H18)*85%,"")),0)</f>
        <v>0</v>
      </c>
      <c r="AB18" s="409"/>
      <c r="AC18" s="409">
        <f t="shared" si="47"/>
        <v>0</v>
      </c>
      <c r="AD18" s="411">
        <f t="shared" si="48"/>
        <v>1520000</v>
      </c>
      <c r="AE18" s="411">
        <f t="shared" si="49"/>
        <v>10556500</v>
      </c>
      <c r="AF18" s="409">
        <f t="shared" si="50"/>
        <v>9036500</v>
      </c>
      <c r="AG18" s="414">
        <f t="shared" si="51"/>
        <v>927499.99999999988</v>
      </c>
      <c r="AH18" s="414">
        <f t="shared" si="51"/>
        <v>159000</v>
      </c>
      <c r="AI18" s="414">
        <f t="shared" si="51"/>
        <v>53000</v>
      </c>
      <c r="AJ18" s="415">
        <f t="shared" si="52"/>
        <v>1139500</v>
      </c>
      <c r="AK18" s="414">
        <f t="shared" si="53"/>
        <v>424000</v>
      </c>
      <c r="AL18" s="414">
        <f t="shared" si="53"/>
        <v>79500</v>
      </c>
      <c r="AM18" s="414">
        <f t="shared" si="53"/>
        <v>53000</v>
      </c>
      <c r="AN18" s="411">
        <f t="shared" si="54"/>
        <v>556500</v>
      </c>
      <c r="AO18" s="415">
        <f t="shared" si="55"/>
        <v>15500000</v>
      </c>
      <c r="AP18" s="416"/>
      <c r="AQ18" s="409">
        <f t="shared" si="56"/>
        <v>0</v>
      </c>
      <c r="AR18" s="409">
        <f t="shared" si="57"/>
        <v>15500000</v>
      </c>
      <c r="AS18" s="409">
        <f t="shared" si="58"/>
        <v>0</v>
      </c>
      <c r="AT18" s="411">
        <f t="shared" si="59"/>
        <v>0</v>
      </c>
      <c r="AU18" s="409"/>
      <c r="AV18" s="411">
        <f t="shared" si="60"/>
        <v>10000000</v>
      </c>
      <c r="AW18" s="397"/>
    </row>
    <row r="19" spans="1:50" ht="58.5" customHeight="1" x14ac:dyDescent="0.25">
      <c r="A19" s="100">
        <f>SUBTOTAL(3,$C$11:C19)</f>
        <v>7</v>
      </c>
      <c r="B19" s="390" t="s">
        <v>368</v>
      </c>
      <c r="C19" s="407" t="str">
        <f>VLOOKUP(B19,' 5. Thông số TL'!$D$12:$E$25,2,0)</f>
        <v>Nguyễn Thị Phúc</v>
      </c>
      <c r="D19" s="408" t="s">
        <v>319</v>
      </c>
      <c r="E19" s="408" t="s">
        <v>373</v>
      </c>
      <c r="F19" s="409" t="str">
        <f>IFERROR(VLOOKUP($B19,'3. BẢNG CHẤM CÔNG'!$B$11:$AV$27,6,0),0)</f>
        <v>Chính Thức</v>
      </c>
      <c r="G19" s="410">
        <f>IFERROR(VLOOKUP($B19, '3. BẢNG CHẤM CÔNG'!$B$10:$AV36,43,0),0)</f>
        <v>21</v>
      </c>
      <c r="H19" s="410">
        <f>IFERROR(VLOOKUP($B19, '3. BẢNG CHẤM CÔNG'!$B$10:$AV36,44,0),0)</f>
        <v>1</v>
      </c>
      <c r="I19" s="410"/>
      <c r="J19" s="409">
        <f>IFERROR(VLOOKUP($B19,' 5. Thông số TL'!$D$12:$S$34,4,0),0)</f>
        <v>5500000</v>
      </c>
      <c r="K19" s="409">
        <f t="shared" si="42"/>
        <v>5500000</v>
      </c>
      <c r="L19" s="411">
        <f t="shared" si="43"/>
        <v>5500000</v>
      </c>
      <c r="M19" s="409">
        <f>IFERROR(VLOOKUP($B19,' 5. Thông số TL'!$D$12:$S$34,5,0),0)</f>
        <v>3457500</v>
      </c>
      <c r="N19" s="412">
        <v>1</v>
      </c>
      <c r="O19" s="409">
        <f t="shared" si="44"/>
        <v>3457500</v>
      </c>
      <c r="P19" s="409"/>
      <c r="Q19" s="413"/>
      <c r="R19" s="409"/>
      <c r="S19" s="411"/>
      <c r="T19" s="409"/>
      <c r="U19" s="409"/>
      <c r="V19" s="411">
        <f t="shared" si="45"/>
        <v>0</v>
      </c>
      <c r="W19" s="409">
        <f>IFERROR(IF($F19="Chính Thức",VLOOKUP($B19,' 5. Thông số TL'!$D$12:$S$34,6,0)/$G$4*($G19+$H19),IF($F19="Thử Việc",VLOOKUP($B19,' 5. Thông số TL'!$D$12:$S$34,6,0)/$G$4*($G19+$H19)*85%,"")),0)</f>
        <v>720000</v>
      </c>
      <c r="X19" s="409">
        <f>IFERROR(IF($F19="Chính Thức",VLOOKUP($B19,' 5. Thông số TL'!$D$12:$S$34,7,0)/$G$4*($G19+$H19),IF($F19="Thử Việc",VLOOKUP($B19,' 5. Thông số TL'!$D$12:$S$34,7,0)/$G$4*($G19+$H19)*85%,"")),0)</f>
        <v>399999.99999999994</v>
      </c>
      <c r="Y19" s="409">
        <f>IFERROR(IF($F19="Chính Thức",VLOOKUP($B19,' 5. Thông số TL'!$D$12:$S$34,8,0)/$G$4*($G19+$H19),IF($F19="Thử Việc",VLOOKUP($B19,' 5. Thông số TL'!$D$12:$S$34,8,0)/$G$4*($G19+$H19)*85%,"")),0)</f>
        <v>500000</v>
      </c>
      <c r="Z19" s="409">
        <f t="shared" si="46"/>
        <v>1620000</v>
      </c>
      <c r="AA19" s="409">
        <f>IFERROR(IF($F19="Chính Thức",VLOOKUP($B19,' 5. Thông số TL'!$D$12:$S$34,10,0)/$G$4*($G19+$H19),IF($F19="Thử Việc",VLOOKUP($B19,' 5. Thông số TL'!$D$12:$S$34,10,0)/$G$4*($G19+$H19)*85%,"")),0)</f>
        <v>0</v>
      </c>
      <c r="AB19" s="409"/>
      <c r="AC19" s="409">
        <f t="shared" si="47"/>
        <v>0</v>
      </c>
      <c r="AD19" s="411">
        <f t="shared" si="48"/>
        <v>1620000</v>
      </c>
      <c r="AE19" s="411">
        <f t="shared" si="49"/>
        <v>10577500</v>
      </c>
      <c r="AF19" s="409">
        <f t="shared" si="50"/>
        <v>8957500</v>
      </c>
      <c r="AG19" s="414">
        <f t="shared" si="51"/>
        <v>962499.99999999988</v>
      </c>
      <c r="AH19" s="414">
        <f t="shared" si="51"/>
        <v>165000</v>
      </c>
      <c r="AI19" s="414">
        <f t="shared" si="51"/>
        <v>55000</v>
      </c>
      <c r="AJ19" s="415">
        <f t="shared" si="52"/>
        <v>1182500</v>
      </c>
      <c r="AK19" s="414">
        <f t="shared" si="53"/>
        <v>440000</v>
      </c>
      <c r="AL19" s="414">
        <f t="shared" si="53"/>
        <v>82500</v>
      </c>
      <c r="AM19" s="414">
        <f t="shared" si="53"/>
        <v>55000</v>
      </c>
      <c r="AN19" s="411">
        <f t="shared" si="54"/>
        <v>577500</v>
      </c>
      <c r="AO19" s="415">
        <f t="shared" si="55"/>
        <v>15500000</v>
      </c>
      <c r="AP19" s="416"/>
      <c r="AQ19" s="409">
        <f t="shared" si="56"/>
        <v>0</v>
      </c>
      <c r="AR19" s="409">
        <f t="shared" si="57"/>
        <v>15500000</v>
      </c>
      <c r="AS19" s="409">
        <f t="shared" si="58"/>
        <v>0</v>
      </c>
      <c r="AT19" s="411">
        <f t="shared" si="59"/>
        <v>0</v>
      </c>
      <c r="AU19" s="409"/>
      <c r="AV19" s="411">
        <f t="shared" si="60"/>
        <v>10000000</v>
      </c>
      <c r="AW19" s="397"/>
    </row>
    <row r="20" spans="1:50" ht="58.5" customHeight="1" x14ac:dyDescent="0.25">
      <c r="A20" s="100">
        <f>SUBTOTAL(3,$C$11:C20)</f>
        <v>8</v>
      </c>
      <c r="B20" s="390" t="s">
        <v>388</v>
      </c>
      <c r="C20" s="407" t="s">
        <v>389</v>
      </c>
      <c r="D20" s="408" t="s">
        <v>319</v>
      </c>
      <c r="E20" s="408" t="s">
        <v>386</v>
      </c>
      <c r="F20" s="409" t="str">
        <f>IFERROR(VLOOKUP($B20,'3. BẢNG CHẤM CÔNG'!$B$11:$AV$27,6,0),0)</f>
        <v>Chính Thức</v>
      </c>
      <c r="G20" s="223">
        <f>IFERROR(VLOOKUP($B20, '3. BẢNG CHẤM CÔNG'!$B$10:$AV38,43,0),0)</f>
        <v>21</v>
      </c>
      <c r="H20" s="410">
        <f>IFERROR(VLOOKUP($B20, '3. BẢNG CHẤM CÔNG'!$B$10:$AV37,44,0),0)</f>
        <v>1</v>
      </c>
      <c r="I20" s="410"/>
      <c r="J20" s="409">
        <f>IFERROR(VLOOKUP($B20,' 5. Thông số TL'!$D$12:$S$34,4,0),0)</f>
        <v>5300000</v>
      </c>
      <c r="K20" s="409">
        <f>IFERROR(IF($F20="Chính Thức",$J20/$G$4*($G20+$H20),IF($F20="Thử Việc",$J20/$G$4*($G20+$H20)*85%,"")),0)</f>
        <v>5300000</v>
      </c>
      <c r="L20" s="411">
        <f t="shared" si="43"/>
        <v>5300000</v>
      </c>
      <c r="M20" s="409">
        <f>IFERROR(VLOOKUP($B20,' 5. Thông số TL'!$D$12:$S$34,5,0),0)</f>
        <v>2736500</v>
      </c>
      <c r="N20" s="412">
        <v>1</v>
      </c>
      <c r="O20" s="409">
        <f>IFERROR(IF($F20="Chính Thức",$M20/$G$4*($G20+$H20)*N20,IF($F20="Thử Việc",$M20/$G$4*N20*($G20+$H20)*85%)),0)</f>
        <v>2736500</v>
      </c>
      <c r="P20" s="409"/>
      <c r="Q20" s="413"/>
      <c r="R20" s="409"/>
      <c r="S20" s="411"/>
      <c r="T20" s="409"/>
      <c r="U20" s="409"/>
      <c r="V20" s="411">
        <f t="shared" si="45"/>
        <v>0</v>
      </c>
      <c r="W20" s="409">
        <f>IFERROR(IF($F20="Chính Thức",VLOOKUP($B20,' 5. Thông số TL'!$D$12:$S$34,6,0)/$G$4*($G20+$H20),IF($F20="Thử Việc",VLOOKUP($B20,' 5. Thông số TL'!$D$12:$S$34,6,0)/$G$4*($G20+$H20)*85%,"")),0)</f>
        <v>720000</v>
      </c>
      <c r="X20" s="409">
        <f>IFERROR(IF($F20="Chính Thức",VLOOKUP($B20,' 5. Thông số TL'!$D$12:$S$34,7,0)/$G$4*($G20+$H20),IF($F20="Thử Việc",VLOOKUP($B20,' 5. Thông số TL'!$D$12:$S$34,7,0)/$G$4*($G20+$H20)*85%,"")),0)</f>
        <v>399999.99999999994</v>
      </c>
      <c r="Y20" s="409">
        <f>IFERROR(IF($F20="Chính Thức",VLOOKUP($B20,' 5. Thông số TL'!$D$12:$S$34,8,0)/$G$4*($G20+$H20),IF($F20="Thử Việc",VLOOKUP($B20,' 5. Thông số TL'!$D$12:$S$34,8,0)/$G$4*($G20+$H20)*85%,"")),0)</f>
        <v>399999.99999999994</v>
      </c>
      <c r="Z20" s="409">
        <f t="shared" si="46"/>
        <v>1520000</v>
      </c>
      <c r="AA20" s="409">
        <f>IFERROR(IF($F20="Chính Thức",VLOOKUP($B20,' 5. Thông số TL'!$D$12:$S$34,10,0)/$G$4*($G20+$H20),IF($F20="Thử Việc",VLOOKUP($B20,' 5. Thông số TL'!$D$12:$S$34,10,0)/$G$4*($G20+$H20)*85%,"")),0)</f>
        <v>0</v>
      </c>
      <c r="AB20" s="409"/>
      <c r="AC20" s="409">
        <f t="shared" si="47"/>
        <v>0</v>
      </c>
      <c r="AD20" s="411">
        <f t="shared" si="48"/>
        <v>1520000</v>
      </c>
      <c r="AE20" s="411">
        <f t="shared" si="49"/>
        <v>9556500</v>
      </c>
      <c r="AF20" s="409">
        <f>IF(F20="Chính Thức",AE20-Z20,IF(F20="Thử Việc",AE20-W20-X20,IF(F20="CTV",AE20,0)))</f>
        <v>8036500</v>
      </c>
      <c r="AG20" s="414">
        <f>IFERROR(IF(AND($F20="Chính Thức",($G20+$H20)&gt;=11),$J20*AG$8,IF(AND($F20="Chính Thức",($G20+$H20)&lt;11,0),IF($F20="Thử Việc",0),"")),0)</f>
        <v>927499.99999999988</v>
      </c>
      <c r="AH20" s="414">
        <f>IFERROR(IF(AND($F20="Chính Thức",($G20+$H20)&gt;=11),$J20*AH$8,IF(AND($F20="Chính Thức",($G20+$H20)&lt;11,0),IF($F20="Thử Việc",0),"")),0)</f>
        <v>159000</v>
      </c>
      <c r="AI20" s="414">
        <f>IFERROR(IF(AND($F20="Chính Thức",($G20+$H20)&gt;=11),$J20*AI$8,IF(AND($F20="Chính Thức",($G20+$H20)&lt;11,0),IF($F20="Thử Việc",0),"")),0)</f>
        <v>53000</v>
      </c>
      <c r="AJ20" s="415">
        <f t="shared" si="52"/>
        <v>1139500</v>
      </c>
      <c r="AK20" s="414">
        <f>IFERROR(IF(AND($F20="Chính Thức",($G20+$H20)&gt;=11),$J20*AK$8,IF(AND($F20="Chính Thức",($G20+$H20)&lt;11,0),IF($F20="Thử Việc",0),"")),0)</f>
        <v>424000</v>
      </c>
      <c r="AL20" s="414">
        <f>IFERROR(IF(AND($F20="Chính Thức",($G20+$H20)&gt;=11),$J20*AL$8,IF(AND($F20="Chính Thức",($G20+$H20)&lt;11,0),IF($F20="Thử Việc",0),"")),0)</f>
        <v>79500</v>
      </c>
      <c r="AM20" s="414">
        <f>IFERROR(IF(AND($F20="Chính Thức",($G20+$H20)&gt;=11),$J20*AM$8,IF(AND($F20="Chính Thức",($G20+$H20)&lt;11,0),IF($F20="Thử Việc",0),"")),0)</f>
        <v>53000</v>
      </c>
      <c r="AN20" s="411">
        <f t="shared" si="54"/>
        <v>556500</v>
      </c>
      <c r="AO20" s="415">
        <f>IF(F20="Chính Thức",$AO$10,0)</f>
        <v>15500000</v>
      </c>
      <c r="AP20" s="416"/>
      <c r="AQ20" s="409">
        <f t="shared" si="56"/>
        <v>0</v>
      </c>
      <c r="AR20" s="409">
        <f t="shared" si="57"/>
        <v>15500000</v>
      </c>
      <c r="AS20" s="409">
        <f t="shared" si="58"/>
        <v>0</v>
      </c>
      <c r="AT20" s="411">
        <f>IF(F20="Chính Thức",IF(AS20&lt;=0,,IF(AND(AS20&gt;0,AS20&lt;=5000000),5%*AS20,IF(AND(AS20&gt;5000000,AS20&lt;=10000000),10%*AS20-250000,IF(AND(AS20&gt;10000000,AS20&lt;=18000000),15%*AS20-750000,IF(AND(AS20&gt;18000000,AS20&lt;=32000000),20%*AS20-1650000,IF(AND(AS20&gt;32000000,AS20&lt;=52000000),25%*AS20-3250000,IF(AND(AS20&gt;52000000,AS20&lt;=80000000),30%*AS20-5850000,IF(AS20&gt;80000000,35%*AS20-9850000)))))))),IF(AND(F20="Thử Việc",AS20&gt;=2000000),AS20*10%,IF(F20="CTV",AS20*10%)))</f>
        <v>0</v>
      </c>
      <c r="AU20" s="409"/>
      <c r="AV20" s="411">
        <f t="shared" si="60"/>
        <v>9000000</v>
      </c>
      <c r="AW20" s="397"/>
    </row>
    <row r="21" spans="1:50" ht="58.5" customHeight="1" x14ac:dyDescent="0.25">
      <c r="A21" s="405"/>
      <c r="B21" s="406" t="s">
        <v>338</v>
      </c>
      <c r="C21" s="407"/>
      <c r="D21" s="408"/>
      <c r="E21" s="408"/>
      <c r="F21" s="409"/>
      <c r="G21" s="410"/>
      <c r="H21" s="410"/>
      <c r="I21" s="410"/>
      <c r="J21" s="417">
        <f>J22+J23+J24+J25</f>
        <v>22000000</v>
      </c>
      <c r="K21" s="417">
        <f t="shared" ref="K21:Z21" si="61">K22+K23+K24+K25</f>
        <v>21000000</v>
      </c>
      <c r="L21" s="417">
        <f t="shared" si="61"/>
        <v>21000000</v>
      </c>
      <c r="M21" s="417">
        <f t="shared" si="61"/>
        <v>49179150</v>
      </c>
      <c r="N21" s="417">
        <f t="shared" si="61"/>
        <v>4</v>
      </c>
      <c r="O21" s="417">
        <f t="shared" si="61"/>
        <v>42392694.31818182</v>
      </c>
      <c r="P21" s="417">
        <f t="shared" si="61"/>
        <v>0</v>
      </c>
      <c r="Q21" s="417">
        <f t="shared" si="61"/>
        <v>0</v>
      </c>
      <c r="R21" s="417">
        <f t="shared" si="61"/>
        <v>0</v>
      </c>
      <c r="S21" s="417">
        <f t="shared" si="61"/>
        <v>0</v>
      </c>
      <c r="T21" s="417">
        <f t="shared" si="61"/>
        <v>0</v>
      </c>
      <c r="U21" s="417">
        <f t="shared" si="61"/>
        <v>0</v>
      </c>
      <c r="V21" s="417">
        <f t="shared" si="61"/>
        <v>0</v>
      </c>
      <c r="W21" s="417">
        <f t="shared" si="61"/>
        <v>2749090.9090909092</v>
      </c>
      <c r="X21" s="417">
        <f t="shared" si="61"/>
        <v>1527272.7272727271</v>
      </c>
      <c r="Y21" s="417">
        <f t="shared" si="61"/>
        <v>2245454.5454545454</v>
      </c>
      <c r="Z21" s="417">
        <f t="shared" si="61"/>
        <v>6521818.1818181816</v>
      </c>
      <c r="AA21" s="417">
        <f>SUBTOTAL(9,AA22:AA25)</f>
        <v>0</v>
      </c>
      <c r="AB21" s="417">
        <f>SUBTOTAL(9,AB22:AB25)</f>
        <v>0</v>
      </c>
      <c r="AC21" s="417">
        <f>SUBTOTAL(9,AC22:AC25)</f>
        <v>0</v>
      </c>
      <c r="AD21" s="417">
        <f t="shared" ref="AD21:AU21" si="62">AD22+AD23+AD24+AD25</f>
        <v>6521818.1818181816</v>
      </c>
      <c r="AE21" s="417">
        <f t="shared" si="62"/>
        <v>69914512.5</v>
      </c>
      <c r="AF21" s="417">
        <f t="shared" si="62"/>
        <v>63392694.31818182</v>
      </c>
      <c r="AG21" s="417">
        <f>SUBTOTAL(9,AG22:AG25)</f>
        <v>1924999.9999999998</v>
      </c>
      <c r="AH21" s="417">
        <f t="shared" ref="AH21:AN21" si="63">SUBTOTAL(9,AH22:AH25)</f>
        <v>330000</v>
      </c>
      <c r="AI21" s="417">
        <f t="shared" si="63"/>
        <v>110000</v>
      </c>
      <c r="AJ21" s="417">
        <f t="shared" si="63"/>
        <v>2365000</v>
      </c>
      <c r="AK21" s="417">
        <f t="shared" si="63"/>
        <v>880000</v>
      </c>
      <c r="AL21" s="417">
        <f t="shared" si="63"/>
        <v>165000</v>
      </c>
      <c r="AM21" s="417">
        <f t="shared" si="63"/>
        <v>110000</v>
      </c>
      <c r="AN21" s="417">
        <f t="shared" si="63"/>
        <v>1155000</v>
      </c>
      <c r="AO21" s="417">
        <f t="shared" si="62"/>
        <v>62000000</v>
      </c>
      <c r="AP21" s="417">
        <f t="shared" si="62"/>
        <v>0</v>
      </c>
      <c r="AQ21" s="417">
        <f t="shared" si="62"/>
        <v>0</v>
      </c>
      <c r="AR21" s="417">
        <f t="shared" si="62"/>
        <v>62000000</v>
      </c>
      <c r="AS21" s="417">
        <f t="shared" si="62"/>
        <v>24701046.590909094</v>
      </c>
      <c r="AT21" s="417">
        <f t="shared" si="62"/>
        <v>3290209.3181818193</v>
      </c>
      <c r="AU21" s="417">
        <f t="shared" si="62"/>
        <v>0</v>
      </c>
      <c r="AV21" s="417">
        <f>SUM(AV22:AV29)</f>
        <v>103063400</v>
      </c>
      <c r="AW21" s="397"/>
    </row>
    <row r="22" spans="1:50" ht="58.5" customHeight="1" x14ac:dyDescent="0.25">
      <c r="A22" s="100">
        <f>SUBTOTAL(3,$C$11:C22)</f>
        <v>9</v>
      </c>
      <c r="B22" s="390" t="s">
        <v>335</v>
      </c>
      <c r="C22" s="407" t="s">
        <v>337</v>
      </c>
      <c r="D22" s="408" t="s">
        <v>338</v>
      </c>
      <c r="E22" s="408" t="s">
        <v>336</v>
      </c>
      <c r="F22" s="409" t="str">
        <f>IFERROR(VLOOKUP($B22,'3. BẢNG CHẤM CÔNG'!$B$11:$AV$27,6,0),0)</f>
        <v>Chính Thức</v>
      </c>
      <c r="G22" s="410">
        <f>IFERROR(VLOOKUP($B22, '3. BẢNG CHẤM CÔNG'!$B$10:$AV35,43,0),0)</f>
        <v>17.5</v>
      </c>
      <c r="H22" s="410">
        <f>IFERROR(VLOOKUP($B22, '3. BẢNG CHẤM CÔNG'!$B$10:$AV35,44,0),0)</f>
        <v>1</v>
      </c>
      <c r="I22" s="410"/>
      <c r="J22" s="409">
        <f>IFERROR(VLOOKUP($B22,' 5. Thông số TL'!$D$12:$S$34,4,0),0)</f>
        <v>5500000</v>
      </c>
      <c r="K22" s="409">
        <f t="shared" ref="K22:K25" si="64">IFERROR(IF($F22="Chính Thức",$J22/$G$4*($G22+$H22),IF($F22="Thử Việc",$J22/$G$4*($G22+$H22)*85%,"")),0)</f>
        <v>4625000</v>
      </c>
      <c r="L22" s="411">
        <f t="shared" ref="L22:L23" si="65">SUM(K22)</f>
        <v>4625000</v>
      </c>
      <c r="M22" s="409">
        <f>IFERROR(VLOOKUP($B22,' 5. Thông số TL'!$D$12:$S$34,5,0),0)</f>
        <v>42306650</v>
      </c>
      <c r="N22" s="412">
        <v>1</v>
      </c>
      <c r="O22" s="409">
        <f t="shared" ref="O22:O25" si="66">IFERROR(IF($F22="Chính Thức",$M22/$G$4*($G22+$H22)*N22,IF($F22="Thử Việc",$M22/$G$4*N22*($G22+$H22)*85%)),0)</f>
        <v>35576046.590909094</v>
      </c>
      <c r="P22" s="409"/>
      <c r="Q22" s="413"/>
      <c r="R22" s="409"/>
      <c r="S22" s="411"/>
      <c r="T22" s="409"/>
      <c r="U22" s="409"/>
      <c r="V22" s="411">
        <f t="shared" ref="V22:V23" si="67">SUM(T22:U22)</f>
        <v>0</v>
      </c>
      <c r="W22" s="409">
        <f>IFERROR(IF($F22="Chính Thức",VLOOKUP($B22,' 5. Thông số TL'!$D$12:$S$34,6,0)/$G$4*($G22+$H22),IF($F22="Thử Việc",VLOOKUP($B22,' 5. Thông số TL'!$D$12:$S$34,6,0)/$G$4*($G22+$H22)*85%,"")),0)</f>
        <v>605454.54545454541</v>
      </c>
      <c r="X22" s="409">
        <f>IFERROR(IF($F22="Chính Thức",VLOOKUP($B22,' 5. Thông số TL'!$D$12:$S$34,7,0)/$G$4*($G22+$H22),IF($F22="Thử Việc",VLOOKUP($B22,' 5. Thông số TL'!$D$12:$S$34,7,0)/$G$4*($G22+$H22)*85%,"")),0)</f>
        <v>336363.63636363635</v>
      </c>
      <c r="Y22" s="409">
        <f>IFERROR(IF($F22="Chính Thức",VLOOKUP($B22,' 5. Thông số TL'!$D$12:$S$34,8,0)/$G$4*($G22+$H22),IF($F22="Thử Việc",VLOOKUP($B22,' 5. Thông số TL'!$D$12:$S$34,8,0)/$G$4*($G22+$H22)*85%,"")),0)</f>
        <v>756818.18181818188</v>
      </c>
      <c r="Z22" s="409">
        <f t="shared" ref="Z22:Z23" si="68">SUM(W22:Y22)</f>
        <v>1698636.3636363638</v>
      </c>
      <c r="AA22" s="409">
        <f>IFERROR(IF($F22="Chính Thức",VLOOKUP($B22,' 5. Thông số TL'!$D$12:$S$34,10,0)/$G$4*($G22+$H22),IF($F22="Thử Việc",VLOOKUP($B22,' 5. Thông số TL'!$D$12:$S$34,10,0)/$G$4*($G22+$H22)*85%,"")),0)</f>
        <v>0</v>
      </c>
      <c r="AB22" s="409"/>
      <c r="AC22" s="409">
        <f t="shared" ref="AC22:AC23" si="69">SUM(AA22:AB22)</f>
        <v>0</v>
      </c>
      <c r="AD22" s="411">
        <f t="shared" ref="AD22:AD23" si="70">Z22+AC22</f>
        <v>1698636.3636363638</v>
      </c>
      <c r="AE22" s="411">
        <f t="shared" ref="AE22:AE23" si="71">L22+O22+S22+V22+AD22</f>
        <v>41899682.954545461</v>
      </c>
      <c r="AF22" s="409">
        <f>IF(F22="Chính Thức",AE22-Z22,IF(F22="Thử Việc",AE22,IF(F22="CTV",AE22,0)))</f>
        <v>40201046.590909094</v>
      </c>
      <c r="AG22" s="414">
        <v>0</v>
      </c>
      <c r="AH22" s="414">
        <v>0</v>
      </c>
      <c r="AI22" s="414">
        <v>0</v>
      </c>
      <c r="AJ22" s="414">
        <v>0</v>
      </c>
      <c r="AK22" s="414">
        <v>0</v>
      </c>
      <c r="AL22" s="414">
        <v>0</v>
      </c>
      <c r="AM22" s="414">
        <v>0</v>
      </c>
      <c r="AN22" s="414">
        <v>0</v>
      </c>
      <c r="AO22" s="415">
        <f t="shared" ref="AO22:AO25" si="72">IF(F22="Chính Thức",$AO$10,0)</f>
        <v>15500000</v>
      </c>
      <c r="AP22" s="416"/>
      <c r="AQ22" s="409">
        <f t="shared" ref="AQ22:AQ23" si="73">AP22*$AQ$10</f>
        <v>0</v>
      </c>
      <c r="AR22" s="409">
        <f t="shared" ref="AR22:AR23" si="74">+AO22+AQ22</f>
        <v>15500000</v>
      </c>
      <c r="AS22" s="409">
        <f t="shared" ref="AS22:AS23" si="75">MAX(AF22-AR22-AN22,0)</f>
        <v>24701046.590909094</v>
      </c>
      <c r="AT22" s="411">
        <f>IF(F22="Chính Thức",IF(AS22&lt;=0,,IF(AND(AS22&gt;0,AS22&lt;=5000000),5%*AS22,IF(AND(AS22&gt;5000000,AS22&lt;=10000000),10%*AS22-250000,IF(AND(AS22&gt;10000000,AS22&lt;=18000000),15%*AS22-750000,IF(AND(AS22&gt;18000000,AS22&lt;=32000000),20%*AS22-1650000,IF(AND(AS22&gt;32000000,AS22&lt;=52000000),25%*AS22-3250000,IF(AND(AS22&gt;52000000,AS22&lt;=80000000),30%*AS22-5850000,IF(AS22&gt;80000000,35%*AS22-9850000)))))))),IF(AND(F22="Thử Việc",AS22&gt;=2000000),AS22*20%,IF(F22="CTV",AS22*10%)))</f>
        <v>3290209.3181818193</v>
      </c>
      <c r="AU22" s="409"/>
      <c r="AV22" s="411">
        <f t="shared" ref="AV22:AV23" si="76">ROUND(AE22-AN22-AT22+AU22,-2)</f>
        <v>38609500</v>
      </c>
      <c r="AW22" s="397"/>
    </row>
    <row r="23" spans="1:50" ht="58.5" customHeight="1" x14ac:dyDescent="0.25">
      <c r="A23" s="100">
        <f>SUBTOTAL(3,$C$11:C23)</f>
        <v>10</v>
      </c>
      <c r="B23" s="390" t="s">
        <v>348</v>
      </c>
      <c r="C23" s="374" t="s">
        <v>377</v>
      </c>
      <c r="D23" s="408" t="s">
        <v>338</v>
      </c>
      <c r="E23" s="408" t="s">
        <v>349</v>
      </c>
      <c r="F23" s="409" t="str">
        <f>IFERROR(VLOOKUP($B23,'3. BẢNG CHẤM CÔNG'!$B$11:$AV$27,6,0),0)</f>
        <v>Chính Thức</v>
      </c>
      <c r="G23" s="410">
        <f>IFERROR(VLOOKUP($B23, '3. BẢNG CHẤM CÔNG'!$B$10:$AV37,43,0),0)</f>
        <v>21</v>
      </c>
      <c r="H23" s="410">
        <f>IFERROR(VLOOKUP($B23, '3. BẢNG CHẤM CÔNG'!$B$10:$AV37,44,0),0)</f>
        <v>1</v>
      </c>
      <c r="I23" s="410"/>
      <c r="J23" s="409">
        <f>IFERROR(VLOOKUP($B23,' 5. Thông số TL'!$D$12:$S$34,4,0),0)</f>
        <v>5500000</v>
      </c>
      <c r="K23" s="409">
        <f t="shared" si="64"/>
        <v>5500000</v>
      </c>
      <c r="L23" s="411">
        <f t="shared" si="65"/>
        <v>5500000</v>
      </c>
      <c r="M23" s="409">
        <f>IFERROR(VLOOKUP($B23,' 5. Thông số TL'!$D$12:$S$34,5,0),0)</f>
        <v>2457500</v>
      </c>
      <c r="N23" s="412">
        <v>1</v>
      </c>
      <c r="O23" s="409">
        <f t="shared" si="66"/>
        <v>2457500</v>
      </c>
      <c r="P23" s="409"/>
      <c r="Q23" s="413"/>
      <c r="R23" s="409"/>
      <c r="S23" s="411"/>
      <c r="T23" s="409"/>
      <c r="U23" s="409"/>
      <c r="V23" s="411">
        <f t="shared" si="67"/>
        <v>0</v>
      </c>
      <c r="W23" s="409">
        <f>IFERROR(IF($F23="Chính Thức",VLOOKUP($B23,' 5. Thông số TL'!$D$12:$S$34,6,0)/$G$4*($G23+$H23),IF($F23="Thử Việc",VLOOKUP($B23,' 5. Thông số TL'!$D$12:$S$34,6,0)/$G$4*($G23+$H23)*85%,"")),0)</f>
        <v>720000</v>
      </c>
      <c r="X23" s="409">
        <f>IFERROR(IF($F23="Chính Thức",VLOOKUP($B23,' 5. Thông số TL'!$D$12:$S$34,7,0)/$G$4*($G23+$H23),IF($F23="Thử Việc",VLOOKUP($B23,' 5. Thông số TL'!$D$12:$S$34,7,0)/$G$4*($G23+$H23)*85%,"")),0)</f>
        <v>399999.99999999994</v>
      </c>
      <c r="Y23" s="409">
        <f>IFERROR(IF($F23="Chính Thức",VLOOKUP($B23,' 5. Thông số TL'!$D$12:$S$34,8,0)/$G$4*($G23+$H23),IF($F23="Thử Việc",VLOOKUP($B23,' 5. Thông số TL'!$D$12:$S$34,8,0)/$G$4*($G23+$H23)*85%,"")),0)</f>
        <v>500000</v>
      </c>
      <c r="Z23" s="409">
        <f t="shared" si="68"/>
        <v>1620000</v>
      </c>
      <c r="AA23" s="409">
        <f>IFERROR(IF($F23="Chính Thức",VLOOKUP($B23,' 5. Thông số TL'!$D$12:$S$34,10,0)/$G$4*($G23+$H23),IF($F23="Thử Việc",VLOOKUP($B23,' 5. Thông số TL'!$D$12:$S$34,10,0)/$G$4*($G23+$H23)*85%,"")),0)</f>
        <v>0</v>
      </c>
      <c r="AB23" s="409"/>
      <c r="AC23" s="409">
        <f t="shared" si="69"/>
        <v>0</v>
      </c>
      <c r="AD23" s="411">
        <f t="shared" si="70"/>
        <v>1620000</v>
      </c>
      <c r="AE23" s="411">
        <f t="shared" si="71"/>
        <v>9577500</v>
      </c>
      <c r="AF23" s="409">
        <f>IF(F23="Chính Thức",AE23-Z23,IF(F23="Thử Việc",AE23,IF(F23="CTV",AE23,0)))</f>
        <v>7957500</v>
      </c>
      <c r="AG23" s="414">
        <f t="shared" ref="AG23:AI29" si="77">IFERROR(IF(AND($F23="Chính Thức",($G23+$H23)&gt;=11),$J23*AG$8,IF(AND($F23="Chính Thức",($G23+$H23)&lt;11,0),IF($F23="Thử Việc",0),"")),0)</f>
        <v>962499.99999999988</v>
      </c>
      <c r="AH23" s="414">
        <f t="shared" si="77"/>
        <v>165000</v>
      </c>
      <c r="AI23" s="414">
        <f t="shared" si="77"/>
        <v>55000</v>
      </c>
      <c r="AJ23" s="415">
        <f t="shared" ref="AJ23" si="78">ROUND(SUM(AG23:AI23),0)</f>
        <v>1182500</v>
      </c>
      <c r="AK23" s="414">
        <f t="shared" ref="AK23:AM29" si="79">IFERROR(IF(AND($F23="Chính Thức",($G23+$H23)&gt;=11),$J23*AK$8,IF(AND($F23="Chính Thức",($G23+$H23)&lt;11,0),IF($F23="Thử Việc",0),"")),0)</f>
        <v>440000</v>
      </c>
      <c r="AL23" s="414">
        <f t="shared" si="79"/>
        <v>82500</v>
      </c>
      <c r="AM23" s="414">
        <f t="shared" si="79"/>
        <v>55000</v>
      </c>
      <c r="AN23" s="411">
        <f t="shared" ref="AN23" si="80">ROUND(SUM(AK23:AM23),-1)</f>
        <v>577500</v>
      </c>
      <c r="AO23" s="415">
        <f t="shared" si="72"/>
        <v>15500000</v>
      </c>
      <c r="AP23" s="416"/>
      <c r="AQ23" s="409">
        <f t="shared" si="73"/>
        <v>0</v>
      </c>
      <c r="AR23" s="409">
        <f t="shared" si="74"/>
        <v>15500000</v>
      </c>
      <c r="AS23" s="409">
        <f t="shared" si="75"/>
        <v>0</v>
      </c>
      <c r="AT23" s="411">
        <f>IF(F23="Chính Thức",IF(AS23&lt;=0,,IF(AND(AS23&gt;0,AS23&lt;=5000000),5%*AS23,IF(AND(AS23&gt;5000000,AS23&lt;=10000000),10%*AS23-250000,IF(AND(AS23&gt;10000000,AS23&lt;=18000000),15%*AS23-750000,IF(AND(AS23&gt;18000000,AS23&lt;=32000000),20%*AS23-1650000,IF(AND(AS23&gt;32000000,AS23&lt;=52000000),25%*AS23-3250000,IF(AND(AS23&gt;52000000,AS23&lt;=80000000),30%*AS23-5850000,IF(AS23&gt;80000000,35%*AS23-9850000)))))))),IF(AND(F23="Thử Việc",AS23&gt;=2000000),AS23*20%,IF(F23="CTV",AS23*10%)))</f>
        <v>0</v>
      </c>
      <c r="AU23" s="409"/>
      <c r="AV23" s="411">
        <f t="shared" si="76"/>
        <v>9000000</v>
      </c>
      <c r="AW23" s="397"/>
      <c r="AX23" s="452"/>
    </row>
    <row r="24" spans="1:50" ht="58.5" customHeight="1" x14ac:dyDescent="0.25">
      <c r="A24" s="100">
        <f>SUBTOTAL(3,$C$11:C24)</f>
        <v>11</v>
      </c>
      <c r="B24" s="390" t="s">
        <v>381</v>
      </c>
      <c r="C24" s="374" t="s">
        <v>382</v>
      </c>
      <c r="D24" s="408" t="s">
        <v>338</v>
      </c>
      <c r="E24" s="408" t="s">
        <v>349</v>
      </c>
      <c r="F24" s="409" t="str">
        <f>IFERROR(VLOOKUP($B24,'3. BẢNG CHẤM CÔNG'!$B$11:$AV$27,6,0),0)</f>
        <v>Chính Thức</v>
      </c>
      <c r="G24" s="410">
        <f>IFERROR(VLOOKUP($B24, '3. BẢNG CHẤM CÔNG'!$B$10:$AV38,43,0),0)</f>
        <v>21</v>
      </c>
      <c r="H24" s="410">
        <f>IFERROR(VLOOKUP($B24, '3. BẢNG CHẤM CÔNG'!$B$10:$AV38,44,0),0)</f>
        <v>1</v>
      </c>
      <c r="I24" s="410"/>
      <c r="J24" s="409">
        <f>IFERROR(VLOOKUP($B24,' 5. Thông số TL'!$D$12:$S$34,4,0),0)</f>
        <v>5500000</v>
      </c>
      <c r="K24" s="409">
        <f t="shared" si="64"/>
        <v>5500000</v>
      </c>
      <c r="L24" s="411">
        <f t="shared" ref="L24" si="81">SUM(K24)</f>
        <v>5500000</v>
      </c>
      <c r="M24" s="409">
        <f>IFERROR(VLOOKUP($B24,' 5. Thông số TL'!$D$12:$S$34,5,0),0)</f>
        <v>1957500</v>
      </c>
      <c r="N24" s="412">
        <v>1</v>
      </c>
      <c r="O24" s="409">
        <f t="shared" si="66"/>
        <v>1957499.9999999998</v>
      </c>
      <c r="P24" s="409"/>
      <c r="Q24" s="413"/>
      <c r="R24" s="409"/>
      <c r="S24" s="411"/>
      <c r="T24" s="409"/>
      <c r="U24" s="409"/>
      <c r="V24" s="411">
        <f t="shared" ref="V24" si="82">SUM(T24:U24)</f>
        <v>0</v>
      </c>
      <c r="W24" s="409">
        <f>IFERROR(IF($F24="Chính Thức",VLOOKUP($B24,' 5. Thông số TL'!$D$12:$S$34,6,0)/$G$4*($G24+$H24),IF($F24="Thử Việc",VLOOKUP($B24,' 5. Thông số TL'!$D$12:$S$34,6,0)/$G$4*($G24+$H24)*85%,"")),0)</f>
        <v>720000</v>
      </c>
      <c r="X24" s="409">
        <f>IFERROR(IF($F24="Chính Thức",VLOOKUP($B24,' 5. Thông số TL'!$D$12:$S$34,7,0)/$G$4*($G24+$H24),IF($F24="Thử Việc",VLOOKUP($B24,' 5. Thông số TL'!$D$12:$S$34,7,0)/$G$4*($G24+$H24)*85%,"")),0)</f>
        <v>399999.99999999994</v>
      </c>
      <c r="Y24" s="409">
        <f>IFERROR(IF($F24="Chính Thức",VLOOKUP($B24,' 5. Thông số TL'!$D$12:$S$34,8,0)/$G$4*($G24+$H24),IF($F24="Thử Việc",VLOOKUP($B24,' 5. Thông số TL'!$D$12:$S$34,8,0)/$G$4*($G24+$H24)*85%,"")),0)</f>
        <v>500000</v>
      </c>
      <c r="Z24" s="409">
        <f t="shared" ref="Z24" si="83">SUM(W24:Y24)</f>
        <v>1620000</v>
      </c>
      <c r="AA24" s="409">
        <f>IFERROR(IF($F24="Chính Thức",VLOOKUP($B24,' 5. Thông số TL'!$D$12:$S$34,10,0)/$G$4*($G24+$H24),IF($F24="Thử Việc",VLOOKUP($B24,' 5. Thông số TL'!$D$12:$S$34,10,0)/$G$4*($G24+$H24)*85%,"")),0)</f>
        <v>0</v>
      </c>
      <c r="AB24" s="409"/>
      <c r="AC24" s="409">
        <f t="shared" ref="AC24" si="84">SUM(AA24:AB24)</f>
        <v>0</v>
      </c>
      <c r="AD24" s="411">
        <f t="shared" ref="AD24" si="85">Z24+AC24</f>
        <v>1620000</v>
      </c>
      <c r="AE24" s="411">
        <f t="shared" ref="AE24" si="86">L24+O24+S24+V24+AD24</f>
        <v>9077500</v>
      </c>
      <c r="AF24" s="409">
        <f>IF(F24="Chính Thức",AE24-Z24,IF(F24="Thử Việc",AE24-W24-X24,IF(F24="CTV",AE24,0)))</f>
        <v>7457500</v>
      </c>
      <c r="AG24" s="414">
        <v>0</v>
      </c>
      <c r="AH24" s="414">
        <v>0</v>
      </c>
      <c r="AI24" s="414">
        <v>0</v>
      </c>
      <c r="AJ24" s="414">
        <v>0</v>
      </c>
      <c r="AK24" s="414">
        <v>0</v>
      </c>
      <c r="AL24" s="414">
        <v>0</v>
      </c>
      <c r="AM24" s="414">
        <v>0</v>
      </c>
      <c r="AN24" s="414">
        <v>0</v>
      </c>
      <c r="AO24" s="415">
        <f t="shared" si="72"/>
        <v>15500000</v>
      </c>
      <c r="AP24" s="416"/>
      <c r="AQ24" s="409">
        <f t="shared" ref="AQ24" si="87">AP24*$AQ$10</f>
        <v>0</v>
      </c>
      <c r="AR24" s="409">
        <f t="shared" ref="AR24" si="88">+AO24+AQ24</f>
        <v>15500000</v>
      </c>
      <c r="AS24" s="409">
        <f t="shared" ref="AS24" si="89">MAX(AF24-AR24-AN24,0)</f>
        <v>0</v>
      </c>
      <c r="AT24" s="411">
        <f>IF(F24="Chính Thức",IF(AS24&lt;=0,,IF(AND(AS24&gt;0,AS24&lt;=5000000),5%*AS24,IF(AND(AS24&gt;5000000,AS24&lt;=10000000),10%*AS24-250000,IF(AND(AS24&gt;10000000,AS24&lt;=18000000),15%*AS24-750000,IF(AND(AS24&gt;18000000,AS24&lt;=32000000),20%*AS24-1650000,IF(AND(AS24&gt;32000000,AS24&lt;=52000000),25%*AS24-3250000,IF(AND(AS24&gt;52000000,AS24&lt;=80000000),30%*AS24-5850000,IF(AS24&gt;80000000,35%*AS24-9850000)))))))),IF(AND(F24="Thử Việc",AS24&gt;=2000000),AS24*10%,IF(F24="CTV",AS24*10%)))</f>
        <v>0</v>
      </c>
      <c r="AU24" s="409"/>
      <c r="AV24" s="411">
        <f t="shared" ref="AV24" si="90">ROUND(AE24-AN24-AT24+AU24,-2)</f>
        <v>9077500</v>
      </c>
      <c r="AW24" s="397"/>
    </row>
    <row r="25" spans="1:50" ht="58.5" customHeight="1" x14ac:dyDescent="0.25">
      <c r="A25" s="100">
        <f>SUBTOTAL(3,$C$11:C25)</f>
        <v>12</v>
      </c>
      <c r="B25" s="390" t="s">
        <v>362</v>
      </c>
      <c r="C25" s="374" t="s">
        <v>361</v>
      </c>
      <c r="D25" s="408" t="s">
        <v>338</v>
      </c>
      <c r="E25" s="408" t="s">
        <v>349</v>
      </c>
      <c r="F25" s="409" t="str">
        <f>IFERROR(VLOOKUP($B25,'3. BẢNG CHẤM CÔNG'!$B$11:$AV$28,6,0),0)</f>
        <v>Chính Thức</v>
      </c>
      <c r="G25" s="410">
        <f>IFERROR(VLOOKUP($B25, '3. BẢNG CHẤM CÔNG'!$B$10:$AV39,43,0),0)</f>
        <v>20.5</v>
      </c>
      <c r="H25" s="410">
        <f>IFERROR(VLOOKUP($B25, '3. BẢNG CHẤM CÔNG'!$B$10:$AV39,44,0),0)</f>
        <v>1</v>
      </c>
      <c r="I25" s="410"/>
      <c r="J25" s="409">
        <f>IFERROR(VLOOKUP($B25,' 5. Thông số TL'!$D$12:$S$34,4,0),0)</f>
        <v>5500000</v>
      </c>
      <c r="K25" s="409">
        <f t="shared" si="64"/>
        <v>5375000</v>
      </c>
      <c r="L25" s="411">
        <f t="shared" ref="L25" si="91">SUM(K25)</f>
        <v>5375000</v>
      </c>
      <c r="M25" s="409">
        <f>IFERROR(VLOOKUP($B25,' 5. Thông số TL'!$D$12:$S$34,5,0),0)</f>
        <v>2457500</v>
      </c>
      <c r="N25" s="412">
        <v>1</v>
      </c>
      <c r="O25" s="409">
        <f t="shared" si="66"/>
        <v>2401647.7272727275</v>
      </c>
      <c r="P25" s="409"/>
      <c r="Q25" s="413"/>
      <c r="R25" s="409"/>
      <c r="S25" s="411"/>
      <c r="T25" s="409"/>
      <c r="U25" s="409"/>
      <c r="V25" s="411">
        <f t="shared" ref="V25" si="92">SUM(T25:U25)</f>
        <v>0</v>
      </c>
      <c r="W25" s="409">
        <f>IFERROR(IF($F25="Chính Thức",VLOOKUP($B25,' 5. Thông số TL'!$D$12:$S$34,6,0)/$G$4*($G25+$H25),IF($F25="Thử Việc",VLOOKUP($B25,' 5. Thông số TL'!$D$12:$S$34,6,0)/$G$4*($G25+$H25)*85%,"")),0)</f>
        <v>703636.36363636365</v>
      </c>
      <c r="X25" s="409">
        <f>IFERROR(IF($F25="Chính Thức",VLOOKUP($B25,' 5. Thông số TL'!$D$12:$S$34,7,0)/$G$4*($G25+$H25),IF($F25="Thử Việc",VLOOKUP($B25,' 5. Thông số TL'!$D$12:$S$34,7,0)/$G$4*($G25+$H25)*85%,"")),0)</f>
        <v>390909.09090909088</v>
      </c>
      <c r="Y25" s="409">
        <f>IFERROR(IF($F25="Chính Thức",VLOOKUP($B25,' 5. Thông số TL'!$D$12:$S$34,8,0)/$G$4*($G25+$H25),IF($F25="Thử Việc",VLOOKUP($B25,' 5. Thông số TL'!$D$12:$S$34,8,0)/$G$4*($G25+$H25)*85%,"")),0)</f>
        <v>488636.36363636365</v>
      </c>
      <c r="Z25" s="409">
        <f t="shared" ref="Z25" si="93">SUM(W25:Y25)</f>
        <v>1583181.8181818184</v>
      </c>
      <c r="AA25" s="409">
        <f>IFERROR(IF($F25="Chính Thức",VLOOKUP($B25,' 5. Thông số TL'!$D$12:$S$34,10,0)/$G$4*($G25+$H25),IF($F25="Thử Việc",VLOOKUP($B25,' 5. Thông số TL'!$D$12:$S$34,10,0)/$G$4*($G25+$H25)*85%,"")),0)</f>
        <v>0</v>
      </c>
      <c r="AB25" s="409"/>
      <c r="AC25" s="409">
        <f t="shared" ref="AC25" si="94">SUM(AA25:AB25)</f>
        <v>0</v>
      </c>
      <c r="AD25" s="411">
        <f t="shared" ref="AD25" si="95">Z25+AC25</f>
        <v>1583181.8181818184</v>
      </c>
      <c r="AE25" s="411">
        <f t="shared" ref="AE25" si="96">L25+O25+S25+V25+AD25</f>
        <v>9359829.5454545468</v>
      </c>
      <c r="AF25" s="409">
        <f>IF(F25="Chính Thức",AE25-Z25,IF(F25="Thử Việc",AE25,IF(F25="CTV",AE25,0)))</f>
        <v>7776647.7272727285</v>
      </c>
      <c r="AG25" s="414">
        <f t="shared" si="77"/>
        <v>962499.99999999988</v>
      </c>
      <c r="AH25" s="414">
        <f t="shared" si="77"/>
        <v>165000</v>
      </c>
      <c r="AI25" s="414">
        <f t="shared" si="77"/>
        <v>55000</v>
      </c>
      <c r="AJ25" s="415">
        <f t="shared" ref="AJ25" si="97">ROUND(SUM(AG25:AI25),0)</f>
        <v>1182500</v>
      </c>
      <c r="AK25" s="414">
        <f t="shared" si="79"/>
        <v>440000</v>
      </c>
      <c r="AL25" s="414">
        <f t="shared" si="79"/>
        <v>82500</v>
      </c>
      <c r="AM25" s="414">
        <f t="shared" si="79"/>
        <v>55000</v>
      </c>
      <c r="AN25" s="411">
        <f t="shared" ref="AN25" si="98">ROUND(SUM(AK25:AM25),-1)</f>
        <v>577500</v>
      </c>
      <c r="AO25" s="415">
        <f t="shared" si="72"/>
        <v>15500000</v>
      </c>
      <c r="AP25" s="416"/>
      <c r="AQ25" s="409">
        <f t="shared" ref="AQ25" si="99">AP25*$AQ$10</f>
        <v>0</v>
      </c>
      <c r="AR25" s="409">
        <f t="shared" ref="AR25" si="100">+AO25+AQ25</f>
        <v>15500000</v>
      </c>
      <c r="AS25" s="409">
        <f t="shared" ref="AS25" si="101">MAX(AF25-AR25-AN25,0)</f>
        <v>0</v>
      </c>
      <c r="AT25" s="411">
        <f>IF(F25="Chính Thức",IF(AS25&lt;=0,,IF(AND(AS25&gt;0,AS25&lt;=5000000),5%*AS25,IF(AND(AS25&gt;5000000,AS25&lt;=10000000),10%*AS25-250000,IF(AND(AS25&gt;10000000,AS25&lt;=18000000),15%*AS25-750000,IF(AND(AS25&gt;18000000,AS25&lt;=32000000),20%*AS25-1650000,IF(AND(AS25&gt;32000000,AS25&lt;=52000000),25%*AS25-3250000,IF(AND(AS25&gt;52000000,AS25&lt;=80000000),30%*AS25-5850000,IF(AS25&gt;80000000,35%*AS25-9850000)))))))),IF(AND(F25="Thử Việc",AS25&gt;=2000000),AS25*10%,IF(F25="CTV",AS25*10%)))</f>
        <v>0</v>
      </c>
      <c r="AU25" s="409"/>
      <c r="AV25" s="411">
        <f t="shared" ref="AV25" si="102">ROUND(AE25-AN25-AT25+AU25,-2)</f>
        <v>8782300</v>
      </c>
      <c r="AW25" s="397"/>
    </row>
    <row r="26" spans="1:50" ht="51" customHeight="1" x14ac:dyDescent="0.25">
      <c r="A26" s="100">
        <f>SUBTOTAL(3,$C$11:C26)</f>
        <v>13</v>
      </c>
      <c r="B26" s="390" t="s">
        <v>383</v>
      </c>
      <c r="C26" s="461" t="s">
        <v>384</v>
      </c>
      <c r="D26" s="492" t="s">
        <v>338</v>
      </c>
      <c r="E26" s="492" t="s">
        <v>349</v>
      </c>
      <c r="F26" s="409" t="str">
        <f>IFERROR(VLOOKUP($B26,'3. BẢNG CHẤM CÔNG'!$B$11:$AV$28,6,0),0)</f>
        <v>Chính Thức</v>
      </c>
      <c r="G26" s="410">
        <f>IFERROR(VLOOKUP($B26, '3. BẢNG CHẤM CÔNG'!$B$10:$AV40,43,0),0)</f>
        <v>18.5</v>
      </c>
      <c r="H26" s="494">
        <f>IFERROR(VLOOKUP($B26, '3. BẢNG CHẤM CÔNG'!$B$10:$AV41,44,0),0)</f>
        <v>1</v>
      </c>
      <c r="I26" s="494"/>
      <c r="J26" s="493">
        <f>IFERROR(VLOOKUP($B26,' 5. Thông số TL'!$D$12:$S$34,4,0),0)</f>
        <v>5500000</v>
      </c>
      <c r="K26" s="493">
        <f>IFERROR(IF($F26="Chính Thức",$J26/$G$4*($G26+$H26),IF($F26="Thử Việc",$J26/$G$4*($G26+$H26)*85%,"")),0)</f>
        <v>4875000</v>
      </c>
      <c r="L26" s="495">
        <f t="shared" ref="L26" si="103">SUM(K26)</f>
        <v>4875000</v>
      </c>
      <c r="M26" s="493">
        <f>IFERROR(VLOOKUP($B26,' 5. Thông số TL'!$D$12:$S$34,5,0),0)</f>
        <v>2457500</v>
      </c>
      <c r="N26" s="496">
        <v>1</v>
      </c>
      <c r="O26" s="493">
        <f>IFERROR(IF($F26="Chính Thức",$M26/$G$4*($G26+$H26)*N26,IF($F26="Thử Việc",$M26/$G$4*N26*($G26+$H26)*85%)),0)</f>
        <v>2178238.6363636362</v>
      </c>
      <c r="P26" s="493"/>
      <c r="Q26" s="497"/>
      <c r="R26" s="493"/>
      <c r="S26" s="495"/>
      <c r="T26" s="493"/>
      <c r="U26" s="493"/>
      <c r="V26" s="495">
        <f t="shared" ref="V26" si="104">SUM(T26:U26)</f>
        <v>0</v>
      </c>
      <c r="W26" s="493">
        <f>IFERROR(IF($F26="Chính Thức",VLOOKUP($B26,' 5. Thông số TL'!$D$12:$S$34,6,0)/$G$4*($G26+$H26),IF($F26="Thử Việc",VLOOKUP($B26,' 5. Thông số TL'!$D$12:$S$34,6,0)/$G$4*($G26+$H26)*85%,"")),0)</f>
        <v>638181.81818181823</v>
      </c>
      <c r="X26" s="493">
        <f>IFERROR(IF($F26="Chính Thức",VLOOKUP($B26,' 5. Thông số TL'!$D$12:$S$34,7,0)/$G$4*($G26+$H26),IF($F26="Thử Việc",VLOOKUP($B26,' 5. Thông số TL'!$D$12:$S$34,7,0)/$G$4*($G26+$H26)*85%,"")),0)</f>
        <v>354545.45454545453</v>
      </c>
      <c r="Y26" s="493">
        <f>IFERROR(IF($F26="Chính Thức",VLOOKUP($B26,' 5. Thông số TL'!$D$12:$S$34,8,0)/$G$4*($G26+$H26),IF($F26="Thử Việc",VLOOKUP($B26,' 5. Thông số TL'!$D$12:$S$34,8,0)/$G$4*($G26+$H26)*85%,"")),0)</f>
        <v>443181.81818181818</v>
      </c>
      <c r="Z26" s="493">
        <f t="shared" ref="Z26" si="105">SUM(W26:Y26)</f>
        <v>1435909.0909090908</v>
      </c>
      <c r="AA26" s="493">
        <f>IFERROR(IF($F26="Chính Thức",VLOOKUP($B26,' 5. Thông số TL'!$D$12:$S$34,10,0)/$G$4*($G26+$H26),IF($F26="Thử Việc",VLOOKUP($B26,' 5. Thông số TL'!$D$12:$S$34,10,0)/$G$4*($G26+$H26)*85%,"")),0)</f>
        <v>0</v>
      </c>
      <c r="AB26" s="493"/>
      <c r="AC26" s="493">
        <f t="shared" ref="AC26" si="106">SUM(AA26:AB26)</f>
        <v>0</v>
      </c>
      <c r="AD26" s="495">
        <f t="shared" ref="AD26" si="107">Z26+AC26</f>
        <v>1435909.0909090908</v>
      </c>
      <c r="AE26" s="495">
        <f t="shared" ref="AE26" si="108">L26+O26+S26+V26+AD26</f>
        <v>8489147.7272727266</v>
      </c>
      <c r="AF26" s="493">
        <f>IF(F26="Chính Thức",AE26-Z26,IF(F26="Thử Việc",AE26,IF(F26="CTV",AE26,0)))</f>
        <v>7053238.6363636358</v>
      </c>
      <c r="AG26" s="498">
        <f t="shared" si="77"/>
        <v>962499.99999999988</v>
      </c>
      <c r="AH26" s="498">
        <f t="shared" si="77"/>
        <v>165000</v>
      </c>
      <c r="AI26" s="498">
        <f t="shared" si="77"/>
        <v>55000</v>
      </c>
      <c r="AJ26" s="499">
        <f t="shared" ref="AJ26" si="109">ROUND(SUM(AG26:AI26),0)</f>
        <v>1182500</v>
      </c>
      <c r="AK26" s="498">
        <f t="shared" si="79"/>
        <v>440000</v>
      </c>
      <c r="AL26" s="498">
        <f t="shared" si="79"/>
        <v>82500</v>
      </c>
      <c r="AM26" s="498">
        <f t="shared" si="79"/>
        <v>55000</v>
      </c>
      <c r="AN26" s="495">
        <f t="shared" ref="AN26" si="110">ROUND(SUM(AK26:AM26),-1)</f>
        <v>577500</v>
      </c>
      <c r="AO26" s="499">
        <f t="shared" ref="AO26" si="111">IF(F26="Chính Thức",$AO$10,0)</f>
        <v>15500000</v>
      </c>
      <c r="AP26" s="500"/>
      <c r="AQ26" s="493">
        <f t="shared" ref="AQ26" si="112">AP26*$AQ$10</f>
        <v>0</v>
      </c>
      <c r="AR26" s="493">
        <f t="shared" ref="AR26" si="113">+AO26+AQ26</f>
        <v>15500000</v>
      </c>
      <c r="AS26" s="493">
        <f t="shared" ref="AS26" si="114">MAX(AF26-AR26-AN26,0)</f>
        <v>0</v>
      </c>
      <c r="AT26" s="495">
        <f>IF(F26="Chính Thức",IF(AS26&lt;=0,,IF(AND(AS26&gt;0,AS26&lt;=5000000),5%*AS26,IF(AND(AS26&gt;5000000,AS26&lt;=10000000),10%*AS26-250000,IF(AND(AS26&gt;10000000,AS26&lt;=18000000),15%*AS26-750000,IF(AND(AS26&gt;18000000,AS26&lt;=32000000),20%*AS26-1650000,IF(AND(AS26&gt;32000000,AS26&lt;=52000000),25%*AS26-3250000,IF(AND(AS26&gt;52000000,AS26&lt;=80000000),30%*AS26-5850000,IF(AS26&gt;80000000,35%*AS26-9850000)))))))),IF(AND(F26="Thử Việc",AS26&gt;=2000000),AS26*10%,IF(F26="CTV",AS26*10%)))</f>
        <v>0</v>
      </c>
      <c r="AU26" s="493"/>
      <c r="AV26" s="495">
        <f t="shared" ref="AV26" si="115">ROUND(AE26-AN26-AT26+AU26,-2)</f>
        <v>7911600</v>
      </c>
      <c r="AW26" s="397"/>
    </row>
    <row r="27" spans="1:50" ht="51" customHeight="1" x14ac:dyDescent="0.25">
      <c r="A27" s="100">
        <f>SUBTOTAL(3,$C$11:C27)</f>
        <v>14</v>
      </c>
      <c r="B27" s="390" t="s">
        <v>392</v>
      </c>
      <c r="C27" s="407" t="s">
        <v>394</v>
      </c>
      <c r="D27" s="492" t="s">
        <v>338</v>
      </c>
      <c r="E27" s="492" t="s">
        <v>349</v>
      </c>
      <c r="F27" s="409" t="str">
        <f>IFERROR(VLOOKUP($B27,'3. BẢNG CHẤM CÔNG'!$B$11:$AV$28,6,0),0)</f>
        <v>Chính Thức</v>
      </c>
      <c r="G27" s="410">
        <f>IFERROR(VLOOKUP($B27, '3. BẢNG CHẤM CÔNG'!$B$10:$AV41,43,0),0)</f>
        <v>19.5</v>
      </c>
      <c r="H27" s="494">
        <f>IFERROR(VLOOKUP($B27, '3. BẢNG CHẤM CÔNG'!$B$10:$AV42,44,0),0)</f>
        <v>1</v>
      </c>
      <c r="I27" s="494"/>
      <c r="J27" s="493">
        <f>IFERROR(VLOOKUP($B27,' 5. Thông số TL'!$D$12:$S$34,4,0),0)</f>
        <v>5500000</v>
      </c>
      <c r="K27" s="493">
        <f>IFERROR(IF($F27="Chính Thức",$J27/$G$4*($G27+$H27),IF($F27="Thử Việc",$J27/$G$4*($G27+$H27)*85%,"")),0)</f>
        <v>5125000</v>
      </c>
      <c r="L27" s="495">
        <f t="shared" ref="L27" si="116">SUM(K27)</f>
        <v>5125000</v>
      </c>
      <c r="M27" s="493">
        <f>IFERROR(VLOOKUP($B27,' 5. Thông số TL'!$D$12:$S$34,5,0),0)</f>
        <v>5457500</v>
      </c>
      <c r="N27" s="496">
        <v>1</v>
      </c>
      <c r="O27" s="493">
        <f>IFERROR(IF($F27="Chính Thức",$M27/$G$4*($G27+$H27)*N27,IF($F27="Thử Việc",$M27/$G$4*N27*($G27+$H27)*85%)),0)</f>
        <v>5085397.7272727275</v>
      </c>
      <c r="P27" s="493"/>
      <c r="Q27" s="497"/>
      <c r="R27" s="493"/>
      <c r="S27" s="495"/>
      <c r="T27" s="493"/>
      <c r="U27" s="493"/>
      <c r="V27" s="495">
        <f t="shared" ref="V27" si="117">SUM(T27:U27)</f>
        <v>0</v>
      </c>
      <c r="W27" s="493">
        <f>IFERROR(IF($F27="Chính Thức",VLOOKUP($B27,' 5. Thông số TL'!$D$12:$S$34,6,0)/$G$4*($G27+$H27),IF($F27="Thử Việc",VLOOKUP($B27,' 5. Thông số TL'!$D$12:$S$34,6,0)/$G$4*($G27+$H27)*85%,"")),0)</f>
        <v>670909.09090909094</v>
      </c>
      <c r="X27" s="493">
        <f>IFERROR(IF($F27="Chính Thức",VLOOKUP($B27,' 5. Thông số TL'!$D$12:$S$34,7,0)/$G$4*($G27+$H27),IF($F27="Thử Việc",VLOOKUP($B27,' 5. Thông số TL'!$D$12:$S$34,7,0)/$G$4*($G27+$H27)*85%,"")),0)</f>
        <v>372727.27272727271</v>
      </c>
      <c r="Y27" s="493">
        <f>IFERROR(IF($F27="Chính Thức",VLOOKUP($B27,' 5. Thông số TL'!$D$12:$S$34,8,0)/$G$4*($G27+$H27),IF($F27="Thử Việc",VLOOKUP($B27,' 5. Thông số TL'!$D$12:$S$34,8,0)/$G$4*($G27+$H27)*85%,"")),0)</f>
        <v>465909.09090909094</v>
      </c>
      <c r="Z27" s="493">
        <f t="shared" ref="Z27" si="118">SUM(W27:Y27)</f>
        <v>1509545.4545454546</v>
      </c>
      <c r="AA27" s="493">
        <f>IFERROR(IF($F27="Chính Thức",VLOOKUP($B27,' 5. Thông số TL'!$D$12:$S$34,10,0)/$G$4*($G27+$H27),IF($F27="Thử Việc",VLOOKUP($B27,' 5. Thông số TL'!$D$12:$S$34,10,0)/$G$4*($G27+$H27)*85%,"")),0)</f>
        <v>0</v>
      </c>
      <c r="AB27" s="493"/>
      <c r="AC27" s="493">
        <f t="shared" ref="AC27" si="119">SUM(AA27:AB27)</f>
        <v>0</v>
      </c>
      <c r="AD27" s="495">
        <f t="shared" ref="AD27" si="120">Z27+AC27</f>
        <v>1509545.4545454546</v>
      </c>
      <c r="AE27" s="495">
        <f t="shared" ref="AE27" si="121">L27+O27+S27+V27+AD27</f>
        <v>11719943.181818182</v>
      </c>
      <c r="AF27" s="493">
        <f>IF(F27="Chính Thức",AE27-Z27,IF(F27="Thử Việc",AE27,IF(F27="CTV",AE27,0)))</f>
        <v>10210397.727272727</v>
      </c>
      <c r="AG27" s="498">
        <f t="shared" si="77"/>
        <v>962499.99999999988</v>
      </c>
      <c r="AH27" s="498">
        <f t="shared" si="77"/>
        <v>165000</v>
      </c>
      <c r="AI27" s="498">
        <f t="shared" si="77"/>
        <v>55000</v>
      </c>
      <c r="AJ27" s="499">
        <f t="shared" ref="AJ27" si="122">ROUND(SUM(AG27:AI27),0)</f>
        <v>1182500</v>
      </c>
      <c r="AK27" s="498">
        <f t="shared" si="79"/>
        <v>440000</v>
      </c>
      <c r="AL27" s="498">
        <f t="shared" si="79"/>
        <v>82500</v>
      </c>
      <c r="AM27" s="498">
        <f t="shared" si="79"/>
        <v>55000</v>
      </c>
      <c r="AN27" s="495">
        <f t="shared" ref="AN27" si="123">ROUND(SUM(AK27:AM27),-1)</f>
        <v>577500</v>
      </c>
      <c r="AO27" s="499">
        <f t="shared" ref="AO27" si="124">IF(F27="Chính Thức",$AO$10,0)</f>
        <v>15500000</v>
      </c>
      <c r="AP27" s="500"/>
      <c r="AQ27" s="493">
        <f t="shared" ref="AQ27" si="125">AP27*$AQ$10</f>
        <v>0</v>
      </c>
      <c r="AR27" s="493">
        <f t="shared" ref="AR27" si="126">+AO27+AQ27</f>
        <v>15500000</v>
      </c>
      <c r="AS27" s="493">
        <f t="shared" ref="AS27" si="127">MAX(AF27-AR27-AN27,0)</f>
        <v>0</v>
      </c>
      <c r="AT27" s="495">
        <f>IF(F27="Chính Thức",IF(AS27&lt;=0,,IF(AND(AS27&gt;0,AS27&lt;=5000000),5%*AS27,IF(AND(AS27&gt;5000000,AS27&lt;=10000000),10%*AS27-250000,IF(AND(AS27&gt;10000000,AS27&lt;=18000000),15%*AS27-750000,IF(AND(AS27&gt;18000000,AS27&lt;=32000000),20%*AS27-1650000,IF(AND(AS27&gt;32000000,AS27&lt;=52000000),25%*AS27-3250000,IF(AND(AS27&gt;52000000,AS27&lt;=80000000),30%*AS27-5850000,IF(AS27&gt;80000000,35%*AS27-9850000)))))))),IF(AND(F27="Thử Việc",AS27&gt;=2000000),AS27*10%,IF(F27="CTV",AS27*10%)))</f>
        <v>0</v>
      </c>
      <c r="AU27" s="493"/>
      <c r="AV27" s="495">
        <f t="shared" ref="AV27" si="128">ROUND(AE27-AN27-AT27+AU27,-2)</f>
        <v>11142400</v>
      </c>
      <c r="AW27" s="397"/>
    </row>
    <row r="28" spans="1:50" ht="51" customHeight="1" x14ac:dyDescent="0.25">
      <c r="A28" s="457">
        <f>SUBTOTAL(3,$C$11:C28)</f>
        <v>15</v>
      </c>
      <c r="B28" s="491" t="s">
        <v>393</v>
      </c>
      <c r="C28" s="461" t="s">
        <v>395</v>
      </c>
      <c r="D28" s="492" t="s">
        <v>338</v>
      </c>
      <c r="E28" s="492" t="s">
        <v>349</v>
      </c>
      <c r="F28" s="493" t="str">
        <f>IFERROR(VLOOKUP($B28,'3. BẢNG CHẤM CÔNG'!$B$11:$AV$28,6,0),0)</f>
        <v>Chính Thức</v>
      </c>
      <c r="G28" s="410">
        <f>IFERROR(VLOOKUP($B28, '3. BẢNG CHẤM CÔNG'!$B$10:$AV42,43,0),0)</f>
        <v>21</v>
      </c>
      <c r="H28" s="494">
        <f>IFERROR(VLOOKUP($B28, '3. BẢNG CHẤM CÔNG'!$B$10:$AV43,44,0),0)</f>
        <v>1</v>
      </c>
      <c r="I28" s="494"/>
      <c r="J28" s="493">
        <f>IFERROR(VLOOKUP($B28,' 5. Thông số TL'!$D$12:$S$34,4,0),0)</f>
        <v>5500000</v>
      </c>
      <c r="K28" s="493">
        <f t="shared" ref="K28:K29" si="129">IFERROR(IF($F28="Chính Thức",$J28/$G$4*($G28+$H28),IF($F28="Thử Việc",$J28/$G$4*($G28+$H28)*85%,"")),0)</f>
        <v>5500000</v>
      </c>
      <c r="L28" s="495">
        <f t="shared" ref="L28:L29" si="130">SUM(K28)</f>
        <v>5500000</v>
      </c>
      <c r="M28" s="493">
        <f>IFERROR(VLOOKUP($B28,' 5. Thông số TL'!$D$12:$S$34,5,0),0)</f>
        <v>4457500</v>
      </c>
      <c r="N28" s="496">
        <v>1</v>
      </c>
      <c r="O28" s="493">
        <f t="shared" ref="O28:O29" si="131">IFERROR(IF($F28="Chính Thức",$M28/$G$4*($G28+$H28)*N28,IF($F28="Thử Việc",$M28/$G$4*N28*($G28+$H28)*85%)),0)</f>
        <v>4457500</v>
      </c>
      <c r="P28" s="493"/>
      <c r="Q28" s="497"/>
      <c r="R28" s="493"/>
      <c r="S28" s="495"/>
      <c r="T28" s="493"/>
      <c r="U28" s="493"/>
      <c r="V28" s="495">
        <f t="shared" ref="V28:V29" si="132">SUM(T28:U28)</f>
        <v>0</v>
      </c>
      <c r="W28" s="493">
        <f>IFERROR(IF($F28="Chính Thức",VLOOKUP($B28,' 5. Thông số TL'!$D$12:$S$34,6,0)/$G$4*($G28+$H28),IF($F28="Thử Việc",VLOOKUP($B28,' 5. Thông số TL'!$D$12:$S$34,6,0)/$G$4*($G28+$H28)*85%,"")),0)</f>
        <v>720000</v>
      </c>
      <c r="X28" s="493">
        <f>IFERROR(IF($F28="Chính Thức",VLOOKUP($B28,' 5. Thông số TL'!$D$12:$S$34,7,0)/$G$4*($G28+$H28),IF($F28="Thử Việc",VLOOKUP($B28,' 5. Thông số TL'!$D$12:$S$34,7,0)/$G$4*($G28+$H28)*85%,"")),0)</f>
        <v>399999.99999999994</v>
      </c>
      <c r="Y28" s="493">
        <f>IFERROR(IF($F28="Chính Thức",VLOOKUP($B28,' 5. Thông số TL'!$D$12:$S$34,8,0)/$G$4*($G28+$H28),IF($F28="Thử Việc",VLOOKUP($B28,' 5. Thông số TL'!$D$12:$S$34,8,0)/$G$4*($G28+$H28)*85%,"")),0)</f>
        <v>500000</v>
      </c>
      <c r="Z28" s="493">
        <f t="shared" ref="Z28:Z29" si="133">SUM(W28:Y28)</f>
        <v>1620000</v>
      </c>
      <c r="AA28" s="493">
        <f>IFERROR(IF($F28="Chính Thức",VLOOKUP($B28,' 5. Thông số TL'!$D$12:$S$34,10,0)/$G$4*($G28+$H28),IF($F28="Thử Việc",VLOOKUP($B28,' 5. Thông số TL'!$D$12:$S$34,10,0)/$G$4*($G28+$H28)*85%,"")),0)</f>
        <v>0</v>
      </c>
      <c r="AB28" s="493"/>
      <c r="AC28" s="493">
        <f t="shared" ref="AC28:AC29" si="134">SUM(AA28:AB28)</f>
        <v>0</v>
      </c>
      <c r="AD28" s="495">
        <f t="shared" ref="AD28:AD29" si="135">Z28+AC28</f>
        <v>1620000</v>
      </c>
      <c r="AE28" s="495">
        <f t="shared" ref="AE28:AE29" si="136">L28+O28+S28+V28+AD28</f>
        <v>11577500</v>
      </c>
      <c r="AF28" s="493">
        <f t="shared" ref="AF28:AF29" si="137">IF(F28="Chính Thức",AE28-Z28,IF(F28="Thử Việc",AE28,IF(F28="CTV",AE28,0)))</f>
        <v>9957500</v>
      </c>
      <c r="AG28" s="498">
        <f t="shared" si="77"/>
        <v>962499.99999999988</v>
      </c>
      <c r="AH28" s="498">
        <f t="shared" si="77"/>
        <v>165000</v>
      </c>
      <c r="AI28" s="498">
        <f t="shared" si="77"/>
        <v>55000</v>
      </c>
      <c r="AJ28" s="499">
        <f t="shared" ref="AJ28:AJ29" si="138">ROUND(SUM(AG28:AI28),0)</f>
        <v>1182500</v>
      </c>
      <c r="AK28" s="498">
        <f t="shared" si="79"/>
        <v>440000</v>
      </c>
      <c r="AL28" s="498">
        <f t="shared" si="79"/>
        <v>82500</v>
      </c>
      <c r="AM28" s="498">
        <f t="shared" si="79"/>
        <v>55000</v>
      </c>
      <c r="AN28" s="495">
        <f t="shared" ref="AN28:AN29" si="139">ROUND(SUM(AK28:AM28),-1)</f>
        <v>577500</v>
      </c>
      <c r="AO28" s="499">
        <f t="shared" ref="AO28:AO29" si="140">IF(F28="Chính Thức",$AO$10,0)</f>
        <v>15500000</v>
      </c>
      <c r="AP28" s="500"/>
      <c r="AQ28" s="493">
        <f t="shared" ref="AQ28:AQ29" si="141">AP28*$AQ$10</f>
        <v>0</v>
      </c>
      <c r="AR28" s="493">
        <f t="shared" ref="AR28:AR29" si="142">+AO28+AQ28</f>
        <v>15500000</v>
      </c>
      <c r="AS28" s="493">
        <f t="shared" ref="AS28:AS29" si="143">MAX(AF28-AR28-AN28,0)</f>
        <v>0</v>
      </c>
      <c r="AT28" s="495">
        <f t="shared" ref="AT28:AT29" si="144">IF(F28="Chính Thức",IF(AS28&lt;=0,,IF(AND(AS28&gt;0,AS28&lt;=5000000),5%*AS28,IF(AND(AS28&gt;5000000,AS28&lt;=10000000),10%*AS28-250000,IF(AND(AS28&gt;10000000,AS28&lt;=18000000),15%*AS28-750000,IF(AND(AS28&gt;18000000,AS28&lt;=32000000),20%*AS28-1650000,IF(AND(AS28&gt;32000000,AS28&lt;=52000000),25%*AS28-3250000,IF(AND(AS28&gt;52000000,AS28&lt;=80000000),30%*AS28-5850000,IF(AS28&gt;80000000,35%*AS28-9850000)))))))),IF(AND(F28="Thử Việc",AS28&gt;=2000000),AS28*10%,IF(F28="CTV",AS28*10%)))</f>
        <v>0</v>
      </c>
      <c r="AU28" s="493"/>
      <c r="AV28" s="495">
        <f t="shared" ref="AV28:AV29" si="145">ROUND(AE28-AN28-AT28+AU28,-2)</f>
        <v>11000000</v>
      </c>
      <c r="AW28" s="397"/>
    </row>
    <row r="29" spans="1:50" ht="51" customHeight="1" x14ac:dyDescent="0.25">
      <c r="A29" s="450">
        <f>SUBTOTAL(3,$C$11:C29)</f>
        <v>16</v>
      </c>
      <c r="B29" s="390" t="s">
        <v>396</v>
      </c>
      <c r="C29" s="374" t="s">
        <v>397</v>
      </c>
      <c r="D29" s="408" t="s">
        <v>338</v>
      </c>
      <c r="E29" s="408" t="s">
        <v>349</v>
      </c>
      <c r="F29" s="409" t="str">
        <f>IFERROR(VLOOKUP($B29,'3. BẢNG CHẤM CÔNG'!$B$11:$AV$28,6,0),0)</f>
        <v>Thử Việc</v>
      </c>
      <c r="G29" s="410">
        <f>IFERROR(VLOOKUP($B29, '3. BẢNG CHẤM CÔNG'!$B$10:$AV43,43,0),0)</f>
        <v>20.5</v>
      </c>
      <c r="H29" s="410">
        <f>IFERROR(VLOOKUP($B29, '3. BẢNG CHẤM CÔNG'!$B$10:$AV44,44,0),0)</f>
        <v>0</v>
      </c>
      <c r="I29" s="410"/>
      <c r="J29" s="409">
        <f>IFERROR(VLOOKUP($B29,' 5. Thông số TL'!$D$12:$S$34,4,0),0)</f>
        <v>5500000</v>
      </c>
      <c r="K29" s="409">
        <f t="shared" si="129"/>
        <v>4356250</v>
      </c>
      <c r="L29" s="411">
        <f t="shared" si="130"/>
        <v>4356250</v>
      </c>
      <c r="M29" s="409">
        <f>IFERROR(VLOOKUP($B29,' 5. Thông số TL'!$D$12:$S$34,5,0),0)</f>
        <v>3457500</v>
      </c>
      <c r="N29" s="412">
        <v>1</v>
      </c>
      <c r="O29" s="409">
        <f t="shared" si="131"/>
        <v>2738497.1590909092</v>
      </c>
      <c r="P29" s="409"/>
      <c r="Q29" s="413"/>
      <c r="R29" s="409"/>
      <c r="S29" s="411"/>
      <c r="T29" s="409"/>
      <c r="U29" s="409"/>
      <c r="V29" s="411">
        <f t="shared" si="132"/>
        <v>0</v>
      </c>
      <c r="W29" s="409">
        <f>IFERROR(IF($F29="Chính Thức",VLOOKUP($B29,' 5. Thông số TL'!$D$12:$S$34,6,0)/$G$4*($G29+$H29),IF($F29="Thử Việc",VLOOKUP($B29,' 5. Thông số TL'!$D$12:$S$34,6,0)/$G$4*($G29+$H29)*85%,"")),0)</f>
        <v>570272.72727272729</v>
      </c>
      <c r="X29" s="409">
        <f>IFERROR(IF($F29="Chính Thức",VLOOKUP($B29,' 5. Thông số TL'!$D$12:$S$34,7,0)/$G$4*($G29+$H29),IF($F29="Thử Việc",VLOOKUP($B29,' 5. Thông số TL'!$D$12:$S$34,7,0)/$G$4*($G29+$H29)*85%,"")),0)</f>
        <v>316818.18181818177</v>
      </c>
      <c r="Y29" s="409">
        <f>IFERROR(IF($F29="Chính Thức",VLOOKUP($B29,' 5. Thông số TL'!$D$12:$S$34,8,0)/$G$4*($G29+$H29),IF($F29="Thử Việc",VLOOKUP($B29,' 5. Thông số TL'!$D$12:$S$34,8,0)/$G$4*($G29+$H29)*85%,"")),0)</f>
        <v>396022.72727272729</v>
      </c>
      <c r="Z29" s="409">
        <f t="shared" si="133"/>
        <v>1283113.6363636362</v>
      </c>
      <c r="AA29" s="409">
        <f>IFERROR(IF($F29="Chính Thức",VLOOKUP($B29,' 5. Thông số TL'!$D$12:$S$34,10,0)/$G$4*($G29+$H29),IF($F29="Thử Việc",VLOOKUP($B29,' 5. Thông số TL'!$D$12:$S$34,10,0)/$G$4*($G29+$H29)*85%,"")),0)</f>
        <v>0</v>
      </c>
      <c r="AB29" s="409"/>
      <c r="AC29" s="409">
        <f t="shared" si="134"/>
        <v>0</v>
      </c>
      <c r="AD29" s="411">
        <f t="shared" si="135"/>
        <v>1283113.6363636362</v>
      </c>
      <c r="AE29" s="411">
        <f t="shared" si="136"/>
        <v>8377860.7954545449</v>
      </c>
      <c r="AF29" s="409">
        <f t="shared" si="137"/>
        <v>8377860.7954545449</v>
      </c>
      <c r="AG29" s="414" t="str">
        <f t="shared" si="77"/>
        <v/>
      </c>
      <c r="AH29" s="414" t="str">
        <f t="shared" si="77"/>
        <v/>
      </c>
      <c r="AI29" s="414" t="str">
        <f t="shared" si="77"/>
        <v/>
      </c>
      <c r="AJ29" s="415">
        <f t="shared" si="138"/>
        <v>0</v>
      </c>
      <c r="AK29" s="414" t="str">
        <f t="shared" si="79"/>
        <v/>
      </c>
      <c r="AL29" s="414" t="str">
        <f t="shared" si="79"/>
        <v/>
      </c>
      <c r="AM29" s="414" t="str">
        <f t="shared" si="79"/>
        <v/>
      </c>
      <c r="AN29" s="411">
        <f t="shared" si="139"/>
        <v>0</v>
      </c>
      <c r="AO29" s="415">
        <f t="shared" si="140"/>
        <v>0</v>
      </c>
      <c r="AP29" s="416"/>
      <c r="AQ29" s="409">
        <f t="shared" si="141"/>
        <v>0</v>
      </c>
      <c r="AR29" s="409">
        <f t="shared" si="142"/>
        <v>0</v>
      </c>
      <c r="AS29" s="409">
        <f t="shared" si="143"/>
        <v>8377860.7954545449</v>
      </c>
      <c r="AT29" s="411">
        <f t="shared" si="144"/>
        <v>837786.07954545459</v>
      </c>
      <c r="AU29" s="409"/>
      <c r="AV29" s="411">
        <f t="shared" si="145"/>
        <v>7540100</v>
      </c>
      <c r="AW29" s="397"/>
    </row>
    <row r="30" spans="1:50" ht="58.5" customHeight="1" x14ac:dyDescent="0.25">
      <c r="A30" s="660" t="s">
        <v>218</v>
      </c>
      <c r="B30" s="548"/>
      <c r="C30" s="549"/>
      <c r="D30" s="404"/>
      <c r="E30" s="404"/>
      <c r="F30" s="404"/>
      <c r="G30" s="404">
        <f>SUBTOTAL(9,G11:G22)</f>
        <v>166.5</v>
      </c>
      <c r="H30" s="404">
        <f>SUBTOTAL(9,H11:H22)</f>
        <v>8</v>
      </c>
      <c r="I30" s="404">
        <f>SUBTOTAL(9,I11:I22)</f>
        <v>0</v>
      </c>
      <c r="J30" s="404">
        <f t="shared" ref="J30:AU30" si="146">J21+J15+J11</f>
        <v>45600000</v>
      </c>
      <c r="K30" s="404">
        <f t="shared" si="146"/>
        <v>44600000</v>
      </c>
      <c r="L30" s="404">
        <f t="shared" si="146"/>
        <v>44600000</v>
      </c>
      <c r="M30" s="404">
        <f t="shared" si="146"/>
        <v>91916306</v>
      </c>
      <c r="N30" s="404">
        <f t="shared" si="146"/>
        <v>10</v>
      </c>
      <c r="O30" s="404">
        <f t="shared" si="146"/>
        <v>85129850.318181813</v>
      </c>
      <c r="P30" s="404">
        <f t="shared" si="146"/>
        <v>0</v>
      </c>
      <c r="Q30" s="404">
        <f t="shared" si="146"/>
        <v>0</v>
      </c>
      <c r="R30" s="404">
        <f t="shared" si="146"/>
        <v>0</v>
      </c>
      <c r="S30" s="404">
        <f t="shared" si="146"/>
        <v>0</v>
      </c>
      <c r="T30" s="404">
        <f t="shared" si="146"/>
        <v>0</v>
      </c>
      <c r="U30" s="404">
        <f t="shared" si="146"/>
        <v>0</v>
      </c>
      <c r="V30" s="404">
        <f t="shared" si="146"/>
        <v>0</v>
      </c>
      <c r="W30" s="404">
        <f t="shared" si="146"/>
        <v>7069090.9090909092</v>
      </c>
      <c r="X30" s="404">
        <f t="shared" si="146"/>
        <v>3927272.7272727266</v>
      </c>
      <c r="Y30" s="404">
        <f t="shared" si="146"/>
        <v>10545454.545454545</v>
      </c>
      <c r="Z30" s="404">
        <f t="shared" si="146"/>
        <v>21541818.18181818</v>
      </c>
      <c r="AA30" s="404">
        <f t="shared" si="146"/>
        <v>0</v>
      </c>
      <c r="AB30" s="404">
        <f t="shared" si="146"/>
        <v>0</v>
      </c>
      <c r="AC30" s="404">
        <f t="shared" si="146"/>
        <v>0</v>
      </c>
      <c r="AD30" s="404">
        <f t="shared" si="146"/>
        <v>21541818.18181818</v>
      </c>
      <c r="AE30" s="404">
        <f t="shared" si="146"/>
        <v>151271668.5</v>
      </c>
      <c r="AF30" s="404">
        <f t="shared" si="146"/>
        <v>136469850.31818181</v>
      </c>
      <c r="AG30" s="404">
        <f t="shared" si="146"/>
        <v>6055000</v>
      </c>
      <c r="AH30" s="404">
        <f t="shared" si="146"/>
        <v>1038000</v>
      </c>
      <c r="AI30" s="404">
        <f t="shared" si="146"/>
        <v>346000</v>
      </c>
      <c r="AJ30" s="404">
        <f t="shared" si="146"/>
        <v>7439000</v>
      </c>
      <c r="AK30" s="404">
        <f t="shared" si="146"/>
        <v>2768000</v>
      </c>
      <c r="AL30" s="404">
        <f t="shared" si="146"/>
        <v>519000</v>
      </c>
      <c r="AM30" s="404">
        <f t="shared" si="146"/>
        <v>346000</v>
      </c>
      <c r="AN30" s="404">
        <f t="shared" si="146"/>
        <v>3633000</v>
      </c>
      <c r="AO30" s="404">
        <f t="shared" si="146"/>
        <v>124000000</v>
      </c>
      <c r="AP30" s="404">
        <f t="shared" si="146"/>
        <v>0</v>
      </c>
      <c r="AQ30" s="404">
        <f t="shared" si="146"/>
        <v>0</v>
      </c>
      <c r="AR30" s="404">
        <f t="shared" si="146"/>
        <v>124000000</v>
      </c>
      <c r="AS30" s="404">
        <f t="shared" si="146"/>
        <v>61367702.590909094</v>
      </c>
      <c r="AT30" s="404">
        <f t="shared" si="146"/>
        <v>6956874.9181818198</v>
      </c>
      <c r="AU30" s="404">
        <f t="shared" si="146"/>
        <v>0</v>
      </c>
      <c r="AV30" s="404">
        <f>AV21+AV15+AV11</f>
        <v>188727700</v>
      </c>
      <c r="AW30" s="231">
        <f>SUBTOTAL(9,AW16:AW16)</f>
        <v>0</v>
      </c>
    </row>
    <row r="31" spans="1:50" ht="21.75" customHeight="1" x14ac:dyDescent="0.25">
      <c r="A31" s="232"/>
      <c r="B31" s="232"/>
      <c r="C31" s="232"/>
      <c r="D31" s="201"/>
      <c r="E31" s="201"/>
      <c r="F31" s="201"/>
      <c r="G31" s="201"/>
      <c r="H31" s="201"/>
      <c r="I31" s="201"/>
      <c r="J31" s="201"/>
      <c r="K31" s="201"/>
      <c r="L31" s="232"/>
      <c r="M31" s="232"/>
      <c r="N31" s="233"/>
      <c r="O31" s="232"/>
      <c r="P31" s="201"/>
      <c r="Q31" s="201"/>
      <c r="R31" s="232"/>
      <c r="S31" s="201"/>
      <c r="T31" s="201"/>
      <c r="U31" s="201"/>
      <c r="V31" s="201"/>
      <c r="W31" s="201"/>
      <c r="X31" s="201"/>
      <c r="Y31" s="201"/>
      <c r="Z31" s="232"/>
      <c r="AA31" s="232"/>
      <c r="AB31" s="232"/>
      <c r="AC31" s="232"/>
      <c r="AD31" s="232"/>
      <c r="AE31" s="232"/>
      <c r="AF31" s="232"/>
      <c r="AG31" s="201"/>
      <c r="AH31" s="201"/>
      <c r="AI31" s="201"/>
      <c r="AJ31" s="234"/>
      <c r="AK31" s="201"/>
      <c r="AL31" s="235"/>
      <c r="AM31" s="235"/>
      <c r="AN31" s="235"/>
      <c r="AO31" s="235"/>
      <c r="AP31" s="235"/>
      <c r="AQ31" s="235"/>
      <c r="AR31" s="235"/>
      <c r="AS31" s="235"/>
      <c r="AT31" s="235"/>
      <c r="AU31" s="235"/>
      <c r="AV31" s="235"/>
      <c r="AW31" s="201"/>
    </row>
    <row r="32" spans="1:50" ht="43.5" customHeight="1" x14ac:dyDescent="0.25">
      <c r="A32" s="232"/>
      <c r="B32" s="232"/>
      <c r="C32" s="232"/>
      <c r="D32" s="201"/>
      <c r="E32" s="236"/>
      <c r="F32" s="201"/>
      <c r="H32" s="201"/>
      <c r="I32" s="201"/>
      <c r="J32" s="201"/>
      <c r="K32" s="201"/>
      <c r="L32" s="232"/>
      <c r="M32" s="232"/>
      <c r="N32" s="233"/>
      <c r="O32" s="232"/>
      <c r="P32" s="201"/>
      <c r="Q32" s="201"/>
      <c r="R32" s="232"/>
      <c r="S32" s="201"/>
      <c r="T32" s="201"/>
      <c r="U32" s="201"/>
      <c r="V32" s="201"/>
      <c r="W32" s="201"/>
      <c r="X32" s="201"/>
      <c r="Y32" s="201"/>
      <c r="Z32" s="232"/>
      <c r="AA32" s="232"/>
      <c r="AB32" s="232"/>
      <c r="AC32" s="232"/>
      <c r="AD32" s="232"/>
      <c r="AE32" s="232"/>
      <c r="AF32" s="232"/>
      <c r="AG32" s="201"/>
      <c r="AH32" s="201"/>
      <c r="AI32" s="201"/>
      <c r="AJ32" s="234"/>
      <c r="AK32" s="201"/>
      <c r="AL32" s="657" t="s">
        <v>219</v>
      </c>
      <c r="AM32" s="507"/>
      <c r="AN32" s="507"/>
      <c r="AO32" s="507"/>
      <c r="AP32" s="507"/>
      <c r="AQ32" s="507"/>
      <c r="AR32" s="507"/>
      <c r="AS32" s="507"/>
      <c r="AT32" s="507"/>
      <c r="AU32" s="507"/>
      <c r="AV32" s="507"/>
      <c r="AW32" s="201"/>
    </row>
    <row r="33" spans="1:49" ht="36.75" customHeight="1" x14ac:dyDescent="0.25">
      <c r="A33" s="44"/>
      <c r="B33" s="44"/>
      <c r="C33" s="538" t="s">
        <v>52</v>
      </c>
      <c r="D33" s="507"/>
      <c r="E33" s="507"/>
      <c r="G33" s="44"/>
      <c r="H33" s="44"/>
      <c r="I33" s="551" t="s">
        <v>53</v>
      </c>
      <c r="J33" s="507"/>
      <c r="K33" s="507"/>
      <c r="L33" s="507"/>
      <c r="M33" s="507"/>
      <c r="N33" s="507"/>
      <c r="O33" s="507"/>
      <c r="P33" s="507"/>
      <c r="Q33" s="507"/>
      <c r="R33" s="507"/>
      <c r="S33" s="507"/>
      <c r="T33" s="507"/>
      <c r="U33" s="507"/>
      <c r="V33" s="507"/>
      <c r="W33" s="507"/>
      <c r="X33" s="507"/>
      <c r="Y33" s="507"/>
      <c r="Z33" s="507"/>
      <c r="AA33" s="45"/>
      <c r="AB33" s="45"/>
      <c r="AC33" s="45"/>
      <c r="AD33" s="577" t="s">
        <v>220</v>
      </c>
      <c r="AE33" s="507"/>
      <c r="AF33" s="507"/>
      <c r="AG33" s="507"/>
      <c r="AH33" s="507"/>
      <c r="AI33" s="507"/>
      <c r="AJ33" s="507"/>
      <c r="AK33" s="237"/>
      <c r="AL33" s="538" t="s">
        <v>55</v>
      </c>
      <c r="AM33" s="507"/>
      <c r="AN33" s="507"/>
      <c r="AO33" s="507"/>
      <c r="AP33" s="507"/>
      <c r="AQ33" s="507"/>
      <c r="AR33" s="507"/>
      <c r="AS33" s="507"/>
      <c r="AT33" s="507"/>
      <c r="AU33" s="507"/>
      <c r="AV33" s="507"/>
      <c r="AW33" s="237"/>
    </row>
    <row r="34" spans="1:49" ht="203.25" customHeight="1" x14ac:dyDescent="0.25">
      <c r="A34" s="238"/>
      <c r="B34" s="239"/>
      <c r="C34" s="239"/>
      <c r="D34" s="240"/>
      <c r="E34" s="238"/>
      <c r="F34" s="238"/>
      <c r="G34" s="241"/>
      <c r="H34" s="242"/>
      <c r="I34" s="238"/>
      <c r="J34" s="238"/>
      <c r="K34" s="238"/>
      <c r="L34" s="238"/>
      <c r="M34" s="238"/>
      <c r="N34" s="243"/>
      <c r="O34" s="238"/>
      <c r="P34" s="244"/>
      <c r="Q34" s="244"/>
      <c r="R34" s="238"/>
      <c r="S34" s="238"/>
      <c r="T34" s="201"/>
      <c r="U34" s="201"/>
      <c r="V34" s="201"/>
      <c r="W34" s="201"/>
      <c r="X34" s="238"/>
      <c r="Y34" s="238"/>
      <c r="Z34" s="238"/>
      <c r="AA34" s="238"/>
      <c r="AB34" s="238"/>
      <c r="AC34" s="238"/>
      <c r="AD34" s="45"/>
      <c r="AE34" s="45"/>
      <c r="AF34" s="245"/>
      <c r="AG34" s="45"/>
      <c r="AH34" s="45"/>
      <c r="AI34" s="45"/>
      <c r="AJ34" s="45"/>
      <c r="AK34" s="238"/>
      <c r="AL34" s="238"/>
      <c r="AM34" s="238"/>
      <c r="AN34" s="246"/>
      <c r="AO34" s="246"/>
      <c r="AP34" s="238"/>
      <c r="AQ34" s="246"/>
      <c r="AR34" s="246"/>
      <c r="AS34" s="246"/>
      <c r="AT34" s="238"/>
      <c r="AU34" s="247"/>
      <c r="AV34" s="238"/>
      <c r="AW34" s="238"/>
    </row>
    <row r="35" spans="1:49" ht="27" customHeight="1" x14ac:dyDescent="0.25">
      <c r="A35" s="44"/>
      <c r="B35" s="44"/>
      <c r="C35" s="538"/>
      <c r="D35" s="507"/>
      <c r="E35" s="507"/>
      <c r="G35" s="44"/>
      <c r="H35" s="44"/>
      <c r="I35" s="551"/>
      <c r="J35" s="507"/>
      <c r="K35" s="507"/>
      <c r="L35" s="507"/>
      <c r="M35" s="507"/>
      <c r="N35" s="507"/>
      <c r="O35" s="507"/>
      <c r="P35" s="507"/>
      <c r="Q35" s="507"/>
      <c r="R35" s="507"/>
      <c r="S35" s="507"/>
      <c r="T35" s="507"/>
      <c r="U35" s="507"/>
      <c r="V35" s="507"/>
      <c r="W35" s="507"/>
      <c r="X35" s="507"/>
      <c r="Y35" s="507"/>
      <c r="Z35" s="507"/>
      <c r="AA35" s="45"/>
      <c r="AB35" s="45"/>
      <c r="AC35" s="45"/>
      <c r="AD35" s="577"/>
      <c r="AE35" s="507"/>
      <c r="AF35" s="507"/>
      <c r="AG35" s="507"/>
      <c r="AH35" s="507"/>
      <c r="AI35" s="507"/>
      <c r="AJ35" s="507"/>
      <c r="AK35" s="237"/>
      <c r="AL35" s="538"/>
      <c r="AM35" s="507"/>
      <c r="AN35" s="507"/>
      <c r="AO35" s="507"/>
      <c r="AP35" s="507"/>
      <c r="AQ35" s="507"/>
      <c r="AR35" s="507"/>
      <c r="AS35" s="507"/>
      <c r="AT35" s="507"/>
      <c r="AU35" s="507"/>
      <c r="AV35" s="507"/>
      <c r="AW35" s="237"/>
    </row>
    <row r="36" spans="1:49" ht="15" hidden="1" customHeight="1" x14ac:dyDescent="0.25">
      <c r="N36" s="203"/>
      <c r="AS36" s="141" t="s">
        <v>132</v>
      </c>
      <c r="AV36" s="43">
        <f>L30</f>
        <v>44600000</v>
      </c>
    </row>
    <row r="37" spans="1:49" ht="15" hidden="1" customHeight="1" x14ac:dyDescent="0.25">
      <c r="N37" s="203"/>
      <c r="AS37" s="141" t="s">
        <v>222</v>
      </c>
      <c r="AV37" s="43">
        <f>O30</f>
        <v>85129850.318181813</v>
      </c>
    </row>
    <row r="38" spans="1:49" ht="15" hidden="1" customHeight="1" x14ac:dyDescent="0.25">
      <c r="N38" s="203"/>
      <c r="AQ38" s="149"/>
      <c r="AR38" s="43"/>
      <c r="AS38" s="141" t="s">
        <v>223</v>
      </c>
      <c r="AV38" s="43">
        <f>V30</f>
        <v>0</v>
      </c>
    </row>
    <row r="39" spans="1:49" ht="15" hidden="1" customHeight="1" x14ac:dyDescent="0.25">
      <c r="N39" s="203"/>
      <c r="AS39" s="149" t="s">
        <v>224</v>
      </c>
      <c r="AV39" s="43">
        <f>AD30</f>
        <v>21541818.18181818</v>
      </c>
    </row>
    <row r="40" spans="1:49" ht="15" hidden="1" customHeight="1" x14ac:dyDescent="0.25">
      <c r="N40" s="203"/>
      <c r="AQ40" s="149"/>
      <c r="AR40" s="43"/>
      <c r="AS40" s="141" t="s">
        <v>136</v>
      </c>
      <c r="AV40" s="43">
        <f>SUM(AV36:AV39)</f>
        <v>151271668.5</v>
      </c>
    </row>
    <row r="41" spans="1:49" ht="15" hidden="1" customHeight="1" x14ac:dyDescent="0.25">
      <c r="N41" s="203"/>
      <c r="AQ41" s="149"/>
      <c r="AR41" s="43"/>
      <c r="AS41" s="141" t="s">
        <v>225</v>
      </c>
      <c r="AV41" s="43">
        <f>AN30</f>
        <v>3633000</v>
      </c>
    </row>
    <row r="42" spans="1:49" ht="15" hidden="1" customHeight="1" x14ac:dyDescent="0.25">
      <c r="N42" s="203"/>
      <c r="AQ42" s="149"/>
      <c r="AR42" s="43"/>
      <c r="AS42" s="141" t="s">
        <v>179</v>
      </c>
      <c r="AV42" s="43">
        <f>AT30</f>
        <v>6956874.9181818198</v>
      </c>
    </row>
    <row r="43" spans="1:49" ht="15" hidden="1" customHeight="1" x14ac:dyDescent="0.25">
      <c r="N43" s="203"/>
      <c r="AQ43" s="149"/>
      <c r="AR43" s="43"/>
      <c r="AS43" s="141" t="s">
        <v>226</v>
      </c>
      <c r="AV43" s="43">
        <f>AU30</f>
        <v>0</v>
      </c>
    </row>
    <row r="44" spans="1:49" ht="15" hidden="1" customHeight="1" x14ac:dyDescent="0.25">
      <c r="N44" s="203"/>
      <c r="AQ44" s="149"/>
      <c r="AR44" s="43"/>
      <c r="AS44" s="141" t="s">
        <v>227</v>
      </c>
      <c r="AV44" s="43">
        <f>AV40-AV41-AV42-AV43</f>
        <v>140681793.58181819</v>
      </c>
    </row>
    <row r="45" spans="1:49" ht="15" hidden="1" customHeight="1" x14ac:dyDescent="0.25">
      <c r="N45" s="203"/>
      <c r="AQ45" s="149"/>
      <c r="AR45" s="248"/>
      <c r="AS45" s="141" t="s">
        <v>228</v>
      </c>
      <c r="AV45" s="43">
        <f>AV44-AV30</f>
        <v>-48045906.418181807</v>
      </c>
    </row>
    <row r="46" spans="1:49" ht="15" customHeight="1" x14ac:dyDescent="0.25">
      <c r="N46" s="203"/>
      <c r="AQ46" s="149"/>
      <c r="AR46" s="43"/>
    </row>
    <row r="47" spans="1:49" ht="15" customHeight="1" x14ac:dyDescent="0.25">
      <c r="N47" s="203"/>
      <c r="AQ47" s="149"/>
      <c r="AR47" s="43"/>
    </row>
    <row r="48" spans="1:49" ht="15" customHeight="1" x14ac:dyDescent="0.25">
      <c r="N48" s="203"/>
      <c r="AQ48" s="149"/>
      <c r="AR48" s="43"/>
    </row>
    <row r="49" spans="14:44" ht="15" customHeight="1" x14ac:dyDescent="0.25">
      <c r="N49" s="203"/>
      <c r="AQ49" s="149"/>
      <c r="AR49" s="43"/>
    </row>
    <row r="50" spans="14:44" ht="15" customHeight="1" x14ac:dyDescent="0.25">
      <c r="N50" s="203"/>
      <c r="AQ50" s="149"/>
      <c r="AR50" s="43"/>
    </row>
    <row r="51" spans="14:44" ht="15.75" customHeight="1" x14ac:dyDescent="0.25">
      <c r="N51" s="203"/>
    </row>
    <row r="52" spans="14:44" ht="15.75" customHeight="1" x14ac:dyDescent="0.25">
      <c r="N52" s="203"/>
    </row>
    <row r="53" spans="14:44" ht="15.75" customHeight="1" x14ac:dyDescent="0.25">
      <c r="N53" s="203"/>
    </row>
    <row r="54" spans="14:44" ht="15.75" customHeight="1" x14ac:dyDescent="0.25">
      <c r="N54" s="203"/>
    </row>
    <row r="55" spans="14:44" ht="15.75" customHeight="1" x14ac:dyDescent="0.25">
      <c r="N55" s="203"/>
    </row>
    <row r="56" spans="14:44" ht="15.75" customHeight="1" x14ac:dyDescent="0.25">
      <c r="N56" s="203"/>
    </row>
    <row r="57" spans="14:44" ht="15.75" customHeight="1" x14ac:dyDescent="0.25">
      <c r="N57" s="203"/>
    </row>
    <row r="58" spans="14:44" ht="15.75" customHeight="1" x14ac:dyDescent="0.25">
      <c r="N58" s="203"/>
    </row>
    <row r="59" spans="14:44" ht="15.75" customHeight="1" x14ac:dyDescent="0.25">
      <c r="N59" s="203"/>
    </row>
    <row r="60" spans="14:44" ht="15.75" customHeight="1" x14ac:dyDescent="0.25">
      <c r="N60" s="203"/>
    </row>
    <row r="61" spans="14:44" ht="15.75" customHeight="1" x14ac:dyDescent="0.25">
      <c r="N61" s="203"/>
    </row>
    <row r="62" spans="14:44" ht="15.75" customHeight="1" x14ac:dyDescent="0.25">
      <c r="N62" s="203"/>
    </row>
    <row r="63" spans="14:44" ht="15.75" customHeight="1" x14ac:dyDescent="0.25">
      <c r="N63" s="203"/>
    </row>
    <row r="64" spans="14:44" ht="15.75" customHeight="1" x14ac:dyDescent="0.25">
      <c r="N64" s="203"/>
    </row>
    <row r="65" spans="14:14" ht="15.75" customHeight="1" x14ac:dyDescent="0.25">
      <c r="N65" s="203"/>
    </row>
    <row r="66" spans="14:14" ht="15.75" customHeight="1" x14ac:dyDescent="0.25">
      <c r="N66" s="203"/>
    </row>
    <row r="67" spans="14:14" ht="15.75" customHeight="1" x14ac:dyDescent="0.25">
      <c r="N67" s="203"/>
    </row>
    <row r="68" spans="14:14" ht="15.75" customHeight="1" x14ac:dyDescent="0.25">
      <c r="N68" s="203"/>
    </row>
    <row r="69" spans="14:14" ht="15.75" customHeight="1" x14ac:dyDescent="0.25">
      <c r="N69" s="203"/>
    </row>
    <row r="70" spans="14:14" ht="15.75" customHeight="1" x14ac:dyDescent="0.25">
      <c r="N70" s="203"/>
    </row>
    <row r="71" spans="14:14" ht="15.75" customHeight="1" x14ac:dyDescent="0.25">
      <c r="N71" s="203"/>
    </row>
    <row r="72" spans="14:14" ht="15.75" customHeight="1" x14ac:dyDescent="0.25">
      <c r="N72" s="203"/>
    </row>
    <row r="73" spans="14:14" ht="15.75" customHeight="1" x14ac:dyDescent="0.25">
      <c r="N73" s="203"/>
    </row>
    <row r="74" spans="14:14" ht="15.75" customHeight="1" x14ac:dyDescent="0.25">
      <c r="N74" s="203"/>
    </row>
    <row r="75" spans="14:14" ht="15.75" customHeight="1" x14ac:dyDescent="0.25">
      <c r="N75" s="203"/>
    </row>
    <row r="76" spans="14:14" ht="15.75" customHeight="1" x14ac:dyDescent="0.25">
      <c r="N76" s="203"/>
    </row>
    <row r="77" spans="14:14" ht="15.75" customHeight="1" x14ac:dyDescent="0.25">
      <c r="N77" s="203"/>
    </row>
    <row r="78" spans="14:14" ht="15.75" customHeight="1" x14ac:dyDescent="0.25">
      <c r="N78" s="203"/>
    </row>
    <row r="79" spans="14:14" ht="15.75" customHeight="1" x14ac:dyDescent="0.25">
      <c r="N79" s="203"/>
    </row>
    <row r="80" spans="14:14" ht="15.75" customHeight="1" x14ac:dyDescent="0.25">
      <c r="N80" s="203"/>
    </row>
    <row r="81" spans="14:14" ht="15.75" customHeight="1" x14ac:dyDescent="0.25">
      <c r="N81" s="203"/>
    </row>
    <row r="82" spans="14:14" ht="15.75" customHeight="1" x14ac:dyDescent="0.25">
      <c r="N82" s="203"/>
    </row>
    <row r="83" spans="14:14" ht="15.75" customHeight="1" x14ac:dyDescent="0.25">
      <c r="N83" s="203"/>
    </row>
    <row r="84" spans="14:14" ht="15.75" customHeight="1" x14ac:dyDescent="0.25">
      <c r="N84" s="203"/>
    </row>
    <row r="85" spans="14:14" ht="15.75" customHeight="1" x14ac:dyDescent="0.25">
      <c r="N85" s="203"/>
    </row>
    <row r="86" spans="14:14" ht="15.75" customHeight="1" x14ac:dyDescent="0.25">
      <c r="N86" s="203"/>
    </row>
    <row r="87" spans="14:14" ht="15.75" customHeight="1" x14ac:dyDescent="0.25">
      <c r="N87" s="203"/>
    </row>
    <row r="88" spans="14:14" ht="15.75" customHeight="1" x14ac:dyDescent="0.25">
      <c r="N88" s="203"/>
    </row>
    <row r="89" spans="14:14" ht="15.75" customHeight="1" x14ac:dyDescent="0.25">
      <c r="N89" s="203"/>
    </row>
    <row r="90" spans="14:14" ht="15.75" customHeight="1" x14ac:dyDescent="0.25">
      <c r="N90" s="203"/>
    </row>
    <row r="91" spans="14:14" ht="15.75" customHeight="1" x14ac:dyDescent="0.25">
      <c r="N91" s="203"/>
    </row>
    <row r="92" spans="14:14" ht="15.75" customHeight="1" x14ac:dyDescent="0.25">
      <c r="N92" s="203"/>
    </row>
    <row r="93" spans="14:14" ht="15.75" customHeight="1" x14ac:dyDescent="0.25">
      <c r="N93" s="203"/>
    </row>
    <row r="94" spans="14:14" ht="15.75" customHeight="1" x14ac:dyDescent="0.25">
      <c r="N94" s="203"/>
    </row>
    <row r="95" spans="14:14" ht="15.75" customHeight="1" x14ac:dyDescent="0.25">
      <c r="N95" s="203"/>
    </row>
    <row r="96" spans="14:14" ht="15.75" customHeight="1" x14ac:dyDescent="0.25">
      <c r="N96" s="203"/>
    </row>
    <row r="97" spans="14:14" ht="15.75" customHeight="1" x14ac:dyDescent="0.25">
      <c r="N97" s="203"/>
    </row>
    <row r="98" spans="14:14" ht="15.75" customHeight="1" x14ac:dyDescent="0.25">
      <c r="N98" s="203"/>
    </row>
    <row r="99" spans="14:14" ht="15.75" customHeight="1" x14ac:dyDescent="0.25">
      <c r="N99" s="203"/>
    </row>
    <row r="100" spans="14:14" ht="15.75" customHeight="1" x14ac:dyDescent="0.25">
      <c r="N100" s="203"/>
    </row>
    <row r="101" spans="14:14" ht="15.75" customHeight="1" x14ac:dyDescent="0.25">
      <c r="N101" s="203"/>
    </row>
    <row r="102" spans="14:14" ht="15.75" customHeight="1" x14ac:dyDescent="0.25">
      <c r="N102" s="203"/>
    </row>
    <row r="103" spans="14:14" ht="15.75" customHeight="1" x14ac:dyDescent="0.25">
      <c r="N103" s="203"/>
    </row>
    <row r="104" spans="14:14" ht="15.75" customHeight="1" x14ac:dyDescent="0.25">
      <c r="N104" s="203"/>
    </row>
    <row r="105" spans="14:14" ht="15.75" customHeight="1" x14ac:dyDescent="0.25">
      <c r="N105" s="203"/>
    </row>
    <row r="106" spans="14:14" ht="15.75" customHeight="1" x14ac:dyDescent="0.25">
      <c r="N106" s="203"/>
    </row>
    <row r="107" spans="14:14" ht="15.75" customHeight="1" x14ac:dyDescent="0.25">
      <c r="N107" s="203"/>
    </row>
    <row r="108" spans="14:14" ht="15.75" customHeight="1" x14ac:dyDescent="0.25">
      <c r="N108" s="203"/>
    </row>
    <row r="109" spans="14:14" ht="15.75" customHeight="1" x14ac:dyDescent="0.25">
      <c r="N109" s="203"/>
    </row>
    <row r="110" spans="14:14" ht="15.75" customHeight="1" x14ac:dyDescent="0.25">
      <c r="N110" s="203"/>
    </row>
    <row r="111" spans="14:14" ht="15.75" customHeight="1" x14ac:dyDescent="0.25">
      <c r="N111" s="203"/>
    </row>
    <row r="112" spans="14:14" ht="15.75" customHeight="1" x14ac:dyDescent="0.25">
      <c r="N112" s="203"/>
    </row>
    <row r="113" spans="14:14" ht="15.75" customHeight="1" x14ac:dyDescent="0.25">
      <c r="N113" s="203"/>
    </row>
    <row r="114" spans="14:14" ht="15.75" customHeight="1" x14ac:dyDescent="0.25">
      <c r="N114" s="203"/>
    </row>
    <row r="115" spans="14:14" ht="15.75" customHeight="1" x14ac:dyDescent="0.25">
      <c r="N115" s="203"/>
    </row>
    <row r="116" spans="14:14" ht="15.75" customHeight="1" x14ac:dyDescent="0.25">
      <c r="N116" s="203"/>
    </row>
    <row r="117" spans="14:14" ht="15.75" customHeight="1" x14ac:dyDescent="0.25">
      <c r="N117" s="203"/>
    </row>
    <row r="118" spans="14:14" ht="15.75" customHeight="1" x14ac:dyDescent="0.25">
      <c r="N118" s="203"/>
    </row>
    <row r="119" spans="14:14" ht="15.75" customHeight="1" x14ac:dyDescent="0.25">
      <c r="N119" s="203"/>
    </row>
    <row r="120" spans="14:14" ht="15.75" customHeight="1" x14ac:dyDescent="0.25">
      <c r="N120" s="203"/>
    </row>
    <row r="121" spans="14:14" ht="15.75" customHeight="1" x14ac:dyDescent="0.25">
      <c r="N121" s="203"/>
    </row>
    <row r="122" spans="14:14" ht="15.75" customHeight="1" x14ac:dyDescent="0.25">
      <c r="N122" s="203"/>
    </row>
    <row r="123" spans="14:14" ht="15.75" customHeight="1" x14ac:dyDescent="0.25">
      <c r="N123" s="203"/>
    </row>
    <row r="124" spans="14:14" ht="15.75" customHeight="1" x14ac:dyDescent="0.25">
      <c r="N124" s="203"/>
    </row>
    <row r="125" spans="14:14" ht="15.75" customHeight="1" x14ac:dyDescent="0.25">
      <c r="N125" s="203"/>
    </row>
    <row r="126" spans="14:14" ht="15.75" customHeight="1" x14ac:dyDescent="0.25">
      <c r="N126" s="203"/>
    </row>
    <row r="127" spans="14:14" ht="15.75" customHeight="1" x14ac:dyDescent="0.25">
      <c r="N127" s="203"/>
    </row>
    <row r="128" spans="14:14" ht="15.75" customHeight="1" x14ac:dyDescent="0.25">
      <c r="N128" s="203"/>
    </row>
    <row r="129" spans="14:14" ht="15.75" customHeight="1" x14ac:dyDescent="0.25">
      <c r="N129" s="203"/>
    </row>
    <row r="130" spans="14:14" ht="15.75" customHeight="1" x14ac:dyDescent="0.25">
      <c r="N130" s="203"/>
    </row>
    <row r="131" spans="14:14" ht="15.75" customHeight="1" x14ac:dyDescent="0.25">
      <c r="N131" s="203"/>
    </row>
    <row r="132" spans="14:14" ht="15.75" customHeight="1" x14ac:dyDescent="0.25">
      <c r="N132" s="203"/>
    </row>
    <row r="133" spans="14:14" ht="15.75" customHeight="1" x14ac:dyDescent="0.25">
      <c r="N133" s="203"/>
    </row>
    <row r="134" spans="14:14" ht="15.75" customHeight="1" x14ac:dyDescent="0.25">
      <c r="N134" s="203"/>
    </row>
    <row r="135" spans="14:14" ht="15.75" customHeight="1" x14ac:dyDescent="0.25">
      <c r="N135" s="203"/>
    </row>
    <row r="136" spans="14:14" ht="15.75" customHeight="1" x14ac:dyDescent="0.25">
      <c r="N136" s="203"/>
    </row>
    <row r="137" spans="14:14" ht="15.75" customHeight="1" x14ac:dyDescent="0.25">
      <c r="N137" s="203"/>
    </row>
    <row r="138" spans="14:14" ht="15.75" customHeight="1" x14ac:dyDescent="0.25">
      <c r="N138" s="203"/>
    </row>
    <row r="139" spans="14:14" ht="15.75" customHeight="1" x14ac:dyDescent="0.25">
      <c r="N139" s="203"/>
    </row>
    <row r="140" spans="14:14" ht="15.75" customHeight="1" x14ac:dyDescent="0.25">
      <c r="N140" s="203"/>
    </row>
    <row r="141" spans="14:14" ht="15.75" customHeight="1" x14ac:dyDescent="0.25">
      <c r="N141" s="203"/>
    </row>
    <row r="142" spans="14:14" ht="15.75" customHeight="1" x14ac:dyDescent="0.25">
      <c r="N142" s="203"/>
    </row>
    <row r="143" spans="14:14" ht="15.75" customHeight="1" x14ac:dyDescent="0.25">
      <c r="N143" s="203"/>
    </row>
    <row r="144" spans="14:14" ht="15.75" customHeight="1" x14ac:dyDescent="0.25">
      <c r="N144" s="203"/>
    </row>
    <row r="145" spans="14:14" ht="15.75" customHeight="1" x14ac:dyDescent="0.25">
      <c r="N145" s="203"/>
    </row>
    <row r="146" spans="14:14" ht="15.75" customHeight="1" x14ac:dyDescent="0.25">
      <c r="N146" s="203"/>
    </row>
    <row r="147" spans="14:14" ht="15.75" customHeight="1" x14ac:dyDescent="0.25">
      <c r="N147" s="203"/>
    </row>
    <row r="148" spans="14:14" ht="15.75" customHeight="1" x14ac:dyDescent="0.25">
      <c r="N148" s="203"/>
    </row>
    <row r="149" spans="14:14" ht="15.75" customHeight="1" x14ac:dyDescent="0.25">
      <c r="N149" s="203"/>
    </row>
    <row r="150" spans="14:14" ht="15.75" customHeight="1" x14ac:dyDescent="0.25">
      <c r="N150" s="203"/>
    </row>
    <row r="151" spans="14:14" ht="15.75" customHeight="1" x14ac:dyDescent="0.25">
      <c r="N151" s="203"/>
    </row>
    <row r="152" spans="14:14" ht="15.75" customHeight="1" x14ac:dyDescent="0.25">
      <c r="N152" s="203"/>
    </row>
    <row r="153" spans="14:14" ht="15.75" customHeight="1" x14ac:dyDescent="0.25">
      <c r="N153" s="203"/>
    </row>
    <row r="154" spans="14:14" ht="15.75" customHeight="1" x14ac:dyDescent="0.25">
      <c r="N154" s="203"/>
    </row>
    <row r="155" spans="14:14" ht="15.75" customHeight="1" x14ac:dyDescent="0.25">
      <c r="N155" s="203"/>
    </row>
    <row r="156" spans="14:14" ht="15.75" customHeight="1" x14ac:dyDescent="0.25">
      <c r="N156" s="203"/>
    </row>
    <row r="157" spans="14:14" ht="15.75" customHeight="1" x14ac:dyDescent="0.25">
      <c r="N157" s="203"/>
    </row>
    <row r="158" spans="14:14" ht="15.75" customHeight="1" x14ac:dyDescent="0.25">
      <c r="N158" s="203"/>
    </row>
    <row r="159" spans="14:14" ht="15.75" customHeight="1" x14ac:dyDescent="0.25">
      <c r="N159" s="203"/>
    </row>
    <row r="160" spans="14:14" ht="15.75" customHeight="1" x14ac:dyDescent="0.25">
      <c r="N160" s="203"/>
    </row>
    <row r="161" spans="14:14" ht="15.75" customHeight="1" x14ac:dyDescent="0.25">
      <c r="N161" s="203"/>
    </row>
    <row r="162" spans="14:14" ht="15.75" customHeight="1" x14ac:dyDescent="0.25">
      <c r="N162" s="203"/>
    </row>
    <row r="163" spans="14:14" ht="15.75" customHeight="1" x14ac:dyDescent="0.25">
      <c r="N163" s="203"/>
    </row>
    <row r="164" spans="14:14" ht="15.75" customHeight="1" x14ac:dyDescent="0.25">
      <c r="N164" s="203"/>
    </row>
    <row r="165" spans="14:14" ht="15.75" customHeight="1" x14ac:dyDescent="0.25">
      <c r="N165" s="203"/>
    </row>
    <row r="166" spans="14:14" ht="15.75" customHeight="1" x14ac:dyDescent="0.25">
      <c r="N166" s="203"/>
    </row>
    <row r="167" spans="14:14" ht="15.75" customHeight="1" x14ac:dyDescent="0.25">
      <c r="N167" s="203"/>
    </row>
    <row r="168" spans="14:14" ht="15.75" customHeight="1" x14ac:dyDescent="0.25">
      <c r="N168" s="203"/>
    </row>
    <row r="169" spans="14:14" ht="15.75" customHeight="1" x14ac:dyDescent="0.25">
      <c r="N169" s="203"/>
    </row>
    <row r="170" spans="14:14" ht="15.75" customHeight="1" x14ac:dyDescent="0.25">
      <c r="N170" s="203"/>
    </row>
    <row r="171" spans="14:14" ht="15.75" customHeight="1" x14ac:dyDescent="0.25">
      <c r="N171" s="203"/>
    </row>
    <row r="172" spans="14:14" ht="15.75" customHeight="1" x14ac:dyDescent="0.25">
      <c r="N172" s="203"/>
    </row>
    <row r="173" spans="14:14" ht="15.75" customHeight="1" x14ac:dyDescent="0.25">
      <c r="N173" s="203"/>
    </row>
    <row r="174" spans="14:14" ht="15.75" customHeight="1" x14ac:dyDescent="0.25">
      <c r="N174" s="203"/>
    </row>
    <row r="175" spans="14:14" ht="15.75" customHeight="1" x14ac:dyDescent="0.25">
      <c r="N175" s="203"/>
    </row>
    <row r="176" spans="14:14" ht="15.75" customHeight="1" x14ac:dyDescent="0.25">
      <c r="N176" s="203"/>
    </row>
    <row r="177" spans="14:14" ht="15.75" customHeight="1" x14ac:dyDescent="0.25">
      <c r="N177" s="203"/>
    </row>
    <row r="178" spans="14:14" ht="15.75" customHeight="1" x14ac:dyDescent="0.25">
      <c r="N178" s="203"/>
    </row>
    <row r="179" spans="14:14" ht="15.75" customHeight="1" x14ac:dyDescent="0.25">
      <c r="N179" s="203"/>
    </row>
    <row r="180" spans="14:14" ht="15.75" customHeight="1" x14ac:dyDescent="0.25">
      <c r="N180" s="203"/>
    </row>
    <row r="181" spans="14:14" ht="15.75" customHeight="1" x14ac:dyDescent="0.25">
      <c r="N181" s="203"/>
    </row>
    <row r="182" spans="14:14" ht="15.75" customHeight="1" x14ac:dyDescent="0.25">
      <c r="N182" s="203"/>
    </row>
    <row r="183" spans="14:14" ht="15.75" customHeight="1" x14ac:dyDescent="0.25">
      <c r="N183" s="203"/>
    </row>
    <row r="184" spans="14:14" ht="15.75" customHeight="1" x14ac:dyDescent="0.25">
      <c r="N184" s="203"/>
    </row>
    <row r="185" spans="14:14" ht="15.75" customHeight="1" x14ac:dyDescent="0.25">
      <c r="N185" s="203"/>
    </row>
    <row r="186" spans="14:14" ht="15.75" customHeight="1" x14ac:dyDescent="0.25">
      <c r="N186" s="203"/>
    </row>
    <row r="187" spans="14:14" ht="15.75" customHeight="1" x14ac:dyDescent="0.25">
      <c r="N187" s="203"/>
    </row>
    <row r="188" spans="14:14" ht="15.75" customHeight="1" x14ac:dyDescent="0.25">
      <c r="N188" s="203"/>
    </row>
    <row r="189" spans="14:14" ht="15.75" customHeight="1" x14ac:dyDescent="0.25">
      <c r="N189" s="203"/>
    </row>
    <row r="190" spans="14:14" ht="15.75" customHeight="1" x14ac:dyDescent="0.25">
      <c r="N190" s="203"/>
    </row>
    <row r="191" spans="14:14" ht="15.75" customHeight="1" x14ac:dyDescent="0.25">
      <c r="N191" s="203"/>
    </row>
    <row r="192" spans="14:14" ht="15.75" customHeight="1" x14ac:dyDescent="0.25">
      <c r="N192" s="203"/>
    </row>
    <row r="193" spans="14:14" ht="15.75" customHeight="1" x14ac:dyDescent="0.25">
      <c r="N193" s="203"/>
    </row>
    <row r="194" spans="14:14" ht="15.75" customHeight="1" x14ac:dyDescent="0.25">
      <c r="N194" s="203"/>
    </row>
    <row r="195" spans="14:14" ht="15.75" customHeight="1" x14ac:dyDescent="0.25">
      <c r="N195" s="203"/>
    </row>
    <row r="196" spans="14:14" ht="15.75" customHeight="1" x14ac:dyDescent="0.25">
      <c r="N196" s="203"/>
    </row>
    <row r="197" spans="14:14" ht="15.75" customHeight="1" x14ac:dyDescent="0.25">
      <c r="N197" s="203"/>
    </row>
    <row r="198" spans="14:14" ht="15.75" customHeight="1" x14ac:dyDescent="0.25">
      <c r="N198" s="203"/>
    </row>
    <row r="199" spans="14:14" ht="15.75" customHeight="1" x14ac:dyDescent="0.25">
      <c r="N199" s="203"/>
    </row>
    <row r="200" spans="14:14" ht="15.75" customHeight="1" x14ac:dyDescent="0.25">
      <c r="N200" s="203"/>
    </row>
    <row r="201" spans="14:14" ht="15.75" customHeight="1" x14ac:dyDescent="0.25">
      <c r="N201" s="203"/>
    </row>
    <row r="202" spans="14:14" ht="15.75" customHeight="1" x14ac:dyDescent="0.25">
      <c r="N202" s="203"/>
    </row>
    <row r="203" spans="14:14" ht="15.75" customHeight="1" x14ac:dyDescent="0.25">
      <c r="N203" s="203"/>
    </row>
    <row r="204" spans="14:14" ht="15.75" customHeight="1" x14ac:dyDescent="0.25">
      <c r="N204" s="203"/>
    </row>
    <row r="205" spans="14:14" ht="15.75" customHeight="1" x14ac:dyDescent="0.25">
      <c r="N205" s="203"/>
    </row>
    <row r="206" spans="14:14" ht="15.75" customHeight="1" x14ac:dyDescent="0.25">
      <c r="N206" s="203"/>
    </row>
    <row r="207" spans="14:14" ht="15.75" customHeight="1" x14ac:dyDescent="0.25">
      <c r="N207" s="203"/>
    </row>
    <row r="208" spans="14:14" ht="15.75" customHeight="1" x14ac:dyDescent="0.25">
      <c r="N208" s="203"/>
    </row>
    <row r="209" spans="14:14" ht="15.75" customHeight="1" x14ac:dyDescent="0.25">
      <c r="N209" s="203"/>
    </row>
    <row r="210" spans="14:14" ht="15.75" customHeight="1" x14ac:dyDescent="0.25">
      <c r="N210" s="203"/>
    </row>
    <row r="211" spans="14:14" ht="15.75" customHeight="1" x14ac:dyDescent="0.25">
      <c r="N211" s="203"/>
    </row>
    <row r="212" spans="14:14" ht="15.75" customHeight="1" x14ac:dyDescent="0.25">
      <c r="N212" s="203"/>
    </row>
    <row r="213" spans="14:14" ht="15.75" customHeight="1" x14ac:dyDescent="0.25">
      <c r="N213" s="203"/>
    </row>
    <row r="214" spans="14:14" ht="15.75" customHeight="1" x14ac:dyDescent="0.25">
      <c r="N214" s="203"/>
    </row>
    <row r="215" spans="14:14" ht="15.75" customHeight="1" x14ac:dyDescent="0.25">
      <c r="N215" s="203"/>
    </row>
    <row r="216" spans="14:14" ht="15.75" customHeight="1" x14ac:dyDescent="0.25">
      <c r="N216" s="203"/>
    </row>
    <row r="217" spans="14:14" ht="15.75" customHeight="1" x14ac:dyDescent="0.25">
      <c r="N217" s="203"/>
    </row>
    <row r="218" spans="14:14" ht="15.75" customHeight="1" x14ac:dyDescent="0.25">
      <c r="N218" s="203"/>
    </row>
    <row r="219" spans="14:14" ht="15.75" customHeight="1" x14ac:dyDescent="0.25">
      <c r="N219" s="203"/>
    </row>
    <row r="220" spans="14:14" ht="15.75" customHeight="1" x14ac:dyDescent="0.25">
      <c r="N220" s="203"/>
    </row>
    <row r="221" spans="14:14" ht="15.75" customHeight="1" x14ac:dyDescent="0.25">
      <c r="N221" s="203"/>
    </row>
    <row r="222" spans="14:14" ht="15.75" customHeight="1" x14ac:dyDescent="0.25">
      <c r="N222" s="203"/>
    </row>
    <row r="223" spans="14:14" ht="15.75" customHeight="1" x14ac:dyDescent="0.25">
      <c r="N223" s="203"/>
    </row>
    <row r="224" spans="14:14" ht="15.75" customHeight="1" x14ac:dyDescent="0.25">
      <c r="N224" s="203"/>
    </row>
    <row r="225" spans="14:14" ht="15.75" customHeight="1" x14ac:dyDescent="0.25">
      <c r="N225" s="203"/>
    </row>
    <row r="226" spans="14:14" ht="15.75" customHeight="1" x14ac:dyDescent="0.25">
      <c r="N226" s="203"/>
    </row>
    <row r="227" spans="14:14" ht="15.75" customHeight="1" x14ac:dyDescent="0.25">
      <c r="N227" s="203"/>
    </row>
    <row r="228" spans="14:14" ht="15.75" customHeight="1" x14ac:dyDescent="0.25">
      <c r="N228" s="203"/>
    </row>
    <row r="229" spans="14:14" ht="15.75" customHeight="1" x14ac:dyDescent="0.25">
      <c r="N229" s="203"/>
    </row>
    <row r="230" spans="14:14" ht="15.75" customHeight="1" x14ac:dyDescent="0.25">
      <c r="N230" s="203"/>
    </row>
    <row r="231" spans="14:14" ht="15.75" customHeight="1" x14ac:dyDescent="0.25">
      <c r="N231" s="203"/>
    </row>
    <row r="232" spans="14:14" ht="15.75" customHeight="1" x14ac:dyDescent="0.25">
      <c r="N232" s="203"/>
    </row>
    <row r="233" spans="14:14" ht="15.75" customHeight="1" x14ac:dyDescent="0.25">
      <c r="N233" s="203"/>
    </row>
    <row r="234" spans="14:14" ht="15.75" customHeight="1" x14ac:dyDescent="0.25">
      <c r="N234" s="203"/>
    </row>
    <row r="235" spans="14:14" ht="15.75" customHeight="1" x14ac:dyDescent="0.25">
      <c r="N235" s="203"/>
    </row>
    <row r="236" spans="14:14" ht="15.75" customHeight="1" x14ac:dyDescent="0.25">
      <c r="N236" s="203"/>
    </row>
    <row r="237" spans="14:14" ht="15.75" customHeight="1" x14ac:dyDescent="0.25">
      <c r="N237" s="203"/>
    </row>
    <row r="238" spans="14:14" ht="15.75" customHeight="1" x14ac:dyDescent="0.25">
      <c r="N238" s="203"/>
    </row>
    <row r="239" spans="14:14" ht="15.75" customHeight="1" x14ac:dyDescent="0.25">
      <c r="N239" s="203"/>
    </row>
    <row r="240" spans="14:14" ht="15.75" customHeight="1" x14ac:dyDescent="0.25">
      <c r="N240" s="203"/>
    </row>
    <row r="241" spans="14:14" ht="15.75" customHeight="1" x14ac:dyDescent="0.25">
      <c r="N241" s="203"/>
    </row>
    <row r="242" spans="14:14" ht="15.75" customHeight="1" x14ac:dyDescent="0.25">
      <c r="N242" s="203"/>
    </row>
    <row r="243" spans="14:14" ht="15.75" customHeight="1" x14ac:dyDescent="0.25">
      <c r="N243" s="203"/>
    </row>
    <row r="244" spans="14:14" ht="15.75" customHeight="1" x14ac:dyDescent="0.25">
      <c r="N244" s="203"/>
    </row>
    <row r="245" spans="14:14" ht="15.75" customHeight="1" x14ac:dyDescent="0.25">
      <c r="N245" s="203"/>
    </row>
    <row r="246" spans="14:14" ht="15.75" customHeight="1" x14ac:dyDescent="0.25">
      <c r="N246" s="203"/>
    </row>
    <row r="247" spans="14:14" ht="15.75" customHeight="1" x14ac:dyDescent="0.25">
      <c r="N247" s="203"/>
    </row>
    <row r="248" spans="14:14" ht="15.75" customHeight="1" x14ac:dyDescent="0.25">
      <c r="N248" s="203"/>
    </row>
    <row r="249" spans="14:14" ht="15.75" customHeight="1" x14ac:dyDescent="0.25">
      <c r="N249" s="203"/>
    </row>
    <row r="250" spans="14:14" ht="15.75" customHeight="1" x14ac:dyDescent="0.25">
      <c r="N250" s="203"/>
    </row>
    <row r="251" spans="14:14" ht="15.75" customHeight="1" x14ac:dyDescent="0.25">
      <c r="N251" s="203"/>
    </row>
    <row r="252" spans="14:14" ht="15.75" customHeight="1" x14ac:dyDescent="0.25">
      <c r="N252" s="203"/>
    </row>
    <row r="253" spans="14:14" ht="15.75" customHeight="1" x14ac:dyDescent="0.25">
      <c r="N253" s="203"/>
    </row>
    <row r="254" spans="14:14" ht="15.75" customHeight="1" x14ac:dyDescent="0.25">
      <c r="N254" s="203"/>
    </row>
    <row r="255" spans="14:14" ht="15.75" customHeight="1" x14ac:dyDescent="0.25">
      <c r="N255" s="203"/>
    </row>
    <row r="256" spans="14:14" ht="15.75" customHeight="1" x14ac:dyDescent="0.25">
      <c r="N256" s="203"/>
    </row>
    <row r="257" spans="14:14" ht="15.75" customHeight="1" x14ac:dyDescent="0.25">
      <c r="N257" s="203"/>
    </row>
    <row r="258" spans="14:14" ht="15.75" customHeight="1" x14ac:dyDescent="0.25">
      <c r="N258" s="203"/>
    </row>
    <row r="259" spans="14:14" ht="15.75" customHeight="1" x14ac:dyDescent="0.25">
      <c r="N259" s="203"/>
    </row>
    <row r="260" spans="14:14" ht="15.75" customHeight="1" x14ac:dyDescent="0.25">
      <c r="N260" s="203"/>
    </row>
    <row r="261" spans="14:14" ht="15.75" customHeight="1" x14ac:dyDescent="0.25">
      <c r="N261" s="203"/>
    </row>
    <row r="262" spans="14:14" ht="15.75" customHeight="1" x14ac:dyDescent="0.25">
      <c r="N262" s="203"/>
    </row>
    <row r="263" spans="14:14" ht="15.75" customHeight="1" x14ac:dyDescent="0.25">
      <c r="N263" s="203"/>
    </row>
    <row r="264" spans="14:14" ht="15.75" customHeight="1" x14ac:dyDescent="0.25">
      <c r="N264" s="203"/>
    </row>
    <row r="265" spans="14:14" ht="15.75" customHeight="1" x14ac:dyDescent="0.25">
      <c r="N265" s="203"/>
    </row>
    <row r="266" spans="14:14" ht="15.75" customHeight="1" x14ac:dyDescent="0.25">
      <c r="N266" s="203"/>
    </row>
    <row r="267" spans="14:14" ht="15.75" customHeight="1" x14ac:dyDescent="0.25">
      <c r="N267" s="203"/>
    </row>
    <row r="268" spans="14:14" ht="15.75" customHeight="1" x14ac:dyDescent="0.25">
      <c r="N268" s="203"/>
    </row>
    <row r="269" spans="14:14" ht="15.75" customHeight="1" x14ac:dyDescent="0.25">
      <c r="N269" s="203"/>
    </row>
    <row r="270" spans="14:14" ht="15.75" customHeight="1" x14ac:dyDescent="0.25">
      <c r="N270" s="203"/>
    </row>
    <row r="271" spans="14:14" ht="15.75" customHeight="1" x14ac:dyDescent="0.25">
      <c r="N271" s="203"/>
    </row>
    <row r="272" spans="14:14" ht="15.75" customHeight="1" x14ac:dyDescent="0.25">
      <c r="N272" s="203"/>
    </row>
    <row r="273" spans="14:14" ht="15.75" customHeight="1" x14ac:dyDescent="0.25">
      <c r="N273" s="203"/>
    </row>
    <row r="274" spans="14:14" ht="15.75" customHeight="1" x14ac:dyDescent="0.25">
      <c r="N274" s="203"/>
    </row>
    <row r="275" spans="14:14" ht="15.75" customHeight="1" x14ac:dyDescent="0.25">
      <c r="N275" s="203"/>
    </row>
    <row r="276" spans="14:14" ht="15.75" customHeight="1" x14ac:dyDescent="0.25">
      <c r="N276" s="203"/>
    </row>
    <row r="277" spans="14:14" ht="15.75" customHeight="1" x14ac:dyDescent="0.25">
      <c r="N277" s="203"/>
    </row>
    <row r="278" spans="14:14" ht="15.75" customHeight="1" x14ac:dyDescent="0.25">
      <c r="N278" s="203"/>
    </row>
    <row r="279" spans="14:14" ht="15.75" customHeight="1" x14ac:dyDescent="0.25">
      <c r="N279" s="203"/>
    </row>
    <row r="280" spans="14:14" ht="15.75" customHeight="1" x14ac:dyDescent="0.25">
      <c r="N280" s="203"/>
    </row>
    <row r="281" spans="14:14" ht="15.75" customHeight="1" x14ac:dyDescent="0.25">
      <c r="N281" s="203"/>
    </row>
    <row r="282" spans="14:14" ht="15.75" customHeight="1" x14ac:dyDescent="0.25">
      <c r="N282" s="203"/>
    </row>
    <row r="283" spans="14:14" ht="15.75" customHeight="1" x14ac:dyDescent="0.25">
      <c r="N283" s="203"/>
    </row>
    <row r="284" spans="14:14" ht="15.75" customHeight="1" x14ac:dyDescent="0.25">
      <c r="N284" s="203"/>
    </row>
    <row r="285" spans="14:14" ht="15.75" customHeight="1" x14ac:dyDescent="0.25">
      <c r="N285" s="203"/>
    </row>
    <row r="286" spans="14:14" ht="15.75" customHeight="1" x14ac:dyDescent="0.25">
      <c r="N286" s="203"/>
    </row>
    <row r="287" spans="14:14" ht="15.75" customHeight="1" x14ac:dyDescent="0.25">
      <c r="N287" s="203"/>
    </row>
    <row r="288" spans="14:14" ht="15.75" customHeight="1" x14ac:dyDescent="0.25">
      <c r="N288" s="203"/>
    </row>
    <row r="289" spans="14:14" ht="15.75" customHeight="1" x14ac:dyDescent="0.25">
      <c r="N289" s="203"/>
    </row>
    <row r="290" spans="14:14" ht="15.75" customHeight="1" x14ac:dyDescent="0.25">
      <c r="N290" s="203"/>
    </row>
    <row r="291" spans="14:14" ht="15.75" customHeight="1" x14ac:dyDescent="0.25">
      <c r="N291" s="203"/>
    </row>
    <row r="292" spans="14:14" ht="15.75" customHeight="1" x14ac:dyDescent="0.25">
      <c r="N292" s="203"/>
    </row>
    <row r="293" spans="14:14" ht="15.75" customHeight="1" x14ac:dyDescent="0.25">
      <c r="N293" s="203"/>
    </row>
    <row r="294" spans="14:14" ht="15.75" customHeight="1" x14ac:dyDescent="0.25">
      <c r="N294" s="203"/>
    </row>
    <row r="295" spans="14:14" ht="15.75" customHeight="1" x14ac:dyDescent="0.25">
      <c r="N295" s="203"/>
    </row>
    <row r="296" spans="14:14" ht="15.75" customHeight="1" x14ac:dyDescent="0.25">
      <c r="N296" s="203"/>
    </row>
    <row r="297" spans="14:14" ht="15.75" customHeight="1" x14ac:dyDescent="0.25">
      <c r="N297" s="203"/>
    </row>
    <row r="298" spans="14:14" ht="15.75" customHeight="1" x14ac:dyDescent="0.25">
      <c r="N298" s="203"/>
    </row>
    <row r="299" spans="14:14" ht="15.75" customHeight="1" x14ac:dyDescent="0.25">
      <c r="N299" s="203"/>
    </row>
    <row r="300" spans="14:14" ht="15.75" customHeight="1" x14ac:dyDescent="0.25">
      <c r="N300" s="203"/>
    </row>
    <row r="301" spans="14:14" ht="15.75" customHeight="1" x14ac:dyDescent="0.25">
      <c r="N301" s="203"/>
    </row>
    <row r="302" spans="14:14" ht="15.75" customHeight="1" x14ac:dyDescent="0.25">
      <c r="N302" s="203"/>
    </row>
    <row r="303" spans="14:14" ht="15.75" customHeight="1" x14ac:dyDescent="0.25">
      <c r="N303" s="203"/>
    </row>
    <row r="304" spans="14:14" ht="15.75" customHeight="1" x14ac:dyDescent="0.25">
      <c r="N304" s="203"/>
    </row>
    <row r="305" spans="14:14" ht="15.75" customHeight="1" x14ac:dyDescent="0.25">
      <c r="N305" s="203"/>
    </row>
    <row r="306" spans="14:14" ht="15.75" customHeight="1" x14ac:dyDescent="0.25">
      <c r="N306" s="203"/>
    </row>
    <row r="307" spans="14:14" ht="15.75" customHeight="1" x14ac:dyDescent="0.25">
      <c r="N307" s="203"/>
    </row>
    <row r="308" spans="14:14" ht="15.75" customHeight="1" x14ac:dyDescent="0.25">
      <c r="N308" s="203"/>
    </row>
    <row r="309" spans="14:14" ht="15.75" customHeight="1" x14ac:dyDescent="0.25">
      <c r="N309" s="203"/>
    </row>
    <row r="310" spans="14:14" ht="15.75" customHeight="1" x14ac:dyDescent="0.25">
      <c r="N310" s="203"/>
    </row>
    <row r="311" spans="14:14" ht="15.75" customHeight="1" x14ac:dyDescent="0.25">
      <c r="N311" s="203"/>
    </row>
    <row r="312" spans="14:14" ht="15.75" customHeight="1" x14ac:dyDescent="0.25">
      <c r="N312" s="203"/>
    </row>
    <row r="313" spans="14:14" ht="15.75" customHeight="1" x14ac:dyDescent="0.25">
      <c r="N313" s="203"/>
    </row>
    <row r="314" spans="14:14" ht="15.75" customHeight="1" x14ac:dyDescent="0.25">
      <c r="N314" s="203"/>
    </row>
    <row r="315" spans="14:14" ht="15.75" customHeight="1" x14ac:dyDescent="0.25">
      <c r="N315" s="203"/>
    </row>
    <row r="316" spans="14:14" ht="15.75" customHeight="1" x14ac:dyDescent="0.25">
      <c r="N316" s="203"/>
    </row>
    <row r="317" spans="14:14" ht="15.75" customHeight="1" x14ac:dyDescent="0.25">
      <c r="N317" s="203"/>
    </row>
    <row r="318" spans="14:14" ht="15.75" customHeight="1" x14ac:dyDescent="0.25">
      <c r="N318" s="203"/>
    </row>
    <row r="319" spans="14:14" ht="15.75" customHeight="1" x14ac:dyDescent="0.25">
      <c r="N319" s="203"/>
    </row>
    <row r="320" spans="14:14" ht="15.75" customHeight="1" x14ac:dyDescent="0.25">
      <c r="N320" s="203"/>
    </row>
    <row r="321" spans="14:14" ht="15.75" customHeight="1" x14ac:dyDescent="0.25">
      <c r="N321" s="203"/>
    </row>
    <row r="322" spans="14:14" ht="15.75" customHeight="1" x14ac:dyDescent="0.25">
      <c r="N322" s="203"/>
    </row>
    <row r="323" spans="14:14" ht="15.75" customHeight="1" x14ac:dyDescent="0.25">
      <c r="N323" s="203"/>
    </row>
    <row r="324" spans="14:14" ht="15.75" customHeight="1" x14ac:dyDescent="0.25">
      <c r="N324" s="203"/>
    </row>
    <row r="325" spans="14:14" ht="15.75" customHeight="1" x14ac:dyDescent="0.25">
      <c r="N325" s="203"/>
    </row>
    <row r="326" spans="14:14" ht="15.75" customHeight="1" x14ac:dyDescent="0.25">
      <c r="N326" s="203"/>
    </row>
    <row r="327" spans="14:14" ht="15.75" customHeight="1" x14ac:dyDescent="0.25">
      <c r="N327" s="203"/>
    </row>
    <row r="328" spans="14:14" ht="15.75" customHeight="1" x14ac:dyDescent="0.25">
      <c r="N328" s="203"/>
    </row>
    <row r="329" spans="14:14" ht="15.75" customHeight="1" x14ac:dyDescent="0.25">
      <c r="N329" s="203"/>
    </row>
    <row r="330" spans="14:14" ht="15.75" customHeight="1" x14ac:dyDescent="0.25">
      <c r="N330" s="203"/>
    </row>
    <row r="331" spans="14:14" ht="15.75" customHeight="1" x14ac:dyDescent="0.25">
      <c r="N331" s="203"/>
    </row>
    <row r="332" spans="14:14" ht="15.75" customHeight="1" x14ac:dyDescent="0.25">
      <c r="N332" s="203"/>
    </row>
    <row r="333" spans="14:14" ht="15.75" customHeight="1" x14ac:dyDescent="0.25">
      <c r="N333" s="203"/>
    </row>
    <row r="334" spans="14:14" ht="15.75" customHeight="1" x14ac:dyDescent="0.25">
      <c r="N334" s="203"/>
    </row>
    <row r="335" spans="14:14" ht="15.75" customHeight="1" x14ac:dyDescent="0.25">
      <c r="N335" s="203"/>
    </row>
    <row r="336" spans="14:14" ht="15.75" customHeight="1" x14ac:dyDescent="0.25">
      <c r="N336" s="203"/>
    </row>
    <row r="337" spans="14:14" ht="15.75" customHeight="1" x14ac:dyDescent="0.25">
      <c r="N337" s="203"/>
    </row>
    <row r="338" spans="14:14" ht="15.75" customHeight="1" x14ac:dyDescent="0.25">
      <c r="N338" s="203"/>
    </row>
    <row r="339" spans="14:14" ht="15.75" customHeight="1" x14ac:dyDescent="0.25">
      <c r="N339" s="203"/>
    </row>
    <row r="340" spans="14:14" ht="15.75" customHeight="1" x14ac:dyDescent="0.25">
      <c r="N340" s="203"/>
    </row>
    <row r="341" spans="14:14" ht="15.75" customHeight="1" x14ac:dyDescent="0.25">
      <c r="N341" s="203"/>
    </row>
    <row r="342" spans="14:14" ht="15.75" customHeight="1" x14ac:dyDescent="0.25">
      <c r="N342" s="203"/>
    </row>
    <row r="343" spans="14:14" ht="15.75" customHeight="1" x14ac:dyDescent="0.25">
      <c r="N343" s="203"/>
    </row>
    <row r="344" spans="14:14" ht="15.75" customHeight="1" x14ac:dyDescent="0.25">
      <c r="N344" s="203"/>
    </row>
    <row r="345" spans="14:14" ht="15.75" customHeight="1" x14ac:dyDescent="0.25">
      <c r="N345" s="203"/>
    </row>
    <row r="346" spans="14:14" ht="15.75" customHeight="1" x14ac:dyDescent="0.25">
      <c r="N346" s="203"/>
    </row>
    <row r="347" spans="14:14" ht="15.75" customHeight="1" x14ac:dyDescent="0.25">
      <c r="N347" s="203"/>
    </row>
    <row r="348" spans="14:14" ht="15.75" customHeight="1" x14ac:dyDescent="0.25">
      <c r="N348" s="203"/>
    </row>
    <row r="349" spans="14:14" ht="15.75" customHeight="1" x14ac:dyDescent="0.25">
      <c r="N349" s="203"/>
    </row>
    <row r="350" spans="14:14" ht="15.75" customHeight="1" x14ac:dyDescent="0.25">
      <c r="N350" s="203"/>
    </row>
    <row r="351" spans="14:14" ht="15.75" customHeight="1" x14ac:dyDescent="0.25">
      <c r="N351" s="203"/>
    </row>
    <row r="352" spans="14:14" ht="15.75" customHeight="1" x14ac:dyDescent="0.25">
      <c r="N352" s="203"/>
    </row>
    <row r="353" spans="14:14" ht="15.75" customHeight="1" x14ac:dyDescent="0.25">
      <c r="N353" s="203"/>
    </row>
    <row r="354" spans="14:14" ht="15.75" customHeight="1" x14ac:dyDescent="0.25">
      <c r="N354" s="203"/>
    </row>
    <row r="355" spans="14:14" ht="15.75" customHeight="1" x14ac:dyDescent="0.25">
      <c r="N355" s="203"/>
    </row>
    <row r="356" spans="14:14" ht="15.75" customHeight="1" x14ac:dyDescent="0.25">
      <c r="N356" s="203"/>
    </row>
    <row r="357" spans="14:14" ht="15.75" customHeight="1" x14ac:dyDescent="0.25">
      <c r="N357" s="203"/>
    </row>
    <row r="358" spans="14:14" ht="15.75" customHeight="1" x14ac:dyDescent="0.25">
      <c r="N358" s="203"/>
    </row>
    <row r="359" spans="14:14" ht="15.75" customHeight="1" x14ac:dyDescent="0.25">
      <c r="N359" s="203"/>
    </row>
    <row r="360" spans="14:14" ht="15.75" customHeight="1" x14ac:dyDescent="0.25">
      <c r="N360" s="203"/>
    </row>
    <row r="361" spans="14:14" ht="15.75" customHeight="1" x14ac:dyDescent="0.25">
      <c r="N361" s="203"/>
    </row>
    <row r="362" spans="14:14" ht="15.75" customHeight="1" x14ac:dyDescent="0.25">
      <c r="N362" s="203"/>
    </row>
    <row r="363" spans="14:14" ht="15.75" customHeight="1" x14ac:dyDescent="0.25">
      <c r="N363" s="203"/>
    </row>
    <row r="364" spans="14:14" ht="15.75" customHeight="1" x14ac:dyDescent="0.25">
      <c r="N364" s="203"/>
    </row>
    <row r="365" spans="14:14" ht="15.75" customHeight="1" x14ac:dyDescent="0.25">
      <c r="N365" s="203"/>
    </row>
    <row r="366" spans="14:14" ht="15.75" customHeight="1" x14ac:dyDescent="0.25">
      <c r="N366" s="203"/>
    </row>
    <row r="367" spans="14:14" ht="15.75" customHeight="1" x14ac:dyDescent="0.25">
      <c r="N367" s="203"/>
    </row>
    <row r="368" spans="14:14" ht="15.75" customHeight="1" x14ac:dyDescent="0.25">
      <c r="N368" s="203"/>
    </row>
    <row r="369" spans="14:14" ht="15.75" customHeight="1" x14ac:dyDescent="0.25">
      <c r="N369" s="203"/>
    </row>
    <row r="370" spans="14:14" ht="15.75" customHeight="1" x14ac:dyDescent="0.25">
      <c r="N370" s="203"/>
    </row>
    <row r="371" spans="14:14" ht="15.75" customHeight="1" x14ac:dyDescent="0.25">
      <c r="N371" s="203"/>
    </row>
    <row r="372" spans="14:14" ht="15.75" customHeight="1" x14ac:dyDescent="0.25">
      <c r="N372" s="203"/>
    </row>
    <row r="373" spans="14:14" ht="15.75" customHeight="1" x14ac:dyDescent="0.25">
      <c r="N373" s="203"/>
    </row>
    <row r="374" spans="14:14" ht="15.75" customHeight="1" x14ac:dyDescent="0.25">
      <c r="N374" s="203"/>
    </row>
    <row r="375" spans="14:14" ht="15.75" customHeight="1" x14ac:dyDescent="0.25">
      <c r="N375" s="203"/>
    </row>
    <row r="376" spans="14:14" ht="15.75" customHeight="1" x14ac:dyDescent="0.25">
      <c r="N376" s="203"/>
    </row>
    <row r="377" spans="14:14" ht="15.75" customHeight="1" x14ac:dyDescent="0.25">
      <c r="N377" s="203"/>
    </row>
    <row r="378" spans="14:14" ht="15.75" customHeight="1" x14ac:dyDescent="0.25">
      <c r="N378" s="203"/>
    </row>
    <row r="379" spans="14:14" ht="15.75" customHeight="1" x14ac:dyDescent="0.25">
      <c r="N379" s="203"/>
    </row>
    <row r="380" spans="14:14" ht="15.75" customHeight="1" x14ac:dyDescent="0.25">
      <c r="N380" s="203"/>
    </row>
    <row r="381" spans="14:14" ht="15.75" customHeight="1" x14ac:dyDescent="0.25">
      <c r="N381" s="203"/>
    </row>
    <row r="382" spans="14:14" ht="15.75" customHeight="1" x14ac:dyDescent="0.25">
      <c r="N382" s="203"/>
    </row>
    <row r="383" spans="14:14" ht="15.75" customHeight="1" x14ac:dyDescent="0.25">
      <c r="N383" s="203"/>
    </row>
    <row r="384" spans="14:14" ht="15.75" customHeight="1" x14ac:dyDescent="0.25">
      <c r="N384" s="203"/>
    </row>
    <row r="385" spans="14:14" ht="15.75" customHeight="1" x14ac:dyDescent="0.25">
      <c r="N385" s="203"/>
    </row>
    <row r="386" spans="14:14" ht="15.75" customHeight="1" x14ac:dyDescent="0.25">
      <c r="N386" s="203"/>
    </row>
    <row r="387" spans="14:14" ht="15.75" customHeight="1" x14ac:dyDescent="0.25">
      <c r="N387" s="203"/>
    </row>
    <row r="388" spans="14:14" ht="15.75" customHeight="1" x14ac:dyDescent="0.25">
      <c r="N388" s="203"/>
    </row>
    <row r="389" spans="14:14" ht="15.75" customHeight="1" x14ac:dyDescent="0.25">
      <c r="N389" s="203"/>
    </row>
    <row r="390" spans="14:14" ht="15.75" customHeight="1" x14ac:dyDescent="0.25">
      <c r="N390" s="203"/>
    </row>
    <row r="391" spans="14:14" ht="15.75" customHeight="1" x14ac:dyDescent="0.25">
      <c r="N391" s="203"/>
    </row>
    <row r="392" spans="14:14" ht="15.75" customHeight="1" x14ac:dyDescent="0.25">
      <c r="N392" s="203"/>
    </row>
    <row r="393" spans="14:14" ht="15.75" customHeight="1" x14ac:dyDescent="0.25">
      <c r="N393" s="203"/>
    </row>
    <row r="394" spans="14:14" ht="15.75" customHeight="1" x14ac:dyDescent="0.25">
      <c r="N394" s="203"/>
    </row>
    <row r="395" spans="14:14" ht="15.75" customHeight="1" x14ac:dyDescent="0.25">
      <c r="N395" s="203"/>
    </row>
    <row r="396" spans="14:14" ht="15.75" customHeight="1" x14ac:dyDescent="0.25">
      <c r="N396" s="203"/>
    </row>
    <row r="397" spans="14:14" ht="15.75" customHeight="1" x14ac:dyDescent="0.25">
      <c r="N397" s="203"/>
    </row>
    <row r="398" spans="14:14" ht="15.75" customHeight="1" x14ac:dyDescent="0.25">
      <c r="N398" s="203"/>
    </row>
    <row r="399" spans="14:14" ht="15.75" customHeight="1" x14ac:dyDescent="0.25">
      <c r="N399" s="203"/>
    </row>
    <row r="400" spans="14:14" ht="15.75" customHeight="1" x14ac:dyDescent="0.25">
      <c r="N400" s="203"/>
    </row>
    <row r="401" spans="14:14" ht="15.75" customHeight="1" x14ac:dyDescent="0.25">
      <c r="N401" s="203"/>
    </row>
    <row r="402" spans="14:14" ht="15.75" customHeight="1" x14ac:dyDescent="0.25">
      <c r="N402" s="203"/>
    </row>
    <row r="403" spans="14:14" ht="15.75" customHeight="1" x14ac:dyDescent="0.25">
      <c r="N403" s="203"/>
    </row>
    <row r="404" spans="14:14" ht="15.75" customHeight="1" x14ac:dyDescent="0.25">
      <c r="N404" s="203"/>
    </row>
    <row r="405" spans="14:14" ht="15.75" customHeight="1" x14ac:dyDescent="0.25">
      <c r="N405" s="203"/>
    </row>
    <row r="406" spans="14:14" ht="15.75" customHeight="1" x14ac:dyDescent="0.25">
      <c r="N406" s="203"/>
    </row>
    <row r="407" spans="14:14" ht="15.75" customHeight="1" x14ac:dyDescent="0.25">
      <c r="N407" s="203"/>
    </row>
    <row r="408" spans="14:14" ht="15.75" customHeight="1" x14ac:dyDescent="0.25">
      <c r="N408" s="203"/>
    </row>
    <row r="409" spans="14:14" ht="15.75" customHeight="1" x14ac:dyDescent="0.25">
      <c r="N409" s="203"/>
    </row>
    <row r="410" spans="14:14" ht="15.75" customHeight="1" x14ac:dyDescent="0.25">
      <c r="N410" s="203"/>
    </row>
    <row r="411" spans="14:14" ht="15.75" customHeight="1" x14ac:dyDescent="0.25">
      <c r="N411" s="203"/>
    </row>
    <row r="412" spans="14:14" ht="15.75" customHeight="1" x14ac:dyDescent="0.25">
      <c r="N412" s="203"/>
    </row>
    <row r="413" spans="14:14" ht="15.75" customHeight="1" x14ac:dyDescent="0.25">
      <c r="N413" s="203"/>
    </row>
    <row r="414" spans="14:14" ht="15.75" customHeight="1" x14ac:dyDescent="0.25">
      <c r="N414" s="203"/>
    </row>
    <row r="415" spans="14:14" ht="15.75" customHeight="1" x14ac:dyDescent="0.25">
      <c r="N415" s="203"/>
    </row>
    <row r="416" spans="14:14" ht="15.75" customHeight="1" x14ac:dyDescent="0.25">
      <c r="N416" s="203"/>
    </row>
    <row r="417" spans="14:14" ht="15.75" customHeight="1" x14ac:dyDescent="0.25">
      <c r="N417" s="203"/>
    </row>
    <row r="418" spans="14:14" ht="15.75" customHeight="1" x14ac:dyDescent="0.25">
      <c r="N418" s="203"/>
    </row>
    <row r="419" spans="14:14" ht="15.75" customHeight="1" x14ac:dyDescent="0.25">
      <c r="N419" s="203"/>
    </row>
    <row r="420" spans="14:14" ht="15.75" customHeight="1" x14ac:dyDescent="0.25">
      <c r="N420" s="203"/>
    </row>
    <row r="421" spans="14:14" ht="15.75" customHeight="1" x14ac:dyDescent="0.25">
      <c r="N421" s="203"/>
    </row>
    <row r="422" spans="14:14" ht="15.75" customHeight="1" x14ac:dyDescent="0.25">
      <c r="N422" s="203"/>
    </row>
    <row r="423" spans="14:14" ht="15.75" customHeight="1" x14ac:dyDescent="0.25">
      <c r="N423" s="203"/>
    </row>
    <row r="424" spans="14:14" ht="15.75" customHeight="1" x14ac:dyDescent="0.25">
      <c r="N424" s="203"/>
    </row>
    <row r="425" spans="14:14" ht="15.75" customHeight="1" x14ac:dyDescent="0.25">
      <c r="N425" s="203"/>
    </row>
    <row r="426" spans="14:14" ht="15.75" customHeight="1" x14ac:dyDescent="0.25">
      <c r="N426" s="203"/>
    </row>
    <row r="427" spans="14:14" ht="15.75" customHeight="1" x14ac:dyDescent="0.25">
      <c r="N427" s="203"/>
    </row>
    <row r="428" spans="14:14" ht="15.75" customHeight="1" x14ac:dyDescent="0.25">
      <c r="N428" s="203"/>
    </row>
    <row r="429" spans="14:14" ht="15.75" customHeight="1" x14ac:dyDescent="0.25">
      <c r="N429" s="203"/>
    </row>
    <row r="430" spans="14:14" ht="15.75" customHeight="1" x14ac:dyDescent="0.25">
      <c r="N430" s="203"/>
    </row>
    <row r="431" spans="14:14" ht="15.75" customHeight="1" x14ac:dyDescent="0.25">
      <c r="N431" s="203"/>
    </row>
    <row r="432" spans="14:14" ht="15.75" customHeight="1" x14ac:dyDescent="0.25">
      <c r="N432" s="203"/>
    </row>
    <row r="433" spans="14:14" ht="15.75" customHeight="1" x14ac:dyDescent="0.25">
      <c r="N433" s="203"/>
    </row>
    <row r="434" spans="14:14" ht="15.75" customHeight="1" x14ac:dyDescent="0.25">
      <c r="N434" s="203"/>
    </row>
    <row r="435" spans="14:14" ht="15.75" customHeight="1" x14ac:dyDescent="0.25">
      <c r="N435" s="203"/>
    </row>
    <row r="436" spans="14:14" ht="15.75" customHeight="1" x14ac:dyDescent="0.25">
      <c r="N436" s="203"/>
    </row>
    <row r="437" spans="14:14" ht="15.75" customHeight="1" x14ac:dyDescent="0.25">
      <c r="N437" s="203"/>
    </row>
    <row r="438" spans="14:14" ht="15.75" customHeight="1" x14ac:dyDescent="0.25">
      <c r="N438" s="203"/>
    </row>
    <row r="439" spans="14:14" ht="15.75" customHeight="1" x14ac:dyDescent="0.25">
      <c r="N439" s="203"/>
    </row>
    <row r="440" spans="14:14" ht="15.75" customHeight="1" x14ac:dyDescent="0.25">
      <c r="N440" s="203"/>
    </row>
    <row r="441" spans="14:14" ht="15.75" customHeight="1" x14ac:dyDescent="0.25">
      <c r="N441" s="203"/>
    </row>
    <row r="442" spans="14:14" ht="15.75" customHeight="1" x14ac:dyDescent="0.25">
      <c r="N442" s="203"/>
    </row>
    <row r="443" spans="14:14" ht="15.75" customHeight="1" x14ac:dyDescent="0.25">
      <c r="N443" s="203"/>
    </row>
    <row r="444" spans="14:14" ht="15.75" customHeight="1" x14ac:dyDescent="0.25">
      <c r="N444" s="203"/>
    </row>
    <row r="445" spans="14:14" ht="15.75" customHeight="1" x14ac:dyDescent="0.25">
      <c r="N445" s="203"/>
    </row>
    <row r="446" spans="14:14" ht="15.75" customHeight="1" x14ac:dyDescent="0.25">
      <c r="N446" s="203"/>
    </row>
    <row r="447" spans="14:14" ht="15.75" customHeight="1" x14ac:dyDescent="0.25">
      <c r="N447" s="203"/>
    </row>
    <row r="448" spans="14:14" ht="15.75" customHeight="1" x14ac:dyDescent="0.25">
      <c r="N448" s="203"/>
    </row>
    <row r="449" spans="14:14" ht="15.75" customHeight="1" x14ac:dyDescent="0.25">
      <c r="N449" s="203"/>
    </row>
    <row r="450" spans="14:14" ht="15.75" customHeight="1" x14ac:dyDescent="0.25">
      <c r="N450" s="203"/>
    </row>
    <row r="451" spans="14:14" ht="15.75" customHeight="1" x14ac:dyDescent="0.25">
      <c r="N451" s="203"/>
    </row>
    <row r="452" spans="14:14" ht="15.75" customHeight="1" x14ac:dyDescent="0.25">
      <c r="N452" s="203"/>
    </row>
    <row r="453" spans="14:14" ht="15.75" customHeight="1" x14ac:dyDescent="0.25">
      <c r="N453" s="203"/>
    </row>
    <row r="454" spans="14:14" ht="15.75" customHeight="1" x14ac:dyDescent="0.25">
      <c r="N454" s="203"/>
    </row>
    <row r="455" spans="14:14" ht="15.75" customHeight="1" x14ac:dyDescent="0.25">
      <c r="N455" s="203"/>
    </row>
    <row r="456" spans="14:14" ht="15.75" customHeight="1" x14ac:dyDescent="0.25">
      <c r="N456" s="203"/>
    </row>
    <row r="457" spans="14:14" ht="15.75" customHeight="1" x14ac:dyDescent="0.25">
      <c r="N457" s="203"/>
    </row>
    <row r="458" spans="14:14" ht="15.75" customHeight="1" x14ac:dyDescent="0.25">
      <c r="N458" s="203"/>
    </row>
    <row r="459" spans="14:14" ht="15.75" customHeight="1" x14ac:dyDescent="0.25">
      <c r="N459" s="203"/>
    </row>
    <row r="460" spans="14:14" ht="15.75" customHeight="1" x14ac:dyDescent="0.25">
      <c r="N460" s="203"/>
    </row>
    <row r="461" spans="14:14" ht="15.75" customHeight="1" x14ac:dyDescent="0.25">
      <c r="N461" s="203"/>
    </row>
    <row r="462" spans="14:14" ht="15.75" customHeight="1" x14ac:dyDescent="0.25">
      <c r="N462" s="203"/>
    </row>
    <row r="463" spans="14:14" ht="15.75" customHeight="1" x14ac:dyDescent="0.25">
      <c r="N463" s="203"/>
    </row>
    <row r="464" spans="14:14" ht="15.75" customHeight="1" x14ac:dyDescent="0.25">
      <c r="N464" s="203"/>
    </row>
    <row r="465" spans="14:14" ht="15.75" customHeight="1" x14ac:dyDescent="0.25">
      <c r="N465" s="203"/>
    </row>
    <row r="466" spans="14:14" ht="15.75" customHeight="1" x14ac:dyDescent="0.25">
      <c r="N466" s="203"/>
    </row>
    <row r="467" spans="14:14" ht="15.75" customHeight="1" x14ac:dyDescent="0.25">
      <c r="N467" s="203"/>
    </row>
    <row r="468" spans="14:14" ht="15.75" customHeight="1" x14ac:dyDescent="0.25">
      <c r="N468" s="203"/>
    </row>
    <row r="469" spans="14:14" ht="15.75" customHeight="1" x14ac:dyDescent="0.25">
      <c r="N469" s="203"/>
    </row>
    <row r="470" spans="14:14" ht="15.75" customHeight="1" x14ac:dyDescent="0.25">
      <c r="N470" s="203"/>
    </row>
    <row r="471" spans="14:14" ht="15.75" customHeight="1" x14ac:dyDescent="0.25">
      <c r="N471" s="203"/>
    </row>
    <row r="472" spans="14:14" ht="15.75" customHeight="1" x14ac:dyDescent="0.25">
      <c r="N472" s="203"/>
    </row>
    <row r="473" spans="14:14" ht="15.75" customHeight="1" x14ac:dyDescent="0.25">
      <c r="N473" s="203"/>
    </row>
    <row r="474" spans="14:14" ht="15.75" customHeight="1" x14ac:dyDescent="0.25">
      <c r="N474" s="203"/>
    </row>
    <row r="475" spans="14:14" ht="15.75" customHeight="1" x14ac:dyDescent="0.25">
      <c r="N475" s="203"/>
    </row>
    <row r="476" spans="14:14" ht="15.75" customHeight="1" x14ac:dyDescent="0.25">
      <c r="N476" s="203"/>
    </row>
    <row r="477" spans="14:14" ht="15.75" customHeight="1" x14ac:dyDescent="0.25">
      <c r="N477" s="203"/>
    </row>
    <row r="478" spans="14:14" ht="15.75" customHeight="1" x14ac:dyDescent="0.25">
      <c r="N478" s="203"/>
    </row>
    <row r="479" spans="14:14" ht="15.75" customHeight="1" x14ac:dyDescent="0.25">
      <c r="N479" s="203"/>
    </row>
    <row r="480" spans="14:14" ht="15.75" customHeight="1" x14ac:dyDescent="0.25">
      <c r="N480" s="203"/>
    </row>
    <row r="481" spans="14:14" ht="15.75" customHeight="1" x14ac:dyDescent="0.25">
      <c r="N481" s="203"/>
    </row>
    <row r="482" spans="14:14" ht="15.75" customHeight="1" x14ac:dyDescent="0.25">
      <c r="N482" s="203"/>
    </row>
    <row r="483" spans="14:14" ht="15.75" customHeight="1" x14ac:dyDescent="0.25">
      <c r="N483" s="203"/>
    </row>
    <row r="484" spans="14:14" ht="15.75" customHeight="1" x14ac:dyDescent="0.25">
      <c r="N484" s="203"/>
    </row>
    <row r="485" spans="14:14" ht="15.75" customHeight="1" x14ac:dyDescent="0.25">
      <c r="N485" s="203"/>
    </row>
    <row r="486" spans="14:14" ht="15.75" customHeight="1" x14ac:dyDescent="0.25">
      <c r="N486" s="203"/>
    </row>
    <row r="487" spans="14:14" ht="15.75" customHeight="1" x14ac:dyDescent="0.25">
      <c r="N487" s="203"/>
    </row>
    <row r="488" spans="14:14" ht="15.75" customHeight="1" x14ac:dyDescent="0.25">
      <c r="N488" s="203"/>
    </row>
    <row r="489" spans="14:14" ht="15.75" customHeight="1" x14ac:dyDescent="0.25">
      <c r="N489" s="203"/>
    </row>
    <row r="490" spans="14:14" ht="15.75" customHeight="1" x14ac:dyDescent="0.25">
      <c r="N490" s="203"/>
    </row>
    <row r="491" spans="14:14" ht="15.75" customHeight="1" x14ac:dyDescent="0.25">
      <c r="N491" s="203"/>
    </row>
    <row r="492" spans="14:14" ht="15.75" customHeight="1" x14ac:dyDescent="0.25">
      <c r="N492" s="203"/>
    </row>
    <row r="493" spans="14:14" ht="15.75" customHeight="1" x14ac:dyDescent="0.25">
      <c r="N493" s="203"/>
    </row>
    <row r="494" spans="14:14" ht="15.75" customHeight="1" x14ac:dyDescent="0.25">
      <c r="N494" s="203"/>
    </row>
    <row r="495" spans="14:14" ht="15.75" customHeight="1" x14ac:dyDescent="0.25">
      <c r="N495" s="203"/>
    </row>
    <row r="496" spans="14:14" ht="15.75" customHeight="1" x14ac:dyDescent="0.25">
      <c r="N496" s="203"/>
    </row>
    <row r="497" spans="14:14" ht="15.75" customHeight="1" x14ac:dyDescent="0.25">
      <c r="N497" s="203"/>
    </row>
    <row r="498" spans="14:14" ht="15.75" customHeight="1" x14ac:dyDescent="0.25">
      <c r="N498" s="203"/>
    </row>
    <row r="499" spans="14:14" ht="15.75" customHeight="1" x14ac:dyDescent="0.25">
      <c r="N499" s="203"/>
    </row>
    <row r="500" spans="14:14" ht="15.75" customHeight="1" x14ac:dyDescent="0.25">
      <c r="N500" s="203"/>
    </row>
    <row r="501" spans="14:14" ht="15.75" customHeight="1" x14ac:dyDescent="0.25">
      <c r="N501" s="203"/>
    </row>
    <row r="502" spans="14:14" ht="15.75" customHeight="1" x14ac:dyDescent="0.25">
      <c r="N502" s="203"/>
    </row>
    <row r="503" spans="14:14" ht="15.75" customHeight="1" x14ac:dyDescent="0.25">
      <c r="N503" s="203"/>
    </row>
    <row r="504" spans="14:14" ht="15.75" customHeight="1" x14ac:dyDescent="0.25">
      <c r="N504" s="203"/>
    </row>
    <row r="505" spans="14:14" ht="15.75" customHeight="1" x14ac:dyDescent="0.25">
      <c r="N505" s="203"/>
    </row>
    <row r="506" spans="14:14" ht="15.75" customHeight="1" x14ac:dyDescent="0.25">
      <c r="N506" s="203"/>
    </row>
    <row r="507" spans="14:14" ht="15.75" customHeight="1" x14ac:dyDescent="0.25">
      <c r="N507" s="203"/>
    </row>
    <row r="508" spans="14:14" ht="15.75" customHeight="1" x14ac:dyDescent="0.25">
      <c r="N508" s="203"/>
    </row>
    <row r="509" spans="14:14" ht="15.75" customHeight="1" x14ac:dyDescent="0.25">
      <c r="N509" s="203"/>
    </row>
    <row r="510" spans="14:14" ht="15.75" customHeight="1" x14ac:dyDescent="0.25">
      <c r="N510" s="203"/>
    </row>
    <row r="511" spans="14:14" ht="15.75" customHeight="1" x14ac:dyDescent="0.25">
      <c r="N511" s="203"/>
    </row>
    <row r="512" spans="14:14" ht="15.75" customHeight="1" x14ac:dyDescent="0.25">
      <c r="N512" s="203"/>
    </row>
    <row r="513" spans="14:14" ht="15.75" customHeight="1" x14ac:dyDescent="0.25">
      <c r="N513" s="203"/>
    </row>
    <row r="514" spans="14:14" ht="15.75" customHeight="1" x14ac:dyDescent="0.25">
      <c r="N514" s="203"/>
    </row>
    <row r="515" spans="14:14" ht="15.75" customHeight="1" x14ac:dyDescent="0.25">
      <c r="N515" s="203"/>
    </row>
    <row r="516" spans="14:14" ht="15.75" customHeight="1" x14ac:dyDescent="0.25">
      <c r="N516" s="203"/>
    </row>
    <row r="517" spans="14:14" ht="15.75" customHeight="1" x14ac:dyDescent="0.25">
      <c r="N517" s="203"/>
    </row>
    <row r="518" spans="14:14" ht="15.75" customHeight="1" x14ac:dyDescent="0.25">
      <c r="N518" s="203"/>
    </row>
    <row r="519" spans="14:14" ht="15.75" customHeight="1" x14ac:dyDescent="0.25">
      <c r="N519" s="203"/>
    </row>
    <row r="520" spans="14:14" ht="15.75" customHeight="1" x14ac:dyDescent="0.25">
      <c r="N520" s="203"/>
    </row>
    <row r="521" spans="14:14" ht="15.75" customHeight="1" x14ac:dyDescent="0.25">
      <c r="N521" s="203"/>
    </row>
    <row r="522" spans="14:14" ht="15.75" customHeight="1" x14ac:dyDescent="0.25">
      <c r="N522" s="203"/>
    </row>
    <row r="523" spans="14:14" ht="15.75" customHeight="1" x14ac:dyDescent="0.25">
      <c r="N523" s="203"/>
    </row>
    <row r="524" spans="14:14" ht="15.75" customHeight="1" x14ac:dyDescent="0.25">
      <c r="N524" s="203"/>
    </row>
    <row r="525" spans="14:14" ht="15.75" customHeight="1" x14ac:dyDescent="0.25">
      <c r="N525" s="203"/>
    </row>
    <row r="526" spans="14:14" ht="15.75" customHeight="1" x14ac:dyDescent="0.25">
      <c r="N526" s="203"/>
    </row>
    <row r="527" spans="14:14" ht="15.75" customHeight="1" x14ac:dyDescent="0.25">
      <c r="N527" s="203"/>
    </row>
    <row r="528" spans="14:14" ht="15.75" customHeight="1" x14ac:dyDescent="0.25">
      <c r="N528" s="203"/>
    </row>
    <row r="529" spans="14:14" ht="15.75" customHeight="1" x14ac:dyDescent="0.25">
      <c r="N529" s="203"/>
    </row>
    <row r="530" spans="14:14" ht="15.75" customHeight="1" x14ac:dyDescent="0.25">
      <c r="N530" s="203"/>
    </row>
    <row r="531" spans="14:14" ht="15.75" customHeight="1" x14ac:dyDescent="0.25">
      <c r="N531" s="203"/>
    </row>
    <row r="532" spans="14:14" ht="15.75" customHeight="1" x14ac:dyDescent="0.25">
      <c r="N532" s="203"/>
    </row>
    <row r="533" spans="14:14" ht="15.75" customHeight="1" x14ac:dyDescent="0.25">
      <c r="N533" s="203"/>
    </row>
    <row r="534" spans="14:14" ht="15.75" customHeight="1" x14ac:dyDescent="0.25">
      <c r="N534" s="203"/>
    </row>
    <row r="535" spans="14:14" ht="15.75" customHeight="1" x14ac:dyDescent="0.25">
      <c r="N535" s="203"/>
    </row>
    <row r="536" spans="14:14" ht="15.75" customHeight="1" x14ac:dyDescent="0.25">
      <c r="N536" s="203"/>
    </row>
    <row r="537" spans="14:14" ht="15.75" customHeight="1" x14ac:dyDescent="0.25">
      <c r="N537" s="203"/>
    </row>
    <row r="538" spans="14:14" ht="15.75" customHeight="1" x14ac:dyDescent="0.25">
      <c r="N538" s="203"/>
    </row>
    <row r="539" spans="14:14" ht="15.75" customHeight="1" x14ac:dyDescent="0.25">
      <c r="N539" s="203"/>
    </row>
    <row r="540" spans="14:14" ht="15.75" customHeight="1" x14ac:dyDescent="0.25">
      <c r="N540" s="203"/>
    </row>
    <row r="541" spans="14:14" ht="15.75" customHeight="1" x14ac:dyDescent="0.25">
      <c r="N541" s="203"/>
    </row>
    <row r="542" spans="14:14" ht="15.75" customHeight="1" x14ac:dyDescent="0.25">
      <c r="N542" s="203"/>
    </row>
    <row r="543" spans="14:14" ht="15.75" customHeight="1" x14ac:dyDescent="0.25">
      <c r="N543" s="203"/>
    </row>
    <row r="544" spans="14:14" ht="15.75" customHeight="1" x14ac:dyDescent="0.25">
      <c r="N544" s="203"/>
    </row>
    <row r="545" spans="14:14" ht="15.75" customHeight="1" x14ac:dyDescent="0.25">
      <c r="N545" s="203"/>
    </row>
    <row r="546" spans="14:14" ht="15.75" customHeight="1" x14ac:dyDescent="0.25">
      <c r="N546" s="203"/>
    </row>
    <row r="547" spans="14:14" ht="15.75" customHeight="1" x14ac:dyDescent="0.25">
      <c r="N547" s="203"/>
    </row>
    <row r="548" spans="14:14" ht="15.75" customHeight="1" x14ac:dyDescent="0.25">
      <c r="N548" s="203"/>
    </row>
    <row r="549" spans="14:14" ht="15.75" customHeight="1" x14ac:dyDescent="0.25">
      <c r="N549" s="203"/>
    </row>
    <row r="550" spans="14:14" ht="15.75" customHeight="1" x14ac:dyDescent="0.25">
      <c r="N550" s="203"/>
    </row>
    <row r="551" spans="14:14" ht="15.75" customHeight="1" x14ac:dyDescent="0.25">
      <c r="N551" s="203"/>
    </row>
    <row r="552" spans="14:14" ht="15.75" customHeight="1" x14ac:dyDescent="0.25">
      <c r="N552" s="203"/>
    </row>
    <row r="553" spans="14:14" ht="15.75" customHeight="1" x14ac:dyDescent="0.25">
      <c r="N553" s="203"/>
    </row>
    <row r="554" spans="14:14" ht="15.75" customHeight="1" x14ac:dyDescent="0.25">
      <c r="N554" s="203"/>
    </row>
    <row r="555" spans="14:14" ht="15.75" customHeight="1" x14ac:dyDescent="0.25">
      <c r="N555" s="203"/>
    </row>
    <row r="556" spans="14:14" ht="15.75" customHeight="1" x14ac:dyDescent="0.25">
      <c r="N556" s="203"/>
    </row>
    <row r="557" spans="14:14" ht="15.75" customHeight="1" x14ac:dyDescent="0.25">
      <c r="N557" s="203"/>
    </row>
    <row r="558" spans="14:14" ht="15.75" customHeight="1" x14ac:dyDescent="0.25">
      <c r="N558" s="203"/>
    </row>
    <row r="559" spans="14:14" ht="15.75" customHeight="1" x14ac:dyDescent="0.25">
      <c r="N559" s="203"/>
    </row>
    <row r="560" spans="14:14" ht="15.75" customHeight="1" x14ac:dyDescent="0.25">
      <c r="N560" s="203"/>
    </row>
    <row r="561" spans="14:14" ht="15.75" customHeight="1" x14ac:dyDescent="0.25">
      <c r="N561" s="203"/>
    </row>
    <row r="562" spans="14:14" ht="15.75" customHeight="1" x14ac:dyDescent="0.25">
      <c r="N562" s="203"/>
    </row>
    <row r="563" spans="14:14" ht="15.75" customHeight="1" x14ac:dyDescent="0.25">
      <c r="N563" s="203"/>
    </row>
    <row r="564" spans="14:14" ht="15.75" customHeight="1" x14ac:dyDescent="0.25">
      <c r="N564" s="203"/>
    </row>
    <row r="565" spans="14:14" ht="15.75" customHeight="1" x14ac:dyDescent="0.25">
      <c r="N565" s="203"/>
    </row>
    <row r="566" spans="14:14" ht="15.75" customHeight="1" x14ac:dyDescent="0.25">
      <c r="N566" s="203"/>
    </row>
    <row r="567" spans="14:14" ht="15.75" customHeight="1" x14ac:dyDescent="0.25">
      <c r="N567" s="203"/>
    </row>
    <row r="568" spans="14:14" ht="15.75" customHeight="1" x14ac:dyDescent="0.25">
      <c r="N568" s="203"/>
    </row>
    <row r="569" spans="14:14" ht="15.75" customHeight="1" x14ac:dyDescent="0.25">
      <c r="N569" s="203"/>
    </row>
    <row r="570" spans="14:14" ht="15.75" customHeight="1" x14ac:dyDescent="0.25">
      <c r="N570" s="203"/>
    </row>
    <row r="571" spans="14:14" ht="15.75" customHeight="1" x14ac:dyDescent="0.25">
      <c r="N571" s="203"/>
    </row>
    <row r="572" spans="14:14" ht="15.75" customHeight="1" x14ac:dyDescent="0.25">
      <c r="N572" s="203"/>
    </row>
    <row r="573" spans="14:14" ht="15.75" customHeight="1" x14ac:dyDescent="0.25">
      <c r="N573" s="203"/>
    </row>
    <row r="574" spans="14:14" ht="15.75" customHeight="1" x14ac:dyDescent="0.25">
      <c r="N574" s="203"/>
    </row>
    <row r="575" spans="14:14" ht="15.75" customHeight="1" x14ac:dyDescent="0.25">
      <c r="N575" s="203"/>
    </row>
    <row r="576" spans="14:14" ht="15.75" customHeight="1" x14ac:dyDescent="0.25">
      <c r="N576" s="203"/>
    </row>
    <row r="577" spans="14:14" ht="15.75" customHeight="1" x14ac:dyDescent="0.25">
      <c r="N577" s="203"/>
    </row>
    <row r="578" spans="14:14" ht="15.75" customHeight="1" x14ac:dyDescent="0.25">
      <c r="N578" s="203"/>
    </row>
    <row r="579" spans="14:14" ht="15.75" customHeight="1" x14ac:dyDescent="0.25">
      <c r="N579" s="203"/>
    </row>
    <row r="580" spans="14:14" ht="15.75" customHeight="1" x14ac:dyDescent="0.25">
      <c r="N580" s="203"/>
    </row>
    <row r="581" spans="14:14" ht="15.75" customHeight="1" x14ac:dyDescent="0.25">
      <c r="N581" s="203"/>
    </row>
    <row r="582" spans="14:14" ht="15.75" customHeight="1" x14ac:dyDescent="0.25">
      <c r="N582" s="203"/>
    </row>
    <row r="583" spans="14:14" ht="15.75" customHeight="1" x14ac:dyDescent="0.25">
      <c r="N583" s="203"/>
    </row>
    <row r="584" spans="14:14" ht="15.75" customHeight="1" x14ac:dyDescent="0.25">
      <c r="N584" s="203"/>
    </row>
    <row r="585" spans="14:14" ht="15.75" customHeight="1" x14ac:dyDescent="0.25">
      <c r="N585" s="203"/>
    </row>
    <row r="586" spans="14:14" ht="15.75" customHeight="1" x14ac:dyDescent="0.25">
      <c r="N586" s="203"/>
    </row>
    <row r="587" spans="14:14" ht="15.75" customHeight="1" x14ac:dyDescent="0.25">
      <c r="N587" s="203"/>
    </row>
    <row r="588" spans="14:14" ht="15.75" customHeight="1" x14ac:dyDescent="0.25">
      <c r="N588" s="203"/>
    </row>
    <row r="589" spans="14:14" ht="15.75" customHeight="1" x14ac:dyDescent="0.25">
      <c r="N589" s="203"/>
    </row>
    <row r="590" spans="14:14" ht="15.75" customHeight="1" x14ac:dyDescent="0.25">
      <c r="N590" s="203"/>
    </row>
    <row r="591" spans="14:14" ht="15.75" customHeight="1" x14ac:dyDescent="0.25">
      <c r="N591" s="203"/>
    </row>
    <row r="592" spans="14:14" ht="15.75" customHeight="1" x14ac:dyDescent="0.25">
      <c r="N592" s="203"/>
    </row>
    <row r="593" spans="14:14" ht="15.75" customHeight="1" x14ac:dyDescent="0.25">
      <c r="N593" s="203"/>
    </row>
    <row r="594" spans="14:14" ht="15.75" customHeight="1" x14ac:dyDescent="0.25">
      <c r="N594" s="203"/>
    </row>
    <row r="595" spans="14:14" ht="15.75" customHeight="1" x14ac:dyDescent="0.25">
      <c r="N595" s="203"/>
    </row>
    <row r="596" spans="14:14" ht="15.75" customHeight="1" x14ac:dyDescent="0.25">
      <c r="N596" s="203"/>
    </row>
    <row r="597" spans="14:14" ht="15.75" customHeight="1" x14ac:dyDescent="0.25">
      <c r="N597" s="203"/>
    </row>
    <row r="598" spans="14:14" ht="15.75" customHeight="1" x14ac:dyDescent="0.25">
      <c r="N598" s="203"/>
    </row>
    <row r="599" spans="14:14" ht="15.75" customHeight="1" x14ac:dyDescent="0.25">
      <c r="N599" s="203"/>
    </row>
    <row r="600" spans="14:14" ht="15.75" customHeight="1" x14ac:dyDescent="0.25">
      <c r="N600" s="203"/>
    </row>
    <row r="601" spans="14:14" ht="15.75" customHeight="1" x14ac:dyDescent="0.25">
      <c r="N601" s="203"/>
    </row>
    <row r="602" spans="14:14" ht="15.75" customHeight="1" x14ac:dyDescent="0.25">
      <c r="N602" s="203"/>
    </row>
    <row r="603" spans="14:14" ht="15.75" customHeight="1" x14ac:dyDescent="0.25">
      <c r="N603" s="203"/>
    </row>
    <row r="604" spans="14:14" ht="15.75" customHeight="1" x14ac:dyDescent="0.25">
      <c r="N604" s="203"/>
    </row>
    <row r="605" spans="14:14" ht="15.75" customHeight="1" x14ac:dyDescent="0.25">
      <c r="N605" s="203"/>
    </row>
    <row r="606" spans="14:14" ht="15.75" customHeight="1" x14ac:dyDescent="0.25">
      <c r="N606" s="203"/>
    </row>
    <row r="607" spans="14:14" ht="15.75" customHeight="1" x14ac:dyDescent="0.25">
      <c r="N607" s="203"/>
    </row>
    <row r="608" spans="14:14" ht="15.75" customHeight="1" x14ac:dyDescent="0.25">
      <c r="N608" s="203"/>
    </row>
    <row r="609" spans="14:14" ht="15.75" customHeight="1" x14ac:dyDescent="0.25">
      <c r="N609" s="203"/>
    </row>
    <row r="610" spans="14:14" ht="15.75" customHeight="1" x14ac:dyDescent="0.25">
      <c r="N610" s="203"/>
    </row>
    <row r="611" spans="14:14" ht="15.75" customHeight="1" x14ac:dyDescent="0.25">
      <c r="N611" s="203"/>
    </row>
    <row r="612" spans="14:14" ht="15.75" customHeight="1" x14ac:dyDescent="0.25">
      <c r="N612" s="203"/>
    </row>
    <row r="613" spans="14:14" ht="15.75" customHeight="1" x14ac:dyDescent="0.25">
      <c r="N613" s="203"/>
    </row>
    <row r="614" spans="14:14" ht="15.75" customHeight="1" x14ac:dyDescent="0.25">
      <c r="N614" s="203"/>
    </row>
    <row r="615" spans="14:14" ht="15.75" customHeight="1" x14ac:dyDescent="0.25">
      <c r="N615" s="203"/>
    </row>
    <row r="616" spans="14:14" ht="15.75" customHeight="1" x14ac:dyDescent="0.25">
      <c r="N616" s="203"/>
    </row>
    <row r="617" spans="14:14" ht="15.75" customHeight="1" x14ac:dyDescent="0.25">
      <c r="N617" s="203"/>
    </row>
    <row r="618" spans="14:14" ht="15.75" customHeight="1" x14ac:dyDescent="0.25">
      <c r="N618" s="203"/>
    </row>
    <row r="619" spans="14:14" ht="15.75" customHeight="1" x14ac:dyDescent="0.25">
      <c r="N619" s="203"/>
    </row>
    <row r="620" spans="14:14" ht="15.75" customHeight="1" x14ac:dyDescent="0.25">
      <c r="N620" s="203"/>
    </row>
    <row r="621" spans="14:14" ht="15.75" customHeight="1" x14ac:dyDescent="0.25">
      <c r="N621" s="203"/>
    </row>
    <row r="622" spans="14:14" ht="15.75" customHeight="1" x14ac:dyDescent="0.25">
      <c r="N622" s="203"/>
    </row>
    <row r="623" spans="14:14" ht="15.75" customHeight="1" x14ac:dyDescent="0.25">
      <c r="N623" s="203"/>
    </row>
    <row r="624" spans="14:14" ht="15.75" customHeight="1" x14ac:dyDescent="0.25">
      <c r="N624" s="203"/>
    </row>
    <row r="625" spans="14:14" ht="15.75" customHeight="1" x14ac:dyDescent="0.25">
      <c r="N625" s="203"/>
    </row>
    <row r="626" spans="14:14" ht="15.75" customHeight="1" x14ac:dyDescent="0.25">
      <c r="N626" s="203"/>
    </row>
    <row r="627" spans="14:14" ht="15.75" customHeight="1" x14ac:dyDescent="0.25">
      <c r="N627" s="203"/>
    </row>
    <row r="628" spans="14:14" ht="15.75" customHeight="1" x14ac:dyDescent="0.25">
      <c r="N628" s="203"/>
    </row>
    <row r="629" spans="14:14" ht="15.75" customHeight="1" x14ac:dyDescent="0.25">
      <c r="N629" s="203"/>
    </row>
    <row r="630" spans="14:14" ht="15.75" customHeight="1" x14ac:dyDescent="0.25">
      <c r="N630" s="203"/>
    </row>
    <row r="631" spans="14:14" ht="15.75" customHeight="1" x14ac:dyDescent="0.25">
      <c r="N631" s="203"/>
    </row>
    <row r="632" spans="14:14" ht="15.75" customHeight="1" x14ac:dyDescent="0.25">
      <c r="N632" s="203"/>
    </row>
    <row r="633" spans="14:14" ht="15.75" customHeight="1" x14ac:dyDescent="0.25">
      <c r="N633" s="203"/>
    </row>
    <row r="634" spans="14:14" ht="15.75" customHeight="1" x14ac:dyDescent="0.25">
      <c r="N634" s="203"/>
    </row>
    <row r="635" spans="14:14" ht="15.75" customHeight="1" x14ac:dyDescent="0.25">
      <c r="N635" s="203"/>
    </row>
    <row r="636" spans="14:14" ht="15.75" customHeight="1" x14ac:dyDescent="0.25">
      <c r="N636" s="203"/>
    </row>
    <row r="637" spans="14:14" ht="15.75" customHeight="1" x14ac:dyDescent="0.25">
      <c r="N637" s="203"/>
    </row>
    <row r="638" spans="14:14" ht="15.75" customHeight="1" x14ac:dyDescent="0.25">
      <c r="N638" s="203"/>
    </row>
    <row r="639" spans="14:14" ht="15.75" customHeight="1" x14ac:dyDescent="0.25">
      <c r="N639" s="203"/>
    </row>
    <row r="640" spans="14:14" ht="15.75" customHeight="1" x14ac:dyDescent="0.25">
      <c r="N640" s="203"/>
    </row>
    <row r="641" spans="14:14" ht="15.75" customHeight="1" x14ac:dyDescent="0.25">
      <c r="N641" s="203"/>
    </row>
    <row r="642" spans="14:14" ht="15.75" customHeight="1" x14ac:dyDescent="0.25">
      <c r="N642" s="203"/>
    </row>
    <row r="643" spans="14:14" ht="15.75" customHeight="1" x14ac:dyDescent="0.25">
      <c r="N643" s="203"/>
    </row>
    <row r="644" spans="14:14" ht="15.75" customHeight="1" x14ac:dyDescent="0.25">
      <c r="N644" s="203"/>
    </row>
    <row r="645" spans="14:14" ht="15.75" customHeight="1" x14ac:dyDescent="0.25">
      <c r="N645" s="203"/>
    </row>
    <row r="646" spans="14:14" ht="15.75" customHeight="1" x14ac:dyDescent="0.25">
      <c r="N646" s="203"/>
    </row>
    <row r="647" spans="14:14" ht="15.75" customHeight="1" x14ac:dyDescent="0.25">
      <c r="N647" s="203"/>
    </row>
    <row r="648" spans="14:14" ht="15.75" customHeight="1" x14ac:dyDescent="0.25">
      <c r="N648" s="203"/>
    </row>
    <row r="649" spans="14:14" ht="15.75" customHeight="1" x14ac:dyDescent="0.25">
      <c r="N649" s="203"/>
    </row>
    <row r="650" spans="14:14" ht="15.75" customHeight="1" x14ac:dyDescent="0.25">
      <c r="N650" s="203"/>
    </row>
    <row r="651" spans="14:14" ht="15.75" customHeight="1" x14ac:dyDescent="0.25">
      <c r="N651" s="203"/>
    </row>
    <row r="652" spans="14:14" ht="15.75" customHeight="1" x14ac:dyDescent="0.25">
      <c r="N652" s="203"/>
    </row>
    <row r="653" spans="14:14" ht="15.75" customHeight="1" x14ac:dyDescent="0.25">
      <c r="N653" s="203"/>
    </row>
    <row r="654" spans="14:14" ht="15.75" customHeight="1" x14ac:dyDescent="0.25">
      <c r="N654" s="203"/>
    </row>
    <row r="655" spans="14:14" ht="15.75" customHeight="1" x14ac:dyDescent="0.25">
      <c r="N655" s="203"/>
    </row>
    <row r="656" spans="14:14" ht="15.75" customHeight="1" x14ac:dyDescent="0.25">
      <c r="N656" s="203"/>
    </row>
    <row r="657" spans="14:14" ht="15.75" customHeight="1" x14ac:dyDescent="0.25">
      <c r="N657" s="203"/>
    </row>
    <row r="658" spans="14:14" ht="15.75" customHeight="1" x14ac:dyDescent="0.25">
      <c r="N658" s="203"/>
    </row>
    <row r="659" spans="14:14" ht="15.75" customHeight="1" x14ac:dyDescent="0.25">
      <c r="N659" s="203"/>
    </row>
    <row r="660" spans="14:14" ht="15.75" customHeight="1" x14ac:dyDescent="0.25">
      <c r="N660" s="203"/>
    </row>
    <row r="661" spans="14:14" ht="15.75" customHeight="1" x14ac:dyDescent="0.25">
      <c r="N661" s="203"/>
    </row>
    <row r="662" spans="14:14" ht="15.75" customHeight="1" x14ac:dyDescent="0.25">
      <c r="N662" s="203"/>
    </row>
    <row r="663" spans="14:14" ht="15.75" customHeight="1" x14ac:dyDescent="0.25">
      <c r="N663" s="203"/>
    </row>
    <row r="664" spans="14:14" ht="15.75" customHeight="1" x14ac:dyDescent="0.25">
      <c r="N664" s="203"/>
    </row>
    <row r="665" spans="14:14" ht="15.75" customHeight="1" x14ac:dyDescent="0.25">
      <c r="N665" s="203"/>
    </row>
    <row r="666" spans="14:14" ht="15.75" customHeight="1" x14ac:dyDescent="0.25">
      <c r="N666" s="203"/>
    </row>
    <row r="667" spans="14:14" ht="15.75" customHeight="1" x14ac:dyDescent="0.25">
      <c r="N667" s="203"/>
    </row>
    <row r="668" spans="14:14" ht="15.75" customHeight="1" x14ac:dyDescent="0.25">
      <c r="N668" s="203"/>
    </row>
    <row r="669" spans="14:14" ht="15.75" customHeight="1" x14ac:dyDescent="0.25">
      <c r="N669" s="203"/>
    </row>
    <row r="670" spans="14:14" ht="15.75" customHeight="1" x14ac:dyDescent="0.25">
      <c r="N670" s="203"/>
    </row>
    <row r="671" spans="14:14" ht="15.75" customHeight="1" x14ac:dyDescent="0.25">
      <c r="N671" s="203"/>
    </row>
    <row r="672" spans="14:14" ht="15.75" customHeight="1" x14ac:dyDescent="0.25">
      <c r="N672" s="203"/>
    </row>
    <row r="673" spans="14:14" ht="15.75" customHeight="1" x14ac:dyDescent="0.25">
      <c r="N673" s="203"/>
    </row>
    <row r="674" spans="14:14" ht="15.75" customHeight="1" x14ac:dyDescent="0.25">
      <c r="N674" s="203"/>
    </row>
    <row r="675" spans="14:14" ht="15.75" customHeight="1" x14ac:dyDescent="0.25">
      <c r="N675" s="203"/>
    </row>
    <row r="676" spans="14:14" ht="15.75" customHeight="1" x14ac:dyDescent="0.25">
      <c r="N676" s="203"/>
    </row>
    <row r="677" spans="14:14" ht="15.75" customHeight="1" x14ac:dyDescent="0.25">
      <c r="N677" s="203"/>
    </row>
    <row r="678" spans="14:14" ht="15.75" customHeight="1" x14ac:dyDescent="0.25">
      <c r="N678" s="203"/>
    </row>
    <row r="679" spans="14:14" ht="15.75" customHeight="1" x14ac:dyDescent="0.25">
      <c r="N679" s="203"/>
    </row>
    <row r="680" spans="14:14" ht="15.75" customHeight="1" x14ac:dyDescent="0.25">
      <c r="N680" s="203"/>
    </row>
    <row r="681" spans="14:14" ht="15.75" customHeight="1" x14ac:dyDescent="0.25">
      <c r="N681" s="203"/>
    </row>
    <row r="682" spans="14:14" ht="15.75" customHeight="1" x14ac:dyDescent="0.25">
      <c r="N682" s="203"/>
    </row>
    <row r="683" spans="14:14" ht="15.75" customHeight="1" x14ac:dyDescent="0.25">
      <c r="N683" s="203"/>
    </row>
    <row r="684" spans="14:14" ht="15.75" customHeight="1" x14ac:dyDescent="0.25">
      <c r="N684" s="203"/>
    </row>
    <row r="685" spans="14:14" ht="15.75" customHeight="1" x14ac:dyDescent="0.25">
      <c r="N685" s="203"/>
    </row>
    <row r="686" spans="14:14" ht="15.75" customHeight="1" x14ac:dyDescent="0.25">
      <c r="N686" s="203"/>
    </row>
    <row r="687" spans="14:14" ht="15.75" customHeight="1" x14ac:dyDescent="0.25">
      <c r="N687" s="203"/>
    </row>
    <row r="688" spans="14:14" ht="15.75" customHeight="1" x14ac:dyDescent="0.25">
      <c r="N688" s="203"/>
    </row>
    <row r="689" spans="14:14" ht="15.75" customHeight="1" x14ac:dyDescent="0.25">
      <c r="N689" s="203"/>
    </row>
    <row r="690" spans="14:14" ht="15.75" customHeight="1" x14ac:dyDescent="0.25">
      <c r="N690" s="203"/>
    </row>
    <row r="691" spans="14:14" ht="15.75" customHeight="1" x14ac:dyDescent="0.25">
      <c r="N691" s="203"/>
    </row>
    <row r="692" spans="14:14" ht="15.75" customHeight="1" x14ac:dyDescent="0.25">
      <c r="N692" s="203"/>
    </row>
    <row r="693" spans="14:14" ht="15.75" customHeight="1" x14ac:dyDescent="0.25">
      <c r="N693" s="203"/>
    </row>
    <row r="694" spans="14:14" ht="15.75" customHeight="1" x14ac:dyDescent="0.25">
      <c r="N694" s="203"/>
    </row>
    <row r="695" spans="14:14" ht="15.75" customHeight="1" x14ac:dyDescent="0.25">
      <c r="N695" s="203"/>
    </row>
    <row r="696" spans="14:14" ht="15.75" customHeight="1" x14ac:dyDescent="0.25">
      <c r="N696" s="203"/>
    </row>
    <row r="697" spans="14:14" ht="15.75" customHeight="1" x14ac:dyDescent="0.25">
      <c r="N697" s="203"/>
    </row>
    <row r="698" spans="14:14" ht="15.75" customHeight="1" x14ac:dyDescent="0.25">
      <c r="N698" s="203"/>
    </row>
    <row r="699" spans="14:14" ht="15.75" customHeight="1" x14ac:dyDescent="0.25">
      <c r="N699" s="203"/>
    </row>
    <row r="700" spans="14:14" ht="15.75" customHeight="1" x14ac:dyDescent="0.25">
      <c r="N700" s="203"/>
    </row>
    <row r="701" spans="14:14" ht="15.75" customHeight="1" x14ac:dyDescent="0.25">
      <c r="N701" s="203"/>
    </row>
    <row r="702" spans="14:14" ht="15.75" customHeight="1" x14ac:dyDescent="0.25">
      <c r="N702" s="203"/>
    </row>
    <row r="703" spans="14:14" ht="15.75" customHeight="1" x14ac:dyDescent="0.25">
      <c r="N703" s="203"/>
    </row>
    <row r="704" spans="14:14" ht="15.75" customHeight="1" x14ac:dyDescent="0.25">
      <c r="N704" s="203"/>
    </row>
    <row r="705" spans="14:14" ht="15.75" customHeight="1" x14ac:dyDescent="0.25">
      <c r="N705" s="203"/>
    </row>
    <row r="706" spans="14:14" ht="15.75" customHeight="1" x14ac:dyDescent="0.25">
      <c r="N706" s="203"/>
    </row>
    <row r="707" spans="14:14" ht="15.75" customHeight="1" x14ac:dyDescent="0.25">
      <c r="N707" s="203"/>
    </row>
    <row r="708" spans="14:14" ht="15.75" customHeight="1" x14ac:dyDescent="0.25">
      <c r="N708" s="203"/>
    </row>
    <row r="709" spans="14:14" ht="15.75" customHeight="1" x14ac:dyDescent="0.25">
      <c r="N709" s="203"/>
    </row>
    <row r="710" spans="14:14" ht="15.75" customHeight="1" x14ac:dyDescent="0.25">
      <c r="N710" s="203"/>
    </row>
    <row r="711" spans="14:14" ht="15.75" customHeight="1" x14ac:dyDescent="0.25">
      <c r="N711" s="203"/>
    </row>
    <row r="712" spans="14:14" ht="15.75" customHeight="1" x14ac:dyDescent="0.25">
      <c r="N712" s="203"/>
    </row>
    <row r="713" spans="14:14" ht="15.75" customHeight="1" x14ac:dyDescent="0.25">
      <c r="N713" s="203"/>
    </row>
    <row r="714" spans="14:14" ht="15.75" customHeight="1" x14ac:dyDescent="0.25">
      <c r="N714" s="203"/>
    </row>
    <row r="715" spans="14:14" ht="15.75" customHeight="1" x14ac:dyDescent="0.25">
      <c r="N715" s="203"/>
    </row>
    <row r="716" spans="14:14" ht="15.75" customHeight="1" x14ac:dyDescent="0.25">
      <c r="N716" s="203"/>
    </row>
    <row r="717" spans="14:14" ht="15.75" customHeight="1" x14ac:dyDescent="0.25">
      <c r="N717" s="203"/>
    </row>
    <row r="718" spans="14:14" ht="15.75" customHeight="1" x14ac:dyDescent="0.25">
      <c r="N718" s="203"/>
    </row>
    <row r="719" spans="14:14" ht="15.75" customHeight="1" x14ac:dyDescent="0.25">
      <c r="N719" s="203"/>
    </row>
    <row r="720" spans="14:14" ht="15.75" customHeight="1" x14ac:dyDescent="0.25">
      <c r="N720" s="203"/>
    </row>
    <row r="721" spans="14:14" ht="15.75" customHeight="1" x14ac:dyDescent="0.25">
      <c r="N721" s="203"/>
    </row>
    <row r="722" spans="14:14" ht="15.75" customHeight="1" x14ac:dyDescent="0.25">
      <c r="N722" s="203"/>
    </row>
    <row r="723" spans="14:14" ht="15.75" customHeight="1" x14ac:dyDescent="0.25">
      <c r="N723" s="203"/>
    </row>
    <row r="724" spans="14:14" ht="15.75" customHeight="1" x14ac:dyDescent="0.25">
      <c r="N724" s="203"/>
    </row>
    <row r="725" spans="14:14" ht="15.75" customHeight="1" x14ac:dyDescent="0.25">
      <c r="N725" s="203"/>
    </row>
    <row r="726" spans="14:14" ht="15.75" customHeight="1" x14ac:dyDescent="0.25">
      <c r="N726" s="203"/>
    </row>
    <row r="727" spans="14:14" ht="15.75" customHeight="1" x14ac:dyDescent="0.25">
      <c r="N727" s="203"/>
    </row>
    <row r="728" spans="14:14" ht="15.75" customHeight="1" x14ac:dyDescent="0.25">
      <c r="N728" s="203"/>
    </row>
    <row r="729" spans="14:14" ht="15.75" customHeight="1" x14ac:dyDescent="0.25">
      <c r="N729" s="203"/>
    </row>
    <row r="730" spans="14:14" ht="15.75" customHeight="1" x14ac:dyDescent="0.25">
      <c r="N730" s="203"/>
    </row>
    <row r="731" spans="14:14" ht="15.75" customHeight="1" x14ac:dyDescent="0.25">
      <c r="N731" s="203"/>
    </row>
    <row r="732" spans="14:14" ht="15.75" customHeight="1" x14ac:dyDescent="0.25">
      <c r="N732" s="203"/>
    </row>
    <row r="733" spans="14:14" ht="15.75" customHeight="1" x14ac:dyDescent="0.25">
      <c r="N733" s="203"/>
    </row>
    <row r="734" spans="14:14" ht="15.75" customHeight="1" x14ac:dyDescent="0.25">
      <c r="N734" s="203"/>
    </row>
    <row r="735" spans="14:14" ht="15.75" customHeight="1" x14ac:dyDescent="0.25">
      <c r="N735" s="203"/>
    </row>
    <row r="736" spans="14:14" ht="15.75" customHeight="1" x14ac:dyDescent="0.25">
      <c r="N736" s="203"/>
    </row>
    <row r="737" spans="14:14" ht="15.75" customHeight="1" x14ac:dyDescent="0.25">
      <c r="N737" s="203"/>
    </row>
    <row r="738" spans="14:14" ht="15.75" customHeight="1" x14ac:dyDescent="0.25">
      <c r="N738" s="203"/>
    </row>
    <row r="739" spans="14:14" ht="15.75" customHeight="1" x14ac:dyDescent="0.25">
      <c r="N739" s="203"/>
    </row>
    <row r="740" spans="14:14" ht="15.75" customHeight="1" x14ac:dyDescent="0.25">
      <c r="N740" s="203"/>
    </row>
    <row r="741" spans="14:14" ht="15.75" customHeight="1" x14ac:dyDescent="0.25">
      <c r="N741" s="203"/>
    </row>
    <row r="742" spans="14:14" ht="15.75" customHeight="1" x14ac:dyDescent="0.25">
      <c r="N742" s="203"/>
    </row>
    <row r="743" spans="14:14" ht="15.75" customHeight="1" x14ac:dyDescent="0.25">
      <c r="N743" s="203"/>
    </row>
    <row r="744" spans="14:14" ht="15.75" customHeight="1" x14ac:dyDescent="0.25">
      <c r="N744" s="203"/>
    </row>
    <row r="745" spans="14:14" ht="15.75" customHeight="1" x14ac:dyDescent="0.25">
      <c r="N745" s="203"/>
    </row>
    <row r="746" spans="14:14" ht="15.75" customHeight="1" x14ac:dyDescent="0.25">
      <c r="N746" s="203"/>
    </row>
    <row r="747" spans="14:14" ht="15.75" customHeight="1" x14ac:dyDescent="0.25">
      <c r="N747" s="203"/>
    </row>
    <row r="748" spans="14:14" ht="15.75" customHeight="1" x14ac:dyDescent="0.25">
      <c r="N748" s="203"/>
    </row>
    <row r="749" spans="14:14" ht="15.75" customHeight="1" x14ac:dyDescent="0.25">
      <c r="N749" s="203"/>
    </row>
    <row r="750" spans="14:14" ht="15.75" customHeight="1" x14ac:dyDescent="0.25">
      <c r="N750" s="203"/>
    </row>
    <row r="751" spans="14:14" ht="15.75" customHeight="1" x14ac:dyDescent="0.25">
      <c r="N751" s="203"/>
    </row>
    <row r="752" spans="14:14" ht="15.75" customHeight="1" x14ac:dyDescent="0.25">
      <c r="N752" s="203"/>
    </row>
    <row r="753" spans="14:14" ht="15.75" customHeight="1" x14ac:dyDescent="0.25">
      <c r="N753" s="203"/>
    </row>
    <row r="754" spans="14:14" ht="15.75" customHeight="1" x14ac:dyDescent="0.25">
      <c r="N754" s="203"/>
    </row>
    <row r="755" spans="14:14" ht="15.75" customHeight="1" x14ac:dyDescent="0.25">
      <c r="N755" s="203"/>
    </row>
    <row r="756" spans="14:14" ht="15.75" customHeight="1" x14ac:dyDescent="0.25">
      <c r="N756" s="203"/>
    </row>
    <row r="757" spans="14:14" ht="15.75" customHeight="1" x14ac:dyDescent="0.25">
      <c r="N757" s="203"/>
    </row>
    <row r="758" spans="14:14" ht="15.75" customHeight="1" x14ac:dyDescent="0.25">
      <c r="N758" s="203"/>
    </row>
    <row r="759" spans="14:14" ht="15.75" customHeight="1" x14ac:dyDescent="0.25">
      <c r="N759" s="203"/>
    </row>
    <row r="760" spans="14:14" ht="15.75" customHeight="1" x14ac:dyDescent="0.25">
      <c r="N760" s="203"/>
    </row>
    <row r="761" spans="14:14" ht="15.75" customHeight="1" x14ac:dyDescent="0.25">
      <c r="N761" s="203"/>
    </row>
    <row r="762" spans="14:14" ht="15.75" customHeight="1" x14ac:dyDescent="0.25">
      <c r="N762" s="203"/>
    </row>
    <row r="763" spans="14:14" ht="15.75" customHeight="1" x14ac:dyDescent="0.25">
      <c r="N763" s="203"/>
    </row>
    <row r="764" spans="14:14" ht="15.75" customHeight="1" x14ac:dyDescent="0.25">
      <c r="N764" s="203"/>
    </row>
    <row r="765" spans="14:14" ht="15.75" customHeight="1" x14ac:dyDescent="0.25">
      <c r="N765" s="203"/>
    </row>
    <row r="766" spans="14:14" ht="15.75" customHeight="1" x14ac:dyDescent="0.25">
      <c r="N766" s="203"/>
    </row>
    <row r="767" spans="14:14" ht="15.75" customHeight="1" x14ac:dyDescent="0.25">
      <c r="N767" s="203"/>
    </row>
    <row r="768" spans="14:14" ht="15.75" customHeight="1" x14ac:dyDescent="0.25">
      <c r="N768" s="203"/>
    </row>
    <row r="769" spans="14:14" ht="15.75" customHeight="1" x14ac:dyDescent="0.25">
      <c r="N769" s="203"/>
    </row>
    <row r="770" spans="14:14" ht="15.75" customHeight="1" x14ac:dyDescent="0.25">
      <c r="N770" s="203"/>
    </row>
    <row r="771" spans="14:14" ht="15.75" customHeight="1" x14ac:dyDescent="0.25">
      <c r="N771" s="203"/>
    </row>
    <row r="772" spans="14:14" ht="15.75" customHeight="1" x14ac:dyDescent="0.25">
      <c r="N772" s="203"/>
    </row>
    <row r="773" spans="14:14" ht="15.75" customHeight="1" x14ac:dyDescent="0.25">
      <c r="N773" s="203"/>
    </row>
    <row r="774" spans="14:14" ht="15.75" customHeight="1" x14ac:dyDescent="0.25">
      <c r="N774" s="203"/>
    </row>
    <row r="775" spans="14:14" ht="15.75" customHeight="1" x14ac:dyDescent="0.25">
      <c r="N775" s="203"/>
    </row>
    <row r="776" spans="14:14" ht="15.75" customHeight="1" x14ac:dyDescent="0.25">
      <c r="N776" s="203"/>
    </row>
    <row r="777" spans="14:14" ht="15.75" customHeight="1" x14ac:dyDescent="0.25">
      <c r="N777" s="203"/>
    </row>
    <row r="778" spans="14:14" ht="15.75" customHeight="1" x14ac:dyDescent="0.25">
      <c r="N778" s="203"/>
    </row>
    <row r="779" spans="14:14" ht="15.75" customHeight="1" x14ac:dyDescent="0.25">
      <c r="N779" s="203"/>
    </row>
    <row r="780" spans="14:14" ht="15.75" customHeight="1" x14ac:dyDescent="0.25">
      <c r="N780" s="203"/>
    </row>
    <row r="781" spans="14:14" ht="15.75" customHeight="1" x14ac:dyDescent="0.25">
      <c r="N781" s="203"/>
    </row>
    <row r="782" spans="14:14" ht="15.75" customHeight="1" x14ac:dyDescent="0.25">
      <c r="N782" s="203"/>
    </row>
    <row r="783" spans="14:14" ht="15.75" customHeight="1" x14ac:dyDescent="0.25">
      <c r="N783" s="203"/>
    </row>
    <row r="784" spans="14:14" ht="15.75" customHeight="1" x14ac:dyDescent="0.25">
      <c r="N784" s="203"/>
    </row>
    <row r="785" spans="14:14" ht="15.75" customHeight="1" x14ac:dyDescent="0.25">
      <c r="N785" s="203"/>
    </row>
    <row r="786" spans="14:14" ht="15.75" customHeight="1" x14ac:dyDescent="0.25">
      <c r="N786" s="203"/>
    </row>
    <row r="787" spans="14:14" ht="15.75" customHeight="1" x14ac:dyDescent="0.25">
      <c r="N787" s="203"/>
    </row>
    <row r="788" spans="14:14" ht="15.75" customHeight="1" x14ac:dyDescent="0.25">
      <c r="N788" s="203"/>
    </row>
    <row r="789" spans="14:14" ht="15.75" customHeight="1" x14ac:dyDescent="0.25">
      <c r="N789" s="203"/>
    </row>
    <row r="790" spans="14:14" ht="15.75" customHeight="1" x14ac:dyDescent="0.25">
      <c r="N790" s="203"/>
    </row>
    <row r="791" spans="14:14" ht="15.75" customHeight="1" x14ac:dyDescent="0.25">
      <c r="N791" s="203"/>
    </row>
    <row r="792" spans="14:14" ht="15.75" customHeight="1" x14ac:dyDescent="0.25">
      <c r="N792" s="203"/>
    </row>
    <row r="793" spans="14:14" ht="15.75" customHeight="1" x14ac:dyDescent="0.25">
      <c r="N793" s="203"/>
    </row>
    <row r="794" spans="14:14" ht="15.75" customHeight="1" x14ac:dyDescent="0.25">
      <c r="N794" s="203"/>
    </row>
    <row r="795" spans="14:14" ht="15.75" customHeight="1" x14ac:dyDescent="0.25">
      <c r="N795" s="203"/>
    </row>
    <row r="796" spans="14:14" ht="15.75" customHeight="1" x14ac:dyDescent="0.25">
      <c r="N796" s="203"/>
    </row>
    <row r="797" spans="14:14" ht="15.75" customHeight="1" x14ac:dyDescent="0.25">
      <c r="N797" s="203"/>
    </row>
    <row r="798" spans="14:14" ht="15.75" customHeight="1" x14ac:dyDescent="0.25">
      <c r="N798" s="203"/>
    </row>
    <row r="799" spans="14:14" ht="15.75" customHeight="1" x14ac:dyDescent="0.25">
      <c r="N799" s="203"/>
    </row>
    <row r="800" spans="14:14" ht="15.75" customHeight="1" x14ac:dyDescent="0.25">
      <c r="N800" s="203"/>
    </row>
    <row r="801" spans="14:14" ht="15.75" customHeight="1" x14ac:dyDescent="0.25">
      <c r="N801" s="203"/>
    </row>
    <row r="802" spans="14:14" ht="15.75" customHeight="1" x14ac:dyDescent="0.25">
      <c r="N802" s="203"/>
    </row>
    <row r="803" spans="14:14" ht="15.75" customHeight="1" x14ac:dyDescent="0.25">
      <c r="N803" s="203"/>
    </row>
    <row r="804" spans="14:14" ht="15.75" customHeight="1" x14ac:dyDescent="0.25">
      <c r="N804" s="203"/>
    </row>
    <row r="805" spans="14:14" ht="15.75" customHeight="1" x14ac:dyDescent="0.25">
      <c r="N805" s="203"/>
    </row>
    <row r="806" spans="14:14" ht="15.75" customHeight="1" x14ac:dyDescent="0.25">
      <c r="N806" s="203"/>
    </row>
    <row r="807" spans="14:14" ht="15.75" customHeight="1" x14ac:dyDescent="0.25">
      <c r="N807" s="203"/>
    </row>
    <row r="808" spans="14:14" ht="15.75" customHeight="1" x14ac:dyDescent="0.25">
      <c r="N808" s="203"/>
    </row>
    <row r="809" spans="14:14" ht="15.75" customHeight="1" x14ac:dyDescent="0.25">
      <c r="N809" s="203"/>
    </row>
    <row r="810" spans="14:14" ht="15.75" customHeight="1" x14ac:dyDescent="0.25">
      <c r="N810" s="203"/>
    </row>
    <row r="811" spans="14:14" ht="15.75" customHeight="1" x14ac:dyDescent="0.25">
      <c r="N811" s="203"/>
    </row>
    <row r="812" spans="14:14" ht="15.75" customHeight="1" x14ac:dyDescent="0.25">
      <c r="N812" s="203"/>
    </row>
    <row r="813" spans="14:14" ht="15.75" customHeight="1" x14ac:dyDescent="0.25">
      <c r="N813" s="203"/>
    </row>
    <row r="814" spans="14:14" ht="15.75" customHeight="1" x14ac:dyDescent="0.25">
      <c r="N814" s="203"/>
    </row>
    <row r="815" spans="14:14" ht="15.75" customHeight="1" x14ac:dyDescent="0.25">
      <c r="N815" s="203"/>
    </row>
    <row r="816" spans="14:14" ht="15.75" customHeight="1" x14ac:dyDescent="0.25">
      <c r="N816" s="203"/>
    </row>
    <row r="817" spans="14:14" ht="15.75" customHeight="1" x14ac:dyDescent="0.25">
      <c r="N817" s="203"/>
    </row>
    <row r="818" spans="14:14" ht="15.75" customHeight="1" x14ac:dyDescent="0.25">
      <c r="N818" s="203"/>
    </row>
    <row r="819" spans="14:14" ht="15.75" customHeight="1" x14ac:dyDescent="0.25">
      <c r="N819" s="203"/>
    </row>
    <row r="820" spans="14:14" ht="15.75" customHeight="1" x14ac:dyDescent="0.25">
      <c r="N820" s="203"/>
    </row>
    <row r="821" spans="14:14" ht="15.75" customHeight="1" x14ac:dyDescent="0.25">
      <c r="N821" s="203"/>
    </row>
    <row r="822" spans="14:14" ht="15.75" customHeight="1" x14ac:dyDescent="0.25">
      <c r="N822" s="203"/>
    </row>
    <row r="823" spans="14:14" ht="15.75" customHeight="1" x14ac:dyDescent="0.25">
      <c r="N823" s="203"/>
    </row>
    <row r="824" spans="14:14" ht="15.75" customHeight="1" x14ac:dyDescent="0.25">
      <c r="N824" s="203"/>
    </row>
    <row r="825" spans="14:14" ht="15.75" customHeight="1" x14ac:dyDescent="0.25">
      <c r="N825" s="203"/>
    </row>
    <row r="826" spans="14:14" ht="15.75" customHeight="1" x14ac:dyDescent="0.25">
      <c r="N826" s="203"/>
    </row>
    <row r="827" spans="14:14" ht="15.75" customHeight="1" x14ac:dyDescent="0.25">
      <c r="N827" s="203"/>
    </row>
    <row r="828" spans="14:14" ht="15.75" customHeight="1" x14ac:dyDescent="0.25">
      <c r="N828" s="203"/>
    </row>
    <row r="829" spans="14:14" ht="15.75" customHeight="1" x14ac:dyDescent="0.25">
      <c r="N829" s="203"/>
    </row>
    <row r="830" spans="14:14" ht="15.75" customHeight="1" x14ac:dyDescent="0.25">
      <c r="N830" s="203"/>
    </row>
    <row r="831" spans="14:14" ht="15.75" customHeight="1" x14ac:dyDescent="0.25">
      <c r="N831" s="203"/>
    </row>
    <row r="832" spans="14:14" ht="15.75" customHeight="1" x14ac:dyDescent="0.25">
      <c r="N832" s="203"/>
    </row>
    <row r="833" spans="14:14" ht="15.75" customHeight="1" x14ac:dyDescent="0.25">
      <c r="N833" s="203"/>
    </row>
    <row r="834" spans="14:14" ht="15.75" customHeight="1" x14ac:dyDescent="0.25">
      <c r="N834" s="203"/>
    </row>
    <row r="835" spans="14:14" ht="15.75" customHeight="1" x14ac:dyDescent="0.25">
      <c r="N835" s="203"/>
    </row>
    <row r="836" spans="14:14" ht="15.75" customHeight="1" x14ac:dyDescent="0.25">
      <c r="N836" s="203"/>
    </row>
    <row r="837" spans="14:14" ht="15.75" customHeight="1" x14ac:dyDescent="0.25">
      <c r="N837" s="203"/>
    </row>
    <row r="838" spans="14:14" ht="15.75" customHeight="1" x14ac:dyDescent="0.25">
      <c r="N838" s="203"/>
    </row>
    <row r="839" spans="14:14" ht="15.75" customHeight="1" x14ac:dyDescent="0.25">
      <c r="N839" s="203"/>
    </row>
    <row r="840" spans="14:14" ht="15.75" customHeight="1" x14ac:dyDescent="0.25">
      <c r="N840" s="203"/>
    </row>
    <row r="841" spans="14:14" ht="15.75" customHeight="1" x14ac:dyDescent="0.25">
      <c r="N841" s="203"/>
    </row>
    <row r="842" spans="14:14" ht="15.75" customHeight="1" x14ac:dyDescent="0.25">
      <c r="N842" s="203"/>
    </row>
    <row r="843" spans="14:14" ht="15.75" customHeight="1" x14ac:dyDescent="0.25">
      <c r="N843" s="203"/>
    </row>
    <row r="844" spans="14:14" ht="15.75" customHeight="1" x14ac:dyDescent="0.25">
      <c r="N844" s="203"/>
    </row>
    <row r="845" spans="14:14" ht="15.75" customHeight="1" x14ac:dyDescent="0.25">
      <c r="N845" s="203"/>
    </row>
    <row r="846" spans="14:14" ht="15.75" customHeight="1" x14ac:dyDescent="0.25">
      <c r="N846" s="203"/>
    </row>
    <row r="847" spans="14:14" ht="15.75" customHeight="1" x14ac:dyDescent="0.25">
      <c r="N847" s="203"/>
    </row>
    <row r="848" spans="14:14" ht="15.75" customHeight="1" x14ac:dyDescent="0.25">
      <c r="N848" s="203"/>
    </row>
    <row r="849" spans="14:14" ht="15.75" customHeight="1" x14ac:dyDescent="0.25">
      <c r="N849" s="203"/>
    </row>
    <row r="850" spans="14:14" ht="15.75" customHeight="1" x14ac:dyDescent="0.25">
      <c r="N850" s="203"/>
    </row>
    <row r="851" spans="14:14" ht="15.75" customHeight="1" x14ac:dyDescent="0.25">
      <c r="N851" s="203"/>
    </row>
    <row r="852" spans="14:14" ht="15.75" customHeight="1" x14ac:dyDescent="0.25">
      <c r="N852" s="203"/>
    </row>
    <row r="853" spans="14:14" ht="15.75" customHeight="1" x14ac:dyDescent="0.25">
      <c r="N853" s="203"/>
    </row>
    <row r="854" spans="14:14" ht="15.75" customHeight="1" x14ac:dyDescent="0.25">
      <c r="N854" s="203"/>
    </row>
    <row r="855" spans="14:14" ht="15.75" customHeight="1" x14ac:dyDescent="0.25">
      <c r="N855" s="203"/>
    </row>
    <row r="856" spans="14:14" ht="15.75" customHeight="1" x14ac:dyDescent="0.25">
      <c r="N856" s="203"/>
    </row>
    <row r="857" spans="14:14" ht="15.75" customHeight="1" x14ac:dyDescent="0.25">
      <c r="N857" s="203"/>
    </row>
    <row r="858" spans="14:14" ht="15.75" customHeight="1" x14ac:dyDescent="0.25">
      <c r="N858" s="203"/>
    </row>
    <row r="859" spans="14:14" ht="15.75" customHeight="1" x14ac:dyDescent="0.25">
      <c r="N859" s="203"/>
    </row>
    <row r="860" spans="14:14" ht="15.75" customHeight="1" x14ac:dyDescent="0.25">
      <c r="N860" s="203"/>
    </row>
    <row r="861" spans="14:14" ht="15.75" customHeight="1" x14ac:dyDescent="0.25">
      <c r="N861" s="203"/>
    </row>
    <row r="862" spans="14:14" ht="15.75" customHeight="1" x14ac:dyDescent="0.25">
      <c r="N862" s="203"/>
    </row>
    <row r="863" spans="14:14" ht="15.75" customHeight="1" x14ac:dyDescent="0.25">
      <c r="N863" s="203"/>
    </row>
    <row r="864" spans="14:14" ht="15.75" customHeight="1" x14ac:dyDescent="0.25">
      <c r="N864" s="203"/>
    </row>
    <row r="865" spans="14:14" ht="15.75" customHeight="1" x14ac:dyDescent="0.25">
      <c r="N865" s="203"/>
    </row>
    <row r="866" spans="14:14" ht="15.75" customHeight="1" x14ac:dyDescent="0.25">
      <c r="N866" s="203"/>
    </row>
    <row r="867" spans="14:14" ht="15.75" customHeight="1" x14ac:dyDescent="0.25">
      <c r="N867" s="203"/>
    </row>
    <row r="868" spans="14:14" ht="15.75" customHeight="1" x14ac:dyDescent="0.25">
      <c r="N868" s="203"/>
    </row>
    <row r="869" spans="14:14" ht="15.75" customHeight="1" x14ac:dyDescent="0.25">
      <c r="N869" s="203"/>
    </row>
    <row r="870" spans="14:14" ht="15.75" customHeight="1" x14ac:dyDescent="0.25">
      <c r="N870" s="203"/>
    </row>
    <row r="871" spans="14:14" ht="15.75" customHeight="1" x14ac:dyDescent="0.25">
      <c r="N871" s="203"/>
    </row>
    <row r="872" spans="14:14" ht="15.75" customHeight="1" x14ac:dyDescent="0.25">
      <c r="N872" s="203"/>
    </row>
    <row r="873" spans="14:14" ht="15.75" customHeight="1" x14ac:dyDescent="0.25">
      <c r="N873" s="203"/>
    </row>
    <row r="874" spans="14:14" ht="15.75" customHeight="1" x14ac:dyDescent="0.25">
      <c r="N874" s="203"/>
    </row>
    <row r="875" spans="14:14" ht="15.75" customHeight="1" x14ac:dyDescent="0.25">
      <c r="N875" s="203"/>
    </row>
    <row r="876" spans="14:14" ht="15.75" customHeight="1" x14ac:dyDescent="0.25">
      <c r="N876" s="203"/>
    </row>
    <row r="877" spans="14:14" ht="15.75" customHeight="1" x14ac:dyDescent="0.25">
      <c r="N877" s="203"/>
    </row>
    <row r="878" spans="14:14" ht="15.75" customHeight="1" x14ac:dyDescent="0.25">
      <c r="N878" s="203"/>
    </row>
    <row r="879" spans="14:14" ht="15.75" customHeight="1" x14ac:dyDescent="0.25">
      <c r="N879" s="203"/>
    </row>
    <row r="880" spans="14:14" ht="15.75" customHeight="1" x14ac:dyDescent="0.25">
      <c r="N880" s="203"/>
    </row>
    <row r="881" spans="14:14" ht="15.75" customHeight="1" x14ac:dyDescent="0.25">
      <c r="N881" s="203"/>
    </row>
    <row r="882" spans="14:14" ht="15.75" customHeight="1" x14ac:dyDescent="0.25">
      <c r="N882" s="203"/>
    </row>
    <row r="883" spans="14:14" ht="15.75" customHeight="1" x14ac:dyDescent="0.25">
      <c r="N883" s="203"/>
    </row>
    <row r="884" spans="14:14" ht="15.75" customHeight="1" x14ac:dyDescent="0.25">
      <c r="N884" s="203"/>
    </row>
    <row r="885" spans="14:14" ht="15.75" customHeight="1" x14ac:dyDescent="0.25">
      <c r="N885" s="203"/>
    </row>
    <row r="886" spans="14:14" ht="15.75" customHeight="1" x14ac:dyDescent="0.25">
      <c r="N886" s="203"/>
    </row>
    <row r="887" spans="14:14" ht="15.75" customHeight="1" x14ac:dyDescent="0.25">
      <c r="N887" s="203"/>
    </row>
    <row r="888" spans="14:14" ht="15.75" customHeight="1" x14ac:dyDescent="0.25">
      <c r="N888" s="203"/>
    </row>
    <row r="889" spans="14:14" ht="15.75" customHeight="1" x14ac:dyDescent="0.25">
      <c r="N889" s="203"/>
    </row>
    <row r="890" spans="14:14" ht="15.75" customHeight="1" x14ac:dyDescent="0.25">
      <c r="N890" s="203"/>
    </row>
    <row r="891" spans="14:14" ht="15.75" customHeight="1" x14ac:dyDescent="0.25">
      <c r="N891" s="203"/>
    </row>
    <row r="892" spans="14:14" ht="15.75" customHeight="1" x14ac:dyDescent="0.25">
      <c r="N892" s="203"/>
    </row>
    <row r="893" spans="14:14" ht="15.75" customHeight="1" x14ac:dyDescent="0.25">
      <c r="N893" s="203"/>
    </row>
    <row r="894" spans="14:14" ht="15.75" customHeight="1" x14ac:dyDescent="0.25">
      <c r="N894" s="203"/>
    </row>
    <row r="895" spans="14:14" ht="15.75" customHeight="1" x14ac:dyDescent="0.25">
      <c r="N895" s="203"/>
    </row>
    <row r="896" spans="14:14" ht="15.75" customHeight="1" x14ac:dyDescent="0.25">
      <c r="N896" s="203"/>
    </row>
    <row r="897" spans="14:14" ht="15.75" customHeight="1" x14ac:dyDescent="0.25">
      <c r="N897" s="203"/>
    </row>
    <row r="898" spans="14:14" ht="15.75" customHeight="1" x14ac:dyDescent="0.25">
      <c r="N898" s="203"/>
    </row>
    <row r="899" spans="14:14" ht="15.75" customHeight="1" x14ac:dyDescent="0.25">
      <c r="N899" s="203"/>
    </row>
    <row r="900" spans="14:14" ht="15.75" customHeight="1" x14ac:dyDescent="0.25">
      <c r="N900" s="203"/>
    </row>
    <row r="901" spans="14:14" ht="15.75" customHeight="1" x14ac:dyDescent="0.25">
      <c r="N901" s="203"/>
    </row>
    <row r="902" spans="14:14" ht="15.75" customHeight="1" x14ac:dyDescent="0.25">
      <c r="N902" s="203"/>
    </row>
    <row r="903" spans="14:14" ht="15.75" customHeight="1" x14ac:dyDescent="0.25">
      <c r="N903" s="203"/>
    </row>
    <row r="904" spans="14:14" ht="15.75" customHeight="1" x14ac:dyDescent="0.25">
      <c r="N904" s="203"/>
    </row>
    <row r="905" spans="14:14" ht="15.75" customHeight="1" x14ac:dyDescent="0.25">
      <c r="N905" s="203"/>
    </row>
    <row r="906" spans="14:14" ht="15.75" customHeight="1" x14ac:dyDescent="0.25">
      <c r="N906" s="203"/>
    </row>
    <row r="907" spans="14:14" ht="15.75" customHeight="1" x14ac:dyDescent="0.25">
      <c r="N907" s="203"/>
    </row>
    <row r="908" spans="14:14" ht="15.75" customHeight="1" x14ac:dyDescent="0.25">
      <c r="N908" s="203"/>
    </row>
    <row r="909" spans="14:14" ht="15.75" customHeight="1" x14ac:dyDescent="0.25">
      <c r="N909" s="203"/>
    </row>
    <row r="910" spans="14:14" ht="15.75" customHeight="1" x14ac:dyDescent="0.25">
      <c r="N910" s="203"/>
    </row>
    <row r="911" spans="14:14" ht="15.75" customHeight="1" x14ac:dyDescent="0.25">
      <c r="N911" s="203"/>
    </row>
    <row r="912" spans="14:14" ht="15.75" customHeight="1" x14ac:dyDescent="0.25">
      <c r="N912" s="203"/>
    </row>
    <row r="913" spans="14:14" ht="15.75" customHeight="1" x14ac:dyDescent="0.25">
      <c r="N913" s="203"/>
    </row>
    <row r="914" spans="14:14" ht="15.75" customHeight="1" x14ac:dyDescent="0.25">
      <c r="N914" s="203"/>
    </row>
    <row r="915" spans="14:14" ht="15.75" customHeight="1" x14ac:dyDescent="0.25">
      <c r="N915" s="203"/>
    </row>
    <row r="916" spans="14:14" ht="15.75" customHeight="1" x14ac:dyDescent="0.25">
      <c r="N916" s="203"/>
    </row>
    <row r="917" spans="14:14" ht="15.75" customHeight="1" x14ac:dyDescent="0.25">
      <c r="N917" s="203"/>
    </row>
    <row r="918" spans="14:14" ht="15.75" customHeight="1" x14ac:dyDescent="0.25">
      <c r="N918" s="203"/>
    </row>
    <row r="919" spans="14:14" ht="15.75" customHeight="1" x14ac:dyDescent="0.25">
      <c r="N919" s="203"/>
    </row>
    <row r="920" spans="14:14" ht="15.75" customHeight="1" x14ac:dyDescent="0.25">
      <c r="N920" s="203"/>
    </row>
    <row r="921" spans="14:14" ht="15.75" customHeight="1" x14ac:dyDescent="0.25">
      <c r="N921" s="203"/>
    </row>
    <row r="922" spans="14:14" ht="15.75" customHeight="1" x14ac:dyDescent="0.25">
      <c r="N922" s="203"/>
    </row>
    <row r="923" spans="14:14" ht="15.75" customHeight="1" x14ac:dyDescent="0.25">
      <c r="N923" s="203"/>
    </row>
    <row r="924" spans="14:14" ht="15.75" customHeight="1" x14ac:dyDescent="0.25">
      <c r="N924" s="203"/>
    </row>
    <row r="925" spans="14:14" ht="15.75" customHeight="1" x14ac:dyDescent="0.25">
      <c r="N925" s="203"/>
    </row>
    <row r="926" spans="14:14" ht="15.75" customHeight="1" x14ac:dyDescent="0.25">
      <c r="N926" s="203"/>
    </row>
    <row r="927" spans="14:14" ht="15.75" customHeight="1" x14ac:dyDescent="0.25">
      <c r="N927" s="203"/>
    </row>
    <row r="928" spans="14:14" ht="15.75" customHeight="1" x14ac:dyDescent="0.25">
      <c r="N928" s="203"/>
    </row>
    <row r="929" spans="14:14" ht="15.75" customHeight="1" x14ac:dyDescent="0.25">
      <c r="N929" s="203"/>
    </row>
    <row r="930" spans="14:14" ht="15.75" customHeight="1" x14ac:dyDescent="0.25">
      <c r="N930" s="203"/>
    </row>
    <row r="931" spans="14:14" ht="15.75" customHeight="1" x14ac:dyDescent="0.25">
      <c r="N931" s="203"/>
    </row>
    <row r="932" spans="14:14" ht="15.75" customHeight="1" x14ac:dyDescent="0.25">
      <c r="N932" s="203"/>
    </row>
    <row r="933" spans="14:14" ht="15.75" customHeight="1" x14ac:dyDescent="0.25">
      <c r="N933" s="203"/>
    </row>
    <row r="934" spans="14:14" ht="15.75" customHeight="1" x14ac:dyDescent="0.25">
      <c r="N934" s="203"/>
    </row>
    <row r="935" spans="14:14" ht="15.75" customHeight="1" x14ac:dyDescent="0.25">
      <c r="N935" s="203"/>
    </row>
    <row r="936" spans="14:14" ht="15.75" customHeight="1" x14ac:dyDescent="0.25">
      <c r="N936" s="203"/>
    </row>
    <row r="937" spans="14:14" ht="15.75" customHeight="1" x14ac:dyDescent="0.25">
      <c r="N937" s="203"/>
    </row>
    <row r="938" spans="14:14" ht="15.75" customHeight="1" x14ac:dyDescent="0.25">
      <c r="N938" s="203"/>
    </row>
    <row r="939" spans="14:14" ht="15.75" customHeight="1" x14ac:dyDescent="0.25">
      <c r="N939" s="203"/>
    </row>
    <row r="940" spans="14:14" ht="15.75" customHeight="1" x14ac:dyDescent="0.25">
      <c r="N940" s="203"/>
    </row>
    <row r="941" spans="14:14" ht="15.75" customHeight="1" x14ac:dyDescent="0.25">
      <c r="N941" s="203"/>
    </row>
    <row r="942" spans="14:14" ht="15.75" customHeight="1" x14ac:dyDescent="0.25">
      <c r="N942" s="203"/>
    </row>
    <row r="943" spans="14:14" ht="15.75" customHeight="1" x14ac:dyDescent="0.25">
      <c r="N943" s="203"/>
    </row>
    <row r="944" spans="14:14" ht="15.75" customHeight="1" x14ac:dyDescent="0.25">
      <c r="N944" s="203"/>
    </row>
    <row r="945" spans="14:14" ht="15.75" customHeight="1" x14ac:dyDescent="0.25">
      <c r="N945" s="203"/>
    </row>
    <row r="946" spans="14:14" ht="15.75" customHeight="1" x14ac:dyDescent="0.25">
      <c r="N946" s="203"/>
    </row>
    <row r="947" spans="14:14" ht="15.75" customHeight="1" x14ac:dyDescent="0.25">
      <c r="N947" s="203"/>
    </row>
    <row r="948" spans="14:14" ht="15.75" customHeight="1" x14ac:dyDescent="0.25">
      <c r="N948" s="203"/>
    </row>
    <row r="949" spans="14:14" ht="15.75" customHeight="1" x14ac:dyDescent="0.25">
      <c r="N949" s="203"/>
    </row>
    <row r="950" spans="14:14" ht="15.75" customHeight="1" x14ac:dyDescent="0.25">
      <c r="N950" s="203"/>
    </row>
    <row r="951" spans="14:14" ht="15.75" customHeight="1" x14ac:dyDescent="0.25">
      <c r="N951" s="203"/>
    </row>
    <row r="952" spans="14:14" ht="15.75" customHeight="1" x14ac:dyDescent="0.25">
      <c r="N952" s="203"/>
    </row>
    <row r="953" spans="14:14" ht="15.75" customHeight="1" x14ac:dyDescent="0.25">
      <c r="N953" s="203"/>
    </row>
    <row r="954" spans="14:14" ht="15.75" customHeight="1" x14ac:dyDescent="0.25">
      <c r="N954" s="203"/>
    </row>
    <row r="955" spans="14:14" ht="15.75" customHeight="1" x14ac:dyDescent="0.25">
      <c r="N955" s="203"/>
    </row>
    <row r="956" spans="14:14" ht="15.75" customHeight="1" x14ac:dyDescent="0.25">
      <c r="N956" s="203"/>
    </row>
    <row r="957" spans="14:14" ht="15.75" customHeight="1" x14ac:dyDescent="0.25">
      <c r="N957" s="203"/>
    </row>
    <row r="958" spans="14:14" ht="15.75" customHeight="1" x14ac:dyDescent="0.25">
      <c r="N958" s="203"/>
    </row>
    <row r="959" spans="14:14" ht="15.75" customHeight="1" x14ac:dyDescent="0.25">
      <c r="N959" s="203"/>
    </row>
    <row r="960" spans="14:14" ht="15.75" customHeight="1" x14ac:dyDescent="0.25">
      <c r="N960" s="203"/>
    </row>
    <row r="961" spans="14:14" ht="15.75" customHeight="1" x14ac:dyDescent="0.25">
      <c r="N961" s="203"/>
    </row>
    <row r="962" spans="14:14" ht="15.75" customHeight="1" x14ac:dyDescent="0.25">
      <c r="N962" s="203"/>
    </row>
    <row r="963" spans="14:14" ht="15.75" customHeight="1" x14ac:dyDescent="0.25">
      <c r="N963" s="203"/>
    </row>
    <row r="964" spans="14:14" ht="15.75" customHeight="1" x14ac:dyDescent="0.25">
      <c r="N964" s="203"/>
    </row>
    <row r="965" spans="14:14" ht="15.75" customHeight="1" x14ac:dyDescent="0.25">
      <c r="N965" s="203"/>
    </row>
    <row r="966" spans="14:14" ht="15.75" customHeight="1" x14ac:dyDescent="0.25">
      <c r="N966" s="203"/>
    </row>
    <row r="967" spans="14:14" ht="15.75" customHeight="1" x14ac:dyDescent="0.25">
      <c r="N967" s="203"/>
    </row>
    <row r="968" spans="14:14" ht="15.75" customHeight="1" x14ac:dyDescent="0.25">
      <c r="N968" s="203"/>
    </row>
    <row r="969" spans="14:14" ht="15.75" customHeight="1" x14ac:dyDescent="0.25">
      <c r="N969" s="203"/>
    </row>
    <row r="970" spans="14:14" ht="15.75" customHeight="1" x14ac:dyDescent="0.25">
      <c r="N970" s="203"/>
    </row>
    <row r="971" spans="14:14" ht="15.75" customHeight="1" x14ac:dyDescent="0.25">
      <c r="N971" s="203"/>
    </row>
    <row r="972" spans="14:14" ht="15.75" customHeight="1" x14ac:dyDescent="0.25">
      <c r="N972" s="203"/>
    </row>
    <row r="973" spans="14:14" ht="15.75" customHeight="1" x14ac:dyDescent="0.25">
      <c r="N973" s="203"/>
    </row>
    <row r="974" spans="14:14" ht="15.75" customHeight="1" x14ac:dyDescent="0.25">
      <c r="N974" s="203"/>
    </row>
    <row r="975" spans="14:14" ht="15.75" customHeight="1" x14ac:dyDescent="0.25">
      <c r="N975" s="203"/>
    </row>
    <row r="976" spans="14:14" ht="15.75" customHeight="1" x14ac:dyDescent="0.25">
      <c r="N976" s="203"/>
    </row>
    <row r="977" spans="14:14" ht="15.75" customHeight="1" x14ac:dyDescent="0.25">
      <c r="N977" s="203"/>
    </row>
    <row r="978" spans="14:14" ht="15.75" customHeight="1" x14ac:dyDescent="0.25">
      <c r="N978" s="203"/>
    </row>
    <row r="979" spans="14:14" ht="15.75" customHeight="1" x14ac:dyDescent="0.25">
      <c r="N979" s="203"/>
    </row>
    <row r="980" spans="14:14" ht="15.75" customHeight="1" x14ac:dyDescent="0.25">
      <c r="N980" s="203"/>
    </row>
    <row r="981" spans="14:14" ht="15.75" customHeight="1" x14ac:dyDescent="0.25">
      <c r="N981" s="203"/>
    </row>
    <row r="982" spans="14:14" ht="15.75" customHeight="1" x14ac:dyDescent="0.25">
      <c r="N982" s="203"/>
    </row>
    <row r="983" spans="14:14" ht="15.75" customHeight="1" x14ac:dyDescent="0.25">
      <c r="N983" s="203"/>
    </row>
    <row r="984" spans="14:14" ht="15.75" customHeight="1" x14ac:dyDescent="0.25">
      <c r="N984" s="203"/>
    </row>
    <row r="985" spans="14:14" ht="15.75" customHeight="1" x14ac:dyDescent="0.25">
      <c r="N985" s="203"/>
    </row>
    <row r="986" spans="14:14" ht="15.75" customHeight="1" x14ac:dyDescent="0.25">
      <c r="N986" s="203"/>
    </row>
    <row r="987" spans="14:14" ht="15.75" customHeight="1" x14ac:dyDescent="0.25">
      <c r="N987" s="203"/>
    </row>
    <row r="988" spans="14:14" ht="15.75" customHeight="1" x14ac:dyDescent="0.25">
      <c r="N988" s="203"/>
    </row>
    <row r="989" spans="14:14" ht="15.75" customHeight="1" x14ac:dyDescent="0.25">
      <c r="N989" s="203"/>
    </row>
    <row r="990" spans="14:14" ht="15.75" customHeight="1" x14ac:dyDescent="0.25">
      <c r="N990" s="203"/>
    </row>
    <row r="991" spans="14:14" ht="15.75" customHeight="1" x14ac:dyDescent="0.25">
      <c r="N991" s="203"/>
    </row>
    <row r="992" spans="14:14" ht="15.75" customHeight="1" x14ac:dyDescent="0.25">
      <c r="N992" s="203"/>
    </row>
    <row r="993" spans="14:14" ht="15.75" customHeight="1" x14ac:dyDescent="0.25">
      <c r="N993" s="203"/>
    </row>
    <row r="994" spans="14:14" ht="15.75" customHeight="1" x14ac:dyDescent="0.25">
      <c r="N994" s="203"/>
    </row>
    <row r="995" spans="14:14" ht="15.75" customHeight="1" x14ac:dyDescent="0.25">
      <c r="N995" s="203"/>
    </row>
  </sheetData>
  <mergeCells count="69">
    <mergeCell ref="AE5:AE8"/>
    <mergeCell ref="W6:Z6"/>
    <mergeCell ref="AA6:AC6"/>
    <mergeCell ref="AD6:AD8"/>
    <mergeCell ref="W7:W8"/>
    <mergeCell ref="X7:X8"/>
    <mergeCell ref="AA7:AA8"/>
    <mergeCell ref="AB7:AB8"/>
    <mergeCell ref="A1:B3"/>
    <mergeCell ref="C1:K3"/>
    <mergeCell ref="L1:AJ2"/>
    <mergeCell ref="AK1:AL2"/>
    <mergeCell ref="A4:F4"/>
    <mergeCell ref="B5:B9"/>
    <mergeCell ref="G7:G8"/>
    <mergeCell ref="Y7:Y8"/>
    <mergeCell ref="A30:C30"/>
    <mergeCell ref="A5:A9"/>
    <mergeCell ref="W5:AD5"/>
    <mergeCell ref="U6:U8"/>
    <mergeCell ref="C33:E33"/>
    <mergeCell ref="C35:E35"/>
    <mergeCell ref="H7:H8"/>
    <mergeCell ref="I7:I8"/>
    <mergeCell ref="I33:Z33"/>
    <mergeCell ref="I35:Z35"/>
    <mergeCell ref="M6:M8"/>
    <mergeCell ref="N6:N8"/>
    <mergeCell ref="O6:O8"/>
    <mergeCell ref="T6:T8"/>
    <mergeCell ref="P7:P8"/>
    <mergeCell ref="Q7:Q8"/>
    <mergeCell ref="R7:R8"/>
    <mergeCell ref="S7:S8"/>
    <mergeCell ref="V6:V8"/>
    <mergeCell ref="Z7:Z8"/>
    <mergeCell ref="AL32:AV32"/>
    <mergeCell ref="AD33:AJ33"/>
    <mergeCell ref="AL33:AV33"/>
    <mergeCell ref="AD35:AJ35"/>
    <mergeCell ref="AL35:AV35"/>
    <mergeCell ref="AF5:AF8"/>
    <mergeCell ref="AG5:AN5"/>
    <mergeCell ref="AS5:AS8"/>
    <mergeCell ref="AT5:AT8"/>
    <mergeCell ref="AU5:AU8"/>
    <mergeCell ref="AO5:AR6"/>
    <mergeCell ref="AK6:AN6"/>
    <mergeCell ref="AN7:AN8"/>
    <mergeCell ref="AO7:AO8"/>
    <mergeCell ref="AP7:AQ7"/>
    <mergeCell ref="AR7:AR8"/>
    <mergeCell ref="AG6:AJ6"/>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72"/>
      <c r="B1" s="591"/>
      <c r="C1" s="674" t="s">
        <v>229</v>
      </c>
      <c r="D1" s="591"/>
      <c r="E1" s="591"/>
      <c r="F1" s="559"/>
      <c r="G1" s="201"/>
      <c r="H1" s="201"/>
      <c r="I1" s="676" t="s">
        <v>230</v>
      </c>
      <c r="J1" s="507"/>
      <c r="K1" s="507"/>
      <c r="L1" s="507"/>
      <c r="M1" s="507"/>
      <c r="N1" s="507"/>
      <c r="O1" s="507"/>
      <c r="P1" s="507"/>
      <c r="Q1" s="249"/>
      <c r="R1" s="201"/>
      <c r="S1" s="201"/>
      <c r="T1" s="250"/>
      <c r="U1" s="201"/>
      <c r="V1" s="201"/>
    </row>
    <row r="2" spans="1:22" ht="20.25" customHeight="1" x14ac:dyDescent="0.25">
      <c r="A2" s="592"/>
      <c r="B2" s="507"/>
      <c r="C2" s="507"/>
      <c r="D2" s="507"/>
      <c r="E2" s="507"/>
      <c r="F2" s="675"/>
      <c r="G2" s="201"/>
      <c r="H2" s="201"/>
      <c r="I2" s="507"/>
      <c r="J2" s="507"/>
      <c r="K2" s="507"/>
      <c r="L2" s="507"/>
      <c r="M2" s="507"/>
      <c r="N2" s="507"/>
      <c r="O2" s="507"/>
      <c r="P2" s="507"/>
      <c r="Q2" s="249"/>
      <c r="R2" s="201"/>
      <c r="S2" s="201"/>
      <c r="T2" s="250"/>
      <c r="U2" s="201"/>
      <c r="V2" s="201"/>
    </row>
    <row r="3" spans="1:22" ht="20.25" customHeight="1" x14ac:dyDescent="0.25">
      <c r="A3" s="560"/>
      <c r="B3" s="673"/>
      <c r="C3" s="673"/>
      <c r="D3" s="673"/>
      <c r="E3" s="673"/>
      <c r="F3" s="561"/>
      <c r="G3" s="201"/>
      <c r="H3" s="201"/>
      <c r="I3" s="507"/>
      <c r="J3" s="507"/>
      <c r="K3" s="507"/>
      <c r="L3" s="507"/>
      <c r="M3" s="507"/>
      <c r="N3" s="507"/>
      <c r="O3" s="507"/>
      <c r="P3" s="507"/>
      <c r="Q3" s="249"/>
      <c r="R3" s="201"/>
      <c r="S3" s="201"/>
      <c r="T3" s="250"/>
      <c r="U3" s="201"/>
      <c r="V3" s="201"/>
    </row>
    <row r="4" spans="1:22" ht="27.75" customHeight="1" x14ac:dyDescent="0.25">
      <c r="A4" s="608" t="s">
        <v>1</v>
      </c>
      <c r="B4" s="608" t="s">
        <v>231</v>
      </c>
      <c r="C4" s="608" t="s">
        <v>41</v>
      </c>
      <c r="D4" s="608" t="s">
        <v>232</v>
      </c>
      <c r="E4" s="608" t="s">
        <v>233</v>
      </c>
      <c r="F4" s="608" t="s">
        <v>234</v>
      </c>
      <c r="G4" s="666" t="s">
        <v>235</v>
      </c>
      <c r="H4" s="665" t="s">
        <v>236</v>
      </c>
      <c r="I4" s="515"/>
      <c r="J4" s="516"/>
      <c r="K4" s="665" t="s">
        <v>237</v>
      </c>
      <c r="L4" s="515"/>
      <c r="M4" s="677"/>
      <c r="N4" s="667" t="s">
        <v>238</v>
      </c>
      <c r="O4" s="667" t="s">
        <v>239</v>
      </c>
      <c r="P4" s="665" t="s">
        <v>240</v>
      </c>
      <c r="Q4" s="515"/>
      <c r="R4" s="515"/>
      <c r="S4" s="515"/>
      <c r="T4" s="516"/>
      <c r="U4" s="666" t="s">
        <v>241</v>
      </c>
      <c r="V4" s="666" t="s">
        <v>242</v>
      </c>
    </row>
    <row r="5" spans="1:22" ht="18.75" customHeight="1" x14ac:dyDescent="0.25">
      <c r="A5" s="643"/>
      <c r="B5" s="643"/>
      <c r="C5" s="643"/>
      <c r="D5" s="643"/>
      <c r="E5" s="643"/>
      <c r="F5" s="643"/>
      <c r="G5" s="643"/>
      <c r="H5" s="667" t="s">
        <v>143</v>
      </c>
      <c r="I5" s="667" t="s">
        <v>243</v>
      </c>
      <c r="J5" s="667" t="s">
        <v>145</v>
      </c>
      <c r="K5" s="667" t="s">
        <v>244</v>
      </c>
      <c r="L5" s="667" t="s">
        <v>245</v>
      </c>
      <c r="M5" s="667" t="s">
        <v>246</v>
      </c>
      <c r="N5" s="643"/>
      <c r="O5" s="643"/>
      <c r="P5" s="666" t="s">
        <v>213</v>
      </c>
      <c r="Q5" s="668" t="s">
        <v>247</v>
      </c>
      <c r="R5" s="516"/>
      <c r="S5" s="666" t="s">
        <v>248</v>
      </c>
      <c r="T5" s="666" t="s">
        <v>249</v>
      </c>
      <c r="U5" s="643"/>
      <c r="V5" s="643"/>
    </row>
    <row r="6" spans="1:22" ht="18.75" customHeight="1" x14ac:dyDescent="0.25">
      <c r="A6" s="609"/>
      <c r="B6" s="609"/>
      <c r="C6" s="609"/>
      <c r="D6" s="609"/>
      <c r="E6" s="609"/>
      <c r="F6" s="609"/>
      <c r="G6" s="609"/>
      <c r="H6" s="609"/>
      <c r="I6" s="609"/>
      <c r="J6" s="609"/>
      <c r="K6" s="609"/>
      <c r="L6" s="609"/>
      <c r="M6" s="609"/>
      <c r="N6" s="609"/>
      <c r="O6" s="609"/>
      <c r="P6" s="609"/>
      <c r="Q6" s="251" t="s">
        <v>250</v>
      </c>
      <c r="R6" s="252" t="s">
        <v>251</v>
      </c>
      <c r="S6" s="609"/>
      <c r="T6" s="609"/>
      <c r="U6" s="609"/>
      <c r="V6" s="609"/>
    </row>
    <row r="7" spans="1:22" ht="33" customHeight="1" x14ac:dyDescent="0.25">
      <c r="A7" s="253">
        <v>1</v>
      </c>
      <c r="B7" s="254" t="s">
        <v>101</v>
      </c>
      <c r="C7" s="255" t="s">
        <v>39</v>
      </c>
      <c r="D7" s="255" t="s">
        <v>252</v>
      </c>
      <c r="E7" s="256" t="s">
        <v>253</v>
      </c>
      <c r="F7" s="34"/>
      <c r="G7" s="257" t="e">
        <f>VLOOKUP(B7,'6.Bảng lương  '!$B$16:$AW34,34,0)</f>
        <v>#N/A</v>
      </c>
      <c r="H7" s="257" t="e">
        <f>VLOOKUP(B7,'6.Bảng lương  '!$B$16:$AW34,25,0)</f>
        <v>#N/A</v>
      </c>
      <c r="I7" s="257" t="e">
        <f>VLOOKUP(B7, '6.Bảng lương  '!$B$16:$AW34, 26,0)</f>
        <v>#N/A</v>
      </c>
      <c r="J7" s="257" t="e">
        <f>VLOOKUP(B7, '6.Bảng lương  '!$B$16:$AW34,27,0)</f>
        <v>#N/A</v>
      </c>
      <c r="K7" s="257" t="e">
        <f>VLOOKUP(B7, '6.Bảng lương  '!$B$16:$AW34, 29,0)</f>
        <v>#N/A</v>
      </c>
      <c r="L7" s="257" t="e">
        <f>VLOOKUP(B7, '6.Bảng lương  '!$B$16:$AW34, 31,0)</f>
        <v>#N/A</v>
      </c>
      <c r="M7" s="257" t="e">
        <f>VLOOKUP(B7, '6.Bảng lương  '!$B$16:$AW34, 30,0)</f>
        <v>#N/A</v>
      </c>
      <c r="N7" s="257" t="e">
        <f t="shared" ref="N7:N10" si="0">SUM(H7:M7)</f>
        <v>#N/A</v>
      </c>
      <c r="O7" s="257" t="e">
        <f t="shared" ref="O7:O10" si="1">G7-H7-I7-J7</f>
        <v>#N/A</v>
      </c>
      <c r="P7" s="257" t="e">
        <f>VLOOKUP(B7, '6.Bảng lương  '!$B$16:$AW34,44,0)</f>
        <v>#N/A</v>
      </c>
      <c r="Q7" s="258" t="e">
        <f>VLOOKUP(B7, '6.Bảng lương  '!$B$16:$AW34,45,0)</f>
        <v>#N/A</v>
      </c>
      <c r="R7" s="259" t="e">
        <f t="shared" ref="R7:R10" si="2">Q7*4400000</f>
        <v>#N/A</v>
      </c>
      <c r="S7" s="259" t="e">
        <f t="shared" ref="S7:S10" si="3">+P7+R7</f>
        <v>#N/A</v>
      </c>
      <c r="T7" s="259" t="e">
        <f>VLOOKUP(B7, '6.Bảng lương  '!$B$16:$AW34,43,0)</f>
        <v>#N/A</v>
      </c>
      <c r="U7" s="259">
        <v>0</v>
      </c>
      <c r="V7" s="259">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53">
        <v>2</v>
      </c>
      <c r="B8" s="260" t="s">
        <v>46</v>
      </c>
      <c r="C8" s="255" t="s">
        <v>47</v>
      </c>
      <c r="D8" s="255" t="s">
        <v>252</v>
      </c>
      <c r="E8" s="256" t="s">
        <v>254</v>
      </c>
      <c r="F8" s="34"/>
      <c r="G8" s="257" t="e">
        <f>VLOOKUP(B8,'6.Bảng lương  '!$B$16:$AW34,34,0)</f>
        <v>#N/A</v>
      </c>
      <c r="H8" s="257" t="e">
        <f>VLOOKUP(B8,'6.Bảng lương  '!$B$16:$AW34,25,0)</f>
        <v>#N/A</v>
      </c>
      <c r="I8" s="257" t="e">
        <f>VLOOKUP(B8, '6.Bảng lương  '!$B$16:$AW34, 26,0)</f>
        <v>#N/A</v>
      </c>
      <c r="J8" s="257" t="e">
        <f>VLOOKUP(B8, '6.Bảng lương  '!$B$16:$AW34,27,0)</f>
        <v>#N/A</v>
      </c>
      <c r="K8" s="257" t="e">
        <f>VLOOKUP(B8, '6.Bảng lương  '!$B$16:$AW34, 29,0)</f>
        <v>#N/A</v>
      </c>
      <c r="L8" s="257" t="e">
        <f>VLOOKUP(B8, '6.Bảng lương  '!$B$16:$AW34, 31,0)</f>
        <v>#N/A</v>
      </c>
      <c r="M8" s="257" t="e">
        <f>VLOOKUP(B8, '6.Bảng lương  '!$B$16:$AW34, 30,0)</f>
        <v>#N/A</v>
      </c>
      <c r="N8" s="257" t="e">
        <f t="shared" si="0"/>
        <v>#N/A</v>
      </c>
      <c r="O8" s="257" t="e">
        <f t="shared" si="1"/>
        <v>#N/A</v>
      </c>
      <c r="P8" s="257" t="e">
        <f>VLOOKUP(B8, '6.Bảng lương  '!$B$16:$AW34,44,0)</f>
        <v>#N/A</v>
      </c>
      <c r="Q8" s="258" t="e">
        <f>VLOOKUP(B8, '6.Bảng lương  '!$B$16:$AW34,45,0)</f>
        <v>#N/A</v>
      </c>
      <c r="R8" s="259" t="e">
        <f t="shared" si="2"/>
        <v>#N/A</v>
      </c>
      <c r="S8" s="259" t="e">
        <f t="shared" si="3"/>
        <v>#N/A</v>
      </c>
      <c r="T8" s="259" t="e">
        <f>VLOOKUP(B8, '6.Bảng lương  '!$B$16:$AW34,43,0)</f>
        <v>#N/A</v>
      </c>
      <c r="U8" s="259" t="e">
        <f>O8-S8-T8</f>
        <v>#N/A</v>
      </c>
      <c r="V8" s="259" t="e">
        <f t="shared" si="4"/>
        <v>#N/A</v>
      </c>
    </row>
    <row r="9" spans="1:22" ht="27" customHeight="1" x14ac:dyDescent="0.25">
      <c r="A9" s="253">
        <v>3</v>
      </c>
      <c r="B9" s="260" t="s">
        <v>48</v>
      </c>
      <c r="C9" s="255" t="s">
        <v>255</v>
      </c>
      <c r="D9" s="255" t="s">
        <v>252</v>
      </c>
      <c r="E9" s="256" t="s">
        <v>102</v>
      </c>
      <c r="F9" s="34"/>
      <c r="G9" s="257" t="e">
        <f>VLOOKUP(B9,'6.Bảng lương  '!$B$16:$AW34,34,0)</f>
        <v>#N/A</v>
      </c>
      <c r="H9" s="257" t="e">
        <f>VLOOKUP(B9,'6.Bảng lương  '!$B$16:$AW34,25,0)</f>
        <v>#N/A</v>
      </c>
      <c r="I9" s="257" t="e">
        <f>VLOOKUP(B9, '6.Bảng lương  '!$B$16:$AW34, 26,0)</f>
        <v>#N/A</v>
      </c>
      <c r="J9" s="257" t="e">
        <f>VLOOKUP(B9, '6.Bảng lương  '!$B$16:$AW34,27,0)</f>
        <v>#N/A</v>
      </c>
      <c r="K9" s="257" t="e">
        <f>VLOOKUP(B9, '6.Bảng lương  '!$B$16:$AW34, 29,0)</f>
        <v>#N/A</v>
      </c>
      <c r="L9" s="257" t="e">
        <f>VLOOKUP(B9, '6.Bảng lương  '!$B$16:$AW34, 31,0)</f>
        <v>#N/A</v>
      </c>
      <c r="M9" s="257" t="e">
        <f>VLOOKUP(B9, '6.Bảng lương  '!$B$16:$AW34, 30,0)</f>
        <v>#N/A</v>
      </c>
      <c r="N9" s="257" t="e">
        <f t="shared" si="0"/>
        <v>#N/A</v>
      </c>
      <c r="O9" s="257" t="e">
        <f t="shared" si="1"/>
        <v>#N/A</v>
      </c>
      <c r="P9" s="257" t="e">
        <f>VLOOKUP(B9, '6.Bảng lương  '!$B$16:$AW34,44,0)</f>
        <v>#N/A</v>
      </c>
      <c r="Q9" s="258" t="e">
        <f>VLOOKUP(B9, '6.Bảng lương  '!$B$16:$AW34,45,0)</f>
        <v>#N/A</v>
      </c>
      <c r="R9" s="259" t="e">
        <f t="shared" si="2"/>
        <v>#N/A</v>
      </c>
      <c r="S9" s="259" t="e">
        <f t="shared" si="3"/>
        <v>#N/A</v>
      </c>
      <c r="T9" s="259" t="e">
        <f>VLOOKUP(B9, '6.Bảng lương  '!$B$16:$AW34,43,0)</f>
        <v>#N/A</v>
      </c>
      <c r="U9" s="259">
        <v>0</v>
      </c>
      <c r="V9" s="259">
        <f t="shared" si="4"/>
        <v>0</v>
      </c>
    </row>
    <row r="10" spans="1:22" ht="30" customHeight="1" x14ac:dyDescent="0.25">
      <c r="A10" s="253">
        <v>4</v>
      </c>
      <c r="B10" s="261" t="s">
        <v>256</v>
      </c>
      <c r="C10" s="261" t="s">
        <v>257</v>
      </c>
      <c r="D10" s="255" t="s">
        <v>252</v>
      </c>
      <c r="E10" s="262" t="s">
        <v>258</v>
      </c>
      <c r="F10" s="253"/>
      <c r="G10" s="257" t="e">
        <f>VLOOKUP(B10,'6.Bảng lương  '!$B$16:$AW34,34,0)</f>
        <v>#N/A</v>
      </c>
      <c r="H10" s="257" t="e">
        <f>VLOOKUP(B10,'6.Bảng lương  '!$B$16:$AW34,25,0)</f>
        <v>#N/A</v>
      </c>
      <c r="I10" s="257" t="e">
        <f>VLOOKUP(B10, '6.Bảng lương  '!$B$16:$AW34, 26,0)</f>
        <v>#N/A</v>
      </c>
      <c r="J10" s="257" t="e">
        <f>VLOOKUP(B10, '6.Bảng lương  '!$B$16:$AW34,27,0)</f>
        <v>#N/A</v>
      </c>
      <c r="K10" s="257" t="e">
        <f>VLOOKUP(B10, '6.Bảng lương  '!$B$16:$AW34, 29,0)</f>
        <v>#N/A</v>
      </c>
      <c r="L10" s="257" t="e">
        <f>VLOOKUP(B10, '6.Bảng lương  '!$B$16:$AW34, 31,0)</f>
        <v>#N/A</v>
      </c>
      <c r="M10" s="257" t="e">
        <f>VLOOKUP(B10, '6.Bảng lương  '!$B$16:$AW34, 30,0)</f>
        <v>#N/A</v>
      </c>
      <c r="N10" s="257" t="e">
        <f t="shared" si="0"/>
        <v>#N/A</v>
      </c>
      <c r="O10" s="257" t="e">
        <f t="shared" si="1"/>
        <v>#N/A</v>
      </c>
      <c r="P10" s="257" t="e">
        <f>VLOOKUP(B10, '6.Bảng lương  '!$B$16:$AW34,44,0)</f>
        <v>#N/A</v>
      </c>
      <c r="Q10" s="258" t="e">
        <f>VLOOKUP(B10, '6.Bảng lương  '!$B$16:$AW34,45,0)</f>
        <v>#N/A</v>
      </c>
      <c r="R10" s="259" t="e">
        <f t="shared" si="2"/>
        <v>#N/A</v>
      </c>
      <c r="S10" s="259" t="e">
        <f t="shared" si="3"/>
        <v>#N/A</v>
      </c>
      <c r="T10" s="259" t="e">
        <f>VLOOKUP(B10, '6.Bảng lương  '!$B$16:$AW34,43,0)</f>
        <v>#N/A</v>
      </c>
      <c r="U10" s="259">
        <v>0</v>
      </c>
      <c r="V10" s="259">
        <f t="shared" si="4"/>
        <v>0</v>
      </c>
    </row>
    <row r="11" spans="1:22" ht="20.25" customHeight="1" x14ac:dyDescent="0.25">
      <c r="A11" s="678" t="s">
        <v>259</v>
      </c>
      <c r="B11" s="515"/>
      <c r="C11" s="516"/>
      <c r="D11" s="263"/>
      <c r="E11" s="263"/>
      <c r="F11" s="33"/>
      <c r="G11" s="264" t="e">
        <f t="shared" ref="G11:V11" si="5">SUBTOTAL(9,G7:G10)</f>
        <v>#N/A</v>
      </c>
      <c r="H11" s="264" t="e">
        <f t="shared" si="5"/>
        <v>#N/A</v>
      </c>
      <c r="I11" s="264" t="e">
        <f t="shared" si="5"/>
        <v>#N/A</v>
      </c>
      <c r="J11" s="264" t="e">
        <f t="shared" si="5"/>
        <v>#N/A</v>
      </c>
      <c r="K11" s="264" t="e">
        <f t="shared" si="5"/>
        <v>#N/A</v>
      </c>
      <c r="L11" s="264" t="e">
        <f t="shared" si="5"/>
        <v>#N/A</v>
      </c>
      <c r="M11" s="264" t="e">
        <f t="shared" si="5"/>
        <v>#N/A</v>
      </c>
      <c r="N11" s="264" t="e">
        <f t="shared" si="5"/>
        <v>#N/A</v>
      </c>
      <c r="O11" s="264" t="e">
        <f t="shared" si="5"/>
        <v>#N/A</v>
      </c>
      <c r="P11" s="264" t="e">
        <f t="shared" si="5"/>
        <v>#N/A</v>
      </c>
      <c r="Q11" s="264" t="e">
        <f t="shared" si="5"/>
        <v>#N/A</v>
      </c>
      <c r="R11" s="264" t="e">
        <f t="shared" si="5"/>
        <v>#N/A</v>
      </c>
      <c r="S11" s="264" t="e">
        <f t="shared" si="5"/>
        <v>#N/A</v>
      </c>
      <c r="T11" s="264" t="e">
        <f t="shared" si="5"/>
        <v>#N/A</v>
      </c>
      <c r="U11" s="264" t="e">
        <f t="shared" si="5"/>
        <v>#N/A</v>
      </c>
      <c r="V11" s="264" t="e">
        <f t="shared" si="5"/>
        <v>#N/A</v>
      </c>
    </row>
    <row r="12" spans="1:22" ht="25.5" customHeight="1" x14ac:dyDescent="0.25">
      <c r="A12" s="265"/>
      <c r="B12" s="265"/>
      <c r="C12" s="266"/>
      <c r="D12" s="266"/>
      <c r="E12" s="267"/>
      <c r="F12" s="267"/>
      <c r="G12" s="268"/>
      <c r="H12" s="269"/>
      <c r="I12" s="269"/>
      <c r="J12" s="269"/>
      <c r="K12" s="269"/>
      <c r="L12" s="269"/>
      <c r="M12" s="269"/>
      <c r="N12" s="269"/>
      <c r="O12" s="268"/>
      <c r="P12" s="269"/>
      <c r="Q12" s="669" t="s">
        <v>260</v>
      </c>
      <c r="R12" s="507"/>
      <c r="S12" s="507"/>
      <c r="T12" s="507"/>
      <c r="U12" s="507"/>
      <c r="V12" s="507"/>
    </row>
    <row r="13" spans="1:22" ht="20.25" customHeight="1" x14ac:dyDescent="0.3">
      <c r="A13" s="44"/>
      <c r="B13" s="44"/>
      <c r="C13" s="44"/>
      <c r="D13" s="618" t="s">
        <v>52</v>
      </c>
      <c r="E13" s="507"/>
      <c r="F13" s="507"/>
      <c r="G13" s="507"/>
      <c r="H13" s="551" t="s">
        <v>261</v>
      </c>
      <c r="I13" s="507"/>
      <c r="J13" s="507"/>
      <c r="K13" s="507"/>
      <c r="L13" s="507"/>
      <c r="M13" s="44"/>
      <c r="N13" s="538" t="s">
        <v>262</v>
      </c>
      <c r="O13" s="507"/>
      <c r="P13" s="507"/>
      <c r="Q13" s="670" t="s">
        <v>263</v>
      </c>
      <c r="R13" s="507"/>
      <c r="S13" s="507"/>
      <c r="T13" s="507"/>
      <c r="U13" s="507"/>
      <c r="V13" s="507"/>
    </row>
    <row r="14" spans="1:22" ht="20.25" customHeight="1" x14ac:dyDescent="0.3">
      <c r="A14" s="237"/>
      <c r="B14" s="237"/>
      <c r="C14" s="270"/>
      <c r="D14" s="270"/>
      <c r="E14" s="46"/>
      <c r="F14" s="44"/>
      <c r="G14" s="46"/>
      <c r="H14" s="39"/>
      <c r="I14" s="237"/>
      <c r="J14" s="237"/>
      <c r="K14" s="237"/>
      <c r="L14" s="237"/>
      <c r="M14" s="237"/>
      <c r="N14" s="269"/>
      <c r="O14" s="268"/>
      <c r="P14" s="269"/>
      <c r="Q14" s="271"/>
      <c r="R14" s="272"/>
      <c r="S14" s="272"/>
      <c r="T14" s="237"/>
      <c r="U14" s="273"/>
      <c r="V14" s="269"/>
    </row>
    <row r="15" spans="1:22" ht="20.25" customHeight="1" x14ac:dyDescent="0.3">
      <c r="A15" s="237"/>
      <c r="B15" s="237"/>
      <c r="C15" s="270"/>
      <c r="D15" s="270"/>
      <c r="E15" s="46"/>
      <c r="F15" s="44"/>
      <c r="G15" s="46"/>
      <c r="H15" s="39"/>
      <c r="I15" s="237"/>
      <c r="J15" s="237"/>
      <c r="K15" s="237"/>
      <c r="L15" s="237"/>
      <c r="M15" s="237"/>
      <c r="N15" s="269"/>
      <c r="O15" s="268"/>
      <c r="P15" s="269"/>
      <c r="Q15" s="271"/>
      <c r="R15" s="272"/>
      <c r="S15" s="272"/>
      <c r="T15" s="237"/>
      <c r="U15" s="273"/>
      <c r="V15" s="269"/>
    </row>
    <row r="16" spans="1:22" ht="20.25" customHeight="1" x14ac:dyDescent="0.3">
      <c r="A16" s="45"/>
      <c r="B16" s="45"/>
      <c r="C16" s="270"/>
      <c r="D16" s="270"/>
      <c r="E16" s="46"/>
      <c r="F16" s="245"/>
      <c r="G16" s="46"/>
      <c r="H16" s="39"/>
      <c r="I16" s="274"/>
      <c r="J16" s="274"/>
      <c r="K16" s="274"/>
      <c r="L16" s="274"/>
      <c r="M16" s="274"/>
      <c r="N16" s="269"/>
      <c r="O16" s="268"/>
      <c r="P16" s="269"/>
      <c r="Q16" s="275"/>
      <c r="R16" s="276"/>
      <c r="S16" s="276"/>
      <c r="T16" s="274"/>
      <c r="U16" s="273"/>
      <c r="V16" s="269"/>
    </row>
    <row r="17" spans="1:22" ht="20.25" customHeight="1" x14ac:dyDescent="0.3">
      <c r="A17" s="45"/>
      <c r="B17" s="45"/>
      <c r="C17" s="270"/>
      <c r="D17" s="270"/>
      <c r="E17" s="46"/>
      <c r="F17" s="245"/>
      <c r="G17" s="46"/>
      <c r="H17" s="39"/>
      <c r="I17" s="274"/>
      <c r="J17" s="274"/>
      <c r="K17" s="274"/>
      <c r="L17" s="274"/>
      <c r="M17" s="274"/>
      <c r="N17" s="269"/>
      <c r="O17" s="268"/>
      <c r="P17" s="269"/>
      <c r="Q17" s="275"/>
      <c r="R17" s="276"/>
      <c r="S17" s="276"/>
      <c r="T17" s="274"/>
      <c r="U17" s="273"/>
      <c r="V17" s="269"/>
    </row>
    <row r="18" spans="1:22" ht="20.25" customHeight="1" x14ac:dyDescent="0.3">
      <c r="A18" s="45"/>
      <c r="B18" s="45"/>
      <c r="C18" s="270"/>
      <c r="D18" s="270"/>
      <c r="E18" s="46"/>
      <c r="F18" s="245"/>
      <c r="G18" s="46"/>
      <c r="H18" s="538"/>
      <c r="I18" s="507"/>
      <c r="J18" s="507"/>
      <c r="K18" s="274"/>
      <c r="L18" s="274"/>
      <c r="M18" s="274"/>
      <c r="N18" s="269"/>
      <c r="O18" s="268"/>
      <c r="P18" s="269"/>
      <c r="Q18" s="275"/>
      <c r="R18" s="276"/>
      <c r="S18" s="276"/>
      <c r="T18" s="274"/>
      <c r="U18" s="273"/>
      <c r="V18" s="269"/>
    </row>
    <row r="19" spans="1:22" ht="20.25" customHeight="1" x14ac:dyDescent="0.3">
      <c r="A19" s="44"/>
      <c r="B19" s="44"/>
      <c r="C19" s="44"/>
      <c r="D19" s="618" t="s">
        <v>264</v>
      </c>
      <c r="E19" s="507"/>
      <c r="F19" s="507"/>
      <c r="G19" s="507"/>
      <c r="H19" s="538" t="s">
        <v>265</v>
      </c>
      <c r="I19" s="507"/>
      <c r="J19" s="507"/>
      <c r="K19" s="507"/>
      <c r="L19" s="507"/>
      <c r="M19" s="44"/>
      <c r="N19" s="538" t="s">
        <v>221</v>
      </c>
      <c r="O19" s="507"/>
      <c r="P19" s="507"/>
      <c r="Q19" s="671" t="s">
        <v>266</v>
      </c>
      <c r="R19" s="507"/>
      <c r="S19" s="507"/>
      <c r="T19" s="507"/>
      <c r="U19" s="507"/>
      <c r="V19" s="507"/>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E4:E6"/>
    <mergeCell ref="F4:F6"/>
    <mergeCell ref="A11:C11"/>
    <mergeCell ref="D13:G13"/>
    <mergeCell ref="D19:G19"/>
    <mergeCell ref="G4:G6"/>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Q12:V12"/>
    <mergeCell ref="Q13:V13"/>
    <mergeCell ref="Q19:V19"/>
    <mergeCell ref="H18:J18"/>
    <mergeCell ref="H19:L19"/>
    <mergeCell ref="N13:P13"/>
    <mergeCell ref="N19:P19"/>
    <mergeCell ref="H13:L13"/>
    <mergeCell ref="P4:T4"/>
    <mergeCell ref="U4:U6"/>
    <mergeCell ref="V4:V6"/>
    <mergeCell ref="K5:K6"/>
    <mergeCell ref="L5:L6"/>
    <mergeCell ref="T5:T6"/>
    <mergeCell ref="Q5:R5"/>
    <mergeCell ref="S5:S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80" t="s">
        <v>267</v>
      </c>
      <c r="B1" s="507"/>
      <c r="C1" s="507"/>
      <c r="D1" s="507"/>
      <c r="E1" s="277"/>
      <c r="F1" s="278"/>
      <c r="G1" s="279"/>
      <c r="H1" s="280"/>
      <c r="I1" s="280"/>
      <c r="J1" s="280"/>
      <c r="K1" s="281"/>
      <c r="L1" s="140"/>
      <c r="M1" s="140"/>
      <c r="N1" s="140"/>
      <c r="O1" s="281"/>
      <c r="P1" s="140"/>
      <c r="Q1" s="140"/>
      <c r="R1" s="140"/>
      <c r="S1" s="140"/>
      <c r="T1" s="140"/>
      <c r="U1" s="140"/>
      <c r="V1" s="140"/>
      <c r="W1" s="140"/>
      <c r="X1" s="140"/>
      <c r="Y1" s="140"/>
      <c r="Z1" s="140"/>
    </row>
    <row r="2" spans="1:26" ht="15.6" x14ac:dyDescent="0.25">
      <c r="A2" s="282">
        <v>1</v>
      </c>
      <c r="B2" s="282">
        <v>2</v>
      </c>
      <c r="C2" s="282">
        <v>3</v>
      </c>
      <c r="D2" s="282">
        <v>4</v>
      </c>
      <c r="E2" s="282">
        <v>5</v>
      </c>
      <c r="F2" s="282">
        <v>6</v>
      </c>
      <c r="G2" s="282">
        <v>7</v>
      </c>
      <c r="H2" s="282">
        <v>8</v>
      </c>
      <c r="I2" s="282">
        <v>9</v>
      </c>
      <c r="J2" s="282">
        <v>10</v>
      </c>
      <c r="K2" s="282">
        <v>11</v>
      </c>
      <c r="L2" s="282">
        <v>12</v>
      </c>
      <c r="M2" s="282">
        <v>13</v>
      </c>
      <c r="N2" s="282"/>
      <c r="O2" s="282">
        <v>14</v>
      </c>
      <c r="P2" s="282">
        <v>15</v>
      </c>
      <c r="Q2" s="140"/>
      <c r="R2" s="140"/>
      <c r="S2" s="140"/>
      <c r="T2" s="140"/>
      <c r="U2" s="140"/>
      <c r="V2" s="140"/>
      <c r="W2" s="140"/>
      <c r="X2" s="140"/>
      <c r="Y2" s="140"/>
      <c r="Z2" s="140"/>
    </row>
    <row r="3" spans="1:26" ht="17.25" customHeight="1" x14ac:dyDescent="0.3">
      <c r="A3" s="681" t="s">
        <v>1</v>
      </c>
      <c r="B3" s="682" t="s">
        <v>40</v>
      </c>
      <c r="C3" s="682" t="s">
        <v>268</v>
      </c>
      <c r="D3" s="681" t="s">
        <v>98</v>
      </c>
      <c r="E3" s="608" t="s">
        <v>269</v>
      </c>
      <c r="F3" s="608" t="s">
        <v>96</v>
      </c>
      <c r="G3" s="608" t="s">
        <v>129</v>
      </c>
      <c r="H3" s="608" t="s">
        <v>270</v>
      </c>
      <c r="I3" s="608" t="s">
        <v>234</v>
      </c>
      <c r="J3" s="647" t="s">
        <v>271</v>
      </c>
      <c r="K3" s="515"/>
      <c r="L3" s="515"/>
      <c r="M3" s="515"/>
      <c r="N3" s="516"/>
      <c r="O3" s="679" t="s">
        <v>272</v>
      </c>
      <c r="P3" s="516"/>
      <c r="Q3" s="140"/>
      <c r="R3" s="140"/>
      <c r="S3" s="140"/>
      <c r="T3" s="140"/>
      <c r="U3" s="140"/>
      <c r="V3" s="140"/>
      <c r="W3" s="140"/>
      <c r="X3" s="140"/>
      <c r="Y3" s="140"/>
      <c r="Z3" s="140"/>
    </row>
    <row r="4" spans="1:26" ht="36" customHeight="1" x14ac:dyDescent="0.25">
      <c r="A4" s="609"/>
      <c r="B4" s="609"/>
      <c r="C4" s="609"/>
      <c r="D4" s="609"/>
      <c r="E4" s="609"/>
      <c r="F4" s="609"/>
      <c r="G4" s="609"/>
      <c r="H4" s="609"/>
      <c r="I4" s="609"/>
      <c r="J4" s="211" t="s">
        <v>250</v>
      </c>
      <c r="K4" s="211" t="s">
        <v>214</v>
      </c>
      <c r="L4" s="211" t="s">
        <v>273</v>
      </c>
      <c r="M4" s="211" t="s">
        <v>274</v>
      </c>
      <c r="N4" s="283" t="s">
        <v>275</v>
      </c>
      <c r="O4" s="211" t="s">
        <v>276</v>
      </c>
      <c r="P4" s="33" t="s">
        <v>169</v>
      </c>
      <c r="Q4" s="140"/>
      <c r="R4" s="140"/>
      <c r="S4" s="140"/>
      <c r="T4" s="140"/>
      <c r="U4" s="140"/>
      <c r="V4" s="140"/>
      <c r="W4" s="140"/>
      <c r="X4" s="140"/>
      <c r="Y4" s="140"/>
      <c r="Z4" s="140"/>
    </row>
    <row r="5" spans="1:26" ht="13.2" x14ac:dyDescent="0.25">
      <c r="A5" s="284"/>
      <c r="B5" s="285"/>
      <c r="C5" s="140"/>
      <c r="D5" s="140"/>
      <c r="E5" s="140"/>
      <c r="F5" s="285"/>
      <c r="G5" s="140"/>
      <c r="H5" s="140"/>
      <c r="I5" s="285"/>
      <c r="J5" s="285"/>
      <c r="K5" s="281"/>
      <c r="L5" s="140"/>
      <c r="M5" s="140"/>
      <c r="N5" s="140"/>
      <c r="O5" s="281"/>
      <c r="P5" s="140"/>
      <c r="Q5" s="140"/>
      <c r="R5" s="140"/>
      <c r="S5" s="140"/>
      <c r="T5" s="140"/>
      <c r="U5" s="140"/>
      <c r="V5" s="140"/>
      <c r="W5" s="140"/>
      <c r="X5" s="140"/>
      <c r="Y5" s="140"/>
      <c r="Z5" s="140"/>
    </row>
    <row r="6" spans="1:26" ht="13.2" x14ac:dyDescent="0.25">
      <c r="A6" s="284"/>
      <c r="B6" s="285"/>
      <c r="C6" s="140"/>
      <c r="D6" s="140"/>
      <c r="E6" s="140"/>
      <c r="F6" s="285"/>
      <c r="G6" s="140"/>
      <c r="H6" s="140"/>
      <c r="I6" s="285"/>
      <c r="J6" s="285"/>
      <c r="K6" s="281"/>
      <c r="L6" s="140"/>
      <c r="M6" s="140"/>
      <c r="N6" s="140"/>
      <c r="O6" s="281"/>
      <c r="P6" s="140"/>
      <c r="Q6" s="140"/>
      <c r="R6" s="140"/>
      <c r="S6" s="140"/>
      <c r="T6" s="140"/>
      <c r="U6" s="140"/>
      <c r="V6" s="140"/>
      <c r="W6" s="140"/>
      <c r="X6" s="140"/>
      <c r="Y6" s="140"/>
      <c r="Z6" s="140"/>
    </row>
    <row r="7" spans="1:26" ht="13.2" x14ac:dyDescent="0.25">
      <c r="A7" s="284"/>
      <c r="B7" s="285"/>
      <c r="C7" s="140"/>
      <c r="D7" s="140"/>
      <c r="E7" s="140"/>
      <c r="F7" s="285"/>
      <c r="G7" s="140"/>
      <c r="H7" s="140"/>
      <c r="I7" s="285"/>
      <c r="J7" s="285"/>
      <c r="K7" s="281"/>
      <c r="L7" s="140"/>
      <c r="M7" s="140"/>
      <c r="N7" s="140"/>
      <c r="O7" s="281"/>
      <c r="P7" s="140"/>
      <c r="Q7" s="140"/>
      <c r="R7" s="140"/>
      <c r="S7" s="140"/>
      <c r="T7" s="140"/>
      <c r="U7" s="140"/>
      <c r="V7" s="140"/>
      <c r="W7" s="140"/>
      <c r="X7" s="140"/>
      <c r="Y7" s="140"/>
      <c r="Z7" s="140"/>
    </row>
    <row r="8" spans="1:26" ht="13.2" x14ac:dyDescent="0.25">
      <c r="A8" s="284"/>
      <c r="B8" s="285"/>
      <c r="C8" s="140"/>
      <c r="D8" s="140"/>
      <c r="E8" s="140"/>
      <c r="F8" s="285"/>
      <c r="G8" s="140"/>
      <c r="H8" s="140"/>
      <c r="I8" s="285"/>
      <c r="J8" s="285"/>
      <c r="K8" s="281"/>
      <c r="L8" s="140"/>
      <c r="M8" s="140"/>
      <c r="N8" s="140"/>
      <c r="O8" s="281"/>
      <c r="P8" s="140"/>
      <c r="Q8" s="140"/>
      <c r="R8" s="140"/>
      <c r="S8" s="140"/>
      <c r="T8" s="140"/>
      <c r="U8" s="140"/>
      <c r="V8" s="140"/>
      <c r="W8" s="140"/>
      <c r="X8" s="140"/>
      <c r="Y8" s="140"/>
      <c r="Z8" s="140"/>
    </row>
    <row r="9" spans="1:26" ht="13.2" x14ac:dyDescent="0.25">
      <c r="A9" s="284"/>
      <c r="B9" s="285"/>
      <c r="C9" s="140"/>
      <c r="D9" s="140"/>
      <c r="E9" s="140"/>
      <c r="F9" s="285"/>
      <c r="G9" s="140"/>
      <c r="H9" s="140"/>
      <c r="I9" s="285"/>
      <c r="J9" s="285"/>
      <c r="K9" s="281"/>
      <c r="L9" s="140"/>
      <c r="M9" s="140"/>
      <c r="N9" s="140"/>
      <c r="O9" s="281"/>
      <c r="P9" s="140"/>
      <c r="Q9" s="140"/>
      <c r="R9" s="140"/>
      <c r="S9" s="140"/>
      <c r="T9" s="140"/>
      <c r="U9" s="140"/>
      <c r="V9" s="140"/>
      <c r="W9" s="140"/>
      <c r="X9" s="140"/>
      <c r="Y9" s="140"/>
      <c r="Z9" s="140"/>
    </row>
    <row r="10" spans="1:26" ht="13.2" x14ac:dyDescent="0.25">
      <c r="A10" s="284"/>
      <c r="B10" s="285"/>
      <c r="C10" s="140"/>
      <c r="D10" s="140"/>
      <c r="E10" s="140"/>
      <c r="F10" s="285"/>
      <c r="G10" s="140"/>
      <c r="H10" s="140"/>
      <c r="I10" s="285"/>
      <c r="J10" s="285"/>
      <c r="K10" s="281"/>
      <c r="L10" s="140"/>
      <c r="M10" s="140"/>
      <c r="N10" s="140"/>
      <c r="O10" s="281"/>
      <c r="P10" s="140"/>
      <c r="Q10" s="140"/>
      <c r="R10" s="140"/>
      <c r="S10" s="140"/>
      <c r="T10" s="140"/>
      <c r="U10" s="140"/>
      <c r="V10" s="140"/>
      <c r="W10" s="140"/>
      <c r="X10" s="140"/>
      <c r="Y10" s="140"/>
      <c r="Z10" s="140"/>
    </row>
    <row r="11" spans="1:26" ht="13.2" x14ac:dyDescent="0.25">
      <c r="A11" s="284"/>
      <c r="B11" s="285"/>
      <c r="C11" s="140"/>
      <c r="D11" s="140"/>
      <c r="E11" s="140"/>
      <c r="F11" s="285"/>
      <c r="G11" s="140"/>
      <c r="H11" s="140"/>
      <c r="I11" s="285"/>
      <c r="J11" s="285"/>
      <c r="K11" s="281"/>
      <c r="L11" s="140"/>
      <c r="M11" s="140"/>
      <c r="N11" s="140"/>
      <c r="O11" s="281"/>
      <c r="P11" s="140"/>
      <c r="Q11" s="140"/>
      <c r="R11" s="140"/>
      <c r="S11" s="140"/>
      <c r="T11" s="140"/>
      <c r="U11" s="140"/>
      <c r="V11" s="140"/>
      <c r="W11" s="140"/>
      <c r="X11" s="140"/>
      <c r="Y11" s="140"/>
      <c r="Z11" s="140"/>
    </row>
    <row r="12" spans="1:26" ht="13.2" x14ac:dyDescent="0.25">
      <c r="A12" s="284"/>
      <c r="B12" s="285"/>
      <c r="C12" s="140"/>
      <c r="D12" s="140"/>
      <c r="E12" s="140"/>
      <c r="F12" s="285"/>
      <c r="G12" s="140"/>
      <c r="H12" s="140"/>
      <c r="I12" s="285"/>
      <c r="J12" s="285"/>
      <c r="K12" s="281"/>
      <c r="L12" s="140"/>
      <c r="M12" s="140"/>
      <c r="N12" s="140"/>
      <c r="O12" s="281"/>
      <c r="P12" s="140"/>
      <c r="Q12" s="140"/>
      <c r="R12" s="140"/>
      <c r="S12" s="140"/>
      <c r="T12" s="140"/>
      <c r="U12" s="140"/>
      <c r="V12" s="140"/>
      <c r="W12" s="140"/>
      <c r="X12" s="140"/>
      <c r="Y12" s="140"/>
      <c r="Z12" s="140"/>
    </row>
    <row r="13" spans="1:26" ht="13.2" x14ac:dyDescent="0.25">
      <c r="A13" s="284"/>
      <c r="B13" s="285"/>
      <c r="C13" s="140"/>
      <c r="D13" s="140"/>
      <c r="E13" s="140"/>
      <c r="F13" s="285"/>
      <c r="G13" s="140"/>
      <c r="H13" s="140"/>
      <c r="I13" s="285"/>
      <c r="J13" s="285"/>
      <c r="K13" s="281"/>
      <c r="L13" s="140"/>
      <c r="M13" s="140"/>
      <c r="N13" s="140"/>
      <c r="O13" s="281"/>
      <c r="P13" s="140"/>
      <c r="Q13" s="140"/>
      <c r="R13" s="140"/>
      <c r="S13" s="140"/>
      <c r="T13" s="140"/>
      <c r="U13" s="140"/>
      <c r="V13" s="140"/>
      <c r="W13" s="140"/>
      <c r="X13" s="140"/>
      <c r="Y13" s="140"/>
      <c r="Z13" s="140"/>
    </row>
    <row r="14" spans="1:26" ht="13.2" x14ac:dyDescent="0.25">
      <c r="A14" s="284"/>
      <c r="B14" s="285"/>
      <c r="C14" s="140"/>
      <c r="D14" s="140"/>
      <c r="E14" s="140"/>
      <c r="F14" s="285"/>
      <c r="G14" s="140"/>
      <c r="H14" s="140"/>
      <c r="I14" s="285"/>
      <c r="J14" s="285"/>
      <c r="K14" s="281"/>
      <c r="L14" s="140"/>
      <c r="M14" s="140"/>
      <c r="N14" s="140"/>
      <c r="O14" s="281"/>
      <c r="P14" s="140"/>
      <c r="Q14" s="140"/>
      <c r="R14" s="140"/>
      <c r="S14" s="140"/>
      <c r="T14" s="140"/>
      <c r="U14" s="140"/>
      <c r="V14" s="140"/>
      <c r="W14" s="140"/>
      <c r="X14" s="140"/>
      <c r="Y14" s="140"/>
      <c r="Z14" s="140"/>
    </row>
    <row r="15" spans="1:26" ht="13.2" x14ac:dyDescent="0.25">
      <c r="A15" s="284"/>
      <c r="B15" s="285"/>
      <c r="C15" s="140"/>
      <c r="D15" s="140"/>
      <c r="E15" s="140"/>
      <c r="F15" s="285"/>
      <c r="G15" s="140"/>
      <c r="H15" s="140"/>
      <c r="I15" s="285"/>
      <c r="J15" s="285"/>
      <c r="K15" s="281"/>
      <c r="L15" s="140"/>
      <c r="M15" s="140"/>
      <c r="N15" s="140"/>
      <c r="O15" s="281"/>
      <c r="P15" s="140"/>
      <c r="Q15" s="140"/>
      <c r="R15" s="140"/>
      <c r="S15" s="140"/>
      <c r="T15" s="140"/>
      <c r="U15" s="140"/>
      <c r="V15" s="140"/>
      <c r="W15" s="140"/>
      <c r="X15" s="140"/>
      <c r="Y15" s="140"/>
      <c r="Z15" s="140"/>
    </row>
    <row r="16" spans="1:26" ht="13.2" x14ac:dyDescent="0.25">
      <c r="A16" s="284"/>
      <c r="B16" s="285"/>
      <c r="C16" s="140"/>
      <c r="D16" s="140"/>
      <c r="E16" s="140"/>
      <c r="F16" s="285"/>
      <c r="G16" s="140"/>
      <c r="H16" s="140"/>
      <c r="I16" s="285"/>
      <c r="J16" s="285"/>
      <c r="K16" s="281"/>
      <c r="L16" s="140"/>
      <c r="M16" s="140"/>
      <c r="N16" s="140"/>
      <c r="O16" s="281"/>
      <c r="P16" s="140"/>
      <c r="Q16" s="140"/>
      <c r="R16" s="140"/>
      <c r="S16" s="140"/>
      <c r="T16" s="140"/>
      <c r="U16" s="140"/>
      <c r="V16" s="140"/>
      <c r="W16" s="140"/>
      <c r="X16" s="140"/>
      <c r="Y16" s="140"/>
      <c r="Z16" s="140"/>
    </row>
    <row r="17" spans="1:26" ht="15.75" customHeight="1" x14ac:dyDescent="0.25">
      <c r="A17" s="284"/>
      <c r="B17" s="285"/>
      <c r="C17" s="140"/>
      <c r="D17" s="140"/>
      <c r="E17" s="140"/>
      <c r="F17" s="285"/>
      <c r="G17" s="140"/>
      <c r="H17" s="140"/>
      <c r="I17" s="285"/>
      <c r="J17" s="285"/>
      <c r="K17" s="281"/>
      <c r="L17" s="140"/>
      <c r="M17" s="140"/>
      <c r="N17" s="140"/>
      <c r="O17" s="281"/>
      <c r="P17" s="140"/>
      <c r="Q17" s="140"/>
      <c r="R17" s="140"/>
      <c r="S17" s="140"/>
      <c r="T17" s="140"/>
      <c r="U17" s="140"/>
      <c r="V17" s="140"/>
      <c r="W17" s="140"/>
      <c r="X17" s="140"/>
      <c r="Y17" s="140"/>
      <c r="Z17" s="140"/>
    </row>
    <row r="18" spans="1:26" ht="15.75" customHeight="1" x14ac:dyDescent="0.25">
      <c r="A18" s="284"/>
      <c r="B18" s="285"/>
      <c r="C18" s="140"/>
      <c r="D18" s="140"/>
      <c r="E18" s="140"/>
      <c r="F18" s="285"/>
      <c r="G18" s="140"/>
      <c r="H18" s="140"/>
      <c r="I18" s="285"/>
      <c r="J18" s="285"/>
      <c r="K18" s="281"/>
      <c r="L18" s="140"/>
      <c r="M18" s="140"/>
      <c r="N18" s="140"/>
      <c r="O18" s="281"/>
      <c r="P18" s="140"/>
      <c r="Q18" s="140"/>
      <c r="R18" s="140"/>
      <c r="S18" s="140"/>
      <c r="T18" s="140"/>
      <c r="U18" s="140"/>
      <c r="V18" s="140"/>
      <c r="W18" s="140"/>
      <c r="X18" s="140"/>
      <c r="Y18" s="140"/>
      <c r="Z18" s="140"/>
    </row>
    <row r="19" spans="1:26" ht="15.75" customHeight="1" x14ac:dyDescent="0.25">
      <c r="A19" s="284"/>
      <c r="B19" s="285"/>
      <c r="C19" s="140"/>
      <c r="D19" s="140"/>
      <c r="E19" s="140"/>
      <c r="F19" s="285"/>
      <c r="G19" s="140"/>
      <c r="H19" s="140"/>
      <c r="I19" s="285"/>
      <c r="J19" s="285"/>
      <c r="K19" s="281"/>
      <c r="L19" s="140"/>
      <c r="M19" s="140"/>
      <c r="N19" s="140"/>
      <c r="O19" s="281"/>
      <c r="P19" s="140"/>
      <c r="Q19" s="140"/>
      <c r="R19" s="140"/>
      <c r="S19" s="140"/>
      <c r="T19" s="140"/>
      <c r="U19" s="140"/>
      <c r="V19" s="140"/>
      <c r="W19" s="140"/>
      <c r="X19" s="140"/>
      <c r="Y19" s="140"/>
      <c r="Z19" s="140"/>
    </row>
    <row r="20" spans="1:26" ht="15.75" customHeight="1" x14ac:dyDescent="0.25">
      <c r="A20" s="284"/>
      <c r="B20" s="285"/>
      <c r="C20" s="140"/>
      <c r="D20" s="140"/>
      <c r="E20" s="140"/>
      <c r="F20" s="285"/>
      <c r="G20" s="140"/>
      <c r="H20" s="140"/>
      <c r="I20" s="285"/>
      <c r="J20" s="285"/>
      <c r="K20" s="281"/>
      <c r="L20" s="140"/>
      <c r="M20" s="140"/>
      <c r="N20" s="140"/>
      <c r="O20" s="281"/>
      <c r="P20" s="140"/>
      <c r="Q20" s="140"/>
      <c r="R20" s="140"/>
      <c r="S20" s="140"/>
      <c r="T20" s="140"/>
      <c r="U20" s="140"/>
      <c r="V20" s="140"/>
      <c r="W20" s="140"/>
      <c r="X20" s="140"/>
      <c r="Y20" s="140"/>
      <c r="Z20" s="140"/>
    </row>
    <row r="21" spans="1:26" ht="15.75" customHeight="1" x14ac:dyDescent="0.25">
      <c r="A21" s="284"/>
      <c r="B21" s="285"/>
      <c r="C21" s="140"/>
      <c r="D21" s="140"/>
      <c r="E21" s="140"/>
      <c r="F21" s="285"/>
      <c r="G21" s="140"/>
      <c r="H21" s="140"/>
      <c r="I21" s="285"/>
      <c r="J21" s="285"/>
      <c r="K21" s="281"/>
      <c r="L21" s="140"/>
      <c r="M21" s="140"/>
      <c r="N21" s="140"/>
      <c r="O21" s="281"/>
      <c r="P21" s="140"/>
      <c r="Q21" s="140"/>
      <c r="R21" s="140"/>
      <c r="S21" s="140"/>
      <c r="T21" s="140"/>
      <c r="U21" s="140"/>
      <c r="V21" s="140"/>
      <c r="W21" s="140"/>
      <c r="X21" s="140"/>
      <c r="Y21" s="140"/>
      <c r="Z21" s="140"/>
    </row>
    <row r="22" spans="1:26" ht="15.75" customHeight="1" x14ac:dyDescent="0.25">
      <c r="A22" s="284"/>
      <c r="B22" s="285"/>
      <c r="C22" s="140"/>
      <c r="D22" s="140"/>
      <c r="E22" s="140"/>
      <c r="F22" s="285"/>
      <c r="G22" s="140"/>
      <c r="H22" s="140"/>
      <c r="I22" s="285"/>
      <c r="J22" s="285"/>
      <c r="K22" s="281"/>
      <c r="L22" s="140"/>
      <c r="M22" s="140"/>
      <c r="N22" s="140"/>
      <c r="O22" s="281"/>
      <c r="P22" s="140"/>
      <c r="Q22" s="140"/>
      <c r="R22" s="140"/>
      <c r="S22" s="140"/>
      <c r="T22" s="140"/>
      <c r="U22" s="140"/>
      <c r="V22" s="140"/>
      <c r="W22" s="140"/>
      <c r="X22" s="140"/>
      <c r="Y22" s="140"/>
      <c r="Z22" s="140"/>
    </row>
    <row r="23" spans="1:26" ht="15.75" customHeight="1" x14ac:dyDescent="0.25">
      <c r="A23" s="284"/>
      <c r="B23" s="285"/>
      <c r="C23" s="140"/>
      <c r="D23" s="140"/>
      <c r="E23" s="140"/>
      <c r="F23" s="285"/>
      <c r="G23" s="140"/>
      <c r="H23" s="140"/>
      <c r="I23" s="285"/>
      <c r="J23" s="285"/>
      <c r="K23" s="281"/>
      <c r="L23" s="140"/>
      <c r="M23" s="140"/>
      <c r="N23" s="140"/>
      <c r="O23" s="281"/>
      <c r="P23" s="140"/>
      <c r="Q23" s="140"/>
      <c r="R23" s="140"/>
      <c r="S23" s="140"/>
      <c r="T23" s="140"/>
      <c r="U23" s="140"/>
      <c r="V23" s="140"/>
      <c r="W23" s="140"/>
      <c r="X23" s="140"/>
      <c r="Y23" s="140"/>
      <c r="Z23" s="140"/>
    </row>
    <row r="24" spans="1:26" ht="15.75" customHeight="1" x14ac:dyDescent="0.25">
      <c r="A24" s="284"/>
      <c r="B24" s="285"/>
      <c r="C24" s="140"/>
      <c r="D24" s="140"/>
      <c r="E24" s="140"/>
      <c r="F24" s="285"/>
      <c r="G24" s="140"/>
      <c r="H24" s="140"/>
      <c r="I24" s="285"/>
      <c r="J24" s="285"/>
      <c r="K24" s="281"/>
      <c r="L24" s="140"/>
      <c r="M24" s="140"/>
      <c r="N24" s="140"/>
      <c r="O24" s="281"/>
      <c r="P24" s="140"/>
      <c r="Q24" s="140"/>
      <c r="R24" s="140"/>
      <c r="S24" s="140"/>
      <c r="T24" s="140"/>
      <c r="U24" s="140"/>
      <c r="V24" s="140"/>
      <c r="W24" s="140"/>
      <c r="X24" s="140"/>
      <c r="Y24" s="140"/>
      <c r="Z24" s="140"/>
    </row>
    <row r="25" spans="1:26" ht="15.75" customHeight="1" x14ac:dyDescent="0.25">
      <c r="A25" s="284"/>
      <c r="B25" s="285"/>
      <c r="C25" s="140"/>
      <c r="D25" s="140"/>
      <c r="E25" s="140"/>
      <c r="F25" s="285"/>
      <c r="G25" s="140"/>
      <c r="H25" s="140"/>
      <c r="I25" s="285"/>
      <c r="J25" s="285"/>
      <c r="K25" s="281"/>
      <c r="L25" s="140"/>
      <c r="M25" s="140"/>
      <c r="N25" s="140"/>
      <c r="O25" s="281"/>
      <c r="P25" s="140"/>
      <c r="Q25" s="140"/>
      <c r="R25" s="140"/>
      <c r="S25" s="140"/>
      <c r="T25" s="140"/>
      <c r="U25" s="140"/>
      <c r="V25" s="140"/>
      <c r="W25" s="140"/>
      <c r="X25" s="140"/>
      <c r="Y25" s="140"/>
      <c r="Z25" s="140"/>
    </row>
    <row r="26" spans="1:26" ht="15.75" customHeight="1" x14ac:dyDescent="0.25">
      <c r="A26" s="284"/>
      <c r="B26" s="285"/>
      <c r="C26" s="140"/>
      <c r="D26" s="140"/>
      <c r="E26" s="140"/>
      <c r="F26" s="285"/>
      <c r="G26" s="140"/>
      <c r="H26" s="140"/>
      <c r="I26" s="285"/>
      <c r="J26" s="285"/>
      <c r="K26" s="281"/>
      <c r="L26" s="140"/>
      <c r="M26" s="140"/>
      <c r="N26" s="140"/>
      <c r="O26" s="281"/>
      <c r="P26" s="140"/>
      <c r="Q26" s="140"/>
      <c r="R26" s="140"/>
      <c r="S26" s="140"/>
      <c r="T26" s="140"/>
      <c r="U26" s="140"/>
      <c r="V26" s="140"/>
      <c r="W26" s="140"/>
      <c r="X26" s="140"/>
      <c r="Y26" s="140"/>
      <c r="Z26" s="140"/>
    </row>
    <row r="27" spans="1:26" ht="15.75" customHeight="1" x14ac:dyDescent="0.25">
      <c r="A27" s="284"/>
      <c r="B27" s="285"/>
      <c r="C27" s="140"/>
      <c r="D27" s="140"/>
      <c r="E27" s="140"/>
      <c r="F27" s="285"/>
      <c r="G27" s="140"/>
      <c r="H27" s="140"/>
      <c r="I27" s="285"/>
      <c r="J27" s="285"/>
      <c r="K27" s="281"/>
      <c r="L27" s="140"/>
      <c r="M27" s="140"/>
      <c r="N27" s="140"/>
      <c r="O27" s="281"/>
      <c r="P27" s="140"/>
      <c r="Q27" s="140"/>
      <c r="R27" s="140"/>
      <c r="S27" s="140"/>
      <c r="T27" s="140"/>
      <c r="U27" s="140"/>
      <c r="V27" s="140"/>
      <c r="W27" s="140"/>
      <c r="X27" s="140"/>
      <c r="Y27" s="140"/>
      <c r="Z27" s="140"/>
    </row>
    <row r="28" spans="1:26" ht="15.75" customHeight="1" x14ac:dyDescent="0.25">
      <c r="A28" s="284"/>
      <c r="B28" s="285"/>
      <c r="C28" s="140"/>
      <c r="D28" s="140"/>
      <c r="E28" s="140"/>
      <c r="F28" s="285"/>
      <c r="G28" s="140"/>
      <c r="H28" s="140"/>
      <c r="I28" s="285"/>
      <c r="J28" s="285"/>
      <c r="K28" s="281"/>
      <c r="L28" s="140"/>
      <c r="M28" s="140"/>
      <c r="N28" s="140"/>
      <c r="O28" s="281"/>
      <c r="P28" s="140"/>
      <c r="Q28" s="140"/>
      <c r="R28" s="140"/>
      <c r="S28" s="140"/>
      <c r="T28" s="140"/>
      <c r="U28" s="140"/>
      <c r="V28" s="140"/>
      <c r="W28" s="140"/>
      <c r="X28" s="140"/>
      <c r="Y28" s="140"/>
      <c r="Z28" s="140"/>
    </row>
    <row r="29" spans="1:26" ht="15.75" customHeight="1" x14ac:dyDescent="0.25">
      <c r="A29" s="284"/>
      <c r="B29" s="285"/>
      <c r="C29" s="140"/>
      <c r="D29" s="140"/>
      <c r="E29" s="140"/>
      <c r="F29" s="285"/>
      <c r="G29" s="140"/>
      <c r="H29" s="140"/>
      <c r="I29" s="285"/>
      <c r="J29" s="285"/>
      <c r="K29" s="281"/>
      <c r="L29" s="140"/>
      <c r="M29" s="140"/>
      <c r="N29" s="140"/>
      <c r="O29" s="281"/>
      <c r="P29" s="140"/>
      <c r="Q29" s="140"/>
      <c r="R29" s="140"/>
      <c r="S29" s="140"/>
      <c r="T29" s="140"/>
      <c r="U29" s="140"/>
      <c r="V29" s="140"/>
      <c r="W29" s="140"/>
      <c r="X29" s="140"/>
      <c r="Y29" s="140"/>
      <c r="Z29" s="140"/>
    </row>
    <row r="30" spans="1:26" ht="15.75" customHeight="1" x14ac:dyDescent="0.25">
      <c r="A30" s="284"/>
      <c r="B30" s="285"/>
      <c r="C30" s="140"/>
      <c r="D30" s="140"/>
      <c r="E30" s="140"/>
      <c r="F30" s="285"/>
      <c r="G30" s="140"/>
      <c r="H30" s="140"/>
      <c r="I30" s="285"/>
      <c r="J30" s="285"/>
      <c r="K30" s="281"/>
      <c r="L30" s="140"/>
      <c r="M30" s="140"/>
      <c r="N30" s="140"/>
      <c r="O30" s="281"/>
      <c r="P30" s="140"/>
      <c r="Q30" s="140"/>
      <c r="R30" s="140"/>
      <c r="S30" s="140"/>
      <c r="T30" s="140"/>
      <c r="U30" s="140"/>
      <c r="V30" s="140"/>
      <c r="W30" s="140"/>
      <c r="X30" s="140"/>
      <c r="Y30" s="140"/>
      <c r="Z30" s="140"/>
    </row>
    <row r="31" spans="1:26" ht="15.75" customHeight="1" x14ac:dyDescent="0.25">
      <c r="A31" s="284"/>
      <c r="B31" s="285"/>
      <c r="C31" s="140"/>
      <c r="D31" s="140"/>
      <c r="E31" s="140"/>
      <c r="F31" s="285"/>
      <c r="G31" s="140"/>
      <c r="H31" s="140"/>
      <c r="I31" s="285"/>
      <c r="J31" s="285"/>
      <c r="K31" s="281"/>
      <c r="L31" s="140"/>
      <c r="M31" s="140"/>
      <c r="N31" s="140"/>
      <c r="O31" s="281"/>
      <c r="P31" s="140"/>
      <c r="Q31" s="140"/>
      <c r="R31" s="140"/>
      <c r="S31" s="140"/>
      <c r="T31" s="140"/>
      <c r="U31" s="140"/>
      <c r="V31" s="140"/>
      <c r="W31" s="140"/>
      <c r="X31" s="140"/>
      <c r="Y31" s="140"/>
      <c r="Z31" s="140"/>
    </row>
    <row r="32" spans="1:26" ht="15.75" customHeight="1" x14ac:dyDescent="0.25">
      <c r="A32" s="284"/>
      <c r="B32" s="285"/>
      <c r="C32" s="140"/>
      <c r="D32" s="140"/>
      <c r="E32" s="140"/>
      <c r="F32" s="285"/>
      <c r="G32" s="140"/>
      <c r="H32" s="140"/>
      <c r="I32" s="285"/>
      <c r="J32" s="285"/>
      <c r="K32" s="281"/>
      <c r="L32" s="140"/>
      <c r="M32" s="140"/>
      <c r="N32" s="140"/>
      <c r="O32" s="281"/>
      <c r="P32" s="140"/>
      <c r="Q32" s="140"/>
      <c r="R32" s="140"/>
      <c r="S32" s="140"/>
      <c r="T32" s="140"/>
      <c r="U32" s="140"/>
      <c r="V32" s="140"/>
      <c r="W32" s="140"/>
      <c r="X32" s="140"/>
      <c r="Y32" s="140"/>
      <c r="Z32" s="140"/>
    </row>
    <row r="33" spans="1:26" ht="15.75" customHeight="1" x14ac:dyDescent="0.25">
      <c r="A33" s="284"/>
      <c r="B33" s="285"/>
      <c r="C33" s="140"/>
      <c r="D33" s="140"/>
      <c r="E33" s="140"/>
      <c r="F33" s="285"/>
      <c r="G33" s="140"/>
      <c r="H33" s="140"/>
      <c r="I33" s="285"/>
      <c r="J33" s="285"/>
      <c r="K33" s="281"/>
      <c r="L33" s="140"/>
      <c r="M33" s="140"/>
      <c r="N33" s="140"/>
      <c r="O33" s="281"/>
      <c r="P33" s="140"/>
      <c r="Q33" s="140"/>
      <c r="R33" s="140"/>
      <c r="S33" s="140"/>
      <c r="T33" s="140"/>
      <c r="U33" s="140"/>
      <c r="V33" s="140"/>
      <c r="W33" s="140"/>
      <c r="X33" s="140"/>
      <c r="Y33" s="140"/>
      <c r="Z33" s="140"/>
    </row>
    <row r="34" spans="1:26" ht="15.75" customHeight="1" x14ac:dyDescent="0.25">
      <c r="A34" s="284"/>
      <c r="B34" s="285"/>
      <c r="C34" s="140"/>
      <c r="D34" s="140"/>
      <c r="E34" s="140"/>
      <c r="F34" s="285"/>
      <c r="G34" s="140"/>
      <c r="H34" s="140"/>
      <c r="I34" s="285"/>
      <c r="J34" s="285"/>
      <c r="K34" s="281"/>
      <c r="L34" s="140"/>
      <c r="M34" s="140"/>
      <c r="N34" s="140"/>
      <c r="O34" s="281"/>
      <c r="P34" s="140"/>
      <c r="Q34" s="140"/>
      <c r="R34" s="140"/>
      <c r="S34" s="140"/>
      <c r="T34" s="140"/>
      <c r="U34" s="140"/>
      <c r="V34" s="140"/>
      <c r="W34" s="140"/>
      <c r="X34" s="140"/>
      <c r="Y34" s="140"/>
      <c r="Z34" s="140"/>
    </row>
    <row r="35" spans="1:26" ht="15.75" customHeight="1" x14ac:dyDescent="0.25">
      <c r="A35" s="284"/>
      <c r="B35" s="285"/>
      <c r="C35" s="140"/>
      <c r="D35" s="140"/>
      <c r="E35" s="140"/>
      <c r="F35" s="285"/>
      <c r="G35" s="140"/>
      <c r="H35" s="140"/>
      <c r="I35" s="285"/>
      <c r="J35" s="285"/>
      <c r="K35" s="281"/>
      <c r="L35" s="140"/>
      <c r="M35" s="140"/>
      <c r="N35" s="140"/>
      <c r="O35" s="281"/>
      <c r="P35" s="140"/>
      <c r="Q35" s="140"/>
      <c r="R35" s="140"/>
      <c r="S35" s="140"/>
      <c r="T35" s="140"/>
      <c r="U35" s="140"/>
      <c r="V35" s="140"/>
      <c r="W35" s="140"/>
      <c r="X35" s="140"/>
      <c r="Y35" s="140"/>
      <c r="Z35" s="140"/>
    </row>
    <row r="36" spans="1:26" ht="15.75" customHeight="1" x14ac:dyDescent="0.25">
      <c r="A36" s="284"/>
      <c r="B36" s="285"/>
      <c r="C36" s="140"/>
      <c r="D36" s="140"/>
      <c r="E36" s="140"/>
      <c r="F36" s="285"/>
      <c r="G36" s="140"/>
      <c r="H36" s="140"/>
      <c r="I36" s="285"/>
      <c r="J36" s="285"/>
      <c r="K36" s="281"/>
      <c r="L36" s="140"/>
      <c r="M36" s="140"/>
      <c r="N36" s="140"/>
      <c r="O36" s="281"/>
      <c r="P36" s="140"/>
      <c r="Q36" s="140"/>
      <c r="R36" s="140"/>
      <c r="S36" s="140"/>
      <c r="T36" s="140"/>
      <c r="U36" s="140"/>
      <c r="V36" s="140"/>
      <c r="W36" s="140"/>
      <c r="X36" s="140"/>
      <c r="Y36" s="140"/>
      <c r="Z36" s="140"/>
    </row>
    <row r="37" spans="1:26" ht="15.75" customHeight="1" x14ac:dyDescent="0.25">
      <c r="A37" s="284"/>
      <c r="B37" s="285"/>
      <c r="C37" s="140"/>
      <c r="D37" s="140"/>
      <c r="E37" s="140"/>
      <c r="F37" s="285"/>
      <c r="G37" s="140"/>
      <c r="H37" s="140"/>
      <c r="I37" s="285"/>
      <c r="J37" s="285"/>
      <c r="K37" s="281"/>
      <c r="L37" s="140"/>
      <c r="M37" s="140"/>
      <c r="N37" s="140"/>
      <c r="O37" s="281"/>
      <c r="P37" s="140"/>
      <c r="Q37" s="140"/>
      <c r="R37" s="140"/>
      <c r="S37" s="140"/>
      <c r="T37" s="140"/>
      <c r="U37" s="140"/>
      <c r="V37" s="140"/>
      <c r="W37" s="140"/>
      <c r="X37" s="140"/>
      <c r="Y37" s="140"/>
      <c r="Z37" s="140"/>
    </row>
    <row r="38" spans="1:26" ht="15.75" customHeight="1" x14ac:dyDescent="0.25">
      <c r="A38" s="284"/>
      <c r="B38" s="285"/>
      <c r="C38" s="140"/>
      <c r="D38" s="140"/>
      <c r="E38" s="140"/>
      <c r="F38" s="285"/>
      <c r="G38" s="140"/>
      <c r="H38" s="140"/>
      <c r="I38" s="285"/>
      <c r="J38" s="285"/>
      <c r="K38" s="281"/>
      <c r="L38" s="140"/>
      <c r="M38" s="140"/>
      <c r="N38" s="140"/>
      <c r="O38" s="281"/>
      <c r="P38" s="140"/>
      <c r="Q38" s="140"/>
      <c r="R38" s="140"/>
      <c r="S38" s="140"/>
      <c r="T38" s="140"/>
      <c r="U38" s="140"/>
      <c r="V38" s="140"/>
      <c r="W38" s="140"/>
      <c r="X38" s="140"/>
      <c r="Y38" s="140"/>
      <c r="Z38" s="140"/>
    </row>
    <row r="39" spans="1:26" ht="15.75" customHeight="1" x14ac:dyDescent="0.25">
      <c r="A39" s="284"/>
      <c r="B39" s="285"/>
      <c r="C39" s="140"/>
      <c r="D39" s="140"/>
      <c r="E39" s="140"/>
      <c r="F39" s="285"/>
      <c r="G39" s="140"/>
      <c r="H39" s="140"/>
      <c r="I39" s="285"/>
      <c r="J39" s="285"/>
      <c r="K39" s="281"/>
      <c r="L39" s="140"/>
      <c r="M39" s="140"/>
      <c r="N39" s="140"/>
      <c r="O39" s="281"/>
      <c r="P39" s="140"/>
      <c r="Q39" s="140"/>
      <c r="R39" s="140"/>
      <c r="S39" s="140"/>
      <c r="T39" s="140"/>
      <c r="U39" s="140"/>
      <c r="V39" s="140"/>
      <c r="W39" s="140"/>
      <c r="X39" s="140"/>
      <c r="Y39" s="140"/>
      <c r="Z39" s="140"/>
    </row>
    <row r="40" spans="1:26" ht="15.75" customHeight="1" x14ac:dyDescent="0.25">
      <c r="A40" s="284"/>
      <c r="B40" s="285"/>
      <c r="C40" s="140"/>
      <c r="D40" s="140"/>
      <c r="E40" s="140"/>
      <c r="F40" s="285"/>
      <c r="G40" s="140"/>
      <c r="H40" s="140"/>
      <c r="I40" s="285"/>
      <c r="J40" s="285"/>
      <c r="K40" s="281"/>
      <c r="L40" s="140"/>
      <c r="M40" s="140"/>
      <c r="N40" s="140"/>
      <c r="O40" s="281"/>
      <c r="P40" s="140"/>
      <c r="Q40" s="140"/>
      <c r="R40" s="140"/>
      <c r="S40" s="140"/>
      <c r="T40" s="140"/>
      <c r="U40" s="140"/>
      <c r="V40" s="140"/>
      <c r="W40" s="140"/>
      <c r="X40" s="140"/>
      <c r="Y40" s="140"/>
      <c r="Z40" s="140"/>
    </row>
    <row r="41" spans="1:26" ht="15.75" customHeight="1" x14ac:dyDescent="0.25">
      <c r="A41" s="284"/>
      <c r="B41" s="285"/>
      <c r="C41" s="140"/>
      <c r="D41" s="140"/>
      <c r="E41" s="140"/>
      <c r="F41" s="285"/>
      <c r="G41" s="140"/>
      <c r="H41" s="140"/>
      <c r="I41" s="285"/>
      <c r="J41" s="285"/>
      <c r="K41" s="281"/>
      <c r="L41" s="140"/>
      <c r="M41" s="140"/>
      <c r="N41" s="140"/>
      <c r="O41" s="281"/>
      <c r="P41" s="140"/>
      <c r="Q41" s="140"/>
      <c r="R41" s="140"/>
      <c r="S41" s="140"/>
      <c r="T41" s="140"/>
      <c r="U41" s="140"/>
      <c r="V41" s="140"/>
      <c r="W41" s="140"/>
      <c r="X41" s="140"/>
      <c r="Y41" s="140"/>
      <c r="Z41" s="140"/>
    </row>
    <row r="42" spans="1:26" ht="15.75" customHeight="1" x14ac:dyDescent="0.25">
      <c r="A42" s="284"/>
      <c r="B42" s="285"/>
      <c r="C42" s="140"/>
      <c r="D42" s="140"/>
      <c r="E42" s="140"/>
      <c r="F42" s="285"/>
      <c r="G42" s="140"/>
      <c r="H42" s="140"/>
      <c r="I42" s="285"/>
      <c r="J42" s="285"/>
      <c r="K42" s="281"/>
      <c r="L42" s="140"/>
      <c r="M42" s="140"/>
      <c r="N42" s="140"/>
      <c r="O42" s="281"/>
      <c r="P42" s="140"/>
      <c r="Q42" s="140"/>
      <c r="R42" s="140"/>
      <c r="S42" s="140"/>
      <c r="T42" s="140"/>
      <c r="U42" s="140"/>
      <c r="V42" s="140"/>
      <c r="W42" s="140"/>
      <c r="X42" s="140"/>
      <c r="Y42" s="140"/>
      <c r="Z42" s="140"/>
    </row>
    <row r="43" spans="1:26" ht="15.75" customHeight="1" x14ac:dyDescent="0.25">
      <c r="A43" s="284"/>
      <c r="B43" s="285"/>
      <c r="C43" s="140"/>
      <c r="D43" s="140"/>
      <c r="E43" s="140"/>
      <c r="F43" s="285"/>
      <c r="G43" s="140"/>
      <c r="H43" s="140"/>
      <c r="I43" s="285"/>
      <c r="J43" s="285"/>
      <c r="K43" s="281"/>
      <c r="L43" s="140"/>
      <c r="M43" s="140"/>
      <c r="N43" s="140"/>
      <c r="O43" s="281"/>
      <c r="P43" s="140"/>
      <c r="Q43" s="140"/>
      <c r="R43" s="140"/>
      <c r="S43" s="140"/>
      <c r="T43" s="140"/>
      <c r="U43" s="140"/>
      <c r="V43" s="140"/>
      <c r="W43" s="140"/>
      <c r="X43" s="140"/>
      <c r="Y43" s="140"/>
      <c r="Z43" s="140"/>
    </row>
    <row r="44" spans="1:26" ht="15.75" customHeight="1" x14ac:dyDescent="0.25">
      <c r="A44" s="284"/>
      <c r="B44" s="285"/>
      <c r="C44" s="140"/>
      <c r="D44" s="140"/>
      <c r="E44" s="140"/>
      <c r="F44" s="285"/>
      <c r="G44" s="140"/>
      <c r="H44" s="140"/>
      <c r="I44" s="285"/>
      <c r="J44" s="285"/>
      <c r="K44" s="281"/>
      <c r="L44" s="140"/>
      <c r="M44" s="140"/>
      <c r="N44" s="140"/>
      <c r="O44" s="281"/>
      <c r="P44" s="140"/>
      <c r="Q44" s="140"/>
      <c r="R44" s="140"/>
      <c r="S44" s="140"/>
      <c r="T44" s="140"/>
      <c r="U44" s="140"/>
      <c r="V44" s="140"/>
      <c r="W44" s="140"/>
      <c r="X44" s="140"/>
      <c r="Y44" s="140"/>
      <c r="Z44" s="140"/>
    </row>
    <row r="45" spans="1:26" ht="15.75" customHeight="1" x14ac:dyDescent="0.25">
      <c r="A45" s="284"/>
      <c r="B45" s="285"/>
      <c r="C45" s="140"/>
      <c r="D45" s="140"/>
      <c r="E45" s="140"/>
      <c r="F45" s="285"/>
      <c r="G45" s="140"/>
      <c r="H45" s="140"/>
      <c r="I45" s="285"/>
      <c r="J45" s="285"/>
      <c r="K45" s="281"/>
      <c r="L45" s="140"/>
      <c r="M45" s="140"/>
      <c r="N45" s="140"/>
      <c r="O45" s="281"/>
      <c r="P45" s="140"/>
      <c r="Q45" s="140"/>
      <c r="R45" s="140"/>
      <c r="S45" s="140"/>
      <c r="T45" s="140"/>
      <c r="U45" s="140"/>
      <c r="V45" s="140"/>
      <c r="W45" s="140"/>
      <c r="X45" s="140"/>
      <c r="Y45" s="140"/>
      <c r="Z45" s="140"/>
    </row>
    <row r="46" spans="1:26" ht="15.75" customHeight="1" x14ac:dyDescent="0.25">
      <c r="A46" s="284"/>
      <c r="B46" s="285"/>
      <c r="C46" s="140"/>
      <c r="D46" s="140"/>
      <c r="E46" s="140"/>
      <c r="F46" s="285"/>
      <c r="G46" s="140"/>
      <c r="H46" s="140"/>
      <c r="I46" s="285"/>
      <c r="J46" s="285"/>
      <c r="K46" s="281"/>
      <c r="L46" s="140"/>
      <c r="M46" s="140"/>
      <c r="N46" s="140"/>
      <c r="O46" s="281"/>
      <c r="P46" s="140"/>
      <c r="Q46" s="140"/>
      <c r="R46" s="140"/>
      <c r="S46" s="140"/>
      <c r="T46" s="140"/>
      <c r="U46" s="140"/>
      <c r="V46" s="140"/>
      <c r="W46" s="140"/>
      <c r="X46" s="140"/>
      <c r="Y46" s="140"/>
      <c r="Z46" s="140"/>
    </row>
    <row r="47" spans="1:26" ht="15.75" customHeight="1" x14ac:dyDescent="0.25">
      <c r="A47" s="284"/>
      <c r="B47" s="285"/>
      <c r="C47" s="140"/>
      <c r="D47" s="140"/>
      <c r="E47" s="140"/>
      <c r="F47" s="285"/>
      <c r="G47" s="140"/>
      <c r="H47" s="140"/>
      <c r="I47" s="285"/>
      <c r="J47" s="285"/>
      <c r="K47" s="281"/>
      <c r="L47" s="140"/>
      <c r="M47" s="140"/>
      <c r="N47" s="140"/>
      <c r="O47" s="281"/>
      <c r="P47" s="140"/>
      <c r="Q47" s="140"/>
      <c r="R47" s="140"/>
      <c r="S47" s="140"/>
      <c r="T47" s="140"/>
      <c r="U47" s="140"/>
      <c r="V47" s="140"/>
      <c r="W47" s="140"/>
      <c r="X47" s="140"/>
      <c r="Y47" s="140"/>
      <c r="Z47" s="140"/>
    </row>
    <row r="48" spans="1:26" ht="15.75" customHeight="1" x14ac:dyDescent="0.25">
      <c r="A48" s="284"/>
      <c r="B48" s="285"/>
      <c r="C48" s="140"/>
      <c r="D48" s="140"/>
      <c r="E48" s="140"/>
      <c r="F48" s="285"/>
      <c r="G48" s="140"/>
      <c r="H48" s="140"/>
      <c r="I48" s="285"/>
      <c r="J48" s="285"/>
      <c r="K48" s="281"/>
      <c r="L48" s="140"/>
      <c r="M48" s="140"/>
      <c r="N48" s="140"/>
      <c r="O48" s="281"/>
      <c r="P48" s="140"/>
      <c r="Q48" s="140"/>
      <c r="R48" s="140"/>
      <c r="S48" s="140"/>
      <c r="T48" s="140"/>
      <c r="U48" s="140"/>
      <c r="V48" s="140"/>
      <c r="W48" s="140"/>
      <c r="X48" s="140"/>
      <c r="Y48" s="140"/>
      <c r="Z48" s="140"/>
    </row>
    <row r="49" spans="1:26" ht="15.75" customHeight="1" x14ac:dyDescent="0.25">
      <c r="A49" s="284"/>
      <c r="B49" s="285"/>
      <c r="C49" s="140"/>
      <c r="D49" s="140"/>
      <c r="E49" s="140"/>
      <c r="F49" s="285"/>
      <c r="G49" s="140"/>
      <c r="H49" s="140"/>
      <c r="I49" s="285"/>
      <c r="J49" s="285"/>
      <c r="K49" s="281"/>
      <c r="L49" s="140"/>
      <c r="M49" s="140"/>
      <c r="N49" s="140"/>
      <c r="O49" s="281"/>
      <c r="P49" s="140"/>
      <c r="Q49" s="140"/>
      <c r="R49" s="140"/>
      <c r="S49" s="140"/>
      <c r="T49" s="140"/>
      <c r="U49" s="140"/>
      <c r="V49" s="140"/>
      <c r="W49" s="140"/>
      <c r="X49" s="140"/>
      <c r="Y49" s="140"/>
      <c r="Z49" s="140"/>
    </row>
    <row r="50" spans="1:26" ht="15.75" customHeight="1" x14ac:dyDescent="0.25">
      <c r="A50" s="284"/>
      <c r="B50" s="285"/>
      <c r="C50" s="140"/>
      <c r="D50" s="140"/>
      <c r="E50" s="140"/>
      <c r="F50" s="285"/>
      <c r="G50" s="140"/>
      <c r="H50" s="140"/>
      <c r="I50" s="285"/>
      <c r="J50" s="285"/>
      <c r="K50" s="281"/>
      <c r="L50" s="140"/>
      <c r="M50" s="140"/>
      <c r="N50" s="140"/>
      <c r="O50" s="281"/>
      <c r="P50" s="140"/>
      <c r="Q50" s="140"/>
      <c r="R50" s="140"/>
      <c r="S50" s="140"/>
      <c r="T50" s="140"/>
      <c r="U50" s="140"/>
      <c r="V50" s="140"/>
      <c r="W50" s="140"/>
      <c r="X50" s="140"/>
      <c r="Y50" s="140"/>
      <c r="Z50" s="140"/>
    </row>
    <row r="51" spans="1:26" ht="15.75" customHeight="1" x14ac:dyDescent="0.25">
      <c r="A51" s="284"/>
      <c r="B51" s="285"/>
      <c r="C51" s="140"/>
      <c r="D51" s="140"/>
      <c r="E51" s="140"/>
      <c r="F51" s="285"/>
      <c r="G51" s="140"/>
      <c r="H51" s="140"/>
      <c r="I51" s="285"/>
      <c r="J51" s="285"/>
      <c r="K51" s="281"/>
      <c r="L51" s="140"/>
      <c r="M51" s="140"/>
      <c r="N51" s="140"/>
      <c r="O51" s="281"/>
      <c r="P51" s="140"/>
      <c r="Q51" s="140"/>
      <c r="R51" s="140"/>
      <c r="S51" s="140"/>
      <c r="T51" s="140"/>
      <c r="U51" s="140"/>
      <c r="V51" s="140"/>
      <c r="W51" s="140"/>
      <c r="X51" s="140"/>
      <c r="Y51" s="140"/>
      <c r="Z51" s="140"/>
    </row>
    <row r="52" spans="1:26" ht="15.75" customHeight="1" x14ac:dyDescent="0.25">
      <c r="A52" s="284"/>
      <c r="B52" s="285"/>
      <c r="C52" s="140"/>
      <c r="D52" s="140"/>
      <c r="E52" s="140"/>
      <c r="F52" s="285"/>
      <c r="G52" s="140"/>
      <c r="H52" s="140"/>
      <c r="I52" s="285"/>
      <c r="J52" s="285"/>
      <c r="K52" s="281"/>
      <c r="L52" s="140"/>
      <c r="M52" s="140"/>
      <c r="N52" s="140"/>
      <c r="O52" s="281"/>
      <c r="P52" s="140"/>
      <c r="Q52" s="140"/>
      <c r="R52" s="140"/>
      <c r="S52" s="140"/>
      <c r="T52" s="140"/>
      <c r="U52" s="140"/>
      <c r="V52" s="140"/>
      <c r="W52" s="140"/>
      <c r="X52" s="140"/>
      <c r="Y52" s="140"/>
      <c r="Z52" s="140"/>
    </row>
    <row r="53" spans="1:26" ht="15.75" customHeight="1" x14ac:dyDescent="0.25">
      <c r="A53" s="284"/>
      <c r="B53" s="285"/>
      <c r="C53" s="140"/>
      <c r="D53" s="140"/>
      <c r="E53" s="140"/>
      <c r="F53" s="285"/>
      <c r="G53" s="140"/>
      <c r="H53" s="140"/>
      <c r="I53" s="285"/>
      <c r="J53" s="285"/>
      <c r="K53" s="281"/>
      <c r="L53" s="140"/>
      <c r="M53" s="140"/>
      <c r="N53" s="140"/>
      <c r="O53" s="281"/>
      <c r="P53" s="140"/>
      <c r="Q53" s="140"/>
      <c r="R53" s="140"/>
      <c r="S53" s="140"/>
      <c r="T53" s="140"/>
      <c r="U53" s="140"/>
      <c r="V53" s="140"/>
      <c r="W53" s="140"/>
      <c r="X53" s="140"/>
      <c r="Y53" s="140"/>
      <c r="Z53" s="140"/>
    </row>
    <row r="54" spans="1:26" ht="15.75" customHeight="1" x14ac:dyDescent="0.25">
      <c r="A54" s="284"/>
      <c r="B54" s="285"/>
      <c r="C54" s="140"/>
      <c r="D54" s="140"/>
      <c r="E54" s="140"/>
      <c r="F54" s="285"/>
      <c r="G54" s="140"/>
      <c r="H54" s="140"/>
      <c r="I54" s="285"/>
      <c r="J54" s="285"/>
      <c r="K54" s="281"/>
      <c r="L54" s="140"/>
      <c r="M54" s="140"/>
      <c r="N54" s="140"/>
      <c r="O54" s="281"/>
      <c r="P54" s="140"/>
      <c r="Q54" s="140"/>
      <c r="R54" s="140"/>
      <c r="S54" s="140"/>
      <c r="T54" s="140"/>
      <c r="U54" s="140"/>
      <c r="V54" s="140"/>
      <c r="W54" s="140"/>
      <c r="X54" s="140"/>
      <c r="Y54" s="140"/>
      <c r="Z54" s="140"/>
    </row>
    <row r="55" spans="1:26" ht="15.75" customHeight="1" x14ac:dyDescent="0.25">
      <c r="A55" s="284"/>
      <c r="B55" s="285"/>
      <c r="C55" s="140"/>
      <c r="D55" s="140"/>
      <c r="E55" s="140"/>
      <c r="F55" s="285"/>
      <c r="G55" s="140"/>
      <c r="H55" s="140"/>
      <c r="I55" s="285"/>
      <c r="J55" s="285"/>
      <c r="K55" s="281"/>
      <c r="L55" s="140"/>
      <c r="M55" s="140"/>
      <c r="N55" s="140"/>
      <c r="O55" s="281"/>
      <c r="P55" s="140"/>
      <c r="Q55" s="140"/>
      <c r="R55" s="140"/>
      <c r="S55" s="140"/>
      <c r="T55" s="140"/>
      <c r="U55" s="140"/>
      <c r="V55" s="140"/>
      <c r="W55" s="140"/>
      <c r="X55" s="140"/>
      <c r="Y55" s="140"/>
      <c r="Z55" s="140"/>
    </row>
    <row r="56" spans="1:26" ht="15.75" customHeight="1" x14ac:dyDescent="0.25">
      <c r="A56" s="284"/>
      <c r="B56" s="285"/>
      <c r="C56" s="140"/>
      <c r="D56" s="140"/>
      <c r="E56" s="140"/>
      <c r="F56" s="285"/>
      <c r="G56" s="140"/>
      <c r="H56" s="140"/>
      <c r="I56" s="285"/>
      <c r="J56" s="285"/>
      <c r="K56" s="281"/>
      <c r="L56" s="140"/>
      <c r="M56" s="140"/>
      <c r="N56" s="140"/>
      <c r="O56" s="281"/>
      <c r="P56" s="140"/>
      <c r="Q56" s="140"/>
      <c r="R56" s="140"/>
      <c r="S56" s="140"/>
      <c r="T56" s="140"/>
      <c r="U56" s="140"/>
      <c r="V56" s="140"/>
      <c r="W56" s="140"/>
      <c r="X56" s="140"/>
      <c r="Y56" s="140"/>
      <c r="Z56" s="140"/>
    </row>
    <row r="57" spans="1:26" ht="15.75" customHeight="1" x14ac:dyDescent="0.25">
      <c r="A57" s="284"/>
      <c r="B57" s="285"/>
      <c r="C57" s="140"/>
      <c r="D57" s="140"/>
      <c r="E57" s="140"/>
      <c r="F57" s="285"/>
      <c r="G57" s="140"/>
      <c r="H57" s="140"/>
      <c r="I57" s="285"/>
      <c r="J57" s="285"/>
      <c r="K57" s="281"/>
      <c r="L57" s="140"/>
      <c r="M57" s="140"/>
      <c r="N57" s="140"/>
      <c r="O57" s="281"/>
      <c r="P57" s="140"/>
      <c r="Q57" s="140"/>
      <c r="R57" s="140"/>
      <c r="S57" s="140"/>
      <c r="T57" s="140"/>
      <c r="U57" s="140"/>
      <c r="V57" s="140"/>
      <c r="W57" s="140"/>
      <c r="X57" s="140"/>
      <c r="Y57" s="140"/>
      <c r="Z57" s="140"/>
    </row>
    <row r="58" spans="1:26" ht="15.75" customHeight="1" x14ac:dyDescent="0.25">
      <c r="A58" s="284"/>
      <c r="B58" s="285"/>
      <c r="C58" s="140"/>
      <c r="D58" s="140"/>
      <c r="E58" s="140"/>
      <c r="F58" s="285"/>
      <c r="G58" s="140"/>
      <c r="H58" s="140"/>
      <c r="I58" s="285"/>
      <c r="J58" s="285"/>
      <c r="K58" s="281"/>
      <c r="L58" s="140"/>
      <c r="M58" s="140"/>
      <c r="N58" s="140"/>
      <c r="O58" s="281"/>
      <c r="P58" s="140"/>
      <c r="Q58" s="140"/>
      <c r="R58" s="140"/>
      <c r="S58" s="140"/>
      <c r="T58" s="140"/>
      <c r="U58" s="140"/>
      <c r="V58" s="140"/>
      <c r="W58" s="140"/>
      <c r="X58" s="140"/>
      <c r="Y58" s="140"/>
      <c r="Z58" s="140"/>
    </row>
    <row r="59" spans="1:26" ht="15.75" customHeight="1" x14ac:dyDescent="0.25">
      <c r="A59" s="284"/>
      <c r="B59" s="285"/>
      <c r="C59" s="140"/>
      <c r="D59" s="140"/>
      <c r="E59" s="140"/>
      <c r="F59" s="285"/>
      <c r="G59" s="140"/>
      <c r="H59" s="140"/>
      <c r="I59" s="285"/>
      <c r="J59" s="285"/>
      <c r="K59" s="281"/>
      <c r="L59" s="140"/>
      <c r="M59" s="140"/>
      <c r="N59" s="140"/>
      <c r="O59" s="281"/>
      <c r="P59" s="140"/>
      <c r="Q59" s="140"/>
      <c r="R59" s="140"/>
      <c r="S59" s="140"/>
      <c r="T59" s="140"/>
      <c r="U59" s="140"/>
      <c r="V59" s="140"/>
      <c r="W59" s="140"/>
      <c r="X59" s="140"/>
      <c r="Y59" s="140"/>
      <c r="Z59" s="140"/>
    </row>
    <row r="60" spans="1:26" ht="15.75" customHeight="1" x14ac:dyDescent="0.25">
      <c r="A60" s="284"/>
      <c r="B60" s="285"/>
      <c r="C60" s="140"/>
      <c r="D60" s="140"/>
      <c r="E60" s="140"/>
      <c r="F60" s="285"/>
      <c r="G60" s="140"/>
      <c r="H60" s="140"/>
      <c r="I60" s="285"/>
      <c r="J60" s="285"/>
      <c r="K60" s="281"/>
      <c r="L60" s="140"/>
      <c r="M60" s="140"/>
      <c r="N60" s="140"/>
      <c r="O60" s="281"/>
      <c r="P60" s="140"/>
      <c r="Q60" s="140"/>
      <c r="R60" s="140"/>
      <c r="S60" s="140"/>
      <c r="T60" s="140"/>
      <c r="U60" s="140"/>
      <c r="V60" s="140"/>
      <c r="W60" s="140"/>
      <c r="X60" s="140"/>
      <c r="Y60" s="140"/>
      <c r="Z60" s="140"/>
    </row>
    <row r="61" spans="1:26" ht="15.75" customHeight="1" x14ac:dyDescent="0.25">
      <c r="A61" s="284"/>
      <c r="B61" s="285"/>
      <c r="C61" s="140"/>
      <c r="D61" s="140"/>
      <c r="E61" s="140"/>
      <c r="F61" s="285"/>
      <c r="G61" s="140"/>
      <c r="H61" s="140"/>
      <c r="I61" s="285"/>
      <c r="J61" s="285"/>
      <c r="K61" s="281"/>
      <c r="L61" s="140"/>
      <c r="M61" s="140"/>
      <c r="N61" s="140"/>
      <c r="O61" s="281"/>
      <c r="P61" s="140"/>
      <c r="Q61" s="140"/>
      <c r="R61" s="140"/>
      <c r="S61" s="140"/>
      <c r="T61" s="140"/>
      <c r="U61" s="140"/>
      <c r="V61" s="140"/>
      <c r="W61" s="140"/>
      <c r="X61" s="140"/>
      <c r="Y61" s="140"/>
      <c r="Z61" s="140"/>
    </row>
    <row r="62" spans="1:26" ht="15.75" customHeight="1" x14ac:dyDescent="0.25">
      <c r="A62" s="284"/>
      <c r="B62" s="285"/>
      <c r="C62" s="140"/>
      <c r="D62" s="140"/>
      <c r="E62" s="140"/>
      <c r="F62" s="285"/>
      <c r="G62" s="140"/>
      <c r="H62" s="140"/>
      <c r="I62" s="285"/>
      <c r="J62" s="285"/>
      <c r="K62" s="281"/>
      <c r="L62" s="140"/>
      <c r="M62" s="140"/>
      <c r="N62" s="140"/>
      <c r="O62" s="281"/>
      <c r="P62" s="140"/>
      <c r="Q62" s="140"/>
      <c r="R62" s="140"/>
      <c r="S62" s="140"/>
      <c r="T62" s="140"/>
      <c r="U62" s="140"/>
      <c r="V62" s="140"/>
      <c r="W62" s="140"/>
      <c r="X62" s="140"/>
      <c r="Y62" s="140"/>
      <c r="Z62" s="140"/>
    </row>
    <row r="63" spans="1:26" ht="15.75" customHeight="1" x14ac:dyDescent="0.25">
      <c r="A63" s="284"/>
      <c r="B63" s="285"/>
      <c r="C63" s="140"/>
      <c r="D63" s="140"/>
      <c r="E63" s="140"/>
      <c r="F63" s="285"/>
      <c r="G63" s="140"/>
      <c r="H63" s="140"/>
      <c r="I63" s="285"/>
      <c r="J63" s="285"/>
      <c r="K63" s="281"/>
      <c r="L63" s="140"/>
      <c r="M63" s="140"/>
      <c r="N63" s="140"/>
      <c r="O63" s="281"/>
      <c r="P63" s="140"/>
      <c r="Q63" s="140"/>
      <c r="R63" s="140"/>
      <c r="S63" s="140"/>
      <c r="T63" s="140"/>
      <c r="U63" s="140"/>
      <c r="V63" s="140"/>
      <c r="W63" s="140"/>
      <c r="X63" s="140"/>
      <c r="Y63" s="140"/>
      <c r="Z63" s="140"/>
    </row>
    <row r="64" spans="1:26" ht="15.75" customHeight="1" x14ac:dyDescent="0.25">
      <c r="A64" s="284"/>
      <c r="B64" s="285"/>
      <c r="C64" s="140"/>
      <c r="D64" s="140"/>
      <c r="E64" s="140"/>
      <c r="F64" s="285"/>
      <c r="G64" s="140"/>
      <c r="H64" s="140"/>
      <c r="I64" s="285"/>
      <c r="J64" s="285"/>
      <c r="K64" s="281"/>
      <c r="L64" s="140"/>
      <c r="M64" s="140"/>
      <c r="N64" s="140"/>
      <c r="O64" s="281"/>
      <c r="P64" s="140"/>
      <c r="Q64" s="140"/>
      <c r="R64" s="140"/>
      <c r="S64" s="140"/>
      <c r="T64" s="140"/>
      <c r="U64" s="140"/>
      <c r="V64" s="140"/>
      <c r="W64" s="140"/>
      <c r="X64" s="140"/>
      <c r="Y64" s="140"/>
      <c r="Z64" s="140"/>
    </row>
    <row r="65" spans="1:26" ht="15.75" customHeight="1" x14ac:dyDescent="0.25">
      <c r="A65" s="284"/>
      <c r="B65" s="285"/>
      <c r="C65" s="140"/>
      <c r="D65" s="140"/>
      <c r="E65" s="140"/>
      <c r="F65" s="285"/>
      <c r="G65" s="140"/>
      <c r="H65" s="140"/>
      <c r="I65" s="285"/>
      <c r="J65" s="285"/>
      <c r="K65" s="281"/>
      <c r="L65" s="140"/>
      <c r="M65" s="140"/>
      <c r="N65" s="140"/>
      <c r="O65" s="281"/>
      <c r="P65" s="140"/>
      <c r="Q65" s="140"/>
      <c r="R65" s="140"/>
      <c r="S65" s="140"/>
      <c r="T65" s="140"/>
      <c r="U65" s="140"/>
      <c r="V65" s="140"/>
      <c r="W65" s="140"/>
      <c r="X65" s="140"/>
      <c r="Y65" s="140"/>
      <c r="Z65" s="140"/>
    </row>
    <row r="66" spans="1:26" ht="15.75" customHeight="1" x14ac:dyDescent="0.25">
      <c r="A66" s="284"/>
      <c r="B66" s="285"/>
      <c r="C66" s="140"/>
      <c r="D66" s="140"/>
      <c r="E66" s="140"/>
      <c r="F66" s="285"/>
      <c r="G66" s="140"/>
      <c r="H66" s="140"/>
      <c r="I66" s="285"/>
      <c r="J66" s="285"/>
      <c r="K66" s="281"/>
      <c r="L66" s="140"/>
      <c r="M66" s="140"/>
      <c r="N66" s="140"/>
      <c r="O66" s="281"/>
      <c r="P66" s="140"/>
      <c r="Q66" s="140"/>
      <c r="R66" s="140"/>
      <c r="S66" s="140"/>
      <c r="T66" s="140"/>
      <c r="U66" s="140"/>
      <c r="V66" s="140"/>
      <c r="W66" s="140"/>
      <c r="X66" s="140"/>
      <c r="Y66" s="140"/>
      <c r="Z66" s="140"/>
    </row>
    <row r="67" spans="1:26" ht="15.75" customHeight="1" x14ac:dyDescent="0.25">
      <c r="A67" s="284"/>
      <c r="B67" s="285"/>
      <c r="C67" s="140"/>
      <c r="D67" s="140"/>
      <c r="E67" s="140"/>
      <c r="F67" s="285"/>
      <c r="G67" s="140"/>
      <c r="H67" s="140"/>
      <c r="I67" s="285"/>
      <c r="J67" s="285"/>
      <c r="K67" s="281"/>
      <c r="L67" s="140"/>
      <c r="M67" s="140"/>
      <c r="N67" s="140"/>
      <c r="O67" s="281"/>
      <c r="P67" s="140"/>
      <c r="Q67" s="140"/>
      <c r="R67" s="140"/>
      <c r="S67" s="140"/>
      <c r="T67" s="140"/>
      <c r="U67" s="140"/>
      <c r="V67" s="140"/>
      <c r="W67" s="140"/>
      <c r="X67" s="140"/>
      <c r="Y67" s="140"/>
      <c r="Z67" s="140"/>
    </row>
    <row r="68" spans="1:26" ht="15.75" customHeight="1" x14ac:dyDescent="0.25">
      <c r="A68" s="284"/>
      <c r="B68" s="285"/>
      <c r="C68" s="140"/>
      <c r="D68" s="140"/>
      <c r="E68" s="140"/>
      <c r="F68" s="285"/>
      <c r="G68" s="140"/>
      <c r="H68" s="140"/>
      <c r="I68" s="285"/>
      <c r="J68" s="285"/>
      <c r="K68" s="281"/>
      <c r="L68" s="140"/>
      <c r="M68" s="140"/>
      <c r="N68" s="140"/>
      <c r="O68" s="281"/>
      <c r="P68" s="140"/>
      <c r="Q68" s="140"/>
      <c r="R68" s="140"/>
      <c r="S68" s="140"/>
      <c r="T68" s="140"/>
      <c r="U68" s="140"/>
      <c r="V68" s="140"/>
      <c r="W68" s="140"/>
      <c r="X68" s="140"/>
      <c r="Y68" s="140"/>
      <c r="Z68" s="140"/>
    </row>
    <row r="69" spans="1:26" ht="15.75" customHeight="1" x14ac:dyDescent="0.25">
      <c r="A69" s="284"/>
      <c r="B69" s="285"/>
      <c r="C69" s="140"/>
      <c r="D69" s="140"/>
      <c r="E69" s="140"/>
      <c r="F69" s="285"/>
      <c r="G69" s="140"/>
      <c r="H69" s="140"/>
      <c r="I69" s="285"/>
      <c r="J69" s="285"/>
      <c r="K69" s="281"/>
      <c r="L69" s="140"/>
      <c r="M69" s="140"/>
      <c r="N69" s="140"/>
      <c r="O69" s="281"/>
      <c r="P69" s="140"/>
      <c r="Q69" s="140"/>
      <c r="R69" s="140"/>
      <c r="S69" s="140"/>
      <c r="T69" s="140"/>
      <c r="U69" s="140"/>
      <c r="V69" s="140"/>
      <c r="W69" s="140"/>
      <c r="X69" s="140"/>
      <c r="Y69" s="140"/>
      <c r="Z69" s="140"/>
    </row>
    <row r="70" spans="1:26" ht="15.75" customHeight="1" x14ac:dyDescent="0.25">
      <c r="A70" s="284"/>
      <c r="B70" s="285"/>
      <c r="C70" s="140"/>
      <c r="D70" s="140"/>
      <c r="E70" s="140"/>
      <c r="F70" s="285"/>
      <c r="G70" s="140"/>
      <c r="H70" s="140"/>
      <c r="I70" s="285"/>
      <c r="J70" s="285"/>
      <c r="K70" s="281"/>
      <c r="L70" s="140"/>
      <c r="M70" s="140"/>
      <c r="N70" s="140"/>
      <c r="O70" s="281"/>
      <c r="P70" s="140"/>
      <c r="Q70" s="140"/>
      <c r="R70" s="140"/>
      <c r="S70" s="140"/>
      <c r="T70" s="140"/>
      <c r="U70" s="140"/>
      <c r="V70" s="140"/>
      <c r="W70" s="140"/>
      <c r="X70" s="140"/>
      <c r="Y70" s="140"/>
      <c r="Z70" s="140"/>
    </row>
    <row r="71" spans="1:26" ht="15.75" customHeight="1" x14ac:dyDescent="0.25">
      <c r="A71" s="284"/>
      <c r="B71" s="285"/>
      <c r="C71" s="140"/>
      <c r="D71" s="140"/>
      <c r="E71" s="140"/>
      <c r="F71" s="285"/>
      <c r="G71" s="140"/>
      <c r="H71" s="140"/>
      <c r="I71" s="285"/>
      <c r="J71" s="285"/>
      <c r="K71" s="281"/>
      <c r="L71" s="140"/>
      <c r="M71" s="140"/>
      <c r="N71" s="140"/>
      <c r="O71" s="281"/>
      <c r="P71" s="140"/>
      <c r="Q71" s="140"/>
      <c r="R71" s="140"/>
      <c r="S71" s="140"/>
      <c r="T71" s="140"/>
      <c r="U71" s="140"/>
      <c r="V71" s="140"/>
      <c r="W71" s="140"/>
      <c r="X71" s="140"/>
      <c r="Y71" s="140"/>
      <c r="Z71" s="140"/>
    </row>
    <row r="72" spans="1:26" ht="15.75" customHeight="1" x14ac:dyDescent="0.25">
      <c r="A72" s="284"/>
      <c r="B72" s="285"/>
      <c r="C72" s="140"/>
      <c r="D72" s="140"/>
      <c r="E72" s="140"/>
      <c r="F72" s="285"/>
      <c r="G72" s="140"/>
      <c r="H72" s="140"/>
      <c r="I72" s="285"/>
      <c r="J72" s="285"/>
      <c r="K72" s="281"/>
      <c r="L72" s="140"/>
      <c r="M72" s="140"/>
      <c r="N72" s="140"/>
      <c r="O72" s="281"/>
      <c r="P72" s="140"/>
      <c r="Q72" s="140"/>
      <c r="R72" s="140"/>
      <c r="S72" s="140"/>
      <c r="T72" s="140"/>
      <c r="U72" s="140"/>
      <c r="V72" s="140"/>
      <c r="W72" s="140"/>
      <c r="X72" s="140"/>
      <c r="Y72" s="140"/>
      <c r="Z72" s="140"/>
    </row>
    <row r="73" spans="1:26" ht="15.75" customHeight="1" x14ac:dyDescent="0.25">
      <c r="A73" s="284"/>
      <c r="B73" s="285"/>
      <c r="C73" s="140"/>
      <c r="D73" s="140"/>
      <c r="E73" s="140"/>
      <c r="F73" s="285"/>
      <c r="G73" s="140"/>
      <c r="H73" s="140"/>
      <c r="I73" s="285"/>
      <c r="J73" s="285"/>
      <c r="K73" s="281"/>
      <c r="L73" s="140"/>
      <c r="M73" s="140"/>
      <c r="N73" s="140"/>
      <c r="O73" s="281"/>
      <c r="P73" s="140"/>
      <c r="Q73" s="140"/>
      <c r="R73" s="140"/>
      <c r="S73" s="140"/>
      <c r="T73" s="140"/>
      <c r="U73" s="140"/>
      <c r="V73" s="140"/>
      <c r="W73" s="140"/>
      <c r="X73" s="140"/>
      <c r="Y73" s="140"/>
      <c r="Z73" s="140"/>
    </row>
    <row r="74" spans="1:26" ht="15.75" customHeight="1" x14ac:dyDescent="0.25">
      <c r="A74" s="284"/>
      <c r="B74" s="285"/>
      <c r="C74" s="140"/>
      <c r="D74" s="140"/>
      <c r="E74" s="140"/>
      <c r="F74" s="285"/>
      <c r="G74" s="140"/>
      <c r="H74" s="140"/>
      <c r="I74" s="285"/>
      <c r="J74" s="285"/>
      <c r="K74" s="281"/>
      <c r="L74" s="140"/>
      <c r="M74" s="140"/>
      <c r="N74" s="140"/>
      <c r="O74" s="281"/>
      <c r="P74" s="140"/>
      <c r="Q74" s="140"/>
      <c r="R74" s="140"/>
      <c r="S74" s="140"/>
      <c r="T74" s="140"/>
      <c r="U74" s="140"/>
      <c r="V74" s="140"/>
      <c r="W74" s="140"/>
      <c r="X74" s="140"/>
      <c r="Y74" s="140"/>
      <c r="Z74" s="140"/>
    </row>
    <row r="75" spans="1:26" ht="15.75" customHeight="1" x14ac:dyDescent="0.25">
      <c r="A75" s="284"/>
      <c r="B75" s="285"/>
      <c r="C75" s="140"/>
      <c r="D75" s="140"/>
      <c r="E75" s="140"/>
      <c r="F75" s="285"/>
      <c r="G75" s="140"/>
      <c r="H75" s="140"/>
      <c r="I75" s="285"/>
      <c r="J75" s="285"/>
      <c r="K75" s="281"/>
      <c r="L75" s="140"/>
      <c r="M75" s="140"/>
      <c r="N75" s="140"/>
      <c r="O75" s="281"/>
      <c r="P75" s="140"/>
      <c r="Q75" s="140"/>
      <c r="R75" s="140"/>
      <c r="S75" s="140"/>
      <c r="T75" s="140"/>
      <c r="U75" s="140"/>
      <c r="V75" s="140"/>
      <c r="W75" s="140"/>
      <c r="X75" s="140"/>
      <c r="Y75" s="140"/>
      <c r="Z75" s="140"/>
    </row>
    <row r="76" spans="1:26" ht="15.75" customHeight="1" x14ac:dyDescent="0.25">
      <c r="A76" s="284"/>
      <c r="B76" s="285"/>
      <c r="C76" s="140"/>
      <c r="D76" s="140"/>
      <c r="E76" s="140"/>
      <c r="F76" s="285"/>
      <c r="G76" s="140"/>
      <c r="H76" s="140"/>
      <c r="I76" s="285"/>
      <c r="J76" s="285"/>
      <c r="K76" s="281"/>
      <c r="L76" s="140"/>
      <c r="M76" s="140"/>
      <c r="N76" s="140"/>
      <c r="O76" s="281"/>
      <c r="P76" s="140"/>
      <c r="Q76" s="140"/>
      <c r="R76" s="140"/>
      <c r="S76" s="140"/>
      <c r="T76" s="140"/>
      <c r="U76" s="140"/>
      <c r="V76" s="140"/>
      <c r="W76" s="140"/>
      <c r="X76" s="140"/>
      <c r="Y76" s="140"/>
      <c r="Z76" s="140"/>
    </row>
    <row r="77" spans="1:26" ht="15.75" customHeight="1" x14ac:dyDescent="0.25">
      <c r="A77" s="284"/>
      <c r="B77" s="285"/>
      <c r="C77" s="140"/>
      <c r="D77" s="140"/>
      <c r="E77" s="140"/>
      <c r="F77" s="285"/>
      <c r="G77" s="140"/>
      <c r="H77" s="140"/>
      <c r="I77" s="285"/>
      <c r="J77" s="285"/>
      <c r="K77" s="281"/>
      <c r="L77" s="140"/>
      <c r="M77" s="140"/>
      <c r="N77" s="140"/>
      <c r="O77" s="281"/>
      <c r="P77" s="140"/>
      <c r="Q77" s="140"/>
      <c r="R77" s="140"/>
      <c r="S77" s="140"/>
      <c r="T77" s="140"/>
      <c r="U77" s="140"/>
      <c r="V77" s="140"/>
      <c r="W77" s="140"/>
      <c r="X77" s="140"/>
      <c r="Y77" s="140"/>
      <c r="Z77" s="140"/>
    </row>
    <row r="78" spans="1:26" ht="15.75" customHeight="1" x14ac:dyDescent="0.25">
      <c r="A78" s="284"/>
      <c r="B78" s="285"/>
      <c r="C78" s="140"/>
      <c r="D78" s="140"/>
      <c r="E78" s="140"/>
      <c r="F78" s="285"/>
      <c r="G78" s="140"/>
      <c r="H78" s="140"/>
      <c r="I78" s="285"/>
      <c r="J78" s="285"/>
      <c r="K78" s="281"/>
      <c r="L78" s="140"/>
      <c r="M78" s="140"/>
      <c r="N78" s="140"/>
      <c r="O78" s="281"/>
      <c r="P78" s="140"/>
      <c r="Q78" s="140"/>
      <c r="R78" s="140"/>
      <c r="S78" s="140"/>
      <c r="T78" s="140"/>
      <c r="U78" s="140"/>
      <c r="V78" s="140"/>
      <c r="W78" s="140"/>
      <c r="X78" s="140"/>
      <c r="Y78" s="140"/>
      <c r="Z78" s="140"/>
    </row>
    <row r="79" spans="1:26" ht="15.75" customHeight="1" x14ac:dyDescent="0.25">
      <c r="A79" s="284"/>
      <c r="B79" s="285"/>
      <c r="C79" s="140"/>
      <c r="D79" s="140"/>
      <c r="E79" s="140"/>
      <c r="F79" s="285"/>
      <c r="G79" s="140"/>
      <c r="H79" s="140"/>
      <c r="I79" s="285"/>
      <c r="J79" s="285"/>
      <c r="K79" s="281"/>
      <c r="L79" s="140"/>
      <c r="M79" s="140"/>
      <c r="N79" s="140"/>
      <c r="O79" s="281"/>
      <c r="P79" s="140"/>
      <c r="Q79" s="140"/>
      <c r="R79" s="140"/>
      <c r="S79" s="140"/>
      <c r="T79" s="140"/>
      <c r="U79" s="140"/>
      <c r="V79" s="140"/>
      <c r="W79" s="140"/>
      <c r="X79" s="140"/>
      <c r="Y79" s="140"/>
      <c r="Z79" s="140"/>
    </row>
    <row r="80" spans="1:26" ht="15.75" customHeight="1" x14ac:dyDescent="0.25">
      <c r="A80" s="284"/>
      <c r="B80" s="285"/>
      <c r="C80" s="140"/>
      <c r="D80" s="140"/>
      <c r="E80" s="140"/>
      <c r="F80" s="285"/>
      <c r="G80" s="140"/>
      <c r="H80" s="140"/>
      <c r="I80" s="285"/>
      <c r="J80" s="285"/>
      <c r="K80" s="281"/>
      <c r="L80" s="140"/>
      <c r="M80" s="140"/>
      <c r="N80" s="140"/>
      <c r="O80" s="281"/>
      <c r="P80" s="140"/>
      <c r="Q80" s="140"/>
      <c r="R80" s="140"/>
      <c r="S80" s="140"/>
      <c r="T80" s="140"/>
      <c r="U80" s="140"/>
      <c r="V80" s="140"/>
      <c r="W80" s="140"/>
      <c r="X80" s="140"/>
      <c r="Y80" s="140"/>
      <c r="Z80" s="140"/>
    </row>
    <row r="81" spans="1:26" ht="15.75" customHeight="1" x14ac:dyDescent="0.25">
      <c r="A81" s="284"/>
      <c r="B81" s="285"/>
      <c r="C81" s="140"/>
      <c r="D81" s="140"/>
      <c r="E81" s="140"/>
      <c r="F81" s="285"/>
      <c r="G81" s="140"/>
      <c r="H81" s="140"/>
      <c r="I81" s="285"/>
      <c r="J81" s="285"/>
      <c r="K81" s="281"/>
      <c r="L81" s="140"/>
      <c r="M81" s="140"/>
      <c r="N81" s="140"/>
      <c r="O81" s="281"/>
      <c r="P81" s="140"/>
      <c r="Q81" s="140"/>
      <c r="R81" s="140"/>
      <c r="S81" s="140"/>
      <c r="T81" s="140"/>
      <c r="U81" s="140"/>
      <c r="V81" s="140"/>
      <c r="W81" s="140"/>
      <c r="X81" s="140"/>
      <c r="Y81" s="140"/>
      <c r="Z81" s="140"/>
    </row>
    <row r="82" spans="1:26" ht="15.75" customHeight="1" x14ac:dyDescent="0.25">
      <c r="A82" s="284"/>
      <c r="B82" s="285"/>
      <c r="C82" s="140"/>
      <c r="D82" s="140"/>
      <c r="E82" s="140"/>
      <c r="F82" s="285"/>
      <c r="G82" s="140"/>
      <c r="H82" s="140"/>
      <c r="I82" s="285"/>
      <c r="J82" s="285"/>
      <c r="K82" s="281"/>
      <c r="L82" s="140"/>
      <c r="M82" s="140"/>
      <c r="N82" s="140"/>
      <c r="O82" s="281"/>
      <c r="P82" s="140"/>
      <c r="Q82" s="140"/>
      <c r="R82" s="140"/>
      <c r="S82" s="140"/>
      <c r="T82" s="140"/>
      <c r="U82" s="140"/>
      <c r="V82" s="140"/>
      <c r="W82" s="140"/>
      <c r="X82" s="140"/>
      <c r="Y82" s="140"/>
      <c r="Z82" s="140"/>
    </row>
    <row r="83" spans="1:26" ht="15.75" customHeight="1" x14ac:dyDescent="0.25">
      <c r="A83" s="284"/>
      <c r="B83" s="285"/>
      <c r="C83" s="140"/>
      <c r="D83" s="140"/>
      <c r="E83" s="140"/>
      <c r="F83" s="285"/>
      <c r="G83" s="140"/>
      <c r="H83" s="140"/>
      <c r="I83" s="285"/>
      <c r="J83" s="285"/>
      <c r="K83" s="281"/>
      <c r="L83" s="140"/>
      <c r="M83" s="140"/>
      <c r="N83" s="140"/>
      <c r="O83" s="281"/>
      <c r="P83" s="140"/>
      <c r="Q83" s="140"/>
      <c r="R83" s="140"/>
      <c r="S83" s="140"/>
      <c r="T83" s="140"/>
      <c r="U83" s="140"/>
      <c r="V83" s="140"/>
      <c r="W83" s="140"/>
      <c r="X83" s="140"/>
      <c r="Y83" s="140"/>
      <c r="Z83" s="140"/>
    </row>
    <row r="84" spans="1:26" ht="15.75" customHeight="1" x14ac:dyDescent="0.25">
      <c r="A84" s="284"/>
      <c r="B84" s="285"/>
      <c r="C84" s="140"/>
      <c r="D84" s="140"/>
      <c r="E84" s="140"/>
      <c r="F84" s="285"/>
      <c r="G84" s="140"/>
      <c r="H84" s="140"/>
      <c r="I84" s="285"/>
      <c r="J84" s="285"/>
      <c r="K84" s="281"/>
      <c r="L84" s="140"/>
      <c r="M84" s="140"/>
      <c r="N84" s="140"/>
      <c r="O84" s="281"/>
      <c r="P84" s="140"/>
      <c r="Q84" s="140"/>
      <c r="R84" s="140"/>
      <c r="S84" s="140"/>
      <c r="T84" s="140"/>
      <c r="U84" s="140"/>
      <c r="V84" s="140"/>
      <c r="W84" s="140"/>
      <c r="X84" s="140"/>
      <c r="Y84" s="140"/>
      <c r="Z84" s="140"/>
    </row>
    <row r="85" spans="1:26" ht="15.75" customHeight="1" x14ac:dyDescent="0.25">
      <c r="A85" s="284"/>
      <c r="B85" s="285"/>
      <c r="C85" s="140"/>
      <c r="D85" s="140"/>
      <c r="E85" s="140"/>
      <c r="F85" s="285"/>
      <c r="G85" s="140"/>
      <c r="H85" s="140"/>
      <c r="I85" s="285"/>
      <c r="J85" s="285"/>
      <c r="K85" s="281"/>
      <c r="L85" s="140"/>
      <c r="M85" s="140"/>
      <c r="N85" s="140"/>
      <c r="O85" s="281"/>
      <c r="P85" s="140"/>
      <c r="Q85" s="140"/>
      <c r="R85" s="140"/>
      <c r="S85" s="140"/>
      <c r="T85" s="140"/>
      <c r="U85" s="140"/>
      <c r="V85" s="140"/>
      <c r="W85" s="140"/>
      <c r="X85" s="140"/>
      <c r="Y85" s="140"/>
      <c r="Z85" s="140"/>
    </row>
    <row r="86" spans="1:26" ht="15.75" customHeight="1" x14ac:dyDescent="0.25">
      <c r="A86" s="284"/>
      <c r="B86" s="285"/>
      <c r="C86" s="140"/>
      <c r="D86" s="140"/>
      <c r="E86" s="140"/>
      <c r="F86" s="285"/>
      <c r="G86" s="140"/>
      <c r="H86" s="140"/>
      <c r="I86" s="285"/>
      <c r="J86" s="285"/>
      <c r="K86" s="281"/>
      <c r="L86" s="140"/>
      <c r="M86" s="140"/>
      <c r="N86" s="140"/>
      <c r="O86" s="281"/>
      <c r="P86" s="140"/>
      <c r="Q86" s="140"/>
      <c r="R86" s="140"/>
      <c r="S86" s="140"/>
      <c r="T86" s="140"/>
      <c r="U86" s="140"/>
      <c r="V86" s="140"/>
      <c r="W86" s="140"/>
      <c r="X86" s="140"/>
      <c r="Y86" s="140"/>
      <c r="Z86" s="140"/>
    </row>
    <row r="87" spans="1:26" ht="15.75" customHeight="1" x14ac:dyDescent="0.25">
      <c r="A87" s="284"/>
      <c r="B87" s="285"/>
      <c r="C87" s="140"/>
      <c r="D87" s="140"/>
      <c r="E87" s="140"/>
      <c r="F87" s="285"/>
      <c r="G87" s="140"/>
      <c r="H87" s="140"/>
      <c r="I87" s="285"/>
      <c r="J87" s="285"/>
      <c r="K87" s="281"/>
      <c r="L87" s="140"/>
      <c r="M87" s="140"/>
      <c r="N87" s="140"/>
      <c r="O87" s="281"/>
      <c r="P87" s="140"/>
      <c r="Q87" s="140"/>
      <c r="R87" s="140"/>
      <c r="S87" s="140"/>
      <c r="T87" s="140"/>
      <c r="U87" s="140"/>
      <c r="V87" s="140"/>
      <c r="W87" s="140"/>
      <c r="X87" s="140"/>
      <c r="Y87" s="140"/>
      <c r="Z87" s="140"/>
    </row>
    <row r="88" spans="1:26" ht="15.75" customHeight="1" x14ac:dyDescent="0.25">
      <c r="A88" s="284"/>
      <c r="B88" s="285"/>
      <c r="C88" s="140"/>
      <c r="D88" s="140"/>
      <c r="E88" s="140"/>
      <c r="F88" s="285"/>
      <c r="G88" s="140"/>
      <c r="H88" s="140"/>
      <c r="I88" s="285"/>
      <c r="J88" s="285"/>
      <c r="K88" s="281"/>
      <c r="L88" s="140"/>
      <c r="M88" s="140"/>
      <c r="N88" s="140"/>
      <c r="O88" s="281"/>
      <c r="P88" s="140"/>
      <c r="Q88" s="140"/>
      <c r="R88" s="140"/>
      <c r="S88" s="140"/>
      <c r="T88" s="140"/>
      <c r="U88" s="140"/>
      <c r="V88" s="140"/>
      <c r="W88" s="140"/>
      <c r="X88" s="140"/>
      <c r="Y88" s="140"/>
      <c r="Z88" s="140"/>
    </row>
    <row r="89" spans="1:26" ht="15.75" customHeight="1" x14ac:dyDescent="0.25">
      <c r="A89" s="284"/>
      <c r="B89" s="285"/>
      <c r="C89" s="140"/>
      <c r="D89" s="140"/>
      <c r="E89" s="140"/>
      <c r="F89" s="285"/>
      <c r="G89" s="140"/>
      <c r="H89" s="140"/>
      <c r="I89" s="285"/>
      <c r="J89" s="285"/>
      <c r="K89" s="281"/>
      <c r="L89" s="140"/>
      <c r="M89" s="140"/>
      <c r="N89" s="140"/>
      <c r="O89" s="281"/>
      <c r="P89" s="140"/>
      <c r="Q89" s="140"/>
      <c r="R89" s="140"/>
      <c r="S89" s="140"/>
      <c r="T89" s="140"/>
      <c r="U89" s="140"/>
      <c r="V89" s="140"/>
      <c r="W89" s="140"/>
      <c r="X89" s="140"/>
      <c r="Y89" s="140"/>
      <c r="Z89" s="140"/>
    </row>
    <row r="90" spans="1:26" ht="15.75" customHeight="1" x14ac:dyDescent="0.25">
      <c r="A90" s="284"/>
      <c r="B90" s="285"/>
      <c r="C90" s="140"/>
      <c r="D90" s="140"/>
      <c r="E90" s="140"/>
      <c r="F90" s="285"/>
      <c r="G90" s="140"/>
      <c r="H90" s="140"/>
      <c r="I90" s="285"/>
      <c r="J90" s="285"/>
      <c r="K90" s="281"/>
      <c r="L90" s="140"/>
      <c r="M90" s="140"/>
      <c r="N90" s="140"/>
      <c r="O90" s="281"/>
      <c r="P90" s="140"/>
      <c r="Q90" s="140"/>
      <c r="R90" s="140"/>
      <c r="S90" s="140"/>
      <c r="T90" s="140"/>
      <c r="U90" s="140"/>
      <c r="V90" s="140"/>
      <c r="W90" s="140"/>
      <c r="X90" s="140"/>
      <c r="Y90" s="140"/>
      <c r="Z90" s="140"/>
    </row>
    <row r="91" spans="1:26" ht="15.75" customHeight="1" x14ac:dyDescent="0.25">
      <c r="A91" s="284"/>
      <c r="B91" s="285"/>
      <c r="C91" s="140"/>
      <c r="D91" s="140"/>
      <c r="E91" s="140"/>
      <c r="F91" s="285"/>
      <c r="G91" s="140"/>
      <c r="H91" s="140"/>
      <c r="I91" s="285"/>
      <c r="J91" s="285"/>
      <c r="K91" s="281"/>
      <c r="L91" s="140"/>
      <c r="M91" s="140"/>
      <c r="N91" s="140"/>
      <c r="O91" s="281"/>
      <c r="P91" s="140"/>
      <c r="Q91" s="140"/>
      <c r="R91" s="140"/>
      <c r="S91" s="140"/>
      <c r="T91" s="140"/>
      <c r="U91" s="140"/>
      <c r="V91" s="140"/>
      <c r="W91" s="140"/>
      <c r="X91" s="140"/>
      <c r="Y91" s="140"/>
      <c r="Z91" s="140"/>
    </row>
    <row r="92" spans="1:26" ht="15.75" customHeight="1" x14ac:dyDescent="0.25">
      <c r="A92" s="284"/>
      <c r="B92" s="285"/>
      <c r="C92" s="140"/>
      <c r="D92" s="140"/>
      <c r="E92" s="140"/>
      <c r="F92" s="285"/>
      <c r="G92" s="140"/>
      <c r="H92" s="140"/>
      <c r="I92" s="285"/>
      <c r="J92" s="285"/>
      <c r="K92" s="281"/>
      <c r="L92" s="140"/>
      <c r="M92" s="140"/>
      <c r="N92" s="140"/>
      <c r="O92" s="281"/>
      <c r="P92" s="140"/>
      <c r="Q92" s="140"/>
      <c r="R92" s="140"/>
      <c r="S92" s="140"/>
      <c r="T92" s="140"/>
      <c r="U92" s="140"/>
      <c r="V92" s="140"/>
      <c r="W92" s="140"/>
      <c r="X92" s="140"/>
      <c r="Y92" s="140"/>
      <c r="Z92" s="140"/>
    </row>
    <row r="93" spans="1:26" ht="15.75" customHeight="1" x14ac:dyDescent="0.25">
      <c r="A93" s="284"/>
      <c r="B93" s="285"/>
      <c r="C93" s="140"/>
      <c r="D93" s="140"/>
      <c r="E93" s="140"/>
      <c r="F93" s="285"/>
      <c r="G93" s="140"/>
      <c r="H93" s="140"/>
      <c r="I93" s="285"/>
      <c r="J93" s="285"/>
      <c r="K93" s="281"/>
      <c r="L93" s="140"/>
      <c r="M93" s="140"/>
      <c r="N93" s="140"/>
      <c r="O93" s="281"/>
      <c r="P93" s="140"/>
      <c r="Q93" s="140"/>
      <c r="R93" s="140"/>
      <c r="S93" s="140"/>
      <c r="T93" s="140"/>
      <c r="U93" s="140"/>
      <c r="V93" s="140"/>
      <c r="W93" s="140"/>
      <c r="X93" s="140"/>
      <c r="Y93" s="140"/>
      <c r="Z93" s="140"/>
    </row>
    <row r="94" spans="1:26" ht="15.75" customHeight="1" x14ac:dyDescent="0.25">
      <c r="A94" s="284"/>
      <c r="B94" s="285"/>
      <c r="C94" s="140"/>
      <c r="D94" s="140"/>
      <c r="E94" s="140"/>
      <c r="F94" s="285"/>
      <c r="G94" s="140"/>
      <c r="H94" s="140"/>
      <c r="I94" s="285"/>
      <c r="J94" s="285"/>
      <c r="K94" s="281"/>
      <c r="L94" s="140"/>
      <c r="M94" s="140"/>
      <c r="N94" s="140"/>
      <c r="O94" s="281"/>
      <c r="P94" s="140"/>
      <c r="Q94" s="140"/>
      <c r="R94" s="140"/>
      <c r="S94" s="140"/>
      <c r="T94" s="140"/>
      <c r="U94" s="140"/>
      <c r="V94" s="140"/>
      <c r="W94" s="140"/>
      <c r="X94" s="140"/>
      <c r="Y94" s="140"/>
      <c r="Z94" s="140"/>
    </row>
    <row r="95" spans="1:26" ht="15.75" customHeight="1" x14ac:dyDescent="0.25">
      <c r="A95" s="284"/>
      <c r="B95" s="285"/>
      <c r="C95" s="140"/>
      <c r="D95" s="140"/>
      <c r="E95" s="140"/>
      <c r="F95" s="285"/>
      <c r="G95" s="140"/>
      <c r="H95" s="140"/>
      <c r="I95" s="285"/>
      <c r="J95" s="285"/>
      <c r="K95" s="281"/>
      <c r="L95" s="140"/>
      <c r="M95" s="140"/>
      <c r="N95" s="140"/>
      <c r="O95" s="281"/>
      <c r="P95" s="140"/>
      <c r="Q95" s="140"/>
      <c r="R95" s="140"/>
      <c r="S95" s="140"/>
      <c r="T95" s="140"/>
      <c r="U95" s="140"/>
      <c r="V95" s="140"/>
      <c r="W95" s="140"/>
      <c r="X95" s="140"/>
      <c r="Y95" s="140"/>
      <c r="Z95" s="140"/>
    </row>
    <row r="96" spans="1:26" ht="15.75" customHeight="1" x14ac:dyDescent="0.25">
      <c r="A96" s="284"/>
      <c r="B96" s="285"/>
      <c r="C96" s="140"/>
      <c r="D96" s="140"/>
      <c r="E96" s="140"/>
      <c r="F96" s="285"/>
      <c r="G96" s="140"/>
      <c r="H96" s="140"/>
      <c r="I96" s="285"/>
      <c r="J96" s="285"/>
      <c r="K96" s="281"/>
      <c r="L96" s="140"/>
      <c r="M96" s="140"/>
      <c r="N96" s="140"/>
      <c r="O96" s="281"/>
      <c r="P96" s="140"/>
      <c r="Q96" s="140"/>
      <c r="R96" s="140"/>
      <c r="S96" s="140"/>
      <c r="T96" s="140"/>
      <c r="U96" s="140"/>
      <c r="V96" s="140"/>
      <c r="W96" s="140"/>
      <c r="X96" s="140"/>
      <c r="Y96" s="140"/>
      <c r="Z96" s="140"/>
    </row>
    <row r="97" spans="1:26" ht="15.75" customHeight="1" x14ac:dyDescent="0.25">
      <c r="A97" s="284"/>
      <c r="B97" s="285"/>
      <c r="C97" s="140"/>
      <c r="D97" s="140"/>
      <c r="E97" s="140"/>
      <c r="F97" s="285"/>
      <c r="G97" s="140"/>
      <c r="H97" s="140"/>
      <c r="I97" s="285"/>
      <c r="J97" s="285"/>
      <c r="K97" s="281"/>
      <c r="L97" s="140"/>
      <c r="M97" s="140"/>
      <c r="N97" s="140"/>
      <c r="O97" s="281"/>
      <c r="P97" s="140"/>
      <c r="Q97" s="140"/>
      <c r="R97" s="140"/>
      <c r="S97" s="140"/>
      <c r="T97" s="140"/>
      <c r="U97" s="140"/>
      <c r="V97" s="140"/>
      <c r="W97" s="140"/>
      <c r="X97" s="140"/>
      <c r="Y97" s="140"/>
      <c r="Z97" s="140"/>
    </row>
    <row r="98" spans="1:26" ht="15.75" customHeight="1" x14ac:dyDescent="0.25">
      <c r="A98" s="284"/>
      <c r="B98" s="285"/>
      <c r="C98" s="140"/>
      <c r="D98" s="140"/>
      <c r="E98" s="140"/>
      <c r="F98" s="285"/>
      <c r="G98" s="140"/>
      <c r="H98" s="140"/>
      <c r="I98" s="285"/>
      <c r="J98" s="285"/>
      <c r="K98" s="281"/>
      <c r="L98" s="140"/>
      <c r="M98" s="140"/>
      <c r="N98" s="140"/>
      <c r="O98" s="281"/>
      <c r="P98" s="140"/>
      <c r="Q98" s="140"/>
      <c r="R98" s="140"/>
      <c r="S98" s="140"/>
      <c r="T98" s="140"/>
      <c r="U98" s="140"/>
      <c r="V98" s="140"/>
      <c r="W98" s="140"/>
      <c r="X98" s="140"/>
      <c r="Y98" s="140"/>
      <c r="Z98" s="140"/>
    </row>
    <row r="99" spans="1:26" ht="15.75" customHeight="1" x14ac:dyDescent="0.25">
      <c r="A99" s="284"/>
      <c r="B99" s="285"/>
      <c r="C99" s="140"/>
      <c r="D99" s="140"/>
      <c r="E99" s="140"/>
      <c r="F99" s="285"/>
      <c r="G99" s="140"/>
      <c r="H99" s="140"/>
      <c r="I99" s="285"/>
      <c r="J99" s="285"/>
      <c r="K99" s="281"/>
      <c r="L99" s="140"/>
      <c r="M99" s="140"/>
      <c r="N99" s="140"/>
      <c r="O99" s="281"/>
      <c r="P99" s="140"/>
      <c r="Q99" s="140"/>
      <c r="R99" s="140"/>
      <c r="S99" s="140"/>
      <c r="T99" s="140"/>
      <c r="U99" s="140"/>
      <c r="V99" s="140"/>
      <c r="W99" s="140"/>
      <c r="X99" s="140"/>
      <c r="Y99" s="140"/>
      <c r="Z99" s="140"/>
    </row>
    <row r="100" spans="1:26" ht="15.75" customHeight="1" x14ac:dyDescent="0.25">
      <c r="A100" s="284"/>
      <c r="B100" s="285"/>
      <c r="C100" s="140"/>
      <c r="D100" s="140"/>
      <c r="E100" s="140"/>
      <c r="F100" s="285"/>
      <c r="G100" s="140"/>
      <c r="H100" s="140"/>
      <c r="I100" s="285"/>
      <c r="J100" s="285"/>
      <c r="K100" s="281"/>
      <c r="L100" s="140"/>
      <c r="M100" s="140"/>
      <c r="N100" s="140"/>
      <c r="O100" s="281"/>
      <c r="P100" s="140"/>
      <c r="Q100" s="140"/>
      <c r="R100" s="140"/>
      <c r="S100" s="140"/>
      <c r="T100" s="140"/>
      <c r="U100" s="140"/>
      <c r="V100" s="140"/>
      <c r="W100" s="140"/>
      <c r="X100" s="140"/>
      <c r="Y100" s="140"/>
      <c r="Z100" s="140"/>
    </row>
    <row r="101" spans="1:26" ht="15.75" customHeight="1" x14ac:dyDescent="0.25">
      <c r="A101" s="284"/>
      <c r="B101" s="285"/>
      <c r="C101" s="140"/>
      <c r="D101" s="140"/>
      <c r="E101" s="140"/>
      <c r="F101" s="285"/>
      <c r="G101" s="140"/>
      <c r="H101" s="140"/>
      <c r="I101" s="285"/>
      <c r="J101" s="285"/>
      <c r="K101" s="281"/>
      <c r="L101" s="140"/>
      <c r="M101" s="140"/>
      <c r="N101" s="140"/>
      <c r="O101" s="281"/>
      <c r="P101" s="140"/>
      <c r="Q101" s="140"/>
      <c r="R101" s="140"/>
      <c r="S101" s="140"/>
      <c r="T101" s="140"/>
      <c r="U101" s="140"/>
      <c r="V101" s="140"/>
      <c r="W101" s="140"/>
      <c r="X101" s="140"/>
      <c r="Y101" s="140"/>
      <c r="Z101" s="140"/>
    </row>
    <row r="102" spans="1:26" ht="15.75" customHeight="1" x14ac:dyDescent="0.25">
      <c r="A102" s="284"/>
      <c r="B102" s="285"/>
      <c r="C102" s="140"/>
      <c r="D102" s="140"/>
      <c r="E102" s="140"/>
      <c r="F102" s="285"/>
      <c r="G102" s="140"/>
      <c r="H102" s="140"/>
      <c r="I102" s="285"/>
      <c r="J102" s="285"/>
      <c r="K102" s="281"/>
      <c r="L102" s="140"/>
      <c r="M102" s="140"/>
      <c r="N102" s="140"/>
      <c r="O102" s="281"/>
      <c r="P102" s="140"/>
      <c r="Q102" s="140"/>
      <c r="R102" s="140"/>
      <c r="S102" s="140"/>
      <c r="T102" s="140"/>
      <c r="U102" s="140"/>
      <c r="V102" s="140"/>
      <c r="W102" s="140"/>
      <c r="X102" s="140"/>
      <c r="Y102" s="140"/>
      <c r="Z102" s="140"/>
    </row>
    <row r="103" spans="1:26" ht="15.75" customHeight="1" x14ac:dyDescent="0.25">
      <c r="A103" s="284"/>
      <c r="B103" s="285"/>
      <c r="C103" s="140"/>
      <c r="D103" s="140"/>
      <c r="E103" s="140"/>
      <c r="F103" s="285"/>
      <c r="G103" s="140"/>
      <c r="H103" s="140"/>
      <c r="I103" s="285"/>
      <c r="J103" s="285"/>
      <c r="K103" s="281"/>
      <c r="L103" s="140"/>
      <c r="M103" s="140"/>
      <c r="N103" s="140"/>
      <c r="O103" s="281"/>
      <c r="P103" s="140"/>
      <c r="Q103" s="140"/>
      <c r="R103" s="140"/>
      <c r="S103" s="140"/>
      <c r="T103" s="140"/>
      <c r="U103" s="140"/>
      <c r="V103" s="140"/>
      <c r="W103" s="140"/>
      <c r="X103" s="140"/>
      <c r="Y103" s="140"/>
      <c r="Z103" s="140"/>
    </row>
    <row r="104" spans="1:26" ht="15.75" customHeight="1" x14ac:dyDescent="0.25">
      <c r="A104" s="284"/>
      <c r="B104" s="285"/>
      <c r="C104" s="140"/>
      <c r="D104" s="140"/>
      <c r="E104" s="140"/>
      <c r="F104" s="285"/>
      <c r="G104" s="140"/>
      <c r="H104" s="140"/>
      <c r="I104" s="285"/>
      <c r="J104" s="285"/>
      <c r="K104" s="281"/>
      <c r="L104" s="140"/>
      <c r="M104" s="140"/>
      <c r="N104" s="140"/>
      <c r="O104" s="281"/>
      <c r="P104" s="140"/>
      <c r="Q104" s="140"/>
      <c r="R104" s="140"/>
      <c r="S104" s="140"/>
      <c r="T104" s="140"/>
      <c r="U104" s="140"/>
      <c r="V104" s="140"/>
      <c r="W104" s="140"/>
      <c r="X104" s="140"/>
      <c r="Y104" s="140"/>
      <c r="Z104" s="140"/>
    </row>
    <row r="105" spans="1:26" ht="15.75" customHeight="1" x14ac:dyDescent="0.25">
      <c r="A105" s="284"/>
      <c r="B105" s="285"/>
      <c r="C105" s="140"/>
      <c r="D105" s="140"/>
      <c r="E105" s="140"/>
      <c r="F105" s="285"/>
      <c r="G105" s="140"/>
      <c r="H105" s="140"/>
      <c r="I105" s="285"/>
      <c r="J105" s="285"/>
      <c r="K105" s="281"/>
      <c r="L105" s="140"/>
      <c r="M105" s="140"/>
      <c r="N105" s="140"/>
      <c r="O105" s="281"/>
      <c r="P105" s="140"/>
      <c r="Q105" s="140"/>
      <c r="R105" s="140"/>
      <c r="S105" s="140"/>
      <c r="T105" s="140"/>
      <c r="U105" s="140"/>
      <c r="V105" s="140"/>
      <c r="W105" s="140"/>
      <c r="X105" s="140"/>
      <c r="Y105" s="140"/>
      <c r="Z105" s="140"/>
    </row>
    <row r="106" spans="1:26" ht="15.75" customHeight="1" x14ac:dyDescent="0.25">
      <c r="A106" s="284"/>
      <c r="B106" s="285"/>
      <c r="C106" s="140"/>
      <c r="D106" s="140"/>
      <c r="E106" s="140"/>
      <c r="F106" s="285"/>
      <c r="G106" s="140"/>
      <c r="H106" s="140"/>
      <c r="I106" s="285"/>
      <c r="J106" s="285"/>
      <c r="K106" s="281"/>
      <c r="L106" s="140"/>
      <c r="M106" s="140"/>
      <c r="N106" s="140"/>
      <c r="O106" s="281"/>
      <c r="P106" s="140"/>
      <c r="Q106" s="140"/>
      <c r="R106" s="140"/>
      <c r="S106" s="140"/>
      <c r="T106" s="140"/>
      <c r="U106" s="140"/>
      <c r="V106" s="140"/>
      <c r="W106" s="140"/>
      <c r="X106" s="140"/>
      <c r="Y106" s="140"/>
      <c r="Z106" s="140"/>
    </row>
    <row r="107" spans="1:26" ht="15.75" customHeight="1" x14ac:dyDescent="0.25">
      <c r="A107" s="284"/>
      <c r="B107" s="285"/>
      <c r="C107" s="140"/>
      <c r="D107" s="140"/>
      <c r="E107" s="140"/>
      <c r="F107" s="285"/>
      <c r="G107" s="140"/>
      <c r="H107" s="140"/>
      <c r="I107" s="285"/>
      <c r="J107" s="285"/>
      <c r="K107" s="281"/>
      <c r="L107" s="140"/>
      <c r="M107" s="140"/>
      <c r="N107" s="140"/>
      <c r="O107" s="281"/>
      <c r="P107" s="140"/>
      <c r="Q107" s="140"/>
      <c r="R107" s="140"/>
      <c r="S107" s="140"/>
      <c r="T107" s="140"/>
      <c r="U107" s="140"/>
      <c r="V107" s="140"/>
      <c r="W107" s="140"/>
      <c r="X107" s="140"/>
      <c r="Y107" s="140"/>
      <c r="Z107" s="140"/>
    </row>
    <row r="108" spans="1:26" ht="15.75" customHeight="1" x14ac:dyDescent="0.25">
      <c r="A108" s="284"/>
      <c r="B108" s="285"/>
      <c r="C108" s="140"/>
      <c r="D108" s="140"/>
      <c r="E108" s="140"/>
      <c r="F108" s="285"/>
      <c r="G108" s="140"/>
      <c r="H108" s="140"/>
      <c r="I108" s="285"/>
      <c r="J108" s="285"/>
      <c r="K108" s="281"/>
      <c r="L108" s="140"/>
      <c r="M108" s="140"/>
      <c r="N108" s="140"/>
      <c r="O108" s="281"/>
      <c r="P108" s="140"/>
      <c r="Q108" s="140"/>
      <c r="R108" s="140"/>
      <c r="S108" s="140"/>
      <c r="T108" s="140"/>
      <c r="U108" s="140"/>
      <c r="V108" s="140"/>
      <c r="W108" s="140"/>
      <c r="X108" s="140"/>
      <c r="Y108" s="140"/>
      <c r="Z108" s="140"/>
    </row>
    <row r="109" spans="1:26" ht="15.75" customHeight="1" x14ac:dyDescent="0.25">
      <c r="A109" s="284"/>
      <c r="B109" s="285"/>
      <c r="C109" s="140"/>
      <c r="D109" s="140"/>
      <c r="E109" s="140"/>
      <c r="F109" s="285"/>
      <c r="G109" s="140"/>
      <c r="H109" s="140"/>
      <c r="I109" s="285"/>
      <c r="J109" s="285"/>
      <c r="K109" s="281"/>
      <c r="L109" s="140"/>
      <c r="M109" s="140"/>
      <c r="N109" s="140"/>
      <c r="O109" s="281"/>
      <c r="P109" s="140"/>
      <c r="Q109" s="140"/>
      <c r="R109" s="140"/>
      <c r="S109" s="140"/>
      <c r="T109" s="140"/>
      <c r="U109" s="140"/>
      <c r="V109" s="140"/>
      <c r="W109" s="140"/>
      <c r="X109" s="140"/>
      <c r="Y109" s="140"/>
      <c r="Z109" s="140"/>
    </row>
    <row r="110" spans="1:26" ht="15.75" customHeight="1" x14ac:dyDescent="0.25">
      <c r="A110" s="284"/>
      <c r="B110" s="285"/>
      <c r="C110" s="140"/>
      <c r="D110" s="140"/>
      <c r="E110" s="140"/>
      <c r="F110" s="285"/>
      <c r="G110" s="140"/>
      <c r="H110" s="140"/>
      <c r="I110" s="285"/>
      <c r="J110" s="285"/>
      <c r="K110" s="281"/>
      <c r="L110" s="140"/>
      <c r="M110" s="140"/>
      <c r="N110" s="140"/>
      <c r="O110" s="281"/>
      <c r="P110" s="140"/>
      <c r="Q110" s="140"/>
      <c r="R110" s="140"/>
      <c r="S110" s="140"/>
      <c r="T110" s="140"/>
      <c r="U110" s="140"/>
      <c r="V110" s="140"/>
      <c r="W110" s="140"/>
      <c r="X110" s="140"/>
      <c r="Y110" s="140"/>
      <c r="Z110" s="140"/>
    </row>
    <row r="111" spans="1:26" ht="15.75" customHeight="1" x14ac:dyDescent="0.25">
      <c r="A111" s="284"/>
      <c r="B111" s="285"/>
      <c r="C111" s="140"/>
      <c r="D111" s="140"/>
      <c r="E111" s="140"/>
      <c r="F111" s="285"/>
      <c r="G111" s="140"/>
      <c r="H111" s="140"/>
      <c r="I111" s="285"/>
      <c r="J111" s="285"/>
      <c r="K111" s="281"/>
      <c r="L111" s="140"/>
      <c r="M111" s="140"/>
      <c r="N111" s="140"/>
      <c r="O111" s="281"/>
      <c r="P111" s="140"/>
      <c r="Q111" s="140"/>
      <c r="R111" s="140"/>
      <c r="S111" s="140"/>
      <c r="T111" s="140"/>
      <c r="U111" s="140"/>
      <c r="V111" s="140"/>
      <c r="W111" s="140"/>
      <c r="X111" s="140"/>
      <c r="Y111" s="140"/>
      <c r="Z111" s="140"/>
    </row>
    <row r="112" spans="1:26" ht="15.75" customHeight="1" x14ac:dyDescent="0.25">
      <c r="A112" s="284"/>
      <c r="B112" s="285"/>
      <c r="C112" s="140"/>
      <c r="D112" s="140"/>
      <c r="E112" s="140"/>
      <c r="F112" s="285"/>
      <c r="G112" s="140"/>
      <c r="H112" s="140"/>
      <c r="I112" s="285"/>
      <c r="J112" s="285"/>
      <c r="K112" s="281"/>
      <c r="L112" s="140"/>
      <c r="M112" s="140"/>
      <c r="N112" s="140"/>
      <c r="O112" s="281"/>
      <c r="P112" s="140"/>
      <c r="Q112" s="140"/>
      <c r="R112" s="140"/>
      <c r="S112" s="140"/>
      <c r="T112" s="140"/>
      <c r="U112" s="140"/>
      <c r="V112" s="140"/>
      <c r="W112" s="140"/>
      <c r="X112" s="140"/>
      <c r="Y112" s="140"/>
      <c r="Z112" s="140"/>
    </row>
    <row r="113" spans="1:26" ht="15.75" customHeight="1" x14ac:dyDescent="0.25">
      <c r="A113" s="284"/>
      <c r="B113" s="285"/>
      <c r="C113" s="140"/>
      <c r="D113" s="140"/>
      <c r="E113" s="140"/>
      <c r="F113" s="285"/>
      <c r="G113" s="140"/>
      <c r="H113" s="140"/>
      <c r="I113" s="285"/>
      <c r="J113" s="285"/>
      <c r="K113" s="281"/>
      <c r="L113" s="140"/>
      <c r="M113" s="140"/>
      <c r="N113" s="140"/>
      <c r="O113" s="281"/>
      <c r="P113" s="140"/>
      <c r="Q113" s="140"/>
      <c r="R113" s="140"/>
      <c r="S113" s="140"/>
      <c r="T113" s="140"/>
      <c r="U113" s="140"/>
      <c r="V113" s="140"/>
      <c r="W113" s="140"/>
      <c r="X113" s="140"/>
      <c r="Y113" s="140"/>
      <c r="Z113" s="140"/>
    </row>
    <row r="114" spans="1:26" ht="15.75" customHeight="1" x14ac:dyDescent="0.25">
      <c r="A114" s="284"/>
      <c r="B114" s="285"/>
      <c r="C114" s="140"/>
      <c r="D114" s="140"/>
      <c r="E114" s="140"/>
      <c r="F114" s="285"/>
      <c r="G114" s="140"/>
      <c r="H114" s="140"/>
      <c r="I114" s="285"/>
      <c r="J114" s="285"/>
      <c r="K114" s="281"/>
      <c r="L114" s="140"/>
      <c r="M114" s="140"/>
      <c r="N114" s="140"/>
      <c r="O114" s="281"/>
      <c r="P114" s="140"/>
      <c r="Q114" s="140"/>
      <c r="R114" s="140"/>
      <c r="S114" s="140"/>
      <c r="T114" s="140"/>
      <c r="U114" s="140"/>
      <c r="V114" s="140"/>
      <c r="W114" s="140"/>
      <c r="X114" s="140"/>
      <c r="Y114" s="140"/>
      <c r="Z114" s="140"/>
    </row>
    <row r="115" spans="1:26" ht="15.75" customHeight="1" x14ac:dyDescent="0.25">
      <c r="A115" s="284"/>
      <c r="B115" s="285"/>
      <c r="C115" s="140"/>
      <c r="D115" s="140"/>
      <c r="E115" s="140"/>
      <c r="F115" s="285"/>
      <c r="G115" s="140"/>
      <c r="H115" s="140"/>
      <c r="I115" s="285"/>
      <c r="J115" s="285"/>
      <c r="K115" s="281"/>
      <c r="L115" s="140"/>
      <c r="M115" s="140"/>
      <c r="N115" s="140"/>
      <c r="O115" s="281"/>
      <c r="P115" s="140"/>
      <c r="Q115" s="140"/>
      <c r="R115" s="140"/>
      <c r="S115" s="140"/>
      <c r="T115" s="140"/>
      <c r="U115" s="140"/>
      <c r="V115" s="140"/>
      <c r="W115" s="140"/>
      <c r="X115" s="140"/>
      <c r="Y115" s="140"/>
      <c r="Z115" s="140"/>
    </row>
    <row r="116" spans="1:26" ht="15.75" customHeight="1" x14ac:dyDescent="0.25">
      <c r="A116" s="284"/>
      <c r="B116" s="285"/>
      <c r="C116" s="140"/>
      <c r="D116" s="140"/>
      <c r="E116" s="140"/>
      <c r="F116" s="285"/>
      <c r="G116" s="140"/>
      <c r="H116" s="140"/>
      <c r="I116" s="285"/>
      <c r="J116" s="285"/>
      <c r="K116" s="281"/>
      <c r="L116" s="140"/>
      <c r="M116" s="140"/>
      <c r="N116" s="140"/>
      <c r="O116" s="281"/>
      <c r="P116" s="140"/>
      <c r="Q116" s="140"/>
      <c r="R116" s="140"/>
      <c r="S116" s="140"/>
      <c r="T116" s="140"/>
      <c r="U116" s="140"/>
      <c r="V116" s="140"/>
      <c r="W116" s="140"/>
      <c r="X116" s="140"/>
      <c r="Y116" s="140"/>
      <c r="Z116" s="140"/>
    </row>
    <row r="117" spans="1:26" ht="15.75" customHeight="1" x14ac:dyDescent="0.25">
      <c r="A117" s="284"/>
      <c r="B117" s="285"/>
      <c r="C117" s="140"/>
      <c r="D117" s="140"/>
      <c r="E117" s="140"/>
      <c r="F117" s="285"/>
      <c r="G117" s="140"/>
      <c r="H117" s="140"/>
      <c r="I117" s="285"/>
      <c r="J117" s="285"/>
      <c r="K117" s="281"/>
      <c r="L117" s="140"/>
      <c r="M117" s="140"/>
      <c r="N117" s="140"/>
      <c r="O117" s="281"/>
      <c r="P117" s="140"/>
      <c r="Q117" s="140"/>
      <c r="R117" s="140"/>
      <c r="S117" s="140"/>
      <c r="T117" s="140"/>
      <c r="U117" s="140"/>
      <c r="V117" s="140"/>
      <c r="W117" s="140"/>
      <c r="X117" s="140"/>
      <c r="Y117" s="140"/>
      <c r="Z117" s="140"/>
    </row>
    <row r="118" spans="1:26" ht="15.75" customHeight="1" x14ac:dyDescent="0.25">
      <c r="A118" s="284"/>
      <c r="B118" s="285"/>
      <c r="C118" s="140"/>
      <c r="D118" s="140"/>
      <c r="E118" s="140"/>
      <c r="F118" s="285"/>
      <c r="G118" s="140"/>
      <c r="H118" s="140"/>
      <c r="I118" s="285"/>
      <c r="J118" s="285"/>
      <c r="K118" s="281"/>
      <c r="L118" s="140"/>
      <c r="M118" s="140"/>
      <c r="N118" s="140"/>
      <c r="O118" s="281"/>
      <c r="P118" s="140"/>
      <c r="Q118" s="140"/>
      <c r="R118" s="140"/>
      <c r="S118" s="140"/>
      <c r="T118" s="140"/>
      <c r="U118" s="140"/>
      <c r="V118" s="140"/>
      <c r="W118" s="140"/>
      <c r="X118" s="140"/>
      <c r="Y118" s="140"/>
      <c r="Z118" s="140"/>
    </row>
    <row r="119" spans="1:26" ht="15.75" customHeight="1" x14ac:dyDescent="0.25">
      <c r="A119" s="284"/>
      <c r="B119" s="285"/>
      <c r="C119" s="140"/>
      <c r="D119" s="140"/>
      <c r="E119" s="140"/>
      <c r="F119" s="285"/>
      <c r="G119" s="140"/>
      <c r="H119" s="140"/>
      <c r="I119" s="285"/>
      <c r="J119" s="285"/>
      <c r="K119" s="281"/>
      <c r="L119" s="140"/>
      <c r="M119" s="140"/>
      <c r="N119" s="140"/>
      <c r="O119" s="281"/>
      <c r="P119" s="140"/>
      <c r="Q119" s="140"/>
      <c r="R119" s="140"/>
      <c r="S119" s="140"/>
      <c r="T119" s="140"/>
      <c r="U119" s="140"/>
      <c r="V119" s="140"/>
      <c r="W119" s="140"/>
      <c r="X119" s="140"/>
      <c r="Y119" s="140"/>
      <c r="Z119" s="140"/>
    </row>
    <row r="120" spans="1:26" ht="15.75" customHeight="1" x14ac:dyDescent="0.25">
      <c r="A120" s="284"/>
      <c r="B120" s="285"/>
      <c r="C120" s="140"/>
      <c r="D120" s="140"/>
      <c r="E120" s="140"/>
      <c r="F120" s="285"/>
      <c r="G120" s="140"/>
      <c r="H120" s="140"/>
      <c r="I120" s="285"/>
      <c r="J120" s="285"/>
      <c r="K120" s="281"/>
      <c r="L120" s="140"/>
      <c r="M120" s="140"/>
      <c r="N120" s="140"/>
      <c r="O120" s="281"/>
      <c r="P120" s="140"/>
      <c r="Q120" s="140"/>
      <c r="R120" s="140"/>
      <c r="S120" s="140"/>
      <c r="T120" s="140"/>
      <c r="U120" s="140"/>
      <c r="V120" s="140"/>
      <c r="W120" s="140"/>
      <c r="X120" s="140"/>
      <c r="Y120" s="140"/>
      <c r="Z120" s="140"/>
    </row>
    <row r="121" spans="1:26" ht="15.75" customHeight="1" x14ac:dyDescent="0.25">
      <c r="A121" s="284"/>
      <c r="B121" s="285"/>
      <c r="C121" s="140"/>
      <c r="D121" s="140"/>
      <c r="E121" s="140"/>
      <c r="F121" s="285"/>
      <c r="G121" s="140"/>
      <c r="H121" s="140"/>
      <c r="I121" s="285"/>
      <c r="J121" s="285"/>
      <c r="K121" s="281"/>
      <c r="L121" s="140"/>
      <c r="M121" s="140"/>
      <c r="N121" s="140"/>
      <c r="O121" s="281"/>
      <c r="P121" s="140"/>
      <c r="Q121" s="140"/>
      <c r="R121" s="140"/>
      <c r="S121" s="140"/>
      <c r="T121" s="140"/>
      <c r="U121" s="140"/>
      <c r="V121" s="140"/>
      <c r="W121" s="140"/>
      <c r="X121" s="140"/>
      <c r="Y121" s="140"/>
      <c r="Z121" s="140"/>
    </row>
    <row r="122" spans="1:26" ht="15.75" customHeight="1" x14ac:dyDescent="0.25">
      <c r="A122" s="284"/>
      <c r="B122" s="285"/>
      <c r="C122" s="140"/>
      <c r="D122" s="140"/>
      <c r="E122" s="140"/>
      <c r="F122" s="285"/>
      <c r="G122" s="140"/>
      <c r="H122" s="140"/>
      <c r="I122" s="285"/>
      <c r="J122" s="285"/>
      <c r="K122" s="281"/>
      <c r="L122" s="140"/>
      <c r="M122" s="140"/>
      <c r="N122" s="140"/>
      <c r="O122" s="281"/>
      <c r="P122" s="140"/>
      <c r="Q122" s="140"/>
      <c r="R122" s="140"/>
      <c r="S122" s="140"/>
      <c r="T122" s="140"/>
      <c r="U122" s="140"/>
      <c r="V122" s="140"/>
      <c r="W122" s="140"/>
      <c r="X122" s="140"/>
      <c r="Y122" s="140"/>
      <c r="Z122" s="140"/>
    </row>
    <row r="123" spans="1:26" ht="15.75" customHeight="1" x14ac:dyDescent="0.25">
      <c r="A123" s="284"/>
      <c r="B123" s="285"/>
      <c r="C123" s="140"/>
      <c r="D123" s="140"/>
      <c r="E123" s="140"/>
      <c r="F123" s="285"/>
      <c r="G123" s="140"/>
      <c r="H123" s="140"/>
      <c r="I123" s="285"/>
      <c r="J123" s="285"/>
      <c r="K123" s="281"/>
      <c r="L123" s="140"/>
      <c r="M123" s="140"/>
      <c r="N123" s="140"/>
      <c r="O123" s="281"/>
      <c r="P123" s="140"/>
      <c r="Q123" s="140"/>
      <c r="R123" s="140"/>
      <c r="S123" s="140"/>
      <c r="T123" s="140"/>
      <c r="U123" s="140"/>
      <c r="V123" s="140"/>
      <c r="W123" s="140"/>
      <c r="X123" s="140"/>
      <c r="Y123" s="140"/>
      <c r="Z123" s="140"/>
    </row>
    <row r="124" spans="1:26" ht="15.75" customHeight="1" x14ac:dyDescent="0.25">
      <c r="A124" s="284"/>
      <c r="B124" s="285"/>
      <c r="C124" s="140"/>
      <c r="D124" s="140"/>
      <c r="E124" s="140"/>
      <c r="F124" s="285"/>
      <c r="G124" s="140"/>
      <c r="H124" s="140"/>
      <c r="I124" s="285"/>
      <c r="J124" s="285"/>
      <c r="K124" s="281"/>
      <c r="L124" s="140"/>
      <c r="M124" s="140"/>
      <c r="N124" s="140"/>
      <c r="O124" s="281"/>
      <c r="P124" s="140"/>
      <c r="Q124" s="140"/>
      <c r="R124" s="140"/>
      <c r="S124" s="140"/>
      <c r="T124" s="140"/>
      <c r="U124" s="140"/>
      <c r="V124" s="140"/>
      <c r="W124" s="140"/>
      <c r="X124" s="140"/>
      <c r="Y124" s="140"/>
      <c r="Z124" s="140"/>
    </row>
    <row r="125" spans="1:26" ht="15.75" customHeight="1" x14ac:dyDescent="0.25">
      <c r="A125" s="284"/>
      <c r="B125" s="285"/>
      <c r="C125" s="140"/>
      <c r="D125" s="140"/>
      <c r="E125" s="140"/>
      <c r="F125" s="285"/>
      <c r="G125" s="140"/>
      <c r="H125" s="140"/>
      <c r="I125" s="285"/>
      <c r="J125" s="285"/>
      <c r="K125" s="281"/>
      <c r="L125" s="140"/>
      <c r="M125" s="140"/>
      <c r="N125" s="140"/>
      <c r="O125" s="281"/>
      <c r="P125" s="140"/>
      <c r="Q125" s="140"/>
      <c r="R125" s="140"/>
      <c r="S125" s="140"/>
      <c r="T125" s="140"/>
      <c r="U125" s="140"/>
      <c r="V125" s="140"/>
      <c r="W125" s="140"/>
      <c r="X125" s="140"/>
      <c r="Y125" s="140"/>
      <c r="Z125" s="140"/>
    </row>
    <row r="126" spans="1:26" ht="15.75" customHeight="1" x14ac:dyDescent="0.25">
      <c r="A126" s="284"/>
      <c r="B126" s="285"/>
      <c r="C126" s="140"/>
      <c r="D126" s="140"/>
      <c r="E126" s="140"/>
      <c r="F126" s="285"/>
      <c r="G126" s="140"/>
      <c r="H126" s="140"/>
      <c r="I126" s="285"/>
      <c r="J126" s="285"/>
      <c r="K126" s="281"/>
      <c r="L126" s="140"/>
      <c r="M126" s="140"/>
      <c r="N126" s="140"/>
      <c r="O126" s="281"/>
      <c r="P126" s="140"/>
      <c r="Q126" s="140"/>
      <c r="R126" s="140"/>
      <c r="S126" s="140"/>
      <c r="T126" s="140"/>
      <c r="U126" s="140"/>
      <c r="V126" s="140"/>
      <c r="W126" s="140"/>
      <c r="X126" s="140"/>
      <c r="Y126" s="140"/>
      <c r="Z126" s="140"/>
    </row>
    <row r="127" spans="1:26" ht="15.75" customHeight="1" x14ac:dyDescent="0.25">
      <c r="A127" s="284"/>
      <c r="B127" s="285"/>
      <c r="C127" s="140"/>
      <c r="D127" s="140"/>
      <c r="E127" s="140"/>
      <c r="F127" s="285"/>
      <c r="G127" s="140"/>
      <c r="H127" s="140"/>
      <c r="I127" s="285"/>
      <c r="J127" s="285"/>
      <c r="K127" s="281"/>
      <c r="L127" s="140"/>
      <c r="M127" s="140"/>
      <c r="N127" s="140"/>
      <c r="O127" s="281"/>
      <c r="P127" s="140"/>
      <c r="Q127" s="140"/>
      <c r="R127" s="140"/>
      <c r="S127" s="140"/>
      <c r="T127" s="140"/>
      <c r="U127" s="140"/>
      <c r="V127" s="140"/>
      <c r="W127" s="140"/>
      <c r="X127" s="140"/>
      <c r="Y127" s="140"/>
      <c r="Z127" s="140"/>
    </row>
    <row r="128" spans="1:26" ht="15.75" customHeight="1" x14ac:dyDescent="0.25">
      <c r="A128" s="284"/>
      <c r="B128" s="285"/>
      <c r="C128" s="140"/>
      <c r="D128" s="140"/>
      <c r="E128" s="140"/>
      <c r="F128" s="285"/>
      <c r="G128" s="140"/>
      <c r="H128" s="140"/>
      <c r="I128" s="285"/>
      <c r="J128" s="285"/>
      <c r="K128" s="281"/>
      <c r="L128" s="140"/>
      <c r="M128" s="140"/>
      <c r="N128" s="140"/>
      <c r="O128" s="281"/>
      <c r="P128" s="140"/>
      <c r="Q128" s="140"/>
      <c r="R128" s="140"/>
      <c r="S128" s="140"/>
      <c r="T128" s="140"/>
      <c r="U128" s="140"/>
      <c r="V128" s="140"/>
      <c r="W128" s="140"/>
      <c r="X128" s="140"/>
      <c r="Y128" s="140"/>
      <c r="Z128" s="140"/>
    </row>
    <row r="129" spans="1:26" ht="15.75" customHeight="1" x14ac:dyDescent="0.25">
      <c r="A129" s="284"/>
      <c r="B129" s="285"/>
      <c r="C129" s="140"/>
      <c r="D129" s="140"/>
      <c r="E129" s="140"/>
      <c r="F129" s="285"/>
      <c r="G129" s="140"/>
      <c r="H129" s="140"/>
      <c r="I129" s="285"/>
      <c r="J129" s="285"/>
      <c r="K129" s="281"/>
      <c r="L129" s="140"/>
      <c r="M129" s="140"/>
      <c r="N129" s="140"/>
      <c r="O129" s="281"/>
      <c r="P129" s="140"/>
      <c r="Q129" s="140"/>
      <c r="R129" s="140"/>
      <c r="S129" s="140"/>
      <c r="T129" s="140"/>
      <c r="U129" s="140"/>
      <c r="V129" s="140"/>
      <c r="W129" s="140"/>
      <c r="X129" s="140"/>
      <c r="Y129" s="140"/>
      <c r="Z129" s="140"/>
    </row>
    <row r="130" spans="1:26" ht="15.75" customHeight="1" x14ac:dyDescent="0.25">
      <c r="A130" s="284"/>
      <c r="B130" s="285"/>
      <c r="C130" s="140"/>
      <c r="D130" s="140"/>
      <c r="E130" s="140"/>
      <c r="F130" s="285"/>
      <c r="G130" s="140"/>
      <c r="H130" s="140"/>
      <c r="I130" s="285"/>
      <c r="J130" s="285"/>
      <c r="K130" s="281"/>
      <c r="L130" s="140"/>
      <c r="M130" s="140"/>
      <c r="N130" s="140"/>
      <c r="O130" s="281"/>
      <c r="P130" s="140"/>
      <c r="Q130" s="140"/>
      <c r="R130" s="140"/>
      <c r="S130" s="140"/>
      <c r="T130" s="140"/>
      <c r="U130" s="140"/>
      <c r="V130" s="140"/>
      <c r="W130" s="140"/>
      <c r="X130" s="140"/>
      <c r="Y130" s="140"/>
      <c r="Z130" s="140"/>
    </row>
    <row r="131" spans="1:26" ht="15.75" customHeight="1" x14ac:dyDescent="0.25">
      <c r="A131" s="284"/>
      <c r="B131" s="285"/>
      <c r="C131" s="140"/>
      <c r="D131" s="140"/>
      <c r="E131" s="140"/>
      <c r="F131" s="285"/>
      <c r="G131" s="140"/>
      <c r="H131" s="140"/>
      <c r="I131" s="285"/>
      <c r="J131" s="285"/>
      <c r="K131" s="281"/>
      <c r="L131" s="140"/>
      <c r="M131" s="140"/>
      <c r="N131" s="140"/>
      <c r="O131" s="281"/>
      <c r="P131" s="140"/>
      <c r="Q131" s="140"/>
      <c r="R131" s="140"/>
      <c r="S131" s="140"/>
      <c r="T131" s="140"/>
      <c r="U131" s="140"/>
      <c r="V131" s="140"/>
      <c r="W131" s="140"/>
      <c r="X131" s="140"/>
      <c r="Y131" s="140"/>
      <c r="Z131" s="140"/>
    </row>
    <row r="132" spans="1:26" ht="15.75" customHeight="1" x14ac:dyDescent="0.25">
      <c r="A132" s="284"/>
      <c r="B132" s="285"/>
      <c r="C132" s="140"/>
      <c r="D132" s="140"/>
      <c r="E132" s="140"/>
      <c r="F132" s="285"/>
      <c r="G132" s="140"/>
      <c r="H132" s="140"/>
      <c r="I132" s="285"/>
      <c r="J132" s="285"/>
      <c r="K132" s="281"/>
      <c r="L132" s="140"/>
      <c r="M132" s="140"/>
      <c r="N132" s="140"/>
      <c r="O132" s="281"/>
      <c r="P132" s="140"/>
      <c r="Q132" s="140"/>
      <c r="R132" s="140"/>
      <c r="S132" s="140"/>
      <c r="T132" s="140"/>
      <c r="U132" s="140"/>
      <c r="V132" s="140"/>
      <c r="W132" s="140"/>
      <c r="X132" s="140"/>
      <c r="Y132" s="140"/>
      <c r="Z132" s="140"/>
    </row>
    <row r="133" spans="1:26" ht="15.75" customHeight="1" x14ac:dyDescent="0.25">
      <c r="A133" s="284"/>
      <c r="B133" s="285"/>
      <c r="C133" s="140"/>
      <c r="D133" s="140"/>
      <c r="E133" s="140"/>
      <c r="F133" s="285"/>
      <c r="G133" s="140"/>
      <c r="H133" s="140"/>
      <c r="I133" s="285"/>
      <c r="J133" s="285"/>
      <c r="K133" s="281"/>
      <c r="L133" s="140"/>
      <c r="M133" s="140"/>
      <c r="N133" s="140"/>
      <c r="O133" s="281"/>
      <c r="P133" s="140"/>
      <c r="Q133" s="140"/>
      <c r="R133" s="140"/>
      <c r="S133" s="140"/>
      <c r="T133" s="140"/>
      <c r="U133" s="140"/>
      <c r="V133" s="140"/>
      <c r="W133" s="140"/>
      <c r="X133" s="140"/>
      <c r="Y133" s="140"/>
      <c r="Z133" s="140"/>
    </row>
    <row r="134" spans="1:26" ht="15.75" customHeight="1" x14ac:dyDescent="0.25">
      <c r="A134" s="284"/>
      <c r="B134" s="285"/>
      <c r="C134" s="140"/>
      <c r="D134" s="140"/>
      <c r="E134" s="140"/>
      <c r="F134" s="285"/>
      <c r="G134" s="140"/>
      <c r="H134" s="140"/>
      <c r="I134" s="285"/>
      <c r="J134" s="285"/>
      <c r="K134" s="281"/>
      <c r="L134" s="140"/>
      <c r="M134" s="140"/>
      <c r="N134" s="140"/>
      <c r="O134" s="281"/>
      <c r="P134" s="140"/>
      <c r="Q134" s="140"/>
      <c r="R134" s="140"/>
      <c r="S134" s="140"/>
      <c r="T134" s="140"/>
      <c r="U134" s="140"/>
      <c r="V134" s="140"/>
      <c r="W134" s="140"/>
      <c r="X134" s="140"/>
      <c r="Y134" s="140"/>
      <c r="Z134" s="140"/>
    </row>
    <row r="135" spans="1:26" ht="15.75" customHeight="1" x14ac:dyDescent="0.25">
      <c r="A135" s="284"/>
      <c r="B135" s="285"/>
      <c r="C135" s="140"/>
      <c r="D135" s="140"/>
      <c r="E135" s="140"/>
      <c r="F135" s="285"/>
      <c r="G135" s="140"/>
      <c r="H135" s="140"/>
      <c r="I135" s="285"/>
      <c r="J135" s="285"/>
      <c r="K135" s="281"/>
      <c r="L135" s="140"/>
      <c r="M135" s="140"/>
      <c r="N135" s="140"/>
      <c r="O135" s="281"/>
      <c r="P135" s="140"/>
      <c r="Q135" s="140"/>
      <c r="R135" s="140"/>
      <c r="S135" s="140"/>
      <c r="T135" s="140"/>
      <c r="U135" s="140"/>
      <c r="V135" s="140"/>
      <c r="W135" s="140"/>
      <c r="X135" s="140"/>
      <c r="Y135" s="140"/>
      <c r="Z135" s="140"/>
    </row>
    <row r="136" spans="1:26" ht="15.75" customHeight="1" x14ac:dyDescent="0.25">
      <c r="A136" s="284"/>
      <c r="B136" s="285"/>
      <c r="C136" s="140"/>
      <c r="D136" s="140"/>
      <c r="E136" s="140"/>
      <c r="F136" s="285"/>
      <c r="G136" s="140"/>
      <c r="H136" s="140"/>
      <c r="I136" s="285"/>
      <c r="J136" s="285"/>
      <c r="K136" s="281"/>
      <c r="L136" s="140"/>
      <c r="M136" s="140"/>
      <c r="N136" s="140"/>
      <c r="O136" s="281"/>
      <c r="P136" s="140"/>
      <c r="Q136" s="140"/>
      <c r="R136" s="140"/>
      <c r="S136" s="140"/>
      <c r="T136" s="140"/>
      <c r="U136" s="140"/>
      <c r="V136" s="140"/>
      <c r="W136" s="140"/>
      <c r="X136" s="140"/>
      <c r="Y136" s="140"/>
      <c r="Z136" s="140"/>
    </row>
    <row r="137" spans="1:26" ht="15.75" customHeight="1" x14ac:dyDescent="0.25">
      <c r="A137" s="284"/>
      <c r="B137" s="285"/>
      <c r="C137" s="140"/>
      <c r="D137" s="140"/>
      <c r="E137" s="140"/>
      <c r="F137" s="285"/>
      <c r="G137" s="140"/>
      <c r="H137" s="140"/>
      <c r="I137" s="285"/>
      <c r="J137" s="285"/>
      <c r="K137" s="281"/>
      <c r="L137" s="140"/>
      <c r="M137" s="140"/>
      <c r="N137" s="140"/>
      <c r="O137" s="281"/>
      <c r="P137" s="140"/>
      <c r="Q137" s="140"/>
      <c r="R137" s="140"/>
      <c r="S137" s="140"/>
      <c r="T137" s="140"/>
      <c r="U137" s="140"/>
      <c r="V137" s="140"/>
      <c r="W137" s="140"/>
      <c r="X137" s="140"/>
      <c r="Y137" s="140"/>
      <c r="Z137" s="140"/>
    </row>
    <row r="138" spans="1:26" ht="15.75" customHeight="1" x14ac:dyDescent="0.25">
      <c r="A138" s="284"/>
      <c r="B138" s="285"/>
      <c r="C138" s="140"/>
      <c r="D138" s="140"/>
      <c r="E138" s="140"/>
      <c r="F138" s="285"/>
      <c r="G138" s="140"/>
      <c r="H138" s="140"/>
      <c r="I138" s="285"/>
      <c r="J138" s="285"/>
      <c r="K138" s="281"/>
      <c r="L138" s="140"/>
      <c r="M138" s="140"/>
      <c r="N138" s="140"/>
      <c r="O138" s="281"/>
      <c r="P138" s="140"/>
      <c r="Q138" s="140"/>
      <c r="R138" s="140"/>
      <c r="S138" s="140"/>
      <c r="T138" s="140"/>
      <c r="U138" s="140"/>
      <c r="V138" s="140"/>
      <c r="W138" s="140"/>
      <c r="X138" s="140"/>
      <c r="Y138" s="140"/>
      <c r="Z138" s="140"/>
    </row>
    <row r="139" spans="1:26" ht="15.75" customHeight="1" x14ac:dyDescent="0.25">
      <c r="A139" s="284"/>
      <c r="B139" s="285"/>
      <c r="C139" s="140"/>
      <c r="D139" s="140"/>
      <c r="E139" s="140"/>
      <c r="F139" s="285"/>
      <c r="G139" s="140"/>
      <c r="H139" s="140"/>
      <c r="I139" s="285"/>
      <c r="J139" s="285"/>
      <c r="K139" s="281"/>
      <c r="L139" s="140"/>
      <c r="M139" s="140"/>
      <c r="N139" s="140"/>
      <c r="O139" s="281"/>
      <c r="P139" s="140"/>
      <c r="Q139" s="140"/>
      <c r="R139" s="140"/>
      <c r="S139" s="140"/>
      <c r="T139" s="140"/>
      <c r="U139" s="140"/>
      <c r="V139" s="140"/>
      <c r="W139" s="140"/>
      <c r="X139" s="140"/>
      <c r="Y139" s="140"/>
      <c r="Z139" s="140"/>
    </row>
    <row r="140" spans="1:26" ht="15.75" customHeight="1" x14ac:dyDescent="0.25">
      <c r="A140" s="284"/>
      <c r="B140" s="285"/>
      <c r="C140" s="140"/>
      <c r="D140" s="140"/>
      <c r="E140" s="140"/>
      <c r="F140" s="285"/>
      <c r="G140" s="140"/>
      <c r="H140" s="140"/>
      <c r="I140" s="285"/>
      <c r="J140" s="285"/>
      <c r="K140" s="281"/>
      <c r="L140" s="140"/>
      <c r="M140" s="140"/>
      <c r="N140" s="140"/>
      <c r="O140" s="281"/>
      <c r="P140" s="140"/>
      <c r="Q140" s="140"/>
      <c r="R140" s="140"/>
      <c r="S140" s="140"/>
      <c r="T140" s="140"/>
      <c r="U140" s="140"/>
      <c r="V140" s="140"/>
      <c r="W140" s="140"/>
      <c r="X140" s="140"/>
      <c r="Y140" s="140"/>
      <c r="Z140" s="140"/>
    </row>
    <row r="141" spans="1:26" ht="15.75" customHeight="1" x14ac:dyDescent="0.25">
      <c r="A141" s="284"/>
      <c r="B141" s="285"/>
      <c r="C141" s="140"/>
      <c r="D141" s="140"/>
      <c r="E141" s="140"/>
      <c r="F141" s="285"/>
      <c r="G141" s="140"/>
      <c r="H141" s="140"/>
      <c r="I141" s="285"/>
      <c r="J141" s="285"/>
      <c r="K141" s="281"/>
      <c r="L141" s="140"/>
      <c r="M141" s="140"/>
      <c r="N141" s="140"/>
      <c r="O141" s="281"/>
      <c r="P141" s="140"/>
      <c r="Q141" s="140"/>
      <c r="R141" s="140"/>
      <c r="S141" s="140"/>
      <c r="T141" s="140"/>
      <c r="U141" s="140"/>
      <c r="V141" s="140"/>
      <c r="W141" s="140"/>
      <c r="X141" s="140"/>
      <c r="Y141" s="140"/>
      <c r="Z141" s="140"/>
    </row>
    <row r="142" spans="1:26" ht="15.75" customHeight="1" x14ac:dyDescent="0.25">
      <c r="A142" s="284"/>
      <c r="B142" s="285"/>
      <c r="C142" s="140"/>
      <c r="D142" s="140"/>
      <c r="E142" s="140"/>
      <c r="F142" s="285"/>
      <c r="G142" s="140"/>
      <c r="H142" s="140"/>
      <c r="I142" s="285"/>
      <c r="J142" s="285"/>
      <c r="K142" s="281"/>
      <c r="L142" s="140"/>
      <c r="M142" s="140"/>
      <c r="N142" s="140"/>
      <c r="O142" s="281"/>
      <c r="P142" s="140"/>
      <c r="Q142" s="140"/>
      <c r="R142" s="140"/>
      <c r="S142" s="140"/>
      <c r="T142" s="140"/>
      <c r="U142" s="140"/>
      <c r="V142" s="140"/>
      <c r="W142" s="140"/>
      <c r="X142" s="140"/>
      <c r="Y142" s="140"/>
      <c r="Z142" s="140"/>
    </row>
    <row r="143" spans="1:26" ht="15.75" customHeight="1" x14ac:dyDescent="0.25">
      <c r="A143" s="284"/>
      <c r="B143" s="285"/>
      <c r="C143" s="140"/>
      <c r="D143" s="140"/>
      <c r="E143" s="140"/>
      <c r="F143" s="285"/>
      <c r="G143" s="140"/>
      <c r="H143" s="140"/>
      <c r="I143" s="285"/>
      <c r="J143" s="285"/>
      <c r="K143" s="281"/>
      <c r="L143" s="140"/>
      <c r="M143" s="140"/>
      <c r="N143" s="140"/>
      <c r="O143" s="281"/>
      <c r="P143" s="140"/>
      <c r="Q143" s="140"/>
      <c r="R143" s="140"/>
      <c r="S143" s="140"/>
      <c r="T143" s="140"/>
      <c r="U143" s="140"/>
      <c r="V143" s="140"/>
      <c r="W143" s="140"/>
      <c r="X143" s="140"/>
      <c r="Y143" s="140"/>
      <c r="Z143" s="140"/>
    </row>
    <row r="144" spans="1:26" ht="15.75" customHeight="1" x14ac:dyDescent="0.25">
      <c r="A144" s="284"/>
      <c r="B144" s="285"/>
      <c r="C144" s="140"/>
      <c r="D144" s="140"/>
      <c r="E144" s="140"/>
      <c r="F144" s="285"/>
      <c r="G144" s="140"/>
      <c r="H144" s="140"/>
      <c r="I144" s="285"/>
      <c r="J144" s="285"/>
      <c r="K144" s="281"/>
      <c r="L144" s="140"/>
      <c r="M144" s="140"/>
      <c r="N144" s="140"/>
      <c r="O144" s="281"/>
      <c r="P144" s="140"/>
      <c r="Q144" s="140"/>
      <c r="R144" s="140"/>
      <c r="S144" s="140"/>
      <c r="T144" s="140"/>
      <c r="U144" s="140"/>
      <c r="V144" s="140"/>
      <c r="W144" s="140"/>
      <c r="X144" s="140"/>
      <c r="Y144" s="140"/>
      <c r="Z144" s="140"/>
    </row>
    <row r="145" spans="1:26" ht="15.75" customHeight="1" x14ac:dyDescent="0.25">
      <c r="A145" s="284"/>
      <c r="B145" s="285"/>
      <c r="C145" s="140"/>
      <c r="D145" s="140"/>
      <c r="E145" s="140"/>
      <c r="F145" s="285"/>
      <c r="G145" s="140"/>
      <c r="H145" s="140"/>
      <c r="I145" s="285"/>
      <c r="J145" s="285"/>
      <c r="K145" s="281"/>
      <c r="L145" s="140"/>
      <c r="M145" s="140"/>
      <c r="N145" s="140"/>
      <c r="O145" s="281"/>
      <c r="P145" s="140"/>
      <c r="Q145" s="140"/>
      <c r="R145" s="140"/>
      <c r="S145" s="140"/>
      <c r="T145" s="140"/>
      <c r="U145" s="140"/>
      <c r="V145" s="140"/>
      <c r="W145" s="140"/>
      <c r="X145" s="140"/>
      <c r="Y145" s="140"/>
      <c r="Z145" s="140"/>
    </row>
    <row r="146" spans="1:26" ht="15.75" customHeight="1" x14ac:dyDescent="0.25">
      <c r="A146" s="284"/>
      <c r="B146" s="285"/>
      <c r="C146" s="140"/>
      <c r="D146" s="140"/>
      <c r="E146" s="140"/>
      <c r="F146" s="285"/>
      <c r="G146" s="140"/>
      <c r="H146" s="140"/>
      <c r="I146" s="285"/>
      <c r="J146" s="285"/>
      <c r="K146" s="281"/>
      <c r="L146" s="140"/>
      <c r="M146" s="140"/>
      <c r="N146" s="140"/>
      <c r="O146" s="281"/>
      <c r="P146" s="140"/>
      <c r="Q146" s="140"/>
      <c r="R146" s="140"/>
      <c r="S146" s="140"/>
      <c r="T146" s="140"/>
      <c r="U146" s="140"/>
      <c r="V146" s="140"/>
      <c r="W146" s="140"/>
      <c r="X146" s="140"/>
      <c r="Y146" s="140"/>
      <c r="Z146" s="140"/>
    </row>
    <row r="147" spans="1:26" ht="15.75" customHeight="1" x14ac:dyDescent="0.25">
      <c r="A147" s="284"/>
      <c r="B147" s="285"/>
      <c r="C147" s="140"/>
      <c r="D147" s="140"/>
      <c r="E147" s="140"/>
      <c r="F147" s="285"/>
      <c r="G147" s="140"/>
      <c r="H147" s="140"/>
      <c r="I147" s="285"/>
      <c r="J147" s="285"/>
      <c r="K147" s="281"/>
      <c r="L147" s="140"/>
      <c r="M147" s="140"/>
      <c r="N147" s="140"/>
      <c r="O147" s="281"/>
      <c r="P147" s="140"/>
      <c r="Q147" s="140"/>
      <c r="R147" s="140"/>
      <c r="S147" s="140"/>
      <c r="T147" s="140"/>
      <c r="U147" s="140"/>
      <c r="V147" s="140"/>
      <c r="W147" s="140"/>
      <c r="X147" s="140"/>
      <c r="Y147" s="140"/>
      <c r="Z147" s="140"/>
    </row>
    <row r="148" spans="1:26" ht="15.75" customHeight="1" x14ac:dyDescent="0.25">
      <c r="A148" s="284"/>
      <c r="B148" s="285"/>
      <c r="C148" s="140"/>
      <c r="D148" s="140"/>
      <c r="E148" s="140"/>
      <c r="F148" s="285"/>
      <c r="G148" s="140"/>
      <c r="H148" s="140"/>
      <c r="I148" s="285"/>
      <c r="J148" s="285"/>
      <c r="K148" s="281"/>
      <c r="L148" s="140"/>
      <c r="M148" s="140"/>
      <c r="N148" s="140"/>
      <c r="O148" s="281"/>
      <c r="P148" s="140"/>
      <c r="Q148" s="140"/>
      <c r="R148" s="140"/>
      <c r="S148" s="140"/>
      <c r="T148" s="140"/>
      <c r="U148" s="140"/>
      <c r="V148" s="140"/>
      <c r="W148" s="140"/>
      <c r="X148" s="140"/>
      <c r="Y148" s="140"/>
      <c r="Z148" s="140"/>
    </row>
    <row r="149" spans="1:26" ht="15.75" customHeight="1" x14ac:dyDescent="0.25">
      <c r="A149" s="284"/>
      <c r="B149" s="285"/>
      <c r="C149" s="140"/>
      <c r="D149" s="140"/>
      <c r="E149" s="140"/>
      <c r="F149" s="285"/>
      <c r="G149" s="140"/>
      <c r="H149" s="140"/>
      <c r="I149" s="285"/>
      <c r="J149" s="285"/>
      <c r="K149" s="281"/>
      <c r="L149" s="140"/>
      <c r="M149" s="140"/>
      <c r="N149" s="140"/>
      <c r="O149" s="281"/>
      <c r="P149" s="140"/>
      <c r="Q149" s="140"/>
      <c r="R149" s="140"/>
      <c r="S149" s="140"/>
      <c r="T149" s="140"/>
      <c r="U149" s="140"/>
      <c r="V149" s="140"/>
      <c r="W149" s="140"/>
      <c r="X149" s="140"/>
      <c r="Y149" s="140"/>
      <c r="Z149" s="140"/>
    </row>
    <row r="150" spans="1:26" ht="15.75" customHeight="1" x14ac:dyDescent="0.25">
      <c r="A150" s="284"/>
      <c r="B150" s="285"/>
      <c r="C150" s="140"/>
      <c r="D150" s="140"/>
      <c r="E150" s="140"/>
      <c r="F150" s="285"/>
      <c r="G150" s="140"/>
      <c r="H150" s="140"/>
      <c r="I150" s="285"/>
      <c r="J150" s="285"/>
      <c r="K150" s="281"/>
      <c r="L150" s="140"/>
      <c r="M150" s="140"/>
      <c r="N150" s="140"/>
      <c r="O150" s="281"/>
      <c r="P150" s="140"/>
      <c r="Q150" s="140"/>
      <c r="R150" s="140"/>
      <c r="S150" s="140"/>
      <c r="T150" s="140"/>
      <c r="U150" s="140"/>
      <c r="V150" s="140"/>
      <c r="W150" s="140"/>
      <c r="X150" s="140"/>
      <c r="Y150" s="140"/>
      <c r="Z150" s="140"/>
    </row>
    <row r="151" spans="1:26" ht="15.75" customHeight="1" x14ac:dyDescent="0.25">
      <c r="A151" s="284"/>
      <c r="B151" s="285"/>
      <c r="C151" s="140"/>
      <c r="D151" s="140"/>
      <c r="E151" s="140"/>
      <c r="F151" s="285"/>
      <c r="G151" s="140"/>
      <c r="H151" s="140"/>
      <c r="I151" s="285"/>
      <c r="J151" s="285"/>
      <c r="K151" s="281"/>
      <c r="L151" s="140"/>
      <c r="M151" s="140"/>
      <c r="N151" s="140"/>
      <c r="O151" s="281"/>
      <c r="P151" s="140"/>
      <c r="Q151" s="140"/>
      <c r="R151" s="140"/>
      <c r="S151" s="140"/>
      <c r="T151" s="140"/>
      <c r="U151" s="140"/>
      <c r="V151" s="140"/>
      <c r="W151" s="140"/>
      <c r="X151" s="140"/>
      <c r="Y151" s="140"/>
      <c r="Z151" s="140"/>
    </row>
    <row r="152" spans="1:26" ht="15.75" customHeight="1" x14ac:dyDescent="0.25">
      <c r="A152" s="284"/>
      <c r="B152" s="285"/>
      <c r="C152" s="140"/>
      <c r="D152" s="140"/>
      <c r="E152" s="140"/>
      <c r="F152" s="285"/>
      <c r="G152" s="140"/>
      <c r="H152" s="140"/>
      <c r="I152" s="285"/>
      <c r="J152" s="285"/>
      <c r="K152" s="281"/>
      <c r="L152" s="140"/>
      <c r="M152" s="140"/>
      <c r="N152" s="140"/>
      <c r="O152" s="281"/>
      <c r="P152" s="140"/>
      <c r="Q152" s="140"/>
      <c r="R152" s="140"/>
      <c r="S152" s="140"/>
      <c r="T152" s="140"/>
      <c r="U152" s="140"/>
      <c r="V152" s="140"/>
      <c r="W152" s="140"/>
      <c r="X152" s="140"/>
      <c r="Y152" s="140"/>
      <c r="Z152" s="140"/>
    </row>
    <row r="153" spans="1:26" ht="15.75" customHeight="1" x14ac:dyDescent="0.25">
      <c r="A153" s="284"/>
      <c r="B153" s="285"/>
      <c r="C153" s="140"/>
      <c r="D153" s="140"/>
      <c r="E153" s="140"/>
      <c r="F153" s="285"/>
      <c r="G153" s="140"/>
      <c r="H153" s="140"/>
      <c r="I153" s="285"/>
      <c r="J153" s="285"/>
      <c r="K153" s="281"/>
      <c r="L153" s="140"/>
      <c r="M153" s="140"/>
      <c r="N153" s="140"/>
      <c r="O153" s="281"/>
      <c r="P153" s="140"/>
      <c r="Q153" s="140"/>
      <c r="R153" s="140"/>
      <c r="S153" s="140"/>
      <c r="T153" s="140"/>
      <c r="U153" s="140"/>
      <c r="V153" s="140"/>
      <c r="W153" s="140"/>
      <c r="X153" s="140"/>
      <c r="Y153" s="140"/>
      <c r="Z153" s="140"/>
    </row>
    <row r="154" spans="1:26" ht="15.75" customHeight="1" x14ac:dyDescent="0.25">
      <c r="A154" s="284"/>
      <c r="B154" s="285"/>
      <c r="C154" s="140"/>
      <c r="D154" s="140"/>
      <c r="E154" s="140"/>
      <c r="F154" s="285"/>
      <c r="G154" s="140"/>
      <c r="H154" s="140"/>
      <c r="I154" s="285"/>
      <c r="J154" s="285"/>
      <c r="K154" s="281"/>
      <c r="L154" s="140"/>
      <c r="M154" s="140"/>
      <c r="N154" s="140"/>
      <c r="O154" s="281"/>
      <c r="P154" s="140"/>
      <c r="Q154" s="140"/>
      <c r="R154" s="140"/>
      <c r="S154" s="140"/>
      <c r="T154" s="140"/>
      <c r="U154" s="140"/>
      <c r="V154" s="140"/>
      <c r="W154" s="140"/>
      <c r="X154" s="140"/>
      <c r="Y154" s="140"/>
      <c r="Z154" s="140"/>
    </row>
    <row r="155" spans="1:26" ht="15.75" customHeight="1" x14ac:dyDescent="0.25">
      <c r="A155" s="284"/>
      <c r="B155" s="285"/>
      <c r="C155" s="140"/>
      <c r="D155" s="140"/>
      <c r="E155" s="140"/>
      <c r="F155" s="285"/>
      <c r="G155" s="140"/>
      <c r="H155" s="140"/>
      <c r="I155" s="285"/>
      <c r="J155" s="285"/>
      <c r="K155" s="281"/>
      <c r="L155" s="140"/>
      <c r="M155" s="140"/>
      <c r="N155" s="140"/>
      <c r="O155" s="281"/>
      <c r="P155" s="140"/>
      <c r="Q155" s="140"/>
      <c r="R155" s="140"/>
      <c r="S155" s="140"/>
      <c r="T155" s="140"/>
      <c r="U155" s="140"/>
      <c r="V155" s="140"/>
      <c r="W155" s="140"/>
      <c r="X155" s="140"/>
      <c r="Y155" s="140"/>
      <c r="Z155" s="140"/>
    </row>
    <row r="156" spans="1:26" ht="15.75" customHeight="1" x14ac:dyDescent="0.25">
      <c r="A156" s="284"/>
      <c r="B156" s="285"/>
      <c r="C156" s="140"/>
      <c r="D156" s="140"/>
      <c r="E156" s="140"/>
      <c r="F156" s="285"/>
      <c r="G156" s="140"/>
      <c r="H156" s="140"/>
      <c r="I156" s="285"/>
      <c r="J156" s="285"/>
      <c r="K156" s="281"/>
      <c r="L156" s="140"/>
      <c r="M156" s="140"/>
      <c r="N156" s="140"/>
      <c r="O156" s="281"/>
      <c r="P156" s="140"/>
      <c r="Q156" s="140"/>
      <c r="R156" s="140"/>
      <c r="S156" s="140"/>
      <c r="T156" s="140"/>
      <c r="U156" s="140"/>
      <c r="V156" s="140"/>
      <c r="W156" s="140"/>
      <c r="X156" s="140"/>
      <c r="Y156" s="140"/>
      <c r="Z156" s="140"/>
    </row>
    <row r="157" spans="1:26" ht="15.75" customHeight="1" x14ac:dyDescent="0.25">
      <c r="A157" s="284"/>
      <c r="B157" s="285"/>
      <c r="C157" s="140"/>
      <c r="D157" s="140"/>
      <c r="E157" s="140"/>
      <c r="F157" s="285"/>
      <c r="G157" s="140"/>
      <c r="H157" s="140"/>
      <c r="I157" s="285"/>
      <c r="J157" s="285"/>
      <c r="K157" s="281"/>
      <c r="L157" s="140"/>
      <c r="M157" s="140"/>
      <c r="N157" s="140"/>
      <c r="O157" s="281"/>
      <c r="P157" s="140"/>
      <c r="Q157" s="140"/>
      <c r="R157" s="140"/>
      <c r="S157" s="140"/>
      <c r="T157" s="140"/>
      <c r="U157" s="140"/>
      <c r="V157" s="140"/>
      <c r="W157" s="140"/>
      <c r="X157" s="140"/>
      <c r="Y157" s="140"/>
      <c r="Z157" s="140"/>
    </row>
    <row r="158" spans="1:26" ht="15.75" customHeight="1" x14ac:dyDescent="0.25">
      <c r="A158" s="284"/>
      <c r="B158" s="285"/>
      <c r="C158" s="140"/>
      <c r="D158" s="140"/>
      <c r="E158" s="140"/>
      <c r="F158" s="285"/>
      <c r="G158" s="140"/>
      <c r="H158" s="140"/>
      <c r="I158" s="285"/>
      <c r="J158" s="285"/>
      <c r="K158" s="281"/>
      <c r="L158" s="140"/>
      <c r="M158" s="140"/>
      <c r="N158" s="140"/>
      <c r="O158" s="281"/>
      <c r="P158" s="140"/>
      <c r="Q158" s="140"/>
      <c r="R158" s="140"/>
      <c r="S158" s="140"/>
      <c r="T158" s="140"/>
      <c r="U158" s="140"/>
      <c r="V158" s="140"/>
      <c r="W158" s="140"/>
      <c r="X158" s="140"/>
      <c r="Y158" s="140"/>
      <c r="Z158" s="140"/>
    </row>
    <row r="159" spans="1:26" ht="15.75" customHeight="1" x14ac:dyDescent="0.25">
      <c r="A159" s="284"/>
      <c r="B159" s="285"/>
      <c r="C159" s="140"/>
      <c r="D159" s="140"/>
      <c r="E159" s="140"/>
      <c r="F159" s="285"/>
      <c r="G159" s="140"/>
      <c r="H159" s="140"/>
      <c r="I159" s="285"/>
      <c r="J159" s="285"/>
      <c r="K159" s="281"/>
      <c r="L159" s="140"/>
      <c r="M159" s="140"/>
      <c r="N159" s="140"/>
      <c r="O159" s="281"/>
      <c r="P159" s="140"/>
      <c r="Q159" s="140"/>
      <c r="R159" s="140"/>
      <c r="S159" s="140"/>
      <c r="T159" s="140"/>
      <c r="U159" s="140"/>
      <c r="V159" s="140"/>
      <c r="W159" s="140"/>
      <c r="X159" s="140"/>
      <c r="Y159" s="140"/>
      <c r="Z159" s="140"/>
    </row>
    <row r="160" spans="1:26" ht="15.75" customHeight="1" x14ac:dyDescent="0.25">
      <c r="A160" s="284"/>
      <c r="B160" s="285"/>
      <c r="C160" s="140"/>
      <c r="D160" s="140"/>
      <c r="E160" s="140"/>
      <c r="F160" s="285"/>
      <c r="G160" s="140"/>
      <c r="H160" s="140"/>
      <c r="I160" s="285"/>
      <c r="J160" s="285"/>
      <c r="K160" s="281"/>
      <c r="L160" s="140"/>
      <c r="M160" s="140"/>
      <c r="N160" s="140"/>
      <c r="O160" s="281"/>
      <c r="P160" s="140"/>
      <c r="Q160" s="140"/>
      <c r="R160" s="140"/>
      <c r="S160" s="140"/>
      <c r="T160" s="140"/>
      <c r="U160" s="140"/>
      <c r="V160" s="140"/>
      <c r="W160" s="140"/>
      <c r="X160" s="140"/>
      <c r="Y160" s="140"/>
      <c r="Z160" s="140"/>
    </row>
    <row r="161" spans="1:26" ht="15.75" customHeight="1" x14ac:dyDescent="0.25">
      <c r="A161" s="284"/>
      <c r="B161" s="285"/>
      <c r="C161" s="140"/>
      <c r="D161" s="140"/>
      <c r="E161" s="140"/>
      <c r="F161" s="285"/>
      <c r="G161" s="140"/>
      <c r="H161" s="140"/>
      <c r="I161" s="285"/>
      <c r="J161" s="285"/>
      <c r="K161" s="281"/>
      <c r="L161" s="140"/>
      <c r="M161" s="140"/>
      <c r="N161" s="140"/>
      <c r="O161" s="281"/>
      <c r="P161" s="140"/>
      <c r="Q161" s="140"/>
      <c r="R161" s="140"/>
      <c r="S161" s="140"/>
      <c r="T161" s="140"/>
      <c r="U161" s="140"/>
      <c r="V161" s="140"/>
      <c r="W161" s="140"/>
      <c r="X161" s="140"/>
      <c r="Y161" s="140"/>
      <c r="Z161" s="140"/>
    </row>
    <row r="162" spans="1:26" ht="15.75" customHeight="1" x14ac:dyDescent="0.25">
      <c r="A162" s="284"/>
      <c r="B162" s="285"/>
      <c r="C162" s="140"/>
      <c r="D162" s="140"/>
      <c r="E162" s="140"/>
      <c r="F162" s="285"/>
      <c r="G162" s="140"/>
      <c r="H162" s="140"/>
      <c r="I162" s="285"/>
      <c r="J162" s="285"/>
      <c r="K162" s="281"/>
      <c r="L162" s="140"/>
      <c r="M162" s="140"/>
      <c r="N162" s="140"/>
      <c r="O162" s="281"/>
      <c r="P162" s="140"/>
      <c r="Q162" s="140"/>
      <c r="R162" s="140"/>
      <c r="S162" s="140"/>
      <c r="T162" s="140"/>
      <c r="U162" s="140"/>
      <c r="V162" s="140"/>
      <c r="W162" s="140"/>
      <c r="X162" s="140"/>
      <c r="Y162" s="140"/>
      <c r="Z162" s="140"/>
    </row>
    <row r="163" spans="1:26" ht="15.75" customHeight="1" x14ac:dyDescent="0.25">
      <c r="A163" s="284"/>
      <c r="B163" s="285"/>
      <c r="C163" s="140"/>
      <c r="D163" s="140"/>
      <c r="E163" s="140"/>
      <c r="F163" s="285"/>
      <c r="G163" s="140"/>
      <c r="H163" s="140"/>
      <c r="I163" s="285"/>
      <c r="J163" s="285"/>
      <c r="K163" s="281"/>
      <c r="L163" s="140"/>
      <c r="M163" s="140"/>
      <c r="N163" s="140"/>
      <c r="O163" s="281"/>
      <c r="P163" s="140"/>
      <c r="Q163" s="140"/>
      <c r="R163" s="140"/>
      <c r="S163" s="140"/>
      <c r="T163" s="140"/>
      <c r="U163" s="140"/>
      <c r="V163" s="140"/>
      <c r="W163" s="140"/>
      <c r="X163" s="140"/>
      <c r="Y163" s="140"/>
      <c r="Z163" s="140"/>
    </row>
    <row r="164" spans="1:26" ht="15.75" customHeight="1" x14ac:dyDescent="0.25">
      <c r="A164" s="284"/>
      <c r="B164" s="285"/>
      <c r="C164" s="140"/>
      <c r="D164" s="140"/>
      <c r="E164" s="140"/>
      <c r="F164" s="285"/>
      <c r="G164" s="140"/>
      <c r="H164" s="140"/>
      <c r="I164" s="285"/>
      <c r="J164" s="285"/>
      <c r="K164" s="281"/>
      <c r="L164" s="140"/>
      <c r="M164" s="140"/>
      <c r="N164" s="140"/>
      <c r="O164" s="281"/>
      <c r="P164" s="140"/>
      <c r="Q164" s="140"/>
      <c r="R164" s="140"/>
      <c r="S164" s="140"/>
      <c r="T164" s="140"/>
      <c r="U164" s="140"/>
      <c r="V164" s="140"/>
      <c r="W164" s="140"/>
      <c r="X164" s="140"/>
      <c r="Y164" s="140"/>
      <c r="Z164" s="140"/>
    </row>
    <row r="165" spans="1:26" ht="15.75" customHeight="1" x14ac:dyDescent="0.25">
      <c r="A165" s="284"/>
      <c r="B165" s="285"/>
      <c r="C165" s="140"/>
      <c r="D165" s="140"/>
      <c r="E165" s="140"/>
      <c r="F165" s="285"/>
      <c r="G165" s="140"/>
      <c r="H165" s="140"/>
      <c r="I165" s="285"/>
      <c r="J165" s="285"/>
      <c r="K165" s="281"/>
      <c r="L165" s="140"/>
      <c r="M165" s="140"/>
      <c r="N165" s="140"/>
      <c r="O165" s="281"/>
      <c r="P165" s="140"/>
      <c r="Q165" s="140"/>
      <c r="R165" s="140"/>
      <c r="S165" s="140"/>
      <c r="T165" s="140"/>
      <c r="U165" s="140"/>
      <c r="V165" s="140"/>
      <c r="W165" s="140"/>
      <c r="X165" s="140"/>
      <c r="Y165" s="140"/>
      <c r="Z165" s="140"/>
    </row>
    <row r="166" spans="1:26" ht="15.75" customHeight="1" x14ac:dyDescent="0.25">
      <c r="A166" s="284"/>
      <c r="B166" s="285"/>
      <c r="C166" s="140"/>
      <c r="D166" s="140"/>
      <c r="E166" s="140"/>
      <c r="F166" s="285"/>
      <c r="G166" s="140"/>
      <c r="H166" s="140"/>
      <c r="I166" s="285"/>
      <c r="J166" s="285"/>
      <c r="K166" s="281"/>
      <c r="L166" s="140"/>
      <c r="M166" s="140"/>
      <c r="N166" s="140"/>
      <c r="O166" s="281"/>
      <c r="P166" s="140"/>
      <c r="Q166" s="140"/>
      <c r="R166" s="140"/>
      <c r="S166" s="140"/>
      <c r="T166" s="140"/>
      <c r="U166" s="140"/>
      <c r="V166" s="140"/>
      <c r="W166" s="140"/>
      <c r="X166" s="140"/>
      <c r="Y166" s="140"/>
      <c r="Z166" s="140"/>
    </row>
    <row r="167" spans="1:26" ht="15.75" customHeight="1" x14ac:dyDescent="0.25">
      <c r="A167" s="284"/>
      <c r="B167" s="285"/>
      <c r="C167" s="140"/>
      <c r="D167" s="140"/>
      <c r="E167" s="140"/>
      <c r="F167" s="285"/>
      <c r="G167" s="140"/>
      <c r="H167" s="140"/>
      <c r="I167" s="285"/>
      <c r="J167" s="285"/>
      <c r="K167" s="281"/>
      <c r="L167" s="140"/>
      <c r="M167" s="140"/>
      <c r="N167" s="140"/>
      <c r="O167" s="281"/>
      <c r="P167" s="140"/>
      <c r="Q167" s="140"/>
      <c r="R167" s="140"/>
      <c r="S167" s="140"/>
      <c r="T167" s="140"/>
      <c r="U167" s="140"/>
      <c r="V167" s="140"/>
      <c r="W167" s="140"/>
      <c r="X167" s="140"/>
      <c r="Y167" s="140"/>
      <c r="Z167" s="140"/>
    </row>
    <row r="168" spans="1:26" ht="15.75" customHeight="1" x14ac:dyDescent="0.25">
      <c r="A168" s="284"/>
      <c r="B168" s="285"/>
      <c r="C168" s="140"/>
      <c r="D168" s="140"/>
      <c r="E168" s="140"/>
      <c r="F168" s="285"/>
      <c r="G168" s="140"/>
      <c r="H168" s="140"/>
      <c r="I168" s="285"/>
      <c r="J168" s="285"/>
      <c r="K168" s="281"/>
      <c r="L168" s="140"/>
      <c r="M168" s="140"/>
      <c r="N168" s="140"/>
      <c r="O168" s="281"/>
      <c r="P168" s="140"/>
      <c r="Q168" s="140"/>
      <c r="R168" s="140"/>
      <c r="S168" s="140"/>
      <c r="T168" s="140"/>
      <c r="U168" s="140"/>
      <c r="V168" s="140"/>
      <c r="W168" s="140"/>
      <c r="X168" s="140"/>
      <c r="Y168" s="140"/>
      <c r="Z168" s="140"/>
    </row>
    <row r="169" spans="1:26" ht="15.75" customHeight="1" x14ac:dyDescent="0.25">
      <c r="A169" s="284"/>
      <c r="B169" s="285"/>
      <c r="C169" s="140"/>
      <c r="D169" s="140"/>
      <c r="E169" s="140"/>
      <c r="F169" s="285"/>
      <c r="G169" s="140"/>
      <c r="H169" s="140"/>
      <c r="I169" s="285"/>
      <c r="J169" s="285"/>
      <c r="K169" s="281"/>
      <c r="L169" s="140"/>
      <c r="M169" s="140"/>
      <c r="N169" s="140"/>
      <c r="O169" s="281"/>
      <c r="P169" s="140"/>
      <c r="Q169" s="140"/>
      <c r="R169" s="140"/>
      <c r="S169" s="140"/>
      <c r="T169" s="140"/>
      <c r="U169" s="140"/>
      <c r="V169" s="140"/>
      <c r="W169" s="140"/>
      <c r="X169" s="140"/>
      <c r="Y169" s="140"/>
      <c r="Z169" s="140"/>
    </row>
    <row r="170" spans="1:26" ht="15.75" customHeight="1" x14ac:dyDescent="0.25">
      <c r="A170" s="284"/>
      <c r="B170" s="285"/>
      <c r="C170" s="140"/>
      <c r="D170" s="140"/>
      <c r="E170" s="140"/>
      <c r="F170" s="285"/>
      <c r="G170" s="140"/>
      <c r="H170" s="140"/>
      <c r="I170" s="285"/>
      <c r="J170" s="285"/>
      <c r="K170" s="281"/>
      <c r="L170" s="140"/>
      <c r="M170" s="140"/>
      <c r="N170" s="140"/>
      <c r="O170" s="281"/>
      <c r="P170" s="140"/>
      <c r="Q170" s="140"/>
      <c r="R170" s="140"/>
      <c r="S170" s="140"/>
      <c r="T170" s="140"/>
      <c r="U170" s="140"/>
      <c r="V170" s="140"/>
      <c r="W170" s="140"/>
      <c r="X170" s="140"/>
      <c r="Y170" s="140"/>
      <c r="Z170" s="140"/>
    </row>
    <row r="171" spans="1:26" ht="15.75" customHeight="1" x14ac:dyDescent="0.25">
      <c r="A171" s="284"/>
      <c r="B171" s="285"/>
      <c r="C171" s="140"/>
      <c r="D171" s="140"/>
      <c r="E171" s="140"/>
      <c r="F171" s="285"/>
      <c r="G171" s="140"/>
      <c r="H171" s="140"/>
      <c r="I171" s="285"/>
      <c r="J171" s="285"/>
      <c r="K171" s="281"/>
      <c r="L171" s="140"/>
      <c r="M171" s="140"/>
      <c r="N171" s="140"/>
      <c r="O171" s="281"/>
      <c r="P171" s="140"/>
      <c r="Q171" s="140"/>
      <c r="R171" s="140"/>
      <c r="S171" s="140"/>
      <c r="T171" s="140"/>
      <c r="U171" s="140"/>
      <c r="V171" s="140"/>
      <c r="W171" s="140"/>
      <c r="X171" s="140"/>
      <c r="Y171" s="140"/>
      <c r="Z171" s="140"/>
    </row>
    <row r="172" spans="1:26" ht="15.75" customHeight="1" x14ac:dyDescent="0.25">
      <c r="A172" s="284"/>
      <c r="B172" s="285"/>
      <c r="C172" s="140"/>
      <c r="D172" s="140"/>
      <c r="E172" s="140"/>
      <c r="F172" s="285"/>
      <c r="G172" s="140"/>
      <c r="H172" s="140"/>
      <c r="I172" s="285"/>
      <c r="J172" s="285"/>
      <c r="K172" s="281"/>
      <c r="L172" s="140"/>
      <c r="M172" s="140"/>
      <c r="N172" s="140"/>
      <c r="O172" s="281"/>
      <c r="P172" s="140"/>
      <c r="Q172" s="140"/>
      <c r="R172" s="140"/>
      <c r="S172" s="140"/>
      <c r="T172" s="140"/>
      <c r="U172" s="140"/>
      <c r="V172" s="140"/>
      <c r="W172" s="140"/>
      <c r="X172" s="140"/>
      <c r="Y172" s="140"/>
      <c r="Z172" s="140"/>
    </row>
    <row r="173" spans="1:26" ht="15.75" customHeight="1" x14ac:dyDescent="0.25">
      <c r="A173" s="284"/>
      <c r="B173" s="285"/>
      <c r="C173" s="140"/>
      <c r="D173" s="140"/>
      <c r="E173" s="140"/>
      <c r="F173" s="285"/>
      <c r="G173" s="140"/>
      <c r="H173" s="140"/>
      <c r="I173" s="285"/>
      <c r="J173" s="285"/>
      <c r="K173" s="281"/>
      <c r="L173" s="140"/>
      <c r="M173" s="140"/>
      <c r="N173" s="140"/>
      <c r="O173" s="281"/>
      <c r="P173" s="140"/>
      <c r="Q173" s="140"/>
      <c r="R173" s="140"/>
      <c r="S173" s="140"/>
      <c r="T173" s="140"/>
      <c r="U173" s="140"/>
      <c r="V173" s="140"/>
      <c r="W173" s="140"/>
      <c r="X173" s="140"/>
      <c r="Y173" s="140"/>
      <c r="Z173" s="140"/>
    </row>
    <row r="174" spans="1:26" ht="15.75" customHeight="1" x14ac:dyDescent="0.25">
      <c r="A174" s="284"/>
      <c r="B174" s="285"/>
      <c r="C174" s="140"/>
      <c r="D174" s="140"/>
      <c r="E174" s="140"/>
      <c r="F174" s="285"/>
      <c r="G174" s="140"/>
      <c r="H174" s="140"/>
      <c r="I174" s="285"/>
      <c r="J174" s="285"/>
      <c r="K174" s="281"/>
      <c r="L174" s="140"/>
      <c r="M174" s="140"/>
      <c r="N174" s="140"/>
      <c r="O174" s="281"/>
      <c r="P174" s="140"/>
      <c r="Q174" s="140"/>
      <c r="R174" s="140"/>
      <c r="S174" s="140"/>
      <c r="T174" s="140"/>
      <c r="U174" s="140"/>
      <c r="V174" s="140"/>
      <c r="W174" s="140"/>
      <c r="X174" s="140"/>
      <c r="Y174" s="140"/>
      <c r="Z174" s="140"/>
    </row>
    <row r="175" spans="1:26" ht="15.75" customHeight="1" x14ac:dyDescent="0.25">
      <c r="A175" s="284"/>
      <c r="B175" s="285"/>
      <c r="C175" s="140"/>
      <c r="D175" s="140"/>
      <c r="E175" s="140"/>
      <c r="F175" s="285"/>
      <c r="G175" s="140"/>
      <c r="H175" s="140"/>
      <c r="I175" s="285"/>
      <c r="J175" s="285"/>
      <c r="K175" s="281"/>
      <c r="L175" s="140"/>
      <c r="M175" s="140"/>
      <c r="N175" s="140"/>
      <c r="O175" s="281"/>
      <c r="P175" s="140"/>
      <c r="Q175" s="140"/>
      <c r="R175" s="140"/>
      <c r="S175" s="140"/>
      <c r="T175" s="140"/>
      <c r="U175" s="140"/>
      <c r="V175" s="140"/>
      <c r="W175" s="140"/>
      <c r="X175" s="140"/>
      <c r="Y175" s="140"/>
      <c r="Z175" s="140"/>
    </row>
    <row r="176" spans="1:26" ht="15.75" customHeight="1" x14ac:dyDescent="0.25">
      <c r="A176" s="284"/>
      <c r="B176" s="285"/>
      <c r="C176" s="140"/>
      <c r="D176" s="140"/>
      <c r="E176" s="140"/>
      <c r="F176" s="285"/>
      <c r="G176" s="140"/>
      <c r="H176" s="140"/>
      <c r="I176" s="285"/>
      <c r="J176" s="285"/>
      <c r="K176" s="281"/>
      <c r="L176" s="140"/>
      <c r="M176" s="140"/>
      <c r="N176" s="140"/>
      <c r="O176" s="281"/>
      <c r="P176" s="140"/>
      <c r="Q176" s="140"/>
      <c r="R176" s="140"/>
      <c r="S176" s="140"/>
      <c r="T176" s="140"/>
      <c r="U176" s="140"/>
      <c r="V176" s="140"/>
      <c r="W176" s="140"/>
      <c r="X176" s="140"/>
      <c r="Y176" s="140"/>
      <c r="Z176" s="140"/>
    </row>
    <row r="177" spans="1:26" ht="15.75" customHeight="1" x14ac:dyDescent="0.25">
      <c r="A177" s="284"/>
      <c r="B177" s="285"/>
      <c r="C177" s="140"/>
      <c r="D177" s="140"/>
      <c r="E177" s="140"/>
      <c r="F177" s="285"/>
      <c r="G177" s="140"/>
      <c r="H177" s="140"/>
      <c r="I177" s="285"/>
      <c r="J177" s="285"/>
      <c r="K177" s="281"/>
      <c r="L177" s="140"/>
      <c r="M177" s="140"/>
      <c r="N177" s="140"/>
      <c r="O177" s="281"/>
      <c r="P177" s="140"/>
      <c r="Q177" s="140"/>
      <c r="R177" s="140"/>
      <c r="S177" s="140"/>
      <c r="T177" s="140"/>
      <c r="U177" s="140"/>
      <c r="V177" s="140"/>
      <c r="W177" s="140"/>
      <c r="X177" s="140"/>
      <c r="Y177" s="140"/>
      <c r="Z177" s="140"/>
    </row>
    <row r="178" spans="1:26" ht="15.75" customHeight="1" x14ac:dyDescent="0.25">
      <c r="A178" s="284"/>
      <c r="B178" s="285"/>
      <c r="C178" s="140"/>
      <c r="D178" s="140"/>
      <c r="E178" s="140"/>
      <c r="F178" s="285"/>
      <c r="G178" s="140"/>
      <c r="H178" s="140"/>
      <c r="I178" s="285"/>
      <c r="J178" s="285"/>
      <c r="K178" s="281"/>
      <c r="L178" s="140"/>
      <c r="M178" s="140"/>
      <c r="N178" s="140"/>
      <c r="O178" s="281"/>
      <c r="P178" s="140"/>
      <c r="Q178" s="140"/>
      <c r="R178" s="140"/>
      <c r="S178" s="140"/>
      <c r="T178" s="140"/>
      <c r="U178" s="140"/>
      <c r="V178" s="140"/>
      <c r="W178" s="140"/>
      <c r="X178" s="140"/>
      <c r="Y178" s="140"/>
      <c r="Z178" s="140"/>
    </row>
    <row r="179" spans="1:26" ht="15.75" customHeight="1" x14ac:dyDescent="0.25">
      <c r="A179" s="284"/>
      <c r="B179" s="285"/>
      <c r="C179" s="140"/>
      <c r="D179" s="140"/>
      <c r="E179" s="140"/>
      <c r="F179" s="285"/>
      <c r="G179" s="140"/>
      <c r="H179" s="140"/>
      <c r="I179" s="285"/>
      <c r="J179" s="285"/>
      <c r="K179" s="281"/>
      <c r="L179" s="140"/>
      <c r="M179" s="140"/>
      <c r="N179" s="140"/>
      <c r="O179" s="281"/>
      <c r="P179" s="140"/>
      <c r="Q179" s="140"/>
      <c r="R179" s="140"/>
      <c r="S179" s="140"/>
      <c r="T179" s="140"/>
      <c r="U179" s="140"/>
      <c r="V179" s="140"/>
      <c r="W179" s="140"/>
      <c r="X179" s="140"/>
      <c r="Y179" s="140"/>
      <c r="Z179" s="140"/>
    </row>
    <row r="180" spans="1:26" ht="15.75" customHeight="1" x14ac:dyDescent="0.25">
      <c r="A180" s="284"/>
      <c r="B180" s="285"/>
      <c r="C180" s="140"/>
      <c r="D180" s="140"/>
      <c r="E180" s="140"/>
      <c r="F180" s="285"/>
      <c r="G180" s="140"/>
      <c r="H180" s="140"/>
      <c r="I180" s="285"/>
      <c r="J180" s="285"/>
      <c r="K180" s="281"/>
      <c r="L180" s="140"/>
      <c r="M180" s="140"/>
      <c r="N180" s="140"/>
      <c r="O180" s="281"/>
      <c r="P180" s="140"/>
      <c r="Q180" s="140"/>
      <c r="R180" s="140"/>
      <c r="S180" s="140"/>
      <c r="T180" s="140"/>
      <c r="U180" s="140"/>
      <c r="V180" s="140"/>
      <c r="W180" s="140"/>
      <c r="X180" s="140"/>
      <c r="Y180" s="140"/>
      <c r="Z180" s="140"/>
    </row>
    <row r="181" spans="1:26" ht="15.75" customHeight="1" x14ac:dyDescent="0.25">
      <c r="A181" s="284"/>
      <c r="B181" s="285"/>
      <c r="C181" s="140"/>
      <c r="D181" s="140"/>
      <c r="E181" s="140"/>
      <c r="F181" s="285"/>
      <c r="G181" s="140"/>
      <c r="H181" s="140"/>
      <c r="I181" s="285"/>
      <c r="J181" s="285"/>
      <c r="K181" s="281"/>
      <c r="L181" s="140"/>
      <c r="M181" s="140"/>
      <c r="N181" s="140"/>
      <c r="O181" s="281"/>
      <c r="P181" s="140"/>
      <c r="Q181" s="140"/>
      <c r="R181" s="140"/>
      <c r="S181" s="140"/>
      <c r="T181" s="140"/>
      <c r="U181" s="140"/>
      <c r="V181" s="140"/>
      <c r="W181" s="140"/>
      <c r="X181" s="140"/>
      <c r="Y181" s="140"/>
      <c r="Z181" s="140"/>
    </row>
    <row r="182" spans="1:26" ht="15.75" customHeight="1" x14ac:dyDescent="0.25">
      <c r="A182" s="284"/>
      <c r="B182" s="285"/>
      <c r="C182" s="140"/>
      <c r="D182" s="140"/>
      <c r="E182" s="140"/>
      <c r="F182" s="285"/>
      <c r="G182" s="140"/>
      <c r="H182" s="140"/>
      <c r="I182" s="285"/>
      <c r="J182" s="285"/>
      <c r="K182" s="281"/>
      <c r="L182" s="140"/>
      <c r="M182" s="140"/>
      <c r="N182" s="140"/>
      <c r="O182" s="281"/>
      <c r="P182" s="140"/>
      <c r="Q182" s="140"/>
      <c r="R182" s="140"/>
      <c r="S182" s="140"/>
      <c r="T182" s="140"/>
      <c r="U182" s="140"/>
      <c r="V182" s="140"/>
      <c r="W182" s="140"/>
      <c r="X182" s="140"/>
      <c r="Y182" s="140"/>
      <c r="Z182" s="140"/>
    </row>
    <row r="183" spans="1:26" ht="15.75" customHeight="1" x14ac:dyDescent="0.25">
      <c r="A183" s="284"/>
      <c r="B183" s="285"/>
      <c r="C183" s="140"/>
      <c r="D183" s="140"/>
      <c r="E183" s="140"/>
      <c r="F183" s="285"/>
      <c r="G183" s="140"/>
      <c r="H183" s="140"/>
      <c r="I183" s="285"/>
      <c r="J183" s="285"/>
      <c r="K183" s="281"/>
      <c r="L183" s="140"/>
      <c r="M183" s="140"/>
      <c r="N183" s="140"/>
      <c r="O183" s="281"/>
      <c r="P183" s="140"/>
      <c r="Q183" s="140"/>
      <c r="R183" s="140"/>
      <c r="S183" s="140"/>
      <c r="T183" s="140"/>
      <c r="U183" s="140"/>
      <c r="V183" s="140"/>
      <c r="W183" s="140"/>
      <c r="X183" s="140"/>
      <c r="Y183" s="140"/>
      <c r="Z183" s="140"/>
    </row>
    <row r="184" spans="1:26" ht="15.75" customHeight="1" x14ac:dyDescent="0.25">
      <c r="A184" s="284"/>
      <c r="B184" s="285"/>
      <c r="C184" s="140"/>
      <c r="D184" s="140"/>
      <c r="E184" s="140"/>
      <c r="F184" s="285"/>
      <c r="G184" s="140"/>
      <c r="H184" s="140"/>
      <c r="I184" s="285"/>
      <c r="J184" s="285"/>
      <c r="K184" s="281"/>
      <c r="L184" s="140"/>
      <c r="M184" s="140"/>
      <c r="N184" s="140"/>
      <c r="O184" s="281"/>
      <c r="P184" s="140"/>
      <c r="Q184" s="140"/>
      <c r="R184" s="140"/>
      <c r="S184" s="140"/>
      <c r="T184" s="140"/>
      <c r="U184" s="140"/>
      <c r="V184" s="140"/>
      <c r="W184" s="140"/>
      <c r="X184" s="140"/>
      <c r="Y184" s="140"/>
      <c r="Z184" s="140"/>
    </row>
    <row r="185" spans="1:26" ht="15.75" customHeight="1" x14ac:dyDescent="0.25">
      <c r="A185" s="284"/>
      <c r="B185" s="285"/>
      <c r="C185" s="140"/>
      <c r="D185" s="140"/>
      <c r="E185" s="140"/>
      <c r="F185" s="285"/>
      <c r="G185" s="140"/>
      <c r="H185" s="140"/>
      <c r="I185" s="285"/>
      <c r="J185" s="285"/>
      <c r="K185" s="281"/>
      <c r="L185" s="140"/>
      <c r="M185" s="140"/>
      <c r="N185" s="140"/>
      <c r="O185" s="281"/>
      <c r="P185" s="140"/>
      <c r="Q185" s="140"/>
      <c r="R185" s="140"/>
      <c r="S185" s="140"/>
      <c r="T185" s="140"/>
      <c r="U185" s="140"/>
      <c r="V185" s="140"/>
      <c r="W185" s="140"/>
      <c r="X185" s="140"/>
      <c r="Y185" s="140"/>
      <c r="Z185" s="140"/>
    </row>
    <row r="186" spans="1:26" ht="15.75" customHeight="1" x14ac:dyDescent="0.25">
      <c r="A186" s="284"/>
      <c r="B186" s="285"/>
      <c r="C186" s="140"/>
      <c r="D186" s="140"/>
      <c r="E186" s="140"/>
      <c r="F186" s="285"/>
      <c r="G186" s="140"/>
      <c r="H186" s="140"/>
      <c r="I186" s="285"/>
      <c r="J186" s="285"/>
      <c r="K186" s="281"/>
      <c r="L186" s="140"/>
      <c r="M186" s="140"/>
      <c r="N186" s="140"/>
      <c r="O186" s="281"/>
      <c r="P186" s="140"/>
      <c r="Q186" s="140"/>
      <c r="R186" s="140"/>
      <c r="S186" s="140"/>
      <c r="T186" s="140"/>
      <c r="U186" s="140"/>
      <c r="V186" s="140"/>
      <c r="W186" s="140"/>
      <c r="X186" s="140"/>
      <c r="Y186" s="140"/>
      <c r="Z186" s="140"/>
    </row>
    <row r="187" spans="1:26" ht="15.75" customHeight="1" x14ac:dyDescent="0.25">
      <c r="A187" s="284"/>
      <c r="B187" s="285"/>
      <c r="C187" s="140"/>
      <c r="D187" s="140"/>
      <c r="E187" s="140"/>
      <c r="F187" s="285"/>
      <c r="G187" s="140"/>
      <c r="H187" s="140"/>
      <c r="I187" s="285"/>
      <c r="J187" s="285"/>
      <c r="K187" s="281"/>
      <c r="L187" s="140"/>
      <c r="M187" s="140"/>
      <c r="N187" s="140"/>
      <c r="O187" s="281"/>
      <c r="P187" s="140"/>
      <c r="Q187" s="140"/>
      <c r="R187" s="140"/>
      <c r="S187" s="140"/>
      <c r="T187" s="140"/>
      <c r="U187" s="140"/>
      <c r="V187" s="140"/>
      <c r="W187" s="140"/>
      <c r="X187" s="140"/>
      <c r="Y187" s="140"/>
      <c r="Z187" s="140"/>
    </row>
    <row r="188" spans="1:26" ht="15.75" customHeight="1" x14ac:dyDescent="0.25">
      <c r="A188" s="284"/>
      <c r="B188" s="285"/>
      <c r="C188" s="140"/>
      <c r="D188" s="140"/>
      <c r="E188" s="140"/>
      <c r="F188" s="285"/>
      <c r="G188" s="140"/>
      <c r="H188" s="140"/>
      <c r="I188" s="285"/>
      <c r="J188" s="285"/>
      <c r="K188" s="281"/>
      <c r="L188" s="140"/>
      <c r="M188" s="140"/>
      <c r="N188" s="140"/>
      <c r="O188" s="281"/>
      <c r="P188" s="140"/>
      <c r="Q188" s="140"/>
      <c r="R188" s="140"/>
      <c r="S188" s="140"/>
      <c r="T188" s="140"/>
      <c r="U188" s="140"/>
      <c r="V188" s="140"/>
      <c r="W188" s="140"/>
      <c r="X188" s="140"/>
      <c r="Y188" s="140"/>
      <c r="Z188" s="140"/>
    </row>
    <row r="189" spans="1:26" ht="15.75" customHeight="1" x14ac:dyDescent="0.25">
      <c r="A189" s="284"/>
      <c r="B189" s="285"/>
      <c r="C189" s="140"/>
      <c r="D189" s="140"/>
      <c r="E189" s="140"/>
      <c r="F189" s="285"/>
      <c r="G189" s="140"/>
      <c r="H189" s="140"/>
      <c r="I189" s="285"/>
      <c r="J189" s="285"/>
      <c r="K189" s="281"/>
      <c r="L189" s="140"/>
      <c r="M189" s="140"/>
      <c r="N189" s="140"/>
      <c r="O189" s="281"/>
      <c r="P189" s="140"/>
      <c r="Q189" s="140"/>
      <c r="R189" s="140"/>
      <c r="S189" s="140"/>
      <c r="T189" s="140"/>
      <c r="U189" s="140"/>
      <c r="V189" s="140"/>
      <c r="W189" s="140"/>
      <c r="X189" s="140"/>
      <c r="Y189" s="140"/>
      <c r="Z189" s="140"/>
    </row>
    <row r="190" spans="1:26" ht="15.75" customHeight="1" x14ac:dyDescent="0.25">
      <c r="A190" s="284"/>
      <c r="B190" s="285"/>
      <c r="C190" s="140"/>
      <c r="D190" s="140"/>
      <c r="E190" s="140"/>
      <c r="F190" s="285"/>
      <c r="G190" s="140"/>
      <c r="H190" s="140"/>
      <c r="I190" s="285"/>
      <c r="J190" s="285"/>
      <c r="K190" s="281"/>
      <c r="L190" s="140"/>
      <c r="M190" s="140"/>
      <c r="N190" s="140"/>
      <c r="O190" s="281"/>
      <c r="P190" s="140"/>
      <c r="Q190" s="140"/>
      <c r="R190" s="140"/>
      <c r="S190" s="140"/>
      <c r="T190" s="140"/>
      <c r="U190" s="140"/>
      <c r="V190" s="140"/>
      <c r="W190" s="140"/>
      <c r="X190" s="140"/>
      <c r="Y190" s="140"/>
      <c r="Z190" s="140"/>
    </row>
    <row r="191" spans="1:26" ht="15.75" customHeight="1" x14ac:dyDescent="0.25">
      <c r="A191" s="284"/>
      <c r="B191" s="285"/>
      <c r="C191" s="140"/>
      <c r="D191" s="140"/>
      <c r="E191" s="140"/>
      <c r="F191" s="285"/>
      <c r="G191" s="140"/>
      <c r="H191" s="140"/>
      <c r="I191" s="285"/>
      <c r="J191" s="285"/>
      <c r="K191" s="281"/>
      <c r="L191" s="140"/>
      <c r="M191" s="140"/>
      <c r="N191" s="140"/>
      <c r="O191" s="281"/>
      <c r="P191" s="140"/>
      <c r="Q191" s="140"/>
      <c r="R191" s="140"/>
      <c r="S191" s="140"/>
      <c r="T191" s="140"/>
      <c r="U191" s="140"/>
      <c r="V191" s="140"/>
      <c r="W191" s="140"/>
      <c r="X191" s="140"/>
      <c r="Y191" s="140"/>
      <c r="Z191" s="140"/>
    </row>
    <row r="192" spans="1:26" ht="15.75" customHeight="1" x14ac:dyDescent="0.25">
      <c r="A192" s="284"/>
      <c r="B192" s="285"/>
      <c r="C192" s="140"/>
      <c r="D192" s="140"/>
      <c r="E192" s="140"/>
      <c r="F192" s="285"/>
      <c r="G192" s="140"/>
      <c r="H192" s="140"/>
      <c r="I192" s="285"/>
      <c r="J192" s="285"/>
      <c r="K192" s="281"/>
      <c r="L192" s="140"/>
      <c r="M192" s="140"/>
      <c r="N192" s="140"/>
      <c r="O192" s="281"/>
      <c r="P192" s="140"/>
      <c r="Q192" s="140"/>
      <c r="R192" s="140"/>
      <c r="S192" s="140"/>
      <c r="T192" s="140"/>
      <c r="U192" s="140"/>
      <c r="V192" s="140"/>
      <c r="W192" s="140"/>
      <c r="X192" s="140"/>
      <c r="Y192" s="140"/>
      <c r="Z192" s="140"/>
    </row>
    <row r="193" spans="1:26" ht="15.75" customHeight="1" x14ac:dyDescent="0.25">
      <c r="A193" s="284"/>
      <c r="B193" s="285"/>
      <c r="C193" s="140"/>
      <c r="D193" s="140"/>
      <c r="E193" s="140"/>
      <c r="F193" s="285"/>
      <c r="G193" s="140"/>
      <c r="H193" s="140"/>
      <c r="I193" s="285"/>
      <c r="J193" s="285"/>
      <c r="K193" s="281"/>
      <c r="L193" s="140"/>
      <c r="M193" s="140"/>
      <c r="N193" s="140"/>
      <c r="O193" s="281"/>
      <c r="P193" s="140"/>
      <c r="Q193" s="140"/>
      <c r="R193" s="140"/>
      <c r="S193" s="140"/>
      <c r="T193" s="140"/>
      <c r="U193" s="140"/>
      <c r="V193" s="140"/>
      <c r="W193" s="140"/>
      <c r="X193" s="140"/>
      <c r="Y193" s="140"/>
      <c r="Z193" s="140"/>
    </row>
    <row r="194" spans="1:26" ht="15.75" customHeight="1" x14ac:dyDescent="0.25">
      <c r="A194" s="284"/>
      <c r="B194" s="285"/>
      <c r="C194" s="140"/>
      <c r="D194" s="140"/>
      <c r="E194" s="140"/>
      <c r="F194" s="285"/>
      <c r="G194" s="140"/>
      <c r="H194" s="140"/>
      <c r="I194" s="285"/>
      <c r="J194" s="285"/>
      <c r="K194" s="281"/>
      <c r="L194" s="140"/>
      <c r="M194" s="140"/>
      <c r="N194" s="140"/>
      <c r="O194" s="281"/>
      <c r="P194" s="140"/>
      <c r="Q194" s="140"/>
      <c r="R194" s="140"/>
      <c r="S194" s="140"/>
      <c r="T194" s="140"/>
      <c r="U194" s="140"/>
      <c r="V194" s="140"/>
      <c r="W194" s="140"/>
      <c r="X194" s="140"/>
      <c r="Y194" s="140"/>
      <c r="Z194" s="140"/>
    </row>
    <row r="195" spans="1:26" ht="15.75" customHeight="1" x14ac:dyDescent="0.25">
      <c r="A195" s="284"/>
      <c r="B195" s="285"/>
      <c r="C195" s="140"/>
      <c r="D195" s="140"/>
      <c r="E195" s="140"/>
      <c r="F195" s="285"/>
      <c r="G195" s="140"/>
      <c r="H195" s="140"/>
      <c r="I195" s="285"/>
      <c r="J195" s="285"/>
      <c r="K195" s="281"/>
      <c r="L195" s="140"/>
      <c r="M195" s="140"/>
      <c r="N195" s="140"/>
      <c r="O195" s="281"/>
      <c r="P195" s="140"/>
      <c r="Q195" s="140"/>
      <c r="R195" s="140"/>
      <c r="S195" s="140"/>
      <c r="T195" s="140"/>
      <c r="U195" s="140"/>
      <c r="V195" s="140"/>
      <c r="W195" s="140"/>
      <c r="X195" s="140"/>
      <c r="Y195" s="140"/>
      <c r="Z195" s="140"/>
    </row>
    <row r="196" spans="1:26" ht="15.75" customHeight="1" x14ac:dyDescent="0.25">
      <c r="A196" s="284"/>
      <c r="B196" s="285"/>
      <c r="C196" s="140"/>
      <c r="D196" s="140"/>
      <c r="E196" s="140"/>
      <c r="F196" s="285"/>
      <c r="G196" s="140"/>
      <c r="H196" s="140"/>
      <c r="I196" s="285"/>
      <c r="J196" s="285"/>
      <c r="K196" s="281"/>
      <c r="L196" s="140"/>
      <c r="M196" s="140"/>
      <c r="N196" s="140"/>
      <c r="O196" s="281"/>
      <c r="P196" s="140"/>
      <c r="Q196" s="140"/>
      <c r="R196" s="140"/>
      <c r="S196" s="140"/>
      <c r="T196" s="140"/>
      <c r="U196" s="140"/>
      <c r="V196" s="140"/>
      <c r="W196" s="140"/>
      <c r="X196" s="140"/>
      <c r="Y196" s="140"/>
      <c r="Z196" s="140"/>
    </row>
    <row r="197" spans="1:26" ht="15.75" customHeight="1" x14ac:dyDescent="0.25">
      <c r="A197" s="284"/>
      <c r="B197" s="285"/>
      <c r="C197" s="140"/>
      <c r="D197" s="140"/>
      <c r="E197" s="140"/>
      <c r="F197" s="285"/>
      <c r="G197" s="140"/>
      <c r="H197" s="140"/>
      <c r="I197" s="285"/>
      <c r="J197" s="285"/>
      <c r="K197" s="281"/>
      <c r="L197" s="140"/>
      <c r="M197" s="140"/>
      <c r="N197" s="140"/>
      <c r="O197" s="281"/>
      <c r="P197" s="140"/>
      <c r="Q197" s="140"/>
      <c r="R197" s="140"/>
      <c r="S197" s="140"/>
      <c r="T197" s="140"/>
      <c r="U197" s="140"/>
      <c r="V197" s="140"/>
      <c r="W197" s="140"/>
      <c r="X197" s="140"/>
      <c r="Y197" s="140"/>
      <c r="Z197" s="140"/>
    </row>
    <row r="198" spans="1:26" ht="15.75" customHeight="1" x14ac:dyDescent="0.25">
      <c r="A198" s="284"/>
      <c r="B198" s="285"/>
      <c r="C198" s="140"/>
      <c r="D198" s="140"/>
      <c r="E198" s="140"/>
      <c r="F198" s="285"/>
      <c r="G198" s="140"/>
      <c r="H198" s="140"/>
      <c r="I198" s="285"/>
      <c r="J198" s="285"/>
      <c r="K198" s="281"/>
      <c r="L198" s="140"/>
      <c r="M198" s="140"/>
      <c r="N198" s="140"/>
      <c r="O198" s="281"/>
      <c r="P198" s="140"/>
      <c r="Q198" s="140"/>
      <c r="R198" s="140"/>
      <c r="S198" s="140"/>
      <c r="T198" s="140"/>
      <c r="U198" s="140"/>
      <c r="V198" s="140"/>
      <c r="W198" s="140"/>
      <c r="X198" s="140"/>
      <c r="Y198" s="140"/>
      <c r="Z198" s="140"/>
    </row>
    <row r="199" spans="1:26" ht="15.75" customHeight="1" x14ac:dyDescent="0.25">
      <c r="A199" s="284"/>
      <c r="B199" s="285"/>
      <c r="C199" s="140"/>
      <c r="D199" s="140"/>
      <c r="E199" s="140"/>
      <c r="F199" s="285"/>
      <c r="G199" s="140"/>
      <c r="H199" s="140"/>
      <c r="I199" s="285"/>
      <c r="J199" s="285"/>
      <c r="K199" s="281"/>
      <c r="L199" s="140"/>
      <c r="M199" s="140"/>
      <c r="N199" s="140"/>
      <c r="O199" s="281"/>
      <c r="P199" s="140"/>
      <c r="Q199" s="140"/>
      <c r="R199" s="140"/>
      <c r="S199" s="140"/>
      <c r="T199" s="140"/>
      <c r="U199" s="140"/>
      <c r="V199" s="140"/>
      <c r="W199" s="140"/>
      <c r="X199" s="140"/>
      <c r="Y199" s="140"/>
      <c r="Z199" s="140"/>
    </row>
    <row r="200" spans="1:26" ht="15.75" customHeight="1" x14ac:dyDescent="0.25">
      <c r="A200" s="284"/>
      <c r="B200" s="285"/>
      <c r="C200" s="140"/>
      <c r="D200" s="140"/>
      <c r="E200" s="140"/>
      <c r="F200" s="285"/>
      <c r="G200" s="140"/>
      <c r="H200" s="140"/>
      <c r="I200" s="285"/>
      <c r="J200" s="285"/>
      <c r="K200" s="281"/>
      <c r="L200" s="140"/>
      <c r="M200" s="140"/>
      <c r="N200" s="140"/>
      <c r="O200" s="281"/>
      <c r="P200" s="140"/>
      <c r="Q200" s="140"/>
      <c r="R200" s="140"/>
      <c r="S200" s="140"/>
      <c r="T200" s="140"/>
      <c r="U200" s="140"/>
      <c r="V200" s="140"/>
      <c r="W200" s="140"/>
      <c r="X200" s="140"/>
      <c r="Y200" s="140"/>
      <c r="Z200" s="140"/>
    </row>
    <row r="201" spans="1:26" ht="15.75" customHeight="1" x14ac:dyDescent="0.25">
      <c r="A201" s="284"/>
      <c r="B201" s="285"/>
      <c r="C201" s="140"/>
      <c r="D201" s="140"/>
      <c r="E201" s="140"/>
      <c r="F201" s="285"/>
      <c r="G201" s="140"/>
      <c r="H201" s="140"/>
      <c r="I201" s="285"/>
      <c r="J201" s="285"/>
      <c r="K201" s="281"/>
      <c r="L201" s="140"/>
      <c r="M201" s="140"/>
      <c r="N201" s="140"/>
      <c r="O201" s="281"/>
      <c r="P201" s="140"/>
      <c r="Q201" s="140"/>
      <c r="R201" s="140"/>
      <c r="S201" s="140"/>
      <c r="T201" s="140"/>
      <c r="U201" s="140"/>
      <c r="V201" s="140"/>
      <c r="W201" s="140"/>
      <c r="X201" s="140"/>
      <c r="Y201" s="140"/>
      <c r="Z201" s="140"/>
    </row>
    <row r="202" spans="1:26" ht="15.75" customHeight="1" x14ac:dyDescent="0.25">
      <c r="A202" s="284"/>
      <c r="B202" s="285"/>
      <c r="C202" s="140"/>
      <c r="D202" s="140"/>
      <c r="E202" s="140"/>
      <c r="F202" s="285"/>
      <c r="G202" s="140"/>
      <c r="H202" s="140"/>
      <c r="I202" s="285"/>
      <c r="J202" s="285"/>
      <c r="K202" s="281"/>
      <c r="L202" s="140"/>
      <c r="M202" s="140"/>
      <c r="N202" s="140"/>
      <c r="O202" s="281"/>
      <c r="P202" s="140"/>
      <c r="Q202" s="140"/>
      <c r="R202" s="140"/>
      <c r="S202" s="140"/>
      <c r="T202" s="140"/>
      <c r="U202" s="140"/>
      <c r="V202" s="140"/>
      <c r="W202" s="140"/>
      <c r="X202" s="140"/>
      <c r="Y202" s="140"/>
      <c r="Z202" s="140"/>
    </row>
    <row r="203" spans="1:26" ht="15.75" customHeight="1" x14ac:dyDescent="0.25">
      <c r="A203" s="284"/>
      <c r="B203" s="285"/>
      <c r="C203" s="140"/>
      <c r="D203" s="140"/>
      <c r="E203" s="140"/>
      <c r="F203" s="285"/>
      <c r="G203" s="140"/>
      <c r="H203" s="140"/>
      <c r="I203" s="285"/>
      <c r="J203" s="285"/>
      <c r="K203" s="281"/>
      <c r="L203" s="140"/>
      <c r="M203" s="140"/>
      <c r="N203" s="140"/>
      <c r="O203" s="281"/>
      <c r="P203" s="140"/>
      <c r="Q203" s="140"/>
      <c r="R203" s="140"/>
      <c r="S203" s="140"/>
      <c r="T203" s="140"/>
      <c r="U203" s="140"/>
      <c r="V203" s="140"/>
      <c r="W203" s="140"/>
      <c r="X203" s="140"/>
      <c r="Y203" s="140"/>
      <c r="Z203" s="140"/>
    </row>
    <row r="204" spans="1:26" ht="15.75" customHeight="1" x14ac:dyDescent="0.25">
      <c r="A204" s="284"/>
      <c r="B204" s="285"/>
      <c r="C204" s="140"/>
      <c r="D204" s="140"/>
      <c r="E204" s="140"/>
      <c r="F204" s="285"/>
      <c r="G204" s="140"/>
      <c r="H204" s="140"/>
      <c r="I204" s="285"/>
      <c r="J204" s="285"/>
      <c r="K204" s="281"/>
      <c r="L204" s="140"/>
      <c r="M204" s="140"/>
      <c r="N204" s="140"/>
      <c r="O204" s="281"/>
      <c r="P204" s="140"/>
      <c r="Q204" s="140"/>
      <c r="R204" s="140"/>
      <c r="S204" s="140"/>
      <c r="T204" s="140"/>
      <c r="U204" s="140"/>
      <c r="V204" s="140"/>
      <c r="W204" s="140"/>
      <c r="X204" s="140"/>
      <c r="Y204" s="140"/>
      <c r="Z204" s="140"/>
    </row>
    <row r="205" spans="1:26" ht="15.75" customHeight="1" x14ac:dyDescent="0.25">
      <c r="A205" s="284"/>
      <c r="B205" s="285"/>
      <c r="C205" s="140"/>
      <c r="D205" s="140"/>
      <c r="E205" s="140"/>
      <c r="F205" s="285"/>
      <c r="G205" s="140"/>
      <c r="H205" s="140"/>
      <c r="I205" s="285"/>
      <c r="J205" s="285"/>
      <c r="K205" s="281"/>
      <c r="L205" s="140"/>
      <c r="M205" s="140"/>
      <c r="N205" s="140"/>
      <c r="O205" s="281"/>
      <c r="P205" s="140"/>
      <c r="Q205" s="140"/>
      <c r="R205" s="140"/>
      <c r="S205" s="140"/>
      <c r="T205" s="140"/>
      <c r="U205" s="140"/>
      <c r="V205" s="140"/>
      <c r="W205" s="140"/>
      <c r="X205" s="140"/>
      <c r="Y205" s="140"/>
      <c r="Z205" s="140"/>
    </row>
    <row r="206" spans="1:26" ht="15.75" customHeight="1" x14ac:dyDescent="0.25">
      <c r="A206" s="284"/>
      <c r="B206" s="285"/>
      <c r="C206" s="140"/>
      <c r="D206" s="140"/>
      <c r="E206" s="140"/>
      <c r="F206" s="285"/>
      <c r="G206" s="140"/>
      <c r="H206" s="140"/>
      <c r="I206" s="285"/>
      <c r="J206" s="285"/>
      <c r="K206" s="281"/>
      <c r="L206" s="140"/>
      <c r="M206" s="140"/>
      <c r="N206" s="140"/>
      <c r="O206" s="281"/>
      <c r="P206" s="140"/>
      <c r="Q206" s="140"/>
      <c r="R206" s="140"/>
      <c r="S206" s="140"/>
      <c r="T206" s="140"/>
      <c r="U206" s="140"/>
      <c r="V206" s="140"/>
      <c r="W206" s="140"/>
      <c r="X206" s="140"/>
      <c r="Y206" s="140"/>
      <c r="Z206" s="140"/>
    </row>
    <row r="207" spans="1:26" ht="15.75" customHeight="1" x14ac:dyDescent="0.25">
      <c r="A207" s="284"/>
      <c r="B207" s="285"/>
      <c r="C207" s="140"/>
      <c r="D207" s="140"/>
      <c r="E207" s="140"/>
      <c r="F207" s="285"/>
      <c r="G207" s="140"/>
      <c r="H207" s="140"/>
      <c r="I207" s="285"/>
      <c r="J207" s="285"/>
      <c r="K207" s="281"/>
      <c r="L207" s="140"/>
      <c r="M207" s="140"/>
      <c r="N207" s="140"/>
      <c r="O207" s="281"/>
      <c r="P207" s="140"/>
      <c r="Q207" s="140"/>
      <c r="R207" s="140"/>
      <c r="S207" s="140"/>
      <c r="T207" s="140"/>
      <c r="U207" s="140"/>
      <c r="V207" s="140"/>
      <c r="W207" s="140"/>
      <c r="X207" s="140"/>
      <c r="Y207" s="140"/>
      <c r="Z207" s="140"/>
    </row>
    <row r="208" spans="1:26" ht="15.75" customHeight="1" x14ac:dyDescent="0.25">
      <c r="A208" s="284"/>
      <c r="B208" s="285"/>
      <c r="C208" s="140"/>
      <c r="D208" s="140"/>
      <c r="E208" s="140"/>
      <c r="F208" s="285"/>
      <c r="G208" s="140"/>
      <c r="H208" s="140"/>
      <c r="I208" s="285"/>
      <c r="J208" s="285"/>
      <c r="K208" s="281"/>
      <c r="L208" s="140"/>
      <c r="M208" s="140"/>
      <c r="N208" s="140"/>
      <c r="O208" s="281"/>
      <c r="P208" s="140"/>
      <c r="Q208" s="140"/>
      <c r="R208" s="140"/>
      <c r="S208" s="140"/>
      <c r="T208" s="140"/>
      <c r="U208" s="140"/>
      <c r="V208" s="140"/>
      <c r="W208" s="140"/>
      <c r="X208" s="140"/>
      <c r="Y208" s="140"/>
      <c r="Z208" s="140"/>
    </row>
    <row r="209" spans="1:26" ht="15.75" customHeight="1" x14ac:dyDescent="0.25">
      <c r="A209" s="284"/>
      <c r="B209" s="285"/>
      <c r="C209" s="140"/>
      <c r="D209" s="140"/>
      <c r="E209" s="140"/>
      <c r="F209" s="285"/>
      <c r="G209" s="140"/>
      <c r="H209" s="140"/>
      <c r="I209" s="285"/>
      <c r="J209" s="285"/>
      <c r="K209" s="281"/>
      <c r="L209" s="140"/>
      <c r="M209" s="140"/>
      <c r="N209" s="140"/>
      <c r="O209" s="281"/>
      <c r="P209" s="140"/>
      <c r="Q209" s="140"/>
      <c r="R209" s="140"/>
      <c r="S209" s="140"/>
      <c r="T209" s="140"/>
      <c r="U209" s="140"/>
      <c r="V209" s="140"/>
      <c r="W209" s="140"/>
      <c r="X209" s="140"/>
      <c r="Y209" s="140"/>
      <c r="Z209" s="140"/>
    </row>
    <row r="210" spans="1:26" ht="15.75" customHeight="1" x14ac:dyDescent="0.25">
      <c r="A210" s="284"/>
      <c r="B210" s="285"/>
      <c r="C210" s="140"/>
      <c r="D210" s="140"/>
      <c r="E210" s="140"/>
      <c r="F210" s="285"/>
      <c r="G210" s="140"/>
      <c r="H210" s="140"/>
      <c r="I210" s="285"/>
      <c r="J210" s="285"/>
      <c r="K210" s="281"/>
      <c r="L210" s="140"/>
      <c r="M210" s="140"/>
      <c r="N210" s="140"/>
      <c r="O210" s="281"/>
      <c r="P210" s="140"/>
      <c r="Q210" s="140"/>
      <c r="R210" s="140"/>
      <c r="S210" s="140"/>
      <c r="T210" s="140"/>
      <c r="U210" s="140"/>
      <c r="V210" s="140"/>
      <c r="W210" s="140"/>
      <c r="X210" s="140"/>
      <c r="Y210" s="140"/>
      <c r="Z210" s="140"/>
    </row>
    <row r="211" spans="1:26" ht="15.75" customHeight="1" x14ac:dyDescent="0.25">
      <c r="A211" s="284"/>
      <c r="B211" s="285"/>
      <c r="C211" s="140"/>
      <c r="D211" s="140"/>
      <c r="E211" s="140"/>
      <c r="F211" s="285"/>
      <c r="G211" s="140"/>
      <c r="H211" s="140"/>
      <c r="I211" s="285"/>
      <c r="J211" s="285"/>
      <c r="K211" s="281"/>
      <c r="L211" s="140"/>
      <c r="M211" s="140"/>
      <c r="N211" s="140"/>
      <c r="O211" s="281"/>
      <c r="P211" s="140"/>
      <c r="Q211" s="140"/>
      <c r="R211" s="140"/>
      <c r="S211" s="140"/>
      <c r="T211" s="140"/>
      <c r="U211" s="140"/>
      <c r="V211" s="140"/>
      <c r="W211" s="140"/>
      <c r="X211" s="140"/>
      <c r="Y211" s="140"/>
      <c r="Z211" s="140"/>
    </row>
    <row r="212" spans="1:26" ht="15.75" customHeight="1" x14ac:dyDescent="0.25">
      <c r="A212" s="284"/>
      <c r="B212" s="285"/>
      <c r="C212" s="140"/>
      <c r="D212" s="140"/>
      <c r="E212" s="140"/>
      <c r="F212" s="285"/>
      <c r="G212" s="140"/>
      <c r="H212" s="140"/>
      <c r="I212" s="285"/>
      <c r="J212" s="285"/>
      <c r="K212" s="281"/>
      <c r="L212" s="140"/>
      <c r="M212" s="140"/>
      <c r="N212" s="140"/>
      <c r="O212" s="281"/>
      <c r="P212" s="140"/>
      <c r="Q212" s="140"/>
      <c r="R212" s="140"/>
      <c r="S212" s="140"/>
      <c r="T212" s="140"/>
      <c r="U212" s="140"/>
      <c r="V212" s="140"/>
      <c r="W212" s="140"/>
      <c r="X212" s="140"/>
      <c r="Y212" s="140"/>
      <c r="Z212" s="140"/>
    </row>
    <row r="213" spans="1:26" ht="15.75" customHeight="1" x14ac:dyDescent="0.25">
      <c r="A213" s="284"/>
      <c r="B213" s="285"/>
      <c r="C213" s="140"/>
      <c r="D213" s="140"/>
      <c r="E213" s="140"/>
      <c r="F213" s="285"/>
      <c r="G213" s="140"/>
      <c r="H213" s="140"/>
      <c r="I213" s="285"/>
      <c r="J213" s="285"/>
      <c r="K213" s="281"/>
      <c r="L213" s="140"/>
      <c r="M213" s="140"/>
      <c r="N213" s="140"/>
      <c r="O213" s="281"/>
      <c r="P213" s="140"/>
      <c r="Q213" s="140"/>
      <c r="R213" s="140"/>
      <c r="S213" s="140"/>
      <c r="T213" s="140"/>
      <c r="U213" s="140"/>
      <c r="V213" s="140"/>
      <c r="W213" s="140"/>
      <c r="X213" s="140"/>
      <c r="Y213" s="140"/>
      <c r="Z213" s="140"/>
    </row>
    <row r="214" spans="1:26" ht="15.75" customHeight="1" x14ac:dyDescent="0.25">
      <c r="A214" s="284"/>
      <c r="B214" s="285"/>
      <c r="C214" s="140"/>
      <c r="D214" s="140"/>
      <c r="E214" s="140"/>
      <c r="F214" s="285"/>
      <c r="G214" s="140"/>
      <c r="H214" s="140"/>
      <c r="I214" s="285"/>
      <c r="J214" s="285"/>
      <c r="K214" s="281"/>
      <c r="L214" s="140"/>
      <c r="M214" s="140"/>
      <c r="N214" s="140"/>
      <c r="O214" s="281"/>
      <c r="P214" s="140"/>
      <c r="Q214" s="140"/>
      <c r="R214" s="140"/>
      <c r="S214" s="140"/>
      <c r="T214" s="140"/>
      <c r="U214" s="140"/>
      <c r="V214" s="140"/>
      <c r="W214" s="140"/>
      <c r="X214" s="140"/>
      <c r="Y214" s="140"/>
      <c r="Z214" s="140"/>
    </row>
    <row r="215" spans="1:26" ht="15.75" customHeight="1" x14ac:dyDescent="0.25">
      <c r="A215" s="284"/>
      <c r="B215" s="285"/>
      <c r="C215" s="140"/>
      <c r="D215" s="140"/>
      <c r="E215" s="140"/>
      <c r="F215" s="285"/>
      <c r="G215" s="140"/>
      <c r="H215" s="140"/>
      <c r="I215" s="285"/>
      <c r="J215" s="285"/>
      <c r="K215" s="281"/>
      <c r="L215" s="140"/>
      <c r="M215" s="140"/>
      <c r="N215" s="140"/>
      <c r="O215" s="281"/>
      <c r="P215" s="140"/>
      <c r="Q215" s="140"/>
      <c r="R215" s="140"/>
      <c r="S215" s="140"/>
      <c r="T215" s="140"/>
      <c r="U215" s="140"/>
      <c r="V215" s="140"/>
      <c r="W215" s="140"/>
      <c r="X215" s="140"/>
      <c r="Y215" s="140"/>
      <c r="Z215" s="140"/>
    </row>
    <row r="216" spans="1:26" ht="15.75" customHeight="1" x14ac:dyDescent="0.25">
      <c r="A216" s="284"/>
      <c r="B216" s="285"/>
      <c r="C216" s="140"/>
      <c r="D216" s="140"/>
      <c r="E216" s="140"/>
      <c r="F216" s="285"/>
      <c r="G216" s="140"/>
      <c r="H216" s="140"/>
      <c r="I216" s="285"/>
      <c r="J216" s="285"/>
      <c r="K216" s="281"/>
      <c r="L216" s="140"/>
      <c r="M216" s="140"/>
      <c r="N216" s="140"/>
      <c r="O216" s="281"/>
      <c r="P216" s="140"/>
      <c r="Q216" s="140"/>
      <c r="R216" s="140"/>
      <c r="S216" s="140"/>
      <c r="T216" s="140"/>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127" priority="1" operator="containsText" text="Chính Thức">
      <formula>NOT(ISERROR(SEARCH(("Chính Thức"),(D3))))</formula>
    </cfRule>
    <cfRule type="containsText" dxfId="8126" priority="2" operator="containsText" text="Nghỉ Việc">
      <formula>NOT(ISERROR(SEARCH(("Nghỉ Việc"),(D3))))</formula>
    </cfRule>
    <cfRule type="containsText" dxfId="8125" priority="3" operator="containsText" text="Học Việc">
      <formula>NOT(ISERROR(SEARCH(("Học Việc"),(D3))))</formula>
    </cfRule>
    <cfRule type="containsText" dxfId="8124" priority="4" operator="containsText" text="Part Time">
      <formula>NOT(ISERROR(SEARCH(("Part Time"),(D3))))</formula>
    </cfRule>
    <cfRule type="containsText" dxfId="8123"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C7" sqref="C7"/>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86"/>
      <c r="B1" s="41"/>
      <c r="C1" s="41"/>
      <c r="D1" s="41"/>
      <c r="E1" s="41"/>
      <c r="F1" s="287"/>
      <c r="G1" s="287"/>
      <c r="H1" s="287"/>
      <c r="I1" s="287"/>
      <c r="J1" s="287"/>
      <c r="K1" s="287"/>
      <c r="L1" s="287"/>
      <c r="M1" s="287"/>
      <c r="N1" s="287"/>
      <c r="O1" s="287"/>
      <c r="P1" s="287"/>
      <c r="Q1" s="287"/>
      <c r="R1" s="192"/>
      <c r="S1" s="192"/>
      <c r="T1" s="192"/>
      <c r="U1" s="192"/>
      <c r="V1" s="192"/>
      <c r="W1" s="192"/>
      <c r="X1" s="192"/>
      <c r="Y1" s="192"/>
      <c r="Z1" s="192"/>
      <c r="AA1" s="192"/>
      <c r="AB1" s="192"/>
      <c r="AC1" s="192"/>
      <c r="AD1" s="192"/>
    </row>
    <row r="2" spans="1:30" ht="15" customHeight="1" x14ac:dyDescent="0.3">
      <c r="A2" s="288"/>
      <c r="B2" s="289"/>
      <c r="C2" s="290"/>
      <c r="D2" s="290"/>
      <c r="E2" s="701" t="s">
        <v>327</v>
      </c>
      <c r="F2" s="649"/>
      <c r="G2" s="649"/>
      <c r="H2" s="649"/>
      <c r="I2" s="649"/>
      <c r="J2" s="649"/>
      <c r="K2" s="650"/>
      <c r="L2" s="291"/>
      <c r="M2" s="287"/>
      <c r="N2" s="287"/>
      <c r="O2" s="287"/>
      <c r="P2" s="287"/>
      <c r="Q2" s="287"/>
      <c r="R2" s="192"/>
      <c r="S2" s="292"/>
      <c r="T2" s="292"/>
      <c r="U2" s="292"/>
      <c r="V2" s="292"/>
      <c r="W2" s="292"/>
      <c r="X2" s="292"/>
      <c r="Y2" s="292"/>
      <c r="Z2" s="292"/>
      <c r="AA2" s="292"/>
      <c r="AB2" s="292"/>
      <c r="AC2" s="292"/>
      <c r="AD2" s="292"/>
    </row>
    <row r="3" spans="1:30" ht="22.5" customHeight="1" x14ac:dyDescent="0.3">
      <c r="A3" s="288"/>
      <c r="B3" s="293"/>
      <c r="C3" s="192"/>
      <c r="D3" s="192"/>
      <c r="E3" s="507"/>
      <c r="F3" s="507"/>
      <c r="G3" s="507"/>
      <c r="H3" s="507"/>
      <c r="I3" s="507"/>
      <c r="J3" s="507"/>
      <c r="K3" s="702"/>
      <c r="L3" s="291"/>
      <c r="M3" s="287"/>
      <c r="N3" s="287"/>
      <c r="O3" s="287"/>
      <c r="P3" s="287"/>
      <c r="Q3" s="287"/>
      <c r="R3" s="192"/>
      <c r="S3" s="192"/>
      <c r="T3" s="192"/>
      <c r="U3" s="192"/>
      <c r="V3" s="192"/>
      <c r="W3" s="192"/>
      <c r="X3" s="192"/>
      <c r="Y3" s="192"/>
      <c r="Z3" s="192"/>
      <c r="AA3" s="192"/>
      <c r="AB3" s="192"/>
      <c r="AC3" s="192"/>
      <c r="AD3" s="192"/>
    </row>
    <row r="4" spans="1:30" ht="22.5" customHeight="1" x14ac:dyDescent="0.3">
      <c r="A4" s="288"/>
      <c r="B4" s="293"/>
      <c r="C4" s="192"/>
      <c r="D4" s="192"/>
      <c r="E4" s="507"/>
      <c r="F4" s="507"/>
      <c r="G4" s="507"/>
      <c r="H4" s="507"/>
      <c r="I4" s="507"/>
      <c r="J4" s="507"/>
      <c r="K4" s="702"/>
      <c r="L4" s="291"/>
      <c r="M4" s="287"/>
      <c r="N4" s="287"/>
      <c r="O4" s="287"/>
      <c r="P4" s="287"/>
      <c r="Q4" s="287"/>
      <c r="R4" s="192"/>
      <c r="S4" s="192"/>
      <c r="T4" s="192"/>
      <c r="U4" s="192"/>
      <c r="V4" s="192"/>
      <c r="W4" s="192"/>
      <c r="X4" s="192"/>
      <c r="Y4" s="192"/>
      <c r="Z4" s="192"/>
      <c r="AA4" s="192"/>
      <c r="AB4" s="192"/>
      <c r="AC4" s="192"/>
      <c r="AD4" s="192"/>
    </row>
    <row r="5" spans="1:30" ht="15.75" customHeight="1" x14ac:dyDescent="0.3">
      <c r="A5" s="288"/>
      <c r="B5" s="294"/>
      <c r="C5" s="295"/>
      <c r="D5" s="295"/>
      <c r="E5" s="548"/>
      <c r="F5" s="548"/>
      <c r="G5" s="548"/>
      <c r="H5" s="548"/>
      <c r="I5" s="548"/>
      <c r="J5" s="548"/>
      <c r="K5" s="652"/>
      <c r="L5" s="296"/>
      <c r="M5" s="287"/>
      <c r="N5" s="287"/>
      <c r="O5" s="287"/>
      <c r="P5" s="287"/>
      <c r="Q5" s="287"/>
      <c r="R5" s="297"/>
      <c r="S5" s="297"/>
      <c r="T5" s="297"/>
      <c r="U5" s="297"/>
      <c r="V5" s="297"/>
      <c r="W5" s="297"/>
      <c r="X5" s="297"/>
      <c r="Y5" s="297"/>
      <c r="Z5" s="297"/>
      <c r="AA5" s="297"/>
      <c r="AB5" s="297"/>
      <c r="AC5" s="297"/>
      <c r="AD5" s="297"/>
    </row>
    <row r="6" spans="1:30" ht="23.25" customHeight="1" x14ac:dyDescent="0.3">
      <c r="A6" s="288"/>
      <c r="B6" s="298"/>
      <c r="C6" s="703" t="s">
        <v>405</v>
      </c>
      <c r="D6" s="704"/>
      <c r="E6" s="704"/>
      <c r="F6" s="704"/>
      <c r="G6" s="704"/>
      <c r="H6" s="704"/>
      <c r="I6" s="704"/>
      <c r="J6" s="704"/>
      <c r="K6" s="299"/>
      <c r="L6" s="300"/>
      <c r="M6" s="286"/>
      <c r="N6" s="286"/>
      <c r="O6" s="286"/>
      <c r="P6" s="286"/>
      <c r="Q6" s="286"/>
      <c r="R6" s="192"/>
      <c r="S6" s="192"/>
      <c r="T6" s="192"/>
      <c r="U6" s="192"/>
      <c r="V6" s="192"/>
      <c r="W6" s="192"/>
      <c r="X6" s="192"/>
      <c r="Y6" s="192"/>
      <c r="Z6" s="192"/>
      <c r="AA6" s="192"/>
      <c r="AB6" s="192"/>
      <c r="AC6" s="192"/>
      <c r="AD6" s="192"/>
    </row>
    <row r="7" spans="1:30" ht="15.75" customHeight="1" x14ac:dyDescent="0.3">
      <c r="A7" s="288"/>
      <c r="B7" s="301"/>
      <c r="C7" s="302"/>
      <c r="D7" s="302"/>
      <c r="E7" s="302"/>
      <c r="F7" s="303"/>
      <c r="G7" s="303"/>
      <c r="H7" s="302"/>
      <c r="I7" s="302"/>
      <c r="J7" s="304"/>
      <c r="K7" s="305"/>
      <c r="L7" s="300"/>
      <c r="M7" s="286"/>
      <c r="N7" s="286"/>
      <c r="O7" s="286"/>
      <c r="P7" s="286"/>
      <c r="Q7" s="286"/>
      <c r="R7" s="192"/>
      <c r="S7" s="192"/>
      <c r="T7" s="192"/>
      <c r="U7" s="192"/>
      <c r="V7" s="192"/>
      <c r="W7" s="192"/>
      <c r="X7" s="192"/>
      <c r="Y7" s="192"/>
      <c r="Z7" s="192"/>
      <c r="AA7" s="192"/>
      <c r="AB7" s="192"/>
      <c r="AC7" s="192"/>
      <c r="AD7" s="192"/>
    </row>
    <row r="8" spans="1:30" ht="26.25" customHeight="1" x14ac:dyDescent="0.3">
      <c r="A8" s="306"/>
      <c r="B8" s="307"/>
      <c r="C8" s="705" t="s">
        <v>277</v>
      </c>
      <c r="D8" s="536"/>
      <c r="E8" s="536"/>
      <c r="F8" s="706" t="s">
        <v>348</v>
      </c>
      <c r="G8" s="707"/>
      <c r="H8" s="708" t="s">
        <v>278</v>
      </c>
      <c r="I8" s="516"/>
      <c r="J8" s="308">
        <f>'6.Bảng lương  '!$G$4</f>
        <v>22</v>
      </c>
      <c r="K8" s="309"/>
      <c r="L8" s="310"/>
      <c r="M8" s="311"/>
      <c r="N8" s="311"/>
      <c r="O8" s="311"/>
      <c r="P8" s="311"/>
      <c r="Q8" s="311"/>
      <c r="R8" s="192"/>
      <c r="S8" s="192"/>
      <c r="T8" s="192"/>
      <c r="U8" s="192"/>
      <c r="V8" s="192"/>
      <c r="W8" s="192"/>
      <c r="X8" s="192"/>
      <c r="Y8" s="192"/>
      <c r="Z8" s="192"/>
      <c r="AA8" s="192"/>
      <c r="AB8" s="192"/>
      <c r="AC8" s="192"/>
      <c r="AD8" s="192"/>
    </row>
    <row r="9" spans="1:30" ht="30.75" customHeight="1" x14ac:dyDescent="0.3">
      <c r="A9" s="306"/>
      <c r="B9" s="307"/>
      <c r="C9" s="689" t="s">
        <v>279</v>
      </c>
      <c r="D9" s="515"/>
      <c r="E9" s="515"/>
      <c r="F9" s="690" t="str">
        <f>VLOOKUP($F$8,'6.Bảng lương  '!$B$11:$AV$42,2,0)</f>
        <v>Nguyễn Ánh Hồng</v>
      </c>
      <c r="G9" s="515"/>
      <c r="H9" s="699" t="s">
        <v>280</v>
      </c>
      <c r="I9" s="516"/>
      <c r="J9" s="312">
        <f>IF($F$12="Chính Thức",VLOOKUP($F$8,'3. BẢNG CHẤM CÔNG'!$B$11:$AU$29,38,0)+VLOOKUP($F$8,'3. BẢNG CHẤM CÔNG'!$B$11:$AU$29,39,0),"")</f>
        <v>20</v>
      </c>
      <c r="K9" s="309"/>
      <c r="L9" s="310"/>
      <c r="M9" s="311"/>
      <c r="N9" s="311"/>
      <c r="O9" s="311"/>
      <c r="P9" s="311"/>
      <c r="Q9" s="311"/>
      <c r="R9" s="192"/>
      <c r="S9" s="192"/>
      <c r="T9" s="192"/>
      <c r="U9" s="192"/>
      <c r="V9" s="192"/>
      <c r="W9" s="192"/>
      <c r="X9" s="192"/>
      <c r="Y9" s="192"/>
      <c r="Z9" s="192"/>
      <c r="AA9" s="192"/>
      <c r="AB9" s="192"/>
      <c r="AC9" s="192"/>
      <c r="AD9" s="192"/>
    </row>
    <row r="10" spans="1:30" ht="26.25" customHeight="1" x14ac:dyDescent="0.3">
      <c r="A10" s="306"/>
      <c r="B10" s="307"/>
      <c r="C10" s="689" t="s">
        <v>94</v>
      </c>
      <c r="D10" s="515"/>
      <c r="E10" s="515"/>
      <c r="F10" s="700" t="str">
        <f>VLOOKUP($F$8,'6.Bảng lương  '!$B$11:$AV$42,3,0)</f>
        <v>Giáo viên</v>
      </c>
      <c r="G10" s="515"/>
      <c r="H10" s="691" t="s">
        <v>281</v>
      </c>
      <c r="I10" s="516"/>
      <c r="J10" s="313">
        <f>IF($F$12="Thử Việc",VLOOKUP($F$8,'3. BẢNG CHẤM CÔNG'!$B$11:$AU$45,38,0)+VLOOKUP($F$8,'3. BẢNG CHẤM CÔNG'!$B$11:$AU$45,39,0),0)</f>
        <v>0</v>
      </c>
      <c r="K10" s="309"/>
      <c r="L10" s="310"/>
      <c r="M10" s="311"/>
      <c r="N10" s="311"/>
      <c r="O10" s="311"/>
      <c r="P10" s="311"/>
      <c r="Q10" s="311"/>
      <c r="R10" s="192"/>
      <c r="S10" s="192"/>
      <c r="T10" s="192"/>
      <c r="U10" s="192"/>
      <c r="V10" s="192"/>
      <c r="W10" s="192"/>
      <c r="X10" s="192"/>
      <c r="Y10" s="192"/>
      <c r="Z10" s="192"/>
      <c r="AA10" s="192"/>
      <c r="AB10" s="192"/>
      <c r="AC10" s="192"/>
      <c r="AD10" s="192"/>
    </row>
    <row r="11" spans="1:30" ht="39" customHeight="1" x14ac:dyDescent="0.3">
      <c r="A11" s="306"/>
      <c r="B11" s="307"/>
      <c r="C11" s="689" t="s">
        <v>107</v>
      </c>
      <c r="D11" s="515"/>
      <c r="E11" s="515"/>
      <c r="F11" s="690" t="str">
        <f>VLOOKUP($F$8,'6.Bảng lương  '!$B$11:$AV$42,4,0)</f>
        <v>Giáo viên mầm non</v>
      </c>
      <c r="G11" s="515"/>
      <c r="H11" s="691" t="s">
        <v>282</v>
      </c>
      <c r="I11" s="516"/>
      <c r="J11" s="313">
        <f>VLOOKUP($F$8,'3. BẢNG CHẤM CÔNG'!$B$11:$AU$45,44,0)</f>
        <v>1</v>
      </c>
      <c r="K11" s="309"/>
      <c r="L11" s="310"/>
      <c r="M11" s="311"/>
      <c r="N11" s="311"/>
      <c r="O11" s="311"/>
      <c r="P11" s="192"/>
      <c r="Q11" s="192"/>
      <c r="R11" s="192"/>
      <c r="S11" s="192"/>
      <c r="T11" s="192"/>
      <c r="U11" s="192"/>
      <c r="V11" s="192"/>
      <c r="W11" s="192"/>
      <c r="X11" s="192"/>
      <c r="Y11" s="192"/>
      <c r="Z11" s="192"/>
      <c r="AA11" s="192"/>
      <c r="AB11" s="192"/>
      <c r="AC11" s="192"/>
      <c r="AD11" s="192"/>
    </row>
    <row r="12" spans="1:30" ht="27.75" customHeight="1" x14ac:dyDescent="0.3">
      <c r="A12" s="306"/>
      <c r="B12" s="307"/>
      <c r="C12" s="689" t="s">
        <v>283</v>
      </c>
      <c r="D12" s="515"/>
      <c r="E12" s="515"/>
      <c r="F12" s="694" t="str">
        <f>VLOOKUP($F$8,'6.Bảng lương  '!$B$11:$AV$42,5,0)</f>
        <v>Chính Thức</v>
      </c>
      <c r="G12" s="515"/>
      <c r="H12" s="691" t="s">
        <v>284</v>
      </c>
      <c r="I12" s="516"/>
      <c r="J12" s="313">
        <f>VLOOKUP($F$8,'3. BẢNG CHẤM CÔNG'!$B$11:$AU$45,42,0)</f>
        <v>1</v>
      </c>
      <c r="K12" s="309"/>
      <c r="L12" s="310"/>
      <c r="M12" s="311"/>
      <c r="N12" s="311"/>
      <c r="O12" s="311"/>
      <c r="P12" s="311"/>
      <c r="Q12" s="311"/>
      <c r="R12" s="192"/>
      <c r="S12" s="192"/>
      <c r="T12" s="192"/>
      <c r="U12" s="192"/>
      <c r="V12" s="192"/>
      <c r="W12" s="192"/>
      <c r="X12" s="192"/>
      <c r="Y12" s="192"/>
      <c r="Z12" s="192"/>
      <c r="AA12" s="192"/>
      <c r="AB12" s="192"/>
      <c r="AC12" s="192"/>
      <c r="AD12" s="192"/>
    </row>
    <row r="13" spans="1:30" ht="28.5" customHeight="1" x14ac:dyDescent="0.3">
      <c r="A13" s="306"/>
      <c r="B13" s="307"/>
      <c r="C13" s="692" t="s">
        <v>285</v>
      </c>
      <c r="D13" s="686"/>
      <c r="E13" s="686"/>
      <c r="F13" s="695">
        <v>1</v>
      </c>
      <c r="G13" s="696"/>
      <c r="H13" s="691" t="s">
        <v>286</v>
      </c>
      <c r="I13" s="516"/>
      <c r="J13" s="313">
        <f>VLOOKUP($F$8,'3. BẢNG CHẤM CÔNG'!$B$11:$AU$45,45,0)</f>
        <v>0</v>
      </c>
      <c r="K13" s="309"/>
      <c r="L13" s="310"/>
      <c r="M13" s="311"/>
      <c r="N13" s="311"/>
      <c r="O13" s="311"/>
      <c r="P13" s="311"/>
      <c r="Q13" s="311"/>
      <c r="R13" s="192"/>
      <c r="S13" s="192"/>
      <c r="T13" s="192"/>
      <c r="U13" s="192"/>
      <c r="V13" s="192"/>
      <c r="W13" s="192"/>
      <c r="X13" s="192"/>
      <c r="Y13" s="192"/>
      <c r="Z13" s="192"/>
      <c r="AA13" s="192"/>
      <c r="AB13" s="192"/>
      <c r="AC13" s="192"/>
      <c r="AD13" s="192"/>
    </row>
    <row r="14" spans="1:30" ht="15.75" customHeight="1" x14ac:dyDescent="0.3">
      <c r="A14" s="288"/>
      <c r="B14" s="314"/>
      <c r="C14" s="315"/>
      <c r="D14" s="316"/>
      <c r="E14" s="316"/>
      <c r="F14" s="316"/>
      <c r="G14" s="316"/>
      <c r="H14" s="316"/>
      <c r="I14" s="316"/>
      <c r="J14" s="316"/>
      <c r="K14" s="305"/>
      <c r="L14" s="300"/>
      <c r="M14" s="286"/>
      <c r="N14" s="286"/>
      <c r="O14" s="286"/>
      <c r="P14" s="286"/>
      <c r="Q14" s="286"/>
      <c r="R14" s="192"/>
      <c r="S14" s="192"/>
      <c r="T14" s="192"/>
      <c r="U14" s="192"/>
      <c r="V14" s="192"/>
      <c r="W14" s="192"/>
      <c r="X14" s="192"/>
      <c r="Y14" s="192"/>
      <c r="Z14" s="192"/>
      <c r="AA14" s="192"/>
      <c r="AB14" s="192"/>
      <c r="AC14" s="192"/>
      <c r="AD14" s="192"/>
    </row>
    <row r="15" spans="1:30" ht="24.75" customHeight="1" x14ac:dyDescent="0.3">
      <c r="A15" s="306"/>
      <c r="B15" s="307"/>
      <c r="C15" s="697" t="s">
        <v>287</v>
      </c>
      <c r="D15" s="515"/>
      <c r="E15" s="515"/>
      <c r="F15" s="515"/>
      <c r="G15" s="515"/>
      <c r="H15" s="516"/>
      <c r="I15" s="697" t="s">
        <v>288</v>
      </c>
      <c r="J15" s="516"/>
      <c r="K15" s="309"/>
      <c r="L15" s="310"/>
      <c r="M15" s="311"/>
      <c r="N15" s="311"/>
      <c r="O15" s="311"/>
      <c r="P15" s="311"/>
      <c r="Q15" s="311"/>
      <c r="R15" s="192"/>
      <c r="S15" s="192"/>
      <c r="T15" s="192"/>
      <c r="U15" s="192"/>
      <c r="V15" s="192"/>
      <c r="W15" s="192"/>
      <c r="X15" s="192"/>
      <c r="Y15" s="192"/>
      <c r="Z15" s="192"/>
      <c r="AA15" s="192"/>
      <c r="AB15" s="192"/>
      <c r="AC15" s="192"/>
      <c r="AD15" s="192"/>
    </row>
    <row r="16" spans="1:30" ht="22.5" customHeight="1" x14ac:dyDescent="0.3">
      <c r="A16" s="288"/>
      <c r="B16" s="314"/>
      <c r="C16" s="693" t="s">
        <v>289</v>
      </c>
      <c r="D16" s="675"/>
      <c r="E16" s="698" t="s">
        <v>290</v>
      </c>
      <c r="F16" s="548"/>
      <c r="G16" s="548"/>
      <c r="H16" s="548"/>
      <c r="I16" s="684">
        <f>VLOOKUP($F$8,'6.Bảng lương  '!$B$11:$AV$42,11,0)</f>
        <v>5500000</v>
      </c>
      <c r="J16" s="516"/>
      <c r="K16" s="317"/>
      <c r="L16" s="300"/>
      <c r="M16" s="286"/>
      <c r="N16" s="286"/>
      <c r="O16" s="286"/>
      <c r="P16" s="286"/>
      <c r="Q16" s="286"/>
      <c r="R16" s="192"/>
      <c r="S16" s="192"/>
      <c r="T16" s="192"/>
      <c r="U16" s="192"/>
      <c r="V16" s="192"/>
      <c r="W16" s="192"/>
      <c r="X16" s="192"/>
      <c r="Y16" s="192"/>
      <c r="Z16" s="192"/>
      <c r="AA16" s="192"/>
      <c r="AB16" s="192"/>
      <c r="AC16" s="192"/>
      <c r="AD16" s="192"/>
    </row>
    <row r="17" spans="1:30" ht="22.5" customHeight="1" x14ac:dyDescent="0.3">
      <c r="A17" s="288"/>
      <c r="B17" s="314"/>
      <c r="C17" s="592"/>
      <c r="D17" s="675"/>
      <c r="E17" s="688" t="s">
        <v>291</v>
      </c>
      <c r="F17" s="515"/>
      <c r="G17" s="515"/>
      <c r="H17" s="515"/>
      <c r="I17" s="684">
        <f>VLOOKUP($F$8,'6.Bảng lương  '!$B$11:$AV$42,29,0)</f>
        <v>1620000</v>
      </c>
      <c r="J17" s="516"/>
      <c r="K17" s="317"/>
      <c r="L17" s="318"/>
      <c r="M17" s="286"/>
      <c r="N17" s="286"/>
      <c r="O17" s="286"/>
      <c r="P17" s="286"/>
      <c r="Q17" s="286"/>
      <c r="R17" s="192"/>
      <c r="S17" s="192"/>
      <c r="T17" s="192"/>
      <c r="U17" s="192"/>
      <c r="V17" s="192"/>
      <c r="W17" s="192"/>
      <c r="X17" s="192"/>
      <c r="Y17" s="192"/>
      <c r="Z17" s="192"/>
      <c r="AA17" s="192"/>
      <c r="AB17" s="192"/>
      <c r="AC17" s="192"/>
      <c r="AD17" s="192"/>
    </row>
    <row r="18" spans="1:30" ht="22.5" customHeight="1" x14ac:dyDescent="0.3">
      <c r="A18" s="288"/>
      <c r="B18" s="314"/>
      <c r="C18" s="592"/>
      <c r="D18" s="675"/>
      <c r="E18" s="688" t="s">
        <v>292</v>
      </c>
      <c r="F18" s="515"/>
      <c r="G18" s="515"/>
      <c r="H18" s="516"/>
      <c r="I18" s="684">
        <f>VLOOKUP($F$8,'6.Bảng lương  '!$B$11:$AV$42,14,0)</f>
        <v>2457500</v>
      </c>
      <c r="J18" s="516"/>
      <c r="K18" s="317"/>
      <c r="L18" s="318"/>
      <c r="M18" s="286"/>
      <c r="N18" s="286"/>
      <c r="O18" s="286"/>
      <c r="P18" s="286"/>
      <c r="Q18" s="286"/>
      <c r="R18" s="192"/>
      <c r="S18" s="192"/>
      <c r="T18" s="192"/>
      <c r="U18" s="192"/>
      <c r="V18" s="192"/>
      <c r="W18" s="192"/>
      <c r="X18" s="192"/>
      <c r="Y18" s="192"/>
      <c r="Z18" s="192"/>
      <c r="AA18" s="192"/>
      <c r="AB18" s="192"/>
      <c r="AC18" s="192"/>
      <c r="AD18" s="192"/>
    </row>
    <row r="19" spans="1:30" ht="22.5" customHeight="1" x14ac:dyDescent="0.3">
      <c r="A19" s="288"/>
      <c r="B19" s="314"/>
      <c r="C19" s="592"/>
      <c r="D19" s="675"/>
      <c r="E19" s="683" t="s">
        <v>293</v>
      </c>
      <c r="F19" s="515"/>
      <c r="G19" s="515"/>
      <c r="H19" s="515"/>
      <c r="I19" s="684">
        <f>VLOOKUP($F$8,'6.Bảng lương  '!$B$11:$AV$42,18,0)</f>
        <v>0</v>
      </c>
      <c r="J19" s="516"/>
      <c r="K19" s="317"/>
      <c r="L19" s="318"/>
      <c r="M19" s="286"/>
      <c r="N19" s="286"/>
      <c r="O19" s="286"/>
      <c r="P19" s="286"/>
      <c r="Q19" s="286"/>
      <c r="R19" s="192"/>
      <c r="S19" s="192"/>
      <c r="T19" s="192"/>
      <c r="U19" s="192"/>
      <c r="V19" s="192"/>
      <c r="W19" s="192"/>
      <c r="X19" s="192"/>
      <c r="Y19" s="192"/>
      <c r="Z19" s="192"/>
      <c r="AA19" s="192"/>
      <c r="AB19" s="192"/>
      <c r="AC19" s="192"/>
      <c r="AD19" s="192"/>
    </row>
    <row r="20" spans="1:30" ht="22.5" customHeight="1" x14ac:dyDescent="0.3">
      <c r="A20" s="288"/>
      <c r="B20" s="314"/>
      <c r="C20" s="592"/>
      <c r="D20" s="675"/>
      <c r="E20" s="683" t="s">
        <v>294</v>
      </c>
      <c r="F20" s="515"/>
      <c r="G20" s="515"/>
      <c r="H20" s="515"/>
      <c r="I20" s="684">
        <f>VLOOKUP($F$8,'6.Bảng lương  '!$B$11:$AV$42,19,0)</f>
        <v>0</v>
      </c>
      <c r="J20" s="516"/>
      <c r="K20" s="317"/>
      <c r="L20" s="318"/>
      <c r="M20" s="286"/>
      <c r="N20" s="286"/>
      <c r="O20" s="286"/>
      <c r="P20" s="286"/>
      <c r="Q20" s="286"/>
      <c r="R20" s="192"/>
      <c r="S20" s="192"/>
      <c r="T20" s="192"/>
      <c r="U20" s="192"/>
      <c r="V20" s="192"/>
      <c r="W20" s="192"/>
      <c r="X20" s="192"/>
      <c r="Y20" s="192"/>
      <c r="Z20" s="192"/>
      <c r="AA20" s="192"/>
      <c r="AB20" s="192"/>
      <c r="AC20" s="192"/>
      <c r="AD20" s="192"/>
    </row>
    <row r="21" spans="1:30" ht="22.5" customHeight="1" x14ac:dyDescent="0.3">
      <c r="A21" s="288"/>
      <c r="B21" s="314"/>
      <c r="C21" s="592"/>
      <c r="D21" s="675"/>
      <c r="E21" s="683" t="s">
        <v>191</v>
      </c>
      <c r="F21" s="515"/>
      <c r="G21" s="515"/>
      <c r="H21" s="515"/>
      <c r="I21" s="684">
        <f>VLOOKUP($F$8,'6.Bảng lương  '!$B$11:$AV$42,20,0)</f>
        <v>0</v>
      </c>
      <c r="J21" s="516"/>
      <c r="K21" s="317"/>
      <c r="L21" s="318"/>
      <c r="M21" s="286"/>
      <c r="N21" s="286"/>
      <c r="O21" s="286"/>
      <c r="P21" s="286"/>
      <c r="Q21" s="286"/>
      <c r="R21" s="192"/>
      <c r="S21" s="192"/>
      <c r="T21" s="192"/>
      <c r="U21" s="192"/>
      <c r="V21" s="192"/>
      <c r="W21" s="192"/>
      <c r="X21" s="192"/>
      <c r="Y21" s="192"/>
      <c r="Z21" s="192"/>
      <c r="AA21" s="192"/>
      <c r="AB21" s="192"/>
      <c r="AC21" s="192"/>
      <c r="AD21" s="192"/>
    </row>
    <row r="22" spans="1:30" ht="22.5" customHeight="1" x14ac:dyDescent="0.3">
      <c r="A22" s="288"/>
      <c r="B22" s="314"/>
      <c r="C22" s="560"/>
      <c r="D22" s="561"/>
      <c r="E22" s="685" t="s">
        <v>295</v>
      </c>
      <c r="F22" s="686"/>
      <c r="G22" s="686"/>
      <c r="H22" s="686"/>
      <c r="I22" s="684">
        <v>0</v>
      </c>
      <c r="J22" s="516"/>
      <c r="K22" s="317"/>
      <c r="L22" s="318"/>
      <c r="M22" s="286"/>
      <c r="N22" s="286"/>
      <c r="O22" s="286"/>
      <c r="P22" s="286"/>
      <c r="Q22" s="286"/>
      <c r="R22" s="192"/>
      <c r="S22" s="192"/>
      <c r="T22" s="192"/>
      <c r="U22" s="192"/>
      <c r="V22" s="192"/>
      <c r="W22" s="192"/>
      <c r="X22" s="192"/>
      <c r="Y22" s="192"/>
      <c r="Z22" s="192"/>
      <c r="AA22" s="192"/>
      <c r="AB22" s="192"/>
      <c r="AC22" s="192"/>
      <c r="AD22" s="192"/>
    </row>
    <row r="23" spans="1:30" ht="22.5" customHeight="1" x14ac:dyDescent="0.3">
      <c r="A23" s="288"/>
      <c r="B23" s="314"/>
      <c r="C23" s="319"/>
      <c r="D23" s="319"/>
      <c r="E23" s="320"/>
      <c r="F23" s="320"/>
      <c r="G23" s="320"/>
      <c r="H23" s="320"/>
      <c r="I23" s="321"/>
      <c r="J23" s="321"/>
      <c r="K23" s="317"/>
      <c r="L23" s="318"/>
      <c r="M23" s="286"/>
      <c r="N23" s="286"/>
      <c r="O23" s="286"/>
      <c r="P23" s="286"/>
      <c r="Q23" s="286"/>
      <c r="R23" s="192"/>
      <c r="S23" s="192"/>
      <c r="T23" s="192"/>
      <c r="U23" s="192"/>
      <c r="V23" s="192"/>
      <c r="W23" s="192"/>
      <c r="X23" s="192"/>
      <c r="Y23" s="192"/>
      <c r="Z23" s="192"/>
      <c r="AA23" s="192"/>
      <c r="AB23" s="192"/>
      <c r="AC23" s="192"/>
      <c r="AD23" s="192"/>
    </row>
    <row r="24" spans="1:30" ht="22.5" customHeight="1" x14ac:dyDescent="0.3">
      <c r="A24" s="288"/>
      <c r="B24" s="314"/>
      <c r="C24" s="717" t="s">
        <v>296</v>
      </c>
      <c r="D24" s="718"/>
      <c r="E24" s="687" t="s">
        <v>297</v>
      </c>
      <c r="F24" s="536"/>
      <c r="G24" s="536"/>
      <c r="H24" s="536"/>
      <c r="I24" s="684">
        <f>VLOOKUP($F$8,'6.Bảng lương  '!$B$11:$AV$42,39,0)</f>
        <v>577500</v>
      </c>
      <c r="J24" s="516"/>
      <c r="K24" s="317"/>
      <c r="L24" s="318"/>
      <c r="M24" s="286"/>
      <c r="N24" s="286"/>
      <c r="O24" s="286"/>
      <c r="P24" s="286"/>
      <c r="Q24" s="286"/>
      <c r="R24" s="192"/>
      <c r="S24" s="192"/>
      <c r="T24" s="192"/>
      <c r="U24" s="192"/>
      <c r="V24" s="192"/>
      <c r="W24" s="192"/>
      <c r="X24" s="192"/>
      <c r="Y24" s="192"/>
      <c r="Z24" s="192"/>
      <c r="AA24" s="192"/>
      <c r="AB24" s="192"/>
      <c r="AC24" s="192"/>
      <c r="AD24" s="192"/>
    </row>
    <row r="25" spans="1:30" ht="22.5" customHeight="1" x14ac:dyDescent="0.3">
      <c r="A25" s="288"/>
      <c r="B25" s="314"/>
      <c r="C25" s="592"/>
      <c r="D25" s="702"/>
      <c r="E25" s="721" t="s">
        <v>298</v>
      </c>
      <c r="F25" s="515"/>
      <c r="G25" s="515"/>
      <c r="H25" s="515"/>
      <c r="I25" s="684">
        <f>VLOOKUP($F$8,'6.Bảng lương  '!$B$11:$AV$42,45,0)</f>
        <v>0</v>
      </c>
      <c r="J25" s="516"/>
      <c r="K25" s="317"/>
      <c r="L25" s="318"/>
      <c r="M25" s="286"/>
      <c r="N25" s="286"/>
      <c r="O25" s="286"/>
      <c r="P25" s="286"/>
      <c r="Q25" s="286"/>
      <c r="R25" s="192"/>
      <c r="S25" s="192"/>
      <c r="T25" s="192"/>
      <c r="U25" s="192"/>
      <c r="V25" s="192"/>
      <c r="W25" s="192"/>
      <c r="X25" s="192"/>
      <c r="Y25" s="192"/>
      <c r="Z25" s="192"/>
      <c r="AA25" s="192"/>
      <c r="AB25" s="192"/>
      <c r="AC25" s="192"/>
      <c r="AD25" s="192"/>
    </row>
    <row r="26" spans="1:30" ht="22.5" customHeight="1" x14ac:dyDescent="0.3">
      <c r="A26" s="288"/>
      <c r="B26" s="314"/>
      <c r="C26" s="592"/>
      <c r="D26" s="702"/>
      <c r="E26" s="721" t="s">
        <v>299</v>
      </c>
      <c r="F26" s="515"/>
      <c r="G26" s="515"/>
      <c r="H26" s="515"/>
      <c r="I26" s="713">
        <v>0</v>
      </c>
      <c r="J26" s="516"/>
      <c r="K26" s="317"/>
      <c r="L26" s="318"/>
      <c r="M26" s="286"/>
      <c r="N26" s="286"/>
      <c r="O26" s="286"/>
      <c r="P26" s="286"/>
      <c r="Q26" s="286"/>
      <c r="R26" s="192"/>
      <c r="S26" s="192"/>
      <c r="T26" s="192"/>
      <c r="U26" s="192"/>
      <c r="V26" s="192"/>
      <c r="W26" s="192"/>
      <c r="X26" s="192"/>
      <c r="Y26" s="192"/>
      <c r="Z26" s="192"/>
      <c r="AA26" s="192"/>
      <c r="AB26" s="192"/>
      <c r="AC26" s="192"/>
      <c r="AD26" s="192"/>
    </row>
    <row r="27" spans="1:30" ht="30.75" customHeight="1" x14ac:dyDescent="0.3">
      <c r="A27" s="288"/>
      <c r="B27" s="314"/>
      <c r="C27" s="592"/>
      <c r="D27" s="702"/>
      <c r="E27" s="711" t="s">
        <v>180</v>
      </c>
      <c r="F27" s="515"/>
      <c r="G27" s="515"/>
      <c r="H27" s="515"/>
      <c r="I27" s="684">
        <f>VLOOKUP($F$8,'6.Bảng lương  '!$B$11:$AV$42,46,0)</f>
        <v>0</v>
      </c>
      <c r="J27" s="516"/>
      <c r="K27" s="317"/>
      <c r="L27" s="318"/>
      <c r="M27" s="286"/>
      <c r="N27" s="286"/>
      <c r="O27" s="286"/>
      <c r="P27" s="286"/>
      <c r="Q27" s="286"/>
      <c r="R27" s="192"/>
      <c r="S27" s="192"/>
      <c r="T27" s="192"/>
      <c r="U27" s="192"/>
      <c r="V27" s="192"/>
      <c r="W27" s="192"/>
      <c r="X27" s="192"/>
      <c r="Y27" s="192"/>
      <c r="Z27" s="192"/>
      <c r="AA27" s="192"/>
      <c r="AB27" s="192"/>
      <c r="AC27" s="192"/>
      <c r="AD27" s="192"/>
    </row>
    <row r="28" spans="1:30" ht="22.5" customHeight="1" x14ac:dyDescent="0.3">
      <c r="A28" s="288"/>
      <c r="B28" s="314"/>
      <c r="C28" s="560"/>
      <c r="D28" s="719"/>
      <c r="E28" s="712" t="s">
        <v>300</v>
      </c>
      <c r="F28" s="686"/>
      <c r="G28" s="686"/>
      <c r="H28" s="686"/>
      <c r="I28" s="713">
        <v>0</v>
      </c>
      <c r="J28" s="516"/>
      <c r="K28" s="317"/>
      <c r="L28" s="318"/>
      <c r="M28" s="286"/>
      <c r="N28" s="286"/>
      <c r="O28" s="286"/>
      <c r="P28" s="286"/>
      <c r="Q28" s="286"/>
      <c r="R28" s="192"/>
      <c r="S28" s="192"/>
      <c r="T28" s="192"/>
      <c r="U28" s="192"/>
      <c r="V28" s="192"/>
      <c r="W28" s="192"/>
      <c r="X28" s="192"/>
      <c r="Y28" s="192"/>
      <c r="Z28" s="192"/>
      <c r="AA28" s="192"/>
      <c r="AB28" s="192"/>
      <c r="AC28" s="192"/>
      <c r="AD28" s="192"/>
    </row>
    <row r="29" spans="1:30" ht="15.75" customHeight="1" x14ac:dyDescent="0.3">
      <c r="A29" s="288"/>
      <c r="B29" s="322"/>
      <c r="C29" s="323"/>
      <c r="D29" s="323"/>
      <c r="E29" s="323"/>
      <c r="F29" s="323"/>
      <c r="G29" s="323"/>
      <c r="H29" s="324"/>
      <c r="I29" s="325"/>
      <c r="J29" s="325"/>
      <c r="K29" s="317"/>
      <c r="L29" s="318"/>
      <c r="M29" s="286"/>
      <c r="N29" s="286"/>
      <c r="O29" s="286"/>
      <c r="P29" s="286"/>
      <c r="Q29" s="286"/>
      <c r="R29" s="192"/>
      <c r="S29" s="192"/>
      <c r="T29" s="192"/>
      <c r="U29" s="192"/>
      <c r="V29" s="192"/>
      <c r="W29" s="192"/>
      <c r="X29" s="192"/>
      <c r="Y29" s="192"/>
      <c r="Z29" s="192"/>
      <c r="AA29" s="192"/>
      <c r="AB29" s="192"/>
      <c r="AC29" s="192"/>
      <c r="AD29" s="192"/>
    </row>
    <row r="30" spans="1:30" ht="49.5" customHeight="1" x14ac:dyDescent="0.3">
      <c r="A30" s="288"/>
      <c r="B30" s="314"/>
      <c r="C30" s="720" t="s">
        <v>301</v>
      </c>
      <c r="D30" s="591"/>
      <c r="E30" s="714" t="s">
        <v>302</v>
      </c>
      <c r="F30" s="649"/>
      <c r="G30" s="649"/>
      <c r="H30" s="650"/>
      <c r="I30" s="715">
        <f>ROUND(SUM(I16:J22)-I24-I25-I26+I27-I28,-2)</f>
        <v>9000000</v>
      </c>
      <c r="J30" s="516"/>
      <c r="K30" s="317"/>
      <c r="L30" s="318"/>
      <c r="M30" s="286"/>
      <c r="N30" s="286"/>
      <c r="O30" s="286"/>
      <c r="P30" s="286"/>
      <c r="Q30" s="286"/>
      <c r="R30" s="192"/>
      <c r="S30" s="192"/>
      <c r="T30" s="192"/>
      <c r="U30" s="192"/>
      <c r="V30" s="192"/>
      <c r="W30" s="192"/>
      <c r="X30" s="192"/>
      <c r="Y30" s="192"/>
      <c r="Z30" s="192"/>
      <c r="AA30" s="192"/>
      <c r="AB30" s="192"/>
      <c r="AC30" s="192"/>
      <c r="AD30" s="192"/>
    </row>
    <row r="31" spans="1:30" ht="22.5" customHeight="1" x14ac:dyDescent="0.3">
      <c r="A31" s="306"/>
      <c r="B31" s="307"/>
      <c r="C31" s="716" t="s">
        <v>303</v>
      </c>
      <c r="D31" s="536"/>
      <c r="E31" s="536"/>
      <c r="F31" s="536"/>
      <c r="G31" s="536"/>
      <c r="H31" s="536"/>
      <c r="I31" s="684">
        <f>VLOOKUP($F$8,'6.Bảng lương  '!$B$11:$AV$42,35,0)</f>
        <v>1182500</v>
      </c>
      <c r="J31" s="516"/>
      <c r="K31" s="309"/>
      <c r="L31" s="326"/>
      <c r="M31" s="311"/>
      <c r="N31" s="311"/>
      <c r="O31" s="311"/>
      <c r="P31" s="311"/>
      <c r="Q31" s="311"/>
      <c r="R31" s="192"/>
      <c r="S31" s="192"/>
      <c r="T31" s="192"/>
      <c r="U31" s="192"/>
      <c r="V31" s="192"/>
      <c r="W31" s="192"/>
      <c r="X31" s="192"/>
      <c r="Y31" s="192"/>
      <c r="Z31" s="192"/>
      <c r="AA31" s="192"/>
      <c r="AB31" s="192"/>
      <c r="AC31" s="192"/>
      <c r="AD31" s="192"/>
    </row>
    <row r="32" spans="1:30" ht="27.75" customHeight="1" x14ac:dyDescent="0.3">
      <c r="A32" s="306"/>
      <c r="B32" s="307"/>
      <c r="C32" s="709" t="s">
        <v>304</v>
      </c>
      <c r="D32" s="686"/>
      <c r="E32" s="686"/>
      <c r="F32" s="686"/>
      <c r="G32" s="686"/>
      <c r="H32" s="686"/>
      <c r="I32" s="710">
        <f>I30+I31</f>
        <v>10182500</v>
      </c>
      <c r="J32" s="516"/>
      <c r="K32" s="309"/>
      <c r="L32" s="326"/>
      <c r="M32" s="311"/>
      <c r="N32" s="311"/>
      <c r="O32" s="311"/>
      <c r="P32" s="311"/>
      <c r="Q32" s="311"/>
      <c r="R32" s="192"/>
      <c r="S32" s="192"/>
      <c r="T32" s="192"/>
      <c r="U32" s="192"/>
      <c r="V32" s="192"/>
      <c r="W32" s="192"/>
      <c r="X32" s="192"/>
      <c r="Y32" s="192"/>
      <c r="Z32" s="192"/>
      <c r="AA32" s="192"/>
      <c r="AB32" s="192"/>
      <c r="AC32" s="192"/>
      <c r="AD32" s="192"/>
    </row>
    <row r="33" spans="1:30" ht="15.75" customHeight="1" x14ac:dyDescent="0.3">
      <c r="A33" s="288"/>
      <c r="B33" s="327"/>
      <c r="C33" s="328"/>
      <c r="D33" s="328"/>
      <c r="E33" s="328"/>
      <c r="F33" s="328"/>
      <c r="G33" s="328"/>
      <c r="H33" s="328"/>
      <c r="I33" s="328"/>
      <c r="J33" s="328"/>
      <c r="K33" s="329"/>
      <c r="L33" s="318"/>
      <c r="M33" s="286"/>
      <c r="N33" s="286"/>
      <c r="O33" s="286"/>
      <c r="P33" s="286"/>
      <c r="Q33" s="286"/>
      <c r="R33" s="192"/>
      <c r="S33" s="192"/>
      <c r="T33" s="192"/>
      <c r="U33" s="192"/>
      <c r="V33" s="192"/>
      <c r="W33" s="192"/>
      <c r="X33" s="192"/>
      <c r="Y33" s="192"/>
      <c r="Z33" s="192"/>
      <c r="AA33" s="192"/>
      <c r="AB33" s="192"/>
      <c r="AC33" s="192"/>
      <c r="AD33" s="192"/>
    </row>
    <row r="34" spans="1:30" ht="15.75" customHeight="1" x14ac:dyDescent="0.3">
      <c r="A34" s="330"/>
      <c r="B34" s="331"/>
      <c r="C34" s="331"/>
      <c r="D34" s="331"/>
      <c r="E34" s="331"/>
      <c r="F34" s="331"/>
      <c r="G34" s="331"/>
      <c r="H34" s="331"/>
      <c r="I34" s="331"/>
      <c r="J34" s="331"/>
      <c r="K34" s="331"/>
      <c r="L34" s="330"/>
      <c r="M34" s="286"/>
      <c r="N34" s="286"/>
      <c r="O34" s="286"/>
      <c r="P34" s="286"/>
      <c r="Q34" s="286"/>
      <c r="R34" s="192"/>
      <c r="S34" s="192"/>
      <c r="T34" s="192"/>
      <c r="U34" s="192"/>
      <c r="V34" s="192"/>
      <c r="W34" s="192"/>
      <c r="X34" s="192"/>
      <c r="Y34" s="192"/>
      <c r="Z34" s="192"/>
      <c r="AA34" s="192"/>
      <c r="AB34" s="192"/>
      <c r="AC34" s="192"/>
      <c r="AD34" s="192"/>
    </row>
    <row r="35" spans="1:30" ht="15.75" customHeight="1" x14ac:dyDescent="0.3">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row>
    <row r="36" spans="1:30" ht="15.75" customHeight="1" x14ac:dyDescent="0.3">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row>
    <row r="37" spans="1:30" ht="15.75" customHeight="1" x14ac:dyDescent="0.3">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row>
    <row r="38" spans="1:30" ht="15.75" customHeight="1" x14ac:dyDescent="0.3">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row>
    <row r="39" spans="1:30" ht="15.75" customHeight="1" x14ac:dyDescent="0.3">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row>
    <row r="40" spans="1:30" ht="15.75" customHeight="1" x14ac:dyDescent="0.3">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row>
    <row r="41" spans="1:30" ht="15.75" customHeight="1" x14ac:dyDescent="0.3">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row>
    <row r="42" spans="1:30" ht="15.75" customHeight="1" x14ac:dyDescent="0.3">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row>
    <row r="43" spans="1:30" ht="15.75" customHeight="1" x14ac:dyDescent="0.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row>
    <row r="44" spans="1:30" ht="15.75" customHeight="1" x14ac:dyDescent="0.3">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row>
    <row r="45" spans="1:30" ht="15.75" customHeight="1" x14ac:dyDescent="0.3">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row>
    <row r="46" spans="1:30" ht="15.75" customHeight="1" x14ac:dyDescent="0.3">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row>
    <row r="47" spans="1:30" ht="15.75" customHeight="1" x14ac:dyDescent="0.3">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row>
    <row r="48" spans="1:30" ht="15.75" customHeight="1" x14ac:dyDescent="0.3">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row>
    <row r="49" spans="1:30" ht="15.75" customHeight="1" x14ac:dyDescent="0.3">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row>
    <row r="50" spans="1:30" ht="15.75" customHeight="1" x14ac:dyDescent="0.3">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row>
    <row r="51" spans="1:30" ht="15.75" customHeight="1" x14ac:dyDescent="0.3">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row>
    <row r="52" spans="1:30" ht="15.75" customHeight="1" x14ac:dyDescent="0.3">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row>
    <row r="53" spans="1:30" ht="15.75" customHeight="1" x14ac:dyDescent="0.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row>
    <row r="54" spans="1:30" ht="15.75" customHeight="1" x14ac:dyDescent="0.3">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row>
    <row r="55" spans="1:30" ht="15.75" customHeight="1" x14ac:dyDescent="0.3">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row>
    <row r="56" spans="1:30" ht="15.75" customHeight="1" x14ac:dyDescent="0.3">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row>
    <row r="57" spans="1:30" ht="15.75" customHeight="1" x14ac:dyDescent="0.3">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row>
    <row r="58" spans="1:30" ht="15.75" customHeight="1" x14ac:dyDescent="0.3">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row>
    <row r="59" spans="1:30" ht="15.75" customHeight="1" x14ac:dyDescent="0.3">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row>
    <row r="60" spans="1:30" ht="15.75" customHeight="1" x14ac:dyDescent="0.3">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row>
    <row r="61" spans="1:30" ht="15.75" customHeight="1" x14ac:dyDescent="0.3">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row>
    <row r="62" spans="1:30" ht="15.75" customHeight="1" x14ac:dyDescent="0.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row>
    <row r="63" spans="1:30" ht="15.75" customHeight="1" x14ac:dyDescent="0.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row>
    <row r="64" spans="1:30" ht="15.75" customHeight="1" x14ac:dyDescent="0.3">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row>
    <row r="65" spans="1:30" ht="15.75" customHeight="1" x14ac:dyDescent="0.3">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row>
    <row r="66" spans="1:30" ht="15.75" customHeight="1" x14ac:dyDescent="0.3">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row>
    <row r="67" spans="1:30" ht="15.75" customHeight="1" x14ac:dyDescent="0.3">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row>
    <row r="68" spans="1:30" ht="15.75" customHeight="1" x14ac:dyDescent="0.3">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row>
    <row r="69" spans="1:30" ht="15.75" customHeight="1" x14ac:dyDescent="0.3">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row>
    <row r="70" spans="1:30" ht="15.75" customHeight="1" x14ac:dyDescent="0.3">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row>
    <row r="71" spans="1:30" ht="15.75" customHeight="1" x14ac:dyDescent="0.3">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row>
    <row r="72" spans="1:30" ht="15.75" customHeight="1" x14ac:dyDescent="0.3">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row>
    <row r="73" spans="1:30" ht="15.75" customHeight="1" x14ac:dyDescent="0.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row>
    <row r="74" spans="1:30" ht="15.75" customHeight="1" x14ac:dyDescent="0.3">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row>
    <row r="75" spans="1:30" ht="15.75" customHeight="1" x14ac:dyDescent="0.3">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row>
    <row r="76" spans="1:30" ht="15.75" customHeight="1" x14ac:dyDescent="0.3">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row>
    <row r="77" spans="1:30" ht="15.75" customHeight="1" x14ac:dyDescent="0.3">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row>
    <row r="78" spans="1:30" ht="15.75" customHeight="1" x14ac:dyDescent="0.3">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row>
    <row r="79" spans="1:30" ht="15.75" customHeight="1" x14ac:dyDescent="0.3">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row>
    <row r="80" spans="1:30" ht="15.75" customHeight="1" x14ac:dyDescent="0.3">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row>
    <row r="81" spans="1:30" ht="15.75" customHeight="1" x14ac:dyDescent="0.3">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row>
    <row r="82" spans="1:30" ht="15.75" customHeight="1" x14ac:dyDescent="0.3">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row>
    <row r="83" spans="1:30" ht="15.75" customHeight="1" x14ac:dyDescent="0.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row>
    <row r="84" spans="1:30" ht="15.75" customHeight="1" x14ac:dyDescent="0.3">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row>
    <row r="85" spans="1:30" ht="15.75" customHeight="1" x14ac:dyDescent="0.3">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row>
    <row r="86" spans="1:30" ht="15.75" customHeight="1" x14ac:dyDescent="0.3">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row>
    <row r="87" spans="1:30" ht="15.75" customHeight="1" x14ac:dyDescent="0.3">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row>
    <row r="88" spans="1:30" ht="15.75" customHeight="1" x14ac:dyDescent="0.3">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row>
    <row r="89" spans="1:30" ht="15.75" customHeight="1" x14ac:dyDescent="0.3">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row>
    <row r="90" spans="1:30" ht="15.75" customHeight="1" x14ac:dyDescent="0.3">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row>
    <row r="91" spans="1:30" ht="15.75" customHeight="1" x14ac:dyDescent="0.3">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row>
    <row r="92" spans="1:30" ht="15.75" customHeight="1" x14ac:dyDescent="0.3">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row>
    <row r="93" spans="1:30" ht="15.75" customHeight="1" x14ac:dyDescent="0.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row>
    <row r="94" spans="1:30" ht="15.75" customHeight="1" x14ac:dyDescent="0.3">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row>
    <row r="95" spans="1:30" ht="15.75" customHeight="1" x14ac:dyDescent="0.3">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row>
    <row r="96" spans="1:30" ht="15.75" customHeight="1" x14ac:dyDescent="0.3">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row>
    <row r="97" spans="1:30" ht="15.75" customHeight="1" x14ac:dyDescent="0.3">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row>
    <row r="98" spans="1:30" ht="15.75" customHeight="1" x14ac:dyDescent="0.3">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row>
    <row r="99" spans="1:30" ht="15.75" customHeight="1" x14ac:dyDescent="0.3">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row>
    <row r="100" spans="1:30" ht="15.75" customHeight="1" x14ac:dyDescent="0.3">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row>
    <row r="101" spans="1:30" ht="15.75" customHeight="1" x14ac:dyDescent="0.3">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row>
    <row r="102" spans="1:30" ht="15.75" customHeight="1" x14ac:dyDescent="0.3">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row>
    <row r="103" spans="1:30" ht="15.75" customHeight="1" x14ac:dyDescent="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row>
    <row r="104" spans="1:30" ht="15.75" customHeight="1" x14ac:dyDescent="0.3">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row>
    <row r="105" spans="1:30" ht="15.75" customHeight="1" x14ac:dyDescent="0.3">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row>
    <row r="106" spans="1:30" ht="15.75" customHeight="1" x14ac:dyDescent="0.3">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row>
    <row r="107" spans="1:30" ht="15.75" customHeight="1" x14ac:dyDescent="0.3">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row>
    <row r="108" spans="1:30" ht="15.75" customHeight="1" x14ac:dyDescent="0.3">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row>
    <row r="109" spans="1:30" ht="15.75" customHeight="1" x14ac:dyDescent="0.3">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row>
    <row r="110" spans="1:30" ht="15.75" customHeight="1" x14ac:dyDescent="0.3">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row>
    <row r="111" spans="1:30" ht="15.75" customHeight="1" x14ac:dyDescent="0.3">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row>
    <row r="112" spans="1:30" ht="15.75" customHeight="1" x14ac:dyDescent="0.3">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row>
    <row r="113" spans="1:30" ht="15.75" customHeight="1" x14ac:dyDescent="0.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row>
    <row r="114" spans="1:30" ht="15.75" customHeight="1" x14ac:dyDescent="0.3">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row>
    <row r="115" spans="1:30" ht="15.75" customHeight="1" x14ac:dyDescent="0.3">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row>
    <row r="116" spans="1:30" ht="15.75" customHeight="1" x14ac:dyDescent="0.3">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row>
    <row r="117" spans="1:30" ht="15.75" customHeight="1" x14ac:dyDescent="0.3">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row>
    <row r="118" spans="1:30" ht="15.75" customHeight="1" x14ac:dyDescent="0.3">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row>
    <row r="119" spans="1:30" ht="15.75" customHeight="1" x14ac:dyDescent="0.3">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row>
    <row r="120" spans="1:30" ht="15.75" customHeight="1" x14ac:dyDescent="0.3">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row>
    <row r="121" spans="1:30" ht="15.75" customHeight="1" x14ac:dyDescent="0.3">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row>
    <row r="122" spans="1:30" ht="15.75" customHeight="1" x14ac:dyDescent="0.3">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row>
    <row r="123" spans="1:30" ht="15.75" customHeight="1" x14ac:dyDescent="0.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row>
    <row r="124" spans="1:30" ht="15.75" customHeight="1" x14ac:dyDescent="0.3">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row>
    <row r="125" spans="1:30" ht="15.75" customHeight="1" x14ac:dyDescent="0.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row>
    <row r="126" spans="1:30" ht="15.75" customHeight="1" x14ac:dyDescent="0.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row>
    <row r="127" spans="1:30" ht="15.75" customHeight="1" x14ac:dyDescent="0.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row>
    <row r="128" spans="1:30" ht="15.75" customHeight="1" x14ac:dyDescent="0.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row>
    <row r="129" spans="1:30" ht="15.75" customHeight="1" x14ac:dyDescent="0.3">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row>
    <row r="130" spans="1:30" ht="15.75" customHeight="1" x14ac:dyDescent="0.3">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row>
    <row r="131" spans="1:30" ht="15.75" customHeight="1" x14ac:dyDescent="0.3">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row>
    <row r="132" spans="1:30" ht="15.75" customHeight="1" x14ac:dyDescent="0.3">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row>
    <row r="133" spans="1:30" ht="15.75" customHeight="1" x14ac:dyDescent="0.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row>
    <row r="134" spans="1:30" ht="15.75" customHeight="1" x14ac:dyDescent="0.3">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row>
    <row r="135" spans="1:30" ht="15.75" customHeight="1" x14ac:dyDescent="0.3">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row>
    <row r="136" spans="1:30" ht="15.75" customHeight="1" x14ac:dyDescent="0.3">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row>
    <row r="137" spans="1:30" ht="15.75" customHeight="1" x14ac:dyDescent="0.3">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row>
    <row r="138" spans="1:30" ht="15.75" customHeight="1" x14ac:dyDescent="0.3">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row>
    <row r="139" spans="1:30" ht="15.75" customHeight="1" x14ac:dyDescent="0.3">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row>
    <row r="140" spans="1:30" ht="15.75" customHeight="1" x14ac:dyDescent="0.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row>
    <row r="141" spans="1:30" ht="15.75" customHeight="1" x14ac:dyDescent="0.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row>
    <row r="142" spans="1:30" ht="15.75" customHeight="1" x14ac:dyDescent="0.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row>
    <row r="143" spans="1:30" ht="15.75" customHeight="1" x14ac:dyDescent="0.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row>
    <row r="144" spans="1:30" ht="15.75" customHeight="1" x14ac:dyDescent="0.3">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row>
    <row r="145" spans="1:30" ht="15.75" customHeight="1" x14ac:dyDescent="0.3">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row>
    <row r="146" spans="1:30" ht="15.75" customHeight="1" x14ac:dyDescent="0.3">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row>
    <row r="147" spans="1:30" ht="15.75" customHeight="1" x14ac:dyDescent="0.3">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row>
    <row r="148" spans="1:30" ht="15.75" customHeight="1" x14ac:dyDescent="0.3">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row>
    <row r="149" spans="1:30" ht="15.75" customHeight="1" x14ac:dyDescent="0.3">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row>
    <row r="150" spans="1:30" ht="15.75" customHeight="1" x14ac:dyDescent="0.3">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row>
    <row r="151" spans="1:30" ht="15.75" customHeight="1" x14ac:dyDescent="0.3">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row>
    <row r="152" spans="1:30" ht="15.75" customHeight="1" x14ac:dyDescent="0.3">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row>
    <row r="153" spans="1:30" ht="15.75" customHeight="1" x14ac:dyDescent="0.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row>
    <row r="154" spans="1:30" ht="15.75" customHeight="1" x14ac:dyDescent="0.3">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row>
    <row r="155" spans="1:30" ht="15.75" customHeight="1" x14ac:dyDescent="0.3">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row>
    <row r="156" spans="1:30" ht="15.75" customHeight="1" x14ac:dyDescent="0.3">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row>
    <row r="157" spans="1:30" ht="15.75" customHeight="1" x14ac:dyDescent="0.3">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row>
    <row r="158" spans="1:30" ht="15.75" customHeight="1" x14ac:dyDescent="0.3">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row>
    <row r="159" spans="1:30" ht="15.75" customHeight="1" x14ac:dyDescent="0.3">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row>
    <row r="160" spans="1:30" ht="15.75" customHeight="1" x14ac:dyDescent="0.3">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row>
    <row r="161" spans="1:30" ht="15.75" customHeight="1" x14ac:dyDescent="0.3">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row>
    <row r="162" spans="1:30" ht="15.75" customHeight="1" x14ac:dyDescent="0.3">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row>
    <row r="163" spans="1:30" ht="15.75" customHeight="1" x14ac:dyDescent="0.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row>
    <row r="164" spans="1:30" ht="15.75" customHeight="1" x14ac:dyDescent="0.3">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row>
    <row r="165" spans="1:30" ht="15.75" customHeight="1" x14ac:dyDescent="0.3">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row>
    <row r="166" spans="1:30" ht="15.75" customHeight="1" x14ac:dyDescent="0.3">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row>
    <row r="167" spans="1:30" ht="15.75" customHeight="1" x14ac:dyDescent="0.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row>
    <row r="168" spans="1:30" ht="15.75" customHeight="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row>
    <row r="169" spans="1:30" ht="15.75" customHeight="1" x14ac:dyDescent="0.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row>
    <row r="170" spans="1:30" ht="15.75" customHeight="1" x14ac:dyDescent="0.3">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row>
    <row r="171" spans="1:30" ht="15.75" customHeight="1" x14ac:dyDescent="0.3">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row>
    <row r="172" spans="1:30" ht="15.75" customHeight="1"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row>
    <row r="173" spans="1:30" ht="15.75" customHeight="1"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row>
    <row r="174" spans="1:30" ht="15.75" customHeight="1" x14ac:dyDescent="0.3">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row>
    <row r="175" spans="1:30" ht="15.75" customHeight="1" x14ac:dyDescent="0.3">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row>
    <row r="176" spans="1:30" ht="15.75" customHeight="1" x14ac:dyDescent="0.3">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row>
    <row r="177" spans="1:30" ht="15.75" customHeight="1" x14ac:dyDescent="0.3">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row>
    <row r="178" spans="1:30" ht="15.75" customHeight="1" x14ac:dyDescent="0.3">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row>
    <row r="179" spans="1:30" ht="15.75" customHeight="1" x14ac:dyDescent="0.3">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row>
    <row r="180" spans="1:30" ht="15.75" customHeight="1" x14ac:dyDescent="0.3">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row>
    <row r="181" spans="1:30" ht="15.75" customHeight="1" x14ac:dyDescent="0.3">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row>
    <row r="182" spans="1:30" ht="15.75" customHeight="1" x14ac:dyDescent="0.3">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row>
    <row r="183" spans="1:30" ht="15.75" customHeight="1" x14ac:dyDescent="0.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row>
    <row r="184" spans="1:30" ht="15.75" customHeight="1" x14ac:dyDescent="0.3">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row>
    <row r="185" spans="1:30" ht="15.75" customHeight="1" x14ac:dyDescent="0.3">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row>
    <row r="186" spans="1:30" ht="15.75" customHeight="1" x14ac:dyDescent="0.3">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row>
    <row r="187" spans="1:30" ht="15.75" customHeight="1" x14ac:dyDescent="0.3">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row>
    <row r="188" spans="1:30" ht="15.75" customHeight="1" x14ac:dyDescent="0.3">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row>
    <row r="189" spans="1:30" ht="15.75" customHeight="1" x14ac:dyDescent="0.3">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row>
    <row r="190" spans="1:30" ht="15.75" customHeight="1" x14ac:dyDescent="0.3">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row>
    <row r="191" spans="1:30" ht="15.75" customHeight="1" x14ac:dyDescent="0.3">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row>
    <row r="192" spans="1:30" ht="15.75" customHeight="1" x14ac:dyDescent="0.3">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row>
    <row r="193" spans="1:30" ht="15.75" customHeight="1" x14ac:dyDescent="0.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row>
    <row r="194" spans="1:30" ht="15.75" customHeight="1" x14ac:dyDescent="0.3">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row>
    <row r="195" spans="1:30" ht="15.75" customHeight="1" x14ac:dyDescent="0.3">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row>
    <row r="196" spans="1:30" ht="15.75" customHeight="1" x14ac:dyDescent="0.3">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row>
    <row r="197" spans="1:30" ht="15.75" customHeight="1" x14ac:dyDescent="0.3">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row>
    <row r="198" spans="1:30" ht="15.75" customHeight="1" x14ac:dyDescent="0.3">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row>
    <row r="199" spans="1:30" ht="15.75" customHeight="1" x14ac:dyDescent="0.3">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row>
    <row r="200" spans="1:30" ht="15.75" customHeight="1" x14ac:dyDescent="0.3">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row>
    <row r="201" spans="1:30" ht="15.75" customHeight="1" x14ac:dyDescent="0.3">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row>
    <row r="202" spans="1:30" ht="15.75" customHeight="1" x14ac:dyDescent="0.3">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row>
    <row r="203" spans="1:30" ht="15.75" customHeight="1" x14ac:dyDescent="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spans="1:30" ht="15.75" customHeight="1" x14ac:dyDescent="0.3">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spans="1:30" ht="15.75" customHeight="1" x14ac:dyDescent="0.3">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spans="1:30" ht="15.75" customHeight="1" x14ac:dyDescent="0.3">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spans="1:30" ht="15.75" customHeight="1" x14ac:dyDescent="0.3">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spans="1:30" ht="15.75" customHeight="1" x14ac:dyDescent="0.3">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spans="1:30" ht="15.75" customHeight="1" x14ac:dyDescent="0.3">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row>
    <row r="210" spans="1:30" ht="15.75" customHeight="1" x14ac:dyDescent="0.3">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row>
    <row r="211" spans="1:30" ht="15.75" customHeight="1" x14ac:dyDescent="0.3">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row>
    <row r="212" spans="1:30" ht="15.75" customHeight="1" x14ac:dyDescent="0.3">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row>
    <row r="213" spans="1:30" ht="15.75" customHeight="1" x14ac:dyDescent="0.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row>
    <row r="214" spans="1:30" ht="15.75" customHeight="1" x14ac:dyDescent="0.3">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row>
    <row r="215" spans="1:30" ht="15.75" customHeight="1" x14ac:dyDescent="0.3">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spans="1:30" ht="15.75" customHeight="1" x14ac:dyDescent="0.3">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spans="1:30" ht="15.75" customHeight="1" x14ac:dyDescent="0.3">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row>
    <row r="218" spans="1:30" ht="15.75" customHeight="1" x14ac:dyDescent="0.3">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row>
    <row r="219" spans="1:30" ht="15.75" customHeight="1" x14ac:dyDescent="0.3">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row>
    <row r="220" spans="1:30" ht="15.75" customHeight="1" x14ac:dyDescent="0.3">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row>
    <row r="221" spans="1:30" ht="15.75" customHeight="1" x14ac:dyDescent="0.3">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row>
    <row r="222" spans="1:30" ht="15.75" customHeight="1" x14ac:dyDescent="0.3">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row>
    <row r="223" spans="1:30" ht="15.75" customHeight="1" x14ac:dyDescent="0.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row>
    <row r="224" spans="1:30" ht="15.75" customHeight="1" x14ac:dyDescent="0.3">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row>
    <row r="225" spans="1:30" ht="15.75" customHeight="1" x14ac:dyDescent="0.3">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row>
    <row r="226" spans="1:30" ht="15.75" customHeight="1" x14ac:dyDescent="0.3">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row>
    <row r="227" spans="1:30" ht="15.75" customHeight="1" x14ac:dyDescent="0.3">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row>
    <row r="228" spans="1:30" ht="15.75" customHeight="1" x14ac:dyDescent="0.3">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row>
    <row r="229" spans="1:30" ht="15.75" customHeight="1" x14ac:dyDescent="0.3">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row>
    <row r="230" spans="1:30" ht="15.75" customHeight="1" x14ac:dyDescent="0.3">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row>
    <row r="231" spans="1:30" ht="15.75" customHeight="1" x14ac:dyDescent="0.3">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row>
    <row r="232" spans="1:30" ht="15.75" customHeight="1" x14ac:dyDescent="0.3">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row>
    <row r="233" spans="1:30" ht="15.75" customHeight="1" x14ac:dyDescent="0.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row>
    <row r="234" spans="1:30" ht="15.75" customHeight="1" x14ac:dyDescent="0.3">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row>
    <row r="235" spans="1:30" ht="15.75" customHeight="1" x14ac:dyDescent="0.3">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row>
    <row r="236" spans="1:30" ht="15.75" customHeight="1" x14ac:dyDescent="0.3">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row>
    <row r="237" spans="1:30" ht="15.75" customHeight="1" x14ac:dyDescent="0.3">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row>
    <row r="238" spans="1:30" ht="15.75" customHeight="1" x14ac:dyDescent="0.3">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row>
    <row r="239" spans="1:30" ht="15.75" customHeight="1" x14ac:dyDescent="0.3">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row>
    <row r="240" spans="1:30" ht="15.75" customHeight="1" x14ac:dyDescent="0.3">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row>
    <row r="241" spans="1:30" ht="15.75" customHeight="1" x14ac:dyDescent="0.3">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row>
    <row r="242" spans="1:30" ht="15.75" customHeight="1" x14ac:dyDescent="0.3">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row>
    <row r="243" spans="1:30" ht="15.75" customHeight="1" x14ac:dyDescent="0.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row>
    <row r="244" spans="1:30" ht="15.75" customHeight="1" x14ac:dyDescent="0.3">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row>
    <row r="245" spans="1:30" ht="15.75" customHeight="1" x14ac:dyDescent="0.3">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row>
    <row r="246" spans="1:30" ht="15.75" customHeight="1" x14ac:dyDescent="0.3">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row>
    <row r="247" spans="1:30" ht="15.75" customHeight="1" x14ac:dyDescent="0.3">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row>
    <row r="248" spans="1:30" ht="15.75" customHeight="1" x14ac:dyDescent="0.3">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row>
    <row r="249" spans="1:30" ht="15.75" customHeight="1" x14ac:dyDescent="0.3">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row>
    <row r="250" spans="1:30" ht="15.75" customHeight="1" x14ac:dyDescent="0.3">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row>
    <row r="251" spans="1:30" ht="15.75" customHeight="1" x14ac:dyDescent="0.3">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row>
    <row r="252" spans="1:30" ht="15.75" customHeight="1" x14ac:dyDescent="0.3">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row>
    <row r="253" spans="1:30" ht="15.75" customHeight="1" x14ac:dyDescent="0.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row>
    <row r="254" spans="1:30" ht="15.75" customHeight="1" x14ac:dyDescent="0.3">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row>
    <row r="255" spans="1:30" ht="15.75" customHeight="1" x14ac:dyDescent="0.3">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row>
    <row r="256" spans="1:30" ht="15.75" customHeight="1" x14ac:dyDescent="0.3">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row>
    <row r="257" spans="1:30" ht="15.75" customHeight="1" x14ac:dyDescent="0.3">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row>
    <row r="258" spans="1:30" ht="15.75" customHeight="1" x14ac:dyDescent="0.3">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row>
    <row r="259" spans="1:30" ht="15.75" customHeight="1" x14ac:dyDescent="0.3">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row>
    <row r="260" spans="1:30" ht="15.75" customHeight="1" x14ac:dyDescent="0.3">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row>
    <row r="261" spans="1:30" ht="15.75" customHeight="1" x14ac:dyDescent="0.3">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row>
    <row r="262" spans="1:30" ht="15.75" customHeight="1" x14ac:dyDescent="0.3">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row>
    <row r="263" spans="1:30" ht="15.75" customHeight="1" x14ac:dyDescent="0.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row>
    <row r="264" spans="1:30" ht="15.75" customHeight="1" x14ac:dyDescent="0.3">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row>
    <row r="265" spans="1:30" ht="15.75" customHeight="1" x14ac:dyDescent="0.3">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row>
    <row r="266" spans="1:30" ht="15.75" customHeight="1" x14ac:dyDescent="0.3">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row>
    <row r="267" spans="1:30" ht="15.75" customHeight="1" x14ac:dyDescent="0.3">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row>
    <row r="268" spans="1:30" ht="15.75" customHeight="1" x14ac:dyDescent="0.3">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row>
    <row r="269" spans="1:30" ht="15.75" customHeight="1" x14ac:dyDescent="0.3">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row>
    <row r="270" spans="1:30" ht="15.75" customHeight="1" x14ac:dyDescent="0.3">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row>
    <row r="271" spans="1:30" ht="15.75" customHeight="1" x14ac:dyDescent="0.3">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row>
    <row r="272" spans="1:30" ht="15.75" customHeight="1" x14ac:dyDescent="0.3">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row>
    <row r="273" spans="1:30" ht="15.75" customHeight="1" x14ac:dyDescent="0.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row>
    <row r="274" spans="1:30" ht="15.75" customHeight="1" x14ac:dyDescent="0.3">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row>
    <row r="275" spans="1:30" ht="15.75" customHeight="1" x14ac:dyDescent="0.3">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row>
    <row r="276" spans="1:30" ht="15.75" customHeight="1" x14ac:dyDescent="0.3">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row>
    <row r="277" spans="1:30" ht="15.75" customHeight="1" x14ac:dyDescent="0.3">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row>
    <row r="278" spans="1:30" ht="15.75" customHeight="1" x14ac:dyDescent="0.3">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row>
    <row r="279" spans="1:30" ht="15.75" customHeight="1" x14ac:dyDescent="0.3">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row>
    <row r="280" spans="1:30" ht="15.75" customHeight="1" x14ac:dyDescent="0.3">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row>
    <row r="281" spans="1:30" ht="15.75" customHeight="1" x14ac:dyDescent="0.3">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row>
    <row r="282" spans="1:30" ht="15.75" customHeight="1" x14ac:dyDescent="0.3">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row>
    <row r="283" spans="1:30" ht="15.75" customHeight="1" x14ac:dyDescent="0.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row>
    <row r="284" spans="1:30" ht="15.75" customHeight="1" x14ac:dyDescent="0.3">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row>
    <row r="285" spans="1:30" ht="15.75" customHeight="1" x14ac:dyDescent="0.3">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row>
    <row r="286" spans="1:30" ht="15.75" customHeight="1" x14ac:dyDescent="0.3">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row>
    <row r="287" spans="1:30" ht="15.75" customHeight="1" x14ac:dyDescent="0.3">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row>
    <row r="288" spans="1:30" ht="15.75" customHeight="1" x14ac:dyDescent="0.3">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row>
    <row r="289" spans="1:30" ht="15.75" customHeight="1" x14ac:dyDescent="0.3">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row>
    <row r="290" spans="1:30" ht="15.75" customHeight="1" x14ac:dyDescent="0.3">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row>
    <row r="291" spans="1:30" ht="15.75" customHeight="1" x14ac:dyDescent="0.3">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row>
    <row r="292" spans="1:30" ht="15.75" customHeight="1" x14ac:dyDescent="0.3">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row>
    <row r="293" spans="1:30" ht="15.75" customHeight="1" x14ac:dyDescent="0.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row>
    <row r="294" spans="1:30" ht="15.75" customHeight="1" x14ac:dyDescent="0.3">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row>
    <row r="295" spans="1:30" ht="15.75" customHeight="1" x14ac:dyDescent="0.3">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row>
    <row r="296" spans="1:30" ht="15.75" customHeight="1" x14ac:dyDescent="0.3">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row>
    <row r="297" spans="1:30" ht="15.75" customHeight="1" x14ac:dyDescent="0.3">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row>
    <row r="298" spans="1:30" ht="15.75" customHeight="1" x14ac:dyDescent="0.3">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row>
    <row r="299" spans="1:30" ht="15.75" customHeight="1" x14ac:dyDescent="0.3">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row>
    <row r="300" spans="1:30" ht="15.75" customHeight="1" x14ac:dyDescent="0.3">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row>
    <row r="301" spans="1:30" ht="15.75" customHeight="1" x14ac:dyDescent="0.3">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row>
    <row r="302" spans="1:30" ht="15.75" customHeight="1" x14ac:dyDescent="0.3">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row>
    <row r="303" spans="1:30" ht="15.75" customHeight="1" x14ac:dyDescent="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row>
    <row r="304" spans="1:30" ht="15.75" customHeight="1" x14ac:dyDescent="0.3">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row>
    <row r="305" spans="1:30" ht="15.75" customHeight="1" x14ac:dyDescent="0.3">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row>
    <row r="306" spans="1:30" ht="15.75" customHeight="1" x14ac:dyDescent="0.3">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row>
    <row r="307" spans="1:30" ht="15.75" customHeight="1" x14ac:dyDescent="0.3">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row>
    <row r="308" spans="1:30" ht="15.75" customHeight="1" x14ac:dyDescent="0.3">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row>
    <row r="309" spans="1:30" ht="15.75" customHeight="1" x14ac:dyDescent="0.3">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row>
    <row r="310" spans="1:30" ht="15.75" customHeight="1" x14ac:dyDescent="0.3">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row>
    <row r="311" spans="1:30" ht="15.75" customHeight="1" x14ac:dyDescent="0.3">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row>
    <row r="312" spans="1:30" ht="15.75" customHeight="1" x14ac:dyDescent="0.3">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row>
    <row r="313" spans="1:30" ht="15.75" customHeight="1" x14ac:dyDescent="0.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row>
    <row r="314" spans="1:30" ht="15.75" customHeight="1" x14ac:dyDescent="0.3">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row>
    <row r="315" spans="1:30" ht="15.75" customHeight="1" x14ac:dyDescent="0.3">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row>
    <row r="316" spans="1:30" ht="15.75" customHeight="1" x14ac:dyDescent="0.3">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row>
    <row r="317" spans="1:30" ht="15.75" customHeight="1" x14ac:dyDescent="0.3">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row>
    <row r="318" spans="1:30" ht="15.75" customHeight="1" x14ac:dyDescent="0.3">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row>
    <row r="319" spans="1:30" ht="15.75" customHeight="1" x14ac:dyDescent="0.3">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row>
    <row r="320" spans="1:30" ht="15.75" customHeight="1" x14ac:dyDescent="0.3">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row>
    <row r="321" spans="1:30" ht="15.75" customHeight="1" x14ac:dyDescent="0.3">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row>
    <row r="322" spans="1:30" ht="15.75" customHeight="1" x14ac:dyDescent="0.3">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row>
    <row r="323" spans="1:30" ht="15.75" customHeight="1" x14ac:dyDescent="0.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row>
    <row r="324" spans="1:30" ht="15.75" customHeight="1" x14ac:dyDescent="0.3">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row>
    <row r="325" spans="1:30" ht="15.75" customHeight="1" x14ac:dyDescent="0.3">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row>
    <row r="326" spans="1:30" ht="15.75" customHeight="1" x14ac:dyDescent="0.3">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row>
    <row r="327" spans="1:30" ht="15.75" customHeight="1" x14ac:dyDescent="0.3">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row>
    <row r="328" spans="1:30" ht="15.75" customHeight="1" x14ac:dyDescent="0.3">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row>
    <row r="329" spans="1:30" ht="15.75" customHeight="1" x14ac:dyDescent="0.3">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row>
    <row r="330" spans="1:30" ht="15.75" customHeight="1" x14ac:dyDescent="0.3">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row>
    <row r="331" spans="1:30" ht="15.75" customHeight="1" x14ac:dyDescent="0.3">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row>
    <row r="332" spans="1:30" ht="15.75" customHeight="1" x14ac:dyDescent="0.3">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row>
    <row r="333" spans="1:30" ht="15.75" customHeight="1" x14ac:dyDescent="0.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row>
    <row r="334" spans="1:30" ht="15.75" customHeight="1" x14ac:dyDescent="0.3">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row>
    <row r="335" spans="1:30" ht="15.75" customHeight="1" x14ac:dyDescent="0.3">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row>
    <row r="336" spans="1:30" ht="15.75" customHeight="1" x14ac:dyDescent="0.3">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row>
    <row r="337" spans="1:30" ht="15.75" customHeight="1" x14ac:dyDescent="0.3">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row>
    <row r="338" spans="1:30" ht="15.75" customHeight="1" x14ac:dyDescent="0.3">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row>
    <row r="339" spans="1:30" ht="15.75" customHeight="1" x14ac:dyDescent="0.3">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row>
    <row r="340" spans="1:30" ht="15.75" customHeight="1" x14ac:dyDescent="0.3">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row>
    <row r="341" spans="1:30" ht="15.75" customHeight="1" x14ac:dyDescent="0.3">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row>
    <row r="342" spans="1:30" ht="15.75" customHeight="1" x14ac:dyDescent="0.3">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row>
    <row r="343" spans="1:30" ht="15.75" customHeight="1" x14ac:dyDescent="0.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row>
    <row r="344" spans="1:30" ht="15.75" customHeight="1" x14ac:dyDescent="0.3">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row>
    <row r="345" spans="1:30" ht="15.75" customHeight="1" x14ac:dyDescent="0.3">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row>
    <row r="346" spans="1:30" ht="15.75" customHeight="1" x14ac:dyDescent="0.3">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row>
    <row r="347" spans="1:30" ht="15.75" customHeight="1" x14ac:dyDescent="0.3">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row>
    <row r="348" spans="1:30" ht="15.75" customHeight="1" x14ac:dyDescent="0.3">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row>
    <row r="349" spans="1:30" ht="15.75" customHeight="1" x14ac:dyDescent="0.3">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row>
    <row r="350" spans="1:30" ht="15.75" customHeight="1" x14ac:dyDescent="0.3">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row>
    <row r="351" spans="1:30" ht="15.75" customHeight="1" x14ac:dyDescent="0.3">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row>
    <row r="352" spans="1:30" ht="15.75" customHeight="1" x14ac:dyDescent="0.3">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row>
    <row r="353" spans="1:30" ht="15.75" customHeight="1" x14ac:dyDescent="0.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row>
    <row r="354" spans="1:30" ht="15.75" customHeight="1" x14ac:dyDescent="0.3">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row>
    <row r="355" spans="1:30" ht="15.75" customHeight="1" x14ac:dyDescent="0.3">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row>
    <row r="356" spans="1:30" ht="15.75" customHeight="1" x14ac:dyDescent="0.3">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row>
    <row r="357" spans="1:30" ht="15.75" customHeight="1" x14ac:dyDescent="0.3">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row>
    <row r="358" spans="1:30" ht="15.75" customHeight="1" x14ac:dyDescent="0.3">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row>
    <row r="359" spans="1:30" ht="15.75" customHeight="1" x14ac:dyDescent="0.3">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row>
    <row r="360" spans="1:30" ht="15.75" customHeight="1" x14ac:dyDescent="0.3">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row>
    <row r="361" spans="1:30" ht="15.75" customHeight="1" x14ac:dyDescent="0.3">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row>
    <row r="362" spans="1:30" ht="15.75" customHeight="1" x14ac:dyDescent="0.3">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row>
    <row r="363" spans="1:30" ht="15.75" customHeight="1" x14ac:dyDescent="0.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row>
    <row r="364" spans="1:30" ht="15.75" customHeight="1" x14ac:dyDescent="0.3">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row>
    <row r="365" spans="1:30" ht="15.75" customHeight="1" x14ac:dyDescent="0.3">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row>
    <row r="366" spans="1:30" ht="15.75" customHeight="1" x14ac:dyDescent="0.3">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row>
    <row r="367" spans="1:30" ht="15.75" customHeight="1" x14ac:dyDescent="0.3">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row>
    <row r="368" spans="1:30" ht="15.75" customHeight="1" x14ac:dyDescent="0.3">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row>
    <row r="369" spans="1:30" ht="15.75" customHeight="1" x14ac:dyDescent="0.3">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row>
    <row r="370" spans="1:30" ht="15.75" customHeight="1" x14ac:dyDescent="0.3">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row>
    <row r="371" spans="1:30" ht="15.75" customHeight="1" x14ac:dyDescent="0.3">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row>
    <row r="372" spans="1:30" ht="15.75" customHeight="1" x14ac:dyDescent="0.3">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row>
    <row r="373" spans="1:30" ht="15.75" customHeight="1" x14ac:dyDescent="0.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row>
    <row r="374" spans="1:30" ht="15.75" customHeight="1" x14ac:dyDescent="0.3">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row>
    <row r="375" spans="1:30" ht="15.75" customHeight="1" x14ac:dyDescent="0.3">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row>
    <row r="376" spans="1:30" ht="15.75" customHeight="1" x14ac:dyDescent="0.3">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row>
    <row r="377" spans="1:30" ht="15.75" customHeight="1" x14ac:dyDescent="0.3">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row>
    <row r="378" spans="1:30" ht="15.75" customHeight="1" x14ac:dyDescent="0.3">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row>
    <row r="379" spans="1:30" ht="15.75" customHeight="1" x14ac:dyDescent="0.3">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row>
    <row r="380" spans="1:30" ht="15.75" customHeight="1" x14ac:dyDescent="0.3">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row>
    <row r="381" spans="1:30" ht="15.75" customHeight="1" x14ac:dyDescent="0.3">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row>
    <row r="382" spans="1:30" ht="15.75" customHeight="1" x14ac:dyDescent="0.3">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row>
    <row r="383" spans="1:30" ht="15.75" customHeight="1" x14ac:dyDescent="0.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row>
    <row r="384" spans="1:30" ht="15.75" customHeight="1" x14ac:dyDescent="0.3">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row>
    <row r="385" spans="1:30" ht="15.75" customHeight="1" x14ac:dyDescent="0.3">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row>
    <row r="386" spans="1:30" ht="15.75" customHeight="1" x14ac:dyDescent="0.3">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row>
    <row r="387" spans="1:30" ht="15.75" customHeight="1" x14ac:dyDescent="0.3">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row>
    <row r="388" spans="1:30" ht="15.75" customHeight="1" x14ac:dyDescent="0.3">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row>
    <row r="389" spans="1:30" ht="15.75" customHeight="1" x14ac:dyDescent="0.3">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row>
    <row r="390" spans="1:30" ht="15.75" customHeight="1" x14ac:dyDescent="0.3">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row>
    <row r="391" spans="1:30" ht="15.75" customHeight="1" x14ac:dyDescent="0.3">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row>
    <row r="392" spans="1:30" ht="15.75" customHeight="1" x14ac:dyDescent="0.3">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row>
    <row r="393" spans="1:30" ht="15.75" customHeight="1" x14ac:dyDescent="0.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row>
    <row r="394" spans="1:30" ht="15.75" customHeight="1" x14ac:dyDescent="0.3">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row>
    <row r="395" spans="1:30" ht="15.75" customHeight="1" x14ac:dyDescent="0.3">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row>
    <row r="396" spans="1:30" ht="15.75" customHeight="1" x14ac:dyDescent="0.3">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row>
    <row r="397" spans="1:30" ht="15.75" customHeight="1" x14ac:dyDescent="0.3">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row>
    <row r="398" spans="1:30" ht="15.75" customHeight="1" x14ac:dyDescent="0.3">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row>
    <row r="399" spans="1:30" ht="15.75" customHeight="1" x14ac:dyDescent="0.3">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row>
    <row r="400" spans="1:30" ht="15.75" customHeight="1" x14ac:dyDescent="0.3">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row>
    <row r="401" spans="1:30" ht="15.75" customHeight="1" x14ac:dyDescent="0.3">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row>
    <row r="402" spans="1:30" ht="15.75" customHeight="1" x14ac:dyDescent="0.3">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row>
    <row r="403" spans="1:30" ht="15.75" customHeight="1" x14ac:dyDescent="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row>
    <row r="404" spans="1:30" ht="15.75" customHeight="1" x14ac:dyDescent="0.3">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row>
    <row r="405" spans="1:30" ht="15.75" customHeight="1" x14ac:dyDescent="0.3">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row>
    <row r="406" spans="1:30" ht="15.75" customHeight="1" x14ac:dyDescent="0.3">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row>
    <row r="407" spans="1:30" ht="15.75" customHeight="1" x14ac:dyDescent="0.3">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row>
    <row r="408" spans="1:30" ht="15.75" customHeight="1" x14ac:dyDescent="0.3">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row>
    <row r="409" spans="1:30" ht="15.75" customHeight="1" x14ac:dyDescent="0.3">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row>
    <row r="410" spans="1:30" ht="15.75" customHeight="1" x14ac:dyDescent="0.3">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row>
    <row r="411" spans="1:30" ht="15.75" customHeight="1" x14ac:dyDescent="0.3">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row>
    <row r="412" spans="1:30" ht="15.75" customHeight="1" x14ac:dyDescent="0.3">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row>
    <row r="413" spans="1:30" ht="15.75" customHeight="1" x14ac:dyDescent="0.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row>
    <row r="414" spans="1:30" ht="15.75" customHeight="1" x14ac:dyDescent="0.3">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row>
    <row r="415" spans="1:30" ht="15.75" customHeight="1" x14ac:dyDescent="0.3">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row>
    <row r="416" spans="1:30" ht="15.75" customHeight="1" x14ac:dyDescent="0.3">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row>
    <row r="417" spans="1:30" ht="15.75" customHeight="1" x14ac:dyDescent="0.3">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row>
    <row r="418" spans="1:30" ht="15.75" customHeight="1" x14ac:dyDescent="0.3">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row>
    <row r="419" spans="1:30" ht="15.75" customHeight="1" x14ac:dyDescent="0.3">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row>
    <row r="420" spans="1:30" ht="15.75" customHeight="1" x14ac:dyDescent="0.3">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row>
    <row r="421" spans="1:30" ht="15.75" customHeight="1" x14ac:dyDescent="0.3">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row>
    <row r="422" spans="1:30" ht="15.75" customHeight="1" x14ac:dyDescent="0.3">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row>
    <row r="423" spans="1:30" ht="15.75" customHeight="1" x14ac:dyDescent="0.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row>
    <row r="424" spans="1:30" ht="15.75" customHeight="1" x14ac:dyDescent="0.3">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row>
    <row r="425" spans="1:30" ht="15.75" customHeight="1" x14ac:dyDescent="0.3">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row>
    <row r="426" spans="1:30" ht="15.75" customHeight="1" x14ac:dyDescent="0.3">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row>
    <row r="427" spans="1:30" ht="15.75" customHeight="1" x14ac:dyDescent="0.3">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row>
    <row r="428" spans="1:30" ht="15.75" customHeight="1" x14ac:dyDescent="0.3">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row>
    <row r="429" spans="1:30" ht="15.75" customHeight="1" x14ac:dyDescent="0.3">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row>
    <row r="430" spans="1:30" ht="15.75" customHeight="1" x14ac:dyDescent="0.3">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row>
    <row r="431" spans="1:30" ht="15.75" customHeight="1" x14ac:dyDescent="0.3">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row>
    <row r="432" spans="1:30" ht="15.75" customHeight="1" x14ac:dyDescent="0.3">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row>
    <row r="433" spans="1:30" ht="15.75" customHeight="1" x14ac:dyDescent="0.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row>
    <row r="434" spans="1:30" ht="15.75" customHeight="1" x14ac:dyDescent="0.3">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row>
    <row r="435" spans="1:30" ht="15.75" customHeight="1" x14ac:dyDescent="0.3">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row>
    <row r="436" spans="1:30" ht="15.75" customHeight="1" x14ac:dyDescent="0.3">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row>
    <row r="437" spans="1:30" ht="15.75" customHeight="1" x14ac:dyDescent="0.3">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row>
    <row r="438" spans="1:30" ht="15.75" customHeight="1" x14ac:dyDescent="0.3">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row>
    <row r="439" spans="1:30" ht="15.75" customHeight="1" x14ac:dyDescent="0.3">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row>
    <row r="440" spans="1:30" ht="15.75" customHeight="1" x14ac:dyDescent="0.3">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row>
    <row r="441" spans="1:30" ht="15.75" customHeight="1" x14ac:dyDescent="0.3">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row>
    <row r="442" spans="1:30" ht="15.75" customHeight="1" x14ac:dyDescent="0.3">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row>
    <row r="443" spans="1:30" ht="15.75" customHeight="1" x14ac:dyDescent="0.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row>
    <row r="444" spans="1:30" ht="15.75" customHeight="1" x14ac:dyDescent="0.3">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row>
    <row r="445" spans="1:30" ht="15.75" customHeight="1" x14ac:dyDescent="0.3">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row>
    <row r="446" spans="1:30" ht="15.75" customHeight="1" x14ac:dyDescent="0.3">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row>
    <row r="447" spans="1:30" ht="15.75" customHeight="1" x14ac:dyDescent="0.3">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row>
    <row r="448" spans="1:30" ht="15.75" customHeight="1" x14ac:dyDescent="0.3">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row>
    <row r="449" spans="1:30" ht="15.75" customHeight="1" x14ac:dyDescent="0.3">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row>
    <row r="450" spans="1:30" ht="15.75" customHeight="1" x14ac:dyDescent="0.3">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row>
    <row r="451" spans="1:30" ht="15.75" customHeight="1" x14ac:dyDescent="0.3">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row>
    <row r="452" spans="1:30" ht="15.75" customHeight="1" x14ac:dyDescent="0.3">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row>
    <row r="453" spans="1:30" ht="15.75" customHeight="1" x14ac:dyDescent="0.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row>
    <row r="454" spans="1:30" ht="15.75" customHeight="1" x14ac:dyDescent="0.3">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row>
    <row r="455" spans="1:30" ht="15.75" customHeight="1" x14ac:dyDescent="0.3">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row>
    <row r="456" spans="1:30" ht="15.75" customHeight="1" x14ac:dyDescent="0.3">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row>
    <row r="457" spans="1:30" ht="15.75" customHeight="1" x14ac:dyDescent="0.3">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row>
    <row r="458" spans="1:30" ht="15.75" customHeight="1" x14ac:dyDescent="0.3">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row>
    <row r="459" spans="1:30" ht="15.75" customHeight="1" x14ac:dyDescent="0.3">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row>
    <row r="460" spans="1:30" ht="15.75" customHeight="1" x14ac:dyDescent="0.3">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row>
    <row r="461" spans="1:30" ht="15.75" customHeight="1" x14ac:dyDescent="0.3">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row>
    <row r="462" spans="1:30" ht="15.75" customHeight="1" x14ac:dyDescent="0.3">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row>
    <row r="463" spans="1:30" ht="15.75" customHeight="1" x14ac:dyDescent="0.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row>
    <row r="464" spans="1:30" ht="15.75" customHeight="1" x14ac:dyDescent="0.3">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row>
    <row r="465" spans="1:30" ht="15.75" customHeight="1" x14ac:dyDescent="0.3">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row>
    <row r="466" spans="1:30" ht="15.75" customHeight="1" x14ac:dyDescent="0.3">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row>
    <row r="467" spans="1:30" ht="15.75" customHeight="1" x14ac:dyDescent="0.3">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row>
    <row r="468" spans="1:30" ht="15.75" customHeight="1" x14ac:dyDescent="0.3">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row>
    <row r="469" spans="1:30" ht="15.75" customHeight="1" x14ac:dyDescent="0.3">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row>
    <row r="470" spans="1:30" ht="15.75" customHeight="1" x14ac:dyDescent="0.3">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row>
    <row r="471" spans="1:30" ht="15.75" customHeight="1" x14ac:dyDescent="0.3">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row>
    <row r="472" spans="1:30" ht="15.75" customHeight="1" x14ac:dyDescent="0.3">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row>
    <row r="473" spans="1:30" ht="15.75" customHeight="1" x14ac:dyDescent="0.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row>
    <row r="474" spans="1:30" ht="15.75" customHeight="1" x14ac:dyDescent="0.3">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row>
    <row r="475" spans="1:30" ht="15.75" customHeight="1" x14ac:dyDescent="0.3">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row>
    <row r="476" spans="1:30" ht="15.75" customHeight="1" x14ac:dyDescent="0.3">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row>
    <row r="477" spans="1:30" ht="15.75" customHeight="1" x14ac:dyDescent="0.3">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row>
    <row r="478" spans="1:30" ht="15.75" customHeight="1" x14ac:dyDescent="0.3">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row>
    <row r="479" spans="1:30" ht="15.75" customHeight="1" x14ac:dyDescent="0.3">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row>
    <row r="480" spans="1:30" ht="15.75" customHeight="1" x14ac:dyDescent="0.3">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row>
    <row r="481" spans="1:30" ht="15.75" customHeight="1" x14ac:dyDescent="0.3">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row>
    <row r="482" spans="1:30" ht="15.75" customHeight="1" x14ac:dyDescent="0.3">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row>
    <row r="483" spans="1:30" ht="15.75" customHeight="1" x14ac:dyDescent="0.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row>
    <row r="484" spans="1:30" ht="15.75" customHeight="1" x14ac:dyDescent="0.3">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row>
    <row r="485" spans="1:30" ht="15.75" customHeight="1" x14ac:dyDescent="0.3">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row>
    <row r="486" spans="1:30" ht="15.75" customHeight="1" x14ac:dyDescent="0.3">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row>
    <row r="487" spans="1:30" ht="15.75" customHeight="1" x14ac:dyDescent="0.3">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row>
    <row r="488" spans="1:30" ht="15.75" customHeight="1" x14ac:dyDescent="0.3">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row>
    <row r="489" spans="1:30" ht="15.75" customHeight="1" x14ac:dyDescent="0.3">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row>
    <row r="490" spans="1:30" ht="15.75" customHeight="1" x14ac:dyDescent="0.3">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row>
    <row r="491" spans="1:30" ht="15.75" customHeight="1" x14ac:dyDescent="0.3">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row>
    <row r="492" spans="1:30" ht="15.75" customHeight="1" x14ac:dyDescent="0.3">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row>
    <row r="493" spans="1:30" ht="15.75" customHeight="1" x14ac:dyDescent="0.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row>
    <row r="494" spans="1:30" ht="15.75" customHeight="1" x14ac:dyDescent="0.3">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row>
    <row r="495" spans="1:30" ht="15.75" customHeight="1" x14ac:dyDescent="0.3">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row>
    <row r="496" spans="1:30" ht="15.75" customHeight="1" x14ac:dyDescent="0.3">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row>
    <row r="497" spans="1:30" ht="15.75" customHeight="1" x14ac:dyDescent="0.3">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row>
    <row r="498" spans="1:30" ht="15.75" customHeight="1" x14ac:dyDescent="0.3">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row>
    <row r="499" spans="1:30" ht="15.75" customHeight="1" x14ac:dyDescent="0.3">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row>
    <row r="500" spans="1:30" ht="15.75" customHeight="1" x14ac:dyDescent="0.3">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row>
    <row r="501" spans="1:30" ht="15.75" customHeight="1" x14ac:dyDescent="0.3">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row>
    <row r="502" spans="1:30" ht="15.75" customHeight="1" x14ac:dyDescent="0.3">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row>
    <row r="503" spans="1:30" ht="15.75" customHeight="1" x14ac:dyDescent="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row>
    <row r="504" spans="1:30" ht="15.75" customHeight="1" x14ac:dyDescent="0.3">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row>
    <row r="505" spans="1:30" ht="15.75" customHeight="1" x14ac:dyDescent="0.3">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row>
    <row r="506" spans="1:30" ht="15.75" customHeight="1" x14ac:dyDescent="0.3">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row>
    <row r="507" spans="1:30" ht="15.75" customHeight="1" x14ac:dyDescent="0.3">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row>
    <row r="508" spans="1:30" ht="15.75" customHeight="1" x14ac:dyDescent="0.3">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row>
    <row r="509" spans="1:30" ht="15.75" customHeight="1" x14ac:dyDescent="0.3">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row>
    <row r="510" spans="1:30" ht="15.75" customHeight="1" x14ac:dyDescent="0.3">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row>
    <row r="511" spans="1:30" ht="15.75" customHeight="1" x14ac:dyDescent="0.3">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row>
    <row r="512" spans="1:30" ht="15.75" customHeight="1" x14ac:dyDescent="0.3">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row>
    <row r="513" spans="1:30" ht="15.75" customHeight="1" x14ac:dyDescent="0.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row>
    <row r="514" spans="1:30" ht="15.75" customHeight="1" x14ac:dyDescent="0.3">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row>
    <row r="515" spans="1:30" ht="15.75" customHeight="1" x14ac:dyDescent="0.3">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row>
    <row r="516" spans="1:30" ht="15.75" customHeight="1" x14ac:dyDescent="0.3">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row>
    <row r="517" spans="1:30" ht="15.75" customHeight="1" x14ac:dyDescent="0.3">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row>
    <row r="518" spans="1:30" ht="15.75" customHeight="1" x14ac:dyDescent="0.3">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row>
    <row r="519" spans="1:30" ht="15.75" customHeight="1" x14ac:dyDescent="0.3">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row>
    <row r="520" spans="1:30" ht="15.75" customHeight="1" x14ac:dyDescent="0.3">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row>
    <row r="521" spans="1:30" ht="15.75" customHeight="1" x14ac:dyDescent="0.3">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row>
    <row r="522" spans="1:30" ht="15.75" customHeight="1" x14ac:dyDescent="0.3">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row>
    <row r="523" spans="1:30" ht="15.75" customHeight="1" x14ac:dyDescent="0.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row>
    <row r="524" spans="1:30" ht="15.75" customHeight="1" x14ac:dyDescent="0.3">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row>
    <row r="525" spans="1:30" ht="15.75" customHeight="1" x14ac:dyDescent="0.3">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row>
    <row r="526" spans="1:30" ht="15.75" customHeight="1" x14ac:dyDescent="0.3">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row>
    <row r="527" spans="1:30" ht="15.75" customHeight="1" x14ac:dyDescent="0.3">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row>
    <row r="528" spans="1:30" ht="15.75" customHeight="1" x14ac:dyDescent="0.3">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row>
    <row r="529" spans="1:30" ht="15.75" customHeight="1" x14ac:dyDescent="0.3">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row>
    <row r="530" spans="1:30" ht="15.75" customHeight="1" x14ac:dyDescent="0.3">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row>
    <row r="531" spans="1:30" ht="15.75" customHeight="1" x14ac:dyDescent="0.3">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row>
    <row r="532" spans="1:30" ht="15.75" customHeight="1" x14ac:dyDescent="0.3">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row>
    <row r="533" spans="1:30" ht="15.75" customHeight="1" x14ac:dyDescent="0.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row>
    <row r="534" spans="1:30" ht="15.75" customHeight="1" x14ac:dyDescent="0.3">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row>
    <row r="535" spans="1:30" ht="15.75" customHeight="1" x14ac:dyDescent="0.3">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row>
    <row r="536" spans="1:30" ht="15.75" customHeight="1" x14ac:dyDescent="0.3">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row>
    <row r="537" spans="1:30" ht="15.75" customHeight="1" x14ac:dyDescent="0.3">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row>
    <row r="538" spans="1:30" ht="15.75" customHeight="1" x14ac:dyDescent="0.3">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row>
    <row r="539" spans="1:30" ht="15.75" customHeight="1" x14ac:dyDescent="0.3">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row>
    <row r="540" spans="1:30" ht="15.75" customHeight="1" x14ac:dyDescent="0.3">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row>
    <row r="541" spans="1:30" ht="15.75" customHeight="1" x14ac:dyDescent="0.3">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row>
    <row r="542" spans="1:30" ht="15.75" customHeight="1" x14ac:dyDescent="0.3">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row>
    <row r="543" spans="1:30" ht="15.75" customHeight="1" x14ac:dyDescent="0.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row>
    <row r="544" spans="1:30" ht="15.75" customHeight="1" x14ac:dyDescent="0.3">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row>
    <row r="545" spans="1:30" ht="15.75" customHeight="1" x14ac:dyDescent="0.3">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row>
    <row r="546" spans="1:30" ht="15.75" customHeight="1" x14ac:dyDescent="0.3">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row>
    <row r="547" spans="1:30" ht="15.75" customHeight="1" x14ac:dyDescent="0.3">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row>
    <row r="548" spans="1:30" ht="15.75" customHeight="1" x14ac:dyDescent="0.3">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row>
    <row r="549" spans="1:30" ht="15.75" customHeight="1" x14ac:dyDescent="0.3">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row>
    <row r="550" spans="1:30" ht="15.75" customHeight="1" x14ac:dyDescent="0.3">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row>
    <row r="551" spans="1:30" ht="15.75" customHeight="1" x14ac:dyDescent="0.3">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row>
    <row r="552" spans="1:30" ht="15.75" customHeight="1" x14ac:dyDescent="0.3">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row>
    <row r="553" spans="1:30" ht="15.75" customHeight="1" x14ac:dyDescent="0.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row>
    <row r="554" spans="1:30" ht="15.75" customHeight="1" x14ac:dyDescent="0.3">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row>
    <row r="555" spans="1:30" ht="15.75" customHeight="1" x14ac:dyDescent="0.3">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row>
    <row r="556" spans="1:30" ht="15.75" customHeight="1" x14ac:dyDescent="0.3">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row>
    <row r="557" spans="1:30" ht="15.75" customHeight="1" x14ac:dyDescent="0.3">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row>
    <row r="558" spans="1:30" ht="15.75" customHeight="1" x14ac:dyDescent="0.3">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row>
    <row r="559" spans="1:30" ht="15.75" customHeight="1" x14ac:dyDescent="0.3">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row>
    <row r="560" spans="1:30" ht="15.75" customHeight="1" x14ac:dyDescent="0.3">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row>
    <row r="561" spans="1:30" ht="15.75" customHeight="1" x14ac:dyDescent="0.3">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row>
    <row r="562" spans="1:30" ht="15.75" customHeight="1" x14ac:dyDescent="0.3">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row>
    <row r="563" spans="1:30" ht="15.75" customHeight="1" x14ac:dyDescent="0.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row>
    <row r="564" spans="1:30" ht="15.75" customHeight="1" x14ac:dyDescent="0.3">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row>
    <row r="565" spans="1:30" ht="15.75" customHeight="1" x14ac:dyDescent="0.3">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row>
    <row r="566" spans="1:30" ht="15.75" customHeight="1" x14ac:dyDescent="0.3">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row>
    <row r="567" spans="1:30" ht="15.75" customHeight="1" x14ac:dyDescent="0.3">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row>
    <row r="568" spans="1:30" ht="15.75" customHeight="1" x14ac:dyDescent="0.3">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row>
    <row r="569" spans="1:30" ht="15.75" customHeight="1" x14ac:dyDescent="0.3">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row>
    <row r="570" spans="1:30" ht="15.75" customHeight="1" x14ac:dyDescent="0.3">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row>
    <row r="571" spans="1:30" ht="15.75" customHeight="1" x14ac:dyDescent="0.3">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row>
    <row r="572" spans="1:30" ht="15.75" customHeight="1" x14ac:dyDescent="0.3">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row>
    <row r="573" spans="1:30" ht="15.75" customHeight="1" x14ac:dyDescent="0.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row>
    <row r="574" spans="1:30" ht="15.75" customHeight="1" x14ac:dyDescent="0.3">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row>
    <row r="575" spans="1:30" ht="15.75" customHeight="1" x14ac:dyDescent="0.3">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row>
    <row r="576" spans="1:30" ht="15.75" customHeight="1" x14ac:dyDescent="0.3">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row>
    <row r="577" spans="1:30" ht="15.75" customHeight="1" x14ac:dyDescent="0.3">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row>
    <row r="578" spans="1:30" ht="15.75" customHeight="1" x14ac:dyDescent="0.3">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row>
    <row r="579" spans="1:30" ht="15.75" customHeight="1" x14ac:dyDescent="0.3">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row>
    <row r="580" spans="1:30" ht="15.75" customHeight="1" x14ac:dyDescent="0.3">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row>
    <row r="581" spans="1:30" ht="15.75" customHeight="1" x14ac:dyDescent="0.3">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row>
    <row r="582" spans="1:30" ht="15.75" customHeight="1" x14ac:dyDescent="0.3">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row>
    <row r="583" spans="1:30" ht="15.75" customHeight="1" x14ac:dyDescent="0.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row>
    <row r="584" spans="1:30" ht="15.75" customHeight="1" x14ac:dyDescent="0.3">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row>
    <row r="585" spans="1:30" ht="15.75" customHeight="1" x14ac:dyDescent="0.3">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row>
    <row r="586" spans="1:30" ht="15.75" customHeight="1" x14ac:dyDescent="0.3">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row>
    <row r="587" spans="1:30" ht="15.75" customHeight="1" x14ac:dyDescent="0.3">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row>
    <row r="588" spans="1:30" ht="15.75" customHeight="1" x14ac:dyDescent="0.3">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row>
    <row r="589" spans="1:30" ht="15.75" customHeight="1" x14ac:dyDescent="0.3">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row>
    <row r="590" spans="1:30" ht="15.75" customHeight="1" x14ac:dyDescent="0.3">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row>
    <row r="591" spans="1:30" ht="15.75" customHeight="1" x14ac:dyDescent="0.3">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row>
    <row r="592" spans="1:30" ht="15.75" customHeight="1" x14ac:dyDescent="0.3">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row>
    <row r="593" spans="1:30" ht="15.75" customHeight="1" x14ac:dyDescent="0.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row>
    <row r="594" spans="1:30" ht="15.75" customHeight="1" x14ac:dyDescent="0.3">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row>
    <row r="595" spans="1:30" ht="15.75" customHeight="1" x14ac:dyDescent="0.3">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row>
    <row r="596" spans="1:30" ht="15.75" customHeight="1" x14ac:dyDescent="0.3">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row>
    <row r="597" spans="1:30" ht="15.75" customHeight="1" x14ac:dyDescent="0.3">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row>
    <row r="598" spans="1:30" ht="15.75" customHeight="1" x14ac:dyDescent="0.3">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row>
    <row r="599" spans="1:30" ht="15.75" customHeight="1" x14ac:dyDescent="0.3">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row>
    <row r="600" spans="1:30" ht="15.75" customHeight="1" x14ac:dyDescent="0.3">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row>
    <row r="601" spans="1:30" ht="15.75" customHeight="1" x14ac:dyDescent="0.3">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row>
    <row r="602" spans="1:30" ht="15.75" customHeight="1" x14ac:dyDescent="0.3">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row>
    <row r="603" spans="1:30" ht="15.75" customHeight="1" x14ac:dyDescent="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row>
    <row r="604" spans="1:30" ht="15.75" customHeight="1" x14ac:dyDescent="0.3">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row>
    <row r="605" spans="1:30" ht="15.75" customHeight="1" x14ac:dyDescent="0.3">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row>
    <row r="606" spans="1:30" ht="15.75" customHeight="1" x14ac:dyDescent="0.3">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row>
    <row r="607" spans="1:30" ht="15.75" customHeight="1" x14ac:dyDescent="0.3">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row>
    <row r="608" spans="1:30" ht="15.75" customHeight="1" x14ac:dyDescent="0.3">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row>
    <row r="609" spans="1:30" ht="15.75" customHeight="1" x14ac:dyDescent="0.3">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row>
    <row r="610" spans="1:30" ht="15.75" customHeight="1" x14ac:dyDescent="0.3">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row>
    <row r="611" spans="1:30" ht="15.75" customHeight="1" x14ac:dyDescent="0.3">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row>
    <row r="612" spans="1:30" ht="15.75" customHeight="1" x14ac:dyDescent="0.3">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row>
    <row r="613" spans="1:30" ht="15.75" customHeight="1" x14ac:dyDescent="0.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row>
    <row r="614" spans="1:30" ht="15.75" customHeight="1" x14ac:dyDescent="0.3">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row>
    <row r="615" spans="1:30" ht="15.75" customHeight="1" x14ac:dyDescent="0.3">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row>
    <row r="616" spans="1:30" ht="15.75" customHeight="1" x14ac:dyDescent="0.3">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row>
    <row r="617" spans="1:30" ht="15.75" customHeight="1" x14ac:dyDescent="0.3">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row>
    <row r="618" spans="1:30" ht="15.75" customHeight="1" x14ac:dyDescent="0.3">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row>
    <row r="619" spans="1:30" ht="15.75" customHeight="1" x14ac:dyDescent="0.3">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row>
    <row r="620" spans="1:30" ht="15.75" customHeight="1" x14ac:dyDescent="0.3">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row>
    <row r="621" spans="1:30" ht="15.75" customHeight="1" x14ac:dyDescent="0.3">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row>
    <row r="622" spans="1:30" ht="15.75" customHeight="1" x14ac:dyDescent="0.3">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row>
    <row r="623" spans="1:30" ht="15.75" customHeight="1" x14ac:dyDescent="0.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row>
    <row r="624" spans="1:30" ht="15.75" customHeight="1" x14ac:dyDescent="0.3">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row>
    <row r="625" spans="1:30" ht="15.75" customHeight="1" x14ac:dyDescent="0.3">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row>
    <row r="626" spans="1:30" ht="15.75" customHeight="1" x14ac:dyDescent="0.3">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row>
    <row r="627" spans="1:30" ht="15.75" customHeight="1" x14ac:dyDescent="0.3">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row>
    <row r="628" spans="1:30" ht="15.75" customHeight="1" x14ac:dyDescent="0.3">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row>
    <row r="629" spans="1:30" ht="15.75" customHeight="1" x14ac:dyDescent="0.3">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row>
    <row r="630" spans="1:30" ht="15.75" customHeight="1" x14ac:dyDescent="0.3">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row>
    <row r="631" spans="1:30" ht="15.75" customHeight="1" x14ac:dyDescent="0.3">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row>
    <row r="632" spans="1:30" ht="15.75" customHeight="1" x14ac:dyDescent="0.3">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row>
    <row r="633" spans="1:30" ht="15.75" customHeight="1" x14ac:dyDescent="0.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row>
    <row r="634" spans="1:30" ht="15.75" customHeight="1" x14ac:dyDescent="0.3">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row>
    <row r="635" spans="1:30" ht="15.75" customHeight="1" x14ac:dyDescent="0.3">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row>
    <row r="636" spans="1:30" ht="15.75" customHeight="1" x14ac:dyDescent="0.3">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row>
    <row r="637" spans="1:30" ht="15.75" customHeight="1" x14ac:dyDescent="0.3">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row>
    <row r="638" spans="1:30" ht="15.75" customHeight="1" x14ac:dyDescent="0.3">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row>
    <row r="639" spans="1:30" ht="15.75" customHeight="1" x14ac:dyDescent="0.3">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row>
    <row r="640" spans="1:30" ht="15.75" customHeight="1" x14ac:dyDescent="0.3">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row>
    <row r="641" spans="1:30" ht="15.75" customHeight="1" x14ac:dyDescent="0.3">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row>
    <row r="642" spans="1:30" ht="15.75" customHeight="1" x14ac:dyDescent="0.3">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row>
    <row r="643" spans="1:30" ht="15.75" customHeight="1" x14ac:dyDescent="0.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row>
    <row r="644" spans="1:30" ht="15.75" customHeight="1" x14ac:dyDescent="0.3">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row>
    <row r="645" spans="1:30" ht="15.75" customHeight="1" x14ac:dyDescent="0.3">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row>
    <row r="646" spans="1:30" ht="15.75" customHeight="1" x14ac:dyDescent="0.3">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row>
    <row r="647" spans="1:30" ht="15.75" customHeight="1" x14ac:dyDescent="0.3">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row>
    <row r="648" spans="1:30" ht="15.75" customHeight="1" x14ac:dyDescent="0.3">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row>
    <row r="649" spans="1:30" ht="15.75" customHeight="1" x14ac:dyDescent="0.3">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row>
    <row r="650" spans="1:30" ht="15.75" customHeight="1" x14ac:dyDescent="0.3">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row>
    <row r="651" spans="1:30" ht="15.75" customHeight="1" x14ac:dyDescent="0.3">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row>
    <row r="652" spans="1:30" ht="15.75" customHeight="1" x14ac:dyDescent="0.3">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row>
    <row r="653" spans="1:30" ht="15.75" customHeight="1" x14ac:dyDescent="0.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row>
    <row r="654" spans="1:30" ht="15.75" customHeight="1" x14ac:dyDescent="0.3">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row>
    <row r="655" spans="1:30" ht="15.75" customHeight="1" x14ac:dyDescent="0.3">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row>
    <row r="656" spans="1:30" ht="15.75" customHeight="1" x14ac:dyDescent="0.3">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row>
    <row r="657" spans="1:30" ht="15.75" customHeight="1" x14ac:dyDescent="0.3">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row>
    <row r="658" spans="1:30" ht="15.75" customHeight="1" x14ac:dyDescent="0.3">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row>
    <row r="659" spans="1:30" ht="15.75" customHeight="1" x14ac:dyDescent="0.3">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row>
    <row r="660" spans="1:30" ht="15.75" customHeight="1" x14ac:dyDescent="0.3">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row>
    <row r="661" spans="1:30" ht="15.75" customHeight="1" x14ac:dyDescent="0.3">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row>
    <row r="662" spans="1:30" ht="15.75" customHeight="1" x14ac:dyDescent="0.3">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row>
    <row r="663" spans="1:30" ht="15.75" customHeight="1" x14ac:dyDescent="0.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row>
    <row r="664" spans="1:30" ht="15.75" customHeight="1" x14ac:dyDescent="0.3">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row>
    <row r="665" spans="1:30" ht="15.75" customHeight="1" x14ac:dyDescent="0.3">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row>
    <row r="666" spans="1:30" ht="15.75" customHeight="1" x14ac:dyDescent="0.3">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row>
    <row r="667" spans="1:30" ht="15.75" customHeight="1" x14ac:dyDescent="0.3">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row>
    <row r="668" spans="1:30" ht="15.75" customHeight="1" x14ac:dyDescent="0.3">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row>
    <row r="669" spans="1:30" ht="15.75" customHeight="1" x14ac:dyDescent="0.3">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row>
    <row r="670" spans="1:30" ht="15.75" customHeight="1" x14ac:dyDescent="0.3">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row>
    <row r="671" spans="1:30" ht="15.75" customHeight="1" x14ac:dyDescent="0.3">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row>
    <row r="672" spans="1:30" ht="15.75" customHeight="1" x14ac:dyDescent="0.3">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row>
    <row r="673" spans="1:30" ht="15.75" customHeight="1" x14ac:dyDescent="0.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row>
    <row r="674" spans="1:30" ht="15.75" customHeight="1" x14ac:dyDescent="0.3">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row>
    <row r="675" spans="1:30" ht="15.75" customHeight="1" x14ac:dyDescent="0.3">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row>
    <row r="676" spans="1:30" ht="15.75" customHeight="1" x14ac:dyDescent="0.3">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row>
    <row r="677" spans="1:30" ht="15.75" customHeight="1" x14ac:dyDescent="0.3">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row>
    <row r="678" spans="1:30" ht="15.75" customHeight="1" x14ac:dyDescent="0.3">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row>
    <row r="679" spans="1:30" ht="15.75" customHeight="1" x14ac:dyDescent="0.3">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row>
    <row r="680" spans="1:30" ht="15.75" customHeight="1" x14ac:dyDescent="0.3">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row>
    <row r="681" spans="1:30" ht="15.75" customHeight="1" x14ac:dyDescent="0.3">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row>
    <row r="682" spans="1:30" ht="15.75" customHeight="1" x14ac:dyDescent="0.3">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row>
    <row r="683" spans="1:30" ht="15.75" customHeight="1" x14ac:dyDescent="0.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row>
    <row r="684" spans="1:30" ht="15.75" customHeight="1" x14ac:dyDescent="0.3">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row>
    <row r="685" spans="1:30" ht="15.75" customHeight="1" x14ac:dyDescent="0.3">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row>
    <row r="686" spans="1:30" ht="15.75" customHeight="1" x14ac:dyDescent="0.3">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row>
    <row r="687" spans="1:30" ht="15.75" customHeight="1" x14ac:dyDescent="0.3">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row>
    <row r="688" spans="1:30" ht="15.75" customHeight="1" x14ac:dyDescent="0.3">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row>
    <row r="689" spans="1:30" ht="15.75" customHeight="1" x14ac:dyDescent="0.3">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row>
    <row r="690" spans="1:30" ht="15.75" customHeight="1" x14ac:dyDescent="0.3">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row>
    <row r="691" spans="1:30" ht="15.75" customHeight="1" x14ac:dyDescent="0.3">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row>
    <row r="692" spans="1:30" ht="15.75" customHeight="1" x14ac:dyDescent="0.3">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row>
    <row r="693" spans="1:30" ht="15.75" customHeight="1" x14ac:dyDescent="0.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row>
    <row r="694" spans="1:30" ht="15.75" customHeight="1" x14ac:dyDescent="0.3">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row>
    <row r="695" spans="1:30" ht="15.75" customHeight="1" x14ac:dyDescent="0.3">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row>
    <row r="696" spans="1:30" ht="15.75" customHeight="1" x14ac:dyDescent="0.3">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row>
    <row r="697" spans="1:30" ht="15.75" customHeight="1" x14ac:dyDescent="0.3">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row>
    <row r="698" spans="1:30" ht="15.75" customHeight="1" x14ac:dyDescent="0.3">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row>
    <row r="699" spans="1:30" ht="15.75" customHeight="1" x14ac:dyDescent="0.3">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row>
    <row r="700" spans="1:30" ht="15.75" customHeight="1" x14ac:dyDescent="0.3">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row>
    <row r="701" spans="1:30" ht="15.75" customHeight="1" x14ac:dyDescent="0.3">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row>
    <row r="702" spans="1:30" ht="15.75" customHeight="1" x14ac:dyDescent="0.3">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row>
    <row r="703" spans="1:30" ht="15.75" customHeight="1" x14ac:dyDescent="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row>
    <row r="704" spans="1:30" ht="15.75" customHeight="1" x14ac:dyDescent="0.3">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row>
    <row r="705" spans="1:30" ht="15.75" customHeight="1" x14ac:dyDescent="0.3">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row>
    <row r="706" spans="1:30" ht="15.75" customHeight="1" x14ac:dyDescent="0.3">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row>
    <row r="707" spans="1:30" ht="15.75" customHeight="1" x14ac:dyDescent="0.3">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row>
    <row r="708" spans="1:30" ht="15.75" customHeight="1" x14ac:dyDescent="0.3">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row>
    <row r="709" spans="1:30" ht="15.75" customHeight="1" x14ac:dyDescent="0.3">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row>
    <row r="710" spans="1:30" ht="15.75" customHeight="1" x14ac:dyDescent="0.3">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row>
    <row r="711" spans="1:30" ht="15.75" customHeight="1" x14ac:dyDescent="0.3">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row>
    <row r="712" spans="1:30" ht="15.75" customHeight="1" x14ac:dyDescent="0.3">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row>
    <row r="713" spans="1:30" ht="15.75" customHeight="1" x14ac:dyDescent="0.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row>
    <row r="714" spans="1:30" ht="15.75" customHeight="1" x14ac:dyDescent="0.3">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row>
    <row r="715" spans="1:30" ht="15.75" customHeight="1" x14ac:dyDescent="0.3">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row>
    <row r="716" spans="1:30" ht="15.75" customHeight="1" x14ac:dyDescent="0.3">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row>
    <row r="717" spans="1:30" ht="15.75" customHeight="1" x14ac:dyDescent="0.3">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row>
    <row r="718" spans="1:30" ht="15.75" customHeight="1" x14ac:dyDescent="0.3">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row>
    <row r="719" spans="1:30" ht="15.75" customHeight="1" x14ac:dyDescent="0.3">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row>
    <row r="720" spans="1:30" ht="15.75" customHeight="1" x14ac:dyDescent="0.3">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row>
    <row r="721" spans="1:30" ht="15.75" customHeight="1" x14ac:dyDescent="0.3">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row>
    <row r="722" spans="1:30" ht="15.75" customHeight="1" x14ac:dyDescent="0.3">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row>
    <row r="723" spans="1:30" ht="15.75" customHeight="1" x14ac:dyDescent="0.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row>
    <row r="724" spans="1:30" ht="15.75" customHeight="1" x14ac:dyDescent="0.3">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row>
    <row r="725" spans="1:30" ht="15.75" customHeight="1" x14ac:dyDescent="0.3">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row>
    <row r="726" spans="1:30" ht="15.75" customHeight="1" x14ac:dyDescent="0.3">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row>
    <row r="727" spans="1:30" ht="15.75" customHeight="1" x14ac:dyDescent="0.3">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row>
    <row r="728" spans="1:30" ht="15.75" customHeight="1" x14ac:dyDescent="0.3">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row>
    <row r="729" spans="1:30" ht="15.75" customHeight="1" x14ac:dyDescent="0.3">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row>
    <row r="730" spans="1:30" ht="15.75" customHeight="1" x14ac:dyDescent="0.3">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row>
    <row r="731" spans="1:30" ht="15.75" customHeight="1" x14ac:dyDescent="0.3">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row>
    <row r="732" spans="1:30" ht="15.75" customHeight="1" x14ac:dyDescent="0.3">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row>
    <row r="733" spans="1:30" ht="15.75" customHeight="1" x14ac:dyDescent="0.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row>
    <row r="734" spans="1:30" ht="15.75" customHeight="1" x14ac:dyDescent="0.3">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row>
    <row r="735" spans="1:30" ht="15.75" customHeight="1" x14ac:dyDescent="0.3">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row>
    <row r="736" spans="1:30" ht="15.75" customHeight="1" x14ac:dyDescent="0.3">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row>
    <row r="737" spans="1:30" ht="15.75" customHeight="1" x14ac:dyDescent="0.3">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row>
    <row r="738" spans="1:30" ht="15.75" customHeight="1" x14ac:dyDescent="0.3">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row>
    <row r="739" spans="1:30" ht="15.75" customHeight="1" x14ac:dyDescent="0.3">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row>
    <row r="740" spans="1:30" ht="15.75" customHeight="1" x14ac:dyDescent="0.3">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row>
    <row r="741" spans="1:30" ht="15.75" customHeight="1" x14ac:dyDescent="0.3">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row>
    <row r="742" spans="1:30" ht="15.75" customHeight="1" x14ac:dyDescent="0.3">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row>
    <row r="743" spans="1:30" ht="15.75" customHeight="1" x14ac:dyDescent="0.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row>
    <row r="744" spans="1:30" ht="15.75" customHeight="1" x14ac:dyDescent="0.3">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row>
    <row r="745" spans="1:30" ht="15.75" customHeight="1" x14ac:dyDescent="0.3">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row>
    <row r="746" spans="1:30" ht="15.75" customHeight="1" x14ac:dyDescent="0.3">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row>
    <row r="747" spans="1:30" ht="15.75" customHeight="1" x14ac:dyDescent="0.3">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row>
    <row r="748" spans="1:30" ht="15.75" customHeight="1" x14ac:dyDescent="0.3">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row>
    <row r="749" spans="1:30" ht="15.75" customHeight="1" x14ac:dyDescent="0.3">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row>
    <row r="750" spans="1:30" ht="15.75" customHeight="1" x14ac:dyDescent="0.3">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row>
    <row r="751" spans="1:30" ht="15.75" customHeight="1" x14ac:dyDescent="0.3">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row>
    <row r="752" spans="1:30" ht="15.75" customHeight="1" x14ac:dyDescent="0.3">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row>
    <row r="753" spans="1:30" ht="15.75" customHeight="1" x14ac:dyDescent="0.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row>
    <row r="754" spans="1:30" ht="15.75" customHeight="1" x14ac:dyDescent="0.3">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row>
    <row r="755" spans="1:30" ht="15.75" customHeight="1" x14ac:dyDescent="0.3">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row>
    <row r="756" spans="1:30" ht="15.75" customHeight="1" x14ac:dyDescent="0.3">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row>
    <row r="757" spans="1:30" ht="15.75" customHeight="1" x14ac:dyDescent="0.3">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row>
    <row r="758" spans="1:30" ht="15.75" customHeight="1" x14ac:dyDescent="0.3">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row>
    <row r="759" spans="1:30" ht="15.75" customHeight="1" x14ac:dyDescent="0.3">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row>
    <row r="760" spans="1:30" ht="15.75" customHeight="1" x14ac:dyDescent="0.3">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row>
    <row r="761" spans="1:30" ht="15.75" customHeight="1" x14ac:dyDescent="0.3">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row>
    <row r="762" spans="1:30" ht="15.75" customHeight="1" x14ac:dyDescent="0.3">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row>
    <row r="763" spans="1:30" ht="15.75" customHeight="1" x14ac:dyDescent="0.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row>
    <row r="764" spans="1:30" ht="15.75" customHeight="1" x14ac:dyDescent="0.3">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row>
    <row r="765" spans="1:30" ht="15.75" customHeight="1" x14ac:dyDescent="0.3">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row>
    <row r="766" spans="1:30" ht="15.75" customHeight="1" x14ac:dyDescent="0.3">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row>
    <row r="767" spans="1:30" ht="15.75" customHeight="1" x14ac:dyDescent="0.3">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row>
    <row r="768" spans="1:30" ht="15.75" customHeight="1" x14ac:dyDescent="0.3">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row>
    <row r="769" spans="1:30" ht="15.75" customHeight="1" x14ac:dyDescent="0.3">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row>
    <row r="770" spans="1:30" ht="15.75" customHeight="1" x14ac:dyDescent="0.3">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row>
    <row r="771" spans="1:30" ht="15.75" customHeight="1" x14ac:dyDescent="0.3">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row>
    <row r="772" spans="1:30" ht="15.75" customHeight="1" x14ac:dyDescent="0.3">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row>
    <row r="773" spans="1:30" ht="15.75" customHeight="1" x14ac:dyDescent="0.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row>
    <row r="774" spans="1:30" ht="15.75" customHeight="1" x14ac:dyDescent="0.3">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row>
    <row r="775" spans="1:30" ht="15.75" customHeight="1" x14ac:dyDescent="0.3">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row>
    <row r="776" spans="1:30" ht="15.75" customHeight="1" x14ac:dyDescent="0.3">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row>
    <row r="777" spans="1:30" ht="15.75" customHeight="1" x14ac:dyDescent="0.3">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row>
    <row r="778" spans="1:30" ht="15.75" customHeight="1" x14ac:dyDescent="0.3">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row>
    <row r="779" spans="1:30" ht="15.75" customHeight="1" x14ac:dyDescent="0.3">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row>
    <row r="780" spans="1:30" ht="15.75" customHeight="1" x14ac:dyDescent="0.3">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row>
    <row r="781" spans="1:30" ht="15.75" customHeight="1" x14ac:dyDescent="0.3">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row>
    <row r="782" spans="1:30" ht="15.75" customHeight="1" x14ac:dyDescent="0.3">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row>
    <row r="783" spans="1:30" ht="15.75" customHeight="1" x14ac:dyDescent="0.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row>
    <row r="784" spans="1:30" ht="15.75" customHeight="1" x14ac:dyDescent="0.3">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row>
    <row r="785" spans="1:30" ht="15.75" customHeight="1" x14ac:dyDescent="0.3">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row>
    <row r="786" spans="1:30" ht="15.75" customHeight="1" x14ac:dyDescent="0.3">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row>
    <row r="787" spans="1:30" ht="15.75" customHeight="1" x14ac:dyDescent="0.3">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row>
    <row r="788" spans="1:30" ht="15.75" customHeight="1" x14ac:dyDescent="0.3">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row>
    <row r="789" spans="1:30" ht="15.75" customHeight="1" x14ac:dyDescent="0.3">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row>
    <row r="790" spans="1:30" ht="15.75" customHeight="1" x14ac:dyDescent="0.3">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row>
    <row r="791" spans="1:30" ht="15.75" customHeight="1" x14ac:dyDescent="0.3">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row>
    <row r="792" spans="1:30" ht="15.75" customHeight="1" x14ac:dyDescent="0.3">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row>
    <row r="793" spans="1:30" ht="15.75" customHeight="1" x14ac:dyDescent="0.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row>
    <row r="794" spans="1:30" ht="15.75" customHeight="1" x14ac:dyDescent="0.3">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row>
    <row r="795" spans="1:30" ht="15.75" customHeight="1" x14ac:dyDescent="0.3">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row>
    <row r="796" spans="1:30" ht="15.75" customHeight="1" x14ac:dyDescent="0.3">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row>
    <row r="797" spans="1:30" ht="15.75" customHeight="1" x14ac:dyDescent="0.3">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row>
    <row r="798" spans="1:30" ht="15.75" customHeight="1" x14ac:dyDescent="0.3">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row>
    <row r="799" spans="1:30" ht="15.75" customHeight="1" x14ac:dyDescent="0.3">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row>
    <row r="800" spans="1:30" ht="15.75" customHeight="1" x14ac:dyDescent="0.3">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row>
    <row r="801" spans="1:30" ht="15.75" customHeight="1" x14ac:dyDescent="0.3">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row>
    <row r="802" spans="1:30" ht="15.75" customHeight="1" x14ac:dyDescent="0.3">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row>
    <row r="803" spans="1:30" ht="15.75" customHeight="1" x14ac:dyDescent="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row>
    <row r="804" spans="1:30" ht="15.75" customHeight="1" x14ac:dyDescent="0.3">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row>
    <row r="805" spans="1:30" ht="15.75" customHeight="1" x14ac:dyDescent="0.3">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row>
    <row r="806" spans="1:30" ht="15.75" customHeight="1" x14ac:dyDescent="0.3">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row>
    <row r="807" spans="1:30" ht="15.75" customHeight="1" x14ac:dyDescent="0.3">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row>
    <row r="808" spans="1:30" ht="15.75" customHeight="1" x14ac:dyDescent="0.3">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row>
    <row r="809" spans="1:30" ht="15.75" customHeight="1" x14ac:dyDescent="0.3">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row>
    <row r="810" spans="1:30" ht="15.75" customHeight="1" x14ac:dyDescent="0.3">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row>
    <row r="811" spans="1:30" ht="15.75" customHeight="1" x14ac:dyDescent="0.3">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row>
    <row r="812" spans="1:30" ht="15.75" customHeight="1" x14ac:dyDescent="0.3">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row>
    <row r="813" spans="1:30" ht="15.75" customHeight="1" x14ac:dyDescent="0.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row>
    <row r="814" spans="1:30" ht="15.75" customHeight="1" x14ac:dyDescent="0.3">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row>
    <row r="815" spans="1:30" ht="15.75" customHeight="1" x14ac:dyDescent="0.3">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row>
    <row r="816" spans="1:30" ht="15.75" customHeight="1" x14ac:dyDescent="0.3">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row>
    <row r="817" spans="1:30" ht="15.75" customHeight="1" x14ac:dyDescent="0.3">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row>
    <row r="818" spans="1:30" ht="15.75" customHeight="1" x14ac:dyDescent="0.3">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row>
    <row r="819" spans="1:30" ht="15.75" customHeight="1" x14ac:dyDescent="0.3">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row>
    <row r="820" spans="1:30" ht="15.75" customHeight="1" x14ac:dyDescent="0.3">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row>
    <row r="821" spans="1:30" ht="15.75" customHeight="1" x14ac:dyDescent="0.3">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row>
    <row r="822" spans="1:30" ht="15.75" customHeight="1" x14ac:dyDescent="0.3">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row>
    <row r="823" spans="1:30" ht="15.75" customHeight="1" x14ac:dyDescent="0.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row>
    <row r="824" spans="1:30" ht="15.75" customHeight="1" x14ac:dyDescent="0.3">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row>
    <row r="825" spans="1:30" ht="15.75" customHeight="1" x14ac:dyDescent="0.3">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row>
    <row r="826" spans="1:30" ht="15.75" customHeight="1" x14ac:dyDescent="0.3">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row>
    <row r="827" spans="1:30" ht="15.75" customHeight="1" x14ac:dyDescent="0.3">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row>
    <row r="828" spans="1:30" ht="15.75" customHeight="1" x14ac:dyDescent="0.3">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row>
    <row r="829" spans="1:30" ht="15.75" customHeight="1" x14ac:dyDescent="0.3">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row>
    <row r="830" spans="1:30" ht="15.75" customHeight="1" x14ac:dyDescent="0.3">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row>
    <row r="831" spans="1:30" ht="15.75" customHeight="1" x14ac:dyDescent="0.3">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row>
    <row r="832" spans="1:30" ht="15.75" customHeight="1" x14ac:dyDescent="0.3">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row>
    <row r="833" spans="1:30" ht="15.75" customHeight="1" x14ac:dyDescent="0.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row>
    <row r="834" spans="1:30" ht="15.75" customHeight="1" x14ac:dyDescent="0.3">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row>
    <row r="835" spans="1:30" ht="15.75" customHeight="1" x14ac:dyDescent="0.3">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row>
    <row r="836" spans="1:30" ht="15.75" customHeight="1" x14ac:dyDescent="0.3">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row>
    <row r="837" spans="1:30" ht="15.75" customHeight="1" x14ac:dyDescent="0.3">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row>
    <row r="838" spans="1:30" ht="15.75" customHeight="1" x14ac:dyDescent="0.3">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row>
    <row r="839" spans="1:30" ht="15.75" customHeight="1" x14ac:dyDescent="0.3">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row>
    <row r="840" spans="1:30" ht="15.75" customHeight="1" x14ac:dyDescent="0.3">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row>
    <row r="841" spans="1:30" ht="15.75" customHeight="1" x14ac:dyDescent="0.3">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row>
    <row r="842" spans="1:30" ht="15.75" customHeight="1" x14ac:dyDescent="0.3">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row>
    <row r="843" spans="1:30" ht="15.75" customHeight="1" x14ac:dyDescent="0.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row>
    <row r="844" spans="1:30" ht="15.75" customHeight="1" x14ac:dyDescent="0.3">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row>
    <row r="845" spans="1:30" ht="15.75" customHeight="1" x14ac:dyDescent="0.3">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row>
    <row r="846" spans="1:30" ht="15.75" customHeight="1" x14ac:dyDescent="0.3">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row>
    <row r="847" spans="1:30" ht="15.75" customHeight="1" x14ac:dyDescent="0.3">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row>
    <row r="848" spans="1:30" ht="15.75" customHeight="1" x14ac:dyDescent="0.3">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row>
    <row r="849" spans="1:30" ht="15.75" customHeight="1" x14ac:dyDescent="0.3">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row>
    <row r="850" spans="1:30" ht="15.75" customHeight="1" x14ac:dyDescent="0.3">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row>
    <row r="851" spans="1:30" ht="15.75" customHeight="1" x14ac:dyDescent="0.3">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row>
    <row r="852" spans="1:30" ht="15.75" customHeight="1" x14ac:dyDescent="0.3">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row>
    <row r="853" spans="1:30" ht="15.75" customHeight="1" x14ac:dyDescent="0.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row>
    <row r="854" spans="1:30" ht="15.75" customHeight="1" x14ac:dyDescent="0.3">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row>
    <row r="855" spans="1:30" ht="15.75" customHeight="1" x14ac:dyDescent="0.3">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row>
    <row r="856" spans="1:30" ht="15.75" customHeight="1" x14ac:dyDescent="0.3">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row>
    <row r="857" spans="1:30" ht="15.75" customHeight="1" x14ac:dyDescent="0.3">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row>
    <row r="858" spans="1:30" ht="15.75" customHeight="1" x14ac:dyDescent="0.3">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row>
    <row r="859" spans="1:30" ht="15.75" customHeight="1" x14ac:dyDescent="0.3">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row>
    <row r="860" spans="1:30" ht="15.75" customHeight="1" x14ac:dyDescent="0.3">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row>
    <row r="861" spans="1:30" ht="15.75" customHeight="1" x14ac:dyDescent="0.3">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row>
    <row r="862" spans="1:30" ht="15.75" customHeight="1" x14ac:dyDescent="0.3">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row>
    <row r="863" spans="1:30" ht="15.75" customHeight="1" x14ac:dyDescent="0.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row>
    <row r="864" spans="1:30" ht="15.75" customHeight="1" x14ac:dyDescent="0.3">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row>
    <row r="865" spans="1:30" ht="15.75" customHeight="1" x14ac:dyDescent="0.3">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row>
    <row r="866" spans="1:30" ht="15.75" customHeight="1" x14ac:dyDescent="0.3">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row>
    <row r="867" spans="1:30" ht="15.75" customHeight="1" x14ac:dyDescent="0.3">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row>
    <row r="868" spans="1:30" ht="15.75" customHeight="1" x14ac:dyDescent="0.3">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row>
    <row r="869" spans="1:30" ht="15.75" customHeight="1" x14ac:dyDescent="0.3">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row>
    <row r="870" spans="1:30" ht="15.75" customHeight="1" x14ac:dyDescent="0.3">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row>
    <row r="871" spans="1:30" ht="15.75" customHeight="1" x14ac:dyDescent="0.3">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row>
    <row r="872" spans="1:30" ht="15.75" customHeight="1" x14ac:dyDescent="0.3">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row>
    <row r="873" spans="1:30" ht="15.75" customHeight="1" x14ac:dyDescent="0.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row>
    <row r="874" spans="1:30" ht="15.75" customHeight="1" x14ac:dyDescent="0.3">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row>
    <row r="875" spans="1:30" ht="15.75" customHeight="1" x14ac:dyDescent="0.3">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row>
    <row r="876" spans="1:30" ht="15.75" customHeight="1" x14ac:dyDescent="0.3">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row>
    <row r="877" spans="1:30" ht="15.75" customHeight="1" x14ac:dyDescent="0.3">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row>
    <row r="878" spans="1:30" ht="15.75" customHeight="1" x14ac:dyDescent="0.3">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row>
    <row r="879" spans="1:30" ht="15.75" customHeight="1" x14ac:dyDescent="0.3">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row>
    <row r="880" spans="1:30" ht="15.75" customHeight="1" x14ac:dyDescent="0.3">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row>
    <row r="881" spans="1:30" ht="15.75" customHeight="1" x14ac:dyDescent="0.3">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row>
    <row r="882" spans="1:30" ht="15.75" customHeight="1" x14ac:dyDescent="0.3">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row>
    <row r="883" spans="1:30" ht="15.75" customHeight="1" x14ac:dyDescent="0.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row>
    <row r="884" spans="1:30" ht="15.75" customHeight="1" x14ac:dyDescent="0.3">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row>
    <row r="885" spans="1:30" ht="15.75" customHeight="1" x14ac:dyDescent="0.3">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row>
    <row r="886" spans="1:30" ht="15.75" customHeight="1" x14ac:dyDescent="0.3">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row>
    <row r="887" spans="1:30" ht="15.75" customHeight="1" x14ac:dyDescent="0.3">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row>
    <row r="888" spans="1:30" ht="15.75" customHeight="1" x14ac:dyDescent="0.3">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row>
    <row r="889" spans="1:30" ht="15.75" customHeight="1" x14ac:dyDescent="0.3">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row>
    <row r="890" spans="1:30" ht="15.75" customHeight="1" x14ac:dyDescent="0.3">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row>
    <row r="891" spans="1:30" ht="15.75" customHeight="1" x14ac:dyDescent="0.3">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row>
    <row r="892" spans="1:30" ht="15.75" customHeight="1" x14ac:dyDescent="0.3">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row>
    <row r="893" spans="1:30" ht="15.75" customHeight="1" x14ac:dyDescent="0.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row>
    <row r="894" spans="1:30" ht="15.75" customHeight="1" x14ac:dyDescent="0.3">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row>
    <row r="895" spans="1:30" ht="15.75" customHeight="1" x14ac:dyDescent="0.3">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row>
    <row r="896" spans="1:30" ht="15.75" customHeight="1" x14ac:dyDescent="0.3">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row>
    <row r="897" spans="1:30" ht="15.75" customHeight="1" x14ac:dyDescent="0.3">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row>
    <row r="898" spans="1:30" ht="15.75" customHeight="1" x14ac:dyDescent="0.3">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row>
    <row r="899" spans="1:30" ht="15.75" customHeight="1" x14ac:dyDescent="0.3">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row>
    <row r="900" spans="1:30" ht="15.75" customHeight="1" x14ac:dyDescent="0.3">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row>
    <row r="901" spans="1:30" ht="15.75" customHeight="1" x14ac:dyDescent="0.3">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row>
    <row r="902" spans="1:30" ht="15.75" customHeight="1" x14ac:dyDescent="0.3">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row>
    <row r="903" spans="1:30" ht="15.75" customHeight="1" x14ac:dyDescent="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row>
    <row r="904" spans="1:30" ht="15.75" customHeight="1" x14ac:dyDescent="0.3">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row>
    <row r="905" spans="1:30" ht="15.75" customHeight="1" x14ac:dyDescent="0.3">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row>
    <row r="906" spans="1:30" ht="15.75" customHeight="1" x14ac:dyDescent="0.3">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row>
    <row r="907" spans="1:30" ht="15.75" customHeight="1" x14ac:dyDescent="0.3">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row>
    <row r="908" spans="1:30" ht="15.75" customHeight="1" x14ac:dyDescent="0.3">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row>
    <row r="909" spans="1:30" ht="15.75" customHeight="1" x14ac:dyDescent="0.3">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row>
    <row r="910" spans="1:30" ht="15.75" customHeight="1" x14ac:dyDescent="0.3">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row>
    <row r="911" spans="1:30" ht="15.75" customHeight="1" x14ac:dyDescent="0.3">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row>
    <row r="912" spans="1:30" ht="15.75" customHeight="1" x14ac:dyDescent="0.3">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row>
    <row r="913" spans="1:30" ht="15.75" customHeight="1" x14ac:dyDescent="0.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row>
    <row r="914" spans="1:30" ht="15.75" customHeight="1" x14ac:dyDescent="0.3">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row>
    <row r="915" spans="1:30" ht="15.75" customHeight="1" x14ac:dyDescent="0.3">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row>
    <row r="916" spans="1:30" ht="15.75" customHeight="1" x14ac:dyDescent="0.3">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row>
    <row r="917" spans="1:30" ht="15.75" customHeight="1" x14ac:dyDescent="0.3">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row>
    <row r="918" spans="1:30" ht="15.75" customHeight="1" x14ac:dyDescent="0.3">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row>
    <row r="919" spans="1:30" ht="15.75" customHeight="1" x14ac:dyDescent="0.3">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row>
    <row r="920" spans="1:30" ht="15.75" customHeight="1" x14ac:dyDescent="0.3">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row>
    <row r="921" spans="1:30" ht="15.75" customHeight="1" x14ac:dyDescent="0.3">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row>
    <row r="922" spans="1:30" ht="15.75" customHeight="1" x14ac:dyDescent="0.3">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row>
    <row r="923" spans="1:30" ht="15.75" customHeight="1" x14ac:dyDescent="0.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row>
    <row r="924" spans="1:30" ht="15.75" customHeight="1" x14ac:dyDescent="0.3">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row>
    <row r="925" spans="1:30" ht="15.75" customHeight="1" x14ac:dyDescent="0.3">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row>
    <row r="926" spans="1:30" ht="15.75" customHeight="1" x14ac:dyDescent="0.3">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row>
    <row r="927" spans="1:30" ht="15.75" customHeight="1" x14ac:dyDescent="0.3">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row>
    <row r="928" spans="1:30" ht="15.75" customHeight="1" x14ac:dyDescent="0.3">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row>
    <row r="929" spans="1:30" ht="15.75" customHeight="1" x14ac:dyDescent="0.3">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row>
    <row r="930" spans="1:30" ht="15.75" customHeight="1" x14ac:dyDescent="0.3">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row>
    <row r="931" spans="1:30" ht="15.75" customHeight="1" x14ac:dyDescent="0.3">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row>
    <row r="932" spans="1:30" ht="15.75" customHeight="1" x14ac:dyDescent="0.3">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row>
    <row r="933" spans="1:30" ht="15.75" customHeight="1" x14ac:dyDescent="0.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row>
    <row r="934" spans="1:30" ht="15.75" customHeight="1" x14ac:dyDescent="0.3">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row>
    <row r="935" spans="1:30" ht="15.75" customHeight="1" x14ac:dyDescent="0.3">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row>
    <row r="936" spans="1:30" ht="15.75" customHeight="1" x14ac:dyDescent="0.3">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row>
    <row r="937" spans="1:30" ht="15.75" customHeight="1" x14ac:dyDescent="0.3">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row>
    <row r="938" spans="1:30" ht="15.75" customHeight="1" x14ac:dyDescent="0.3">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row>
    <row r="939" spans="1:30" ht="15.75" customHeight="1" x14ac:dyDescent="0.3">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row>
    <row r="940" spans="1:30" ht="15.75" customHeight="1" x14ac:dyDescent="0.3">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row>
    <row r="941" spans="1:30" ht="15.75" customHeight="1" x14ac:dyDescent="0.3">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row>
    <row r="942" spans="1:30" ht="15.75" customHeight="1" x14ac:dyDescent="0.3">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row>
    <row r="943" spans="1:30" ht="15.75" customHeight="1" x14ac:dyDescent="0.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row>
    <row r="944" spans="1:30" ht="15.75" customHeight="1" x14ac:dyDescent="0.3">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row>
    <row r="945" spans="1:30" ht="15.75" customHeight="1" x14ac:dyDescent="0.3">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row>
    <row r="946" spans="1:30" ht="15.75" customHeight="1" x14ac:dyDescent="0.3">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row>
    <row r="947" spans="1:30" ht="15.75" customHeight="1" x14ac:dyDescent="0.3">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row>
    <row r="948" spans="1:30" ht="15.75" customHeight="1" x14ac:dyDescent="0.3">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row>
    <row r="949" spans="1:30" ht="15.75" customHeight="1" x14ac:dyDescent="0.3">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row>
    <row r="950" spans="1:30" ht="15.75" customHeight="1" x14ac:dyDescent="0.3">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row>
    <row r="951" spans="1:30" ht="15.75" customHeight="1" x14ac:dyDescent="0.3">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row>
    <row r="952" spans="1:30" ht="15.75" customHeight="1" x14ac:dyDescent="0.3">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row>
    <row r="953" spans="1:30" ht="15.75" customHeight="1" x14ac:dyDescent="0.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row>
    <row r="954" spans="1:30" ht="15.75" customHeight="1" x14ac:dyDescent="0.3">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row>
    <row r="955" spans="1:30" ht="15.75" customHeight="1" x14ac:dyDescent="0.3">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row>
    <row r="956" spans="1:30" ht="15.75" customHeight="1" x14ac:dyDescent="0.3">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row>
    <row r="957" spans="1:30" ht="15.75" customHeight="1" x14ac:dyDescent="0.3">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row>
    <row r="958" spans="1:30" ht="15.75" customHeight="1" x14ac:dyDescent="0.3">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row>
    <row r="959" spans="1:30" ht="15.75" customHeight="1" x14ac:dyDescent="0.3">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row>
    <row r="960" spans="1:30" ht="15.75" customHeight="1" x14ac:dyDescent="0.3">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row>
    <row r="961" spans="1:30" ht="15.75" customHeight="1" x14ac:dyDescent="0.3">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row>
    <row r="962" spans="1:30" ht="15.75" customHeight="1" x14ac:dyDescent="0.3">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row>
    <row r="963" spans="1:30" ht="15.75" customHeight="1" x14ac:dyDescent="0.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row>
    <row r="964" spans="1:30" ht="15.75" customHeight="1" x14ac:dyDescent="0.3">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row>
    <row r="965" spans="1:30" ht="15.75" customHeight="1" x14ac:dyDescent="0.3">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row>
    <row r="966" spans="1:30" ht="15.75" customHeight="1" x14ac:dyDescent="0.3">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row>
    <row r="967" spans="1:30" ht="15.75" customHeight="1" x14ac:dyDescent="0.3">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row>
    <row r="968" spans="1:30" ht="15.75" customHeight="1" x14ac:dyDescent="0.3">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row>
    <row r="969" spans="1:30" ht="15.75" customHeight="1" x14ac:dyDescent="0.3">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row>
    <row r="970" spans="1:30" ht="15.75" customHeight="1" x14ac:dyDescent="0.3">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row>
    <row r="971" spans="1:30" ht="15.75" customHeight="1" x14ac:dyDescent="0.3">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row>
    <row r="972" spans="1:30" ht="15.75" customHeight="1" x14ac:dyDescent="0.3">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row>
    <row r="973" spans="1:30" ht="15.75" customHeight="1" x14ac:dyDescent="0.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row>
    <row r="974" spans="1:30" ht="15.75" customHeight="1" x14ac:dyDescent="0.3">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row>
    <row r="975" spans="1:30" ht="15.75" customHeight="1" x14ac:dyDescent="0.3">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row>
    <row r="976" spans="1:30" ht="15.75" customHeight="1" x14ac:dyDescent="0.3">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row>
    <row r="977" spans="1:30" ht="15.75" customHeight="1" x14ac:dyDescent="0.3">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row>
    <row r="978" spans="1:30" ht="15.75" customHeight="1" x14ac:dyDescent="0.3">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row>
    <row r="979" spans="1:30" ht="15.75" customHeight="1" x14ac:dyDescent="0.3">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row>
    <row r="980" spans="1:30" ht="15.75" customHeight="1" x14ac:dyDescent="0.3">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row>
    <row r="981" spans="1:30" ht="15.75" customHeight="1" x14ac:dyDescent="0.3">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row>
    <row r="982" spans="1:30" ht="15.75" customHeight="1" x14ac:dyDescent="0.3">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row>
    <row r="983" spans="1:30" ht="15.75" customHeight="1" x14ac:dyDescent="0.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row>
    <row r="984" spans="1:30" ht="15.75" customHeight="1" x14ac:dyDescent="0.3">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row>
    <row r="985" spans="1:30" ht="15.75" customHeight="1" x14ac:dyDescent="0.3">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row>
    <row r="986" spans="1:30" ht="15.75" customHeight="1" x14ac:dyDescent="0.3">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row>
    <row r="987" spans="1:30" ht="15.75" customHeight="1" x14ac:dyDescent="0.3">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row>
    <row r="988" spans="1:30" ht="15.75" customHeight="1" x14ac:dyDescent="0.3">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row>
    <row r="989" spans="1:30" ht="15.75" customHeight="1" x14ac:dyDescent="0.3">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row>
    <row r="990" spans="1:30" ht="15.75" customHeight="1" x14ac:dyDescent="0.3">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row>
    <row r="991" spans="1:30" ht="15.75" customHeight="1" x14ac:dyDescent="0.3">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row>
    <row r="992" spans="1:30" ht="15.75" customHeight="1" x14ac:dyDescent="0.3">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row>
    <row r="993" spans="1:30" ht="15.75" customHeight="1" x14ac:dyDescent="0.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row>
    <row r="994" spans="1:30" ht="15.75" customHeight="1" x14ac:dyDescent="0.3">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row>
    <row r="995" spans="1:30" ht="15.75" customHeight="1" x14ac:dyDescent="0.3">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row>
    <row r="996" spans="1:30" ht="15.75" customHeight="1" x14ac:dyDescent="0.3">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row>
    <row r="997" spans="1:30" ht="15.75" customHeight="1" x14ac:dyDescent="0.3">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row>
    <row r="998" spans="1:30" ht="15.75" customHeight="1" x14ac:dyDescent="0.3">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row>
    <row r="999" spans="1:30" ht="15.75" customHeight="1" x14ac:dyDescent="0.3">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row>
    <row r="1000" spans="1:30" ht="15.75" customHeight="1" x14ac:dyDescent="0.3">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row>
  </sheetData>
  <mergeCells count="55">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 ref="E2:K5"/>
    <mergeCell ref="C6:J6"/>
    <mergeCell ref="C8:E8"/>
    <mergeCell ref="F8:G8"/>
    <mergeCell ref="H8:I8"/>
    <mergeCell ref="F9:G9"/>
    <mergeCell ref="H9:I9"/>
    <mergeCell ref="C9:E9"/>
    <mergeCell ref="C10:E10"/>
    <mergeCell ref="F10:G10"/>
    <mergeCell ref="H10:I1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E18:H18"/>
    <mergeCell ref="I18:J18"/>
    <mergeCell ref="I19:J19"/>
    <mergeCell ref="E19:H19"/>
    <mergeCell ref="E20:H20"/>
    <mergeCell ref="I20:J20"/>
    <mergeCell ref="E21:H21"/>
    <mergeCell ref="I21:J21"/>
    <mergeCell ref="E22:H22"/>
    <mergeCell ref="I22:J22"/>
    <mergeCell ref="E24:H24"/>
    <mergeCell ref="I24:J24"/>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32"/>
      <c r="B1" s="333"/>
      <c r="C1" s="333"/>
      <c r="D1" s="333"/>
      <c r="E1" s="333"/>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5"/>
      <c r="AF1" s="335"/>
      <c r="AG1" s="335"/>
      <c r="AH1" s="335"/>
      <c r="AI1" s="335"/>
      <c r="AJ1" s="335"/>
    </row>
    <row r="2" spans="1:36" ht="15" customHeight="1" x14ac:dyDescent="0.25">
      <c r="A2" s="336"/>
      <c r="B2" s="736"/>
      <c r="C2" s="591"/>
      <c r="D2" s="591"/>
      <c r="E2" s="737"/>
      <c r="F2" s="741" t="s">
        <v>305</v>
      </c>
      <c r="G2" s="591"/>
      <c r="H2" s="591"/>
      <c r="I2" s="591"/>
      <c r="J2" s="591"/>
      <c r="K2" s="591"/>
      <c r="L2" s="591"/>
      <c r="M2" s="591"/>
      <c r="N2" s="591"/>
      <c r="O2" s="591"/>
      <c r="P2" s="591"/>
      <c r="Q2" s="591"/>
      <c r="R2" s="591"/>
      <c r="S2" s="591"/>
      <c r="T2" s="591"/>
      <c r="U2" s="591"/>
      <c r="V2" s="591"/>
      <c r="W2" s="591"/>
      <c r="X2" s="591"/>
      <c r="Y2" s="591"/>
      <c r="Z2" s="591"/>
      <c r="AA2" s="591"/>
      <c r="AB2" s="591"/>
      <c r="AC2" s="591"/>
      <c r="AD2" s="559"/>
      <c r="AE2" s="337"/>
      <c r="AF2" s="335"/>
      <c r="AG2" s="335"/>
      <c r="AH2" s="335"/>
      <c r="AI2" s="335"/>
      <c r="AJ2" s="335"/>
    </row>
    <row r="3" spans="1:36" ht="22.5" customHeight="1" x14ac:dyDescent="0.25">
      <c r="A3" s="336"/>
      <c r="B3" s="592"/>
      <c r="C3" s="507"/>
      <c r="D3" s="507"/>
      <c r="E3" s="738"/>
      <c r="F3" s="507"/>
      <c r="G3" s="507"/>
      <c r="H3" s="507"/>
      <c r="I3" s="507"/>
      <c r="J3" s="507"/>
      <c r="K3" s="507"/>
      <c r="L3" s="507"/>
      <c r="M3" s="507"/>
      <c r="N3" s="507"/>
      <c r="O3" s="507"/>
      <c r="P3" s="507"/>
      <c r="Q3" s="507"/>
      <c r="R3" s="507"/>
      <c r="S3" s="507"/>
      <c r="T3" s="507"/>
      <c r="U3" s="507"/>
      <c r="V3" s="507"/>
      <c r="W3" s="507"/>
      <c r="X3" s="507"/>
      <c r="Y3" s="507"/>
      <c r="Z3" s="507"/>
      <c r="AA3" s="507"/>
      <c r="AB3" s="507"/>
      <c r="AC3" s="507"/>
      <c r="AD3" s="675"/>
      <c r="AE3" s="337"/>
      <c r="AF3" s="335"/>
      <c r="AG3" s="335"/>
      <c r="AH3" s="335"/>
      <c r="AI3" s="335"/>
      <c r="AJ3" s="335"/>
    </row>
    <row r="4" spans="1:36" ht="22.5" customHeight="1" x14ac:dyDescent="0.25">
      <c r="A4" s="336"/>
      <c r="B4" s="592"/>
      <c r="C4" s="507"/>
      <c r="D4" s="507"/>
      <c r="E4" s="738"/>
      <c r="F4" s="507"/>
      <c r="G4" s="507"/>
      <c r="H4" s="507"/>
      <c r="I4" s="507"/>
      <c r="J4" s="507"/>
      <c r="K4" s="507"/>
      <c r="L4" s="507"/>
      <c r="M4" s="507"/>
      <c r="N4" s="507"/>
      <c r="O4" s="507"/>
      <c r="P4" s="507"/>
      <c r="Q4" s="507"/>
      <c r="R4" s="507"/>
      <c r="S4" s="507"/>
      <c r="T4" s="507"/>
      <c r="U4" s="507"/>
      <c r="V4" s="507"/>
      <c r="W4" s="507"/>
      <c r="X4" s="507"/>
      <c r="Y4" s="507"/>
      <c r="Z4" s="507"/>
      <c r="AA4" s="507"/>
      <c r="AB4" s="507"/>
      <c r="AC4" s="507"/>
      <c r="AD4" s="675"/>
      <c r="AE4" s="337"/>
      <c r="AF4" s="335"/>
      <c r="AG4" s="335"/>
      <c r="AH4" s="335"/>
      <c r="AI4" s="335"/>
      <c r="AJ4" s="335"/>
    </row>
    <row r="5" spans="1:36" ht="15.75" customHeight="1" x14ac:dyDescent="0.25">
      <c r="A5" s="336"/>
      <c r="B5" s="739"/>
      <c r="C5" s="704"/>
      <c r="D5" s="704"/>
      <c r="E5" s="740"/>
      <c r="F5" s="704"/>
      <c r="G5" s="704"/>
      <c r="H5" s="704"/>
      <c r="I5" s="704"/>
      <c r="J5" s="704"/>
      <c r="K5" s="704"/>
      <c r="L5" s="704"/>
      <c r="M5" s="704"/>
      <c r="N5" s="704"/>
      <c r="O5" s="704"/>
      <c r="P5" s="704"/>
      <c r="Q5" s="704"/>
      <c r="R5" s="704"/>
      <c r="S5" s="704"/>
      <c r="T5" s="704"/>
      <c r="U5" s="704"/>
      <c r="V5" s="704"/>
      <c r="W5" s="704"/>
      <c r="X5" s="704"/>
      <c r="Y5" s="704"/>
      <c r="Z5" s="704"/>
      <c r="AA5" s="704"/>
      <c r="AB5" s="704"/>
      <c r="AC5" s="704"/>
      <c r="AD5" s="742"/>
      <c r="AE5" s="338"/>
      <c r="AF5" s="335"/>
      <c r="AG5" s="335"/>
      <c r="AH5" s="335"/>
      <c r="AI5" s="335"/>
      <c r="AJ5" s="335"/>
    </row>
    <row r="6" spans="1:36" ht="15.75" customHeight="1" x14ac:dyDescent="0.25">
      <c r="A6" s="336"/>
      <c r="B6" s="339"/>
      <c r="C6" s="743" t="s">
        <v>306</v>
      </c>
      <c r="D6" s="704"/>
      <c r="E6" s="704"/>
      <c r="F6" s="704"/>
      <c r="G6" s="704"/>
      <c r="H6" s="704"/>
      <c r="I6" s="704"/>
      <c r="J6" s="704"/>
      <c r="K6" s="704"/>
      <c r="L6" s="704"/>
      <c r="M6" s="704"/>
      <c r="N6" s="704"/>
      <c r="O6" s="704"/>
      <c r="P6" s="704"/>
      <c r="Q6" s="704"/>
      <c r="R6" s="704"/>
      <c r="S6" s="704"/>
      <c r="T6" s="704"/>
      <c r="U6" s="704"/>
      <c r="V6" s="704"/>
      <c r="W6" s="704"/>
      <c r="X6" s="704"/>
      <c r="Y6" s="704"/>
      <c r="Z6" s="704"/>
      <c r="AA6" s="704"/>
      <c r="AB6" s="704"/>
      <c r="AC6" s="740"/>
      <c r="AD6" s="340"/>
      <c r="AE6" s="341"/>
      <c r="AF6" s="332"/>
      <c r="AG6" s="332"/>
      <c r="AH6" s="332"/>
      <c r="AI6" s="332"/>
      <c r="AJ6" s="332"/>
    </row>
    <row r="7" spans="1:36" ht="15.75" customHeight="1" x14ac:dyDescent="0.35">
      <c r="A7" s="336"/>
      <c r="B7" s="342"/>
      <c r="C7" s="343"/>
      <c r="D7" s="343"/>
      <c r="E7" s="343"/>
      <c r="F7" s="343"/>
      <c r="G7" s="344"/>
      <c r="H7" s="344"/>
      <c r="I7" s="344"/>
      <c r="J7" s="344"/>
      <c r="K7" s="344"/>
      <c r="L7" s="344"/>
      <c r="M7" s="344"/>
      <c r="N7" s="344"/>
      <c r="O7" s="345"/>
      <c r="P7" s="345"/>
      <c r="Q7" s="345"/>
      <c r="R7" s="345"/>
      <c r="S7" s="345"/>
      <c r="T7" s="345"/>
      <c r="U7" s="345"/>
      <c r="V7" s="345"/>
      <c r="W7" s="346"/>
      <c r="X7" s="346"/>
      <c r="Y7" s="346"/>
      <c r="Z7" s="346"/>
      <c r="AA7" s="346"/>
      <c r="AB7" s="346"/>
      <c r="AC7" s="346"/>
      <c r="AD7" s="340"/>
      <c r="AE7" s="341"/>
      <c r="AF7" s="332"/>
      <c r="AG7" s="332"/>
      <c r="AH7" s="332"/>
      <c r="AI7" s="332"/>
      <c r="AJ7" s="332"/>
    </row>
    <row r="8" spans="1:36" ht="26.25" customHeight="1" x14ac:dyDescent="0.25">
      <c r="A8" s="347"/>
      <c r="B8" s="348"/>
      <c r="C8" s="744" t="s">
        <v>277</v>
      </c>
      <c r="D8" s="536"/>
      <c r="E8" s="536"/>
      <c r="F8" s="729"/>
      <c r="G8" s="706" t="s">
        <v>307</v>
      </c>
      <c r="H8" s="536"/>
      <c r="I8" s="536"/>
      <c r="J8" s="536"/>
      <c r="K8" s="536"/>
      <c r="L8" s="536"/>
      <c r="M8" s="536"/>
      <c r="N8" s="536"/>
      <c r="O8" s="536"/>
      <c r="P8" s="536"/>
      <c r="Q8" s="536"/>
      <c r="R8" s="536"/>
      <c r="S8" s="536"/>
      <c r="T8" s="536"/>
      <c r="U8" s="536"/>
      <c r="V8" s="536"/>
      <c r="W8" s="536"/>
      <c r="X8" s="536"/>
      <c r="Y8" s="536"/>
      <c r="Z8" s="536"/>
      <c r="AA8" s="536"/>
      <c r="AB8" s="536"/>
      <c r="AC8" s="729"/>
      <c r="AD8" s="349"/>
      <c r="AE8" s="350"/>
      <c r="AF8" s="351"/>
      <c r="AG8" s="351"/>
      <c r="AH8" s="351"/>
      <c r="AI8" s="351"/>
      <c r="AJ8" s="351"/>
    </row>
    <row r="9" spans="1:36" ht="26.25" customHeight="1" x14ac:dyDescent="0.25">
      <c r="A9" s="347"/>
      <c r="B9" s="348"/>
      <c r="C9" s="726" t="s">
        <v>279</v>
      </c>
      <c r="D9" s="515"/>
      <c r="E9" s="515"/>
      <c r="F9" s="516"/>
      <c r="G9" s="727" t="e">
        <f>VLOOKUP($G$8,'6.Bảng lương  '!$B$16:$AW53,2,0)</f>
        <v>#N/A</v>
      </c>
      <c r="H9" s="515"/>
      <c r="I9" s="515"/>
      <c r="J9" s="515"/>
      <c r="K9" s="515"/>
      <c r="L9" s="515"/>
      <c r="M9" s="515"/>
      <c r="N9" s="515"/>
      <c r="O9" s="515"/>
      <c r="P9" s="515"/>
      <c r="Q9" s="515"/>
      <c r="R9" s="515"/>
      <c r="S9" s="515"/>
      <c r="T9" s="515"/>
      <c r="U9" s="515"/>
      <c r="V9" s="515"/>
      <c r="W9" s="515"/>
      <c r="X9" s="515"/>
      <c r="Y9" s="515"/>
      <c r="Z9" s="515"/>
      <c r="AA9" s="515"/>
      <c r="AB9" s="515"/>
      <c r="AC9" s="516"/>
      <c r="AD9" s="349"/>
      <c r="AE9" s="350"/>
      <c r="AF9" s="351"/>
      <c r="AG9" s="351"/>
      <c r="AH9" s="351"/>
      <c r="AI9" s="351"/>
      <c r="AJ9" s="351"/>
    </row>
    <row r="10" spans="1:36" ht="26.25" customHeight="1" x14ac:dyDescent="0.25">
      <c r="A10" s="347"/>
      <c r="B10" s="348"/>
      <c r="C10" s="726" t="s">
        <v>94</v>
      </c>
      <c r="D10" s="515"/>
      <c r="E10" s="515"/>
      <c r="F10" s="516"/>
      <c r="G10" s="732" t="e">
        <f>VLOOKUP($G$8,'6.Bảng lương  '!$B$16:$AW53,3,0)</f>
        <v>#N/A</v>
      </c>
      <c r="H10" s="515"/>
      <c r="I10" s="515"/>
      <c r="J10" s="515"/>
      <c r="K10" s="515"/>
      <c r="L10" s="515"/>
      <c r="M10" s="515"/>
      <c r="N10" s="515"/>
      <c r="O10" s="515"/>
      <c r="P10" s="515"/>
      <c r="Q10" s="515"/>
      <c r="R10" s="515"/>
      <c r="S10" s="515"/>
      <c r="T10" s="515"/>
      <c r="U10" s="515"/>
      <c r="V10" s="515"/>
      <c r="W10" s="515"/>
      <c r="X10" s="515"/>
      <c r="Y10" s="515"/>
      <c r="Z10" s="515"/>
      <c r="AA10" s="515"/>
      <c r="AB10" s="515"/>
      <c r="AC10" s="516"/>
      <c r="AD10" s="349"/>
      <c r="AE10" s="350"/>
      <c r="AF10" s="351"/>
      <c r="AG10" s="351"/>
      <c r="AH10" s="351"/>
      <c r="AI10" s="351"/>
      <c r="AJ10" s="351"/>
    </row>
    <row r="11" spans="1:36" ht="39" customHeight="1" x14ac:dyDescent="0.25">
      <c r="A11" s="347"/>
      <c r="B11" s="348"/>
      <c r="C11" s="726" t="s">
        <v>107</v>
      </c>
      <c r="D11" s="515"/>
      <c r="E11" s="515"/>
      <c r="F11" s="516"/>
      <c r="G11" s="732" t="e">
        <f>VLOOKUP($G$8,'6.Bảng lương  '!$B$16:$AW53,4,0)</f>
        <v>#N/A</v>
      </c>
      <c r="H11" s="515"/>
      <c r="I11" s="515"/>
      <c r="J11" s="515"/>
      <c r="K11" s="515"/>
      <c r="L11" s="515"/>
      <c r="M11" s="515"/>
      <c r="N11" s="515"/>
      <c r="O11" s="515"/>
      <c r="P11" s="515"/>
      <c r="Q11" s="515"/>
      <c r="R11" s="515"/>
      <c r="S11" s="515"/>
      <c r="T11" s="515"/>
      <c r="U11" s="515"/>
      <c r="V11" s="515"/>
      <c r="W11" s="515"/>
      <c r="X11" s="515"/>
      <c r="Y11" s="515"/>
      <c r="Z11" s="515"/>
      <c r="AA11" s="515"/>
      <c r="AB11" s="515"/>
      <c r="AC11" s="516"/>
      <c r="AD11" s="349"/>
      <c r="AE11" s="350"/>
      <c r="AF11" s="351"/>
      <c r="AG11" s="351"/>
      <c r="AH11" s="351"/>
      <c r="AI11" s="351"/>
      <c r="AJ11" s="351"/>
    </row>
    <row r="12" spans="1:36" ht="27.75" hidden="1" customHeight="1" x14ac:dyDescent="0.25">
      <c r="A12" s="347"/>
      <c r="B12" s="348"/>
      <c r="C12" s="726" t="s">
        <v>283</v>
      </c>
      <c r="D12" s="515"/>
      <c r="E12" s="515"/>
      <c r="F12" s="516"/>
      <c r="G12" s="733" t="s">
        <v>308</v>
      </c>
      <c r="H12" s="515"/>
      <c r="I12" s="515"/>
      <c r="J12" s="515"/>
      <c r="K12" s="515"/>
      <c r="L12" s="515"/>
      <c r="M12" s="515"/>
      <c r="N12" s="516"/>
      <c r="O12" s="734"/>
      <c r="P12" s="515"/>
      <c r="Q12" s="515"/>
      <c r="R12" s="515"/>
      <c r="S12" s="515"/>
      <c r="T12" s="515"/>
      <c r="U12" s="515"/>
      <c r="V12" s="516"/>
      <c r="W12" s="735"/>
      <c r="X12" s="515"/>
      <c r="Y12" s="515"/>
      <c r="Z12" s="515"/>
      <c r="AA12" s="515"/>
      <c r="AB12" s="515"/>
      <c r="AC12" s="724"/>
      <c r="AD12" s="349"/>
      <c r="AE12" s="350"/>
      <c r="AF12" s="351"/>
      <c r="AG12" s="351"/>
      <c r="AH12" s="351"/>
      <c r="AI12" s="351"/>
      <c r="AJ12" s="351"/>
    </row>
    <row r="13" spans="1:36" ht="28.5" hidden="1" customHeight="1" x14ac:dyDescent="0.25">
      <c r="A13" s="347"/>
      <c r="B13" s="348"/>
      <c r="C13" s="758" t="s">
        <v>285</v>
      </c>
      <c r="D13" s="686"/>
      <c r="E13" s="686"/>
      <c r="F13" s="754"/>
      <c r="G13" s="759" t="e">
        <f>VLOOKUP($G$8,'3. BẢNG CHẤM CÔNG'!$B$10:$AV47,47,0)</f>
        <v>#N/A</v>
      </c>
      <c r="H13" s="686"/>
      <c r="I13" s="686"/>
      <c r="J13" s="686"/>
      <c r="K13" s="686"/>
      <c r="L13" s="686"/>
      <c r="M13" s="686"/>
      <c r="N13" s="754"/>
      <c r="O13" s="760" t="s">
        <v>309</v>
      </c>
      <c r="P13" s="686"/>
      <c r="Q13" s="686"/>
      <c r="R13" s="686"/>
      <c r="S13" s="686"/>
      <c r="T13" s="686"/>
      <c r="U13" s="686"/>
      <c r="V13" s="686"/>
      <c r="W13" s="686"/>
      <c r="X13" s="686"/>
      <c r="Y13" s="686"/>
      <c r="Z13" s="696"/>
      <c r="AA13" s="761" t="e">
        <f>VLOOKUP($G$8,'3. BẢNG CHẤM CÔNG'!$B$12:$AV47,46,0)</f>
        <v>#N/A</v>
      </c>
      <c r="AB13" s="686"/>
      <c r="AC13" s="751"/>
      <c r="AD13" s="349"/>
      <c r="AE13" s="350"/>
      <c r="AF13" s="351"/>
      <c r="AG13" s="351"/>
      <c r="AH13" s="351"/>
      <c r="AI13" s="351"/>
      <c r="AJ13" s="351"/>
    </row>
    <row r="14" spans="1:36" ht="15.75" customHeight="1" x14ac:dyDescent="0.25">
      <c r="A14" s="336"/>
      <c r="B14" s="352"/>
      <c r="C14" s="353"/>
      <c r="D14" s="354"/>
      <c r="E14" s="354"/>
      <c r="F14" s="354"/>
      <c r="G14" s="354"/>
      <c r="H14" s="354"/>
      <c r="I14" s="354"/>
      <c r="J14" s="354"/>
      <c r="K14" s="354"/>
      <c r="L14" s="354"/>
      <c r="M14" s="354"/>
      <c r="N14" s="354"/>
      <c r="O14" s="354"/>
      <c r="P14" s="354"/>
      <c r="Q14" s="355"/>
      <c r="R14" s="355"/>
      <c r="S14" s="355"/>
      <c r="T14" s="355"/>
      <c r="U14" s="355"/>
      <c r="V14" s="355"/>
      <c r="W14" s="355"/>
      <c r="X14" s="355"/>
      <c r="Y14" s="355"/>
      <c r="Z14" s="355"/>
      <c r="AA14" s="355"/>
      <c r="AB14" s="355"/>
      <c r="AC14" s="355"/>
      <c r="AD14" s="340"/>
      <c r="AE14" s="341"/>
      <c r="AF14" s="332"/>
      <c r="AG14" s="332"/>
      <c r="AH14" s="332"/>
      <c r="AI14" s="332"/>
      <c r="AJ14" s="332"/>
    </row>
    <row r="15" spans="1:36" ht="24.75" customHeight="1" x14ac:dyDescent="0.25">
      <c r="A15" s="347"/>
      <c r="B15" s="348"/>
      <c r="C15" s="356"/>
      <c r="D15" s="357"/>
      <c r="E15" s="357"/>
      <c r="F15" s="357"/>
      <c r="G15" s="357"/>
      <c r="H15" s="357"/>
      <c r="I15" s="357"/>
      <c r="J15" s="357"/>
      <c r="K15" s="357"/>
      <c r="L15" s="357"/>
      <c r="M15" s="357"/>
      <c r="N15" s="357"/>
      <c r="O15" s="357"/>
      <c r="P15" s="358"/>
      <c r="Q15" s="762" t="s">
        <v>288</v>
      </c>
      <c r="R15" s="591"/>
      <c r="S15" s="591"/>
      <c r="T15" s="591"/>
      <c r="U15" s="591"/>
      <c r="V15" s="591"/>
      <c r="W15" s="591"/>
      <c r="X15" s="591"/>
      <c r="Y15" s="591"/>
      <c r="Z15" s="591"/>
      <c r="AA15" s="591"/>
      <c r="AB15" s="591"/>
      <c r="AC15" s="559"/>
      <c r="AD15" s="349"/>
      <c r="AE15" s="350"/>
      <c r="AF15" s="351"/>
      <c r="AG15" s="351"/>
      <c r="AH15" s="351"/>
      <c r="AI15" s="351"/>
      <c r="AJ15" s="351"/>
    </row>
    <row r="16" spans="1:36" ht="22.5" customHeight="1" x14ac:dyDescent="0.25">
      <c r="A16" s="336"/>
      <c r="B16" s="352"/>
      <c r="C16" s="763" t="s">
        <v>289</v>
      </c>
      <c r="D16" s="559"/>
      <c r="E16" s="728" t="s">
        <v>290</v>
      </c>
      <c r="F16" s="536"/>
      <c r="G16" s="536"/>
      <c r="H16" s="536"/>
      <c r="I16" s="536"/>
      <c r="J16" s="536"/>
      <c r="K16" s="536"/>
      <c r="L16" s="536"/>
      <c r="M16" s="536"/>
      <c r="N16" s="536"/>
      <c r="O16" s="536"/>
      <c r="P16" s="729"/>
      <c r="Q16" s="730" t="e">
        <f>VLOOKUP($G$8,'6.Bảng lương  '!$B$16:$AW53,10,0)</f>
        <v>#N/A</v>
      </c>
      <c r="R16" s="536"/>
      <c r="S16" s="536"/>
      <c r="T16" s="536"/>
      <c r="U16" s="536"/>
      <c r="V16" s="536"/>
      <c r="W16" s="536"/>
      <c r="X16" s="536"/>
      <c r="Y16" s="536"/>
      <c r="Z16" s="536"/>
      <c r="AA16" s="536"/>
      <c r="AB16" s="536"/>
      <c r="AC16" s="537"/>
      <c r="AD16" s="359"/>
      <c r="AE16" s="341"/>
      <c r="AF16" s="332"/>
      <c r="AG16" s="332"/>
      <c r="AH16" s="332"/>
      <c r="AI16" s="332"/>
      <c r="AJ16" s="332"/>
    </row>
    <row r="17" spans="1:36" ht="22.5" customHeight="1" x14ac:dyDescent="0.25">
      <c r="A17" s="336"/>
      <c r="B17" s="352"/>
      <c r="C17" s="592"/>
      <c r="D17" s="675"/>
      <c r="E17" s="731" t="s">
        <v>310</v>
      </c>
      <c r="F17" s="515"/>
      <c r="G17" s="515"/>
      <c r="H17" s="515"/>
      <c r="I17" s="515"/>
      <c r="J17" s="515"/>
      <c r="K17" s="515"/>
      <c r="L17" s="515"/>
      <c r="M17" s="515"/>
      <c r="N17" s="515"/>
      <c r="O17" s="515"/>
      <c r="P17" s="516"/>
      <c r="Q17" s="725">
        <v>2620000</v>
      </c>
      <c r="R17" s="515"/>
      <c r="S17" s="515"/>
      <c r="T17" s="515"/>
      <c r="U17" s="515"/>
      <c r="V17" s="515"/>
      <c r="W17" s="515"/>
      <c r="X17" s="515"/>
      <c r="Y17" s="515"/>
      <c r="Z17" s="515"/>
      <c r="AA17" s="515"/>
      <c r="AB17" s="515"/>
      <c r="AC17" s="724"/>
      <c r="AD17" s="359"/>
      <c r="AE17" s="360"/>
      <c r="AF17" s="332"/>
      <c r="AG17" s="332"/>
      <c r="AH17" s="332"/>
      <c r="AI17" s="332"/>
      <c r="AJ17" s="332"/>
    </row>
    <row r="18" spans="1:36" ht="22.5" customHeight="1" x14ac:dyDescent="0.25">
      <c r="A18" s="336"/>
      <c r="B18" s="352"/>
      <c r="C18" s="592"/>
      <c r="D18" s="675"/>
      <c r="E18" s="731" t="s">
        <v>311</v>
      </c>
      <c r="F18" s="515"/>
      <c r="G18" s="515"/>
      <c r="H18" s="515"/>
      <c r="I18" s="515"/>
      <c r="J18" s="515"/>
      <c r="K18" s="515"/>
      <c r="L18" s="515"/>
      <c r="M18" s="515"/>
      <c r="N18" s="515"/>
      <c r="O18" s="515"/>
      <c r="P18" s="516"/>
      <c r="Q18" s="725">
        <v>27380000</v>
      </c>
      <c r="R18" s="515"/>
      <c r="S18" s="515"/>
      <c r="T18" s="515"/>
      <c r="U18" s="515"/>
      <c r="V18" s="515"/>
      <c r="W18" s="515"/>
      <c r="X18" s="515"/>
      <c r="Y18" s="515"/>
      <c r="Z18" s="515"/>
      <c r="AA18" s="515"/>
      <c r="AB18" s="515"/>
      <c r="AC18" s="724"/>
      <c r="AD18" s="359"/>
      <c r="AE18" s="360"/>
      <c r="AF18" s="332"/>
      <c r="AG18" s="332"/>
      <c r="AH18" s="332"/>
      <c r="AI18" s="332"/>
      <c r="AJ18" s="332"/>
    </row>
    <row r="19" spans="1:36" ht="22.5" customHeight="1" x14ac:dyDescent="0.25">
      <c r="A19" s="336"/>
      <c r="B19" s="352"/>
      <c r="C19" s="592"/>
      <c r="D19" s="675"/>
      <c r="E19" s="722" t="s">
        <v>293</v>
      </c>
      <c r="F19" s="515"/>
      <c r="G19" s="515"/>
      <c r="H19" s="515"/>
      <c r="I19" s="515"/>
      <c r="J19" s="515"/>
      <c r="K19" s="515"/>
      <c r="L19" s="515"/>
      <c r="M19" s="515"/>
      <c r="N19" s="515"/>
      <c r="O19" s="515"/>
      <c r="P19" s="516"/>
      <c r="Q19" s="723" t="e">
        <f>VLOOKUP($G$8,'6.Bảng lương  '!$B$16:$AW53,19,0)</f>
        <v>#N/A</v>
      </c>
      <c r="R19" s="515"/>
      <c r="S19" s="515"/>
      <c r="T19" s="515"/>
      <c r="U19" s="515"/>
      <c r="V19" s="515"/>
      <c r="W19" s="515"/>
      <c r="X19" s="515"/>
      <c r="Y19" s="515"/>
      <c r="Z19" s="515"/>
      <c r="AA19" s="515"/>
      <c r="AB19" s="515"/>
      <c r="AC19" s="724"/>
      <c r="AD19" s="359"/>
      <c r="AE19" s="360"/>
      <c r="AF19" s="332"/>
      <c r="AG19" s="332"/>
      <c r="AH19" s="332"/>
      <c r="AI19" s="332"/>
      <c r="AJ19" s="332"/>
    </row>
    <row r="20" spans="1:36" ht="22.5" customHeight="1" x14ac:dyDescent="0.25">
      <c r="A20" s="336"/>
      <c r="B20" s="352"/>
      <c r="C20" s="592"/>
      <c r="D20" s="675"/>
      <c r="E20" s="722" t="s">
        <v>312</v>
      </c>
      <c r="F20" s="515"/>
      <c r="G20" s="515"/>
      <c r="H20" s="515"/>
      <c r="I20" s="515"/>
      <c r="J20" s="515"/>
      <c r="K20" s="515"/>
      <c r="L20" s="515"/>
      <c r="M20" s="515"/>
      <c r="N20" s="515"/>
      <c r="O20" s="515"/>
      <c r="P20" s="516"/>
      <c r="Q20" s="723" t="e">
        <f>VLOOKUP($G$8,'6.Bảng lương  '!$B$16:$AW53,24,0)</f>
        <v>#N/A</v>
      </c>
      <c r="R20" s="515"/>
      <c r="S20" s="515"/>
      <c r="T20" s="515"/>
      <c r="U20" s="515"/>
      <c r="V20" s="515"/>
      <c r="W20" s="515"/>
      <c r="X20" s="515"/>
      <c r="Y20" s="515"/>
      <c r="Z20" s="515"/>
      <c r="AA20" s="515"/>
      <c r="AB20" s="515"/>
      <c r="AC20" s="724"/>
      <c r="AD20" s="359"/>
      <c r="AE20" s="360"/>
      <c r="AF20" s="332"/>
      <c r="AG20" s="332"/>
      <c r="AH20" s="332"/>
      <c r="AI20" s="332"/>
      <c r="AJ20" s="332"/>
    </row>
    <row r="21" spans="1:36" ht="22.5" customHeight="1" x14ac:dyDescent="0.25">
      <c r="A21" s="336"/>
      <c r="B21" s="352"/>
      <c r="C21" s="592"/>
      <c r="D21" s="675"/>
      <c r="E21" s="722" t="s">
        <v>294</v>
      </c>
      <c r="F21" s="515"/>
      <c r="G21" s="515"/>
      <c r="H21" s="515"/>
      <c r="I21" s="515"/>
      <c r="J21" s="515"/>
      <c r="K21" s="515"/>
      <c r="L21" s="515"/>
      <c r="M21" s="515"/>
      <c r="N21" s="515"/>
      <c r="O21" s="515"/>
      <c r="P21" s="516"/>
      <c r="Q21" s="723" t="e">
        <f>VLOOKUP($G$8,'6.Bảng lương  '!$B$16:$AW53,25,0)</f>
        <v>#N/A</v>
      </c>
      <c r="R21" s="515"/>
      <c r="S21" s="515"/>
      <c r="T21" s="515"/>
      <c r="U21" s="515"/>
      <c r="V21" s="515"/>
      <c r="W21" s="515"/>
      <c r="X21" s="515"/>
      <c r="Y21" s="515"/>
      <c r="Z21" s="515"/>
      <c r="AA21" s="515"/>
      <c r="AB21" s="515"/>
      <c r="AC21" s="724"/>
      <c r="AD21" s="359"/>
      <c r="AE21" s="360"/>
      <c r="AF21" s="332"/>
      <c r="AG21" s="332"/>
      <c r="AH21" s="332"/>
      <c r="AI21" s="332"/>
      <c r="AJ21" s="332"/>
    </row>
    <row r="22" spans="1:36" ht="22.5" customHeight="1" x14ac:dyDescent="0.25">
      <c r="A22" s="336"/>
      <c r="B22" s="352"/>
      <c r="C22" s="560"/>
      <c r="D22" s="561"/>
      <c r="E22" s="769" t="s">
        <v>295</v>
      </c>
      <c r="F22" s="686"/>
      <c r="G22" s="686"/>
      <c r="H22" s="686"/>
      <c r="I22" s="686"/>
      <c r="J22" s="686"/>
      <c r="K22" s="686"/>
      <c r="L22" s="686"/>
      <c r="M22" s="686"/>
      <c r="N22" s="686"/>
      <c r="O22" s="686"/>
      <c r="P22" s="754"/>
      <c r="Q22" s="770" t="e">
        <f>VLOOKUP($G$8,'6.Bảng lương  '!$B$16:$AW53,23,0)</f>
        <v>#N/A</v>
      </c>
      <c r="R22" s="686"/>
      <c r="S22" s="686"/>
      <c r="T22" s="686"/>
      <c r="U22" s="686"/>
      <c r="V22" s="686"/>
      <c r="W22" s="686"/>
      <c r="X22" s="686"/>
      <c r="Y22" s="686"/>
      <c r="Z22" s="686"/>
      <c r="AA22" s="686"/>
      <c r="AB22" s="686"/>
      <c r="AC22" s="751"/>
      <c r="AD22" s="359"/>
      <c r="AE22" s="360"/>
      <c r="AF22" s="332"/>
      <c r="AG22" s="332"/>
      <c r="AH22" s="332"/>
      <c r="AI22" s="332"/>
      <c r="AJ22" s="332"/>
    </row>
    <row r="23" spans="1:36" ht="22.5" customHeight="1" x14ac:dyDescent="0.25">
      <c r="A23" s="336"/>
      <c r="B23" s="352"/>
      <c r="C23" s="361"/>
      <c r="D23" s="361"/>
      <c r="E23" s="362"/>
      <c r="F23" s="362"/>
      <c r="G23" s="362"/>
      <c r="H23" s="362"/>
      <c r="I23" s="362"/>
      <c r="J23" s="362"/>
      <c r="K23" s="362"/>
      <c r="L23" s="362"/>
      <c r="M23" s="362"/>
      <c r="N23" s="362"/>
      <c r="O23" s="362"/>
      <c r="P23" s="362"/>
      <c r="Q23" s="363"/>
      <c r="R23" s="363"/>
      <c r="S23" s="363"/>
      <c r="T23" s="363"/>
      <c r="U23" s="363"/>
      <c r="V23" s="363"/>
      <c r="W23" s="363"/>
      <c r="X23" s="363"/>
      <c r="Y23" s="363"/>
      <c r="Z23" s="363"/>
      <c r="AA23" s="363"/>
      <c r="AB23" s="363"/>
      <c r="AC23" s="363"/>
      <c r="AD23" s="359"/>
      <c r="AE23" s="360"/>
      <c r="AF23" s="332"/>
      <c r="AG23" s="332"/>
      <c r="AH23" s="332"/>
      <c r="AI23" s="332"/>
      <c r="AJ23" s="332"/>
    </row>
    <row r="24" spans="1:36" ht="22.5" customHeight="1" x14ac:dyDescent="0.25">
      <c r="A24" s="336"/>
      <c r="B24" s="352"/>
      <c r="C24" s="764" t="s">
        <v>296</v>
      </c>
      <c r="D24" s="718"/>
      <c r="E24" s="765" t="s">
        <v>313</v>
      </c>
      <c r="F24" s="536"/>
      <c r="G24" s="536"/>
      <c r="H24" s="536"/>
      <c r="I24" s="536"/>
      <c r="J24" s="536"/>
      <c r="K24" s="536"/>
      <c r="L24" s="536"/>
      <c r="M24" s="536"/>
      <c r="N24" s="536"/>
      <c r="O24" s="536"/>
      <c r="P24" s="729"/>
      <c r="Q24" s="771" t="e">
        <f>VLOOKUP($G$8,'6.Bảng lương  '!$B$16:$AW53,46,0)</f>
        <v>#N/A</v>
      </c>
      <c r="R24" s="536"/>
      <c r="S24" s="536"/>
      <c r="T24" s="536"/>
      <c r="U24" s="536"/>
      <c r="V24" s="536"/>
      <c r="W24" s="536"/>
      <c r="X24" s="536"/>
      <c r="Y24" s="536"/>
      <c r="Z24" s="536"/>
      <c r="AA24" s="536"/>
      <c r="AB24" s="536"/>
      <c r="AC24" s="537"/>
      <c r="AD24" s="359"/>
      <c r="AE24" s="360"/>
      <c r="AF24" s="332"/>
      <c r="AG24" s="332"/>
      <c r="AH24" s="332"/>
      <c r="AI24" s="332"/>
      <c r="AJ24" s="332"/>
    </row>
    <row r="25" spans="1:36" ht="22.5" customHeight="1" x14ac:dyDescent="0.25">
      <c r="A25" s="336"/>
      <c r="B25" s="352"/>
      <c r="C25" s="592"/>
      <c r="D25" s="702"/>
      <c r="E25" s="766" t="s">
        <v>314</v>
      </c>
      <c r="F25" s="515"/>
      <c r="G25" s="515"/>
      <c r="H25" s="515"/>
      <c r="I25" s="515"/>
      <c r="J25" s="515"/>
      <c r="K25" s="515"/>
      <c r="L25" s="515"/>
      <c r="M25" s="515"/>
      <c r="N25" s="515"/>
      <c r="O25" s="515"/>
      <c r="P25" s="516"/>
      <c r="Q25" s="756" t="e">
        <f>VLOOKUP($G$8,'6.Bảng lương  '!$B$16:$AW53,52,0)</f>
        <v>#N/A</v>
      </c>
      <c r="R25" s="515"/>
      <c r="S25" s="515"/>
      <c r="T25" s="515"/>
      <c r="U25" s="515"/>
      <c r="V25" s="515"/>
      <c r="W25" s="515"/>
      <c r="X25" s="515"/>
      <c r="Y25" s="515"/>
      <c r="Z25" s="515"/>
      <c r="AA25" s="515"/>
      <c r="AB25" s="515"/>
      <c r="AC25" s="724"/>
      <c r="AD25" s="359"/>
      <c r="AE25" s="360"/>
      <c r="AF25" s="332"/>
      <c r="AG25" s="332"/>
      <c r="AH25" s="332"/>
      <c r="AI25" s="332"/>
      <c r="AJ25" s="332"/>
    </row>
    <row r="26" spans="1:36" ht="22.5" customHeight="1" x14ac:dyDescent="0.25">
      <c r="A26" s="336"/>
      <c r="B26" s="352"/>
      <c r="C26" s="592"/>
      <c r="D26" s="702"/>
      <c r="E26" s="766" t="s">
        <v>299</v>
      </c>
      <c r="F26" s="515"/>
      <c r="G26" s="515"/>
      <c r="H26" s="515"/>
      <c r="I26" s="515"/>
      <c r="J26" s="515"/>
      <c r="K26" s="515"/>
      <c r="L26" s="515"/>
      <c r="M26" s="515"/>
      <c r="N26" s="515"/>
      <c r="O26" s="515"/>
      <c r="P26" s="516"/>
      <c r="Q26" s="756">
        <v>0</v>
      </c>
      <c r="R26" s="515"/>
      <c r="S26" s="515"/>
      <c r="T26" s="515"/>
      <c r="U26" s="515"/>
      <c r="V26" s="515"/>
      <c r="W26" s="515"/>
      <c r="X26" s="515"/>
      <c r="Y26" s="515"/>
      <c r="Z26" s="515"/>
      <c r="AA26" s="515"/>
      <c r="AB26" s="515"/>
      <c r="AC26" s="724"/>
      <c r="AD26" s="359"/>
      <c r="AE26" s="360"/>
      <c r="AF26" s="332"/>
      <c r="AG26" s="332"/>
      <c r="AH26" s="332"/>
      <c r="AI26" s="332"/>
      <c r="AJ26" s="332"/>
    </row>
    <row r="27" spans="1:36" ht="30.75" customHeight="1" x14ac:dyDescent="0.25">
      <c r="A27" s="336"/>
      <c r="B27" s="352"/>
      <c r="C27" s="592"/>
      <c r="D27" s="702"/>
      <c r="E27" s="767" t="s">
        <v>315</v>
      </c>
      <c r="F27" s="515"/>
      <c r="G27" s="515"/>
      <c r="H27" s="515"/>
      <c r="I27" s="515"/>
      <c r="J27" s="515"/>
      <c r="K27" s="515"/>
      <c r="L27" s="515"/>
      <c r="M27" s="515"/>
      <c r="N27" s="515"/>
      <c r="O27" s="515"/>
      <c r="P27" s="516"/>
      <c r="Q27" s="756" t="e">
        <f>VLOOKUP($G$8,'6.Bảng lương  '!$B$16:$AW53,53,0)</f>
        <v>#N/A</v>
      </c>
      <c r="R27" s="515"/>
      <c r="S27" s="515"/>
      <c r="T27" s="515"/>
      <c r="U27" s="515"/>
      <c r="V27" s="515"/>
      <c r="W27" s="515"/>
      <c r="X27" s="515"/>
      <c r="Y27" s="515"/>
      <c r="Z27" s="515"/>
      <c r="AA27" s="515"/>
      <c r="AB27" s="515"/>
      <c r="AC27" s="724"/>
      <c r="AD27" s="359"/>
      <c r="AE27" s="360"/>
      <c r="AF27" s="332"/>
      <c r="AG27" s="332"/>
      <c r="AH27" s="332"/>
      <c r="AI27" s="332"/>
      <c r="AJ27" s="332"/>
    </row>
    <row r="28" spans="1:36" ht="22.5" customHeight="1" x14ac:dyDescent="0.25">
      <c r="A28" s="336"/>
      <c r="B28" s="352"/>
      <c r="C28" s="560"/>
      <c r="D28" s="719"/>
      <c r="E28" s="768" t="s">
        <v>300</v>
      </c>
      <c r="F28" s="686"/>
      <c r="G28" s="686"/>
      <c r="H28" s="686"/>
      <c r="I28" s="686"/>
      <c r="J28" s="686"/>
      <c r="K28" s="686"/>
      <c r="L28" s="686"/>
      <c r="M28" s="686"/>
      <c r="N28" s="686"/>
      <c r="O28" s="686"/>
      <c r="P28" s="754"/>
      <c r="Q28" s="757">
        <v>0</v>
      </c>
      <c r="R28" s="686"/>
      <c r="S28" s="686"/>
      <c r="T28" s="686"/>
      <c r="U28" s="686"/>
      <c r="V28" s="686"/>
      <c r="W28" s="686"/>
      <c r="X28" s="686"/>
      <c r="Y28" s="686"/>
      <c r="Z28" s="686"/>
      <c r="AA28" s="686"/>
      <c r="AB28" s="686"/>
      <c r="AC28" s="751"/>
      <c r="AD28" s="359"/>
      <c r="AE28" s="360"/>
      <c r="AF28" s="332"/>
      <c r="AG28" s="332"/>
      <c r="AH28" s="332"/>
      <c r="AI28" s="332"/>
      <c r="AJ28" s="332"/>
    </row>
    <row r="29" spans="1:36" ht="15.75" customHeight="1" x14ac:dyDescent="0.25">
      <c r="A29" s="336"/>
      <c r="B29" s="364"/>
      <c r="C29" s="365"/>
      <c r="D29" s="365"/>
      <c r="E29" s="366"/>
      <c r="F29" s="366"/>
      <c r="G29" s="366"/>
      <c r="H29" s="366"/>
      <c r="I29" s="366"/>
      <c r="J29" s="366"/>
      <c r="K29" s="366"/>
      <c r="L29" s="366"/>
      <c r="M29" s="366"/>
      <c r="N29" s="366"/>
      <c r="O29" s="366"/>
      <c r="P29" s="355"/>
      <c r="Q29" s="367"/>
      <c r="R29" s="367"/>
      <c r="S29" s="367"/>
      <c r="T29" s="367"/>
      <c r="U29" s="367"/>
      <c r="V29" s="367"/>
      <c r="W29" s="367"/>
      <c r="X29" s="367"/>
      <c r="Y29" s="367"/>
      <c r="Z29" s="367"/>
      <c r="AA29" s="367"/>
      <c r="AB29" s="367"/>
      <c r="AC29" s="367"/>
      <c r="AD29" s="340"/>
      <c r="AE29" s="360"/>
      <c r="AF29" s="332"/>
      <c r="AG29" s="332"/>
      <c r="AH29" s="332"/>
      <c r="AI29" s="332"/>
      <c r="AJ29" s="332"/>
    </row>
    <row r="30" spans="1:36" ht="15.75" customHeight="1" x14ac:dyDescent="0.25">
      <c r="A30" s="336"/>
      <c r="B30" s="352"/>
      <c r="C30" s="755" t="s">
        <v>301</v>
      </c>
      <c r="D30" s="559"/>
      <c r="E30" s="745" t="s">
        <v>302</v>
      </c>
      <c r="F30" s="591"/>
      <c r="G30" s="591"/>
      <c r="H30" s="591"/>
      <c r="I30" s="591"/>
      <c r="J30" s="591"/>
      <c r="K30" s="591"/>
      <c r="L30" s="591"/>
      <c r="M30" s="591"/>
      <c r="N30" s="591"/>
      <c r="O30" s="591"/>
      <c r="P30" s="591"/>
      <c r="Q30" s="591"/>
      <c r="R30" s="591"/>
      <c r="S30" s="591"/>
      <c r="T30" s="591"/>
      <c r="U30" s="591"/>
      <c r="V30" s="591"/>
      <c r="W30" s="718"/>
      <c r="X30" s="748" t="e">
        <f>VLOOKUP($G$8,'6.Bảng lương  '!$B$16:$AW53,55,0)</f>
        <v>#N/A</v>
      </c>
      <c r="Y30" s="591"/>
      <c r="Z30" s="591"/>
      <c r="AA30" s="591"/>
      <c r="AB30" s="591"/>
      <c r="AC30" s="559"/>
      <c r="AD30" s="359"/>
      <c r="AE30" s="360"/>
      <c r="AF30" s="332"/>
      <c r="AG30" s="332"/>
      <c r="AH30" s="332"/>
      <c r="AI30" s="332"/>
      <c r="AJ30" s="332"/>
    </row>
    <row r="31" spans="1:36" ht="15.75" customHeight="1" x14ac:dyDescent="0.25">
      <c r="A31" s="336"/>
      <c r="B31" s="352"/>
      <c r="C31" s="592"/>
      <c r="D31" s="675"/>
      <c r="E31" s="746"/>
      <c r="F31" s="507"/>
      <c r="G31" s="507"/>
      <c r="H31" s="507"/>
      <c r="I31" s="507"/>
      <c r="J31" s="507"/>
      <c r="K31" s="507"/>
      <c r="L31" s="507"/>
      <c r="M31" s="507"/>
      <c r="N31" s="507"/>
      <c r="O31" s="507"/>
      <c r="P31" s="507"/>
      <c r="Q31" s="507"/>
      <c r="R31" s="507"/>
      <c r="S31" s="507"/>
      <c r="T31" s="507"/>
      <c r="U31" s="507"/>
      <c r="V31" s="507"/>
      <c r="W31" s="702"/>
      <c r="X31" s="746"/>
      <c r="Y31" s="507"/>
      <c r="Z31" s="507"/>
      <c r="AA31" s="507"/>
      <c r="AB31" s="507"/>
      <c r="AC31" s="675"/>
      <c r="AD31" s="359"/>
      <c r="AE31" s="360"/>
      <c r="AF31" s="332"/>
      <c r="AG31" s="332"/>
      <c r="AH31" s="332"/>
      <c r="AI31" s="332"/>
      <c r="AJ31" s="332"/>
    </row>
    <row r="32" spans="1:36" ht="15.75" customHeight="1" x14ac:dyDescent="0.25">
      <c r="A32" s="336"/>
      <c r="B32" s="352"/>
      <c r="C32" s="592"/>
      <c r="D32" s="675"/>
      <c r="E32" s="746"/>
      <c r="F32" s="507"/>
      <c r="G32" s="507"/>
      <c r="H32" s="507"/>
      <c r="I32" s="507"/>
      <c r="J32" s="507"/>
      <c r="K32" s="507"/>
      <c r="L32" s="507"/>
      <c r="M32" s="507"/>
      <c r="N32" s="507"/>
      <c r="O32" s="507"/>
      <c r="P32" s="507"/>
      <c r="Q32" s="507"/>
      <c r="R32" s="507"/>
      <c r="S32" s="507"/>
      <c r="T32" s="507"/>
      <c r="U32" s="507"/>
      <c r="V32" s="507"/>
      <c r="W32" s="702"/>
      <c r="X32" s="746"/>
      <c r="Y32" s="507"/>
      <c r="Z32" s="507"/>
      <c r="AA32" s="507"/>
      <c r="AB32" s="507"/>
      <c r="AC32" s="675"/>
      <c r="AD32" s="359"/>
      <c r="AE32" s="360"/>
      <c r="AF32" s="332"/>
      <c r="AG32" s="332"/>
      <c r="AH32" s="332"/>
      <c r="AI32" s="332"/>
      <c r="AJ32" s="332"/>
    </row>
    <row r="33" spans="1:36" ht="15.75" customHeight="1" x14ac:dyDescent="0.25">
      <c r="A33" s="336"/>
      <c r="B33" s="352"/>
      <c r="C33" s="592"/>
      <c r="D33" s="675"/>
      <c r="E33" s="746"/>
      <c r="F33" s="507"/>
      <c r="G33" s="507"/>
      <c r="H33" s="507"/>
      <c r="I33" s="507"/>
      <c r="J33" s="507"/>
      <c r="K33" s="507"/>
      <c r="L33" s="507"/>
      <c r="M33" s="507"/>
      <c r="N33" s="507"/>
      <c r="O33" s="507"/>
      <c r="P33" s="507"/>
      <c r="Q33" s="507"/>
      <c r="R33" s="507"/>
      <c r="S33" s="507"/>
      <c r="T33" s="507"/>
      <c r="U33" s="507"/>
      <c r="V33" s="507"/>
      <c r="W33" s="702"/>
      <c r="X33" s="746"/>
      <c r="Y33" s="507"/>
      <c r="Z33" s="507"/>
      <c r="AA33" s="507"/>
      <c r="AB33" s="507"/>
      <c r="AC33" s="675"/>
      <c r="AD33" s="359"/>
      <c r="AE33" s="360"/>
      <c r="AF33" s="332"/>
      <c r="AG33" s="332"/>
      <c r="AH33" s="332"/>
      <c r="AI33" s="332"/>
      <c r="AJ33" s="332"/>
    </row>
    <row r="34" spans="1:36" ht="15.75" customHeight="1" x14ac:dyDescent="0.25">
      <c r="A34" s="336"/>
      <c r="B34" s="352"/>
      <c r="C34" s="560"/>
      <c r="D34" s="561"/>
      <c r="E34" s="747"/>
      <c r="F34" s="673"/>
      <c r="G34" s="673"/>
      <c r="H34" s="673"/>
      <c r="I34" s="673"/>
      <c r="J34" s="673"/>
      <c r="K34" s="673"/>
      <c r="L34" s="673"/>
      <c r="M34" s="673"/>
      <c r="N34" s="673"/>
      <c r="O34" s="673"/>
      <c r="P34" s="673"/>
      <c r="Q34" s="673"/>
      <c r="R34" s="673"/>
      <c r="S34" s="673"/>
      <c r="T34" s="673"/>
      <c r="U34" s="673"/>
      <c r="V34" s="673"/>
      <c r="W34" s="719"/>
      <c r="X34" s="747"/>
      <c r="Y34" s="673"/>
      <c r="Z34" s="673"/>
      <c r="AA34" s="673"/>
      <c r="AB34" s="673"/>
      <c r="AC34" s="561"/>
      <c r="AD34" s="359"/>
      <c r="AE34" s="360"/>
      <c r="AF34" s="332"/>
      <c r="AG34" s="332"/>
      <c r="AH34" s="332"/>
      <c r="AI34" s="332"/>
      <c r="AJ34" s="332"/>
    </row>
    <row r="35" spans="1:36" ht="22.5" customHeight="1" x14ac:dyDescent="0.25">
      <c r="A35" s="347"/>
      <c r="B35" s="348"/>
      <c r="C35" s="752" t="s">
        <v>303</v>
      </c>
      <c r="D35" s="536"/>
      <c r="E35" s="536"/>
      <c r="F35" s="536"/>
      <c r="G35" s="536"/>
      <c r="H35" s="536"/>
      <c r="I35" s="536"/>
      <c r="J35" s="536"/>
      <c r="K35" s="536"/>
      <c r="L35" s="536"/>
      <c r="M35" s="536"/>
      <c r="N35" s="536"/>
      <c r="O35" s="536"/>
      <c r="P35" s="729"/>
      <c r="Q35" s="749" t="e">
        <f>VLOOKUP($G$8,'6.Bảng lương  '!$B$16:$AW53,42,0)</f>
        <v>#N/A</v>
      </c>
      <c r="R35" s="536"/>
      <c r="S35" s="536"/>
      <c r="T35" s="536"/>
      <c r="U35" s="536"/>
      <c r="V35" s="536"/>
      <c r="W35" s="536"/>
      <c r="X35" s="536"/>
      <c r="Y35" s="536"/>
      <c r="Z35" s="536"/>
      <c r="AA35" s="536"/>
      <c r="AB35" s="536"/>
      <c r="AC35" s="537"/>
      <c r="AD35" s="349"/>
      <c r="AE35" s="368"/>
      <c r="AF35" s="351"/>
      <c r="AG35" s="351"/>
      <c r="AH35" s="351"/>
      <c r="AI35" s="351"/>
      <c r="AJ35" s="351"/>
    </row>
    <row r="36" spans="1:36" ht="27.75" customHeight="1" x14ac:dyDescent="0.25">
      <c r="A36" s="347"/>
      <c r="B36" s="348"/>
      <c r="C36" s="753" t="s">
        <v>304</v>
      </c>
      <c r="D36" s="686"/>
      <c r="E36" s="686"/>
      <c r="F36" s="686"/>
      <c r="G36" s="686"/>
      <c r="H36" s="686"/>
      <c r="I36" s="686"/>
      <c r="J36" s="686"/>
      <c r="K36" s="686"/>
      <c r="L36" s="686"/>
      <c r="M36" s="686"/>
      <c r="N36" s="686"/>
      <c r="O36" s="686"/>
      <c r="P36" s="754"/>
      <c r="Q36" s="750" t="e">
        <f>SUM(Q16:AC22)+Q26+Q35</f>
        <v>#N/A</v>
      </c>
      <c r="R36" s="686"/>
      <c r="S36" s="686"/>
      <c r="T36" s="686"/>
      <c r="U36" s="686"/>
      <c r="V36" s="686"/>
      <c r="W36" s="686"/>
      <c r="X36" s="686"/>
      <c r="Y36" s="686"/>
      <c r="Z36" s="686"/>
      <c r="AA36" s="686"/>
      <c r="AB36" s="686"/>
      <c r="AC36" s="751"/>
      <c r="AD36" s="349"/>
      <c r="AE36" s="368"/>
      <c r="AF36" s="351"/>
      <c r="AG36" s="351"/>
      <c r="AH36" s="351"/>
      <c r="AI36" s="351"/>
      <c r="AJ36" s="351"/>
    </row>
    <row r="37" spans="1:36" ht="15.75" customHeight="1" x14ac:dyDescent="0.25">
      <c r="A37" s="336"/>
      <c r="B37" s="369"/>
      <c r="C37" s="370"/>
      <c r="D37" s="370"/>
      <c r="E37" s="370"/>
      <c r="F37" s="370"/>
      <c r="G37" s="370"/>
      <c r="H37" s="370"/>
      <c r="I37" s="370"/>
      <c r="J37" s="370"/>
      <c r="K37" s="370"/>
      <c r="L37" s="370"/>
      <c r="M37" s="370"/>
      <c r="N37" s="370"/>
      <c r="O37" s="370"/>
      <c r="P37" s="370"/>
      <c r="Q37" s="370"/>
      <c r="R37" s="370"/>
      <c r="S37" s="370"/>
      <c r="T37" s="370"/>
      <c r="U37" s="370"/>
      <c r="V37" s="370"/>
      <c r="W37" s="370"/>
      <c r="X37" s="370"/>
      <c r="Y37" s="370"/>
      <c r="Z37" s="370"/>
      <c r="AA37" s="370"/>
      <c r="AB37" s="370"/>
      <c r="AC37" s="370"/>
      <c r="AD37" s="371"/>
      <c r="AE37" s="360"/>
      <c r="AF37" s="332"/>
      <c r="AG37" s="332"/>
      <c r="AH37" s="332"/>
      <c r="AI37" s="332"/>
      <c r="AJ37" s="332"/>
    </row>
    <row r="38" spans="1:36" ht="15.75" customHeight="1" x14ac:dyDescent="0.25">
      <c r="A38" s="372"/>
      <c r="B38" s="354"/>
      <c r="C38" s="354"/>
      <c r="D38" s="354"/>
      <c r="E38" s="354"/>
      <c r="F38" s="354"/>
      <c r="G38" s="354"/>
      <c r="H38" s="354"/>
      <c r="I38" s="354"/>
      <c r="J38" s="354"/>
      <c r="K38" s="354"/>
      <c r="L38" s="354"/>
      <c r="M38" s="354"/>
      <c r="N38" s="354"/>
      <c r="O38" s="354"/>
      <c r="P38" s="354"/>
      <c r="Q38" s="354"/>
      <c r="R38" s="354"/>
      <c r="S38" s="354"/>
      <c r="T38" s="354"/>
      <c r="U38" s="354"/>
      <c r="V38" s="354"/>
      <c r="W38" s="354"/>
      <c r="X38" s="354"/>
      <c r="Y38" s="354"/>
      <c r="Z38" s="354"/>
      <c r="AA38" s="354"/>
      <c r="AB38" s="354"/>
      <c r="AC38" s="354"/>
      <c r="AD38" s="354"/>
      <c r="AE38" s="372"/>
      <c r="AF38" s="332"/>
      <c r="AG38" s="332"/>
      <c r="AH38" s="332"/>
      <c r="AI38" s="332"/>
      <c r="AJ38" s="332"/>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2:P22"/>
    <mergeCell ref="Q22:AC22"/>
    <mergeCell ref="Q24:AC24"/>
    <mergeCell ref="Q25:AC25"/>
    <mergeCell ref="Q26:AC26"/>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30:W34"/>
    <mergeCell ref="X30:AC34"/>
    <mergeCell ref="Q35:AC35"/>
    <mergeCell ref="Q36:AC36"/>
    <mergeCell ref="C35:P35"/>
    <mergeCell ref="C36:P36"/>
    <mergeCell ref="C30:D34"/>
    <mergeCell ref="B2:E5"/>
    <mergeCell ref="F2:AD5"/>
    <mergeCell ref="C6:AC6"/>
    <mergeCell ref="C8:F8"/>
    <mergeCell ref="G8:AC8"/>
    <mergeCell ref="C9:F9"/>
    <mergeCell ref="G9:AC9"/>
    <mergeCell ref="E16:P16"/>
    <mergeCell ref="Q16:AC16"/>
    <mergeCell ref="E17:P17"/>
    <mergeCell ref="Q17:AC17"/>
    <mergeCell ref="C10:F10"/>
    <mergeCell ref="G10:AC10"/>
    <mergeCell ref="C11:F11"/>
    <mergeCell ref="G11:AC11"/>
    <mergeCell ref="G12:N12"/>
    <mergeCell ref="O12:V12"/>
    <mergeCell ref="W12:AC12"/>
    <mergeCell ref="E21:P21"/>
    <mergeCell ref="Q21:AC21"/>
    <mergeCell ref="Q18:AC18"/>
    <mergeCell ref="E19:P19"/>
    <mergeCell ref="Q19:AC19"/>
    <mergeCell ref="E20:P20"/>
    <mergeCell ref="Q20:AC20"/>
  </mergeCells>
  <conditionalFormatting sqref="G12:N12">
    <cfRule type="containsText" dxfId="8122" priority="1" operator="containsText" text="Đã Nghỉ">
      <formula>NOT(ISERROR(SEARCH(("Đã Nghỉ"),(G12))))</formula>
    </cfRule>
    <cfRule type="containsText" dxfId="8121" priority="2" operator="containsText" text="Chính Thức">
      <formula>NOT(ISERROR(SEARCH(("Chính Thức"),(G12))))</formula>
    </cfRule>
    <cfRule type="containsText" dxfId="8120" priority="3" operator="containsText" text="Thử Việc">
      <formula>NOT(ISERROR(SEARCH(("Thử Việc"),(G12))))</formula>
    </cfRule>
    <cfRule type="containsText" dxfId="8119"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2026-07-03T02:18:42Z</dcterms:modified>
</cp:coreProperties>
</file>