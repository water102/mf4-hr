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aong\Downloads\MS14\Lương và hợp đồng\Lương\Phiếu lương\Tháng 4.26\"/>
    </mc:Choice>
  </mc:AlternateContent>
  <xr:revisionPtr revIDLastSave="0" documentId="13_ncr:1_{1D90D15D-2C82-41A1-A5D1-C0C2B06755C9}" xr6:coauthVersionLast="47" xr6:coauthVersionMax="47" xr10:uidLastSave="{00000000-0000-0000-0000-000000000000}"/>
  <bookViews>
    <workbookView xWindow="-108" yWindow="-108" windowWidth="23256" windowHeight="12456" firstSheet="2" activeTab="5" xr2:uid="{00000000-000D-0000-FFFF-FFFF00000000}"/>
  </bookViews>
  <sheets>
    <sheet name="MỤC LỤC" sheetId="1" r:id="rId1"/>
    <sheet name="1.ĐNTT LẦN 1" sheetId="2" r:id="rId2"/>
    <sheet name="2. DS TKNH L1" sheetId="3" r:id="rId3"/>
    <sheet name="3. BẢNG CHẤM CÔNG" sheetId="4" r:id="rId4"/>
    <sheet name="4. Bảng phép năm 2026" sheetId="6" state="hidden" r:id="rId5"/>
    <sheet name=" 5. Thông số TL" sheetId="7" r:id="rId6"/>
    <sheet name="5.1 Cộng tác viên" sheetId="8" state="hidden" r:id="rId7"/>
    <sheet name="6.Bảng lương  " sheetId="9" r:id="rId8"/>
    <sheet name="7. Thuế TNCN" sheetId="10" state="hidden" r:id="rId9"/>
    <sheet name="7.Danh sách NPT" sheetId="11" state="hidden" r:id="rId10"/>
    <sheet name="8. Phiếu lương" sheetId="12" r:id="rId11"/>
    <sheet name="Bản sao của 8. Phiếu lương" sheetId="1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_________________________________a129">#REF!</definedName>
    <definedName name="__________________________________a130">#REF!</definedName>
    <definedName name="_________________________________a129">#REF!</definedName>
    <definedName name="_________________________________a130">#REF!</definedName>
    <definedName name="________________________________a129">#REF!</definedName>
    <definedName name="________________________________a130">#REF!</definedName>
    <definedName name="_______________________________a129">#REF!</definedName>
    <definedName name="_______________________________a130">#REF!</definedName>
    <definedName name="______________________________a129">#REF!</definedName>
    <definedName name="______________________________a130">#REF!</definedName>
    <definedName name="_____________________________a129">#REF!</definedName>
    <definedName name="_____________________________a130">#REF!</definedName>
    <definedName name="____________________________a129">#REF!</definedName>
    <definedName name="____________________________a130">#REF!</definedName>
    <definedName name="___________________________a129">#REF!</definedName>
    <definedName name="___________________________a130">#REF!</definedName>
    <definedName name="__________________________a129">#REF!</definedName>
    <definedName name="__________________________a130">#REF!</definedName>
    <definedName name="_________________________a129">#REF!</definedName>
    <definedName name="_________________________a130">#REF!</definedName>
    <definedName name="________________________a129">#REF!</definedName>
    <definedName name="________________________a130">#REF!</definedName>
    <definedName name="_______________________a129">#REF!</definedName>
    <definedName name="_______________________a130">#REF!</definedName>
    <definedName name="______________________a129">#REF!</definedName>
    <definedName name="______________________a130">#REF!</definedName>
    <definedName name="_____________________a129">#REF!</definedName>
    <definedName name="_____________________a130">#REF!</definedName>
    <definedName name="____________________a129">#REF!</definedName>
    <definedName name="____________________a130">#REF!</definedName>
    <definedName name="___________________a129">#REF!</definedName>
    <definedName name="___________________a130">#REF!</definedName>
    <definedName name="__________________a129">#REF!</definedName>
    <definedName name="__________________a130">#REF!</definedName>
    <definedName name="_________________a129">#REF!</definedName>
    <definedName name="_________________a130">#REF!</definedName>
    <definedName name="________________a129">#REF!</definedName>
    <definedName name="________________a130">#REF!</definedName>
    <definedName name="_______________a129">#REF!</definedName>
    <definedName name="_______________a130">#REF!</definedName>
    <definedName name="______________a129">#REF!</definedName>
    <definedName name="______________a130">#REF!</definedName>
    <definedName name="_____________a129">#REF!</definedName>
    <definedName name="_____________a130">#REF!</definedName>
    <definedName name="____________a129">#REF!</definedName>
    <definedName name="____________a130">#REF!</definedName>
    <definedName name="___________a129">#REF!</definedName>
    <definedName name="___________a130">#REF!</definedName>
    <definedName name="__________a129">#REF!</definedName>
    <definedName name="__________a130">#REF!</definedName>
    <definedName name="_________a129">#REF!</definedName>
    <definedName name="_________a130">#REF!</definedName>
    <definedName name="________a129">#REF!</definedName>
    <definedName name="________a130">#REF!</definedName>
    <definedName name="_______a129">#REF!</definedName>
    <definedName name="_______a130">#REF!</definedName>
    <definedName name="______a129">#REF!</definedName>
    <definedName name="______a130">#REF!</definedName>
    <definedName name="_____a129">#REF!</definedName>
    <definedName name="_____a130">#REF!</definedName>
    <definedName name="____a129">#REF!</definedName>
    <definedName name="____a130">#REF!</definedName>
    <definedName name="____T01">#REF!</definedName>
    <definedName name="___a129">#REF!</definedName>
    <definedName name="___a130">#REF!</definedName>
    <definedName name="___CON1">#REF!</definedName>
    <definedName name="___CON2">#REF!</definedName>
    <definedName name="___NET2">#REF!</definedName>
    <definedName name="___T01">#REF!</definedName>
    <definedName name="__a129">#REF!</definedName>
    <definedName name="__a130">#REF!</definedName>
    <definedName name="__CON1">#REF!</definedName>
    <definedName name="__CON2">#REF!</definedName>
    <definedName name="__NET2">#REF!</definedName>
    <definedName name="__NET3">#REF!</definedName>
    <definedName name="__SBU1">#REF!</definedName>
    <definedName name="__T01">#REF!</definedName>
    <definedName name="_1">#REF!</definedName>
    <definedName name="_2">#REF!</definedName>
    <definedName name="_a11">#REF!</definedName>
    <definedName name="_a129">#REF!</definedName>
    <definedName name="_a130">#REF!</definedName>
    <definedName name="_a131">#REF!</definedName>
    <definedName name="_CON1">#REF!</definedName>
    <definedName name="_CON2">#REF!</definedName>
    <definedName name="_Fill">#REF!</definedName>
    <definedName name="_xlnm._FilterDatabase" localSheetId="5" hidden="1">' 5. Thông số TL'!$A$11:$W$36</definedName>
    <definedName name="_xlnm._FilterDatabase" localSheetId="3" hidden="1">'3. BẢNG CHẤM CÔNG'!$A$10:$AV$31</definedName>
    <definedName name="_Key1">#REF!</definedName>
    <definedName name="_Key2">#REF!</definedName>
    <definedName name="_NET2">#REF!</definedName>
    <definedName name="_Order1">255</definedName>
    <definedName name="_Order2">255</definedName>
    <definedName name="_SBU1">#REF!</definedName>
    <definedName name="_Sort">#REF!</definedName>
    <definedName name="_T01">#REF!</definedName>
    <definedName name="a">#REF!</definedName>
    <definedName name="a277Print_Titles">#REF!</definedName>
    <definedName name="AA">#REF!</definedName>
    <definedName name="aaa">#REF!</definedName>
    <definedName name="aaaa">#REF!</definedName>
    <definedName name="aaaaa">#REF!</definedName>
    <definedName name="AAAAAAAAAAAAA">#REF!</definedName>
    <definedName name="Agency">#REF!</definedName>
    <definedName name="Agency1">#REF!</definedName>
    <definedName name="alallal">#REF!</definedName>
    <definedName name="alo">#REF!</definedName>
    <definedName name="Apr">#REF!</definedName>
    <definedName name="Aug">#REF!</definedName>
    <definedName name="BACKUPS">#REF!</definedName>
    <definedName name="Bang_cly">#REF!</definedName>
    <definedName name="Bang_CVC">#REF!</definedName>
    <definedName name="Bang_travl">#REF!</definedName>
    <definedName name="Bao">#REF!</definedName>
    <definedName name="bbb">#REF!</definedName>
    <definedName name="BC">#REF!</definedName>
    <definedName name="BOQ">#REF!</definedName>
    <definedName name="BT_125">#REF!</definedName>
    <definedName name="BT200_50">#REF!</definedName>
    <definedName name="Budget">#REF!</definedName>
    <definedName name="BVCISUMMARY">#REF!</definedName>
    <definedName name="Category">[1]Sheet5!$D$1:$D$71</definedName>
    <definedName name="CC.CVA.TH">'[2]DANH MUC'!$H$24</definedName>
    <definedName name="ccc">#REF!</definedName>
    <definedName name="CCCCC123" localSheetId="10">{"F3 Presentation",#N/A,FALSE,"F3 ";"F3 detail",#N/A,FALSE,"F3 "}</definedName>
    <definedName name="CCCCC123">{"F3 Presentation",#N/A,FALSE,"F3 ";"F3 detail",#N/A,FALSE,"F3 "}</definedName>
    <definedName name="Client">#REF!</definedName>
    <definedName name="Client1">#REF!</definedName>
    <definedName name="Co">#REF!</definedName>
    <definedName name="ColumnTitle1">#REF!</definedName>
    <definedName name="COMMON">#REF!</definedName>
    <definedName name="CON_EQP_COS">#REF!</definedName>
    <definedName name="congty">[3]info!$A$2:$A$7</definedName>
    <definedName name="COSO">[4]Backup!$G$5:$G$8</definedName>
    <definedName name="cotid">[5]DSid!$D$1:$E$65536</definedName>
    <definedName name="cotnh">[5]dstinhNH!$B$1:$B$65536</definedName>
    <definedName name="cottinh">[5]dstinhNH!$A$1:$A$65536</definedName>
    <definedName name="COUNTER">#REF!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_50">#REF!</definedName>
    <definedName name="CTC">#REF!</definedName>
    <definedName name="cty_bp">[6]L!$Y$1</definedName>
    <definedName name="cty_cthd">[6]L!$AA$1</definedName>
    <definedName name="cva" localSheetId="10">{"F3 detail",#N/A,FALSE,"F1";"F3 Presentation",#N/A,FALSE,"F3 "}</definedName>
    <definedName name="cva">{"F3 detail",#N/A,FALSE,"F1";"F3 Presentation",#N/A,FALSE,"F3 "}</definedName>
    <definedName name="d">[7]cover!$C$18</definedName>
    <definedName name="đ">#REF!</definedName>
    <definedName name="Data_loi">'[8]LƯU VẾT'!$F$27:$F$34</definedName>
    <definedName name="data1">#REF!</definedName>
    <definedName name="data2">#REF!</definedName>
    <definedName name="data3">#REF!</definedName>
    <definedName name="daygrid" localSheetId="10">[9]!days+[9]!weeks*7</definedName>
    <definedName name="daygrid">days+weeks*7</definedName>
    <definedName name="daypattern" localSheetId="10">{1,1,2,2,3,3,4,4,5,5,6,6,7}</definedName>
    <definedName name="daypattern">{1,1,2,2,3,3,4,4,5,5,6,6,7}</definedName>
    <definedName name="days" localSheetId="10">{0,1,2,3,4,5,6}</definedName>
    <definedName name="days">{0,1,2,3,4,5,6}</definedName>
    <definedName name="DayToStart">'[10]MTTC và KHTH Tháng 11'!$E$1</definedName>
    <definedName name="db">'[11]DB FEE'!$C$3:$U$7</definedName>
    <definedName name="dbh">'[11]DB FEE'!$C$2:$V$2</definedName>
    <definedName name="dbpmth">#REF!</definedName>
    <definedName name="Dec">#REF!</definedName>
    <definedName name="den_bu">#REF!</definedName>
    <definedName name="df">[12]Accueil!$E$29</definedName>
    <definedName name="Discount">#REF!</definedName>
    <definedName name="display_area_2">#REF!</definedName>
    <definedName name="DL50SEC">#REF!</definedName>
    <definedName name="DLSCM15">#REF!</definedName>
    <definedName name="DLSCM30">#REF!</definedName>
    <definedName name="DLSCM40">#REF!</definedName>
    <definedName name="DLUHT">#REF!</definedName>
    <definedName name="draft">#REF!</definedName>
    <definedName name="DSCN">'[13]DÁNH SÁCH NHÂN CÔNG'!$A$8:$N$61</definedName>
    <definedName name="dsNH">[5]dstinhNH!$B$1</definedName>
    <definedName name="dstinh">[5]dstinhNH!$A$1</definedName>
    <definedName name="DSUMDATA">#REF!</definedName>
    <definedName name="Dutoanchi" localSheetId="10">{"F3 detail",#N/A,FALSE,"F3 ";"F3 Presentation",#N/A,FALSE,"F3 "}</definedName>
    <definedName name="Dutoanchi">{"F3 detail",#N/A,FALSE,"F3 ";"F3 Presentation",#N/A,FALSE,"F3 "}</definedName>
    <definedName name="dvt">1000</definedName>
    <definedName nam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S___LN__cổ_phiếu">#REF!</definedName>
    <definedName name="er">[12]Accueil!$E$28</definedName>
    <definedName name="Escape">#REF!</definedName>
    <definedName name="FCode">#REF!</definedName>
    <definedName name="fdf">#REF!</definedName>
    <definedName name="feb">#REF!</definedName>
    <definedName name="fjjg">#REF!</definedName>
    <definedName name="For_B">[14]Parameter!$P$6</definedName>
    <definedName name="gh">[12]Accueil!$E$31</definedName>
    <definedName name="Gia_tien">#REF!</definedName>
    <definedName name="gia_tien_BTN">#REF!</definedName>
    <definedName name="GIAIDOAN">[4]Backup!$F$5:$F$7</definedName>
    <definedName name="GRPS">#REF!</definedName>
    <definedName name="h" localSheetId="10">{"'Sheet1'!$L$16"}</definedName>
    <definedName name="h">{"'Sheet1'!$L$16"}</definedName>
    <definedName name="HCode">[15]Parameter!$C$8</definedName>
    <definedName name="HEADDAYA3">[16]Calendar!$U$65:$AA$70,[16]Calendar!$L$65:$R$70,[16]Calendar!$C$65:$I$70,[16]Calendar!$C$51:$I$56,[16]Calendar!$L$51:$R$56,[16]Calendar!$U$51:$AA$56,[16]Calendar!$U$37:$AA$42,[16]Calendar!$L$37:$R$41,[16]Calendar!$L$42:$R$42,[16]Calendar!$C$37:$I$42,[16]Calendar!$C$23:$I$28,[16]Calendar!$L$23:$R$28,[16]Calendar!$U$23:$AA$28</definedName>
    <definedName name="HEADDAYA4">[16]Calendar!$C$23:$I$28,[16]Calendar!$L$23,[16]Calendar!$R$23,[16]Calendar!$L$23:$R$28,[16]Calendar!$U$23:$AA$28,[16]Calendar!$C$37:$I$42,[16]Calendar!$L$37:$R$42,[16]Calendar!$U$37:$AA$42,[16]Calendar!$C$51:$I$56,[16]Calendar!$L$51:$R$55,[16]Calendar!$L$51:$R$56,[16]Calendar!$U$51:$AA$55,[16]Calendar!$AA$55,[16]Calendar!$U$51:$AA$56,[16]Calendar!$C$65:$I$70,[16]Calendar!$L$65:$R$70,[16]Calendar!$U$65:$AA$70</definedName>
    <definedName name="HEADWEEKA3">[16]Calendar!$C$22:$I$22,[16]Calendar!$L$22:$R$22,[16]Calendar!$U$22:$AA$22,[16]Calendar!$C$36:$I$36,[16]Calendar!$L$36:$R$36,[16]Calendar!$U$36:$AA$36,[16]Calendar!$C$50:$I$50,[16]Calendar!$L$50:$R$50,[16]Calendar!$U$50:$AA$50,[16]Calendar!$C$64:$I$64,[16]Calendar!$L$64:$R$64,[16]Calendar!$U$64:$AA$64</definedName>
    <definedName name="HEADWEEKA4">[16]Calendar!$C$22:$I$22,[16]Calendar!$L$22:$R$22,[16]Calendar!$U$22:$AA$22,[16]Calendar!$U$36:$AA$36,[16]Calendar!$L$36:$R$36,[16]Calendar!$C$36:$I$36,[16]Calendar!$U$50:$AA$50,[16]Calendar!$L$50:$R$50,[16]Calendar!$C$50:$I$50,[16]Calendar!$U$64:$AA$64,[16]Calendar!$L$64:$R$64,[16]Calendar!$C$64:$I$64</definedName>
    <definedName name="hgfhfghgf">#REF!</definedName>
    <definedName name="HH">#REF!</definedName>
    <definedName name="HiddenRows">#REF!</definedName>
    <definedName name="hih">#REF!</definedName>
    <definedName name="HName">[15]Parameter!$C$6</definedName>
    <definedName name="ho">#REF!</definedName>
    <definedName name="HOME_MANP">#REF!</definedName>
    <definedName name="HOMEOFFICE_COST">#REF!</definedName>
    <definedName name="HotelCode">[17]Parameter!$C$8</definedName>
    <definedName name="Hotelname">'[18]2004'!$B$1</definedName>
    <definedName name="hrs">#REF!</definedName>
    <definedName name="HTKIEN">#REF!</definedName>
    <definedName name="HTML_CodePage">950</definedName>
    <definedName name="HTML_Control" localSheetId="10">{"'Sheet1'!$L$16"}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10">{"'Sheet1'!$L$16"}</definedName>
    <definedName name="huy">{"'Sheet1'!$L$16"}</definedName>
    <definedName name="I">#REF!</definedName>
    <definedName name="IdcotNH">[5]DSid!$A$1:$A$65536</definedName>
    <definedName name="IDLAB_COST">#REF!</definedName>
    <definedName name="IdTenCN">[5]DSid!$C$1</definedName>
    <definedName name="IdTtinh">[5]DSid!$B$1</definedName>
    <definedName name="INDMANP">#REF!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356C8">#REF!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n">#REF!</definedName>
    <definedName name="jk">[12]Accueil!$F$22</definedName>
    <definedName name="Jul">#REF!</definedName>
    <definedName name="Jun">#REF!</definedName>
    <definedName name="KCSCM">#REF!</definedName>
    <definedName name="KHANH">#REF!</definedName>
    <definedName name="KHANH1">#REF!</definedName>
    <definedName name="khanh111">#REF!</definedName>
    <definedName name="khanh222">#REF!</definedName>
    <definedName name="khanh333">#REF!</definedName>
    <definedName name="Kiem_tra_trung_ten">#REF!</definedName>
    <definedName name="kl">[12]Accueil!$C$20</definedName>
    <definedName name="KT" localSheetId="10">{"F3 detail",#N/A,FALSE,"F1";"F3 Presentation",#N/A,FALSE,"F3 "}</definedName>
    <definedName name="KT">{"F3 detail",#N/A,FALSE,"F1";"F3 Presentation",#N/A,FALSE,"F3 "}</definedName>
    <definedName name="lc">#REF!</definedName>
    <definedName name="LỊch" localSheetId="10">MATCH(DayToStart,[9]!weekdays_reversed,0)-2</definedName>
    <definedName name="LỊch">MATCH(DayToStart,weekdays_reversed,0)-2</definedName>
    <definedName name="logo">#REF!</definedName>
    <definedName name="Lop">'[20]Ma_hs '!$F$4:$F$1721</definedName>
    <definedName name="m">#REF!</definedName>
    <definedName name="ma_cty">[6]MASTER1!$C$1</definedName>
    <definedName name="ma_phi">[21]!tbl_ma_phi[ten_phi]</definedName>
    <definedName name="MAJ_CON_EQP">#REF!</definedName>
    <definedName name="mar">#REF!</definedName>
    <definedName name="MaVatTu">'[20]Ma Hàng'!$A$15:$A$235</definedName>
    <definedName name="MaVatTu1">[22]MaDP!$A$26:$A$57</definedName>
    <definedName name="may">#REF!</definedName>
    <definedName name="MG_A">#REF!</definedName>
    <definedName name="months" localSheetId="10">{"January","February","March","April","May","June","July","August","September","October","November","December"}</definedName>
    <definedName name="months">{"January","February","March","April","May","June","July","August","September","October","November","December"}</definedName>
    <definedName name="mrn.inv._.budget">#REF!</definedName>
    <definedName name="MS_YTD">[17]Parameter!$R$3</definedName>
    <definedName name="n">#REF!</definedName>
    <definedName name="NA">#REF!</definedName>
    <definedName name="nam">#REF!</definedName>
    <definedName name="NamedRange1">#REF!</definedName>
    <definedName name="ND">#REF!</definedName>
    <definedName name="NET">#REF!</definedName>
    <definedName name="NET_1">#REF!</definedName>
    <definedName name="NET_ANA">#REF!</definedName>
    <definedName name="NET_ANA_1">#REF!</definedName>
    <definedName name="NET_ANA_2">#REF!</definedName>
    <definedName name="NG">#REF!</definedName>
    <definedName name="ngay">#REF!</definedName>
    <definedName name="NH">#REF!</definedName>
    <definedName name="NHot">#REF!</definedName>
    <definedName name="NJ">#REF!</definedName>
    <definedName name="NK">#REF!</definedName>
    <definedName name="No">#REF!</definedName>
    <definedName name="Nov">#REF!</definedName>
    <definedName name="NS">#REF!</definedName>
    <definedName name="Oct">#REF!</definedName>
    <definedName name="OneTwoThree">#REF!</definedName>
    <definedName name="OrderTable">#REF!</definedName>
    <definedName name="PA">#REF!</definedName>
    <definedName name="Print_Area_MI">#REF!</definedName>
    <definedName name="PRINT_TITLES_MI">#REF!</definedName>
    <definedName name="PRINTA">#REF!</definedName>
    <definedName name="PRINTB">#REF!</definedName>
    <definedName name="PRINTC">#REF!</definedName>
    <definedName name="ProdForm">#REF!</definedName>
    <definedName name="Product">#REF!</definedName>
    <definedName name="Product1">#REF!</definedName>
    <definedName name="Project">#REF!</definedName>
    <definedName name="PROPOSAL">#REF!</definedName>
    <definedName name="PTDG_cau">#REF!</definedName>
    <definedName name="q">#REF!</definedName>
    <definedName name="qqqqq">#REF!</definedName>
    <definedName name="qw">[12]Accueil!$E$22</definedName>
    <definedName name="RCArea">#REF!</definedName>
    <definedName name="Region">[17]Parameter!$C$14</definedName>
    <definedName name="Rest1">[15]Parameter!$C$22</definedName>
    <definedName name="Rest2">[15]Parameter!$C$23</definedName>
    <definedName name="Rest3">[15]Parameter!$C$24</definedName>
    <definedName name="Rest4">[15]Parameter!$C$25</definedName>
    <definedName name="Rooms05">'[18]2005'!$A$3</definedName>
    <definedName name="SBU">#REF!</definedName>
    <definedName name="SD">#REF!</definedName>
    <definedName name="Sep">#REF!</definedName>
    <definedName name="Software">#REF!</definedName>
    <definedName name="SORT">#REF!</definedName>
    <definedName name="SPEC">#REF!</definedName>
    <definedName name="SpecialPrice">#REF!</definedName>
    <definedName name="SPECSUMMARY">#REF!</definedName>
    <definedName name="Staff">#REF!</definedName>
    <definedName name="Staff1">#REF!</definedName>
    <definedName name="StandardIndustry">[23]!Table1[Standard Industry]</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9.18">#REF!</definedName>
    <definedName name="TableCategory">[1]Sheet5!$D$1:$E$71</definedName>
    <definedName name="Tac_nghiep">'[8]LƯU VẾT'!$C$49:$C$56</definedName>
    <definedName name="Talent">#REF!</definedName>
    <definedName name="TaxTV">10%</definedName>
    <definedName name="TaxXL">5%</definedName>
    <definedName name="tbl_cty">[6]!tbl_ma_cty[don_vi]</definedName>
    <definedName name="tbl_cty2">[6]!tbl_ma_cty[ten_ngan]</definedName>
    <definedName name="tbl_ProdInfo">#REF!</definedName>
    <definedName name="tdn">#REF!</definedName>
    <definedName name="Ten_nguon">'[8]LƯU VẾT'!$C$18:$C$22</definedName>
    <definedName name="thang">#REF!</definedName>
    <definedName name="tháng11">#REF!</definedName>
    <definedName name="THCS">#REF!</definedName>
    <definedName name="Tien">#REF!</definedName>
    <definedName name="Tim_Lan_Xuat_Hien">#REF!</definedName>
    <definedName name="Tinh_trang">'[8]LƯU VẾT'!$D$27:$D$33</definedName>
    <definedName name="Tra_don_gia_KS">#REF!</definedName>
    <definedName name="TRA_VAT_LIEU">#REF!</definedName>
    <definedName name="Trực_Thuộc">#REF!</definedName>
    <definedName name="TSSCM">#REF!</definedName>
    <definedName name="TTLuong">#REF!</definedName>
    <definedName name="ty_le">#REF!</definedName>
    <definedName name="ty_le_BTN">#REF!</definedName>
    <definedName name="uyen">#REF!</definedName>
    <definedName name="uyiyuiyiy">#REF!</definedName>
    <definedName name="Vận_Hành">#REF!</definedName>
    <definedName name="VARIINST">#REF!</definedName>
    <definedName name="VARIPURC">#REF!</definedName>
    <definedName name="vds">#REF!</definedName>
    <definedName name="vitri">'[4]Chỉ tiêu tuyển dụng 2015'!$B$9:$B$82</definedName>
    <definedName name="VQHưng">#REF!</definedName>
    <definedName name="W">#REF!</definedName>
    <definedName name="weekday_option" localSheetId="10">MATCH(DayToStart,[9]!weekdays_reversed,0)-2</definedName>
    <definedName name="weekday_option">MATCH(DayToStart,weekdays_reversed,0)-2</definedName>
    <definedName name="weekdays" localSheetId="10">{"Monday","Tuesday","Wednesday","Thursday","Friday","Saturday","Sunday"}</definedName>
    <definedName name="weekdays">{"Monday","Tuesday","Wednesday","Thursday","Friday","Saturday","Sunday"}</definedName>
    <definedName name="weekdays_reversed" localSheetId="10">{"Sunday","Saturday","Friday","Thursday","Wednesday","Tuesday","Monday"}</definedName>
    <definedName name="weekdays_reversed">{"Sunday","Saturday","Friday","Thursday","Wednesday","Tuesday","Monday"}</definedName>
    <definedName name="weeks" localSheetId="10">{0;1;2;3;4;5;6}</definedName>
    <definedName name="weeks">{0;1;2;3;4;5;6}</definedName>
    <definedName name="werw">#REF!</definedName>
    <definedName name="wf">#REF!</definedName>
    <definedName name="wrn.BAOCAO.">#REF!</definedName>
    <definedName name="wrn.chi._.tiÆt.">#REF!</definedName>
    <definedName name="wrn.inv._.budget.">#REF!</definedName>
    <definedName name="wrn.ke._.khai.">#REF!</definedName>
    <definedName name="wrn.Report.">#REF!</definedName>
    <definedName name="wrn.test.">#REF!</definedName>
    <definedName name="wrn.test2.">#REF!</definedName>
    <definedName name="wrn.test3.">#REF!</definedName>
    <definedName name="wrn.vd.">#REF!</definedName>
    <definedName name="wrnf.report">#REF!</definedName>
    <definedName name="X">#REF!</definedName>
    <definedName name="xh">#REF!</definedName>
    <definedName name="xls">#REF!</definedName>
    <definedName name="yh">[12]Accueil!$C$22</definedName>
    <definedName name="Yomost">#REF!</definedName>
    <definedName name="Z_3D93CEF9_49E9_4DC4_8F19_88A64F2D43A5_.wvu.FilterData" localSheetId="3" hidden="1">'3. BẢNG CHẤM CÔNG'!$A$10:$AV$12</definedName>
    <definedName name="Z_56E9B80D_243F_40B6_91B9_5464FF1EEE5D_.wvu.FilterData" localSheetId="3" hidden="1">'3. BẢNG CHẤM CÔNG'!$C$10:$H$12</definedName>
    <definedName name="Z_F001DCF7_7858_4452_B989_2BC2E25DF2FD_.wvu.FilterData" localSheetId="3" hidden="1">'3. BẢNG CHẤM CÔNG'!$C$10:$H$12</definedName>
    <definedName name="Z_F0D95686_377B_4362_ADF9_0A7D9547883D_.wvu.FilterData" localSheetId="3" hidden="1">'3. BẢNG CHẤM CÔNG'!$C$10:$H$12</definedName>
  </definedNames>
  <calcPr calcId="191029"/>
  <customWorkbookViews>
    <customWorkbookView name="HQ Group" guid="{F0D95686-377B-4362-ADF9-0A7D9547883D}" maximized="1" windowWidth="0" windowHeight="0" activeSheetId="0"/>
    <customWorkbookView name="Bộ lọc 1" guid="{3D93CEF9-49E9-4DC4-8F19-88A64F2D43A5}" maximized="1" windowWidth="0" windowHeight="0" activeSheetId="0"/>
    <customWorkbookView name="HQ Play" guid="{F001DCF7-7858-4452-B989-2BC2E25DF2FD}" maximized="1" windowWidth="0" windowHeight="0" activeSheetId="0"/>
    <customWorkbookView name="Hub - JS" guid="{56E9B80D-243F-40B6-91B9-5464FF1EEE5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 roundtripDataChecksum="7hBmmvjMmt32lcDulH128QmNLNqYZ4lW4Z+j5+KeDhM="/>
    </ext>
  </extLst>
</workbook>
</file>

<file path=xl/calcChain.xml><?xml version="1.0" encoding="utf-8"?>
<calcChain xmlns="http://schemas.openxmlformats.org/spreadsheetml/2006/main">
  <c r="AR13" i="4" l="1"/>
  <c r="AS13" i="4"/>
  <c r="AP13" i="4"/>
  <c r="AO13" i="4"/>
  <c r="AN13" i="4"/>
  <c r="AM13" i="4"/>
  <c r="H30" i="9"/>
  <c r="AQ30" i="9"/>
  <c r="V30" i="9"/>
  <c r="M30" i="9"/>
  <c r="J30" i="9"/>
  <c r="AS27" i="4"/>
  <c r="AP27" i="4"/>
  <c r="AO27" i="4"/>
  <c r="AN27" i="4"/>
  <c r="AM27" i="4"/>
  <c r="AR27" i="4" s="1"/>
  <c r="AQ27" i="9"/>
  <c r="V27" i="9"/>
  <c r="M27" i="9"/>
  <c r="J27" i="9"/>
  <c r="H27" i="9"/>
  <c r="F27" i="9"/>
  <c r="N29" i="7"/>
  <c r="O29" i="7" s="1"/>
  <c r="T29" i="7" s="1"/>
  <c r="AE26" i="9"/>
  <c r="AU21" i="9"/>
  <c r="AP21" i="9"/>
  <c r="AB21" i="9"/>
  <c r="U21" i="9"/>
  <c r="T21" i="9"/>
  <c r="S21" i="9"/>
  <c r="R21" i="9"/>
  <c r="Q21" i="9"/>
  <c r="P21" i="9"/>
  <c r="I21" i="9"/>
  <c r="F21" i="9"/>
  <c r="C21" i="9"/>
  <c r="AQ20" i="9"/>
  <c r="AO20" i="9"/>
  <c r="AR20" i="9" s="1"/>
  <c r="AM20" i="9"/>
  <c r="AL20" i="9"/>
  <c r="AK20" i="9"/>
  <c r="AI20" i="9"/>
  <c r="AH20" i="9"/>
  <c r="AG20" i="9"/>
  <c r="V20" i="9"/>
  <c r="M20" i="9"/>
  <c r="J20" i="9"/>
  <c r="C20" i="9"/>
  <c r="AU34" i="9"/>
  <c r="AP34" i="9"/>
  <c r="AB34" i="9"/>
  <c r="U34" i="9"/>
  <c r="T34" i="9"/>
  <c r="S34" i="9"/>
  <c r="R34" i="9"/>
  <c r="Q34" i="9"/>
  <c r="P34" i="9"/>
  <c r="I34" i="9"/>
  <c r="F34" i="9"/>
  <c r="F35" i="9"/>
  <c r="AO35" i="9" s="1"/>
  <c r="AR35" i="9" s="1"/>
  <c r="J35" i="9"/>
  <c r="M35" i="9"/>
  <c r="V35" i="9"/>
  <c r="AQ35" i="9"/>
  <c r="AQ33" i="9"/>
  <c r="AO33" i="9"/>
  <c r="AM33" i="9"/>
  <c r="V33" i="9"/>
  <c r="M33" i="9"/>
  <c r="J33" i="9"/>
  <c r="AL33" i="9"/>
  <c r="AF26" i="9"/>
  <c r="AQ26" i="9"/>
  <c r="V26" i="9"/>
  <c r="M26" i="9"/>
  <c r="J26" i="9"/>
  <c r="F26" i="9"/>
  <c r="AS26" i="4"/>
  <c r="H26" i="9" s="1"/>
  <c r="AP26" i="4"/>
  <c r="AO26" i="4"/>
  <c r="AN26" i="4"/>
  <c r="AM26" i="4"/>
  <c r="AU22" i="9"/>
  <c r="AP22" i="9"/>
  <c r="AB22" i="9"/>
  <c r="U22" i="9"/>
  <c r="T22" i="9"/>
  <c r="S22" i="9"/>
  <c r="R22" i="9"/>
  <c r="Q22" i="9"/>
  <c r="P22" i="9"/>
  <c r="I22" i="9"/>
  <c r="AQ19" i="9"/>
  <c r="AO19" i="9"/>
  <c r="V19" i="9"/>
  <c r="M19" i="9"/>
  <c r="J19" i="9"/>
  <c r="AL19" i="9" s="1"/>
  <c r="AL22" i="9" s="1"/>
  <c r="C19" i="9"/>
  <c r="AS25" i="4"/>
  <c r="H35" i="9" s="1"/>
  <c r="AP25" i="4"/>
  <c r="AO25" i="4"/>
  <c r="AN25" i="4"/>
  <c r="AM25" i="4"/>
  <c r="AS24" i="4"/>
  <c r="AP24" i="4"/>
  <c r="AO24" i="4"/>
  <c r="AN24" i="4"/>
  <c r="AM24" i="4"/>
  <c r="AT13" i="4" l="1"/>
  <c r="G30" i="9"/>
  <c r="G27" i="9"/>
  <c r="AI27" i="9" s="1"/>
  <c r="AT27" i="4"/>
  <c r="AR24" i="4"/>
  <c r="AR26" i="4"/>
  <c r="AO27" i="9"/>
  <c r="AR27" i="9" s="1"/>
  <c r="AJ20" i="9"/>
  <c r="AN20" i="9"/>
  <c r="AR33" i="9"/>
  <c r="AG33" i="9"/>
  <c r="AH33" i="9"/>
  <c r="AI33" i="9"/>
  <c r="AK33" i="9"/>
  <c r="AN33" i="9" s="1"/>
  <c r="W26" i="9"/>
  <c r="X26" i="9"/>
  <c r="AO26" i="9"/>
  <c r="AR26" i="9" s="1"/>
  <c r="Y26" i="9"/>
  <c r="K26" i="9"/>
  <c r="L26" i="9" s="1"/>
  <c r="AA26" i="9"/>
  <c r="AC26" i="9" s="1"/>
  <c r="O26" i="9"/>
  <c r="AR19" i="9"/>
  <c r="AR25" i="4"/>
  <c r="G35" i="9" s="1"/>
  <c r="AI35" i="9" s="1"/>
  <c r="AG19" i="9"/>
  <c r="AG22" i="9" s="1"/>
  <c r="AM19" i="9"/>
  <c r="AM22" i="9" s="1"/>
  <c r="AI19" i="9"/>
  <c r="AI22" i="9" s="1"/>
  <c r="AK19" i="9"/>
  <c r="AH19" i="9"/>
  <c r="X27" i="9" l="1"/>
  <c r="O27" i="9"/>
  <c r="Y27" i="9"/>
  <c r="AK27" i="9"/>
  <c r="AA27" i="9"/>
  <c r="AC27" i="9" s="1"/>
  <c r="W27" i="9"/>
  <c r="Z27" i="9" s="1"/>
  <c r="AG27" i="9"/>
  <c r="AJ27" i="9" s="1"/>
  <c r="K27" i="9"/>
  <c r="L27" i="9" s="1"/>
  <c r="AM27" i="9"/>
  <c r="AH27" i="9"/>
  <c r="AL27" i="9"/>
  <c r="AK35" i="9"/>
  <c r="AL35" i="9"/>
  <c r="AH35" i="9"/>
  <c r="AM35" i="9"/>
  <c r="AG35" i="9"/>
  <c r="AT26" i="4"/>
  <c r="G26" i="9"/>
  <c r="AT24" i="4"/>
  <c r="G31" i="9"/>
  <c r="AJ33" i="9"/>
  <c r="Z26" i="9"/>
  <c r="AD26" i="9" s="1"/>
  <c r="AT25" i="4"/>
  <c r="AJ19" i="9"/>
  <c r="AH22" i="9"/>
  <c r="AN19" i="9"/>
  <c r="AK22" i="9"/>
  <c r="AD27" i="9" l="1"/>
  <c r="AE27" i="9" s="1"/>
  <c r="AN27" i="9"/>
  <c r="AN35" i="9"/>
  <c r="AJ35" i="9"/>
  <c r="AF27" i="9"/>
  <c r="AS27" i="9" s="1"/>
  <c r="AT27" i="9" s="1"/>
  <c r="AV27" i="9" s="1"/>
  <c r="G19" i="3" s="1"/>
  <c r="AG26" i="9"/>
  <c r="AL26" i="9"/>
  <c r="AH26" i="9"/>
  <c r="AM26" i="9"/>
  <c r="AI26" i="9"/>
  <c r="AK26" i="9"/>
  <c r="AN26" i="9" l="1"/>
  <c r="AS26" i="9" s="1"/>
  <c r="AT26" i="9" s="1"/>
  <c r="AJ26" i="9"/>
  <c r="AS21" i="4"/>
  <c r="AP21" i="4"/>
  <c r="AO21" i="4"/>
  <c r="AN21" i="4"/>
  <c r="AM21" i="4"/>
  <c r="AR21" i="4" s="1"/>
  <c r="AT21" i="4" s="1"/>
  <c r="AQ25" i="9"/>
  <c r="V25" i="9"/>
  <c r="M25" i="9"/>
  <c r="J25" i="9"/>
  <c r="F25" i="9"/>
  <c r="AO25" i="9" s="1"/>
  <c r="F24" i="9"/>
  <c r="M3" i="2"/>
  <c r="A26" i="7"/>
  <c r="A27" i="7"/>
  <c r="A28" i="7"/>
  <c r="N28" i="7"/>
  <c r="O28" i="7" s="1"/>
  <c r="T28" i="7" s="1"/>
  <c r="N27" i="7"/>
  <c r="O27" i="7" s="1"/>
  <c r="T27" i="7" s="1"/>
  <c r="N26" i="7"/>
  <c r="O26" i="7" s="1"/>
  <c r="T26" i="7" s="1"/>
  <c r="AU28" i="4"/>
  <c r="C15" i="3"/>
  <c r="C14" i="3"/>
  <c r="C13" i="3"/>
  <c r="C12" i="3"/>
  <c r="C11" i="3"/>
  <c r="AU15" i="9"/>
  <c r="AP15" i="9"/>
  <c r="AB15" i="9"/>
  <c r="U15" i="9"/>
  <c r="T15" i="9"/>
  <c r="S15" i="9"/>
  <c r="R15" i="9"/>
  <c r="Q15" i="9"/>
  <c r="P15" i="9"/>
  <c r="N15" i="9"/>
  <c r="F31" i="9"/>
  <c r="AO31" i="9" s="1"/>
  <c r="AQ24" i="9"/>
  <c r="V24" i="9"/>
  <c r="M24" i="9"/>
  <c r="J24" i="9"/>
  <c r="AQ23" i="9"/>
  <c r="V23" i="9"/>
  <c r="M23" i="9"/>
  <c r="J23" i="9"/>
  <c r="F23" i="9"/>
  <c r="AQ18" i="9"/>
  <c r="AQ22" i="9" s="1"/>
  <c r="V18" i="9"/>
  <c r="V22" i="9" s="1"/>
  <c r="M18" i="9"/>
  <c r="M22" i="9" s="1"/>
  <c r="J18" i="9"/>
  <c r="J22" i="9" s="1"/>
  <c r="F18" i="9"/>
  <c r="AQ17" i="9"/>
  <c r="AQ21" i="9" s="1"/>
  <c r="V17" i="9"/>
  <c r="V21" i="9" s="1"/>
  <c r="M17" i="9"/>
  <c r="M21" i="9" s="1"/>
  <c r="J17" i="9"/>
  <c r="J21" i="9" s="1"/>
  <c r="F17" i="9"/>
  <c r="C24" i="9"/>
  <c r="C23" i="9"/>
  <c r="C18" i="9"/>
  <c r="C17" i="9"/>
  <c r="A14" i="7"/>
  <c r="A15" i="7"/>
  <c r="A16" i="7"/>
  <c r="A17" i="7"/>
  <c r="A18" i="7"/>
  <c r="A19" i="7"/>
  <c r="A20" i="7"/>
  <c r="A21" i="7"/>
  <c r="A22" i="7"/>
  <c r="A23" i="7"/>
  <c r="A24" i="7"/>
  <c r="A25" i="7"/>
  <c r="AS23" i="4"/>
  <c r="H24" i="9" s="1"/>
  <c r="AP23" i="4"/>
  <c r="AO23" i="4"/>
  <c r="AN23" i="4"/>
  <c r="AM23" i="4"/>
  <c r="AS22" i="4"/>
  <c r="H23" i="9" s="1"/>
  <c r="AP22" i="4"/>
  <c r="AO22" i="4"/>
  <c r="AN22" i="4"/>
  <c r="AM22" i="4"/>
  <c r="AS20" i="4"/>
  <c r="H18" i="9" s="1"/>
  <c r="H22" i="9" s="1"/>
  <c r="AP20" i="4"/>
  <c r="AO20" i="4"/>
  <c r="AN20" i="4"/>
  <c r="AM20" i="4"/>
  <c r="AS19" i="4"/>
  <c r="H17" i="9" s="1"/>
  <c r="H21" i="9" s="1"/>
  <c r="AP19" i="4"/>
  <c r="AO19" i="4"/>
  <c r="AN19" i="4"/>
  <c r="AM19" i="4"/>
  <c r="A13" i="4"/>
  <c r="A14" i="4"/>
  <c r="A15" i="4"/>
  <c r="A16" i="4"/>
  <c r="A17" i="4"/>
  <c r="A18" i="4"/>
  <c r="A19" i="4"/>
  <c r="A20" i="4"/>
  <c r="N25" i="7"/>
  <c r="O25" i="7" s="1"/>
  <c r="T25" i="7" s="1"/>
  <c r="N24" i="7"/>
  <c r="O24" i="7" s="1"/>
  <c r="T24" i="7" s="1"/>
  <c r="N23" i="7"/>
  <c r="O23" i="7" s="1"/>
  <c r="T23" i="7" s="1"/>
  <c r="N22" i="7"/>
  <c r="O22" i="7" s="1"/>
  <c r="T22" i="7" s="1"/>
  <c r="AU28" i="9"/>
  <c r="AP28" i="9"/>
  <c r="U28" i="9"/>
  <c r="T28" i="9"/>
  <c r="S28" i="9"/>
  <c r="R28" i="9"/>
  <c r="Q28" i="9"/>
  <c r="P28" i="9"/>
  <c r="N28" i="9"/>
  <c r="J31" i="9"/>
  <c r="M31" i="9"/>
  <c r="V31" i="9"/>
  <c r="AQ31" i="9"/>
  <c r="N21" i="7"/>
  <c r="O21" i="7" s="1"/>
  <c r="T21" i="7" s="1"/>
  <c r="AS15" i="4"/>
  <c r="H31" i="9" s="1"/>
  <c r="AP15" i="4"/>
  <c r="AO15" i="4"/>
  <c r="AN15" i="4"/>
  <c r="AM15" i="4"/>
  <c r="AV26" i="9" l="1"/>
  <c r="G18" i="3" s="1"/>
  <c r="AR25" i="9"/>
  <c r="H25" i="9"/>
  <c r="AR19" i="4"/>
  <c r="AT19" i="4" s="1"/>
  <c r="AR22" i="4"/>
  <c r="AR20" i="4"/>
  <c r="AR23" i="4"/>
  <c r="AO24" i="9"/>
  <c r="AR24" i="9" s="1"/>
  <c r="AO17" i="9"/>
  <c r="AO18" i="9"/>
  <c r="AO23" i="9"/>
  <c r="AR23" i="9" s="1"/>
  <c r="AR31" i="9"/>
  <c r="AR15" i="4"/>
  <c r="AR17" i="9" l="1"/>
  <c r="AR21" i="9" s="1"/>
  <c r="AO21" i="9"/>
  <c r="AR18" i="9"/>
  <c r="AR22" i="9" s="1"/>
  <c r="AO22" i="9"/>
  <c r="AT15" i="4"/>
  <c r="G25" i="9"/>
  <c r="G17" i="9"/>
  <c r="AT23" i="4"/>
  <c r="G24" i="9"/>
  <c r="AT20" i="4"/>
  <c r="G18" i="9"/>
  <c r="G22" i="9" s="1"/>
  <c r="AT22" i="4"/>
  <c r="G23" i="9"/>
  <c r="AB28" i="9"/>
  <c r="F32" i="9"/>
  <c r="AQ32" i="9"/>
  <c r="AQ34" i="9" s="1"/>
  <c r="V32" i="9"/>
  <c r="V34" i="9" s="1"/>
  <c r="M32" i="9"/>
  <c r="M34" i="9" s="1"/>
  <c r="J32" i="9"/>
  <c r="AS18" i="4"/>
  <c r="H32" i="9" s="1"/>
  <c r="H34" i="9" s="1"/>
  <c r="AP18" i="4"/>
  <c r="AO18" i="4"/>
  <c r="AN18" i="4"/>
  <c r="AM18" i="4"/>
  <c r="AM17" i="9" l="1"/>
  <c r="AM21" i="9" s="1"/>
  <c r="G21" i="9"/>
  <c r="AL25" i="9"/>
  <c r="AG25" i="9"/>
  <c r="AK25" i="9"/>
  <c r="AM25" i="9"/>
  <c r="AH25" i="9"/>
  <c r="AI25" i="9"/>
  <c r="AG17" i="9"/>
  <c r="AG21" i="9" s="1"/>
  <c r="AL17" i="9"/>
  <c r="AL21" i="9" s="1"/>
  <c r="AI17" i="9"/>
  <c r="AI21" i="9" s="1"/>
  <c r="AK17" i="9"/>
  <c r="AK21" i="9" s="1"/>
  <c r="AH17" i="9"/>
  <c r="AH21" i="9" s="1"/>
  <c r="AH23" i="9"/>
  <c r="AL23" i="9"/>
  <c r="AG23" i="9"/>
  <c r="AI23" i="9"/>
  <c r="AM23" i="9"/>
  <c r="AK23" i="9"/>
  <c r="AI18" i="9"/>
  <c r="AH18" i="9"/>
  <c r="AM18" i="9"/>
  <c r="AG18" i="9"/>
  <c r="AK18" i="9"/>
  <c r="AL18" i="9"/>
  <c r="AH24" i="9"/>
  <c r="AM24" i="9"/>
  <c r="AG24" i="9"/>
  <c r="AL24" i="9"/>
  <c r="AK24" i="9"/>
  <c r="AI24" i="9"/>
  <c r="AR18" i="4"/>
  <c r="AO32" i="9"/>
  <c r="AR32" i="9" l="1"/>
  <c r="AR34" i="9" s="1"/>
  <c r="AO34" i="9"/>
  <c r="AN25" i="9"/>
  <c r="AJ25" i="9"/>
  <c r="AJ17" i="9"/>
  <c r="AJ21" i="9" s="1"/>
  <c r="AN17" i="9"/>
  <c r="AN21" i="9" s="1"/>
  <c r="AJ24" i="9"/>
  <c r="AN23" i="9"/>
  <c r="AN18" i="9"/>
  <c r="AN22" i="9" s="1"/>
  <c r="AJ23" i="9"/>
  <c r="AJ18" i="9"/>
  <c r="AJ22" i="9" s="1"/>
  <c r="AN24" i="9"/>
  <c r="AT18" i="4"/>
  <c r="G32" i="9"/>
  <c r="G34" i="9" s="1"/>
  <c r="AS14" i="4"/>
  <c r="AP14" i="4"/>
  <c r="AO14" i="4"/>
  <c r="AN14" i="4"/>
  <c r="AM14" i="4"/>
  <c r="AL32" i="9" l="1"/>
  <c r="AL34" i="9" s="1"/>
  <c r="AK32" i="9"/>
  <c r="AK34" i="9" s="1"/>
  <c r="AG32" i="9"/>
  <c r="AG34" i="9" s="1"/>
  <c r="AM32" i="9"/>
  <c r="AM34" i="9" s="1"/>
  <c r="AH32" i="9"/>
  <c r="AH34" i="9" s="1"/>
  <c r="AI32" i="9"/>
  <c r="AI34" i="9" s="1"/>
  <c r="AR14" i="4"/>
  <c r="AT14" i="4" s="1"/>
  <c r="C10" i="3"/>
  <c r="C8" i="3"/>
  <c r="AN32" i="9" l="1"/>
  <c r="AN34" i="9" s="1"/>
  <c r="AJ32" i="9"/>
  <c r="AJ34" i="9" s="1"/>
  <c r="AP11" i="9"/>
  <c r="AB11" i="9"/>
  <c r="U11" i="9"/>
  <c r="T11" i="9"/>
  <c r="T36" i="9" s="1"/>
  <c r="S11" i="9"/>
  <c r="R11" i="9"/>
  <c r="Q11" i="9"/>
  <c r="P11" i="9"/>
  <c r="N11" i="9"/>
  <c r="AU36" i="9"/>
  <c r="AB36" i="9" l="1"/>
  <c r="Q36" i="9"/>
  <c r="R36" i="9"/>
  <c r="S36" i="9"/>
  <c r="U36" i="9"/>
  <c r="N36" i="9"/>
  <c r="AP36" i="9"/>
  <c r="P36" i="9"/>
  <c r="F30" i="9"/>
  <c r="N19" i="7"/>
  <c r="O19" i="7" s="1"/>
  <c r="T19" i="7" s="1"/>
  <c r="AQ14" i="9"/>
  <c r="AR14" i="9" s="1"/>
  <c r="V14" i="9"/>
  <c r="M14" i="9"/>
  <c r="J14" i="9"/>
  <c r="AQ13" i="9"/>
  <c r="AO13" i="9"/>
  <c r="V13" i="9"/>
  <c r="M13" i="9"/>
  <c r="J13" i="9"/>
  <c r="AS16" i="4"/>
  <c r="H14" i="9" s="1"/>
  <c r="AP16" i="4"/>
  <c r="AO16" i="4"/>
  <c r="AN16" i="4"/>
  <c r="AM16" i="4"/>
  <c r="N18" i="7"/>
  <c r="O18" i="7" s="1"/>
  <c r="T18" i="7" s="1"/>
  <c r="H30" i="7"/>
  <c r="K30" i="7"/>
  <c r="N17" i="7"/>
  <c r="G30" i="7"/>
  <c r="X30" i="9" l="1"/>
  <c r="AO30" i="9"/>
  <c r="AR30" i="9" s="1"/>
  <c r="AL30" i="9"/>
  <c r="AI30" i="9"/>
  <c r="K30" i="9"/>
  <c r="L30" i="9" s="1"/>
  <c r="AA30" i="9"/>
  <c r="AC30" i="9" s="1"/>
  <c r="AK30" i="9"/>
  <c r="AM30" i="9"/>
  <c r="W30" i="9"/>
  <c r="AG30" i="9"/>
  <c r="Y30" i="9"/>
  <c r="AH30" i="9"/>
  <c r="O30" i="9"/>
  <c r="AR13" i="9"/>
  <c r="AR16" i="4"/>
  <c r="G14" i="9" s="1"/>
  <c r="AN30" i="9" l="1"/>
  <c r="AJ30" i="9"/>
  <c r="Z30" i="9"/>
  <c r="AD30" i="9" s="1"/>
  <c r="AE30" i="9" s="1"/>
  <c r="AF30" i="9" s="1"/>
  <c r="AS30" i="9" s="1"/>
  <c r="AT30" i="9" s="1"/>
  <c r="AV30" i="9" s="1"/>
  <c r="AT16" i="4"/>
  <c r="R9" i="6" l="1"/>
  <c r="D9" i="6"/>
  <c r="D8" i="6"/>
  <c r="D7" i="6"/>
  <c r="D6" i="6"/>
  <c r="C6" i="3"/>
  <c r="C7" i="3"/>
  <c r="S9" i="6" l="1"/>
  <c r="T9" i="6" s="1"/>
  <c r="R8" i="6"/>
  <c r="S8" i="6" s="1"/>
  <c r="T8" i="6" s="1"/>
  <c r="AS17" i="4"/>
  <c r="H12" i="9" s="1"/>
  <c r="AP17" i="4"/>
  <c r="AO17" i="4"/>
  <c r="AN17" i="4"/>
  <c r="AM17" i="4"/>
  <c r="AQ12" i="9"/>
  <c r="V12" i="9"/>
  <c r="M12" i="9"/>
  <c r="J12" i="9"/>
  <c r="F12" i="9"/>
  <c r="AR17" i="4" l="1"/>
  <c r="G12" i="9" s="1"/>
  <c r="AK12" i="9" s="1"/>
  <c r="AR12" i="9"/>
  <c r="I36" i="9"/>
  <c r="J30" i="7"/>
  <c r="I30" i="7"/>
  <c r="F29" i="9"/>
  <c r="N16" i="7"/>
  <c r="O16" i="7" s="1"/>
  <c r="T16" i="7" s="1"/>
  <c r="AQ29" i="9"/>
  <c r="AQ28" i="9" s="1"/>
  <c r="V29" i="9"/>
  <c r="V28" i="9" s="1"/>
  <c r="M29" i="9"/>
  <c r="M28" i="9" s="1"/>
  <c r="J29" i="9"/>
  <c r="J28" i="9" s="1"/>
  <c r="AG12" i="9" l="1"/>
  <c r="AM12" i="9"/>
  <c r="AI12" i="9"/>
  <c r="AH12" i="9"/>
  <c r="AL12" i="9"/>
  <c r="AT17" i="4"/>
  <c r="G29" i="9"/>
  <c r="H29" i="9"/>
  <c r="AO29" i="9"/>
  <c r="AO28" i="9" s="1"/>
  <c r="AR29" i="9" l="1"/>
  <c r="AR28" i="9" s="1"/>
  <c r="AJ12" i="9"/>
  <c r="AN12" i="9"/>
  <c r="N13" i="7"/>
  <c r="N14" i="7"/>
  <c r="O14" i="7" l="1"/>
  <c r="T14" i="7" l="1"/>
  <c r="N15" i="7"/>
  <c r="O15" i="7" s="1"/>
  <c r="T15" i="7" s="1"/>
  <c r="F14" i="9"/>
  <c r="AL28" i="9" l="1"/>
  <c r="AH28" i="9"/>
  <c r="AI28" i="9"/>
  <c r="AM28" i="9"/>
  <c r="AG28" i="9"/>
  <c r="AK28" i="9"/>
  <c r="AK14" i="9"/>
  <c r="AM14" i="9"/>
  <c r="AH14" i="9"/>
  <c r="AG14" i="9"/>
  <c r="AI14" i="9"/>
  <c r="AL14" i="9"/>
  <c r="C5" i="3"/>
  <c r="C4" i="3"/>
  <c r="F11" i="12"/>
  <c r="F10" i="12"/>
  <c r="F9" i="12"/>
  <c r="AQ11" i="9"/>
  <c r="V11" i="9"/>
  <c r="M11" i="9"/>
  <c r="J11" i="9"/>
  <c r="AN28" i="9" l="1"/>
  <c r="AJ28" i="9"/>
  <c r="AJ14" i="9"/>
  <c r="AN14" i="9"/>
  <c r="F12" i="12"/>
  <c r="AO11" i="9"/>
  <c r="AR11" i="9" l="1"/>
  <c r="M30" i="7" l="1"/>
  <c r="L30" i="7"/>
  <c r="O13" i="7" l="1"/>
  <c r="T13" i="7" l="1"/>
  <c r="H8" i="4"/>
  <c r="E31" i="7" l="1"/>
  <c r="F31" i="7" s="1"/>
  <c r="G31" i="7" s="1"/>
  <c r="H31" i="7" s="1"/>
  <c r="I31" i="7" s="1"/>
  <c r="J31" i="7" s="1"/>
  <c r="K31" i="7" s="1"/>
  <c r="L31" i="7" s="1"/>
  <c r="M31" i="7" s="1"/>
  <c r="Q35" i="13"/>
  <c r="X30" i="13"/>
  <c r="Q27" i="13"/>
  <c r="Q25" i="13"/>
  <c r="Q24" i="13"/>
  <c r="Q22" i="13"/>
  <c r="Q21" i="13"/>
  <c r="Q20" i="13"/>
  <c r="Q19" i="13"/>
  <c r="Q16" i="13"/>
  <c r="AA13" i="13"/>
  <c r="G13" i="13"/>
  <c r="G11" i="13"/>
  <c r="G10" i="13"/>
  <c r="G9" i="13"/>
  <c r="V10" i="10"/>
  <c r="T10" i="10"/>
  <c r="Q10" i="10"/>
  <c r="R10" i="10" s="1"/>
  <c r="P10" i="10"/>
  <c r="M10" i="10"/>
  <c r="L10" i="10"/>
  <c r="K10" i="10"/>
  <c r="J10" i="10"/>
  <c r="I10" i="10"/>
  <c r="H10" i="10"/>
  <c r="G10" i="10"/>
  <c r="V9" i="10"/>
  <c r="J9" i="10"/>
  <c r="J8" i="10"/>
  <c r="V7" i="10"/>
  <c r="J7" i="10"/>
  <c r="AQ16" i="9"/>
  <c r="AQ15" i="9" s="1"/>
  <c r="V16" i="9"/>
  <c r="V15" i="9" s="1"/>
  <c r="M16" i="9"/>
  <c r="M15" i="9" s="1"/>
  <c r="J16" i="9"/>
  <c r="J15" i="9" s="1"/>
  <c r="F16" i="9"/>
  <c r="H9" i="9"/>
  <c r="I9" i="9" s="1"/>
  <c r="J9" i="9" s="1"/>
  <c r="K9" i="9" s="1"/>
  <c r="L9" i="9" s="1"/>
  <c r="M9" i="9" s="1"/>
  <c r="N9" i="9" s="1"/>
  <c r="O9" i="9" s="1"/>
  <c r="P9" i="9" s="1"/>
  <c r="Q9" i="9" s="1"/>
  <c r="R9" i="9" s="1"/>
  <c r="S9" i="9" s="1"/>
  <c r="T9" i="9" s="1"/>
  <c r="U9" i="9" s="1"/>
  <c r="V9" i="9" s="1"/>
  <c r="W9" i="9" s="1"/>
  <c r="X9" i="9" s="1"/>
  <c r="Y9" i="9" s="1"/>
  <c r="Z9" i="9" s="1"/>
  <c r="AA9" i="9" s="1"/>
  <c r="AC9" i="9" s="1"/>
  <c r="AD9" i="9" s="1"/>
  <c r="AE9" i="9" s="1"/>
  <c r="AF9" i="9" s="1"/>
  <c r="AG9" i="9" s="1"/>
  <c r="AH9" i="9" s="1"/>
  <c r="AI9" i="9" s="1"/>
  <c r="AJ9" i="9" s="1"/>
  <c r="AK9" i="9" s="1"/>
  <c r="AL9" i="9" s="1"/>
  <c r="AM9" i="9" s="1"/>
  <c r="AN9" i="9" s="1"/>
  <c r="AO9" i="9" s="1"/>
  <c r="AP9" i="9" s="1"/>
  <c r="AQ9" i="9" s="1"/>
  <c r="AR9" i="9" s="1"/>
  <c r="AS9" i="9" s="1"/>
  <c r="AT9" i="9" s="1"/>
  <c r="AU9" i="9" s="1"/>
  <c r="AV9" i="9" s="1"/>
  <c r="AW9" i="9" s="1"/>
  <c r="E14" i="8"/>
  <c r="P10" i="8"/>
  <c r="I9" i="8"/>
  <c r="G9" i="8"/>
  <c r="H8" i="8"/>
  <c r="A8" i="8"/>
  <c r="G7" i="8"/>
  <c r="H7" i="8" s="1"/>
  <c r="H9" i="8" s="1"/>
  <c r="A7" i="8"/>
  <c r="Q31" i="7"/>
  <c r="R30" i="7"/>
  <c r="Q30" i="7"/>
  <c r="P30" i="7"/>
  <c r="A13" i="7"/>
  <c r="N12" i="7"/>
  <c r="N30" i="7" s="1"/>
  <c r="A12" i="7"/>
  <c r="R7" i="6"/>
  <c r="A7" i="6"/>
  <c r="A6" i="6"/>
  <c r="Q5" i="6"/>
  <c r="P5" i="6"/>
  <c r="O5" i="6"/>
  <c r="N5" i="6"/>
  <c r="M5" i="6"/>
  <c r="L5" i="6"/>
  <c r="K5" i="6"/>
  <c r="J5" i="6"/>
  <c r="I5" i="6"/>
  <c r="H5" i="6"/>
  <c r="C4" i="6"/>
  <c r="D4" i="6" s="1"/>
  <c r="E4" i="6" s="1"/>
  <c r="F4" i="6" s="1"/>
  <c r="G4" i="6" s="1"/>
  <c r="H4" i="6" s="1"/>
  <c r="I4" i="6" s="1"/>
  <c r="J4" i="6" s="1"/>
  <c r="K4" i="6" s="1"/>
  <c r="L4" i="6" s="1"/>
  <c r="M4" i="6" s="1"/>
  <c r="N4" i="6" s="1"/>
  <c r="O4" i="6" s="1"/>
  <c r="P4" i="6" s="1"/>
  <c r="Q4" i="6" s="1"/>
  <c r="R4" i="6" s="1"/>
  <c r="S4" i="6" s="1"/>
  <c r="T4" i="6" s="1"/>
  <c r="U4" i="6" s="1"/>
  <c r="C29" i="4"/>
  <c r="D29" i="4" s="1"/>
  <c r="E29" i="4" s="1"/>
  <c r="F29" i="4" s="1"/>
  <c r="G29" i="4" s="1"/>
  <c r="H29" i="4" s="1"/>
  <c r="I29" i="4" s="1"/>
  <c r="J29" i="4" s="1"/>
  <c r="K29" i="4" s="1"/>
  <c r="L29" i="4" s="1"/>
  <c r="M29" i="4" s="1"/>
  <c r="N29" i="4" s="1"/>
  <c r="O29" i="4" s="1"/>
  <c r="P29" i="4" s="1"/>
  <c r="Q29" i="4" s="1"/>
  <c r="R29" i="4" s="1"/>
  <c r="S29" i="4" s="1"/>
  <c r="T29" i="4" s="1"/>
  <c r="U29" i="4" s="1"/>
  <c r="V29" i="4" s="1"/>
  <c r="W29" i="4" s="1"/>
  <c r="X29" i="4" s="1"/>
  <c r="Y29" i="4" s="1"/>
  <c r="Z29" i="4" s="1"/>
  <c r="AA29" i="4" s="1"/>
  <c r="AB29" i="4" s="1"/>
  <c r="AC29" i="4" s="1"/>
  <c r="AD29" i="4" s="1"/>
  <c r="AE29" i="4" s="1"/>
  <c r="AF29" i="4" s="1"/>
  <c r="AG29" i="4" s="1"/>
  <c r="AH29" i="4" s="1"/>
  <c r="AI29" i="4" s="1"/>
  <c r="AJ29" i="4" s="1"/>
  <c r="AK29" i="4" s="1"/>
  <c r="AL29" i="4" s="1"/>
  <c r="AM29" i="4" s="1"/>
  <c r="AN29" i="4" s="1"/>
  <c r="AO29" i="4" s="1"/>
  <c r="AP29" i="4" s="1"/>
  <c r="AQ29" i="4" s="1"/>
  <c r="AR29" i="4" s="1"/>
  <c r="AS29" i="4" s="1"/>
  <c r="AT29" i="4" s="1"/>
  <c r="AU29" i="4" s="1"/>
  <c r="AV29" i="4" s="1"/>
  <c r="J12" i="12"/>
  <c r="AV12" i="4"/>
  <c r="AS12" i="4"/>
  <c r="H13" i="9" s="1"/>
  <c r="AP12" i="4"/>
  <c r="AO12" i="4"/>
  <c r="AN12" i="4"/>
  <c r="AM12" i="4"/>
  <c r="A12" i="4"/>
  <c r="AS11" i="4"/>
  <c r="AQ11" i="4"/>
  <c r="F6" i="6" s="1"/>
  <c r="AP11" i="4"/>
  <c r="AO11" i="4"/>
  <c r="AN11" i="4"/>
  <c r="AM11" i="4"/>
  <c r="A11" i="4"/>
  <c r="AV8" i="4"/>
  <c r="I8" i="4"/>
  <c r="J8" i="4" s="1"/>
  <c r="I7" i="4"/>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L7" i="4" s="1"/>
  <c r="AM7" i="4" s="1"/>
  <c r="AN7" i="4" s="1"/>
  <c r="AP7" i="4" s="1"/>
  <c r="AQ7" i="4" s="1"/>
  <c r="AR7" i="4" s="1"/>
  <c r="AS7" i="4" s="1"/>
  <c r="AT7" i="4" s="1"/>
  <c r="AU7" i="4" s="1"/>
  <c r="AV7" i="4" s="1"/>
  <c r="C15" i="2"/>
  <c r="AS28" i="4" l="1"/>
  <c r="AP28" i="4"/>
  <c r="AN28" i="4"/>
  <c r="AO28" i="4"/>
  <c r="AQ36" i="9"/>
  <c r="M36" i="9"/>
  <c r="J36" i="9"/>
  <c r="H16" i="9"/>
  <c r="H36" i="9" s="1"/>
  <c r="AO16" i="9"/>
  <c r="AO15" i="9" s="1"/>
  <c r="O12" i="7"/>
  <c r="O30" i="7" s="1"/>
  <c r="T7" i="10"/>
  <c r="AV49" i="9"/>
  <c r="AR12" i="4"/>
  <c r="G13" i="9" s="1"/>
  <c r="AQ28" i="4"/>
  <c r="S10" i="10"/>
  <c r="O10" i="10"/>
  <c r="Q36" i="13"/>
  <c r="G5" i="6"/>
  <c r="N10" i="10"/>
  <c r="J11" i="10"/>
  <c r="T9" i="10"/>
  <c r="K8" i="4"/>
  <c r="J9" i="4"/>
  <c r="I9" i="4"/>
  <c r="F5" i="6"/>
  <c r="R6" i="6"/>
  <c r="AM28" i="4"/>
  <c r="H9" i="4"/>
  <c r="J11" i="12"/>
  <c r="G7" i="10"/>
  <c r="AR11" i="4"/>
  <c r="AR28" i="4" l="1"/>
  <c r="AR10" i="4" s="1"/>
  <c r="V36" i="9"/>
  <c r="AV44" i="9" s="1"/>
  <c r="AM13" i="9"/>
  <c r="AM11" i="9" s="1"/>
  <c r="AG13" i="9"/>
  <c r="AG11" i="9" s="1"/>
  <c r="AH13" i="9"/>
  <c r="AH11" i="9" s="1"/>
  <c r="AI13" i="9"/>
  <c r="AI11" i="9" s="1"/>
  <c r="AK13" i="9"/>
  <c r="AL13" i="9"/>
  <c r="AL11" i="9" s="1"/>
  <c r="AO36" i="9"/>
  <c r="AR16" i="9"/>
  <c r="AR15" i="9" s="1"/>
  <c r="T12" i="7"/>
  <c r="T30" i="7" s="1"/>
  <c r="G36" i="9"/>
  <c r="T8" i="10"/>
  <c r="T11" i="10" s="1"/>
  <c r="R5" i="6"/>
  <c r="T5" i="6"/>
  <c r="J9" i="12"/>
  <c r="J10" i="12"/>
  <c r="I7" i="10"/>
  <c r="K9" i="4"/>
  <c r="L8" i="4"/>
  <c r="G8" i="10"/>
  <c r="AJ13" i="9" l="1"/>
  <c r="AJ11" i="9" s="1"/>
  <c r="AN13" i="9"/>
  <c r="AN11" i="9" s="1"/>
  <c r="AK11" i="9"/>
  <c r="AR36" i="9"/>
  <c r="AI16" i="9"/>
  <c r="AI15" i="9" s="1"/>
  <c r="G9" i="10"/>
  <c r="AM16" i="9"/>
  <c r="AM15" i="9" s="1"/>
  <c r="AH16" i="9"/>
  <c r="AH15" i="9" s="1"/>
  <c r="AL16" i="9"/>
  <c r="AL15" i="9" s="1"/>
  <c r="AG16" i="9"/>
  <c r="AG15" i="9" s="1"/>
  <c r="AK16" i="9"/>
  <c r="AK15" i="9" s="1"/>
  <c r="H7" i="10"/>
  <c r="O7" i="10" s="1"/>
  <c r="I8" i="10"/>
  <c r="I11" i="10" s="1"/>
  <c r="L9" i="4"/>
  <c r="M8" i="4"/>
  <c r="G11" i="10"/>
  <c r="AM36" i="9" l="1"/>
  <c r="AI36" i="9"/>
  <c r="AH36" i="9"/>
  <c r="AK36" i="9"/>
  <c r="AG36" i="9"/>
  <c r="AL36" i="9"/>
  <c r="AN16" i="9"/>
  <c r="AN15" i="9" s="1"/>
  <c r="AJ16" i="9"/>
  <c r="AJ15" i="9" s="1"/>
  <c r="K7" i="10"/>
  <c r="H9" i="10"/>
  <c r="H11" i="10"/>
  <c r="M9" i="4"/>
  <c r="N8" i="4"/>
  <c r="AN36" i="9" l="1"/>
  <c r="AJ36" i="9"/>
  <c r="O11" i="10"/>
  <c r="K11" i="10"/>
  <c r="N9" i="4"/>
  <c r="O8" i="4"/>
  <c r="M9" i="10" l="1"/>
  <c r="M7" i="10"/>
  <c r="M11" i="10" s="1"/>
  <c r="O9" i="4"/>
  <c r="P8" i="4"/>
  <c r="L9" i="10"/>
  <c r="N9" i="10" l="1"/>
  <c r="L7" i="10"/>
  <c r="N7" i="10" s="1"/>
  <c r="N11" i="10" s="1"/>
  <c r="Q8" i="4"/>
  <c r="P9" i="4"/>
  <c r="P9" i="10"/>
  <c r="P8" i="10" l="1"/>
  <c r="L11" i="10"/>
  <c r="P7" i="10"/>
  <c r="P11" i="10" s="1"/>
  <c r="Q8" i="10"/>
  <c r="R8" i="10" s="1"/>
  <c r="Q9" i="10"/>
  <c r="R9" i="10" s="1"/>
  <c r="S9" i="10" s="1"/>
  <c r="R8" i="4"/>
  <c r="Q9" i="4"/>
  <c r="S8" i="10" l="1"/>
  <c r="Q7" i="10"/>
  <c r="R7" i="10" s="1"/>
  <c r="R11" i="10" s="1"/>
  <c r="S8" i="4"/>
  <c r="R9" i="4"/>
  <c r="Q11" i="10" l="1"/>
  <c r="S7" i="10"/>
  <c r="S11" i="10" s="1"/>
  <c r="T8" i="4"/>
  <c r="S9" i="4"/>
  <c r="U8" i="4" l="1"/>
  <c r="T9" i="4"/>
  <c r="V8" i="4" l="1"/>
  <c r="U9" i="4"/>
  <c r="W8" i="4" l="1"/>
  <c r="V9" i="4"/>
  <c r="W9" i="4" l="1"/>
  <c r="X8" i="4"/>
  <c r="X9" i="4" l="1"/>
  <c r="Y8" i="4"/>
  <c r="Y9" i="4" l="1"/>
  <c r="Z8" i="4"/>
  <c r="Z9" i="4" l="1"/>
  <c r="AA8" i="4"/>
  <c r="AA9" i="4" l="1"/>
  <c r="AB8" i="4"/>
  <c r="AC8" i="4" l="1"/>
  <c r="AB9" i="4"/>
  <c r="AD8" i="4" l="1"/>
  <c r="AC9" i="4"/>
  <c r="AE8" i="4" l="1"/>
  <c r="AD9" i="4"/>
  <c r="AF8" i="4" l="1"/>
  <c r="AE9" i="4"/>
  <c r="AG8" i="4" l="1"/>
  <c r="AF9" i="4"/>
  <c r="AH8" i="4" l="1"/>
  <c r="AG9" i="4"/>
  <c r="AI8" i="4" l="1"/>
  <c r="AH9" i="4"/>
  <c r="AI9" i="4" l="1"/>
  <c r="AJ8" i="4"/>
  <c r="AJ9" i="4" l="1"/>
  <c r="AK8" i="4"/>
  <c r="AK9" i="4" l="1"/>
  <c r="AL8" i="4"/>
  <c r="AL9" i="4" s="1"/>
  <c r="AV47" i="9" l="1"/>
  <c r="G4" i="9" l="1"/>
  <c r="AA20" i="9" l="1"/>
  <c r="Y20" i="9"/>
  <c r="X20" i="9"/>
  <c r="W20" i="9"/>
  <c r="O20" i="9"/>
  <c r="K20" i="9"/>
  <c r="W35" i="9"/>
  <c r="K35" i="9"/>
  <c r="L35" i="9" s="1"/>
  <c r="X35" i="9"/>
  <c r="Y35" i="9"/>
  <c r="AA35" i="9"/>
  <c r="AC35" i="9" s="1"/>
  <c r="O35" i="9"/>
  <c r="W33" i="9"/>
  <c r="K33" i="9"/>
  <c r="AA33" i="9"/>
  <c r="O33" i="9"/>
  <c r="X33" i="9"/>
  <c r="Y33" i="9"/>
  <c r="W19" i="9"/>
  <c r="AA19" i="9"/>
  <c r="AC19" i="9" s="1"/>
  <c r="Y19" i="9"/>
  <c r="X19" i="9"/>
  <c r="O19" i="9"/>
  <c r="K19" i="9"/>
  <c r="L19" i="9" s="1"/>
  <c r="X25" i="9"/>
  <c r="Y25" i="9"/>
  <c r="K25" i="9"/>
  <c r="L25" i="9" s="1"/>
  <c r="O25" i="9"/>
  <c r="W25" i="9"/>
  <c r="AA25" i="9"/>
  <c r="AC25" i="9" s="1"/>
  <c r="X23" i="9"/>
  <c r="W17" i="9"/>
  <c r="O24" i="9"/>
  <c r="X18" i="9"/>
  <c r="Y18" i="9"/>
  <c r="Y23" i="9"/>
  <c r="X17" i="9"/>
  <c r="O23" i="9"/>
  <c r="X24" i="9"/>
  <c r="K23" i="9"/>
  <c r="L23" i="9" s="1"/>
  <c r="W18" i="9"/>
  <c r="K24" i="9"/>
  <c r="L24" i="9" s="1"/>
  <c r="AA24" i="9"/>
  <c r="AC24" i="9" s="1"/>
  <c r="AA17" i="9"/>
  <c r="AC17" i="9" s="1"/>
  <c r="AA18" i="9"/>
  <c r="K17" i="9"/>
  <c r="L17" i="9" s="1"/>
  <c r="O17" i="9"/>
  <c r="K18" i="9"/>
  <c r="W23" i="9"/>
  <c r="Y17" i="9"/>
  <c r="AA23" i="9"/>
  <c r="AC23" i="9" s="1"/>
  <c r="W24" i="9"/>
  <c r="O18" i="9"/>
  <c r="Y24" i="9"/>
  <c r="Y31" i="9"/>
  <c r="K31" i="9"/>
  <c r="L31" i="9" s="1"/>
  <c r="AA31" i="9"/>
  <c r="AC31" i="9" s="1"/>
  <c r="O31" i="9"/>
  <c r="W31" i="9"/>
  <c r="X31" i="9"/>
  <c r="W32" i="9"/>
  <c r="AA32" i="9"/>
  <c r="AC32" i="9" s="1"/>
  <c r="O32" i="9"/>
  <c r="Y32" i="9"/>
  <c r="K32" i="9"/>
  <c r="L32" i="9" s="1"/>
  <c r="X32" i="9"/>
  <c r="K13" i="9"/>
  <c r="AA13" i="9"/>
  <c r="AC13" i="9" s="1"/>
  <c r="W13" i="9"/>
  <c r="X13" i="9"/>
  <c r="O13" i="9"/>
  <c r="Y13" i="9"/>
  <c r="Y14" i="9"/>
  <c r="AA14" i="9"/>
  <c r="AC14" i="9" s="1"/>
  <c r="W14" i="9"/>
  <c r="K14" i="9"/>
  <c r="L14" i="9" s="1"/>
  <c r="O14" i="9"/>
  <c r="X14" i="9"/>
  <c r="O12" i="9"/>
  <c r="X12" i="9"/>
  <c r="K12" i="9"/>
  <c r="Y12" i="9"/>
  <c r="W12" i="9"/>
  <c r="AA12" i="9"/>
  <c r="K29" i="9"/>
  <c r="O29" i="9"/>
  <c r="X29" i="9"/>
  <c r="AA29" i="9"/>
  <c r="W29" i="9"/>
  <c r="Y29" i="9"/>
  <c r="AT12" i="4"/>
  <c r="J8" i="12"/>
  <c r="Y16" i="9"/>
  <c r="X16" i="9"/>
  <c r="K16" i="9"/>
  <c r="O16" i="9"/>
  <c r="AA16" i="9"/>
  <c r="W16" i="9"/>
  <c r="X21" i="9" l="1"/>
  <c r="L20" i="9"/>
  <c r="L21" i="9" s="1"/>
  <c r="K21" i="9"/>
  <c r="Y21" i="9"/>
  <c r="O21" i="9"/>
  <c r="Z20" i="9"/>
  <c r="W21" i="9"/>
  <c r="AC20" i="9"/>
  <c r="AC21" i="9" s="1"/>
  <c r="AA21" i="9"/>
  <c r="W34" i="9"/>
  <c r="Y34" i="9"/>
  <c r="L33" i="9"/>
  <c r="L34" i="9" s="1"/>
  <c r="K34" i="9"/>
  <c r="X34" i="9"/>
  <c r="O34" i="9"/>
  <c r="AC33" i="9"/>
  <c r="AC34" i="9" s="1"/>
  <c r="AA34" i="9"/>
  <c r="Z35" i="9"/>
  <c r="AD35" i="9" s="1"/>
  <c r="AE35" i="9" s="1"/>
  <c r="Y22" i="9"/>
  <c r="X22" i="9"/>
  <c r="W22" i="9"/>
  <c r="Z33" i="9"/>
  <c r="O22" i="9"/>
  <c r="Z19" i="9"/>
  <c r="AD19" i="9" s="1"/>
  <c r="AE19" i="9" s="1"/>
  <c r="L18" i="9"/>
  <c r="L22" i="9" s="1"/>
  <c r="K22" i="9"/>
  <c r="AC18" i="9"/>
  <c r="AC22" i="9" s="1"/>
  <c r="AA22" i="9"/>
  <c r="Z25" i="9"/>
  <c r="AD25" i="9" s="1"/>
  <c r="AE25" i="9" s="1"/>
  <c r="AF25" i="9" s="1"/>
  <c r="AS25" i="9" s="1"/>
  <c r="AT25" i="9" s="1"/>
  <c r="AV25" i="9" s="1"/>
  <c r="AT28" i="4"/>
  <c r="AT10" i="4" s="1"/>
  <c r="Z23" i="9"/>
  <c r="AD23" i="9" s="1"/>
  <c r="AE23" i="9" s="1"/>
  <c r="AF23" i="9" s="1"/>
  <c r="AS23" i="9" s="1"/>
  <c r="AT23" i="9" s="1"/>
  <c r="AV23" i="9" s="1"/>
  <c r="G14" i="3" s="1"/>
  <c r="Z18" i="9"/>
  <c r="Z24" i="9"/>
  <c r="AD24" i="9" s="1"/>
  <c r="AE24" i="9" s="1"/>
  <c r="AF24" i="9" s="1"/>
  <c r="AS24" i="9" s="1"/>
  <c r="Z17" i="9"/>
  <c r="AD17" i="9" s="1"/>
  <c r="AE17" i="9" s="1"/>
  <c r="AF17" i="9" s="1"/>
  <c r="AS17" i="9" s="1"/>
  <c r="AT17" i="9" s="1"/>
  <c r="AV17" i="9" s="1"/>
  <c r="X28" i="9"/>
  <c r="W28" i="9"/>
  <c r="O28" i="9"/>
  <c r="K28" i="9"/>
  <c r="Y28" i="9"/>
  <c r="Z31" i="9"/>
  <c r="AD31" i="9" s="1"/>
  <c r="AE31" i="9" s="1"/>
  <c r="AA28" i="9"/>
  <c r="Z32" i="9"/>
  <c r="AD32" i="9" s="1"/>
  <c r="AE32" i="9" s="1"/>
  <c r="AF32" i="9" s="1"/>
  <c r="AS32" i="9" s="1"/>
  <c r="AT32" i="9" s="1"/>
  <c r="AV32" i="9" s="1"/>
  <c r="L29" i="9"/>
  <c r="O11" i="9"/>
  <c r="Y11" i="9"/>
  <c r="W11" i="9"/>
  <c r="X11" i="9"/>
  <c r="L13" i="9"/>
  <c r="K11" i="9"/>
  <c r="J13" i="12"/>
  <c r="AC29" i="9"/>
  <c r="Z14" i="9"/>
  <c r="AD14" i="9" s="1"/>
  <c r="AE14" i="9" s="1"/>
  <c r="AF14" i="9" s="1"/>
  <c r="AS14" i="9" s="1"/>
  <c r="AT14" i="9" s="1"/>
  <c r="AV14" i="9" s="1"/>
  <c r="G10" i="3" s="1"/>
  <c r="AC12" i="9"/>
  <c r="AA11" i="9"/>
  <c r="AC16" i="9"/>
  <c r="L12" i="9"/>
  <c r="Z13" i="9"/>
  <c r="Z12" i="9"/>
  <c r="Z29" i="9"/>
  <c r="L16" i="9"/>
  <c r="I9" i="10"/>
  <c r="O9" i="10" s="1"/>
  <c r="K9" i="10"/>
  <c r="Z16" i="9"/>
  <c r="K15" i="9" l="1"/>
  <c r="AA15" i="9"/>
  <c r="AA36" i="9" s="1"/>
  <c r="X15" i="9"/>
  <c r="X36" i="9" s="1"/>
  <c r="W15" i="9"/>
  <c r="W36" i="9" s="1"/>
  <c r="O15" i="9"/>
  <c r="O36" i="9" s="1"/>
  <c r="AV43" i="9" s="1"/>
  <c r="Y15" i="9"/>
  <c r="Y36" i="9" s="1"/>
  <c r="AD20" i="9"/>
  <c r="Z21" i="9"/>
  <c r="AD33" i="9"/>
  <c r="Z34" i="9"/>
  <c r="AF35" i="9"/>
  <c r="AS35" i="9" s="1"/>
  <c r="AT35" i="9" s="1"/>
  <c r="AV35" i="9" s="1"/>
  <c r="G17" i="3" s="1"/>
  <c r="AC15" i="9"/>
  <c r="AF19" i="9"/>
  <c r="AS19" i="9" s="1"/>
  <c r="AT19" i="9" s="1"/>
  <c r="AV19" i="9" s="1"/>
  <c r="AD18" i="9"/>
  <c r="Z22" i="9"/>
  <c r="L15" i="9"/>
  <c r="I16" i="12"/>
  <c r="AT24" i="9"/>
  <c r="AV24" i="9" s="1"/>
  <c r="G15" i="3" s="1"/>
  <c r="Z28" i="9"/>
  <c r="L28" i="9"/>
  <c r="AF31" i="9"/>
  <c r="AS31" i="9" s="1"/>
  <c r="AT31" i="9" s="1"/>
  <c r="AV31" i="9" s="1"/>
  <c r="K36" i="9"/>
  <c r="AC28" i="9"/>
  <c r="L11" i="9"/>
  <c r="AD13" i="9"/>
  <c r="AE13" i="9" s="1"/>
  <c r="Z11" i="9"/>
  <c r="I21" i="12"/>
  <c r="I20" i="12"/>
  <c r="I19" i="12"/>
  <c r="I18" i="12"/>
  <c r="AC11" i="9"/>
  <c r="AD12" i="9"/>
  <c r="AD29" i="9"/>
  <c r="AD28" i="9" s="1"/>
  <c r="H8" i="10"/>
  <c r="O8" i="10" s="1"/>
  <c r="U8" i="10" s="1"/>
  <c r="AD16" i="9"/>
  <c r="Z15" i="9" l="1"/>
  <c r="Z36" i="9" s="1"/>
  <c r="AD21" i="9"/>
  <c r="AE20" i="9"/>
  <c r="AE33" i="9"/>
  <c r="AD34" i="9"/>
  <c r="G9" i="3"/>
  <c r="G16" i="3"/>
  <c r="AE18" i="9"/>
  <c r="AD22" i="9"/>
  <c r="AC36" i="9"/>
  <c r="L36" i="9"/>
  <c r="AV42" i="9" s="1"/>
  <c r="AF13" i="9"/>
  <c r="AS13" i="9" s="1"/>
  <c r="AT13" i="9" s="1"/>
  <c r="AV13" i="9" s="1"/>
  <c r="G4" i="3" s="1"/>
  <c r="K8" i="10"/>
  <c r="AE29" i="9"/>
  <c r="AE28" i="9" s="1"/>
  <c r="AE12" i="9"/>
  <c r="AD11" i="9"/>
  <c r="I17" i="12"/>
  <c r="U11" i="10"/>
  <c r="V8" i="10"/>
  <c r="V11" i="10" s="1"/>
  <c r="AE16" i="9"/>
  <c r="AD15" i="9" l="1"/>
  <c r="AD36" i="9" s="1"/>
  <c r="AV45" i="9" s="1"/>
  <c r="AV46" i="9" s="1"/>
  <c r="AF20" i="9"/>
  <c r="AE21" i="9"/>
  <c r="AF33" i="9"/>
  <c r="AE34" i="9"/>
  <c r="AF18" i="9"/>
  <c r="AE22" i="9"/>
  <c r="AE15" i="9" s="1"/>
  <c r="I31" i="12"/>
  <c r="I24" i="12"/>
  <c r="G8" i="3"/>
  <c r="AE11" i="9"/>
  <c r="AF12" i="9"/>
  <c r="AF29" i="9"/>
  <c r="AF28" i="9" s="1"/>
  <c r="M8" i="10"/>
  <c r="AF16" i="9"/>
  <c r="AS20" i="9" l="1"/>
  <c r="AF21" i="9"/>
  <c r="AS33" i="9"/>
  <c r="AF34" i="9"/>
  <c r="AS18" i="9"/>
  <c r="AF22" i="9"/>
  <c r="AE36" i="9"/>
  <c r="AS12" i="9"/>
  <c r="AF11" i="9"/>
  <c r="AS29" i="9"/>
  <c r="AS28" i="9" s="1"/>
  <c r="L8" i="10"/>
  <c r="N8" i="10" s="1"/>
  <c r="AS16" i="9"/>
  <c r="AF15" i="9" l="1"/>
  <c r="AF36" i="9" s="1"/>
  <c r="AT20" i="9"/>
  <c r="AS21" i="9"/>
  <c r="AT33" i="9"/>
  <c r="AS34" i="9"/>
  <c r="AT18" i="9"/>
  <c r="AS22" i="9"/>
  <c r="AT29" i="9"/>
  <c r="AT28" i="9" s="1"/>
  <c r="AT16" i="9"/>
  <c r="AT12" i="9"/>
  <c r="AS11" i="9"/>
  <c r="I27" i="12"/>
  <c r="AS15" i="9" l="1"/>
  <c r="AS36" i="9" s="1"/>
  <c r="AV20" i="9"/>
  <c r="AV21" i="9" s="1"/>
  <c r="G12" i="3" s="1"/>
  <c r="AT21" i="9"/>
  <c r="AV33" i="9"/>
  <c r="AV34" i="9" s="1"/>
  <c r="G11" i="3" s="1"/>
  <c r="AT34" i="9"/>
  <c r="AV18" i="9"/>
  <c r="AT22" i="9"/>
  <c r="AV12" i="9"/>
  <c r="AT11" i="9"/>
  <c r="AV16" i="9"/>
  <c r="AV29" i="9"/>
  <c r="I25" i="12"/>
  <c r="I30" i="12" s="1"/>
  <c r="I32" i="12" s="1"/>
  <c r="AW36" i="9"/>
  <c r="AT15" i="9" l="1"/>
  <c r="AT36" i="9" s="1"/>
  <c r="AV28" i="9"/>
  <c r="AV22" i="9"/>
  <c r="AV15" i="9" s="1"/>
  <c r="G6" i="3"/>
  <c r="AV11" i="9"/>
  <c r="G7" i="3"/>
  <c r="G5" i="3"/>
  <c r="AV36" i="9" l="1"/>
  <c r="G13" i="3"/>
  <c r="G20" i="3" s="1"/>
  <c r="O17" i="7"/>
  <c r="T17" i="7" s="1"/>
  <c r="N12" i="2" l="1"/>
  <c r="N13" i="2" s="1"/>
  <c r="AV48" i="9"/>
  <c r="AV50" i="9" s="1"/>
  <c r="AV51" i="9" l="1"/>
  <c r="N20" i="7" l="1"/>
  <c r="O20" i="7" s="1"/>
  <c r="T20"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tc={391BB089-DB75-401C-A259-20E78A630D2F}</author>
  </authors>
  <commentList>
    <comment ref="S7" authorId="0" shapeId="0" xr:uid="{00000000-0006-0000-0400-000001000000}">
      <text>
        <r>
          <rPr>
            <sz val="10"/>
            <color rgb="FF000000"/>
            <rFont val="Arial"/>
            <family val="2"/>
            <scheme val="minor"/>
          </rPr>
          <t>[Chú thích theo luồng]
Phiên bản Excel của bạn cho phép bạn đọc chú thích theo luồng này; tuy nhiên, bất kỳ chỉnh sửa nào cho luồng cũng sẽ bị loại bỏ nếu mở tệp ở phiên bản Excel mới hơn. Tìm hiểu thêm: https://go.microsoft.com/fwlink/?linkid=870924
Nhận xét:
    Cộng 03 phép hỉ theo quy định</t>
        </r>
      </text>
    </comment>
  </commentList>
  <extLst>
    <ext xmlns:r="http://schemas.openxmlformats.org/officeDocument/2006/relationships" uri="GoogleSheetsCustomDataVersion2">
      <go:sheetsCustomData xmlns:go="http://customooxmlschemas.google.com/" r:id="" roundtripDataSignature="AMtx7mglz9a6Uxa+0iXMzVkffDR51fmiKA=="/>
    </ext>
  </extLst>
</comments>
</file>

<file path=xl/sharedStrings.xml><?xml version="1.0" encoding="utf-8"?>
<sst xmlns="http://schemas.openxmlformats.org/spreadsheetml/2006/main" count="1032" uniqueCount="407">
  <si>
    <t>DANH MỤC HỒ SƠ LƯƠNG THÁNG 04.2024</t>
  </si>
  <si>
    <t>STT</t>
  </si>
  <si>
    <t>Nội dung</t>
  </si>
  <si>
    <t>Link</t>
  </si>
  <si>
    <t>Đề nghị thanh toán</t>
  </si>
  <si>
    <t>ĐỀ NGHỊ THANH TOÁN</t>
  </si>
  <si>
    <t>Ngân  hàng  nhận lương của CBNV</t>
  </si>
  <si>
    <t>Bảng kê nhận lương</t>
  </si>
  <si>
    <t>Bảng chấm công</t>
  </si>
  <si>
    <t>3,BẢNG CHẤM CÔNG</t>
  </si>
  <si>
    <t>Bảng phép năm 2023</t>
  </si>
  <si>
    <t>Thông số tính lương</t>
  </si>
  <si>
    <t>Thông số TL</t>
  </si>
  <si>
    <t>Bảng tính lương</t>
  </si>
  <si>
    <t>Bảng lương</t>
  </si>
  <si>
    <t>Theo dõi Người phụ thuộc</t>
  </si>
  <si>
    <t>#'7.Danh sách NPT'!A1</t>
  </si>
  <si>
    <t>Phiếu lương</t>
  </si>
  <si>
    <t>CỘNG HOÀ XÃ HỘI CHỦ NGHĨA VIỆT NAM
Độc lập - Tự do - Hạnh phúc</t>
  </si>
  <si>
    <t>----------------------</t>
  </si>
  <si>
    <t>Kính gửi:</t>
  </si>
  <si>
    <t xml:space="preserve"> </t>
  </si>
  <si>
    <t>Bộ phận:</t>
  </si>
  <si>
    <t xml:space="preserve">Nội dung thanh toán </t>
  </si>
  <si>
    <t xml:space="preserve">Thành tiền </t>
  </si>
  <si>
    <t>Tổng tiền thanh toán</t>
  </si>
  <si>
    <t xml:space="preserve">Bằng chữ: </t>
  </si>
  <si>
    <t xml:space="preserve">Phương thức thanh toán: </t>
  </si>
  <si>
    <t>Tiền mặt</t>
  </si>
  <si>
    <t>Chuyển khoản</t>
  </si>
  <si>
    <t>Thông tin chuyển khoản:</t>
  </si>
  <si>
    <t>- Chủ tài khoản:</t>
  </si>
  <si>
    <t>Theo danh sách đính kèm</t>
  </si>
  <si>
    <t>- Số tài khoản :</t>
  </si>
  <si>
    <t>- Ngân hàng:</t>
  </si>
  <si>
    <t>Tổng Giám đốc</t>
  </si>
  <si>
    <t>Phòng TCKT</t>
  </si>
  <si>
    <t>Phòng HCNS</t>
  </si>
  <si>
    <t>Người lập</t>
  </si>
  <si>
    <t>Nguyễn Thị Mai Hằng</t>
  </si>
  <si>
    <t>Mã NV</t>
  </si>
  <si>
    <t>Họ và tên</t>
  </si>
  <si>
    <t xml:space="preserve">Số tài khoản </t>
  </si>
  <si>
    <t>Ngân hàng</t>
  </si>
  <si>
    <t>Chi nhánh</t>
  </si>
  <si>
    <t xml:space="preserve">Số tiền thanh toán </t>
  </si>
  <si>
    <t>CVG006</t>
  </si>
  <si>
    <t>Nguyễn Lê Trúc Anh</t>
  </si>
  <si>
    <t>CVG028</t>
  </si>
  <si>
    <t>CTV002</t>
  </si>
  <si>
    <t>Nông Thị Thu Hiền</t>
  </si>
  <si>
    <t>Tổng</t>
  </si>
  <si>
    <t>TỔNG GIÁM ĐỐC</t>
  </si>
  <si>
    <t>PHÒNG TÀI CHÍNH - KẾ TOÁN</t>
  </si>
  <si>
    <t>PHÒNG HCNS</t>
  </si>
  <si>
    <t>NGƯỜI LẬP</t>
  </si>
  <si>
    <t>Tháng</t>
  </si>
  <si>
    <t>Bảng Ký Hiệu Các Loại Ngày Công</t>
  </si>
  <si>
    <t>Loại</t>
  </si>
  <si>
    <t>Đủ Công</t>
  </si>
  <si>
    <t>Nửa Ngày</t>
  </si>
  <si>
    <t>Online</t>
  </si>
  <si>
    <t>Online nửa ngày</t>
  </si>
  <si>
    <t>Phép</t>
  </si>
  <si>
    <t>Nửa phép</t>
  </si>
  <si>
    <t>Làm việc CN, T7</t>
  </si>
  <si>
    <t>Làm việc nửa CN/T7</t>
  </si>
  <si>
    <t>Ngày Lễ</t>
  </si>
  <si>
    <t>Nửa ngày lễ</t>
  </si>
  <si>
    <t>Không Lương</t>
  </si>
  <si>
    <t>Thai sản</t>
  </si>
  <si>
    <t>Năm</t>
  </si>
  <si>
    <t>Ký Hiệu</t>
  </si>
  <si>
    <t>X</t>
  </si>
  <si>
    <t>N1</t>
  </si>
  <si>
    <t>On</t>
  </si>
  <si>
    <t>On/2</t>
  </si>
  <si>
    <t>P</t>
  </si>
  <si>
    <t>P1</t>
  </si>
  <si>
    <t>C</t>
  </si>
  <si>
    <t>C/2</t>
  </si>
  <si>
    <t>L</t>
  </si>
  <si>
    <t>L1</t>
  </si>
  <si>
    <t>K</t>
  </si>
  <si>
    <t>TS</t>
  </si>
  <si>
    <t>ON</t>
  </si>
  <si>
    <t>P + P1</t>
  </si>
  <si>
    <t>Tổng Công đi làm &amp; nghỉ phép</t>
  </si>
  <si>
    <t>Số công full tháng</t>
  </si>
  <si>
    <t>Đủ công</t>
  </si>
  <si>
    <t>Nửa Công</t>
  </si>
  <si>
    <t>Làm online</t>
  </si>
  <si>
    <t xml:space="preserve">Làm việc CN, T7
</t>
  </si>
  <si>
    <t>Lễ Tết</t>
  </si>
  <si>
    <t>Phòng ban</t>
  </si>
  <si>
    <t>Chức danh</t>
  </si>
  <si>
    <t>Tầng nhân sự</t>
  </si>
  <si>
    <t>Họ &amp; Tên</t>
  </si>
  <si>
    <t>Tình Trạng</t>
  </si>
  <si>
    <t>Tổng giám đốc</t>
  </si>
  <si>
    <t>Chính Thức</t>
  </si>
  <si>
    <t>CVG004</t>
  </si>
  <si>
    <t>Chuyên viên pháp chế</t>
  </si>
  <si>
    <t>Marketing</t>
  </si>
  <si>
    <t>1</t>
  </si>
  <si>
    <t>Phòng Tài chính - Kế toán</t>
  </si>
  <si>
    <t>Phòng Hành chính - Nhân sự</t>
  </si>
  <si>
    <t>Chức vụ</t>
  </si>
  <si>
    <t/>
  </si>
  <si>
    <t xml:space="preserve">Phòng </t>
  </si>
  <si>
    <t>Số ngày phép năm 2025</t>
  </si>
  <si>
    <t>Phép tồn</t>
  </si>
  <si>
    <t>Ghi chú</t>
  </si>
  <si>
    <t>T1</t>
  </si>
  <si>
    <t>T2</t>
  </si>
  <si>
    <t>T3</t>
  </si>
  <si>
    <t>Thời gian bắt đầu tính phép
Đvt: tháng</t>
  </si>
  <si>
    <t>T4</t>
  </si>
  <si>
    <t>T5</t>
  </si>
  <si>
    <t>T6</t>
  </si>
  <si>
    <t>T7</t>
  </si>
  <si>
    <t>T8</t>
  </si>
  <si>
    <t>T9</t>
  </si>
  <si>
    <t>T10</t>
  </si>
  <si>
    <t>T11</t>
  </si>
  <si>
    <t>T12</t>
  </si>
  <si>
    <t>BẢNG THÔNG SỐ TÍNH LƯƠNG VỊ TRÍ</t>
  </si>
  <si>
    <t>I. Mục tiêu</t>
  </si>
  <si>
    <t>II. Bảng thông số</t>
  </si>
  <si>
    <t>Phòng/Ban</t>
  </si>
  <si>
    <t xml:space="preserve">Mã nhân viên </t>
  </si>
  <si>
    <t>Tầng NS</t>
  </si>
  <si>
    <t>Lương BHXH</t>
  </si>
  <si>
    <t>Thưởng Hiệu quả công việc</t>
  </si>
  <si>
    <t>Các khoản phụ cấp</t>
  </si>
  <si>
    <t>Thưởng Hiệu quả kinh doanh/Dự án</t>
  </si>
  <si>
    <t>Tổng thu nhập trước thuế</t>
  </si>
  <si>
    <t>PC miễn thuế</t>
  </si>
  <si>
    <t>PC đóng thuế</t>
  </si>
  <si>
    <t>Tổng phụ cấp</t>
  </si>
  <si>
    <t>Tên thông số</t>
  </si>
  <si>
    <t>Hck</t>
  </si>
  <si>
    <t>Doanh thu</t>
  </si>
  <si>
    <t>Ăn trưa</t>
  </si>
  <si>
    <t>Trang phục</t>
  </si>
  <si>
    <t>Điện thoại</t>
  </si>
  <si>
    <t>Kiêm nhiệm</t>
  </si>
  <si>
    <t>Gửi xe</t>
  </si>
  <si>
    <t>III. Tổ chức thực hiện</t>
  </si>
  <si>
    <t>A</t>
  </si>
  <si>
    <t>B</t>
  </si>
  <si>
    <t>- Giám đốc Trung tâm Dịch vụ quản trị phê duyệt quy định này;</t>
  </si>
  <si>
    <t>- Ban Nhân sự - Trung tâm Dịch vụ quản trị thực hiện việc phối hợp, giám sát, đảm bảo công tác tính lương và bảo hiểm xã hội của cán bộ nhân viên trung tâm;</t>
  </si>
  <si>
    <t>- Phòng Tổng hợp, Phòng kế toán CVG tiếp nhận và thực hiện tính lương, tham gia Bảo hiểm xã hội cho cán bộ nhân viên thuộc Trung tâm dịch vụ quản trị;</t>
  </si>
  <si>
    <t>Nơi nhận:</t>
  </si>
  <si>
    <t>- GĐ TTDVQT (để chủ trì t/c t/h);</t>
  </si>
  <si>
    <t>- Ban NS (để p/h, g/s);</t>
  </si>
  <si>
    <t>- P.TH, P.KT (để t/n, t/h);</t>
  </si>
  <si>
    <t>- Lưu P.TH, TTDVQT.</t>
  </si>
  <si>
    <t>Thù lao thực nhận</t>
  </si>
  <si>
    <t>Thuế TNCN khấu trừ</t>
  </si>
  <si>
    <t>CTV Content</t>
  </si>
  <si>
    <t>CTV003</t>
  </si>
  <si>
    <t>Phan Thị Minh Thu</t>
  </si>
  <si>
    <t>Hà Nội, ngày     tháng     năm 2024</t>
  </si>
  <si>
    <t>Ngày công tiêu chuẩn của CBNV</t>
  </si>
  <si>
    <t>TT</t>
  </si>
  <si>
    <t>Mã nhân viên</t>
  </si>
  <si>
    <t>Chức danh/ Chức vụ</t>
  </si>
  <si>
    <t>Tình trạng</t>
  </si>
  <si>
    <t>Thu nhập đóng BHXH/ lương lễ tết phép (tổng thu nhập tháng trước thuế)</t>
  </si>
  <si>
    <r>
      <rPr>
        <b/>
        <sz val="12"/>
        <color theme="1"/>
        <rFont val="Times New Roman"/>
        <family val="1"/>
      </rPr>
      <t xml:space="preserve">(B) Thưởng YTCLCV </t>
    </r>
    <r>
      <rPr>
        <b/>
        <i/>
        <sz val="12"/>
        <color theme="1"/>
        <rFont val="Times New Roman"/>
        <family val="1"/>
      </rPr>
      <t>(HQCV)</t>
    </r>
  </si>
  <si>
    <t>(C) Thưởng hiệu quả kinh doanh</t>
  </si>
  <si>
    <t>(D) Các khoản mang tính chất lương khác</t>
  </si>
  <si>
    <t>(E) Các khoản hỗ trợ</t>
  </si>
  <si>
    <t>Tổng thu nhập chịu thuế</t>
  </si>
  <si>
    <t>(VII) BHXH VÀ CÔNG ĐOÀN</t>
  </si>
  <si>
    <t>Các khoản giảm trừ (bản thân và người phụ thuộc)</t>
  </si>
  <si>
    <t>Tổng thu nhập tính thuế
(I)</t>
  </si>
  <si>
    <t>Thuế TNCN</t>
  </si>
  <si>
    <t>Hoàn thuế TNCN 2024</t>
  </si>
  <si>
    <t>Tổng thu nhập thực lĩnh</t>
  </si>
  <si>
    <t>Tỷ trọng quỹ lương</t>
  </si>
  <si>
    <t>Ngày công</t>
  </si>
  <si>
    <t>Lương cơ bản/đóng BHXH/Lễ tết phép</t>
  </si>
  <si>
    <t>Lương cơ bản theo ngày công</t>
  </si>
  <si>
    <t>Tổng 
(A)</t>
  </si>
  <si>
    <t>Định mức thưởng</t>
  </si>
  <si>
    <r>
      <rPr>
        <b/>
        <sz val="12"/>
        <color theme="1"/>
        <rFont val="Times New Roman"/>
        <family val="1"/>
      </rPr>
      <t xml:space="preserve">Nghiệm thu YTCLCV </t>
    </r>
    <r>
      <rPr>
        <b/>
        <i/>
        <sz val="12"/>
        <color theme="1"/>
        <rFont val="Times New Roman"/>
        <family val="1"/>
      </rPr>
      <t xml:space="preserve">(HQCV) </t>
    </r>
  </si>
  <si>
    <t>TỔNG (B)</t>
  </si>
  <si>
    <t>Thưởng lương tháng 13</t>
  </si>
  <si>
    <t>Phúc lợi</t>
  </si>
  <si>
    <t>Tổng
( D)</t>
  </si>
  <si>
    <t>Các khoản hỗ trợ miễn thuế TNCN</t>
  </si>
  <si>
    <t>Các khoản hỗ trợ đóng thuế TNCN</t>
  </si>
  <si>
    <t>Tổng (E)</t>
  </si>
  <si>
    <t>Công ty đóng</t>
  </si>
  <si>
    <t>Người lao động đóng</t>
  </si>
  <si>
    <t>Ngày công đi làm, nghỉ phép năm</t>
  </si>
  <si>
    <t>Ngày công lễ, Tết</t>
  </si>
  <si>
    <t>Ngày công làm online</t>
  </si>
  <si>
    <t>Thưởng doanh thu</t>
  </si>
  <si>
    <t>Tổng
(C)</t>
  </si>
  <si>
    <t>Tổng 
( E.1 )</t>
  </si>
  <si>
    <t>Hỗ trợ kiêm nhiệm vị trí</t>
  </si>
  <si>
    <t>Tổng
(E.2)</t>
  </si>
  <si>
    <t>BHXH (17,5%)</t>
  </si>
  <si>
    <t>BHYT (3%)</t>
  </si>
  <si>
    <t>BHTN (1%)</t>
  </si>
  <si>
    <t>Tổng
(G)</t>
  </si>
  <si>
    <t>BHXH (8%)</t>
  </si>
  <si>
    <t>BHYT (1,5%)</t>
  </si>
  <si>
    <t>Tổng
( H )</t>
  </si>
  <si>
    <t>Bản thân</t>
  </si>
  <si>
    <t>Người phụ thuộc</t>
  </si>
  <si>
    <t>Tổng giảm trừ</t>
  </si>
  <si>
    <t>Số người</t>
  </si>
  <si>
    <t>Số giảm</t>
  </si>
  <si>
    <t>TỔNG</t>
  </si>
  <si>
    <t>Hà Nội, ngày …................. tháng….............năm .................</t>
  </si>
  <si>
    <t>PHÒNG HÀNH CHÍNH - NHÂN SỰ</t>
  </si>
  <si>
    <t>NGUYỄN THỊ MAI HẰNG</t>
  </si>
  <si>
    <t>HQCV</t>
  </si>
  <si>
    <t>Thu nhập khác</t>
  </si>
  <si>
    <t>Phụ cấp</t>
  </si>
  <si>
    <t>BHXH NLĐ</t>
  </si>
  <si>
    <t>Tạm ứng/chi trước</t>
  </si>
  <si>
    <t>Thực lĩnh</t>
  </si>
  <si>
    <t>Lệch</t>
  </si>
  <si>
    <t>TÊN ĐƠN VỊ: CÔNG TY CỔ PHẦN CEO VIỆT NAM HOLDING
ĐỊA CHỈ: LÔ A21, D7 KHU ĐÔ THỊ MỚI CẦU GIẤY, PHƯỜNG DỊCH VỌNG, QUẬN CẦU GIẤY, HÀ NỘI
MST: 0109298747</t>
  </si>
  <si>
    <t>CVG - BẢNG THUẾ TNCN THÁNG 12.2023</t>
  </si>
  <si>
    <t>MÃ NV</t>
  </si>
  <si>
    <t>Ban/
Khối</t>
  </si>
  <si>
    <t>Chức 
vụ</t>
  </si>
  <si>
    <t>Mã số thuế</t>
  </si>
  <si>
    <t>TỔNG
LƯƠNG</t>
  </si>
  <si>
    <t>Các khoản TN được miễn thuế</t>
  </si>
  <si>
    <t xml:space="preserve">Các khoản TN chịu thuế </t>
  </si>
  <si>
    <t>Cộng</t>
  </si>
  <si>
    <t>TNCT</t>
  </si>
  <si>
    <t>Các khoản giảm trừ</t>
  </si>
  <si>
    <t>Thu  nhập tính thuế</t>
  </si>
  <si>
    <t>Thuế TNCN
Phải Khấu trừ (tạm tính)</t>
  </si>
  <si>
    <t>Đồng phục</t>
  </si>
  <si>
    <t>Chuyên cần</t>
  </si>
  <si>
    <t>Nhà ở</t>
  </si>
  <si>
    <t>Đi lại</t>
  </si>
  <si>
    <t>NPT</t>
  </si>
  <si>
    <t xml:space="preserve">Cộng giảm trừ </t>
  </si>
  <si>
    <t>BH bắt buộc</t>
  </si>
  <si>
    <t>Số lượng</t>
  </si>
  <si>
    <t xml:space="preserve">Số giảm </t>
  </si>
  <si>
    <t>Trung tâm dịch vụ quản trị</t>
  </si>
  <si>
    <t>Trưởng ban Nhân sự</t>
  </si>
  <si>
    <t>Trưởng ban Pháp chế</t>
  </si>
  <si>
    <t>Lê Thuý Hằng</t>
  </si>
  <si>
    <t>CVG005</t>
  </si>
  <si>
    <t xml:space="preserve">Nguyễn Văn Triển </t>
  </si>
  <si>
    <t>Trưởng ban Tài chính kiêm KTT</t>
  </si>
  <si>
    <t>Tổng</t>
  </si>
  <si>
    <t>Hà Nội, ngày ....tháng....năm 2023</t>
  </si>
  <si>
    <t>TRƯỞNG BAN TÀI CHÍNH KIÊM KTT</t>
  </si>
  <si>
    <t>TRƯỞNG BAN NHÂN SỰ</t>
  </si>
  <si>
    <t xml:space="preserve">NGƯỜI LẬP </t>
  </si>
  <si>
    <t>NGUYỄN THỊ HÀ NGÂN</t>
  </si>
  <si>
    <t xml:space="preserve">NGUYỄN VĂN TRIỂN </t>
  </si>
  <si>
    <t>MẠC THỊ LINH</t>
  </si>
  <si>
    <t>THEO DÕI NGƯỜI PHỤ THUỘC</t>
  </si>
  <si>
    <t>Họ tên</t>
  </si>
  <si>
    <t>Vị trí</t>
  </si>
  <si>
    <t>Nơi làm việc</t>
  </si>
  <si>
    <t xml:space="preserve">Thông tin về người phụ thuộc </t>
  </si>
  <si>
    <t>Hồ sơ chứng từ NPT</t>
  </si>
  <si>
    <t>Quan hệ với người nộp thuế</t>
  </si>
  <si>
    <t>MST của phụ thuộc</t>
  </si>
  <si>
    <t>Ngày sinh</t>
  </si>
  <si>
    <t>Loại chứng từ</t>
  </si>
  <si>
    <t>Mã NV:</t>
  </si>
  <si>
    <t>Công tiêu chuẩn tháng</t>
  </si>
  <si>
    <t>Họ &amp; Tên:</t>
  </si>
  <si>
    <t>Ngày công đi làm chính thức</t>
  </si>
  <si>
    <t>Ngày công đi làm thử việc</t>
  </si>
  <si>
    <t>Ngày nghỉ lễ, chế độ</t>
  </si>
  <si>
    <t>Tình trạng:</t>
  </si>
  <si>
    <t>Ngày nghỉ phép năm</t>
  </si>
  <si>
    <t>Phép Tồn:</t>
  </si>
  <si>
    <t>Ngày nghỉ không lương</t>
  </si>
  <si>
    <t>Chi tiết thu nhập</t>
  </si>
  <si>
    <t>Thành Tiền</t>
  </si>
  <si>
    <t>Các Khoản Cộng
(1)</t>
  </si>
  <si>
    <t xml:space="preserve">Lương theo BHXH </t>
  </si>
  <si>
    <t>Các khoản hỗ trợ (đã bao gồm gửi xe)</t>
  </si>
  <si>
    <t>Thưởng YTCLCV (ý thức chất lượng công việc</t>
  </si>
  <si>
    <t>Thưởng hiệu quả kinh doanh</t>
  </si>
  <si>
    <t>Làm thêm giờ</t>
  </si>
  <si>
    <t>Các khoản cộng khác</t>
  </si>
  <si>
    <t>Các khoản Trừ
(2)</t>
  </si>
  <si>
    <t>Trích nộp BHXH, BHYT, BHTNLD</t>
  </si>
  <si>
    <t>Thuế TNCN tạm tính</t>
  </si>
  <si>
    <t>Tiền Phí Công Đoàn</t>
  </si>
  <si>
    <t>Các Khoản Trừ Khác</t>
  </si>
  <si>
    <t>Ghi Chú</t>
  </si>
  <si>
    <t>Số tiền thực lĩnh của nhân sự
(1)-(2)</t>
  </si>
  <si>
    <t>Tiền Bảo Hiểm Công Ty Đóng Cho Nhân Viên</t>
  </si>
  <si>
    <t>Tổng chi phí lương của công ty dành cho nhân sự</t>
  </si>
  <si>
    <t>TÊN ĐƠN VỊ: CÔNG TY CỔ PHẦN TẬP ĐOÀN CEO VIỆT NAM GLOBAL
ĐỊA CHỈ: LÔ A21, D7 KHU ĐÔ THỊ MỚI CẦU GIẤY, PHƯỜNG DỊCH VỌNG, QUẬN CẦU GIẤY, HN.
MST: 0109298747</t>
  </si>
  <si>
    <t>PHIẾU LƯƠNG THÁNG 09/2023</t>
  </si>
  <si>
    <t>CVG029</t>
  </si>
  <si>
    <t>Chính thức</t>
  </si>
  <si>
    <t>Ngày công tiêu chuẩn trong tháng của CBNV</t>
  </si>
  <si>
    <t>Phụ cấp miễn thuế TNCN</t>
  </si>
  <si>
    <t>Phụ cấp tính thuế TNCN</t>
  </si>
  <si>
    <t xml:space="preserve">Phúc lợi </t>
  </si>
  <si>
    <t>Tiền Bảo Hiểm</t>
  </si>
  <si>
    <t>Tiền Thuế TNCN</t>
  </si>
  <si>
    <t>Lương ứng/ Chi lương thưởng phúc lợi ứng trước (nếu có)</t>
  </si>
  <si>
    <t>Bảng phép năm 2025</t>
  </si>
  <si>
    <t>Các khoản tạm ứng khác</t>
  </si>
  <si>
    <t>Nguyễn Thị Thu Hảo</t>
  </si>
  <si>
    <t>Vận hành</t>
  </si>
  <si>
    <t>Thử Việc</t>
  </si>
  <si>
    <t>BGH</t>
  </si>
  <si>
    <t>Trưởng phòng vận hành</t>
  </si>
  <si>
    <t>MS04</t>
  </si>
  <si>
    <t>MS03</t>
  </si>
  <si>
    <t>Hiệu phó cơ sở</t>
  </si>
  <si>
    <t>Lê Thị Kim Liên</t>
  </si>
  <si>
    <t>Ban Giám hiệu</t>
  </si>
  <si>
    <t>TÊN ĐƠN VỊ: CÔNG TY CỔ PHẦN MS14
ĐỊA CHỈ: Clubhouse 3 đường Phong Lan 1, khu đô thị Vinhomes Riverside, phường Phúc Lợi, thành phố Hà Nội
MST: 0111258406</t>
  </si>
  <si>
    <t>Hà Nội, ngày tháng năm 2025</t>
  </si>
  <si>
    <t>- Văn bản có hiệu lực kể từ ngày 01/10/2025.</t>
  </si>
  <si>
    <t>- Ban lãnh đạo Công ty cổ phần MS14
- Bộ phận kế toán của công ty</t>
  </si>
  <si>
    <t>Họ và tên người đề nghị: Nguyễn Thị Thu Hảo</t>
  </si>
  <si>
    <t>Techcombank</t>
  </si>
  <si>
    <t>MS05</t>
  </si>
  <si>
    <t>Hoàng Thị Hoa</t>
  </si>
  <si>
    <t>MS06</t>
  </si>
  <si>
    <t>Giáo viên nước ngoài</t>
  </si>
  <si>
    <t>Eugene</t>
  </si>
  <si>
    <t>Giáo viên</t>
  </si>
  <si>
    <t>MS02</t>
  </si>
  <si>
    <t>Bùi Thanh Anh</t>
  </si>
  <si>
    <t>Hiệu trưởng ̣(kiêm nhiệm)</t>
  </si>
  <si>
    <t>Hiệu trưởng</t>
  </si>
  <si>
    <t>Hiệu trưởng kiêm nhiệm</t>
  </si>
  <si>
    <t>ACB</t>
  </si>
  <si>
    <t>Vietcombank</t>
  </si>
  <si>
    <t>Hà Nội, ngày ..... tháng ..... năm 2026</t>
  </si>
  <si>
    <t>Ban giám hiệu</t>
  </si>
  <si>
    <t>MS07</t>
  </si>
  <si>
    <t>Giáo viên mầm non</t>
  </si>
  <si>
    <t>MS08</t>
  </si>
  <si>
    <t>Hoàng Thị Hương Li</t>
  </si>
  <si>
    <t>Quản lý chương trình TA</t>
  </si>
  <si>
    <t>MS09</t>
  </si>
  <si>
    <t>Nguyễn Thị Thu</t>
  </si>
  <si>
    <t>CVG - BẢNG THEO DÕI PHÉP NĂM 2026</t>
  </si>
  <si>
    <t>Số phép đã nghỉ (phép năm 2026)</t>
  </si>
  <si>
    <t>Tổng phép đã nghỉ năm 2026</t>
  </si>
  <si>
    <t>MS10</t>
  </si>
  <si>
    <t>Giáo viên TA VN</t>
  </si>
  <si>
    <t>Bùi Thị Thương</t>
  </si>
  <si>
    <t>Phùng Thị Lụa</t>
  </si>
  <si>
    <t>MS11</t>
  </si>
  <si>
    <t>HK</t>
  </si>
  <si>
    <t>MS12</t>
  </si>
  <si>
    <t>Đinh Thị Bích Ngọc</t>
  </si>
  <si>
    <t>MS13</t>
  </si>
  <si>
    <t>Lương Văn Châm</t>
  </si>
  <si>
    <t>MS14</t>
  </si>
  <si>
    <t>Nguyễn Thị Phúc</t>
  </si>
  <si>
    <t>MS15</t>
  </si>
  <si>
    <t>Nguyễn Thị Thuỳ Trang</t>
  </si>
  <si>
    <t>Bảo vệ</t>
  </si>
  <si>
    <t>Y tế</t>
  </si>
  <si>
    <t xml:space="preserve">0563250894 </t>
  </si>
  <si>
    <t>MB</t>
  </si>
  <si>
    <t>VCB</t>
  </si>
  <si>
    <t>0374624154</t>
  </si>
  <si>
    <t>Nguyễn Ánh Hồng</t>
  </si>
  <si>
    <t>Kế toán</t>
  </si>
  <si>
    <t>MS16</t>
  </si>
  <si>
    <t>Phạm Thị Hương Thuỷ</t>
  </si>
  <si>
    <t>MS17</t>
  </si>
  <si>
    <t>Lê Thị Bích Hường</t>
  </si>
  <si>
    <t>BẢNG TÍNH THU NHẬP THÁNG 04/2026</t>
  </si>
  <si>
    <t>PHIẾU LƯƠNG THÁNG 04.2026</t>
  </si>
  <si>
    <t>MS18</t>
  </si>
  <si>
    <t>Nguyễn Hương Thảo</t>
  </si>
  <si>
    <t>Nội dung thanh toán: MS14 thanh toán lương CBNV MS14 tháng 04/2026</t>
  </si>
  <si>
    <t>Hà Nội, ngày   05 tháng  05  năm 2026</t>
  </si>
  <si>
    <t>BẢNG KÊ DANH SÁCH THANH TOÁN LƯƠNG THÁNG 04.2026</t>
  </si>
  <si>
    <t>Nội dung: MS14 thanh toán lương cho nhân sự MS14 Tháng 04.2026</t>
  </si>
  <si>
    <t>MS19</t>
  </si>
  <si>
    <t>Nhân viên bếp</t>
  </si>
  <si>
    <t>Bác Hạnh</t>
  </si>
  <si>
    <t>Part Time</t>
  </si>
  <si>
    <t>MS14 - BẢNG CHẤM CÔNG THÁNG 04/2026</t>
  </si>
  <si>
    <t>NV Bếp</t>
  </si>
  <si>
    <t>Thử việc</t>
  </si>
  <si>
    <t>0906951113</t>
  </si>
  <si>
    <t>0984903219</t>
  </si>
  <si>
    <t>MS20</t>
  </si>
  <si>
    <t>Nguyễn Thị Thu Hiền</t>
  </si>
  <si>
    <t>MS14 thanh toán lương CBNV MS14 tháng 04/2026
Danh sách cụ thể đính kèm.</t>
  </si>
  <si>
    <t>BIDV</t>
  </si>
  <si>
    <t>Tổng ̣Gross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</si>
</sst>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quot;Hà Nội, Ngày &quot;dd&quot; tháng &quot;mm&quot; năm &quot;yyyy"/>
    <numFmt numFmtId="165" formatCode="_-* #,##0_-;\-* #,##0_-;_-* &quot;-&quot;??_-;_-@"/>
    <numFmt numFmtId="166" formatCode="dd"/>
    <numFmt numFmtId="167" formatCode="#,##0.0"/>
    <numFmt numFmtId="168" formatCode="_-* #,##0.0_-;\-* #,##0.0_-;_-* &quot;-&quot;??_-;_-@"/>
    <numFmt numFmtId="169" formatCode="_(* #,##0_);_(* \(#,##0\);_(* &quot;-&quot;??_);_(@_)"/>
    <numFmt numFmtId="170" formatCode="_(* #,##0.00_);_(* \(#,##0.00\);_(* &quot;-&quot;??_);_(@_)"/>
    <numFmt numFmtId="171" formatCode="0.0%"/>
    <numFmt numFmtId="172" formatCode="0.0"/>
    <numFmt numFmtId="173" formatCode="_(* #,##0.0_);_(* \(#,##0.0\);_(* &quot;-&quot;??_);_(@_)"/>
    <numFmt numFmtId="174" formatCode="_-* #,##0\ _₫_-;\-* #,##0\ _₫_-;_-* &quot;-&quot;??\ _₫_-;_-@"/>
    <numFmt numFmtId="175" formatCode="_-* #,##0.00\ _₫_-;\-* #,##0.00\ _₫_-;_-* &quot;-&quot;??\ _₫_-;_-@"/>
    <numFmt numFmtId="176" formatCode="0.0000%"/>
    <numFmt numFmtId="177" formatCode="#,##0\ [$đ-42A]"/>
    <numFmt numFmtId="178" formatCode="_-* #,##0\ [$đ-42A]_-;\-* #,##0\ [$đ-42A]_-;_-* &quot;-&quot;??\ [$đ-42A]_-;_-@"/>
    <numFmt numFmtId="179" formatCode="00"/>
    <numFmt numFmtId="180" formatCode="_-* #,##0.00_-;\-* #,##0.00_-;_-* &quot;-&quot;??_-;_-@"/>
    <numFmt numFmtId="181" formatCode="_-* #,##0_-;\-* #,##0_-;_-* &quot;-&quot;??_-;_-@_-"/>
  </numFmts>
  <fonts count="100" x14ac:knownFonts="1">
    <font>
      <sz val="10"/>
      <color rgb="FF000000"/>
      <name val="Arial"/>
      <scheme val="minor"/>
    </font>
    <font>
      <b/>
      <sz val="12"/>
      <color theme="1"/>
      <name val="Times New Roman"/>
      <family val="1"/>
    </font>
    <font>
      <sz val="10"/>
      <name val="Arial"/>
      <family val="2"/>
    </font>
    <font>
      <sz val="12"/>
      <color theme="1"/>
      <name val="Times New Roman"/>
      <family val="1"/>
    </font>
    <font>
      <u/>
      <sz val="12"/>
      <color rgb="FF0000FF"/>
      <name val="Times New Roman"/>
      <family val="1"/>
    </font>
    <font>
      <u/>
      <sz val="10"/>
      <color theme="10"/>
      <name val="Arial"/>
      <family val="2"/>
    </font>
    <font>
      <sz val="10"/>
      <color theme="1"/>
      <name val="Arial"/>
      <family val="2"/>
    </font>
    <font>
      <sz val="11"/>
      <color rgb="FF000000"/>
      <name val="Inconsolata"/>
    </font>
    <font>
      <b/>
      <sz val="13"/>
      <color rgb="FF000000"/>
      <name val="Times New Roman"/>
      <family val="1"/>
    </font>
    <font>
      <sz val="13"/>
      <color theme="1"/>
      <name val="Times New Roman"/>
      <family val="1"/>
    </font>
    <font>
      <sz val="10"/>
      <color rgb="FF000000"/>
      <name val="Roboto"/>
    </font>
    <font>
      <i/>
      <sz val="13"/>
      <color rgb="FF000000"/>
      <name val="Times New Roman"/>
      <family val="1"/>
    </font>
    <font>
      <i/>
      <sz val="13"/>
      <color theme="1"/>
      <name val="Times New Roman"/>
      <family val="1"/>
    </font>
    <font>
      <i/>
      <sz val="15"/>
      <color theme="1"/>
      <name val="Times New Roman"/>
      <family val="1"/>
    </font>
    <font>
      <sz val="15"/>
      <color theme="1"/>
      <name val="Times New Roman"/>
      <family val="1"/>
    </font>
    <font>
      <sz val="11"/>
      <color rgb="FF008000"/>
      <name val="Inconsolata"/>
    </font>
    <font>
      <b/>
      <sz val="15"/>
      <color theme="1"/>
      <name val="Times New Roman"/>
      <family val="1"/>
    </font>
    <font>
      <b/>
      <sz val="15"/>
      <color rgb="FF000000"/>
      <name val="Times New Roman"/>
      <family val="1"/>
    </font>
    <font>
      <b/>
      <sz val="13"/>
      <color theme="1"/>
      <name val="Times New Roman"/>
      <family val="1"/>
    </font>
    <font>
      <sz val="13"/>
      <color rgb="FF000000"/>
      <name val="Times New Roman"/>
      <family val="1"/>
    </font>
    <font>
      <b/>
      <sz val="12"/>
      <color rgb="FF000000"/>
      <name val="Times New Roman"/>
      <family val="1"/>
    </font>
    <font>
      <sz val="12"/>
      <color rgb="FF000000"/>
      <name val="Times New Roman"/>
      <family val="1"/>
    </font>
    <font>
      <sz val="12"/>
      <color rgb="FF000000"/>
      <name val="Arial"/>
      <family val="2"/>
    </font>
    <font>
      <sz val="11"/>
      <color rgb="FF000000"/>
      <name val="Times New Roman"/>
      <family val="1"/>
    </font>
    <font>
      <sz val="10"/>
      <color rgb="FF000000"/>
      <name val="Arial"/>
      <family val="2"/>
    </font>
    <font>
      <i/>
      <sz val="12"/>
      <color theme="1"/>
      <name val="Times New Roman"/>
      <family val="1"/>
    </font>
    <font>
      <sz val="11"/>
      <color theme="1"/>
      <name val="Arial"/>
      <family val="2"/>
    </font>
    <font>
      <b/>
      <sz val="10"/>
      <color theme="1"/>
      <name val="Times New Roman"/>
      <family val="1"/>
    </font>
    <font>
      <b/>
      <sz val="24"/>
      <color rgb="FFFF0000"/>
      <name val="Times New Roman"/>
      <family val="1"/>
    </font>
    <font>
      <b/>
      <sz val="18"/>
      <color rgb="FFFFFFFF"/>
      <name val="Merriweather"/>
    </font>
    <font>
      <b/>
      <sz val="15"/>
      <color theme="1"/>
      <name val="Arial"/>
      <family val="2"/>
    </font>
    <font>
      <b/>
      <sz val="10"/>
      <color rgb="FFFF0000"/>
      <name val="Arial"/>
      <family val="2"/>
    </font>
    <font>
      <sz val="10"/>
      <color rgb="FFF9CB9C"/>
      <name val="Arial"/>
      <family val="2"/>
    </font>
    <font>
      <b/>
      <sz val="24"/>
      <color rgb="FFFFFFFF"/>
      <name val="Merriweather"/>
    </font>
    <font>
      <b/>
      <sz val="11"/>
      <color theme="1"/>
      <name val="Times New Roman"/>
      <family val="1"/>
    </font>
    <font>
      <b/>
      <sz val="12"/>
      <color theme="1"/>
      <name val="Merriweather"/>
    </font>
    <font>
      <b/>
      <sz val="12"/>
      <color rgb="FFFF0000"/>
      <name val="Merriweather"/>
    </font>
    <font>
      <b/>
      <sz val="12"/>
      <color rgb="FFFFFFFF"/>
      <name val="Merriweather"/>
    </font>
    <font>
      <b/>
      <sz val="12"/>
      <color rgb="FF1155CC"/>
      <name val="Merriweather"/>
    </font>
    <font>
      <b/>
      <u/>
      <sz val="12"/>
      <color rgb="FF1155CC"/>
      <name val="Merriweather"/>
    </font>
    <font>
      <b/>
      <sz val="10"/>
      <color rgb="FFFFFFFF"/>
      <name val="Arial"/>
      <family val="2"/>
    </font>
    <font>
      <b/>
      <sz val="8"/>
      <color rgb="FF000000"/>
      <name val="Arial"/>
      <family val="2"/>
    </font>
    <font>
      <b/>
      <sz val="8"/>
      <color rgb="FFFF00FF"/>
      <name val="Arial"/>
      <family val="2"/>
    </font>
    <font>
      <b/>
      <sz val="8"/>
      <color rgb="FF0000FF"/>
      <name val="Arial"/>
      <family val="2"/>
    </font>
    <font>
      <b/>
      <sz val="8"/>
      <color rgb="FF34A853"/>
      <name val="Arial"/>
      <family val="2"/>
    </font>
    <font>
      <b/>
      <sz val="8"/>
      <color rgb="FFFF9900"/>
      <name val="Arial"/>
      <family val="2"/>
    </font>
    <font>
      <b/>
      <sz val="8"/>
      <color rgb="FFFF0000"/>
      <name val="Arial"/>
      <family val="2"/>
    </font>
    <font>
      <b/>
      <sz val="8"/>
      <color rgb="FF9900FF"/>
      <name val="Arial"/>
      <family val="2"/>
    </font>
    <font>
      <b/>
      <sz val="8"/>
      <color rgb="FF2F9299"/>
      <name val="Arial"/>
      <family val="2"/>
    </font>
    <font>
      <b/>
      <sz val="10"/>
      <color theme="1"/>
      <name val="Arial"/>
      <family val="2"/>
    </font>
    <font>
      <b/>
      <sz val="10"/>
      <color rgb="FFFF00FF"/>
      <name val="Arial"/>
      <family val="2"/>
    </font>
    <font>
      <b/>
      <sz val="10"/>
      <color rgb="FF0000FF"/>
      <name val="Arial"/>
      <family val="2"/>
    </font>
    <font>
      <b/>
      <sz val="10"/>
      <color rgb="FF34A853"/>
      <name val="Arial"/>
      <family val="2"/>
    </font>
    <font>
      <b/>
      <sz val="10"/>
      <color rgb="FFFF9900"/>
      <name val="Arial"/>
      <family val="2"/>
    </font>
    <font>
      <b/>
      <sz val="10"/>
      <color rgb="FF9900FF"/>
      <name val="Arial"/>
      <family val="2"/>
    </font>
    <font>
      <b/>
      <sz val="10"/>
      <color rgb="FF2F9299"/>
      <name val="Arial"/>
      <family val="2"/>
    </font>
    <font>
      <b/>
      <sz val="20"/>
      <color theme="1"/>
      <name val="Times New Roman"/>
      <family val="1"/>
    </font>
    <font>
      <sz val="10"/>
      <color rgb="FFFFFFFF"/>
      <name val="Arial"/>
      <family val="2"/>
    </font>
    <font>
      <b/>
      <sz val="12"/>
      <color theme="1"/>
      <name val="Arial"/>
      <family val="2"/>
    </font>
    <font>
      <b/>
      <sz val="12"/>
      <color rgb="FFFFFFFF"/>
      <name val="Arial"/>
      <family val="2"/>
    </font>
    <font>
      <b/>
      <sz val="10"/>
      <color rgb="FFFFFFFF"/>
      <name val="Merriweather"/>
    </font>
    <font>
      <b/>
      <sz val="10"/>
      <color rgb="FF000000"/>
      <name val="Arial"/>
      <family val="2"/>
    </font>
    <font>
      <b/>
      <sz val="10"/>
      <color rgb="FF000000"/>
      <name val="Times New Roman"/>
      <family val="1"/>
    </font>
    <font>
      <b/>
      <sz val="8"/>
      <color rgb="FF000000"/>
      <name val="Times New Roman"/>
      <family val="1"/>
    </font>
    <font>
      <sz val="10"/>
      <color theme="1"/>
      <name val="Times New Roman"/>
      <family val="1"/>
    </font>
    <font>
      <sz val="11"/>
      <color theme="1"/>
      <name val="Times New Roman"/>
      <family val="1"/>
    </font>
    <font>
      <sz val="9"/>
      <color rgb="FF000000"/>
      <name val="Times New Roman"/>
      <family val="1"/>
    </font>
    <font>
      <b/>
      <sz val="11"/>
      <color theme="1"/>
      <name val="Arial"/>
      <family val="2"/>
    </font>
    <font>
      <b/>
      <sz val="11"/>
      <color rgb="FFFF00FF"/>
      <name val="Arial"/>
      <family val="2"/>
    </font>
    <font>
      <b/>
      <sz val="11"/>
      <color rgb="FFFF9900"/>
      <name val="Arial"/>
      <family val="2"/>
    </font>
    <font>
      <b/>
      <sz val="11"/>
      <color theme="7"/>
      <name val="Arial"/>
      <family val="2"/>
    </font>
    <font>
      <b/>
      <sz val="11"/>
      <color rgb="FFFFFFFF"/>
      <name val="Arial"/>
      <family val="2"/>
    </font>
    <font>
      <b/>
      <sz val="11"/>
      <color rgb="FFFF0000"/>
      <name val="Arial"/>
      <family val="2"/>
    </font>
    <font>
      <b/>
      <sz val="11"/>
      <color rgb="FF9900FF"/>
      <name val="Arial"/>
      <family val="2"/>
    </font>
    <font>
      <b/>
      <sz val="11"/>
      <color rgb="FF000000"/>
      <name val="Arial"/>
      <family val="2"/>
    </font>
    <font>
      <b/>
      <sz val="12"/>
      <color rgb="FFFF0000"/>
      <name val="Arial"/>
      <family val="2"/>
    </font>
    <font>
      <b/>
      <sz val="12"/>
      <color rgb="FFFF00FF"/>
      <name val="Arial"/>
      <family val="2"/>
    </font>
    <font>
      <b/>
      <sz val="11"/>
      <color rgb="FF000000"/>
      <name val="Times New Roman"/>
      <family val="1"/>
    </font>
    <font>
      <i/>
      <sz val="11"/>
      <color rgb="FF000000"/>
      <name val="Times New Roman"/>
      <family val="1"/>
    </font>
    <font>
      <sz val="11"/>
      <color rgb="FF000000"/>
      <name val="Arial"/>
      <family val="2"/>
    </font>
    <font>
      <sz val="10"/>
      <color rgb="FF000000"/>
      <name val="Times New Roman"/>
      <family val="1"/>
    </font>
    <font>
      <i/>
      <sz val="10"/>
      <color theme="1"/>
      <name val="Times New Roman"/>
      <family val="1"/>
    </font>
    <font>
      <i/>
      <sz val="10"/>
      <color rgb="FF000000"/>
      <name val="Times New Roman"/>
      <family val="1"/>
    </font>
    <font>
      <sz val="12"/>
      <color rgb="FFFF0000"/>
      <name val="Times New Roman"/>
      <family val="1"/>
    </font>
    <font>
      <b/>
      <sz val="12"/>
      <color rgb="FFFF0000"/>
      <name val="Times New Roman"/>
      <family val="1"/>
    </font>
    <font>
      <sz val="12"/>
      <color theme="0"/>
      <name val="Times New Roman"/>
      <family val="1"/>
    </font>
    <font>
      <b/>
      <u/>
      <sz val="10"/>
      <color rgb="FF000000"/>
      <name val="Times New Roman"/>
      <family val="1"/>
    </font>
    <font>
      <i/>
      <sz val="12"/>
      <color rgb="FF000000"/>
      <name val="Times New Roman"/>
      <family val="1"/>
    </font>
    <font>
      <b/>
      <sz val="25"/>
      <color theme="1"/>
      <name val="Times New Roman"/>
      <family val="1"/>
    </font>
    <font>
      <b/>
      <sz val="11"/>
      <color rgb="FFFF0000"/>
      <name val="Times New Roman"/>
      <family val="1"/>
    </font>
    <font>
      <i/>
      <sz val="11"/>
      <color theme="1"/>
      <name val="Times New Roman"/>
      <family val="1"/>
    </font>
    <font>
      <sz val="18"/>
      <color rgb="FF666666"/>
      <name val="Times New Roman"/>
      <family val="1"/>
    </font>
    <font>
      <sz val="22"/>
      <color rgb="FF666666"/>
      <name val="Times New Roman"/>
      <family val="1"/>
    </font>
    <font>
      <b/>
      <sz val="14"/>
      <color theme="1"/>
      <name val="Times New Roman"/>
      <family val="1"/>
    </font>
    <font>
      <b/>
      <sz val="10"/>
      <color theme="1"/>
      <name val="Merriweather"/>
    </font>
    <font>
      <b/>
      <sz val="10"/>
      <color theme="7"/>
      <name val="Arial"/>
      <family val="2"/>
    </font>
    <font>
      <b/>
      <i/>
      <sz val="12"/>
      <color theme="1"/>
      <name val="Times New Roman"/>
      <family val="1"/>
    </font>
    <font>
      <sz val="10"/>
      <color rgb="FF000000"/>
      <name val="Arial"/>
      <family val="2"/>
      <scheme val="minor"/>
    </font>
    <font>
      <sz val="10"/>
      <color rgb="FF000000"/>
      <name val="Arial"/>
      <family val="2"/>
      <scheme val="minor"/>
    </font>
    <font>
      <sz val="10"/>
      <color rgb="FF000000"/>
      <name val="Arial"/>
      <scheme val="minor"/>
    </font>
  </fonts>
  <fills count="25">
    <fill>
      <patternFill patternType="none"/>
    </fill>
    <fill>
      <patternFill patternType="gray125"/>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000000"/>
        <bgColor rgb="FF000000"/>
      </patternFill>
    </fill>
    <fill>
      <patternFill patternType="solid">
        <fgColor rgb="FFC9DAF8"/>
        <bgColor rgb="FFC9DAF8"/>
      </patternFill>
    </fill>
    <fill>
      <patternFill patternType="solid">
        <fgColor rgb="FFFF00FF"/>
        <bgColor rgb="FFFF00FF"/>
      </patternFill>
    </fill>
    <fill>
      <patternFill patternType="solid">
        <fgColor rgb="FFFF9900"/>
        <bgColor rgb="FFFF9900"/>
      </patternFill>
    </fill>
    <fill>
      <patternFill patternType="solid">
        <fgColor theme="7"/>
        <bgColor theme="7"/>
      </patternFill>
    </fill>
    <fill>
      <patternFill patternType="solid">
        <fgColor rgb="FFFF0000"/>
        <bgColor rgb="FFFF0000"/>
      </patternFill>
    </fill>
    <fill>
      <patternFill patternType="solid">
        <fgColor rgb="FF9900FF"/>
        <bgColor rgb="FF9900FF"/>
      </patternFill>
    </fill>
    <fill>
      <patternFill patternType="solid">
        <fgColor rgb="FF34A853"/>
        <bgColor rgb="FF34A853"/>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9CC2E5"/>
        <bgColor rgb="FF9CC2E5"/>
      </patternFill>
    </fill>
    <fill>
      <patternFill patternType="solid">
        <fgColor rgb="FFFEE1CC"/>
        <bgColor rgb="FFFEE1CC"/>
      </patternFill>
    </fill>
    <fill>
      <patternFill patternType="solid">
        <fgColor rgb="FFFDE49A"/>
        <bgColor rgb="FFFDE49A"/>
      </patternFill>
    </fill>
    <fill>
      <patternFill patternType="solid">
        <fgColor rgb="FFB6D7A8"/>
        <bgColor rgb="FFB6D7A8"/>
      </patternFill>
    </fill>
    <fill>
      <patternFill patternType="solid">
        <fgColor rgb="FFCFE2F3"/>
        <bgColor rgb="FFCFE2F3"/>
      </patternFill>
    </fill>
    <fill>
      <patternFill patternType="solid">
        <fgColor rgb="FF0000FF"/>
        <bgColor rgb="FF0000FF"/>
      </patternFill>
    </fill>
    <fill>
      <patternFill patternType="solid">
        <fgColor theme="4"/>
        <bgColor theme="4"/>
      </patternFill>
    </fill>
  </fills>
  <borders count="13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FFFFFF"/>
      </right>
      <top style="medium">
        <color rgb="FF000000"/>
      </top>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FFFFFF"/>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medium">
        <color rgb="FF000000"/>
      </right>
      <top/>
      <bottom/>
      <diagonal/>
    </border>
    <border>
      <left/>
      <right/>
      <top style="thin">
        <color rgb="FF000000"/>
      </top>
      <bottom style="thin">
        <color rgb="FF000000"/>
      </bottom>
      <diagonal/>
    </border>
    <border>
      <left style="thin">
        <color rgb="FFFFFFFF"/>
      </left>
      <right/>
      <top style="thin">
        <color rgb="FFFFFFFF"/>
      </top>
      <bottom style="thin">
        <color rgb="FFFFFFFF"/>
      </bottom>
      <diagonal/>
    </border>
    <border>
      <left/>
      <right style="thin">
        <color rgb="FFFFFFFF"/>
      </right>
      <top/>
      <bottom/>
      <diagonal/>
    </border>
    <border>
      <left/>
      <right style="thin">
        <color rgb="FFFFFFFF"/>
      </right>
      <top/>
      <bottom style="thin">
        <color rgb="FFFFFFFF"/>
      </bottom>
      <diagonal/>
    </border>
    <border>
      <left/>
      <right/>
      <top/>
      <bottom style="thin">
        <color rgb="FFFFFFFF"/>
      </bottom>
      <diagonal/>
    </border>
    <border>
      <left style="medium">
        <color rgb="FF000000"/>
      </left>
      <right style="thin">
        <color rgb="FFFFFFFF"/>
      </right>
      <top/>
      <bottom style="thin">
        <color rgb="FFFFFFFF"/>
      </bottom>
      <diagonal/>
    </border>
    <border>
      <left style="thin">
        <color rgb="FFFFFFFF"/>
      </left>
      <right/>
      <top/>
      <bottom style="thin">
        <color rgb="FFFFFFFF"/>
      </bottom>
      <diagonal/>
    </border>
    <border>
      <left style="thin">
        <color rgb="FFFFFFFF"/>
      </left>
      <right style="medium">
        <color rgb="FF000000"/>
      </right>
      <top/>
      <bottom style="thin">
        <color rgb="FFFFFFFF"/>
      </bottom>
      <diagonal/>
    </border>
    <border>
      <left/>
      <right/>
      <top style="thin">
        <color rgb="FFFFFFFF"/>
      </top>
      <bottom style="thin">
        <color rgb="FFFFFFFF"/>
      </bottom>
      <diagonal/>
    </border>
    <border>
      <left style="medium">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000000"/>
      </right>
      <top style="thin">
        <color rgb="FFFFFFFF"/>
      </top>
      <bottom style="thin">
        <color rgb="FFFFFFFF"/>
      </bottom>
      <diagonal/>
    </border>
    <border>
      <left style="medium">
        <color rgb="FF000000"/>
      </left>
      <right/>
      <top style="thin">
        <color rgb="FFFFFFFF"/>
      </top>
      <bottom style="thin">
        <color rgb="FFFFFFFF"/>
      </bottom>
      <diagonal/>
    </border>
    <border>
      <left/>
      <right/>
      <top style="medium">
        <color rgb="FF000000"/>
      </top>
      <bottom style="thin">
        <color rgb="FF000000"/>
      </bottom>
      <diagonal/>
    </border>
    <border>
      <left/>
      <right style="medium">
        <color rgb="FF000000"/>
      </right>
      <top style="thin">
        <color rgb="FFFFFFFF"/>
      </top>
      <bottom style="thin">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FFFFFF"/>
      </left>
      <right style="thin">
        <color rgb="FFFFFFFF"/>
      </right>
      <top/>
      <bottom/>
      <diagonal/>
    </border>
    <border>
      <left style="medium">
        <color rgb="FF000000"/>
      </left>
      <right/>
      <top/>
      <bottom style="thin">
        <color rgb="FF000000"/>
      </bottom>
      <diagonal/>
    </border>
    <border>
      <left/>
      <right style="thin">
        <color rgb="FFFFFFFF"/>
      </right>
      <top style="thin">
        <color rgb="FFFFFFFF"/>
      </top>
      <bottom style="thin">
        <color rgb="FFFFFFFF"/>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FFFFFF"/>
      </right>
      <top style="thin">
        <color rgb="FFFFFFFF"/>
      </top>
      <bottom style="thin">
        <color rgb="FFFFFFFF"/>
      </bottom>
      <diagonal/>
    </border>
    <border>
      <left style="thin">
        <color rgb="FFFFFFFF"/>
      </left>
      <right/>
      <top/>
      <bottom/>
      <diagonal/>
    </border>
    <border>
      <left style="medium">
        <color rgb="FF000000"/>
      </left>
      <right style="thin">
        <color rgb="FFFFFFFF"/>
      </right>
      <top style="thin">
        <color rgb="FFFFFFFF"/>
      </top>
      <bottom style="medium">
        <color rgb="FF000000"/>
      </bottom>
      <diagonal/>
    </border>
    <border>
      <left style="thin">
        <color rgb="FFFFFFFF"/>
      </left>
      <right style="thin">
        <color rgb="FFFFFFFF"/>
      </right>
      <top/>
      <bottom style="medium">
        <color rgb="FF000000"/>
      </bottom>
      <diagonal/>
    </border>
    <border>
      <left style="thin">
        <color rgb="FFFFFFFF"/>
      </left>
      <right style="medium">
        <color rgb="FF000000"/>
      </right>
      <top style="thin">
        <color rgb="FFFFFFFF"/>
      </top>
      <bottom style="medium">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medium">
        <color rgb="FF000000"/>
      </top>
      <bottom/>
      <diagonal/>
    </border>
    <border>
      <left style="medium">
        <color rgb="FF000000"/>
      </left>
      <right/>
      <top/>
      <bottom style="thin">
        <color rgb="FFFFFFFF"/>
      </bottom>
      <diagonal/>
    </border>
    <border>
      <left/>
      <right style="medium">
        <color rgb="FF000000"/>
      </right>
      <top/>
      <bottom style="thin">
        <color rgb="FFFFFFFF"/>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FFFFFF"/>
      </right>
      <top style="thin">
        <color rgb="FFFFFFFF"/>
      </top>
      <bottom/>
      <diagonal/>
    </border>
    <border>
      <left style="thin">
        <color rgb="FFFFFFFF"/>
      </left>
      <right/>
      <top style="thin">
        <color rgb="FFFFFFFF"/>
      </top>
      <bottom/>
      <diagonal/>
    </border>
    <border>
      <left style="thin">
        <color rgb="FF000000"/>
      </left>
      <right/>
      <top style="medium">
        <color rgb="FF000000"/>
      </top>
      <bottom/>
      <diagonal/>
    </border>
    <border>
      <left style="thin">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2" fillId="0" borderId="63"/>
    <xf numFmtId="43" fontId="98" fillId="0" borderId="0" applyFont="0" applyFill="0" applyBorder="0" applyAlignment="0" applyProtection="0"/>
    <xf numFmtId="9" fontId="99" fillId="0" borderId="0" applyFont="0" applyFill="0" applyBorder="0" applyAlignment="0" applyProtection="0"/>
  </cellStyleXfs>
  <cellXfs count="771">
    <xf numFmtId="0" fontId="0" fillId="0" borderId="0" xfId="0"/>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left"/>
    </xf>
    <xf numFmtId="0" fontId="4" fillId="0" borderId="6" xfId="0" applyFont="1" applyBorder="1" applyAlignment="1">
      <alignment horizontal="center" vertical="center"/>
    </xf>
    <xf numFmtId="0" fontId="5" fillId="0" borderId="6"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left"/>
    </xf>
    <xf numFmtId="0" fontId="3" fillId="0" borderId="9" xfId="0" applyFont="1" applyBorder="1" applyAlignment="1">
      <alignment horizontal="center" vertical="center"/>
    </xf>
    <xf numFmtId="0" fontId="6" fillId="0" borderId="0" xfId="0" applyFont="1" applyAlignment="1">
      <alignment horizontal="center"/>
    </xf>
    <xf numFmtId="0" fontId="8" fillId="3" borderId="13"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center" vertical="top"/>
    </xf>
    <xf numFmtId="0" fontId="9" fillId="0" borderId="0" xfId="0" applyFont="1"/>
    <xf numFmtId="0" fontId="11" fillId="3" borderId="13" xfId="0" applyFont="1" applyFill="1" applyBorder="1" applyAlignment="1">
      <alignment horizontal="center"/>
    </xf>
    <xf numFmtId="0" fontId="11" fillId="3" borderId="13" xfId="0" applyFont="1" applyFill="1" applyBorder="1" applyAlignment="1">
      <alignment horizontal="left"/>
    </xf>
    <xf numFmtId="0" fontId="11" fillId="3" borderId="13" xfId="0" applyFont="1" applyFill="1" applyBorder="1"/>
    <xf numFmtId="164" fontId="13" fillId="0" borderId="0" xfId="0" applyNumberFormat="1" applyFont="1"/>
    <xf numFmtId="0" fontId="14" fillId="0" borderId="0" xfId="0" applyFont="1"/>
    <xf numFmtId="0" fontId="15" fillId="3" borderId="13" xfId="0" applyFont="1" applyFill="1" applyBorder="1"/>
    <xf numFmtId="0" fontId="14" fillId="0" borderId="0" xfId="0" applyFont="1" applyAlignment="1">
      <alignment vertical="top"/>
    </xf>
    <xf numFmtId="0" fontId="16" fillId="0" borderId="0" xfId="0" applyFont="1" applyAlignment="1">
      <alignment horizontal="center" vertical="top"/>
    </xf>
    <xf numFmtId="0" fontId="9" fillId="0" borderId="0" xfId="0" applyFont="1" applyAlignment="1">
      <alignment vertical="center"/>
    </xf>
    <xf numFmtId="0" fontId="18"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wrapText="1"/>
    </xf>
    <xf numFmtId="0" fontId="12" fillId="0" borderId="0" xfId="0" applyFont="1" applyAlignment="1">
      <alignment vertical="center"/>
    </xf>
    <xf numFmtId="0" fontId="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center" wrapText="1"/>
    </xf>
    <xf numFmtId="0" fontId="8" fillId="3" borderId="13" xfId="0" applyFont="1" applyFill="1" applyBorder="1" applyAlignment="1">
      <alignment vertical="center"/>
    </xf>
    <xf numFmtId="0" fontId="1" fillId="5" borderId="5" xfId="0" applyFont="1" applyFill="1" applyBorder="1" applyAlignment="1">
      <alignment horizontal="center" vertical="center"/>
    </xf>
    <xf numFmtId="0" fontId="3" fillId="0" borderId="5" xfId="0" applyFont="1" applyBorder="1" applyAlignment="1">
      <alignment horizontal="center" vertical="center"/>
    </xf>
    <xf numFmtId="0" fontId="21" fillId="3" borderId="26" xfId="0" applyFont="1" applyFill="1" applyBorder="1" applyAlignment="1">
      <alignment horizontal="left" vertical="center"/>
    </xf>
    <xf numFmtId="0" fontId="22" fillId="0" borderId="0" xfId="0" applyFont="1"/>
    <xf numFmtId="49" fontId="23" fillId="3" borderId="5" xfId="0" applyNumberFormat="1" applyFont="1" applyFill="1" applyBorder="1" applyAlignment="1">
      <alignment horizontal="center" vertical="center"/>
    </xf>
    <xf numFmtId="0" fontId="21" fillId="3" borderId="5" xfId="0" applyFont="1" applyFill="1" applyBorder="1" applyAlignment="1">
      <alignment horizontal="left" vertical="center"/>
    </xf>
    <xf numFmtId="0" fontId="3" fillId="0" borderId="0" xfId="0" applyFont="1" applyAlignment="1">
      <alignment horizontal="center"/>
    </xf>
    <xf numFmtId="0" fontId="3" fillId="0" borderId="0" xfId="0" applyFont="1"/>
    <xf numFmtId="49" fontId="3" fillId="0" borderId="0" xfId="0" applyNumberFormat="1" applyFont="1" applyAlignment="1">
      <alignment horizontal="center"/>
    </xf>
    <xf numFmtId="165" fontId="24" fillId="0" borderId="0" xfId="0" applyNumberFormat="1" applyFont="1"/>
    <xf numFmtId="3" fontId="24" fillId="0" borderId="0" xfId="0" applyNumberFormat="1" applyFon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xf numFmtId="49" fontId="1" fillId="0" borderId="0" xfId="0" applyNumberFormat="1" applyFont="1" applyAlignment="1">
      <alignment horizontal="center"/>
    </xf>
    <xf numFmtId="0" fontId="1" fillId="0" borderId="0" xfId="0" applyFont="1" applyAlignment="1">
      <alignment vertical="center"/>
    </xf>
    <xf numFmtId="0" fontId="26" fillId="0" borderId="0" xfId="0" applyFont="1" applyAlignment="1">
      <alignment horizontal="center"/>
    </xf>
    <xf numFmtId="0" fontId="26" fillId="0" borderId="0" xfId="0" applyFont="1"/>
    <xf numFmtId="49" fontId="26" fillId="0" borderId="0" xfId="0" applyNumberFormat="1" applyFont="1" applyAlignment="1">
      <alignment horizontal="center"/>
    </xf>
    <xf numFmtId="0" fontId="6" fillId="0" borderId="0" xfId="0" applyFont="1" applyAlignment="1">
      <alignment horizontal="center" vertical="center"/>
    </xf>
    <xf numFmtId="0" fontId="29" fillId="3" borderId="13" xfId="0" applyFont="1" applyFill="1" applyBorder="1" applyAlignment="1">
      <alignment horizontal="center"/>
    </xf>
    <xf numFmtId="3" fontId="30" fillId="3" borderId="13" xfId="0" applyNumberFormat="1" applyFont="1" applyFill="1" applyBorder="1"/>
    <xf numFmtId="0" fontId="31" fillId="0" borderId="0" xfId="0" applyFont="1" applyAlignment="1">
      <alignment horizontal="center" vertical="center"/>
    </xf>
    <xf numFmtId="0" fontId="32" fillId="3" borderId="13" xfId="0" applyFont="1" applyFill="1" applyBorder="1"/>
    <xf numFmtId="0" fontId="33" fillId="3" borderId="13" xfId="0" applyFont="1" applyFill="1" applyBorder="1" applyAlignment="1">
      <alignment horizontal="center"/>
    </xf>
    <xf numFmtId="0" fontId="1" fillId="3" borderId="13" xfId="0" applyFont="1" applyFill="1" applyBorder="1" applyAlignment="1">
      <alignment horizontal="left" vertical="center" wrapText="1"/>
    </xf>
    <xf numFmtId="0" fontId="34" fillId="3" borderId="13" xfId="0" applyFont="1" applyFill="1" applyBorder="1" applyAlignment="1">
      <alignment horizontal="left" vertical="center" wrapText="1"/>
    </xf>
    <xf numFmtId="0" fontId="38" fillId="3" borderId="13" xfId="0" applyFont="1" applyFill="1" applyBorder="1" applyAlignment="1">
      <alignment horizontal="center" vertical="center"/>
    </xf>
    <xf numFmtId="0" fontId="39" fillId="0" borderId="0" xfId="0" applyFont="1" applyAlignment="1">
      <alignment horizontal="center" vertical="center"/>
    </xf>
    <xf numFmtId="0" fontId="6" fillId="0" borderId="34" xfId="0" applyFont="1" applyBorder="1" applyAlignment="1">
      <alignment horizontal="center" vertical="center"/>
    </xf>
    <xf numFmtId="0" fontId="6" fillId="0" borderId="43" xfId="0" applyFont="1" applyBorder="1" applyAlignment="1">
      <alignment horizontal="center" vertical="center"/>
    </xf>
    <xf numFmtId="0" fontId="57" fillId="0" borderId="0" xfId="0" applyFont="1" applyAlignment="1">
      <alignment horizontal="center" vertical="center"/>
    </xf>
    <xf numFmtId="166" fontId="58" fillId="8" borderId="46" xfId="0" applyNumberFormat="1" applyFont="1" applyFill="1" applyBorder="1" applyAlignment="1">
      <alignment horizontal="center" vertical="center"/>
    </xf>
    <xf numFmtId="166" fontId="58" fillId="8" borderId="47" xfId="0" applyNumberFormat="1" applyFont="1" applyFill="1" applyBorder="1" applyAlignment="1">
      <alignment horizontal="center" vertical="center"/>
    </xf>
    <xf numFmtId="166" fontId="58" fillId="8" borderId="48" xfId="0" applyNumberFormat="1" applyFont="1" applyFill="1" applyBorder="1" applyAlignment="1">
      <alignment horizontal="center" vertical="center"/>
    </xf>
    <xf numFmtId="166" fontId="58" fillId="8" borderId="49" xfId="0" applyNumberFormat="1" applyFont="1" applyFill="1" applyBorder="1" applyAlignment="1">
      <alignment horizontal="center" vertical="center"/>
    </xf>
    <xf numFmtId="166" fontId="58" fillId="8" borderId="50" xfId="0" applyNumberFormat="1" applyFont="1" applyFill="1" applyBorder="1" applyAlignment="1">
      <alignment horizontal="center" vertical="center"/>
    </xf>
    <xf numFmtId="166" fontId="58" fillId="8" borderId="51" xfId="0" applyNumberFormat="1" applyFont="1" applyFill="1" applyBorder="1" applyAlignment="1">
      <alignment horizontal="center" vertical="center"/>
    </xf>
    <xf numFmtId="0" fontId="58" fillId="0" borderId="52" xfId="0" applyFont="1" applyBorder="1" applyAlignment="1">
      <alignment horizontal="center" vertical="center"/>
    </xf>
    <xf numFmtId="0" fontId="59" fillId="9" borderId="53" xfId="0" applyFont="1" applyFill="1" applyBorder="1" applyAlignment="1">
      <alignment horizontal="center" vertical="center"/>
    </xf>
    <xf numFmtId="0" fontId="58" fillId="0" borderId="54" xfId="0" applyFont="1" applyBorder="1" applyAlignment="1">
      <alignment horizontal="center" vertical="center"/>
    </xf>
    <xf numFmtId="0" fontId="59" fillId="10" borderId="55" xfId="0" applyFont="1" applyFill="1" applyBorder="1" applyAlignment="1">
      <alignment horizontal="center" vertical="center"/>
    </xf>
    <xf numFmtId="0" fontId="59" fillId="11" borderId="56" xfId="0" applyFont="1" applyFill="1" applyBorder="1" applyAlignment="1">
      <alignment horizontal="center" vertical="center"/>
    </xf>
    <xf numFmtId="0" fontId="59" fillId="12" borderId="58" xfId="0" applyFont="1" applyFill="1" applyBorder="1" applyAlignment="1">
      <alignment horizontal="center" vertical="center"/>
    </xf>
    <xf numFmtId="0" fontId="59" fillId="13" borderId="56" xfId="0" applyFont="1" applyFill="1" applyBorder="1" applyAlignment="1">
      <alignment horizontal="center" vertical="center"/>
    </xf>
    <xf numFmtId="0" fontId="49" fillId="8" borderId="46" xfId="0" applyFont="1" applyFill="1" applyBorder="1" applyAlignment="1">
      <alignment horizontal="center" vertical="center" wrapText="1"/>
    </xf>
    <xf numFmtId="0" fontId="49" fillId="8" borderId="47" xfId="0" applyFont="1" applyFill="1" applyBorder="1" applyAlignment="1">
      <alignment horizontal="center" vertical="center" wrapText="1"/>
    </xf>
    <xf numFmtId="0" fontId="49" fillId="8" borderId="64" xfId="0" applyFont="1" applyFill="1" applyBorder="1" applyAlignment="1">
      <alignment horizontal="center" vertical="center" wrapText="1"/>
    </xf>
    <xf numFmtId="0" fontId="49" fillId="8" borderId="65" xfId="0" applyFont="1" applyFill="1" applyBorder="1" applyAlignment="1">
      <alignment horizontal="center" vertical="center" wrapText="1"/>
    </xf>
    <xf numFmtId="0" fontId="49" fillId="0" borderId="66" xfId="0" applyFont="1" applyBorder="1" applyAlignment="1">
      <alignment horizontal="center" vertical="center" wrapText="1"/>
    </xf>
    <xf numFmtId="0" fontId="40" fillId="9" borderId="67" xfId="0" applyFont="1" applyFill="1" applyBorder="1" applyAlignment="1">
      <alignment horizontal="center" vertical="center" wrapText="1"/>
    </xf>
    <xf numFmtId="0" fontId="49" fillId="0" borderId="68" xfId="0" applyFont="1" applyBorder="1" applyAlignment="1">
      <alignment horizontal="center" vertical="center" wrapText="1"/>
    </xf>
    <xf numFmtId="0" fontId="40" fillId="10" borderId="8" xfId="0" applyFont="1" applyFill="1" applyBorder="1" applyAlignment="1">
      <alignment horizontal="center" vertical="center" wrapText="1"/>
    </xf>
    <xf numFmtId="0" fontId="40" fillId="11" borderId="69" xfId="0" applyFont="1" applyFill="1" applyBorder="1" applyAlignment="1">
      <alignment horizontal="center" vertical="center" wrapText="1"/>
    </xf>
    <xf numFmtId="0" fontId="40" fillId="12" borderId="71" xfId="0" applyFont="1" applyFill="1" applyBorder="1" applyAlignment="1">
      <alignment horizontal="center" vertical="center" wrapText="1"/>
    </xf>
    <xf numFmtId="0" fontId="40" fillId="13" borderId="69" xfId="0" applyFont="1" applyFill="1" applyBorder="1" applyAlignment="1">
      <alignment horizontal="center" vertical="center" wrapText="1"/>
    </xf>
    <xf numFmtId="0" fontId="27" fillId="0" borderId="4" xfId="0" applyFont="1" applyBorder="1" applyAlignment="1">
      <alignment horizontal="center" vertical="center"/>
    </xf>
    <xf numFmtId="49" fontId="34" fillId="0" borderId="74" xfId="0" applyNumberFormat="1" applyFont="1" applyBorder="1" applyAlignment="1">
      <alignment horizontal="center" vertical="center"/>
    </xf>
    <xf numFmtId="0" fontId="62" fillId="0" borderId="5" xfId="0" applyFont="1" applyBorder="1" applyAlignment="1">
      <alignment horizontal="center" vertical="center" wrapText="1"/>
    </xf>
    <xf numFmtId="0" fontId="63" fillId="0" borderId="5" xfId="0" applyFont="1" applyBorder="1" applyAlignment="1">
      <alignment horizontal="center" vertical="center" wrapText="1"/>
    </xf>
    <xf numFmtId="0" fontId="62" fillId="0" borderId="14" xfId="0" applyFont="1" applyBorder="1" applyAlignment="1">
      <alignment horizontal="center" vertical="center"/>
    </xf>
    <xf numFmtId="0" fontId="27" fillId="0" borderId="6" xfId="0" applyFont="1" applyBorder="1" applyAlignment="1">
      <alignment horizontal="center" vertical="center"/>
    </xf>
    <xf numFmtId="0" fontId="27" fillId="0" borderId="75" xfId="0" applyFont="1" applyBorder="1" applyAlignment="1">
      <alignment horizontal="center" vertical="center"/>
    </xf>
    <xf numFmtId="0" fontId="27" fillId="0" borderId="15" xfId="0" applyFont="1" applyBorder="1" applyAlignment="1">
      <alignment horizontal="center" vertical="center"/>
    </xf>
    <xf numFmtId="0" fontId="27" fillId="0" borderId="76" xfId="0" applyFont="1" applyBorder="1" applyAlignment="1">
      <alignment horizontal="center" vertical="center"/>
    </xf>
    <xf numFmtId="167" fontId="27" fillId="0" borderId="76" xfId="0" applyNumberFormat="1" applyFont="1" applyBorder="1" applyAlignment="1">
      <alignment horizontal="center" vertical="center"/>
    </xf>
    <xf numFmtId="0" fontId="64" fillId="0" borderId="14" xfId="0" applyFont="1" applyBorder="1" applyAlignment="1">
      <alignment horizontal="center" vertical="center"/>
    </xf>
    <xf numFmtId="49" fontId="65" fillId="3" borderId="5" xfId="0" applyNumberFormat="1" applyFont="1" applyFill="1" applyBorder="1" applyAlignment="1">
      <alignment horizontal="center" vertical="center"/>
    </xf>
    <xf numFmtId="0" fontId="21" fillId="3" borderId="77" xfId="0" applyFont="1" applyFill="1" applyBorder="1" applyAlignment="1">
      <alignment vertical="center" wrapText="1"/>
    </xf>
    <xf numFmtId="0" fontId="21" fillId="3" borderId="26" xfId="0" applyFont="1" applyFill="1" applyBorder="1" applyAlignment="1">
      <alignment vertical="center" wrapText="1"/>
    </xf>
    <xf numFmtId="0" fontId="21" fillId="3" borderId="26" xfId="0" applyFont="1" applyFill="1" applyBorder="1" applyAlignment="1">
      <alignment horizontal="center" vertical="center" wrapText="1"/>
    </xf>
    <xf numFmtId="0" fontId="66" fillId="3" borderId="5" xfId="0" applyFont="1" applyFill="1" applyBorder="1" applyAlignment="1">
      <alignment horizontal="center" vertical="center"/>
    </xf>
    <xf numFmtId="0" fontId="49" fillId="3" borderId="5" xfId="0" applyFont="1" applyFill="1" applyBorder="1" applyAlignment="1">
      <alignment horizontal="center" vertical="center"/>
    </xf>
    <xf numFmtId="0" fontId="67" fillId="0" borderId="5" xfId="0" applyFont="1" applyBorder="1" applyAlignment="1">
      <alignment horizontal="center" vertical="center"/>
    </xf>
    <xf numFmtId="167" fontId="68" fillId="0" borderId="5" xfId="0" applyNumberFormat="1" applyFont="1" applyBorder="1" applyAlignment="1">
      <alignment horizontal="center" vertical="center"/>
    </xf>
    <xf numFmtId="167" fontId="67" fillId="0" borderId="5" xfId="0" applyNumberFormat="1" applyFont="1" applyBorder="1" applyAlignment="1">
      <alignment horizontal="center" vertical="center"/>
    </xf>
    <xf numFmtId="0" fontId="69" fillId="0" borderId="5" xfId="0" applyFont="1" applyBorder="1" applyAlignment="1">
      <alignment horizontal="center" vertical="center"/>
    </xf>
    <xf numFmtId="0" fontId="70" fillId="0" borderId="5" xfId="0" applyFont="1" applyBorder="1" applyAlignment="1">
      <alignment horizontal="center" vertical="center"/>
    </xf>
    <xf numFmtId="167" fontId="71" fillId="7" borderId="5" xfId="0" applyNumberFormat="1" applyFont="1" applyFill="1" applyBorder="1" applyAlignment="1">
      <alignment horizontal="center" vertical="center"/>
    </xf>
    <xf numFmtId="0" fontId="72" fillId="0" borderId="5" xfId="0" applyFont="1" applyBorder="1" applyAlignment="1">
      <alignment horizontal="center" vertical="center"/>
    </xf>
    <xf numFmtId="167" fontId="73" fillId="0" borderId="5" xfId="0" applyNumberFormat="1" applyFont="1" applyBorder="1" applyAlignment="1">
      <alignment horizontal="center" vertical="center"/>
    </xf>
    <xf numFmtId="0" fontId="74" fillId="5" borderId="5" xfId="0" applyFont="1" applyFill="1" applyBorder="1" applyAlignment="1">
      <alignment horizontal="center" vertical="center"/>
    </xf>
    <xf numFmtId="167" fontId="71" fillId="14" borderId="5" xfId="0" applyNumberFormat="1" applyFont="1" applyFill="1" applyBorder="1" applyAlignment="1">
      <alignment horizontal="center" vertical="center"/>
    </xf>
    <xf numFmtId="0" fontId="21" fillId="3" borderId="5" xfId="0" applyFont="1" applyFill="1" applyBorder="1" applyAlignment="1">
      <alignment vertical="center" wrapText="1"/>
    </xf>
    <xf numFmtId="0" fontId="21" fillId="3" borderId="13" xfId="0" applyFont="1" applyFill="1" applyBorder="1" applyAlignment="1">
      <alignment horizontal="center" vertical="center" wrapText="1"/>
    </xf>
    <xf numFmtId="167" fontId="59" fillId="14" borderId="5" xfId="0" applyNumberFormat="1" applyFont="1" applyFill="1" applyBorder="1" applyAlignment="1">
      <alignment horizontal="center" vertical="center"/>
    </xf>
    <xf numFmtId="0" fontId="21" fillId="0" borderId="0" xfId="0" applyFont="1" applyAlignment="1">
      <alignment horizontal="center" vertical="center"/>
    </xf>
    <xf numFmtId="49" fontId="77" fillId="3" borderId="13" xfId="0" applyNumberFormat="1" applyFont="1" applyFill="1" applyBorder="1" applyAlignment="1">
      <alignment horizontal="center" vertical="center"/>
    </xf>
    <xf numFmtId="49" fontId="21" fillId="3" borderId="13" xfId="0" applyNumberFormat="1" applyFont="1" applyFill="1" applyBorder="1" applyAlignment="1">
      <alignment vertical="center" wrapText="1"/>
    </xf>
    <xf numFmtId="0" fontId="21" fillId="3" borderId="13" xfId="0" applyFont="1" applyFill="1" applyBorder="1" applyAlignment="1">
      <alignment vertical="center" wrapText="1"/>
    </xf>
    <xf numFmtId="0" fontId="21" fillId="3" borderId="13" xfId="0" applyFont="1" applyFill="1" applyBorder="1" applyAlignment="1">
      <alignment horizontal="left" vertical="center"/>
    </xf>
    <xf numFmtId="0" fontId="20" fillId="3" borderId="13" xfId="0" applyFont="1" applyFill="1" applyBorder="1" applyAlignment="1">
      <alignment horizontal="center" vertical="center"/>
    </xf>
    <xf numFmtId="0" fontId="78" fillId="3" borderId="13" xfId="0" applyFont="1" applyFill="1" applyBorder="1" applyAlignment="1">
      <alignment vertical="center" wrapText="1"/>
    </xf>
    <xf numFmtId="0" fontId="73" fillId="3" borderId="13" xfId="0" applyFont="1" applyFill="1" applyBorder="1" applyAlignment="1">
      <alignment horizontal="center" vertical="center"/>
    </xf>
    <xf numFmtId="0" fontId="74" fillId="3" borderId="13" xfId="0" applyFont="1" applyFill="1" applyBorder="1" applyAlignment="1">
      <alignment horizontal="center" vertical="center"/>
    </xf>
    <xf numFmtId="0" fontId="71" fillId="3" borderId="13" xfId="0" applyFont="1" applyFill="1" applyBorder="1" applyAlignment="1">
      <alignment horizontal="center"/>
    </xf>
    <xf numFmtId="0" fontId="20" fillId="3" borderId="13" xfId="0" applyFont="1" applyFill="1" applyBorder="1" applyAlignment="1">
      <alignment vertical="center" wrapText="1"/>
    </xf>
    <xf numFmtId="0" fontId="20" fillId="0" borderId="0" xfId="0" applyFont="1" applyAlignment="1">
      <alignment horizontal="center" vertical="center"/>
    </xf>
    <xf numFmtId="0" fontId="20" fillId="0" borderId="0" xfId="0" applyFont="1" applyAlignment="1">
      <alignment vertical="center"/>
    </xf>
    <xf numFmtId="0" fontId="62" fillId="0" borderId="0" xfId="0" applyFont="1"/>
    <xf numFmtId="0" fontId="20" fillId="3" borderId="13" xfId="0" applyFont="1" applyFill="1" applyBorder="1" applyAlignment="1">
      <alignment horizontal="center" vertical="center" wrapText="1"/>
    </xf>
    <xf numFmtId="0" fontId="69" fillId="3" borderId="13" xfId="0" applyFont="1" applyFill="1" applyBorder="1" applyAlignment="1">
      <alignment horizontal="center" vertical="center"/>
    </xf>
    <xf numFmtId="0" fontId="70" fillId="3" borderId="13" xfId="0" applyFont="1" applyFill="1" applyBorder="1" applyAlignment="1">
      <alignment horizontal="center" vertical="center"/>
    </xf>
    <xf numFmtId="0" fontId="71" fillId="3" borderId="13" xfId="0" applyFont="1" applyFill="1" applyBorder="1" applyAlignment="1">
      <alignment horizontal="center" vertical="center"/>
    </xf>
    <xf numFmtId="0" fontId="72" fillId="3" borderId="13" xfId="0" applyFont="1" applyFill="1" applyBorder="1" applyAlignment="1">
      <alignment horizontal="center" vertical="center"/>
    </xf>
    <xf numFmtId="0" fontId="79" fillId="0" borderId="0" xfId="0" applyFont="1"/>
    <xf numFmtId="0" fontId="80" fillId="0" borderId="0" xfId="0" applyFont="1"/>
    <xf numFmtId="0" fontId="6" fillId="0" borderId="0" xfId="0" applyFont="1"/>
    <xf numFmtId="167"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7" fontId="1" fillId="5" borderId="5" xfId="0" applyNumberFormat="1" applyFont="1" applyFill="1" applyBorder="1" applyAlignment="1">
      <alignment horizontal="center" vertical="center" wrapText="1"/>
    </xf>
    <xf numFmtId="0" fontId="81" fillId="0" borderId="84" xfId="0" applyFont="1" applyBorder="1" applyAlignment="1">
      <alignment horizontal="center"/>
    </xf>
    <xf numFmtId="0" fontId="82" fillId="0" borderId="0" xfId="0" applyFont="1" applyAlignment="1">
      <alignment horizontal="center"/>
    </xf>
    <xf numFmtId="0" fontId="83" fillId="0" borderId="28" xfId="0" applyFont="1" applyBorder="1" applyAlignment="1">
      <alignment horizontal="center"/>
    </xf>
    <xf numFmtId="167" fontId="84" fillId="0" borderId="28" xfId="0" applyNumberFormat="1" applyFont="1" applyBorder="1" applyAlignment="1">
      <alignment horizontal="center"/>
    </xf>
    <xf numFmtId="0" fontId="24" fillId="0" borderId="0" xfId="0" applyFont="1"/>
    <xf numFmtId="0" fontId="80" fillId="0" borderId="0" xfId="0" quotePrefix="1" applyFont="1" applyAlignment="1">
      <alignment vertical="center"/>
    </xf>
    <xf numFmtId="0" fontId="80" fillId="0" borderId="0" xfId="0" applyFont="1" applyAlignment="1">
      <alignment vertical="center"/>
    </xf>
    <xf numFmtId="14" fontId="80" fillId="0" borderId="0" xfId="0" applyNumberFormat="1" applyFont="1"/>
    <xf numFmtId="0" fontId="14"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3" borderId="13" xfId="0" applyFont="1" applyFill="1" applyBorder="1" applyAlignment="1">
      <alignment vertical="center" wrapText="1"/>
    </xf>
    <xf numFmtId="0" fontId="14" fillId="3" borderId="13" xfId="0" applyFont="1" applyFill="1" applyBorder="1" applyAlignment="1">
      <alignment horizontal="center" vertical="center" wrapText="1"/>
    </xf>
    <xf numFmtId="0" fontId="14" fillId="3" borderId="13" xfId="0" applyFont="1" applyFill="1" applyBorder="1" applyAlignment="1">
      <alignment horizontal="left" vertical="center" wrapText="1"/>
    </xf>
    <xf numFmtId="0" fontId="1" fillId="3" borderId="13" xfId="0" applyFont="1" applyFill="1" applyBorder="1"/>
    <xf numFmtId="0" fontId="3" fillId="3" borderId="13" xfId="0" applyFont="1" applyFill="1" applyBorder="1"/>
    <xf numFmtId="0" fontId="3" fillId="3" borderId="13" xfId="0" applyFont="1" applyFill="1" applyBorder="1" applyAlignment="1">
      <alignment horizontal="center"/>
    </xf>
    <xf numFmtId="169" fontId="3" fillId="3" borderId="13" xfId="0" applyNumberFormat="1" applyFont="1" applyFill="1" applyBorder="1"/>
    <xf numFmtId="169" fontId="83" fillId="3" borderId="13" xfId="0" applyNumberFormat="1" applyFont="1" applyFill="1" applyBorder="1"/>
    <xf numFmtId="0" fontId="1" fillId="15" borderId="5" xfId="0" applyFont="1" applyFill="1" applyBorder="1" applyAlignment="1">
      <alignment horizontal="center" vertical="center" wrapText="1"/>
    </xf>
    <xf numFmtId="169" fontId="1" fillId="16" borderId="5" xfId="0" applyNumberFormat="1" applyFont="1" applyFill="1" applyBorder="1" applyAlignment="1">
      <alignment horizontal="center" vertical="center" wrapText="1"/>
    </xf>
    <xf numFmtId="0" fontId="6" fillId="0" borderId="5" xfId="0" applyFont="1" applyBorder="1"/>
    <xf numFmtId="0" fontId="1" fillId="17" borderId="27" xfId="0" applyFont="1" applyFill="1" applyBorder="1" applyAlignment="1">
      <alignment horizontal="center" vertical="center" wrapText="1"/>
    </xf>
    <xf numFmtId="169" fontId="1" fillId="17" borderId="27" xfId="0" applyNumberFormat="1" applyFont="1" applyFill="1" applyBorder="1" applyAlignment="1">
      <alignment horizontal="center" vertical="center" wrapText="1"/>
    </xf>
    <xf numFmtId="0" fontId="6" fillId="0" borderId="87" xfId="0" applyFont="1" applyBorder="1"/>
    <xf numFmtId="169" fontId="1" fillId="16" borderId="26" xfId="0" applyNumberFormat="1" applyFont="1" applyFill="1" applyBorder="1" applyAlignment="1">
      <alignment horizontal="center" vertical="center" wrapText="1"/>
    </xf>
    <xf numFmtId="0" fontId="6" fillId="0" borderId="66" xfId="0" applyFont="1" applyBorder="1"/>
    <xf numFmtId="0" fontId="64" fillId="0" borderId="5" xfId="0" applyFont="1" applyBorder="1" applyAlignment="1">
      <alignment horizontal="center" vertical="center"/>
    </xf>
    <xf numFmtId="0" fontId="23" fillId="3" borderId="77" xfId="0" applyFont="1" applyFill="1" applyBorder="1" applyAlignment="1">
      <alignment vertical="center" wrapText="1"/>
    </xf>
    <xf numFmtId="0" fontId="6" fillId="0" borderId="5" xfId="0" applyFont="1" applyBorder="1" applyAlignment="1">
      <alignment vertical="center"/>
    </xf>
    <xf numFmtId="165" fontId="3" fillId="3" borderId="5" xfId="0" applyNumberFormat="1" applyFont="1" applyFill="1" applyBorder="1" applyAlignment="1">
      <alignment horizontal="right" vertical="center"/>
    </xf>
    <xf numFmtId="165" fontId="3" fillId="3" borderId="78" xfId="0" applyNumberFormat="1" applyFont="1" applyFill="1" applyBorder="1" applyAlignment="1">
      <alignment horizontal="right" vertical="center"/>
    </xf>
    <xf numFmtId="165" fontId="3" fillId="3" borderId="5" xfId="0" applyNumberFormat="1" applyFont="1" applyFill="1" applyBorder="1" applyAlignment="1">
      <alignment vertical="center"/>
    </xf>
    <xf numFmtId="0" fontId="6" fillId="0" borderId="66" xfId="0" applyFont="1" applyBorder="1" applyAlignment="1">
      <alignment vertical="center"/>
    </xf>
    <xf numFmtId="169" fontId="3" fillId="3" borderId="5" xfId="0" applyNumberFormat="1" applyFont="1" applyFill="1" applyBorder="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49" fontId="23" fillId="3" borderId="26" xfId="0" applyNumberFormat="1" applyFont="1" applyFill="1" applyBorder="1" applyAlignment="1">
      <alignment horizontal="center" vertical="center"/>
    </xf>
    <xf numFmtId="0" fontId="3" fillId="3" borderId="5" xfId="0" applyFont="1" applyFill="1" applyBorder="1" applyAlignment="1">
      <alignment horizontal="center" vertical="center"/>
    </xf>
    <xf numFmtId="169" fontId="3" fillId="0" borderId="0" xfId="0" applyNumberFormat="1" applyFont="1"/>
    <xf numFmtId="169" fontId="21" fillId="0" borderId="0" xfId="0" applyNumberFormat="1" applyFont="1"/>
    <xf numFmtId="0" fontId="85" fillId="0" borderId="0" xfId="0" applyFont="1"/>
    <xf numFmtId="170" fontId="85" fillId="0" borderId="0" xfId="0" applyNumberFormat="1" applyFont="1"/>
    <xf numFmtId="169" fontId="85" fillId="0" borderId="0" xfId="0" applyNumberFormat="1" applyFont="1"/>
    <xf numFmtId="169" fontId="83" fillId="0" borderId="0" xfId="0" applyNumberFormat="1" applyFont="1"/>
    <xf numFmtId="169" fontId="24" fillId="0" borderId="0" xfId="0" applyNumberFormat="1" applyFont="1"/>
    <xf numFmtId="0" fontId="86" fillId="0" borderId="0" xfId="0" applyFont="1"/>
    <xf numFmtId="0" fontId="21" fillId="0" borderId="0" xfId="0" applyFont="1"/>
    <xf numFmtId="169" fontId="1" fillId="0" borderId="0" xfId="0" applyNumberFormat="1" applyFont="1"/>
    <xf numFmtId="169" fontId="20" fillId="0" borderId="0" xfId="0" applyNumberFormat="1" applyFont="1"/>
    <xf numFmtId="169" fontId="1" fillId="3" borderId="13" xfId="0" applyNumberFormat="1" applyFont="1" applyFill="1" applyBorder="1"/>
    <xf numFmtId="165" fontId="80" fillId="0" borderId="0" xfId="0" applyNumberFormat="1" applyFont="1"/>
    <xf numFmtId="165" fontId="21" fillId="0" borderId="5" xfId="0" applyNumberFormat="1" applyFont="1" applyBorder="1" applyAlignment="1">
      <alignment vertical="center"/>
    </xf>
    <xf numFmtId="165" fontId="80" fillId="0" borderId="0" xfId="0" applyNumberFormat="1" applyFont="1" applyAlignment="1">
      <alignment vertical="center"/>
    </xf>
    <xf numFmtId="165" fontId="1" fillId="2" borderId="5" xfId="0" applyNumberFormat="1" applyFont="1" applyFill="1" applyBorder="1" applyAlignment="1">
      <alignment horizontal="center" vertical="center"/>
    </xf>
    <xf numFmtId="165" fontId="21" fillId="0" borderId="0" xfId="0" applyNumberFormat="1" applyFont="1"/>
    <xf numFmtId="0" fontId="34" fillId="0" borderId="0" xfId="0" applyFont="1" applyAlignment="1">
      <alignment horizontal="center" vertical="center" wrapText="1"/>
    </xf>
    <xf numFmtId="0" fontId="88" fillId="0" borderId="0" xfId="0" applyFont="1" applyAlignment="1">
      <alignment vertical="center" wrapText="1"/>
    </xf>
    <xf numFmtId="171" fontId="24" fillId="0" borderId="0" xfId="0" applyNumberFormat="1" applyFont="1"/>
    <xf numFmtId="0" fontId="34" fillId="0" borderId="0" xfId="0" applyFont="1" applyAlignment="1">
      <alignment horizontal="right" vertical="center" wrapText="1"/>
    </xf>
    <xf numFmtId="172" fontId="1" fillId="6" borderId="5" xfId="0" applyNumberFormat="1" applyFont="1" applyFill="1" applyBorder="1" applyAlignment="1">
      <alignment horizontal="center" vertical="center"/>
    </xf>
    <xf numFmtId="0" fontId="1" fillId="5" borderId="13" xfId="0" applyFont="1" applyFill="1" applyBorder="1" applyAlignment="1">
      <alignment horizontal="center" vertical="center"/>
    </xf>
    <xf numFmtId="171" fontId="1" fillId="5" borderId="13" xfId="0" applyNumberFormat="1" applyFont="1" applyFill="1" applyBorder="1" applyAlignment="1">
      <alignment horizontal="center" vertical="center"/>
    </xf>
    <xf numFmtId="170" fontId="1" fillId="5" borderId="13" xfId="0" applyNumberFormat="1" applyFont="1" applyFill="1" applyBorder="1" applyAlignment="1">
      <alignment horizontal="center" vertical="center"/>
    </xf>
    <xf numFmtId="0" fontId="1" fillId="5" borderId="13" xfId="0" applyFont="1" applyFill="1" applyBorder="1" applyAlignment="1">
      <alignment horizontal="right" vertical="center"/>
    </xf>
    <xf numFmtId="0" fontId="1" fillId="5" borderId="13" xfId="0" applyFont="1" applyFill="1" applyBorder="1" applyAlignment="1">
      <alignment horizontal="center" vertical="center" wrapText="1"/>
    </xf>
    <xf numFmtId="0" fontId="1" fillId="5" borderId="5" xfId="0" applyFont="1" applyFill="1" applyBorder="1" applyAlignment="1">
      <alignment horizontal="center" vertical="center" wrapText="1"/>
    </xf>
    <xf numFmtId="171" fontId="1" fillId="5" borderId="5" xfId="0" applyNumberFormat="1" applyFont="1" applyFill="1" applyBorder="1" applyAlignment="1">
      <alignment horizontal="center" vertical="center" wrapText="1"/>
    </xf>
    <xf numFmtId="9" fontId="1" fillId="5" borderId="5" xfId="0" applyNumberFormat="1" applyFont="1" applyFill="1" applyBorder="1" applyAlignment="1">
      <alignment horizontal="center" vertical="center" wrapText="1"/>
    </xf>
    <xf numFmtId="0" fontId="27" fillId="5" borderId="5" xfId="0" applyFont="1" applyFill="1" applyBorder="1" applyAlignment="1">
      <alignment horizontal="center" vertical="center" wrapText="1"/>
    </xf>
    <xf numFmtId="0" fontId="6" fillId="0" borderId="76" xfId="0" applyFont="1" applyBorder="1"/>
    <xf numFmtId="171" fontId="27" fillId="5" borderId="5" xfId="0" applyNumberFormat="1" applyFont="1" applyFill="1" applyBorder="1" applyAlignment="1">
      <alignment horizontal="center" vertical="center" wrapText="1"/>
    </xf>
    <xf numFmtId="165" fontId="27" fillId="5" borderId="5" xfId="0" applyNumberFormat="1" applyFont="1" applyFill="1" applyBorder="1" applyAlignment="1">
      <alignment horizontal="center" vertical="center" wrapText="1"/>
    </xf>
    <xf numFmtId="0" fontId="65" fillId="0" borderId="5" xfId="0" applyFont="1" applyBorder="1" applyAlignment="1">
      <alignment horizontal="center" vertical="center" wrapText="1"/>
    </xf>
    <xf numFmtId="0" fontId="77" fillId="3" borderId="26" xfId="0" applyFont="1" applyFill="1" applyBorder="1" applyAlignment="1">
      <alignment horizontal="left" vertical="center"/>
    </xf>
    <xf numFmtId="0" fontId="23" fillId="3" borderId="26" xfId="0" applyFont="1" applyFill="1" applyBorder="1" applyAlignment="1">
      <alignment horizontal="left" vertical="center"/>
    </xf>
    <xf numFmtId="0" fontId="23" fillId="3" borderId="5" xfId="0" applyFont="1" applyFill="1" applyBorder="1" applyAlignment="1">
      <alignment vertical="center" wrapText="1"/>
    </xf>
    <xf numFmtId="169" fontId="65" fillId="0" borderId="5" xfId="0" applyNumberFormat="1" applyFont="1" applyBorder="1" applyAlignment="1">
      <alignment horizontal="center" vertical="center" wrapText="1"/>
    </xf>
    <xf numFmtId="173" fontId="65" fillId="0" borderId="5" xfId="0" applyNumberFormat="1" applyFont="1" applyBorder="1" applyAlignment="1">
      <alignment horizontal="center" vertical="center" wrapText="1"/>
    </xf>
    <xf numFmtId="169" fontId="34" fillId="0" borderId="5" xfId="0" applyNumberFormat="1" applyFont="1" applyBorder="1" applyAlignment="1">
      <alignment horizontal="center" vertical="center" wrapText="1"/>
    </xf>
    <xf numFmtId="171" fontId="65" fillId="0" borderId="5" xfId="0" applyNumberFormat="1" applyFont="1" applyBorder="1" applyAlignment="1">
      <alignment horizontal="center" vertical="center" wrapText="1"/>
    </xf>
    <xf numFmtId="10" fontId="65" fillId="0" borderId="5" xfId="0" applyNumberFormat="1" applyFont="1" applyBorder="1" applyAlignment="1">
      <alignment horizontal="center" vertical="center" wrapText="1"/>
    </xf>
    <xf numFmtId="174" fontId="65" fillId="0" borderId="5" xfId="0" applyNumberFormat="1" applyFont="1" applyBorder="1" applyAlignment="1">
      <alignment horizontal="right" vertical="center" wrapText="1"/>
    </xf>
    <xf numFmtId="165" fontId="65" fillId="0" borderId="5" xfId="0" applyNumberFormat="1" applyFont="1" applyBorder="1" applyAlignment="1">
      <alignment horizontal="center" vertical="center" wrapText="1"/>
    </xf>
    <xf numFmtId="3" fontId="65" fillId="0" borderId="5" xfId="0" applyNumberFormat="1" applyFont="1" applyBorder="1" applyAlignment="1">
      <alignment horizontal="center" vertical="center" wrapText="1"/>
    </xf>
    <xf numFmtId="169" fontId="89" fillId="0" borderId="5" xfId="0" applyNumberFormat="1" applyFont="1" applyBorder="1" applyAlignment="1">
      <alignment horizontal="center" vertical="center" wrapText="1"/>
    </xf>
    <xf numFmtId="3" fontId="34" fillId="15" borderId="5" xfId="0" applyNumberFormat="1" applyFont="1" applyFill="1" applyBorder="1" applyAlignment="1">
      <alignment horizontal="center" vertical="center" wrapText="1"/>
    </xf>
    <xf numFmtId="169" fontId="34" fillId="0" borderId="0" xfId="0" applyNumberFormat="1" applyFont="1" applyAlignment="1">
      <alignment horizontal="center" vertical="center" wrapText="1"/>
    </xf>
    <xf numFmtId="171" fontId="34" fillId="0" borderId="0" xfId="0" applyNumberFormat="1" applyFont="1" applyAlignment="1">
      <alignment horizontal="center" vertical="center" wrapText="1"/>
    </xf>
    <xf numFmtId="169" fontId="34" fillId="0" borderId="0" xfId="0" applyNumberFormat="1" applyFont="1" applyAlignment="1">
      <alignment horizontal="right" vertical="center" wrapText="1"/>
    </xf>
    <xf numFmtId="0" fontId="90" fillId="0" borderId="0" xfId="0" applyFont="1" applyAlignment="1">
      <alignment horizontal="center" vertical="center" wrapText="1"/>
    </xf>
    <xf numFmtId="175" fontId="34" fillId="0" borderId="0" xfId="0" applyNumberFormat="1" applyFont="1" applyAlignment="1">
      <alignment horizontal="center" vertical="center" wrapText="1"/>
    </xf>
    <xf numFmtId="0" fontId="3" fillId="0" borderId="0" xfId="0" applyFont="1" applyAlignment="1">
      <alignment horizontal="center" vertical="center"/>
    </xf>
    <xf numFmtId="0" fontId="65" fillId="0" borderId="0" xfId="0" applyFont="1" applyAlignment="1">
      <alignment horizontal="center" vertical="center" wrapText="1"/>
    </xf>
    <xf numFmtId="0" fontId="90" fillId="0" borderId="0" xfId="0" applyFont="1" applyAlignment="1">
      <alignment horizontal="center" vertical="center"/>
    </xf>
    <xf numFmtId="0" fontId="90" fillId="0" borderId="0" xfId="0" applyFont="1" applyAlignment="1">
      <alignment horizontal="left" vertical="center"/>
    </xf>
    <xf numFmtId="9" fontId="65" fillId="0" borderId="0" xfId="0" applyNumberFormat="1" applyFont="1" applyAlignment="1">
      <alignment horizontal="center" vertical="center" wrapText="1"/>
    </xf>
    <xf numFmtId="0" fontId="65" fillId="0" borderId="0" xfId="0" applyFont="1" applyAlignment="1">
      <alignment horizontal="center" vertical="center"/>
    </xf>
    <xf numFmtId="171" fontId="34" fillId="0" borderId="0" xfId="0" applyNumberFormat="1" applyFont="1" applyAlignment="1">
      <alignment horizontal="center" vertical="center"/>
    </xf>
    <xf numFmtId="176" fontId="65" fillId="0" borderId="0" xfId="0" applyNumberFormat="1" applyFont="1" applyAlignment="1">
      <alignment horizontal="center" vertical="center" wrapText="1"/>
    </xf>
    <xf numFmtId="169" fontId="1" fillId="0" borderId="0" xfId="0" applyNumberFormat="1" applyFont="1" applyAlignment="1">
      <alignment horizontal="center" vertical="center" wrapText="1"/>
    </xf>
    <xf numFmtId="169" fontId="65" fillId="0" borderId="0" xfId="0" applyNumberFormat="1" applyFont="1" applyAlignment="1">
      <alignment horizontal="center" vertical="center" wrapText="1"/>
    </xf>
    <xf numFmtId="0" fontId="65" fillId="0" borderId="0" xfId="0" applyFont="1" applyAlignment="1">
      <alignment horizontal="right" vertical="center" wrapText="1"/>
    </xf>
    <xf numFmtId="3" fontId="61" fillId="0" borderId="0" xfId="0" applyNumberFormat="1" applyFont="1"/>
    <xf numFmtId="49" fontId="34" fillId="0" borderId="0" xfId="0" applyNumberFormat="1" applyFont="1" applyAlignment="1">
      <alignment horizontal="center" vertical="center" wrapText="1"/>
    </xf>
    <xf numFmtId="176" fontId="34" fillId="0" borderId="0" xfId="0" applyNumberFormat="1" applyFont="1" applyAlignment="1">
      <alignment horizontal="center" vertical="center" wrapText="1"/>
    </xf>
    <xf numFmtId="49" fontId="1" fillId="5" borderId="5" xfId="0" applyNumberFormat="1" applyFont="1" applyFill="1" applyBorder="1" applyAlignment="1">
      <alignment horizontal="center" vertical="center" wrapText="1"/>
    </xf>
    <xf numFmtId="3" fontId="1" fillId="5"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69" fontId="3" fillId="0" borderId="5" xfId="0" applyNumberFormat="1" applyFont="1" applyBorder="1" applyAlignment="1">
      <alignment horizontal="center" vertical="center" wrapText="1"/>
    </xf>
    <xf numFmtId="169" fontId="3" fillId="0" borderId="5" xfId="0" applyNumberFormat="1" applyFont="1" applyBorder="1" applyAlignment="1">
      <alignment horizontal="left" vertical="center" wrapText="1"/>
    </xf>
    <xf numFmtId="169" fontId="65" fillId="0" borderId="5" xfId="0" applyNumberFormat="1" applyFont="1" applyBorder="1" applyAlignment="1">
      <alignment horizontal="left" vertical="center" wrapText="1"/>
    </xf>
    <xf numFmtId="177"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178"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3" borderId="65" xfId="0" applyFont="1" applyFill="1" applyBorder="1" applyAlignment="1">
      <alignment horizontal="left" vertical="center"/>
    </xf>
    <xf numFmtId="169" fontId="65" fillId="3" borderId="5" xfId="0" applyNumberFormat="1" applyFont="1" applyFill="1" applyBorder="1" applyAlignment="1">
      <alignment horizontal="left" vertical="center" wrapText="1"/>
    </xf>
    <xf numFmtId="0" fontId="1" fillId="5" borderId="5" xfId="0" applyFont="1" applyFill="1" applyBorder="1" applyAlignment="1">
      <alignment horizontal="left" vertical="center"/>
    </xf>
    <xf numFmtId="177" fontId="1" fillId="5" borderId="5" xfId="0" applyNumberFormat="1" applyFont="1" applyFill="1" applyBorder="1" applyAlignment="1">
      <alignment horizontal="center" vertical="center"/>
    </xf>
    <xf numFmtId="179" fontId="64" fillId="0" borderId="0" xfId="0" applyNumberFormat="1" applyFont="1" applyAlignment="1">
      <alignment horizontal="center" vertical="center"/>
    </xf>
    <xf numFmtId="0" fontId="64" fillId="0" borderId="0" xfId="0" applyFont="1" applyAlignment="1">
      <alignment horizontal="left" vertical="center"/>
    </xf>
    <xf numFmtId="0" fontId="64" fillId="0" borderId="0" xfId="0" applyFont="1" applyAlignment="1">
      <alignment vertical="center"/>
    </xf>
    <xf numFmtId="3" fontId="27" fillId="0" borderId="0" xfId="0" applyNumberFormat="1" applyFont="1" applyAlignment="1">
      <alignment horizontal="center" vertical="center"/>
    </xf>
    <xf numFmtId="3" fontId="64" fillId="0" borderId="0" xfId="0" applyNumberFormat="1" applyFont="1" applyAlignment="1">
      <alignment horizontal="center" vertical="center"/>
    </xf>
    <xf numFmtId="0" fontId="3" fillId="0" borderId="0" xfId="0" applyFont="1" applyAlignment="1">
      <alignment horizontal="left"/>
    </xf>
    <xf numFmtId="49"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34" fillId="0" borderId="0" xfId="0" applyFont="1" applyAlignment="1">
      <alignment horizontal="center" vertical="center"/>
    </xf>
    <xf numFmtId="0" fontId="3" fillId="0" borderId="0" xfId="0" applyFont="1" applyAlignment="1">
      <alignment horizontal="center" vertical="center" wrapText="1"/>
    </xf>
    <xf numFmtId="49" fontId="1" fillId="0" borderId="0" xfId="0" applyNumberFormat="1" applyFont="1" applyAlignment="1">
      <alignment horizontal="center" vertical="center" wrapText="1"/>
    </xf>
    <xf numFmtId="165" fontId="1" fillId="0" borderId="0" xfId="0" applyNumberFormat="1" applyFont="1" applyAlignment="1">
      <alignment horizontal="center" vertical="center" wrapText="1"/>
    </xf>
    <xf numFmtId="0" fontId="91" fillId="0" borderId="0" xfId="0" applyFont="1" applyAlignment="1">
      <alignment horizontal="left" wrapText="1"/>
    </xf>
    <xf numFmtId="0" fontId="91" fillId="0" borderId="0" xfId="0" applyFont="1" applyAlignment="1">
      <alignment horizontal="center" wrapText="1"/>
    </xf>
    <xf numFmtId="0" fontId="92" fillId="0" borderId="0" xfId="0" applyFont="1" applyAlignment="1">
      <alignment horizontal="left" wrapText="1"/>
    </xf>
    <xf numFmtId="0" fontId="92" fillId="0" borderId="0" xfId="0" applyFont="1" applyAlignment="1">
      <alignment horizontal="center"/>
    </xf>
    <xf numFmtId="0" fontId="64" fillId="0" borderId="0" xfId="0" applyFont="1" applyAlignment="1">
      <alignment wrapText="1"/>
    </xf>
    <xf numFmtId="0" fontId="1" fillId="21" borderId="13" xfId="0" applyFont="1" applyFill="1" applyBorder="1" applyAlignment="1">
      <alignment horizontal="center" vertical="center" wrapText="1"/>
    </xf>
    <xf numFmtId="0" fontId="1" fillId="5" borderId="65" xfId="0" applyFont="1" applyFill="1" applyBorder="1" applyAlignment="1">
      <alignment horizontal="center" vertical="center" wrapText="1"/>
    </xf>
    <xf numFmtId="0" fontId="64" fillId="0" borderId="0" xfId="0" applyFont="1" applyAlignment="1">
      <alignment horizontal="center" vertical="center"/>
    </xf>
    <xf numFmtId="0" fontId="64" fillId="0" borderId="0" xfId="0" applyFont="1" applyAlignment="1">
      <alignment horizontal="center"/>
    </xf>
    <xf numFmtId="49" fontId="3" fillId="0" borderId="0" xfId="0" applyNumberFormat="1" applyFont="1"/>
    <xf numFmtId="0" fontId="1" fillId="0" borderId="0" xfId="0" applyFont="1" applyAlignment="1">
      <alignment horizontal="left" vertical="center" wrapText="1"/>
    </xf>
    <xf numFmtId="49" fontId="3" fillId="0" borderId="94" xfId="0" applyNumberFormat="1" applyFont="1" applyBorder="1"/>
    <xf numFmtId="49" fontId="3" fillId="0" borderId="89" xfId="0" applyNumberFormat="1" applyFont="1" applyBorder="1"/>
    <xf numFmtId="0" fontId="3" fillId="0" borderId="79" xfId="0" applyFont="1" applyBorder="1"/>
    <xf numFmtId="0" fontId="1" fillId="0" borderId="95" xfId="0" applyFont="1" applyBorder="1" applyAlignment="1">
      <alignment horizontal="left" vertical="center" wrapText="1"/>
    </xf>
    <xf numFmtId="0" fontId="3" fillId="0" borderId="30" xfId="0" applyFont="1" applyBorder="1"/>
    <xf numFmtId="0" fontId="3" fillId="0" borderId="85" xfId="0" applyFont="1" applyBorder="1"/>
    <xf numFmtId="0" fontId="3" fillId="0" borderId="87" xfId="0" applyFont="1" applyBorder="1"/>
    <xf numFmtId="0" fontId="3" fillId="0" borderId="76" xfId="0" applyFont="1" applyBorder="1"/>
    <xf numFmtId="0" fontId="1" fillId="0" borderId="96" xfId="0" applyFont="1" applyBorder="1" applyAlignment="1">
      <alignment horizontal="left" vertical="center" wrapText="1"/>
    </xf>
    <xf numFmtId="0" fontId="3" fillId="0" borderId="97" xfId="0" applyFont="1" applyBorder="1"/>
    <xf numFmtId="49" fontId="3" fillId="0" borderId="98" xfId="0" applyNumberFormat="1" applyFont="1" applyBorder="1"/>
    <xf numFmtId="49" fontId="3" fillId="0" borderId="100" xfId="0" applyNumberFormat="1" applyFont="1" applyBorder="1"/>
    <xf numFmtId="49" fontId="3" fillId="0" borderId="101" xfId="0" applyNumberFormat="1" applyFont="1" applyBorder="1"/>
    <xf numFmtId="49" fontId="3" fillId="0" borderId="102" xfId="0" applyNumberFormat="1" applyFont="1" applyBorder="1"/>
    <xf numFmtId="49" fontId="1" fillId="0" borderId="103" xfId="0" applyNumberFormat="1" applyFont="1" applyBorder="1"/>
    <xf numFmtId="49" fontId="1" fillId="0" borderId="103" xfId="0" applyNumberFormat="1" applyFont="1" applyBorder="1" applyAlignment="1">
      <alignment horizontal="center"/>
    </xf>
    <xf numFmtId="177" fontId="1" fillId="0" borderId="103" xfId="0" applyNumberFormat="1" applyFont="1" applyBorder="1"/>
    <xf numFmtId="49" fontId="3" fillId="0" borderId="104" xfId="0" applyNumberFormat="1" applyFont="1" applyBorder="1"/>
    <xf numFmtId="49" fontId="3" fillId="0" borderId="94" xfId="0" applyNumberFormat="1" applyFont="1" applyBorder="1" applyAlignment="1">
      <alignment vertical="center"/>
    </xf>
    <xf numFmtId="49" fontId="3" fillId="0" borderId="105" xfId="0" applyNumberFormat="1" applyFont="1" applyBorder="1" applyAlignment="1">
      <alignment vertical="center"/>
    </xf>
    <xf numFmtId="172" fontId="84" fillId="0" borderId="5" xfId="0" applyNumberFormat="1" applyFont="1" applyBorder="1" applyAlignment="1">
      <alignment vertical="center"/>
    </xf>
    <xf numFmtId="49" fontId="3" fillId="0" borderId="107" xfId="0" applyNumberFormat="1" applyFont="1" applyBorder="1" applyAlignment="1">
      <alignment vertical="center"/>
    </xf>
    <xf numFmtId="49" fontId="3" fillId="0" borderId="101" xfId="0" applyNumberFormat="1" applyFont="1" applyBorder="1" applyAlignment="1">
      <alignment vertical="center"/>
    </xf>
    <xf numFmtId="49" fontId="3" fillId="0" borderId="0" xfId="0" applyNumberFormat="1" applyFont="1" applyAlignment="1">
      <alignment vertical="center"/>
    </xf>
    <xf numFmtId="167" fontId="1" fillId="0" borderId="5" xfId="0" applyNumberFormat="1" applyFont="1" applyBorder="1" applyAlignment="1">
      <alignment vertical="center"/>
    </xf>
    <xf numFmtId="180" fontId="3" fillId="0" borderId="5" xfId="0" applyNumberFormat="1" applyFont="1" applyBorder="1" applyAlignment="1">
      <alignment vertical="center"/>
    </xf>
    <xf numFmtId="49" fontId="3" fillId="0" borderId="105" xfId="0" applyNumberFormat="1" applyFont="1" applyBorder="1"/>
    <xf numFmtId="49" fontId="3" fillId="0" borderId="95" xfId="0" applyNumberFormat="1" applyFont="1" applyBorder="1"/>
    <xf numFmtId="49" fontId="3" fillId="0" borderId="111" xfId="0" applyNumberFormat="1" applyFont="1" applyBorder="1"/>
    <xf numFmtId="49" fontId="3" fillId="0" borderId="107" xfId="0" applyNumberFormat="1" applyFont="1" applyBorder="1"/>
    <xf numFmtId="49" fontId="3" fillId="0" borderId="113" xfId="0" applyNumberFormat="1" applyFont="1" applyBorder="1"/>
    <xf numFmtId="49" fontId="20" fillId="0" borderId="0" xfId="0" applyNumberFormat="1" applyFont="1" applyAlignment="1">
      <alignment horizontal="center" vertical="center" textRotation="90" wrapText="1"/>
    </xf>
    <xf numFmtId="49" fontId="20" fillId="0" borderId="0" xfId="0" applyNumberFormat="1" applyFont="1" applyAlignment="1">
      <alignment vertical="center"/>
    </xf>
    <xf numFmtId="177" fontId="1" fillId="0" borderId="0" xfId="0" applyNumberFormat="1" applyFont="1" applyAlignment="1">
      <alignment horizontal="right" vertical="center"/>
    </xf>
    <xf numFmtId="49" fontId="3" fillId="0" borderId="116" xfId="0" applyNumberFormat="1" applyFont="1" applyBorder="1"/>
    <xf numFmtId="49" fontId="20" fillId="0" borderId="111" xfId="0" applyNumberFormat="1" applyFont="1" applyBorder="1" applyAlignment="1">
      <alignment vertical="center"/>
    </xf>
    <xf numFmtId="49" fontId="20" fillId="0" borderId="117" xfId="0" applyNumberFormat="1" applyFont="1" applyBorder="1" applyAlignment="1">
      <alignment vertical="center"/>
    </xf>
    <xf numFmtId="49" fontId="1" fillId="0" borderId="117" xfId="0" applyNumberFormat="1" applyFont="1" applyBorder="1" applyAlignment="1">
      <alignment vertical="center"/>
    </xf>
    <xf numFmtId="49" fontId="3" fillId="0" borderId="113" xfId="0" applyNumberFormat="1" applyFont="1" applyBorder="1" applyAlignment="1">
      <alignment vertical="center"/>
    </xf>
    <xf numFmtId="49" fontId="3" fillId="0" borderId="118" xfId="0" applyNumberFormat="1" applyFont="1" applyBorder="1"/>
    <xf numFmtId="49" fontId="3" fillId="0" borderId="119" xfId="0" applyNumberFormat="1" applyFont="1" applyBorder="1"/>
    <xf numFmtId="49" fontId="3" fillId="0" borderId="120" xfId="0" applyNumberFormat="1" applyFont="1" applyBorder="1"/>
    <xf numFmtId="49" fontId="3" fillId="0" borderId="121" xfId="0" applyNumberFormat="1" applyFont="1" applyBorder="1"/>
    <xf numFmtId="49" fontId="3" fillId="0" borderId="122" xfId="0" applyNumberFormat="1" applyFont="1" applyBorder="1"/>
    <xf numFmtId="49" fontId="6" fillId="0" borderId="0" xfId="0" applyNumberFormat="1" applyFont="1"/>
    <xf numFmtId="49" fontId="6" fillId="0" borderId="0" xfId="0" applyNumberFormat="1" applyFont="1" applyAlignment="1">
      <alignment horizontal="center"/>
    </xf>
    <xf numFmtId="0" fontId="27" fillId="0" borderId="0" xfId="0" applyFont="1" applyAlignment="1">
      <alignment horizontal="left" vertical="center" wrapText="1"/>
    </xf>
    <xf numFmtId="0" fontId="34" fillId="0" borderId="0" xfId="0" applyFont="1" applyAlignment="1">
      <alignment horizontal="left" vertical="center" wrapText="1"/>
    </xf>
    <xf numFmtId="49" fontId="6" fillId="0" borderId="94" xfId="0" applyNumberFormat="1" applyFont="1" applyBorder="1"/>
    <xf numFmtId="0" fontId="34" fillId="0" borderId="95" xfId="0" applyFont="1" applyBorder="1" applyAlignment="1">
      <alignment horizontal="left" vertical="center" wrapText="1"/>
    </xf>
    <xf numFmtId="0" fontId="34" fillId="0" borderId="96" xfId="0" applyFont="1" applyBorder="1" applyAlignment="1">
      <alignment horizontal="left" vertical="center" wrapText="1"/>
    </xf>
    <xf numFmtId="49" fontId="6" fillId="0" borderId="98" xfId="0" applyNumberFormat="1" applyFont="1" applyBorder="1"/>
    <xf numFmtId="49" fontId="6" fillId="0" borderId="104" xfId="0" applyNumberFormat="1" applyFont="1" applyBorder="1"/>
    <xf numFmtId="49" fontId="6" fillId="0" borderId="101" xfId="0" applyNumberFormat="1" applyFont="1" applyBorder="1"/>
    <xf numFmtId="49" fontId="6" fillId="0" borderId="102" xfId="0" applyNumberFormat="1" applyFont="1" applyBorder="1"/>
    <xf numFmtId="49" fontId="94" fillId="0" borderId="103" xfId="0" applyNumberFormat="1" applyFont="1" applyBorder="1"/>
    <xf numFmtId="49" fontId="49" fillId="0" borderId="103" xfId="0" applyNumberFormat="1" applyFont="1" applyBorder="1" applyAlignment="1">
      <alignment horizontal="center"/>
    </xf>
    <xf numFmtId="49" fontId="49" fillId="0" borderId="103" xfId="0" applyNumberFormat="1" applyFont="1" applyBorder="1"/>
    <xf numFmtId="177" fontId="49" fillId="0" borderId="103" xfId="0" applyNumberFormat="1" applyFont="1" applyBorder="1"/>
    <xf numFmtId="49" fontId="6" fillId="0" borderId="94" xfId="0" applyNumberFormat="1" applyFont="1" applyBorder="1" applyAlignment="1">
      <alignment vertical="center"/>
    </xf>
    <xf numFmtId="49" fontId="6" fillId="0" borderId="105" xfId="0" applyNumberFormat="1" applyFont="1" applyBorder="1" applyAlignment="1">
      <alignment vertical="center"/>
    </xf>
    <xf numFmtId="49" fontId="6" fillId="0" borderId="107" xfId="0" applyNumberFormat="1" applyFont="1" applyBorder="1" applyAlignment="1">
      <alignment vertical="center"/>
    </xf>
    <xf numFmtId="49" fontId="6" fillId="0" borderId="101" xfId="0" applyNumberFormat="1" applyFont="1" applyBorder="1" applyAlignment="1">
      <alignment vertical="center"/>
    </xf>
    <xf numFmtId="49" fontId="6" fillId="0" borderId="0" xfId="0" applyNumberFormat="1" applyFont="1" applyAlignment="1">
      <alignment vertical="center"/>
    </xf>
    <xf numFmtId="49" fontId="6" fillId="0" borderId="105" xfId="0" applyNumberFormat="1" applyFont="1" applyBorder="1"/>
    <xf numFmtId="49" fontId="6" fillId="0" borderId="96" xfId="0" applyNumberFormat="1" applyFont="1" applyBorder="1"/>
    <xf numFmtId="49" fontId="6" fillId="0" borderId="122" xfId="0" applyNumberFormat="1" applyFont="1" applyBorder="1"/>
    <xf numFmtId="49" fontId="6" fillId="0" borderId="111" xfId="0" applyNumberFormat="1" applyFont="1" applyBorder="1"/>
    <xf numFmtId="49" fontId="6" fillId="0" borderId="129" xfId="0" applyNumberFormat="1" applyFont="1" applyBorder="1" applyAlignment="1">
      <alignment vertical="center"/>
    </xf>
    <xf numFmtId="49" fontId="6" fillId="0" borderId="103" xfId="0" applyNumberFormat="1" applyFont="1" applyBorder="1" applyAlignment="1">
      <alignment vertical="center"/>
    </xf>
    <xf numFmtId="49" fontId="6" fillId="0" borderId="130" xfId="0" applyNumberFormat="1" applyFont="1" applyBorder="1" applyAlignment="1">
      <alignment vertical="center"/>
    </xf>
    <xf numFmtId="49" fontId="6" fillId="0" borderId="107" xfId="0" applyNumberFormat="1" applyFont="1" applyBorder="1"/>
    <xf numFmtId="49" fontId="6" fillId="0" borderId="113" xfId="0" applyNumberFormat="1" applyFont="1" applyBorder="1"/>
    <xf numFmtId="49" fontId="60" fillId="3" borderId="13" xfId="0" applyNumberFormat="1" applyFont="1" applyFill="1" applyBorder="1" applyAlignment="1">
      <alignment horizontal="center" vertical="center" textRotation="90" wrapText="1"/>
    </xf>
    <xf numFmtId="49" fontId="49" fillId="0" borderId="0" xfId="0" applyNumberFormat="1" applyFont="1"/>
    <xf numFmtId="177" fontId="95" fillId="0" borderId="0" xfId="0" applyNumberFormat="1" applyFont="1" applyAlignment="1">
      <alignment horizontal="right"/>
    </xf>
    <xf numFmtId="49" fontId="6" fillId="0" borderId="116" xfId="0" applyNumberFormat="1" applyFont="1" applyBorder="1"/>
    <xf numFmtId="49" fontId="57" fillId="0" borderId="111" xfId="0" applyNumberFormat="1" applyFont="1" applyBorder="1"/>
    <xf numFmtId="49" fontId="49" fillId="0" borderId="111" xfId="0" applyNumberFormat="1" applyFont="1" applyBorder="1"/>
    <xf numFmtId="49" fontId="49" fillId="0" borderId="111" xfId="0" applyNumberFormat="1" applyFont="1" applyBorder="1" applyAlignment="1">
      <alignment horizontal="center"/>
    </xf>
    <xf numFmtId="49" fontId="6" fillId="0" borderId="113" xfId="0" applyNumberFormat="1" applyFont="1" applyBorder="1" applyAlignment="1">
      <alignment vertical="center"/>
    </xf>
    <xf numFmtId="49" fontId="6" fillId="0" borderId="118" xfId="0" applyNumberFormat="1" applyFont="1" applyBorder="1"/>
    <xf numFmtId="49" fontId="6" fillId="0" borderId="119" xfId="0" applyNumberFormat="1" applyFont="1" applyBorder="1"/>
    <xf numFmtId="49" fontId="6" fillId="0" borderId="120" xfId="0" applyNumberFormat="1" applyFont="1" applyBorder="1"/>
    <xf numFmtId="49" fontId="6" fillId="0" borderId="121" xfId="0" applyNumberFormat="1" applyFont="1" applyBorder="1"/>
    <xf numFmtId="0" fontId="21" fillId="3" borderId="28" xfId="0" applyFont="1" applyFill="1" applyBorder="1" applyAlignment="1">
      <alignment horizontal="left" vertical="center"/>
    </xf>
    <xf numFmtId="0" fontId="21" fillId="3" borderId="133" xfId="0" applyFont="1" applyFill="1" applyBorder="1" applyAlignment="1">
      <alignment horizontal="left" vertical="center"/>
    </xf>
    <xf numFmtId="167" fontId="3" fillId="3" borderId="133" xfId="0" applyNumberFormat="1" applyFont="1" applyFill="1" applyBorder="1" applyAlignment="1">
      <alignment horizontal="center" vertical="center"/>
    </xf>
    <xf numFmtId="168" fontId="3" fillId="3" borderId="133" xfId="0" applyNumberFormat="1" applyFont="1" applyFill="1" applyBorder="1" applyAlignment="1">
      <alignment horizontal="center" vertical="center"/>
    </xf>
    <xf numFmtId="0" fontId="80" fillId="0" borderId="133" xfId="0" applyFont="1" applyBorder="1" applyAlignment="1">
      <alignment vertical="center"/>
    </xf>
    <xf numFmtId="0" fontId="23" fillId="3" borderId="93" xfId="0" applyFont="1" applyFill="1" applyBorder="1" applyAlignment="1">
      <alignment vertical="center" wrapText="1"/>
    </xf>
    <xf numFmtId="0" fontId="21" fillId="3" borderId="93" xfId="0" applyFont="1" applyFill="1" applyBorder="1" applyAlignment="1">
      <alignment vertical="center" wrapText="1"/>
    </xf>
    <xf numFmtId="0" fontId="49" fillId="3" borderId="78" xfId="0" applyFont="1" applyFill="1" applyBorder="1" applyAlignment="1">
      <alignment horizontal="center" vertical="center"/>
    </xf>
    <xf numFmtId="0" fontId="21" fillId="3" borderId="81" xfId="0" applyFont="1" applyFill="1" applyBorder="1" applyAlignment="1">
      <alignment vertical="center" wrapText="1"/>
    </xf>
    <xf numFmtId="49" fontId="23" fillId="3" borderId="89" xfId="0" applyNumberFormat="1" applyFont="1" applyFill="1" applyBorder="1" applyAlignment="1">
      <alignment horizontal="center" vertical="center"/>
    </xf>
    <xf numFmtId="0" fontId="6" fillId="0" borderId="28" xfId="0" applyFont="1" applyBorder="1" applyAlignment="1">
      <alignment vertical="center"/>
    </xf>
    <xf numFmtId="165" fontId="3" fillId="3" borderId="28" xfId="0" applyNumberFormat="1" applyFont="1" applyFill="1" applyBorder="1" applyAlignment="1">
      <alignment horizontal="right" vertical="center"/>
    </xf>
    <xf numFmtId="165" fontId="3" fillId="3" borderId="82" xfId="0" applyNumberFormat="1" applyFont="1" applyFill="1" applyBorder="1" applyAlignment="1">
      <alignment horizontal="right" vertical="center"/>
    </xf>
    <xf numFmtId="165" fontId="3" fillId="3" borderId="28" xfId="0" applyNumberFormat="1" applyFont="1" applyFill="1" applyBorder="1" applyAlignment="1">
      <alignment vertical="center"/>
    </xf>
    <xf numFmtId="0" fontId="6" fillId="0" borderId="90" xfId="0" applyFont="1" applyBorder="1" applyAlignment="1">
      <alignment vertical="center"/>
    </xf>
    <xf numFmtId="169" fontId="3" fillId="3" borderId="28" xfId="0" applyNumberFormat="1" applyFont="1" applyFill="1" applyBorder="1" applyAlignment="1">
      <alignment vertical="center"/>
    </xf>
    <xf numFmtId="0" fontId="21" fillId="3" borderId="133" xfId="0" applyFont="1" applyFill="1" applyBorder="1" applyAlignment="1">
      <alignment vertical="center" wrapText="1"/>
    </xf>
    <xf numFmtId="49" fontId="23" fillId="3" borderId="133" xfId="0" applyNumberFormat="1" applyFont="1" applyFill="1" applyBorder="1" applyAlignment="1">
      <alignment horizontal="center" vertical="center"/>
    </xf>
    <xf numFmtId="0" fontId="6" fillId="0" borderId="133" xfId="0" applyFont="1" applyBorder="1" applyAlignment="1">
      <alignment vertical="center"/>
    </xf>
    <xf numFmtId="165" fontId="3" fillId="3" borderId="133" xfId="0" applyNumberFormat="1" applyFont="1" applyFill="1" applyBorder="1" applyAlignment="1">
      <alignment horizontal="right" vertical="center"/>
    </xf>
    <xf numFmtId="165" fontId="3" fillId="3" borderId="133" xfId="0" applyNumberFormat="1" applyFont="1" applyFill="1" applyBorder="1" applyAlignment="1">
      <alignment vertical="center"/>
    </xf>
    <xf numFmtId="169" fontId="3" fillId="3" borderId="133" xfId="0" applyNumberFormat="1" applyFont="1" applyFill="1" applyBorder="1" applyAlignment="1">
      <alignment vertical="center"/>
    </xf>
    <xf numFmtId="0" fontId="1" fillId="2" borderId="133" xfId="0" applyFont="1" applyFill="1" applyBorder="1" applyAlignment="1">
      <alignment horizontal="center" vertical="center"/>
    </xf>
    <xf numFmtId="165" fontId="1" fillId="2" borderId="133" xfId="0" applyNumberFormat="1" applyFont="1" applyFill="1" applyBorder="1" applyAlignment="1">
      <alignment horizontal="center" vertical="center"/>
    </xf>
    <xf numFmtId="169" fontId="65" fillId="0" borderId="78" xfId="0" applyNumberFormat="1" applyFont="1" applyBorder="1" applyAlignment="1">
      <alignment horizontal="center" vertical="center" wrapText="1"/>
    </xf>
    <xf numFmtId="0" fontId="65" fillId="0" borderId="28" xfId="0" applyFont="1" applyBorder="1" applyAlignment="1">
      <alignment horizontal="center" vertical="center" wrapText="1"/>
    </xf>
    <xf numFmtId="0" fontId="23" fillId="3" borderId="89" xfId="0" applyFont="1" applyFill="1" applyBorder="1" applyAlignment="1">
      <alignment horizontal="left" vertical="center"/>
    </xf>
    <xf numFmtId="0" fontId="23" fillId="3" borderId="28" xfId="0" applyFont="1" applyFill="1" applyBorder="1" applyAlignment="1">
      <alignment vertical="center" wrapText="1"/>
    </xf>
    <xf numFmtId="0" fontId="23" fillId="3" borderId="81" xfId="0" applyFont="1" applyFill="1" applyBorder="1" applyAlignment="1">
      <alignment vertical="center" wrapText="1"/>
    </xf>
    <xf numFmtId="169" fontId="65" fillId="0" borderId="28" xfId="0" applyNumberFormat="1" applyFont="1" applyBorder="1" applyAlignment="1">
      <alignment horizontal="center" vertical="center" wrapText="1"/>
    </xf>
    <xf numFmtId="173" fontId="65" fillId="0" borderId="28" xfId="0" applyNumberFormat="1" applyFont="1" applyBorder="1" applyAlignment="1">
      <alignment horizontal="center" vertical="center" wrapText="1"/>
    </xf>
    <xf numFmtId="169" fontId="34" fillId="0" borderId="28" xfId="0" applyNumberFormat="1" applyFont="1" applyBorder="1" applyAlignment="1">
      <alignment horizontal="center" vertical="center" wrapText="1"/>
    </xf>
    <xf numFmtId="171" fontId="65" fillId="0" borderId="28" xfId="0" applyNumberFormat="1" applyFont="1" applyBorder="1" applyAlignment="1">
      <alignment horizontal="center" vertical="center" wrapText="1"/>
    </xf>
    <xf numFmtId="10" fontId="65" fillId="0" borderId="28" xfId="0" applyNumberFormat="1" applyFont="1" applyBorder="1" applyAlignment="1">
      <alignment horizontal="center" vertical="center" wrapText="1"/>
    </xf>
    <xf numFmtId="174" fontId="65" fillId="0" borderId="28" xfId="0" applyNumberFormat="1" applyFont="1" applyBorder="1" applyAlignment="1">
      <alignment horizontal="right" vertical="center" wrapText="1"/>
    </xf>
    <xf numFmtId="165" fontId="65" fillId="0" borderId="28" xfId="0" applyNumberFormat="1" applyFont="1" applyBorder="1" applyAlignment="1">
      <alignment horizontal="center" vertical="center" wrapText="1"/>
    </xf>
    <xf numFmtId="3" fontId="65" fillId="0" borderId="28" xfId="0" applyNumberFormat="1" applyFont="1" applyBorder="1" applyAlignment="1">
      <alignment horizontal="center" vertical="center" wrapText="1"/>
    </xf>
    <xf numFmtId="3" fontId="34" fillId="15" borderId="66" xfId="0" applyNumberFormat="1" applyFont="1" applyFill="1" applyBorder="1" applyAlignment="1">
      <alignment horizontal="center" vertical="center" wrapText="1"/>
    </xf>
    <xf numFmtId="0" fontId="65" fillId="0" borderId="133" xfId="0" applyFont="1" applyBorder="1" applyAlignment="1">
      <alignment horizontal="center" vertical="center" wrapText="1"/>
    </xf>
    <xf numFmtId="49" fontId="77" fillId="3" borderId="133" xfId="0" applyNumberFormat="1" applyFont="1" applyFill="1" applyBorder="1" applyAlignment="1">
      <alignment horizontal="center" vertical="center"/>
    </xf>
    <xf numFmtId="0" fontId="23" fillId="3" borderId="133" xfId="0" applyFont="1" applyFill="1" applyBorder="1" applyAlignment="1">
      <alignment horizontal="left" vertical="center"/>
    </xf>
    <xf numFmtId="0" fontId="23" fillId="3" borderId="133" xfId="0" applyFont="1" applyFill="1" applyBorder="1" applyAlignment="1">
      <alignment vertical="center" wrapText="1"/>
    </xf>
    <xf numFmtId="169" fontId="65" fillId="0" borderId="133" xfId="0" applyNumberFormat="1" applyFont="1" applyBorder="1" applyAlignment="1">
      <alignment horizontal="center" vertical="center" wrapText="1"/>
    </xf>
    <xf numFmtId="173" fontId="65" fillId="0" borderId="133" xfId="0" applyNumberFormat="1" applyFont="1" applyBorder="1" applyAlignment="1">
      <alignment horizontal="center" vertical="center" wrapText="1"/>
    </xf>
    <xf numFmtId="169" fontId="34" fillId="0" borderId="133" xfId="0" applyNumberFormat="1" applyFont="1" applyBorder="1" applyAlignment="1">
      <alignment horizontal="center" vertical="center" wrapText="1"/>
    </xf>
    <xf numFmtId="171" fontId="65" fillId="0" borderId="133" xfId="0" applyNumberFormat="1" applyFont="1" applyBorder="1" applyAlignment="1">
      <alignment horizontal="center" vertical="center" wrapText="1"/>
    </xf>
    <xf numFmtId="10" fontId="65" fillId="0" borderId="133" xfId="0" applyNumberFormat="1" applyFont="1" applyBorder="1" applyAlignment="1">
      <alignment horizontal="center" vertical="center" wrapText="1"/>
    </xf>
    <xf numFmtId="174" fontId="65" fillId="0" borderId="133" xfId="0" applyNumberFormat="1" applyFont="1" applyBorder="1" applyAlignment="1">
      <alignment horizontal="right" vertical="center" wrapText="1"/>
    </xf>
    <xf numFmtId="165" fontId="65" fillId="0" borderId="133" xfId="0" applyNumberFormat="1" applyFont="1" applyBorder="1" applyAlignment="1">
      <alignment horizontal="center" vertical="center" wrapText="1"/>
    </xf>
    <xf numFmtId="3" fontId="65" fillId="0" borderId="133" xfId="0" applyNumberFormat="1" applyFont="1" applyBorder="1" applyAlignment="1">
      <alignment horizontal="center" vertical="center" wrapText="1"/>
    </xf>
    <xf numFmtId="169" fontId="89" fillId="0" borderId="133" xfId="0" applyNumberFormat="1" applyFont="1" applyBorder="1" applyAlignment="1">
      <alignment horizontal="center" vertical="center" wrapText="1"/>
    </xf>
    <xf numFmtId="0" fontId="1" fillId="5" borderId="134" xfId="0" applyFont="1" applyFill="1" applyBorder="1" applyAlignment="1">
      <alignment horizontal="center" vertical="center"/>
    </xf>
    <xf numFmtId="0" fontId="1" fillId="5" borderId="28" xfId="0" applyFont="1" applyFill="1" applyBorder="1" applyAlignment="1">
      <alignment horizontal="center" vertical="center"/>
    </xf>
    <xf numFmtId="49" fontId="1" fillId="5" borderId="28" xfId="0" applyNumberFormat="1" applyFont="1" applyFill="1" applyBorder="1" applyAlignment="1">
      <alignment horizontal="center" vertical="center"/>
    </xf>
    <xf numFmtId="0" fontId="1" fillId="5" borderId="135" xfId="0" applyFont="1" applyFill="1" applyBorder="1" applyAlignment="1">
      <alignment horizontal="center" vertical="center"/>
    </xf>
    <xf numFmtId="165" fontId="18" fillId="2" borderId="66" xfId="0" applyNumberFormat="1" applyFont="1" applyFill="1" applyBorder="1" applyAlignment="1">
      <alignment horizontal="center" vertical="center"/>
    </xf>
    <xf numFmtId="0" fontId="3" fillId="0" borderId="133" xfId="0" applyFont="1" applyBorder="1" applyAlignment="1">
      <alignment horizontal="center" vertical="center"/>
    </xf>
    <xf numFmtId="1" fontId="21" fillId="3" borderId="133" xfId="0" quotePrefix="1" applyNumberFormat="1" applyFont="1" applyFill="1" applyBorder="1" applyAlignment="1">
      <alignment horizontal="left" vertical="center"/>
    </xf>
    <xf numFmtId="0" fontId="21" fillId="3" borderId="133" xfId="0" applyFont="1" applyFill="1" applyBorder="1" applyAlignment="1">
      <alignment horizontal="center" vertical="center"/>
    </xf>
    <xf numFmtId="165" fontId="3" fillId="0" borderId="133" xfId="0" applyNumberFormat="1" applyFont="1" applyBorder="1" applyAlignment="1">
      <alignment horizontal="center" vertical="center"/>
    </xf>
    <xf numFmtId="1" fontId="21" fillId="3" borderId="133" xfId="0" applyNumberFormat="1" applyFont="1" applyFill="1" applyBorder="1" applyAlignment="1">
      <alignment horizontal="left" vertical="center"/>
    </xf>
    <xf numFmtId="0" fontId="80" fillId="0" borderId="133" xfId="0" applyFont="1" applyBorder="1"/>
    <xf numFmtId="0" fontId="80" fillId="0" borderId="133" xfId="0" applyFont="1" applyBorder="1" applyAlignment="1">
      <alignment horizontal="center"/>
    </xf>
    <xf numFmtId="49" fontId="84" fillId="3" borderId="28" xfId="0" applyNumberFormat="1" applyFont="1" applyFill="1" applyBorder="1" applyAlignment="1">
      <alignment horizontal="center" vertical="center"/>
    </xf>
    <xf numFmtId="14" fontId="83" fillId="3" borderId="28" xfId="0" applyNumberFormat="1" applyFont="1" applyFill="1" applyBorder="1" applyAlignment="1">
      <alignment wrapText="1"/>
    </xf>
    <xf numFmtId="0" fontId="83" fillId="3" borderId="28" xfId="0" applyFont="1" applyFill="1" applyBorder="1" applyAlignment="1">
      <alignment horizontal="left" vertical="center"/>
    </xf>
    <xf numFmtId="0" fontId="80" fillId="0" borderId="28" xfId="0" applyFont="1" applyBorder="1"/>
    <xf numFmtId="0" fontId="3" fillId="0" borderId="133" xfId="0" applyFont="1" applyBorder="1" applyAlignment="1">
      <alignment horizontal="center"/>
    </xf>
    <xf numFmtId="49" fontId="21" fillId="3" borderId="133" xfId="0" applyNumberFormat="1" applyFont="1" applyFill="1" applyBorder="1" applyAlignment="1">
      <alignment horizontal="center"/>
    </xf>
    <xf numFmtId="181" fontId="14" fillId="3" borderId="13" xfId="2" applyNumberFormat="1" applyFont="1" applyFill="1" applyBorder="1" applyAlignment="1">
      <alignment vertical="center" wrapText="1"/>
    </xf>
    <xf numFmtId="181" fontId="3" fillId="3" borderId="13" xfId="2" applyNumberFormat="1" applyFont="1" applyFill="1" applyBorder="1"/>
    <xf numFmtId="181" fontId="3" fillId="3" borderId="5" xfId="2" applyNumberFormat="1" applyFont="1" applyFill="1" applyBorder="1" applyAlignment="1">
      <alignment horizontal="right" vertical="center"/>
    </xf>
    <xf numFmtId="181" fontId="3" fillId="3" borderId="28" xfId="2" applyNumberFormat="1" applyFont="1" applyFill="1" applyBorder="1" applyAlignment="1">
      <alignment horizontal="right" vertical="center"/>
    </xf>
    <xf numFmtId="181" fontId="3" fillId="3" borderId="133" xfId="2" applyNumberFormat="1" applyFont="1" applyFill="1" applyBorder="1" applyAlignment="1">
      <alignment horizontal="right" vertical="center"/>
    </xf>
    <xf numFmtId="181" fontId="1" fillId="2" borderId="133" xfId="2" applyNumberFormat="1" applyFont="1" applyFill="1" applyBorder="1" applyAlignment="1">
      <alignment horizontal="center" vertical="center"/>
    </xf>
    <xf numFmtId="181" fontId="3" fillId="0" borderId="0" xfId="2" applyNumberFormat="1" applyFont="1"/>
    <xf numFmtId="181" fontId="21" fillId="0" borderId="0" xfId="2" applyNumberFormat="1" applyFont="1"/>
    <xf numFmtId="181" fontId="0" fillId="0" borderId="0" xfId="2" applyNumberFormat="1" applyFont="1"/>
    <xf numFmtId="181" fontId="1" fillId="3" borderId="13" xfId="2" applyNumberFormat="1" applyFont="1" applyFill="1" applyBorder="1"/>
    <xf numFmtId="171" fontId="0" fillId="0" borderId="0" xfId="0" applyNumberFormat="1"/>
    <xf numFmtId="0" fontId="21" fillId="3" borderId="78" xfId="0" applyFont="1" applyFill="1" applyBorder="1" applyAlignment="1">
      <alignment vertical="center" wrapText="1"/>
    </xf>
    <xf numFmtId="0" fontId="21" fillId="3" borderId="82" xfId="0" applyFont="1" applyFill="1" applyBorder="1" applyAlignment="1">
      <alignment vertical="center" wrapText="1"/>
    </xf>
    <xf numFmtId="0" fontId="21" fillId="3" borderId="136" xfId="0" applyFont="1" applyFill="1" applyBorder="1" applyAlignment="1">
      <alignment vertical="center" wrapText="1"/>
    </xf>
    <xf numFmtId="0" fontId="64" fillId="0" borderId="133" xfId="0" applyFont="1" applyBorder="1" applyAlignment="1">
      <alignment horizontal="center" vertical="center"/>
    </xf>
    <xf numFmtId="3" fontId="0" fillId="0" borderId="0" xfId="0" applyNumberFormat="1"/>
    <xf numFmtId="169" fontId="0" fillId="0" borderId="0" xfId="0" applyNumberFormat="1"/>
    <xf numFmtId="0" fontId="77" fillId="3" borderId="89" xfId="0" applyFont="1" applyFill="1" applyBorder="1" applyAlignment="1">
      <alignment horizontal="left" vertical="center"/>
    </xf>
    <xf numFmtId="169" fontId="89" fillId="0" borderId="28" xfId="0" applyNumberFormat="1" applyFont="1" applyBorder="1" applyAlignment="1">
      <alignment horizontal="center" vertical="center" wrapText="1"/>
    </xf>
    <xf numFmtId="0" fontId="65" fillId="0" borderId="63" xfId="0" applyFont="1" applyBorder="1" applyAlignment="1">
      <alignment horizontal="center" vertical="center" wrapText="1"/>
    </xf>
    <xf numFmtId="171" fontId="65" fillId="0" borderId="133" xfId="3" applyNumberFormat="1" applyFont="1" applyBorder="1" applyAlignment="1">
      <alignment horizontal="center" vertical="center" wrapText="1"/>
    </xf>
    <xf numFmtId="0" fontId="1" fillId="0" borderId="66" xfId="0" applyFont="1" applyBorder="1" applyAlignment="1">
      <alignment horizontal="center" vertical="center"/>
    </xf>
    <xf numFmtId="181" fontId="65" fillId="0" borderId="133" xfId="2" applyNumberFormat="1" applyFont="1" applyBorder="1" applyAlignment="1">
      <alignment horizontal="center" vertical="center" wrapText="1"/>
    </xf>
    <xf numFmtId="167" fontId="71" fillId="14" borderId="78" xfId="0" applyNumberFormat="1" applyFont="1" applyFill="1" applyBorder="1" applyAlignment="1">
      <alignment horizontal="center" vertical="center"/>
    </xf>
    <xf numFmtId="0" fontId="64" fillId="0" borderId="89" xfId="0" applyFont="1" applyBorder="1" applyAlignment="1">
      <alignment horizontal="center" vertical="center"/>
    </xf>
    <xf numFmtId="49" fontId="65" fillId="3" borderId="28" xfId="0" applyNumberFormat="1" applyFont="1" applyFill="1" applyBorder="1" applyAlignment="1">
      <alignment horizontal="center" vertical="center"/>
    </xf>
    <xf numFmtId="0" fontId="21" fillId="3" borderId="89" xfId="0" applyFont="1" applyFill="1" applyBorder="1" applyAlignment="1">
      <alignment vertical="center" wrapText="1"/>
    </xf>
    <xf numFmtId="0" fontId="21" fillId="3" borderId="89" xfId="0" applyFont="1" applyFill="1" applyBorder="1" applyAlignment="1">
      <alignment horizontal="center" vertical="center" wrapText="1"/>
    </xf>
    <xf numFmtId="0" fontId="21" fillId="3" borderId="137" xfId="0" applyFont="1" applyFill="1" applyBorder="1" applyAlignment="1">
      <alignment horizontal="left" vertical="center"/>
    </xf>
    <xf numFmtId="0" fontId="66" fillId="3" borderId="82" xfId="0" applyFont="1" applyFill="1" applyBorder="1" applyAlignment="1">
      <alignment horizontal="center" vertical="center"/>
    </xf>
    <xf numFmtId="0" fontId="49" fillId="3" borderId="28" xfId="0" applyFont="1" applyFill="1" applyBorder="1" applyAlignment="1">
      <alignment horizontal="center" vertical="center"/>
    </xf>
    <xf numFmtId="0" fontId="49" fillId="3" borderId="82" xfId="0" applyFont="1" applyFill="1" applyBorder="1" applyAlignment="1">
      <alignment horizontal="center" vertical="center"/>
    </xf>
    <xf numFmtId="0" fontId="67" fillId="0" borderId="28" xfId="0" applyFont="1" applyBorder="1" applyAlignment="1">
      <alignment horizontal="center" vertical="center"/>
    </xf>
    <xf numFmtId="167" fontId="68" fillId="0" borderId="28" xfId="0" applyNumberFormat="1" applyFont="1" applyBorder="1" applyAlignment="1">
      <alignment horizontal="center" vertical="center"/>
    </xf>
    <xf numFmtId="167" fontId="67" fillId="0" borderId="28" xfId="0" applyNumberFormat="1" applyFont="1" applyBorder="1" applyAlignment="1">
      <alignment horizontal="center" vertical="center"/>
    </xf>
    <xf numFmtId="0" fontId="69" fillId="0" borderId="28" xfId="0" applyFont="1" applyBorder="1" applyAlignment="1">
      <alignment horizontal="center" vertical="center"/>
    </xf>
    <xf numFmtId="0" fontId="70" fillId="0" borderId="28" xfId="0" applyFont="1" applyBorder="1" applyAlignment="1">
      <alignment horizontal="center" vertical="center"/>
    </xf>
    <xf numFmtId="167" fontId="71" fillId="7" borderId="28" xfId="0" applyNumberFormat="1" applyFont="1" applyFill="1" applyBorder="1" applyAlignment="1">
      <alignment horizontal="center" vertical="center"/>
    </xf>
    <xf numFmtId="0" fontId="72" fillId="0" borderId="28" xfId="0" applyFont="1" applyBorder="1" applyAlignment="1">
      <alignment horizontal="center" vertical="center"/>
    </xf>
    <xf numFmtId="167" fontId="73" fillId="0" borderId="28" xfId="0" applyNumberFormat="1" applyFont="1" applyBorder="1" applyAlignment="1">
      <alignment horizontal="center" vertical="center"/>
    </xf>
    <xf numFmtId="0" fontId="74" fillId="5" borderId="28" xfId="0" applyFont="1" applyFill="1" applyBorder="1" applyAlignment="1">
      <alignment horizontal="center" vertical="center"/>
    </xf>
    <xf numFmtId="0" fontId="58" fillId="3" borderId="91" xfId="0" applyFont="1" applyFill="1" applyBorder="1" applyAlignment="1">
      <alignment horizontal="center" vertical="center"/>
    </xf>
    <xf numFmtId="0" fontId="75" fillId="0" borderId="91" xfId="0" applyFont="1" applyBorder="1" applyAlignment="1">
      <alignment horizontal="center" vertical="center"/>
    </xf>
    <xf numFmtId="0" fontId="76" fillId="3" borderId="91" xfId="0" applyFont="1" applyFill="1" applyBorder="1" applyAlignment="1">
      <alignment horizontal="center" vertical="center"/>
    </xf>
    <xf numFmtId="167" fontId="58" fillId="0" borderId="66" xfId="0" applyNumberFormat="1" applyFont="1" applyBorder="1" applyAlignment="1">
      <alignment horizontal="center" vertical="center"/>
    </xf>
    <xf numFmtId="49" fontId="65" fillId="3" borderId="133" xfId="0" applyNumberFormat="1" applyFont="1" applyFill="1" applyBorder="1" applyAlignment="1">
      <alignment horizontal="center" vertical="center"/>
    </xf>
    <xf numFmtId="0" fontId="21" fillId="3" borderId="133" xfId="0" applyFont="1" applyFill="1" applyBorder="1" applyAlignment="1">
      <alignment horizontal="center" vertical="center" wrapText="1"/>
    </xf>
    <xf numFmtId="0" fontId="66" fillId="3" borderId="133" xfId="0" applyFont="1" applyFill="1" applyBorder="1" applyAlignment="1">
      <alignment horizontal="center" vertical="center"/>
    </xf>
    <xf numFmtId="0" fontId="49" fillId="3" borderId="133" xfId="0" applyFont="1" applyFill="1" applyBorder="1" applyAlignment="1">
      <alignment horizontal="center" vertical="center"/>
    </xf>
    <xf numFmtId="0" fontId="67" fillId="0" borderId="133" xfId="0" applyFont="1" applyBorder="1" applyAlignment="1">
      <alignment horizontal="center" vertical="center"/>
    </xf>
    <xf numFmtId="167" fontId="68" fillId="0" borderId="133" xfId="0" applyNumberFormat="1" applyFont="1" applyBorder="1" applyAlignment="1">
      <alignment horizontal="center" vertical="center"/>
    </xf>
    <xf numFmtId="167" fontId="67" fillId="0" borderId="133" xfId="0" applyNumberFormat="1" applyFont="1" applyBorder="1" applyAlignment="1">
      <alignment horizontal="center" vertical="center"/>
    </xf>
    <xf numFmtId="0" fontId="69" fillId="0" borderId="133" xfId="0" applyFont="1" applyBorder="1" applyAlignment="1">
      <alignment horizontal="center" vertical="center"/>
    </xf>
    <xf numFmtId="0" fontId="70" fillId="0" borderId="133" xfId="0" applyFont="1" applyBorder="1" applyAlignment="1">
      <alignment horizontal="center" vertical="center"/>
    </xf>
    <xf numFmtId="167" fontId="71" fillId="7" borderId="133" xfId="0" applyNumberFormat="1" applyFont="1" applyFill="1" applyBorder="1" applyAlignment="1">
      <alignment horizontal="center" vertical="center"/>
    </xf>
    <xf numFmtId="0" fontId="72" fillId="0" borderId="133" xfId="0" applyFont="1" applyBorder="1" applyAlignment="1">
      <alignment horizontal="center" vertical="center"/>
    </xf>
    <xf numFmtId="167" fontId="73" fillId="0" borderId="133" xfId="0" applyNumberFormat="1" applyFont="1" applyBorder="1" applyAlignment="1">
      <alignment horizontal="center" vertical="center"/>
    </xf>
    <xf numFmtId="0" fontId="74" fillId="5" borderId="133" xfId="0" applyFont="1" applyFill="1" applyBorder="1" applyAlignment="1">
      <alignment horizontal="center" vertical="center"/>
    </xf>
    <xf numFmtId="0" fontId="2" fillId="0" borderId="82" xfId="0" applyFont="1" applyBorder="1"/>
    <xf numFmtId="0" fontId="1" fillId="0" borderId="0" xfId="0" applyFont="1" applyAlignment="1">
      <alignment horizontal="center" vertical="center"/>
    </xf>
    <xf numFmtId="0" fontId="0" fillId="0" borderId="0" xfId="0"/>
    <xf numFmtId="0" fontId="1" fillId="5" borderId="18" xfId="0" applyFont="1" applyFill="1" applyBorder="1" applyAlignment="1">
      <alignment horizontal="center" vertical="center"/>
    </xf>
    <xf numFmtId="0" fontId="2" fillId="0" borderId="19" xfId="0" applyFont="1" applyBorder="1"/>
    <xf numFmtId="0" fontId="2" fillId="0" borderId="21" xfId="0" applyFont="1" applyBorder="1"/>
    <xf numFmtId="0" fontId="2" fillId="0" borderId="22" xfId="0" applyFont="1" applyBorder="1"/>
    <xf numFmtId="0" fontId="16" fillId="5" borderId="20" xfId="0" applyFont="1" applyFill="1" applyBorder="1" applyAlignment="1">
      <alignment horizontal="center" vertical="center"/>
    </xf>
    <xf numFmtId="0" fontId="2" fillId="0" borderId="2" xfId="0" applyFont="1" applyBorder="1"/>
    <xf numFmtId="0" fontId="2" fillId="0" borderId="3" xfId="0" applyFont="1" applyBorder="1"/>
    <xf numFmtId="0" fontId="1" fillId="5" borderId="23" xfId="0" applyFont="1" applyFill="1" applyBorder="1" applyAlignment="1">
      <alignment horizontal="center" vertical="center"/>
    </xf>
    <xf numFmtId="0" fontId="2" fillId="0" borderId="24" xfId="0" applyFont="1" applyBorder="1"/>
    <xf numFmtId="0" fontId="2" fillId="0" borderId="25" xfId="0" applyFont="1" applyBorder="1"/>
    <xf numFmtId="0" fontId="18" fillId="2" borderId="87" xfId="0" applyFont="1" applyFill="1" applyBorder="1" applyAlignment="1">
      <alignment horizontal="center" vertical="center"/>
    </xf>
    <xf numFmtId="0" fontId="2" fillId="0" borderId="76" xfId="0" applyFont="1" applyBorder="1"/>
    <xf numFmtId="0" fontId="2" fillId="0" borderId="91" xfId="0" applyFont="1" applyBorder="1"/>
    <xf numFmtId="0" fontId="25" fillId="0" borderId="0" xfId="0" applyFont="1" applyAlignment="1">
      <alignment horizontal="right"/>
    </xf>
    <xf numFmtId="0" fontId="1" fillId="0" borderId="0" xfId="0" applyFont="1" applyAlignment="1">
      <alignment horizontal="center" vertical="center" wrapText="1"/>
    </xf>
    <xf numFmtId="0" fontId="1" fillId="2" borderId="1" xfId="0" applyFont="1" applyFill="1" applyBorder="1" applyAlignment="1">
      <alignment horizontal="center" vertical="center"/>
    </xf>
    <xf numFmtId="0" fontId="7" fillId="3" borderId="10" xfId="0" applyFont="1" applyFill="1" applyBorder="1" applyAlignment="1">
      <alignment horizontal="center" vertical="center"/>
    </xf>
    <xf numFmtId="0" fontId="2" fillId="0" borderId="11" xfId="0" applyFont="1" applyBorder="1"/>
    <xf numFmtId="0" fontId="2" fillId="0" borderId="12" xfId="0" applyFont="1" applyBorder="1"/>
    <xf numFmtId="0" fontId="8" fillId="3" borderId="10" xfId="0" applyFont="1" applyFill="1" applyBorder="1" applyAlignment="1">
      <alignment horizontal="center" vertical="center" wrapText="1"/>
    </xf>
    <xf numFmtId="0" fontId="10" fillId="3" borderId="10" xfId="0" applyFont="1" applyFill="1" applyBorder="1" applyAlignment="1">
      <alignment horizontal="center" vertical="top"/>
    </xf>
    <xf numFmtId="0" fontId="3" fillId="0" borderId="0" xfId="0" applyFont="1" applyAlignment="1">
      <alignment horizontal="right"/>
    </xf>
    <xf numFmtId="164" fontId="12" fillId="0" borderId="0" xfId="0" applyNumberFormat="1" applyFont="1" applyAlignment="1">
      <alignment horizontal="right"/>
    </xf>
    <xf numFmtId="0" fontId="17" fillId="0" borderId="0" xfId="0" applyFont="1" applyAlignment="1">
      <alignment horizontal="center" vertical="top"/>
    </xf>
    <xf numFmtId="0" fontId="9" fillId="0" borderId="0" xfId="0" quotePrefix="1" applyFont="1" applyAlignment="1">
      <alignment vertical="center" wrapText="1"/>
    </xf>
    <xf numFmtId="0" fontId="19" fillId="3" borderId="10" xfId="0" applyFont="1" applyFill="1" applyBorder="1" applyAlignment="1">
      <alignment vertical="center"/>
    </xf>
    <xf numFmtId="0" fontId="18" fillId="0" borderId="0" xfId="0" applyFont="1" applyAlignment="1">
      <alignment horizontal="left" vertical="center" wrapText="1"/>
    </xf>
    <xf numFmtId="0" fontId="18" fillId="4" borderId="14" xfId="0" applyFont="1" applyFill="1" applyBorder="1" applyAlignment="1">
      <alignment horizontal="center" vertical="center"/>
    </xf>
    <xf numFmtId="0" fontId="2" fillId="0" borderId="15" xfId="0" applyFont="1" applyBorder="1"/>
    <xf numFmtId="0" fontId="2" fillId="0" borderId="16" xfId="0" applyFont="1" applyBorder="1"/>
    <xf numFmtId="0" fontId="18" fillId="4" borderId="17" xfId="0" applyFont="1" applyFill="1" applyBorder="1" applyAlignment="1">
      <alignment horizontal="center" vertical="center"/>
    </xf>
    <xf numFmtId="0" fontId="19" fillId="3" borderId="14" xfId="0" applyFont="1" applyFill="1" applyBorder="1" applyAlignment="1">
      <alignment horizontal="left" vertical="center" wrapText="1"/>
    </xf>
    <xf numFmtId="165" fontId="19" fillId="3" borderId="14" xfId="0" applyNumberFormat="1" applyFont="1" applyFill="1" applyBorder="1" applyAlignment="1">
      <alignment horizontal="center" vertical="center" wrapText="1"/>
    </xf>
    <xf numFmtId="0" fontId="18" fillId="5" borderId="14" xfId="0" applyFont="1" applyFill="1" applyBorder="1" applyAlignment="1">
      <alignment horizontal="center" vertical="center"/>
    </xf>
    <xf numFmtId="0" fontId="12" fillId="0" borderId="0" xfId="0" applyFont="1" applyAlignment="1">
      <alignment horizontal="left" vertical="center"/>
    </xf>
    <xf numFmtId="165" fontId="18" fillId="5" borderId="14" xfId="0" applyNumberFormat="1" applyFont="1" applyFill="1" applyBorder="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18" fillId="0" borderId="0" xfId="0" applyFont="1" applyAlignment="1">
      <alignment horizontal="left" vertical="center"/>
    </xf>
    <xf numFmtId="0" fontId="18" fillId="0" borderId="0" xfId="0" applyFont="1" applyAlignment="1">
      <alignment horizontal="center" vertical="center"/>
    </xf>
    <xf numFmtId="0" fontId="8" fillId="3" borderId="10" xfId="0" applyFont="1" applyFill="1" applyBorder="1" applyAlignment="1">
      <alignment horizontal="center" vertical="center"/>
    </xf>
    <xf numFmtId="0" fontId="20" fillId="3" borderId="10" xfId="0" applyFont="1" applyFill="1" applyBorder="1" applyAlignment="1">
      <alignment horizontal="center" vertical="center"/>
    </xf>
    <xf numFmtId="0" fontId="18" fillId="0" borderId="0" xfId="0" applyFont="1" applyAlignment="1">
      <alignment horizontal="center" vertical="center" wrapText="1"/>
    </xf>
    <xf numFmtId="0" fontId="47" fillId="3" borderId="29" xfId="0" applyFont="1" applyFill="1" applyBorder="1" applyAlignment="1">
      <alignment horizontal="center" vertical="center" wrapText="1"/>
    </xf>
    <xf numFmtId="0" fontId="2" fillId="0" borderId="31" xfId="0" applyFont="1" applyBorder="1"/>
    <xf numFmtId="0" fontId="2" fillId="0" borderId="34" xfId="0" applyFont="1" applyBorder="1"/>
    <xf numFmtId="0" fontId="2" fillId="0" borderId="35" xfId="0" applyFont="1" applyBorder="1"/>
    <xf numFmtId="0" fontId="44" fillId="0" borderId="36" xfId="0" applyFont="1" applyBorder="1" applyAlignment="1">
      <alignment horizontal="center" vertical="center" wrapText="1"/>
    </xf>
    <xf numFmtId="0" fontId="2" fillId="0" borderId="38" xfId="0" applyFont="1" applyBorder="1"/>
    <xf numFmtId="0" fontId="45" fillId="0" borderId="36" xfId="0" applyFont="1" applyBorder="1" applyAlignment="1">
      <alignment horizontal="center" vertical="center" wrapText="1"/>
    </xf>
    <xf numFmtId="0" fontId="45" fillId="0" borderId="29" xfId="0" applyFont="1" applyBorder="1" applyAlignment="1">
      <alignment horizontal="center" vertical="center" wrapText="1"/>
    </xf>
    <xf numFmtId="0" fontId="46" fillId="3" borderId="36" xfId="0" applyFont="1" applyFill="1" applyBorder="1" applyAlignment="1">
      <alignment horizontal="center" vertical="center" wrapText="1"/>
    </xf>
    <xf numFmtId="0" fontId="6" fillId="0" borderId="0" xfId="0" applyFont="1" applyAlignment="1">
      <alignment horizontal="center" vertical="center"/>
    </xf>
    <xf numFmtId="0" fontId="27" fillId="3" borderId="10" xfId="0" applyFont="1" applyFill="1" applyBorder="1" applyAlignment="1">
      <alignment horizontal="left" vertical="center" wrapText="1"/>
    </xf>
    <xf numFmtId="0" fontId="28" fillId="0" borderId="0" xfId="0" applyFont="1" applyAlignment="1">
      <alignment horizontal="center" vertical="center"/>
    </xf>
    <xf numFmtId="0" fontId="29" fillId="3" borderId="10" xfId="0" applyFont="1" applyFill="1" applyBorder="1" applyAlignment="1">
      <alignment horizontal="center"/>
    </xf>
    <xf numFmtId="0" fontId="35" fillId="0" borderId="29" xfId="0" applyFont="1" applyBorder="1" applyAlignment="1">
      <alignment horizontal="center" vertical="center"/>
    </xf>
    <xf numFmtId="0" fontId="2" fillId="0" borderId="30" xfId="0" applyFont="1" applyBorder="1"/>
    <xf numFmtId="0" fontId="2" fillId="0" borderId="33" xfId="0" applyFont="1" applyBorder="1"/>
    <xf numFmtId="0" fontId="36" fillId="6" borderId="29" xfId="0" applyFont="1" applyFill="1" applyBorder="1" applyAlignment="1">
      <alignment horizontal="center" vertical="center"/>
    </xf>
    <xf numFmtId="0" fontId="37" fillId="7" borderId="32" xfId="0" applyFont="1" applyFill="1" applyBorder="1" applyAlignment="1">
      <alignment horizontal="center" vertical="center"/>
    </xf>
    <xf numFmtId="0" fontId="48" fillId="3" borderId="29" xfId="0" applyFont="1" applyFill="1" applyBorder="1" applyAlignment="1">
      <alignment horizontal="center" vertical="center" wrapText="1"/>
    </xf>
    <xf numFmtId="0" fontId="38" fillId="3" borderId="37" xfId="0" applyFont="1" applyFill="1" applyBorder="1" applyAlignment="1">
      <alignment horizontal="center" vertical="center"/>
    </xf>
    <xf numFmtId="0" fontId="2" fillId="0" borderId="39" xfId="0" applyFont="1" applyBorder="1"/>
    <xf numFmtId="0" fontId="40" fillId="7" borderId="29" xfId="0" applyFont="1" applyFill="1" applyBorder="1" applyAlignment="1">
      <alignment horizontal="center" vertical="center"/>
    </xf>
    <xf numFmtId="0" fontId="41" fillId="0" borderId="36" xfId="0" applyFont="1" applyBorder="1" applyAlignment="1">
      <alignment horizontal="center" vertical="center" wrapText="1"/>
    </xf>
    <xf numFmtId="0" fontId="42" fillId="0" borderId="36" xfId="0" applyFont="1" applyBorder="1" applyAlignment="1">
      <alignment horizontal="center" vertical="center" wrapText="1"/>
    </xf>
    <xf numFmtId="0" fontId="43" fillId="0" borderId="36" xfId="0" applyFont="1" applyBorder="1" applyAlignment="1">
      <alignment horizontal="center" vertical="center"/>
    </xf>
    <xf numFmtId="0" fontId="43" fillId="0" borderId="36" xfId="0" applyFont="1" applyBorder="1" applyAlignment="1">
      <alignment horizontal="center" vertical="center" wrapText="1"/>
    </xf>
    <xf numFmtId="0" fontId="44" fillId="0" borderId="36" xfId="0" applyFont="1" applyBorder="1" applyAlignment="1">
      <alignment horizontal="center" vertical="center"/>
    </xf>
    <xf numFmtId="0" fontId="52" fillId="0" borderId="36" xfId="0" applyFont="1" applyBorder="1" applyAlignment="1">
      <alignment horizontal="center" vertical="center"/>
    </xf>
    <xf numFmtId="0" fontId="53" fillId="0" borderId="36" xfId="0" applyFont="1" applyBorder="1" applyAlignment="1">
      <alignment horizontal="center" vertical="center"/>
    </xf>
    <xf numFmtId="0" fontId="53" fillId="3" borderId="29" xfId="0" applyFont="1" applyFill="1" applyBorder="1" applyAlignment="1">
      <alignment horizontal="center" vertical="center"/>
    </xf>
    <xf numFmtId="0" fontId="31" fillId="3" borderId="36" xfId="0" applyFont="1" applyFill="1" applyBorder="1" applyAlignment="1">
      <alignment horizontal="center" vertical="center"/>
    </xf>
    <xf numFmtId="0" fontId="49" fillId="0" borderId="36" xfId="0" applyFont="1" applyBorder="1" applyAlignment="1">
      <alignment horizontal="center" vertical="center"/>
    </xf>
    <xf numFmtId="0" fontId="50" fillId="0" borderId="36" xfId="0" applyFont="1" applyBorder="1" applyAlignment="1">
      <alignment horizontal="center" vertical="center"/>
    </xf>
    <xf numFmtId="0" fontId="51" fillId="3" borderId="36" xfId="0" applyFont="1" applyFill="1" applyBorder="1" applyAlignment="1">
      <alignment horizontal="center" vertical="center"/>
    </xf>
    <xf numFmtId="49" fontId="56" fillId="3" borderId="40" xfId="0" applyNumberFormat="1" applyFont="1" applyFill="1" applyBorder="1" applyAlignment="1">
      <alignment horizontal="center" vertical="center"/>
    </xf>
    <xf numFmtId="0" fontId="2" fillId="0" borderId="41" xfId="0" applyFont="1" applyBorder="1"/>
    <xf numFmtId="0" fontId="2" fillId="0" borderId="42" xfId="0" applyFont="1" applyBorder="1"/>
    <xf numFmtId="0" fontId="2" fillId="0" borderId="44" xfId="0" applyFont="1" applyBorder="1"/>
    <xf numFmtId="0" fontId="2" fillId="0" borderId="45" xfId="0" applyFont="1" applyBorder="1"/>
    <xf numFmtId="0" fontId="2" fillId="0" borderId="61" xfId="0" applyFont="1" applyBorder="1"/>
    <xf numFmtId="0" fontId="2" fillId="0" borderId="62" xfId="0" applyFont="1" applyBorder="1"/>
    <xf numFmtId="0" fontId="2" fillId="0" borderId="63" xfId="0" applyFont="1" applyBorder="1"/>
    <xf numFmtId="0" fontId="20" fillId="0" borderId="0" xfId="0" applyFont="1" applyAlignment="1">
      <alignment horizontal="center" vertical="center"/>
    </xf>
    <xf numFmtId="0" fontId="55" fillId="3" borderId="29" xfId="0" applyFont="1" applyFill="1" applyBorder="1" applyAlignment="1">
      <alignment horizontal="center" vertical="center" wrapText="1"/>
    </xf>
    <xf numFmtId="0" fontId="60" fillId="7" borderId="57" xfId="0" applyFont="1" applyFill="1" applyBorder="1" applyAlignment="1">
      <alignment horizontal="center" vertical="center" wrapText="1"/>
    </xf>
    <xf numFmtId="0" fontId="2" fillId="0" borderId="70" xfId="0" applyFont="1" applyBorder="1"/>
    <xf numFmtId="0" fontId="54" fillId="3" borderId="29" xfId="0" applyFont="1" applyFill="1" applyBorder="1" applyAlignment="1">
      <alignment horizontal="center" vertical="center" wrapText="1"/>
    </xf>
    <xf numFmtId="0" fontId="61" fillId="5" borderId="59" xfId="0" applyFont="1" applyFill="1" applyBorder="1" applyAlignment="1">
      <alignment horizontal="center" vertical="center" wrapText="1"/>
    </xf>
    <xf numFmtId="0" fontId="2" fillId="0" borderId="72" xfId="0" applyFont="1" applyBorder="1"/>
    <xf numFmtId="0" fontId="40" fillId="14" borderId="60" xfId="0" applyFont="1" applyFill="1" applyBorder="1" applyAlignment="1">
      <alignment horizontal="center" vertical="center" wrapText="1"/>
    </xf>
    <xf numFmtId="0" fontId="2" fillId="0" borderId="73" xfId="0" applyFont="1" applyBorder="1"/>
    <xf numFmtId="0" fontId="20" fillId="3" borderId="10" xfId="0" applyFont="1" applyFill="1" applyBorder="1" applyAlignment="1">
      <alignment horizontal="center" vertical="center" wrapText="1"/>
    </xf>
    <xf numFmtId="0" fontId="78" fillId="3" borderId="10" xfId="0" applyFont="1" applyFill="1" applyBorder="1" applyAlignment="1">
      <alignment vertical="center" wrapText="1"/>
    </xf>
    <xf numFmtId="167" fontId="1" fillId="5" borderId="28" xfId="0" applyNumberFormat="1" applyFont="1" applyFill="1" applyBorder="1" applyAlignment="1">
      <alignment horizontal="center" vertical="center" wrapText="1"/>
    </xf>
    <xf numFmtId="0" fontId="2" fillId="0" borderId="83" xfId="0" applyFont="1" applyBorder="1"/>
    <xf numFmtId="0" fontId="1" fillId="2" borderId="10" xfId="0" applyFont="1" applyFill="1" applyBorder="1" applyAlignment="1">
      <alignment horizontal="center" vertical="center" wrapText="1"/>
    </xf>
    <xf numFmtId="0" fontId="1" fillId="5" borderId="28" xfId="0" applyFont="1" applyFill="1" applyBorder="1" applyAlignment="1">
      <alignment horizontal="center" vertical="center" wrapText="1"/>
    </xf>
    <xf numFmtId="0" fontId="2" fillId="0" borderId="66" xfId="0" applyFont="1" applyBorder="1"/>
    <xf numFmtId="49" fontId="1" fillId="5" borderId="28" xfId="0" applyNumberFormat="1" applyFont="1" applyFill="1" applyBorder="1" applyAlignment="1">
      <alignment horizontal="center" vertical="center" wrapText="1"/>
    </xf>
    <xf numFmtId="167" fontId="1" fillId="5" borderId="80" xfId="0" applyNumberFormat="1" applyFont="1" applyFill="1" applyBorder="1" applyAlignment="1">
      <alignment horizontal="center" vertical="center" wrapText="1"/>
    </xf>
    <xf numFmtId="0" fontId="2" fillId="0" borderId="81" xfId="0" applyFont="1" applyBorder="1"/>
    <xf numFmtId="0" fontId="2" fillId="0" borderId="82" xfId="0" applyFont="1" applyBorder="1"/>
    <xf numFmtId="0" fontId="56" fillId="3" borderId="40" xfId="0" applyFont="1" applyFill="1" applyBorder="1" applyAlignment="1">
      <alignment horizontal="left" vertical="center"/>
    </xf>
    <xf numFmtId="169" fontId="1" fillId="16" borderId="14" xfId="0" applyNumberFormat="1" applyFont="1" applyFill="1" applyBorder="1" applyAlignment="1">
      <alignment horizontal="center" vertical="center" wrapText="1"/>
    </xf>
    <xf numFmtId="0" fontId="1" fillId="17" borderId="14" xfId="0" applyFont="1" applyFill="1" applyBorder="1" applyAlignment="1">
      <alignment horizontal="center" vertical="center" wrapText="1"/>
    </xf>
    <xf numFmtId="169" fontId="1" fillId="16" borderId="80" xfId="0" applyNumberFormat="1" applyFont="1" applyFill="1" applyBorder="1" applyAlignment="1">
      <alignment horizontal="center" vertical="center" wrapText="1"/>
    </xf>
    <xf numFmtId="0" fontId="1" fillId="15" borderId="28" xfId="0" applyFont="1" applyFill="1" applyBorder="1" applyAlignment="1">
      <alignment horizontal="center" vertical="center" wrapText="1"/>
    </xf>
    <xf numFmtId="0" fontId="1" fillId="15" borderId="90" xfId="0" applyFont="1" applyFill="1" applyBorder="1" applyAlignment="1">
      <alignment horizontal="center" vertical="center" wrapText="1"/>
    </xf>
    <xf numFmtId="0" fontId="1" fillId="15" borderId="66" xfId="0" applyFont="1" applyFill="1" applyBorder="1" applyAlignment="1">
      <alignment horizontal="center" vertical="center" wrapText="1"/>
    </xf>
    <xf numFmtId="181" fontId="1" fillId="16" borderId="28" xfId="2" applyNumberFormat="1" applyFont="1" applyFill="1" applyBorder="1" applyAlignment="1">
      <alignment horizontal="center" vertical="center" wrapText="1"/>
    </xf>
    <xf numFmtId="181" fontId="1" fillId="16" borderId="90" xfId="2" applyNumberFormat="1" applyFont="1" applyFill="1" applyBorder="1" applyAlignment="1">
      <alignment horizontal="center" vertical="center" wrapText="1"/>
    </xf>
    <xf numFmtId="181" fontId="1" fillId="16" borderId="66" xfId="2" applyNumberFormat="1" applyFont="1" applyFill="1" applyBorder="1" applyAlignment="1">
      <alignment horizontal="center" vertical="center" wrapText="1"/>
    </xf>
    <xf numFmtId="169" fontId="1" fillId="16" borderId="28" xfId="0" applyNumberFormat="1" applyFont="1" applyFill="1" applyBorder="1" applyAlignment="1">
      <alignment horizontal="center" vertical="center" wrapText="1"/>
    </xf>
    <xf numFmtId="169" fontId="1" fillId="16" borderId="66" xfId="0" applyNumberFormat="1" applyFont="1" applyFill="1" applyBorder="1" applyAlignment="1">
      <alignment horizontal="center" vertical="center" wrapText="1"/>
    </xf>
    <xf numFmtId="169" fontId="84" fillId="16" borderId="28" xfId="0" applyNumberFormat="1" applyFont="1" applyFill="1" applyBorder="1" applyAlignment="1">
      <alignment horizontal="center" vertical="center" wrapText="1"/>
    </xf>
    <xf numFmtId="169" fontId="84" fillId="16" borderId="90" xfId="0" applyNumberFormat="1" applyFont="1" applyFill="1" applyBorder="1" applyAlignment="1">
      <alignment horizontal="center" vertical="center" wrapText="1"/>
    </xf>
    <xf numFmtId="169" fontId="84" fillId="16" borderId="66" xfId="0" applyNumberFormat="1" applyFont="1" applyFill="1" applyBorder="1" applyAlignment="1">
      <alignment horizontal="center" vertical="center" wrapText="1"/>
    </xf>
    <xf numFmtId="169" fontId="1" fillId="18" borderId="28" xfId="0" applyNumberFormat="1" applyFont="1" applyFill="1" applyBorder="1" applyAlignment="1">
      <alignment horizontal="center" vertical="center" wrapText="1"/>
    </xf>
    <xf numFmtId="169" fontId="1" fillId="18" borderId="90" xfId="0" applyNumberFormat="1" applyFont="1" applyFill="1" applyBorder="1" applyAlignment="1">
      <alignment horizontal="center" vertical="center" wrapText="1"/>
    </xf>
    <xf numFmtId="169" fontId="1" fillId="18" borderId="66" xfId="0" applyNumberFormat="1" applyFont="1" applyFill="1" applyBorder="1" applyAlignment="1">
      <alignment horizontal="center" vertical="center" wrapText="1"/>
    </xf>
    <xf numFmtId="0" fontId="1" fillId="2" borderId="133" xfId="0" applyFont="1" applyFill="1" applyBorder="1" applyAlignment="1">
      <alignment horizontal="center" vertical="center"/>
    </xf>
    <xf numFmtId="0" fontId="2" fillId="0" borderId="133" xfId="0" applyFont="1" applyBorder="1"/>
    <xf numFmtId="0" fontId="21" fillId="0" borderId="0" xfId="0" applyFont="1" applyAlignment="1">
      <alignment horizontal="left"/>
    </xf>
    <xf numFmtId="0" fontId="21" fillId="0" borderId="0" xfId="0" quotePrefix="1" applyFont="1" applyAlignment="1">
      <alignment horizontal="left"/>
    </xf>
    <xf numFmtId="169" fontId="87" fillId="0" borderId="0" xfId="0" applyNumberFormat="1" applyFont="1" applyAlignment="1">
      <alignment horizontal="center"/>
    </xf>
    <xf numFmtId="169" fontId="1" fillId="0" borderId="0" xfId="0" applyNumberFormat="1" applyFont="1" applyAlignment="1">
      <alignment horizontal="center"/>
    </xf>
    <xf numFmtId="0" fontId="3" fillId="0" borderId="0" xfId="0" applyFont="1"/>
    <xf numFmtId="169" fontId="20" fillId="0" borderId="0" xfId="0" applyNumberFormat="1" applyFont="1" applyAlignment="1">
      <alignment horizontal="center"/>
    </xf>
    <xf numFmtId="0" fontId="1" fillId="0" borderId="0" xfId="0" applyFont="1" applyAlignment="1">
      <alignment horizontal="center"/>
    </xf>
    <xf numFmtId="0" fontId="80" fillId="0" borderId="0" xfId="0" applyFont="1"/>
    <xf numFmtId="0" fontId="2" fillId="0" borderId="84" xfId="0" applyFont="1" applyBorder="1"/>
    <xf numFmtId="165" fontId="62" fillId="19" borderId="28" xfId="0" applyNumberFormat="1" applyFont="1" applyFill="1" applyBorder="1" applyAlignment="1">
      <alignment horizontal="center" vertical="center" wrapText="1"/>
    </xf>
    <xf numFmtId="169" fontId="1" fillId="19" borderId="28" xfId="0" applyNumberFormat="1" applyFont="1" applyFill="1" applyBorder="1" applyAlignment="1">
      <alignment horizontal="center" vertical="center" wrapText="1"/>
    </xf>
    <xf numFmtId="0" fontId="62" fillId="19" borderId="28" xfId="0" applyFont="1" applyFill="1" applyBorder="1" applyAlignment="1">
      <alignment horizontal="center" vertical="center" wrapText="1"/>
    </xf>
    <xf numFmtId="0" fontId="1" fillId="2" borderId="14" xfId="0" applyFont="1" applyFill="1" applyBorder="1" applyAlignment="1">
      <alignment horizontal="center" vertical="center"/>
    </xf>
    <xf numFmtId="0" fontId="1" fillId="5" borderId="14" xfId="0" applyFont="1" applyFill="1" applyBorder="1" applyAlignment="1">
      <alignment horizontal="center" vertical="center" wrapText="1"/>
    </xf>
    <xf numFmtId="0" fontId="1" fillId="20" borderId="80" xfId="0" applyFont="1" applyFill="1" applyBorder="1" applyAlignment="1">
      <alignment horizontal="center" vertical="center" wrapText="1"/>
    </xf>
    <xf numFmtId="0" fontId="1" fillId="6" borderId="28" xfId="0" applyFont="1" applyFill="1" applyBorder="1" applyAlignment="1">
      <alignment horizontal="center" vertical="center" wrapText="1"/>
    </xf>
    <xf numFmtId="0" fontId="34" fillId="0" borderId="0" xfId="0" applyFont="1" applyAlignment="1">
      <alignment horizontal="center" vertical="center" wrapText="1"/>
    </xf>
    <xf numFmtId="0" fontId="88" fillId="0" borderId="0" xfId="0" applyFont="1" applyAlignment="1">
      <alignment horizontal="right" vertical="center" wrapText="1"/>
    </xf>
    <xf numFmtId="0" fontId="88" fillId="0" borderId="0" xfId="0" applyFont="1" applyAlignment="1">
      <alignment horizontal="center" vertical="center" wrapText="1"/>
    </xf>
    <xf numFmtId="3" fontId="34" fillId="15" borderId="87" xfId="0" applyNumberFormat="1" applyFont="1" applyFill="1" applyBorder="1" applyAlignment="1">
      <alignment horizontal="center" vertical="center" wrapText="1"/>
    </xf>
    <xf numFmtId="171" fontId="1" fillId="5" borderId="28" xfId="0" applyNumberFormat="1" applyFont="1" applyFill="1" applyBorder="1" applyAlignment="1">
      <alignment horizontal="center" vertical="center" wrapText="1"/>
    </xf>
    <xf numFmtId="169" fontId="1" fillId="5" borderId="28" xfId="0" applyNumberFormat="1" applyFont="1" applyFill="1" applyBorder="1" applyAlignment="1">
      <alignment horizontal="center" vertical="center" wrapText="1"/>
    </xf>
    <xf numFmtId="0" fontId="12" fillId="0" borderId="0" xfId="0" applyFont="1" applyAlignment="1">
      <alignment horizontal="center" vertical="center" wrapText="1"/>
    </xf>
    <xf numFmtId="0" fontId="1" fillId="5" borderId="89" xfId="0" applyFont="1" applyFill="1" applyBorder="1" applyAlignment="1">
      <alignment horizontal="center" vertical="center" wrapText="1"/>
    </xf>
    <xf numFmtId="0" fontId="2" fillId="0" borderId="79" xfId="0" applyFont="1" applyBorder="1"/>
    <xf numFmtId="0" fontId="2" fillId="0" borderId="74" xfId="0" applyFont="1" applyBorder="1"/>
    <xf numFmtId="0" fontId="2" fillId="0" borderId="87" xfId="0" applyFont="1" applyBorder="1"/>
    <xf numFmtId="0" fontId="2" fillId="0" borderId="88" xfId="0" applyFont="1" applyBorder="1"/>
    <xf numFmtId="0" fontId="1" fillId="5" borderId="90"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1" fillId="5" borderId="89" xfId="0" quotePrefix="1" applyFont="1" applyFill="1" applyBorder="1" applyAlignment="1">
      <alignment horizontal="center" vertical="center" wrapText="1"/>
    </xf>
    <xf numFmtId="0" fontId="1" fillId="5" borderId="14" xfId="0" applyFont="1" applyFill="1" applyBorder="1" applyAlignment="1">
      <alignment horizontal="center" vertical="center"/>
    </xf>
    <xf numFmtId="3" fontId="1" fillId="5" borderId="28" xfId="0" applyNumberFormat="1" applyFont="1" applyFill="1" applyBorder="1" applyAlignment="1">
      <alignment horizontal="center" vertical="center" wrapText="1"/>
    </xf>
    <xf numFmtId="0" fontId="34" fillId="0" borderId="29" xfId="0" applyFont="1" applyBorder="1" applyAlignment="1">
      <alignment horizontal="center" vertical="center" wrapText="1"/>
    </xf>
    <xf numFmtId="0" fontId="2" fillId="0" borderId="43" xfId="0" applyFont="1" applyBorder="1"/>
    <xf numFmtId="0" fontId="34" fillId="0" borderId="30" xfId="0" applyFont="1" applyBorder="1" applyAlignment="1">
      <alignment horizontal="left" vertical="center" wrapText="1"/>
    </xf>
    <xf numFmtId="0" fontId="2" fillId="0" borderId="92" xfId="0" applyFont="1" applyBorder="1"/>
    <xf numFmtId="0" fontId="56" fillId="0" borderId="0" xfId="0" applyFont="1" applyAlignment="1">
      <alignment horizontal="center" vertical="center" wrapText="1"/>
    </xf>
    <xf numFmtId="3" fontId="1" fillId="5" borderId="28" xfId="0" applyNumberFormat="1" applyFont="1" applyFill="1" applyBorder="1" applyAlignment="1">
      <alignment horizontal="center" vertical="center"/>
    </xf>
    <xf numFmtId="3" fontId="1" fillId="5" borderId="14" xfId="0" applyNumberFormat="1" applyFont="1" applyFill="1" applyBorder="1" applyAlignment="1">
      <alignment horizontal="center" vertical="center"/>
    </xf>
    <xf numFmtId="0" fontId="2" fillId="0" borderId="93" xfId="0" applyFont="1" applyBorder="1"/>
    <xf numFmtId="178" fontId="25" fillId="0" borderId="0" xfId="0" applyNumberFormat="1" applyFont="1" applyAlignment="1">
      <alignment horizontal="center" vertical="center"/>
    </xf>
    <xf numFmtId="178" fontId="1" fillId="0" borderId="0" xfId="0" applyNumberFormat="1" applyFont="1" applyAlignment="1">
      <alignment horizontal="center" vertical="center"/>
    </xf>
    <xf numFmtId="49" fontId="1" fillId="0" borderId="0" xfId="0" applyNumberFormat="1" applyFont="1" applyAlignment="1">
      <alignment horizontal="center" vertical="center"/>
    </xf>
    <xf numFmtId="49" fontId="1" fillId="5" borderId="14" xfId="0" applyNumberFormat="1" applyFont="1" applyFill="1" applyBorder="1" applyAlignment="1">
      <alignment horizontal="center" vertical="center" wrapText="1"/>
    </xf>
    <xf numFmtId="0" fontId="1" fillId="5" borderId="14" xfId="0" applyFont="1" applyFill="1" applyBorder="1" applyAlignment="1">
      <alignment horizontal="center" wrapText="1"/>
    </xf>
    <xf numFmtId="0" fontId="16" fillId="0" borderId="0" xfId="0" applyFont="1" applyAlignment="1">
      <alignment horizontal="center" vertical="center"/>
    </xf>
    <xf numFmtId="0" fontId="1" fillId="21" borderId="28" xfId="0" applyFont="1" applyFill="1" applyBorder="1" applyAlignment="1">
      <alignment horizontal="center" vertical="center" wrapText="1"/>
    </xf>
    <xf numFmtId="49" fontId="1" fillId="21" borderId="28" xfId="0" applyNumberFormat="1" applyFont="1" applyFill="1" applyBorder="1" applyAlignment="1">
      <alignment horizontal="center" vertical="center" wrapText="1"/>
    </xf>
    <xf numFmtId="49" fontId="20" fillId="0" borderId="108" xfId="0" applyNumberFormat="1" applyFont="1" applyBorder="1" applyAlignment="1">
      <alignment vertical="center"/>
    </xf>
    <xf numFmtId="0" fontId="2" fillId="0" borderId="109" xfId="0" applyFont="1" applyBorder="1"/>
    <xf numFmtId="165" fontId="1" fillId="0" borderId="14" xfId="0" applyNumberFormat="1" applyFont="1" applyBorder="1" applyAlignment="1">
      <alignment vertical="center"/>
    </xf>
    <xf numFmtId="49" fontId="20" fillId="0" borderId="14" xfId="0" applyNumberFormat="1" applyFont="1" applyBorder="1" applyAlignment="1">
      <alignment vertical="center" wrapText="1"/>
    </xf>
    <xf numFmtId="49" fontId="20" fillId="0" borderId="110" xfId="0" applyNumberFormat="1" applyFont="1" applyBorder="1" applyAlignment="1">
      <alignment vertical="center"/>
    </xf>
    <xf numFmtId="180" fontId="1" fillId="0" borderId="14" xfId="0" applyNumberFormat="1" applyFont="1" applyBorder="1" applyAlignment="1">
      <alignment horizontal="right" vertical="center"/>
    </xf>
    <xf numFmtId="49" fontId="20" fillId="0" borderId="89" xfId="0" applyNumberFormat="1" applyFont="1" applyBorder="1" applyAlignment="1">
      <alignment horizontal="center" vertical="center" wrapText="1"/>
    </xf>
    <xf numFmtId="165" fontId="1" fillId="0" borderId="14" xfId="0" applyNumberFormat="1" applyFont="1" applyBorder="1" applyAlignment="1">
      <alignment horizontal="center" vertical="center"/>
    </xf>
    <xf numFmtId="49" fontId="20" fillId="0" borderId="1" xfId="0" applyNumberFormat="1" applyFont="1" applyBorder="1" applyAlignment="1">
      <alignment vertical="center"/>
    </xf>
    <xf numFmtId="165" fontId="1" fillId="0" borderId="14" xfId="0" applyNumberFormat="1" applyFont="1" applyBorder="1" applyAlignment="1">
      <alignment horizontal="right" vertical="center"/>
    </xf>
    <xf numFmtId="49" fontId="20" fillId="0" borderId="29" xfId="0" applyNumberFormat="1" applyFont="1" applyBorder="1" applyAlignment="1">
      <alignment horizontal="center" vertical="center" textRotation="90" wrapText="1"/>
    </xf>
    <xf numFmtId="0" fontId="2" fillId="0" borderId="114" xfId="0" applyFont="1" applyBorder="1"/>
    <xf numFmtId="0" fontId="2" fillId="0" borderId="86" xfId="0" applyFont="1" applyBorder="1"/>
    <xf numFmtId="0" fontId="2" fillId="0" borderId="115" xfId="0" applyFont="1" applyBorder="1"/>
    <xf numFmtId="49" fontId="20" fillId="0" borderId="29" xfId="0" applyNumberFormat="1" applyFont="1" applyBorder="1" applyAlignment="1">
      <alignment horizontal="center" vertical="center" textRotation="90"/>
    </xf>
    <xf numFmtId="49" fontId="20" fillId="0" borderId="14" xfId="0" applyNumberFormat="1" applyFont="1" applyBorder="1" applyAlignment="1">
      <alignment vertical="center"/>
    </xf>
    <xf numFmtId="0" fontId="27" fillId="0" borderId="79" xfId="0" applyFont="1" applyBorder="1" applyAlignment="1">
      <alignment horizontal="left" vertical="center" wrapText="1"/>
    </xf>
    <xf numFmtId="49" fontId="93" fillId="0" borderId="99" xfId="0" applyNumberFormat="1" applyFont="1" applyBorder="1" applyAlignment="1">
      <alignment horizontal="center" vertical="center"/>
    </xf>
    <xf numFmtId="0" fontId="2" fillId="0" borderId="97" xfId="0" applyFont="1" applyBorder="1"/>
    <xf numFmtId="49" fontId="1" fillId="0" borderId="1" xfId="0" applyNumberFormat="1" applyFont="1" applyBorder="1" applyAlignment="1">
      <alignment vertical="center"/>
    </xf>
    <xf numFmtId="49" fontId="1" fillId="3" borderId="20" xfId="0" applyNumberFormat="1" applyFont="1" applyFill="1" applyBorder="1" applyAlignment="1">
      <alignment horizontal="center" vertical="center"/>
    </xf>
    <xf numFmtId="0" fontId="2" fillId="0" borderId="106" xfId="0" applyFont="1" applyBorder="1"/>
    <xf numFmtId="49" fontId="84" fillId="0" borderId="14" xfId="0" applyNumberFormat="1" applyFont="1" applyBorder="1" applyAlignment="1">
      <alignment vertical="center" wrapText="1"/>
    </xf>
    <xf numFmtId="0" fontId="1" fillId="0" borderId="14" xfId="0" applyFont="1" applyBorder="1" applyAlignment="1">
      <alignment horizontal="left" vertical="center" wrapText="1"/>
    </xf>
    <xf numFmtId="49" fontId="1" fillId="0" borderId="14" xfId="0" applyNumberFormat="1" applyFont="1" applyBorder="1" applyAlignment="1">
      <alignment vertical="center" wrapText="1"/>
    </xf>
    <xf numFmtId="49" fontId="1" fillId="0" borderId="75" xfId="0" applyNumberFormat="1" applyFont="1" applyBorder="1" applyAlignment="1">
      <alignment vertical="center"/>
    </xf>
    <xf numFmtId="0" fontId="1" fillId="0" borderId="14" xfId="0" applyFont="1" applyBorder="1" applyAlignment="1">
      <alignment horizontal="left" vertical="center"/>
    </xf>
    <xf numFmtId="49" fontId="1" fillId="0" borderId="14" xfId="0" applyNumberFormat="1" applyFont="1" applyBorder="1" applyAlignment="1">
      <alignment vertical="center"/>
    </xf>
    <xf numFmtId="49" fontId="1" fillId="0" borderId="108" xfId="0" applyNumberFormat="1" applyFont="1" applyBorder="1" applyAlignment="1">
      <alignment vertical="center"/>
    </xf>
    <xf numFmtId="49" fontId="20" fillId="0" borderId="33" xfId="0" applyNumberFormat="1" applyFont="1" applyBorder="1" applyAlignment="1">
      <alignment horizontal="center" vertical="center" textRotation="90" wrapText="1"/>
    </xf>
    <xf numFmtId="169" fontId="1" fillId="0" borderId="14" xfId="0" applyNumberFormat="1" applyFont="1" applyBorder="1" applyAlignment="1">
      <alignment horizontal="left" vertical="center"/>
    </xf>
    <xf numFmtId="167" fontId="1" fillId="0" borderId="110" xfId="0" applyNumberFormat="1" applyFont="1" applyBorder="1" applyAlignment="1">
      <alignment horizontal="center" vertical="center"/>
    </xf>
    <xf numFmtId="0" fontId="2" fillId="0" borderId="127" xfId="0" applyFont="1" applyBorder="1"/>
    <xf numFmtId="49" fontId="1" fillId="0" borderId="14" xfId="0" applyNumberFormat="1" applyFont="1" applyBorder="1" applyAlignment="1">
      <alignment horizontal="center" vertical="center"/>
    </xf>
    <xf numFmtId="49" fontId="20" fillId="0" borderId="112" xfId="0" applyNumberFormat="1" applyFont="1" applyBorder="1" applyAlignment="1">
      <alignment vertical="center"/>
    </xf>
    <xf numFmtId="49" fontId="20" fillId="0" borderId="75" xfId="0" applyNumberFormat="1" applyFont="1" applyBorder="1" applyAlignment="1">
      <alignment vertical="center"/>
    </xf>
    <xf numFmtId="49" fontId="20" fillId="0" borderId="15" xfId="0" applyNumberFormat="1" applyFont="1" applyBorder="1" applyAlignment="1">
      <alignment vertical="center"/>
    </xf>
    <xf numFmtId="49" fontId="20" fillId="0" borderId="109" xfId="0" applyNumberFormat="1" applyFont="1" applyBorder="1" applyAlignment="1">
      <alignment vertical="center"/>
    </xf>
    <xf numFmtId="49" fontId="20" fillId="0" borderId="20" xfId="0" applyNumberFormat="1" applyFont="1" applyBorder="1" applyAlignment="1">
      <alignment vertical="center"/>
    </xf>
    <xf numFmtId="49" fontId="49" fillId="0" borderId="109" xfId="0" applyNumberFormat="1" applyFont="1" applyBorder="1"/>
    <xf numFmtId="0" fontId="2" fillId="0" borderId="68" xfId="0" applyFont="1" applyBorder="1"/>
    <xf numFmtId="177" fontId="95" fillId="0" borderId="110" xfId="0" applyNumberFormat="1" applyFont="1" applyBorder="1" applyAlignment="1">
      <alignment horizontal="right"/>
    </xf>
    <xf numFmtId="0" fontId="2" fillId="0" borderId="128" xfId="0" applyFont="1" applyBorder="1"/>
    <xf numFmtId="177" fontId="31" fillId="0" borderId="20" xfId="0" applyNumberFormat="1" applyFont="1" applyBorder="1" applyAlignment="1">
      <alignment horizontal="right"/>
    </xf>
    <xf numFmtId="177" fontId="31" fillId="0" borderId="14" xfId="0" applyNumberFormat="1" applyFont="1" applyBorder="1" applyAlignment="1">
      <alignment horizontal="right"/>
    </xf>
    <xf numFmtId="0" fontId="2" fillId="0" borderId="126" xfId="0" applyFont="1" applyBorder="1"/>
    <xf numFmtId="177" fontId="31" fillId="0" borderId="110" xfId="0" applyNumberFormat="1" applyFont="1" applyBorder="1" applyAlignment="1">
      <alignment horizontal="right"/>
    </xf>
    <xf numFmtId="49" fontId="94" fillId="0" borderId="75" xfId="0" applyNumberFormat="1" applyFont="1" applyBorder="1" applyAlignment="1">
      <alignment vertical="center"/>
    </xf>
    <xf numFmtId="49" fontId="94" fillId="0" borderId="108" xfId="0" applyNumberFormat="1" applyFont="1" applyBorder="1" applyAlignment="1">
      <alignment vertical="center"/>
    </xf>
    <xf numFmtId="49" fontId="49" fillId="0" borderId="110" xfId="0" applyNumberFormat="1" applyFont="1" applyBorder="1" applyAlignment="1">
      <alignment horizontal="center" vertical="center"/>
    </xf>
    <xf numFmtId="49" fontId="49" fillId="22" borderId="110" xfId="0" applyNumberFormat="1" applyFont="1" applyFill="1" applyBorder="1" applyAlignment="1">
      <alignment vertical="center" wrapText="1"/>
    </xf>
    <xf numFmtId="49" fontId="49" fillId="22" borderId="110" xfId="0" applyNumberFormat="1" applyFont="1" applyFill="1" applyBorder="1" applyAlignment="1">
      <alignment horizontal="center" vertical="center"/>
    </xf>
    <xf numFmtId="49" fontId="49" fillId="0" borderId="131" xfId="0" applyNumberFormat="1" applyFont="1" applyBorder="1" applyAlignment="1">
      <alignment horizontal="center" vertical="center"/>
    </xf>
    <xf numFmtId="49" fontId="60" fillId="11" borderId="29" xfId="0" applyNumberFormat="1" applyFont="1" applyFill="1" applyBorder="1" applyAlignment="1">
      <alignment horizontal="center" vertical="center" textRotation="90" wrapText="1"/>
    </xf>
    <xf numFmtId="49" fontId="60" fillId="12" borderId="29" xfId="0" applyNumberFormat="1" applyFont="1" applyFill="1" applyBorder="1" applyAlignment="1">
      <alignment horizontal="center" vertical="center" textRotation="90" wrapText="1"/>
    </xf>
    <xf numFmtId="49" fontId="49" fillId="0" borderId="20" xfId="0" applyNumberFormat="1" applyFont="1" applyBorder="1"/>
    <xf numFmtId="0" fontId="2" fillId="0" borderId="54" xfId="0" applyFont="1" applyBorder="1"/>
    <xf numFmtId="49" fontId="49" fillId="0" borderId="14" xfId="0" applyNumberFormat="1" applyFont="1" applyBorder="1"/>
    <xf numFmtId="49" fontId="49" fillId="0" borderId="14" xfId="0" applyNumberFormat="1" applyFont="1" applyBorder="1" applyAlignment="1">
      <alignment wrapText="1"/>
    </xf>
    <xf numFmtId="49" fontId="49" fillId="0" borderId="110" xfId="0" applyNumberFormat="1" applyFont="1" applyBorder="1"/>
    <xf numFmtId="49" fontId="49" fillId="0" borderId="75" xfId="0" applyNumberFormat="1" applyFont="1" applyBorder="1"/>
    <xf numFmtId="49" fontId="49" fillId="0" borderId="131" xfId="0" applyNumberFormat="1" applyFont="1" applyBorder="1" applyAlignment="1">
      <alignment horizontal="center" vertical="center" wrapText="1"/>
    </xf>
    <xf numFmtId="0" fontId="2" fillId="0" borderId="85" xfId="0" applyFont="1" applyBorder="1"/>
    <xf numFmtId="0" fontId="2" fillId="0" borderId="132" xfId="0" applyFont="1" applyBorder="1"/>
    <xf numFmtId="177" fontId="59" fillId="24" borderId="131" xfId="0" applyNumberFormat="1" applyFont="1" applyFill="1" applyBorder="1" applyAlignment="1">
      <alignment horizontal="center" vertical="center" wrapText="1"/>
    </xf>
    <xf numFmtId="177" fontId="67" fillId="0" borderId="20" xfId="0" applyNumberFormat="1" applyFont="1" applyBorder="1" applyAlignment="1">
      <alignment vertical="center"/>
    </xf>
    <xf numFmtId="177" fontId="67" fillId="0" borderId="110" xfId="0" applyNumberFormat="1" applyFont="1" applyBorder="1" applyAlignment="1">
      <alignment vertical="center"/>
    </xf>
    <xf numFmtId="49" fontId="60" fillId="13" borderId="1" xfId="0" applyNumberFormat="1" applyFont="1" applyFill="1" applyBorder="1" applyAlignment="1">
      <alignment vertical="center"/>
    </xf>
    <xf numFmtId="49" fontId="60" fillId="9" borderId="108" xfId="0" applyNumberFormat="1" applyFont="1" applyFill="1" applyBorder="1" applyAlignment="1">
      <alignment vertical="center"/>
    </xf>
    <xf numFmtId="49" fontId="60" fillId="23" borderId="29" xfId="0" applyNumberFormat="1" applyFont="1" applyFill="1" applyBorder="1" applyAlignment="1">
      <alignment horizontal="center" vertical="center" textRotation="90"/>
    </xf>
    <xf numFmtId="49" fontId="6" fillId="0" borderId="29" xfId="0" applyNumberFormat="1" applyFont="1" applyBorder="1" applyAlignment="1">
      <alignment horizontal="center"/>
    </xf>
    <xf numFmtId="0" fontId="2" fillId="0" borderId="123" xfId="0" applyFont="1" applyBorder="1"/>
    <xf numFmtId="0" fontId="2" fillId="0" borderId="95" xfId="0" applyFont="1" applyBorder="1"/>
    <xf numFmtId="0" fontId="2" fillId="0" borderId="124" xfId="0" applyFont="1" applyBorder="1"/>
    <xf numFmtId="0" fontId="2" fillId="0" borderId="96" xfId="0" applyFont="1" applyBorder="1"/>
    <xf numFmtId="0" fontId="27" fillId="0" borderId="30" xfId="0" applyFont="1" applyBorder="1" applyAlignment="1">
      <alignment horizontal="left" vertical="center" wrapText="1"/>
    </xf>
    <xf numFmtId="0" fontId="2" fillId="0" borderId="125" xfId="0" applyFont="1" applyBorder="1"/>
    <xf numFmtId="49" fontId="16" fillId="0" borderId="99" xfId="0" applyNumberFormat="1" applyFont="1" applyBorder="1" applyAlignment="1">
      <alignment horizontal="center" vertical="center"/>
    </xf>
    <xf numFmtId="49" fontId="94" fillId="0" borderId="1" xfId="0" applyNumberFormat="1" applyFont="1" applyBorder="1" applyAlignment="1">
      <alignment vertical="center"/>
    </xf>
    <xf numFmtId="49" fontId="49" fillId="0" borderId="14" xfId="0" applyNumberFormat="1" applyFont="1" applyBorder="1" applyAlignment="1">
      <alignment horizontal="center" vertical="center"/>
    </xf>
    <xf numFmtId="49" fontId="49" fillId="0" borderId="1" xfId="0" applyNumberFormat="1" applyFont="1" applyBorder="1"/>
    <xf numFmtId="177" fontId="52" fillId="0" borderId="20" xfId="0" applyNumberFormat="1" applyFont="1" applyBorder="1" applyAlignment="1">
      <alignment horizontal="right"/>
    </xf>
    <xf numFmtId="177" fontId="52" fillId="0" borderId="14" xfId="0" applyNumberFormat="1" applyFont="1" applyBorder="1" applyAlignment="1">
      <alignment horizontal="right"/>
    </xf>
    <xf numFmtId="49" fontId="49" fillId="0" borderId="14" xfId="0" applyNumberFormat="1" applyFont="1" applyBorder="1" applyAlignment="1">
      <alignment horizontal="center" vertical="center" wrapText="1"/>
    </xf>
    <xf numFmtId="49" fontId="61" fillId="11" borderId="14" xfId="0" applyNumberFormat="1" applyFont="1" applyFill="1" applyBorder="1" applyAlignment="1">
      <alignment horizontal="center" vertical="center"/>
    </xf>
    <xf numFmtId="49" fontId="49" fillId="4" borderId="14" xfId="0" applyNumberFormat="1" applyFont="1" applyFill="1" applyBorder="1" applyAlignment="1">
      <alignment vertical="center" wrapText="1"/>
    </xf>
    <xf numFmtId="167" fontId="49" fillId="4" borderId="14" xfId="0" applyNumberFormat="1" applyFont="1" applyFill="1" applyBorder="1" applyAlignment="1">
      <alignment horizontal="center" vertical="center"/>
    </xf>
    <xf numFmtId="49" fontId="49" fillId="0" borderId="15" xfId="0" applyNumberFormat="1" applyFont="1" applyBorder="1"/>
    <xf numFmtId="177" fontId="95" fillId="0" borderId="14" xfId="0" applyNumberFormat="1" applyFont="1" applyBorder="1" applyAlignment="1">
      <alignment horizontal="right"/>
    </xf>
    <xf numFmtId="0" fontId="14" fillId="3" borderId="63" xfId="0" applyFont="1" applyFill="1" applyBorder="1" applyAlignment="1">
      <alignment vertical="center" wrapText="1"/>
    </xf>
    <xf numFmtId="169" fontId="3" fillId="3" borderId="63" xfId="0" applyNumberFormat="1" applyFont="1" applyFill="1" applyBorder="1"/>
    <xf numFmtId="169" fontId="1" fillId="17" borderId="90" xfId="0" applyNumberFormat="1" applyFont="1" applyFill="1" applyBorder="1" applyAlignment="1">
      <alignment horizontal="center" vertical="center" wrapText="1"/>
    </xf>
    <xf numFmtId="0" fontId="6" fillId="0" borderId="63" xfId="0" applyFont="1" applyBorder="1" applyAlignment="1">
      <alignment vertical="center"/>
    </xf>
  </cellXfs>
  <cellStyles count="4">
    <cellStyle name="Bình thường 2" xfId="1" xr:uid="{00000000-0005-0000-0000-000000000000}"/>
    <cellStyle name="Comma" xfId="2" builtinId="3"/>
    <cellStyle name="Normal" xfId="0" builtinId="0"/>
    <cellStyle name="Percent" xfId="3" builtinId="5"/>
  </cellStyles>
  <dxfs count="1925">
    <dxf>
      <font>
        <b/>
      </font>
      <fill>
        <patternFill patternType="solid">
          <fgColor rgb="FFFFFF00"/>
          <bgColor rgb="FFFFFF00"/>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FFFFFF"/>
      </font>
      <fill>
        <patternFill patternType="solid">
          <fgColor rgb="FFFF0000"/>
          <bgColor rgb="FFFF0000"/>
        </patternFill>
      </fill>
    </dxf>
    <dxf>
      <font>
        <b/>
        <color rgb="FFFFFFFF"/>
      </font>
      <fill>
        <patternFill patternType="solid">
          <fgColor rgb="FFFF6D01"/>
          <bgColor rgb="FFFF6D01"/>
        </patternFill>
      </fill>
    </dxf>
    <dxf>
      <font>
        <b/>
        <color rgb="FFFFFFFF"/>
      </font>
      <fill>
        <patternFill patternType="solid">
          <fgColor rgb="FF6D9EEB"/>
          <bgColor rgb="FF6D9EEB"/>
        </patternFill>
      </fill>
    </dxf>
    <dxf>
      <fill>
        <patternFill patternType="solid">
          <fgColor rgb="FFFFFF00"/>
          <bgColor rgb="FFFFFF00"/>
        </patternFill>
      </fill>
    </dxf>
    <dxf>
      <fill>
        <patternFill patternType="solid">
          <fgColor rgb="FFFF0000"/>
          <bgColor rgb="FFFF0000"/>
        </patternFill>
      </fill>
    </dxf>
    <dxf>
      <font>
        <b/>
        <color rgb="FFFFFFFF"/>
      </font>
      <fill>
        <patternFill patternType="solid">
          <fgColor rgb="FF34A853"/>
          <bgColor rgb="FF34A853"/>
        </patternFill>
      </fill>
    </dxf>
    <dxf>
      <fill>
        <patternFill patternType="solid">
          <fgColor rgb="FFB7E1CD"/>
          <bgColor rgb="FFB7E1CD"/>
        </patternFill>
      </fill>
    </dxf>
    <dxf>
      <fill>
        <patternFill patternType="solid">
          <fgColor rgb="FFB7E1CD"/>
          <bgColor rgb="FFB7E1CD"/>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FFFF"/>
      </font>
      <fill>
        <patternFill patternType="solid">
          <fgColor rgb="FFEA4335"/>
          <bgColor rgb="FFEA4335"/>
        </patternFill>
      </fill>
    </dxf>
    <dxf>
      <font>
        <b/>
        <color rgb="FFFFFFFF"/>
      </font>
      <fill>
        <patternFill patternType="solid">
          <fgColor rgb="FFEA4335"/>
          <bgColor rgb="FFEA4335"/>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FFFF"/>
      </font>
      <fill>
        <patternFill patternType="solid">
          <fgColor theme="5"/>
          <bgColor theme="5"/>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color theme="0"/>
      </font>
      <fill>
        <patternFill patternType="solid">
          <fgColor rgb="FF4A86E8"/>
          <bgColor rgb="FF4A86E8"/>
        </patternFill>
      </fill>
    </dxf>
    <dxf>
      <font>
        <b/>
        <color rgb="FFFFFFFF"/>
      </font>
      <fill>
        <patternFill patternType="solid">
          <fgColor rgb="FF4285F4"/>
          <bgColor rgb="FF4285F4"/>
        </patternFill>
      </fill>
    </dxf>
    <dxf>
      <font>
        <b/>
        <color rgb="FFFFFFFF"/>
      </font>
      <fill>
        <patternFill patternType="solid">
          <fgColor rgb="FFFF0000"/>
          <bgColor rgb="FFFF0000"/>
        </patternFill>
      </fill>
    </dxf>
    <dxf>
      <font>
        <b/>
        <color rgb="FF000000"/>
      </font>
      <fill>
        <patternFill patternType="solid">
          <fgColor rgb="FFFFFF00"/>
          <bgColor rgb="FFFFFF00"/>
        </patternFill>
      </fill>
    </dxf>
    <dxf>
      <font>
        <b/>
        <color rgb="FFFFFFFF"/>
      </font>
      <fill>
        <patternFill patternType="solid">
          <fgColor theme="4"/>
          <bgColor theme="4"/>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sharedStrings" Target="sharedStrings.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9550" cy="25717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152400" cy="190500"/>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nhung\Downloads\Mo_The_File_nhap_thong_tin_gui_TTT_PGD%20DONG%20TAM%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1.%20My%2013.09.2022\CONCEP%20HO\https:\d.docs.live.net\H&#7879;%20th&#7889;ng%20TDN\BAN%20NGHIEM%20THU%20DONG%20GOI%20LAN%201%2030.06.2021\BAN%20NGHIEM%20THU%20DONG%20GOI%20LAN%201%2030.06.2021\CVA%20-%20H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TEMP/Ngay%2011.10/Ky%20thuat/141011_Dinh%20muc%20VinKE%20T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sktop-lape6mg\phan%20y&#7871;n\Users\thanghc\Desktop\D&#7921;%20&#225;n\D&#7921;%20&#225;n%20k&#7871;%20ho&#7841;ch%20h&#243;a\K&#7871;%20ho&#7841;ch%20VSC\VSC_Ke%20hoach%20nam%202015\Th&#7849;m%20&#273;&#7883;nh\KQT&#272;\Nhan%20su%20&amp;%20dao%20tao\VSC_%20K&#7871;%20ho&#7841;ch%20Nh&#226;n%20s&#7921;%20-%20&#272;&#224;o%20t&#7841;o_17%2004%202015%20(final%2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Zalo%20Received%20Files\Chi%20luong%20T6%20202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admin/Documents/Zalo%20Received%20Files/2020_NG&#194;N%20S&#193;CH%20V&#7852;N%20H&#192;NH.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skhlongyuth\Local%20Settings\Temporary%20Internet%20Files\OLK88\Opening%20S&amp;M%20Plan%20Template%2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b5174f3ac207f01d/T&#7853;p%20&#273;o&#224;n%20CEO/B&#225;o%20c&#225;o/K&#7871;%20ho&#7841;ch%20n&#259;m/Tr&#432;&#7901;ng%20DN%20CVA/B&#7843;ng%20l&#432;u%20v&#7871;t%20data%20m&#7851;u.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S%20ph&#250;c%20l&#7907;i%20b&#7843;ng%20k&#23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esktop-lape6mg\phan%20y&#7871;n\Users\nguyentramy\Downloads\C:\Users\Admin\Desktop\Th&#7843;o%20PC\1.%20File%20th&#7921;c%20hi&#7879;n%20c&#244;ng%20vi&#7879;c%20S&#7871;p%20y&#234;u%20c&#7847;u\C&#212;NG%20VI&#7878;C%20&#272;&#195;%20TH&#7920;C%20HI&#7878;N\C&#244;ng%20vi&#7879;c\CCSP%20v&#224;%20KH%20CPhi,%20KH%20th&#7921;c%20hi&#7879;n%20c&#244;ng%20vi&#7879;c%20BPPC%20T11.20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BHYT%20T&#7921;%20Nguy&#7879;n%20-%20Vinschool-Mau%20DN_V1-%20R1.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Budget05\Sales%20&amp;%20Marketing%20Plan\Opening%20S&amp;M%20Plan%202005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THU%20CHI.KT/2018/Thu&#7871;/Cty%20S&#417;n%20Anh/Thu&#7871;%20TNCN%202018/L&#432;&#417;ng%20S&#417;n%20Anh/Bang%20tinh%20luong%20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20Pacific%20Test%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Sofitel%20Metropole\Finance\Accounting\2009\Reporting%20Sofitel\Monthly%20Extranet\H1555%20-%20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esktop-lape6mg\phan%20y&#7871;n\Users\User\Downloads\Bang%20cham%20cong%20t12-THCS%20(4).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x%20Asia%20test%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Ecouton\Local%20Settings\Temporary%20Internet%20Files\OLK15\DPF%20Asia.xls" TargetMode="External"/></Relationships>
</file>

<file path=xl/externalLinks/_rels/externalLink19.xml.rels><?xml version="1.0" encoding="UTF-8" standalone="yes"?>
<Relationships xmlns="http://schemas.openxmlformats.org/package/2006/relationships"><Relationship Id="rId3" Type="http://schemas.openxmlformats.org/officeDocument/2006/relationships/externalLinkPath" Target="../../../../MN%20Merry%20Star/MerryStar%202026/&#272;NTT.xlsx" TargetMode="External"/><Relationship Id="rId2" Type="http://schemas.openxmlformats.org/officeDocument/2006/relationships/externalLinkPath" Target="file:///C:\Users\haong\Downloads\MS14\MN%20Merry%20Star\MerryStar%202026\&#272;NTT.xlsx" TargetMode="External"/><Relationship Id="rId1" Type="http://schemas.openxmlformats.org/officeDocument/2006/relationships/externalLinkPath" Target="/Users/haong/Downloads/MS14/MN%20Merry%20Star/MerryStar%202026/&#272;NT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esktop-lape6mg\phan%20y&#7871;n\Users\giangntt1\Documents\H&#224;nh%20ch&#237;nh\Kho\B&#225;o%20c&#225;o%20b&#225;n%20h&#224;ng%20th&#225;ng%209-2014%20CSKH.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05FCE3FE\131119%20NS%20Doanh%20thu%20Gia%20von_Vi%20du%20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Ki&#7875;m%20k&#234;%20kho%20TC%20ng&#224;y%2031.1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o%20D%20chuyen%20ve/Almaz/141011_NS%20Doanh%20thu%20Almaz.xlsb"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H&#7852;P%20LI&#7878;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heet2"/>
      <sheetName val="Sheet5"/>
      <sheetName val="info"/>
      <sheetName val="cover"/>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C.CVA.0013"/>
      <sheetName val="CC.CVA.0015"/>
      <sheetName val="CC.CVA.0016"/>
      <sheetName val="CC.CVA.0016.1"/>
      <sheetName val="CC.CVA.0017"/>
      <sheetName val="CC.CVA.0082"/>
      <sheetName val="CC.CVA.0085"/>
      <sheetName val="CC.CVA.0106"/>
      <sheetName val="CC.CVA.0109"/>
      <sheetName val="CC.CVA.0122"/>
      <sheetName val="CC.CVA.0125"/>
      <sheetName val="CC.CVA.0140"/>
      <sheetName val="CC.CVA.0141"/>
      <sheetName val="CC.CVA.0142"/>
      <sheetName val="CC.CVA.0143.1"/>
      <sheetName val="CC.CVA.0143.2"/>
      <sheetName val="CC.CVA.0143.3"/>
      <sheetName val="CC.CVA.0143.4"/>
      <sheetName val="CC.CVA.0144.1"/>
      <sheetName val="CC.CVA.0144.2"/>
      <sheetName val="CC.CVA.0144.3"/>
      <sheetName val="CC.CVA.0144.4"/>
      <sheetName val="CC.CVA.0145"/>
      <sheetName val="CC.CVA.0146.1"/>
      <sheetName val="CC.CVA.0146.2"/>
      <sheetName val="CC.CVA.0146.3"/>
      <sheetName val="CC.CVA.0146.4"/>
      <sheetName val="CC.CVA.TH"/>
      <sheetName val="CC.CVA.0147"/>
      <sheetName val="CC.CVA.0148"/>
      <sheetName val="CC.CVA.0149"/>
      <sheetName val="CC.CVA.0150"/>
      <sheetName val="CC.CVA.0151"/>
      <sheetName val="CC.CVA.0152"/>
      <sheetName val="CC.CVA.0153"/>
      <sheetName val="CC.CVA.0154"/>
      <sheetName val="CC.CVA.0155"/>
      <sheetName val="CC.CVA.0156.1"/>
      <sheetName val="CC.CVA.0157"/>
      <sheetName val="CC.CVA.0158"/>
      <sheetName val="CC.CVA.0158.1"/>
      <sheetName val="CC.CVA.0158.2"/>
      <sheetName val="CC.CVA.0161"/>
      <sheetName val="CC.CVA.0162"/>
      <sheetName val="CC.CVA.0163"/>
      <sheetName val="CC.CVA.0164"/>
      <sheetName val="CC.CVA.0165.1"/>
      <sheetName val="CC.CVA.0165.2"/>
      <sheetName val="CC.CVA.0165.3"/>
      <sheetName val="CC.CVA.0165.4"/>
      <sheetName val="CC.CVA.0165.5"/>
      <sheetName val="CC.CVA.0166.1"/>
      <sheetName val="CC.CVA.0166.2"/>
      <sheetName val="CC.CVA.0167"/>
      <sheetName val="CC.CVA.0168"/>
      <sheetName val="CC.CVA.0169"/>
      <sheetName val="CC.CVA.0170"/>
      <sheetName val="CC.CVA.0172"/>
      <sheetName val="CC.CVA.0173"/>
      <sheetName val="CC.CVA.0174"/>
      <sheetName val="CC.CVA.0175"/>
      <sheetName val="CC.CVA.0176"/>
      <sheetName val="CC.CVA.0177"/>
      <sheetName val="CC.CVA.0178"/>
      <sheetName val="CC.CVA.0179"/>
      <sheetName val="CC.CVA.0180"/>
      <sheetName val="CC.CVA.0181"/>
      <sheetName val="CC.CVA.0182"/>
      <sheetName val="CC.CVA.0183"/>
      <sheetName val="CC.CVA.0184.1"/>
      <sheetName val="CC.CVA.0184.2"/>
      <sheetName val="CC.CVA.0184.3"/>
      <sheetName val="CC.CVA.0184.4"/>
      <sheetName val="CC.CVA.0184.5"/>
      <sheetName val="CC.CVA.0185"/>
      <sheetName val="CC.CVA.0186.1"/>
      <sheetName val="CC.CVA.0186.2"/>
      <sheetName val="CC.CVA.0187"/>
      <sheetName val="CC.CVA.0188"/>
      <sheetName val="CC.CVA.0189"/>
      <sheetName val="CC.CVA.0190"/>
      <sheetName val="CC.CVA.0191"/>
      <sheetName val="CC.CVA.0192"/>
      <sheetName val="CC.CVA.0193"/>
      <sheetName val="CC.CVA.0194"/>
      <sheetName val="CC.CVA.0196"/>
      <sheetName val="CC.CVA.0197"/>
      <sheetName val="CC.CVA.0198"/>
      <sheetName val="CC.CVA.0199"/>
      <sheetName val="CC.CVA.0200"/>
      <sheetName val="CC.CVA.0201.1"/>
      <sheetName val="CC.CVA.0201.2"/>
      <sheetName val="CC.CVA.0201.3"/>
      <sheetName val="CC.CVA.0202.1"/>
      <sheetName val="CC.CVA.0202.2"/>
      <sheetName val="CC.CVA.0203"/>
      <sheetName val="CC.CVA.0204"/>
      <sheetName val="CC.CVA.0205"/>
      <sheetName val="CC.CVA.0206"/>
      <sheetName val="CC.CVA.0207"/>
      <sheetName val="CC.CVA.0208"/>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o cao dinh muc"/>
      <sheetName val="Dien"/>
      <sheetName val="Diezel"/>
      <sheetName val="Nuoc"/>
      <sheetName val="BD thang may"/>
      <sheetName val="BD may ..."/>
      <sheetName val="info"/>
      <sheetName val="So lieu thuc te"/>
      <sheetName val="VTVL"/>
      <sheetName val="List Ma phi - ma bp"/>
      <sheetName val="Backup"/>
      <sheetName val="Chỉ tiêu tuyển dụng 201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Định biên_Tuyển dụng"/>
      <sheetName val="Chỉ tiêu tuyển dụng 2015"/>
      <sheetName val="KH Tuyển dụng"/>
      <sheetName val="Đào tạo"/>
      <sheetName val="Backup"/>
      <sheetName val="Sheet1"/>
      <sheetName val="Sheet2"/>
      <sheetName val="L"/>
      <sheetName val="MASTER1"/>
      <sheetName val="DB FEE"/>
      <sheetName val="BHYT Tự Nguyện - Vinschool-Mau "/>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án giá trị vào đây để TT"/>
      <sheetName val="Sheet1"/>
      <sheetName val="Sheet2"/>
      <sheetName val="Soạn lệnh"/>
      <sheetName val="DSid"/>
      <sheetName val="dstinhNH"/>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
      <sheetName val="S01"/>
      <sheetName val="định mức C1"/>
      <sheetName val="Ke hoach kinh doanh "/>
      <sheetName val="Tra giá"/>
      <sheetName val="Refresh"/>
      <sheetName val="Trang bìa"/>
      <sheetName val="MASTER1"/>
      <sheetName val="Review"/>
      <sheetName val="MASTER2"/>
      <sheetName val="Bảng mã"/>
      <sheetName val="Chi tiết"/>
      <sheetName val="Theo dõi Ngân sách"/>
      <sheetName val="DATA"/>
      <sheetName val="KPIs"/>
      <sheetName val="Mục tiêu BP"/>
      <sheetName val="Notes"/>
      <sheetName val="Form cập nhật giá thiếu"/>
      <sheetName val="KH nhân sự"/>
      <sheetName val="yeu cau giai thich"/>
      <sheetName val="Dv mua ngoài"/>
      <sheetName val="Chi phí khác"/>
      <sheetName val="KH mua CCDC"/>
      <sheetName val="CP vật tư, vật liệu"/>
      <sheetName val="Sửa chữa bd"/>
      <sheetName val="nuoc SH"/>
      <sheetName val="dien SH"/>
      <sheetName val="NS Học phẩm TiH"/>
      <sheetName val="NS Học phẩm THCS"/>
      <sheetName val="Định mức các sự kiện"/>
      <sheetName val="Điện"/>
      <sheetName val="Nuoc &amp; nang luong"/>
      <sheetName val="Nước nóng"/>
      <sheetName val="Mẫu thống kê quá khứ -Nước"/>
      <sheetName val="Mẫu thống kê quá khứ - Điện"/>
      <sheetName val="Mẫu định mức"/>
      <sheetName val="Nước lạnh"/>
      <sheetName val="Miễn phí cho khách"/>
      <sheetName val="Bảo hiểm ts"/>
      <sheetName val="Sales &amp; Marketing"/>
      <sheetName val="KH mua TSCĐ"/>
      <sheetName val="Sheet2"/>
      <sheetName val="List Ma phi - ma bp"/>
      <sheetName val="2020_NGÂN SÁCH VẬN HÀNH"/>
      <sheetName val="Backup"/>
      <sheetName val="Chỉ tiêu tuyển dụng 2015"/>
      <sheetName val="cover"/>
      <sheetName val="Accue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S"/>
      <sheetName val="L"/>
      <sheetName val="MASTER1"/>
      <sheetName val="DB FEE"/>
      <sheetName val="BHYT Tự Nguyện - Vinschool-Mau "/>
      <sheetName val="Opening S&amp;M Plan Template  "/>
      <sheetName val="DÁNH SÁCH NHÂN CÔ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ƯU VẾT"/>
      <sheetName val="Mẫu báo cáo"/>
      <sheetName val="Bảng định nghĩa các khái niệm"/>
      <sheetName val="Bảng đo thông số xấu"/>
      <sheetName val="Bài tập"/>
      <sheetName val="cover"/>
      <sheetName val="Accueil"/>
    </sheetNames>
    <sheetDataSet>
      <sheetData sheetId="0"/>
      <sheetData sheetId="1"/>
      <sheetData sheetId="2"/>
      <sheetData sheetId="3"/>
      <sheetData sheetId="4"/>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phúc lợi bảng kê"/>
    </sheetNames>
    <definedNames>
      <definedName name="days"/>
      <definedName name="weekdays_reversed"/>
      <definedName name="week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TC và KHTH Tháng 1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u_so"/>
      <sheetName val="Mẫu DN"/>
      <sheetName val="MasterData"/>
      <sheetName val="DB FEE"/>
      <sheetName val="Danh mục"/>
      <sheetName val="Hướng dẫn sử dụng"/>
      <sheetName val="4Code"/>
      <sheetName val="Sheet1"/>
      <sheetName val="Sheet2"/>
      <sheetName val="BHYT Tự Nguyện - Vinschool-Mau "/>
      <sheetName val="Backup"/>
      <sheetName val="Khu vuc"/>
      <sheetName val="DS"/>
      <sheetName val="LƯU VẾT"/>
      <sheetName val="cover"/>
      <sheetName val="DÁNH SÁCH NHÂN CÔNG"/>
      <sheetName val="info"/>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ueil"/>
      <sheetName val="DB FEE"/>
      <sheetName val="BHYT Tự Nguyện - Vinschool-Mau "/>
      <sheetName val="LƯU VẾT"/>
      <sheetName val="DÁNH SÁCH NHÂN CÔNG"/>
      <sheetName val="Paramet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ONG"/>
      <sheetName val="C.ăn 1-T"/>
      <sheetName val="C.ăn 2-T"/>
      <sheetName val="C.ăn 3-T"/>
      <sheetName val="C.ăn 4-T"/>
      <sheetName val="C.ăn 5-T"/>
      <sheetName val="C.ăn 6-T"/>
      <sheetName val="C.ăn 7-T"/>
      <sheetName val="C.ăn 8-T"/>
      <sheetName val="BẢNG TÍNH LƯƠNG"/>
      <sheetName val="BẢNG TT LƯƠNG"/>
      <sheetName val="HỢP ĐỒNG"/>
      <sheetName val="QĐ"/>
      <sheetName val="TLHĐ"/>
      <sheetName val="CAMKET23"/>
      <sheetName val="DÁNH SÁCH NHÂN CÔNG"/>
      <sheetName val="DB FEE"/>
      <sheetName val="BHYT Tự Nguyện - Vinschool-Mau "/>
      <sheetName val="Ma_hs "/>
      <sheetName val="Ma Hàng"/>
      <sheetName val="LƯU VẾT"/>
      <sheetName val="Parame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Accueil"/>
      <sheetName val="DB FEE"/>
      <sheetName val="BHYT Tự Nguyện - Vinschool-Mau "/>
      <sheetName val="DÁNH SÁCH NHÂN CÔNG"/>
      <sheetName val="Calenda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Accueil"/>
      <sheetName val="Calendar"/>
    </sheet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 val="máy"/>
      <sheetName val="T8-công thực tế (2)"/>
      <sheetName val="T8-công thực tế TA check"/>
      <sheetName val="t12"/>
      <sheetName val="máy t12"/>
      <sheetName val="t1 2019"/>
      <sheetName val="máy_t12"/>
      <sheetName val="T8-công_thực_tế_(2)"/>
      <sheetName val="T8-công_thực_tế_TA_check"/>
      <sheetName val="t1_2019"/>
      <sheetName val="T8-công_thực_tế_(2)1"/>
      <sheetName val="T8-công_thực_tế_TA_check1"/>
      <sheetName val="máy_t121"/>
      <sheetName val="t1_20191"/>
      <sheetName val="T8-công_thực_tế_(2)2"/>
      <sheetName val="T8-công_thực_tế_TA_check2"/>
      <sheetName val="máy_t122"/>
      <sheetName val="t1_20192"/>
      <sheetName val="T8-công_thực_tế_(2)4"/>
      <sheetName val="T8-công_thực_tế_TA_check4"/>
      <sheetName val="máy_t124"/>
      <sheetName val="t1_20194"/>
      <sheetName val="T8-công_thực_tế_(2)3"/>
      <sheetName val="T8-công_thực_tế_TA_check3"/>
      <sheetName val="máy_t123"/>
      <sheetName val="t1_20193"/>
      <sheetName val="T8-công_thực_tế_(2)5"/>
      <sheetName val="T8-công_thực_tế_TA_check5"/>
      <sheetName val="máy_t125"/>
      <sheetName val="t1_20195"/>
      <sheetName val="T8-công_thực_tế_(2)6"/>
      <sheetName val="T8-công_thực_tế_TA_check6"/>
      <sheetName val="máy_t126"/>
      <sheetName val="t1_20196"/>
      <sheetName val="T8-công_thực_tế_(2)8"/>
      <sheetName val="T8-công_thực_tế_TA_check8"/>
      <sheetName val="máy_t128"/>
      <sheetName val="t1_20198"/>
      <sheetName val="T8-công_thực_tế_(2)7"/>
      <sheetName val="T8-công_thực_tế_TA_check7"/>
      <sheetName val="máy_t127"/>
      <sheetName val="t1_20197"/>
      <sheetName val="T8-công_thực_tế_(2)9"/>
      <sheetName val="T8-công_thực_tế_TA_check9"/>
      <sheetName val="máy_t129"/>
      <sheetName val="t1_20199"/>
      <sheetName val="T8-công_thực_tế_(2)10"/>
      <sheetName val="T8-công_thực_tế_TA_check10"/>
      <sheetName val="máy_t1210"/>
      <sheetName val="t1_201910"/>
      <sheetName val="T8-công_thực_tế_(2)11"/>
      <sheetName val="T8-công_thực_tế_TA_check11"/>
      <sheetName val="máy_t1211"/>
      <sheetName val="t1_201911"/>
      <sheetName val="T8-công_thực_tế_(2)12"/>
      <sheetName val="T8-công_thực_tế_TA_check12"/>
      <sheetName val="máy_t1212"/>
      <sheetName val="t1_201912"/>
      <sheetName val="T8-công_thực_tế_(2)15"/>
      <sheetName val="T8-công_thực_tế_TA_check15"/>
      <sheetName val="máy_t1215"/>
      <sheetName val="t1_201915"/>
      <sheetName val="T8-công_thực_tế_(2)13"/>
      <sheetName val="T8-công_thực_tế_TA_check13"/>
      <sheetName val="máy_t1213"/>
      <sheetName val="t1_201913"/>
      <sheetName val="T8-công_thực_tế_(2)14"/>
      <sheetName val="T8-công_thực_tế_TA_check14"/>
      <sheetName val="máy_t1214"/>
      <sheetName val="t1_201914"/>
      <sheetName val="T8-công_thực_tế_(2)16"/>
      <sheetName val="T8-công_thực_tế_TA_check16"/>
      <sheetName val="máy_t1216"/>
      <sheetName val="t1_201916"/>
      <sheetName val="T8-công_thực_tế_(2)17"/>
      <sheetName val="T8-công_thực_tế_TA_check17"/>
      <sheetName val="máy_t1217"/>
      <sheetName val="t1_201917"/>
      <sheetName val="T8-công_thực_tế_(2)18"/>
      <sheetName val="T8-công_thực_tế_TA_check18"/>
      <sheetName val="máy_t1218"/>
      <sheetName val="t1_201918"/>
      <sheetName val="T8-công_thực_tế_(2)19"/>
      <sheetName val="T8-công_thực_tế_TA_check19"/>
      <sheetName val="máy_t1219"/>
      <sheetName val="t1_201919"/>
      <sheetName val="T8-công_thực_tế_(2)20"/>
      <sheetName val="T8-công_thực_tế_TA_check20"/>
      <sheetName val="máy_t1220"/>
      <sheetName val="t1_201920"/>
      <sheetName val="DB FEE"/>
      <sheetName val="BHYT Tự Nguyện - Vinschool-Mau "/>
      <sheetName val="Parameter"/>
      <sheetName val="Accueil"/>
      <sheetName val="DÁNH SÁCH NHÂN CÔNG"/>
      <sheetName val="2004"/>
      <sheetName val="2005"/>
    </sheetNames>
    <sheetDataSet>
      <sheetData sheetId="0"/>
      <sheetData sheetId="1" refreshError="1"/>
      <sheetData sheetId="2"/>
      <sheetData sheetId="3"/>
      <sheetData sheetId="4" refreshError="1"/>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2004"/>
      <sheetName val="2005"/>
      <sheetName val="Calendar"/>
      <sheetName val="Chọn Công 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
      <sheetName val="2005"/>
      <sheetName val="Parameter"/>
      <sheetName val="Calendar"/>
      <sheetName val="DÁNH SÁCH NHÂN CÔNG"/>
      <sheetName val="Chọn Công ty"/>
      <sheetName val="Ma_hs "/>
      <sheetName val="Ma Hà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Hàng"/>
      <sheetName val="Nhap Hàng"/>
      <sheetName val="Xuat Hàng"/>
      <sheetName val="Tong hop NXT_vat_tu"/>
      <sheetName val="Tong_hop_xuat_theo_lop"/>
      <sheetName val="Ma_hs "/>
      <sheetName val="Tong_hop_xuat_theo_HS"/>
      <sheetName val="Calendar"/>
      <sheetName val="Parameter"/>
      <sheetName val="MaDP"/>
      <sheetName val="Chọn Công ty"/>
      <sheetName val="Backup"/>
      <sheetName val="Chỉ tiêu tuyển dụng 2015"/>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1119 NS Doanh thu Gia von_Vi "/>
      <sheetName val="2004"/>
      <sheetName val="2005"/>
      <sheetName val="Parameter"/>
      <sheetName val="MaDP"/>
    </sheetNames>
    <sheetDataSet>
      <sheetData sheetId="0" refreshError="1"/>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DP"/>
      <sheetName val="Nhap DP"/>
      <sheetName val="Xuat DP"/>
      <sheetName val="Tong hop NXT_vat_tu"/>
      <sheetName val="Tong_hop_xuat_theo_lop"/>
      <sheetName val="Ma_hs "/>
      <sheetName val="Tong_hop_xuat_theo_HS"/>
      <sheetName val="Kiểm kê kho TC ngày 31.12"/>
      <sheetName val="Bộ mã"/>
      <sheetName val="MASTER"/>
      <sheetName val="Chọn Công ty"/>
      <sheetName val="Parameter"/>
      <sheetName val="Ma Hàng"/>
      <sheetName val="L"/>
      <sheetName val="MASTER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Hach toan"/>
      <sheetName val="nha hang  TQ Jade"/>
      <sheetName val="nha hang "/>
      <sheetName val="Refresh"/>
      <sheetName val="MASTER1"/>
      <sheetName val="MASTER2"/>
      <sheetName val="DATA"/>
      <sheetName val="List"/>
      <sheetName val="RentRoll"/>
      <sheetName val="KPIs"/>
      <sheetName val="RentRate"/>
      <sheetName val="MgntRate"/>
      <sheetName val="TopTen"/>
      <sheetName val="Industry"/>
      <sheetName val="Relation"/>
      <sheetName val="InternalRev"/>
      <sheetName val="141011_NS Doanh thu Alma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ẬP LIỆU"/>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showGridLines="0" workbookViewId="0">
      <selection activeCell="C7" sqref="C7"/>
    </sheetView>
  </sheetViews>
  <sheetFormatPr defaultColWidth="12.6640625" defaultRowHeight="15" customHeight="1" x14ac:dyDescent="0.25"/>
  <cols>
    <col min="1" max="1" width="7.6640625" customWidth="1"/>
    <col min="2" max="2" width="36.109375" customWidth="1"/>
    <col min="3" max="3" width="38.21875" customWidth="1"/>
  </cols>
  <sheetData>
    <row r="1" spans="1:3" ht="33.75" customHeight="1" x14ac:dyDescent="0.25">
      <c r="A1" s="518" t="s">
        <v>0</v>
      </c>
      <c r="B1" s="508"/>
      <c r="C1" s="509"/>
    </row>
    <row r="2" spans="1:3" ht="31.5" customHeight="1" x14ac:dyDescent="0.25">
      <c r="A2" s="1" t="s">
        <v>1</v>
      </c>
      <c r="B2" s="2" t="s">
        <v>2</v>
      </c>
      <c r="C2" s="3" t="s">
        <v>3</v>
      </c>
    </row>
    <row r="3" spans="1:3" ht="30" customHeight="1" x14ac:dyDescent="0.3">
      <c r="A3" s="4">
        <v>1</v>
      </c>
      <c r="B3" s="5" t="s">
        <v>4</v>
      </c>
      <c r="C3" s="6" t="s">
        <v>5</v>
      </c>
    </row>
    <row r="4" spans="1:3" ht="30" customHeight="1" x14ac:dyDescent="0.3">
      <c r="A4" s="4">
        <v>2</v>
      </c>
      <c r="B4" s="5" t="s">
        <v>6</v>
      </c>
      <c r="C4" s="6" t="s">
        <v>7</v>
      </c>
    </row>
    <row r="5" spans="1:3" ht="30" customHeight="1" x14ac:dyDescent="0.3">
      <c r="A5" s="4">
        <v>3</v>
      </c>
      <c r="B5" s="5" t="s">
        <v>8</v>
      </c>
      <c r="C5" s="6" t="s">
        <v>9</v>
      </c>
    </row>
    <row r="6" spans="1:3" ht="30" customHeight="1" x14ac:dyDescent="0.3">
      <c r="A6" s="4">
        <v>4</v>
      </c>
      <c r="B6" s="5" t="s">
        <v>316</v>
      </c>
      <c r="C6" s="7" t="s">
        <v>10</v>
      </c>
    </row>
    <row r="7" spans="1:3" ht="30" customHeight="1" x14ac:dyDescent="0.3">
      <c r="A7" s="4">
        <v>5</v>
      </c>
      <c r="B7" s="5" t="s">
        <v>11</v>
      </c>
      <c r="C7" s="6" t="s">
        <v>12</v>
      </c>
    </row>
    <row r="8" spans="1:3" ht="30" customHeight="1" x14ac:dyDescent="0.3">
      <c r="A8" s="4">
        <v>6</v>
      </c>
      <c r="B8" s="5" t="s">
        <v>13</v>
      </c>
      <c r="C8" s="6" t="s">
        <v>14</v>
      </c>
    </row>
    <row r="9" spans="1:3" ht="30" customHeight="1" x14ac:dyDescent="0.3">
      <c r="A9" s="4">
        <v>7</v>
      </c>
      <c r="B9" s="5" t="s">
        <v>15</v>
      </c>
      <c r="C9" s="7" t="s">
        <v>16</v>
      </c>
    </row>
    <row r="10" spans="1:3" ht="30" customHeight="1" x14ac:dyDescent="0.3">
      <c r="A10" s="4">
        <v>8</v>
      </c>
      <c r="B10" s="5" t="s">
        <v>17</v>
      </c>
      <c r="C10" s="7" t="s">
        <v>17</v>
      </c>
    </row>
    <row r="11" spans="1:3" ht="30" customHeight="1" x14ac:dyDescent="0.3">
      <c r="A11" s="8"/>
      <c r="B11" s="9"/>
      <c r="C11" s="10"/>
    </row>
    <row r="12" spans="1:3" ht="13.2" x14ac:dyDescent="0.25">
      <c r="A12" s="11"/>
    </row>
    <row r="13" spans="1:3" ht="13.2" x14ac:dyDescent="0.25">
      <c r="A13" s="11"/>
    </row>
    <row r="14" spans="1:3" ht="13.2" x14ac:dyDescent="0.25">
      <c r="A14" s="11"/>
    </row>
    <row r="15" spans="1:3" ht="13.2" x14ac:dyDescent="0.25">
      <c r="A15" s="11"/>
    </row>
    <row r="16" spans="1:3" ht="13.2" x14ac:dyDescent="0.25">
      <c r="A16" s="11"/>
    </row>
    <row r="17" spans="1:1" ht="13.2" x14ac:dyDescent="0.25">
      <c r="A17" s="11"/>
    </row>
    <row r="18" spans="1:1" ht="13.2" x14ac:dyDescent="0.25">
      <c r="A18" s="11"/>
    </row>
    <row r="19" spans="1:1" ht="13.2" x14ac:dyDescent="0.25">
      <c r="A19" s="11"/>
    </row>
    <row r="20" spans="1:1" ht="13.2" x14ac:dyDescent="0.25">
      <c r="A20" s="11"/>
    </row>
    <row r="21" spans="1:1" ht="15.75" customHeight="1" x14ac:dyDescent="0.25">
      <c r="A21" s="11"/>
    </row>
    <row r="22" spans="1:1" ht="15.75" customHeight="1" x14ac:dyDescent="0.25">
      <c r="A22" s="11"/>
    </row>
    <row r="23" spans="1:1" ht="15.75" customHeight="1" x14ac:dyDescent="0.25">
      <c r="A23" s="11"/>
    </row>
    <row r="24" spans="1:1" ht="15.75" customHeight="1" x14ac:dyDescent="0.25">
      <c r="A24" s="11"/>
    </row>
    <row r="25" spans="1:1" ht="15.75" customHeight="1" x14ac:dyDescent="0.25">
      <c r="A25" s="11"/>
    </row>
    <row r="26" spans="1:1" ht="15.75" customHeight="1" x14ac:dyDescent="0.25">
      <c r="A26" s="11"/>
    </row>
    <row r="27" spans="1:1" ht="15.75" customHeight="1" x14ac:dyDescent="0.25">
      <c r="A27" s="11"/>
    </row>
    <row r="28" spans="1:1" ht="15.75" customHeight="1" x14ac:dyDescent="0.25">
      <c r="A28" s="11"/>
    </row>
    <row r="29" spans="1:1" ht="15.75" customHeight="1" x14ac:dyDescent="0.25">
      <c r="A29" s="11"/>
    </row>
    <row r="30" spans="1:1" ht="15.75" customHeight="1" x14ac:dyDescent="0.25">
      <c r="A30" s="11"/>
    </row>
    <row r="31" spans="1:1" ht="15.75" customHeight="1" x14ac:dyDescent="0.25">
      <c r="A31" s="11"/>
    </row>
    <row r="32" spans="1:1" ht="15.75" customHeight="1" x14ac:dyDescent="0.25">
      <c r="A32" s="11"/>
    </row>
    <row r="33" spans="1:1" ht="15.75" customHeight="1" x14ac:dyDescent="0.25">
      <c r="A33" s="11"/>
    </row>
    <row r="34" spans="1:1" ht="15.75" customHeight="1" x14ac:dyDescent="0.25">
      <c r="A34" s="11"/>
    </row>
    <row r="35" spans="1:1" ht="15.75" customHeight="1" x14ac:dyDescent="0.25">
      <c r="A35" s="11"/>
    </row>
    <row r="36" spans="1:1" ht="15.75" customHeight="1" x14ac:dyDescent="0.25">
      <c r="A36" s="11"/>
    </row>
    <row r="37" spans="1:1" ht="15.75" customHeight="1" x14ac:dyDescent="0.25">
      <c r="A37" s="11"/>
    </row>
    <row r="38" spans="1:1" ht="15.75" customHeight="1" x14ac:dyDescent="0.25">
      <c r="A38" s="11"/>
    </row>
    <row r="39" spans="1:1" ht="15.75" customHeight="1" x14ac:dyDescent="0.25">
      <c r="A39" s="11"/>
    </row>
    <row r="40" spans="1:1" ht="15.75" customHeight="1" x14ac:dyDescent="0.25">
      <c r="A40" s="11"/>
    </row>
    <row r="41" spans="1:1" ht="15.75" customHeight="1" x14ac:dyDescent="0.25">
      <c r="A41" s="11"/>
    </row>
    <row r="42" spans="1:1" ht="15.75" customHeight="1" x14ac:dyDescent="0.25">
      <c r="A42" s="11"/>
    </row>
    <row r="43" spans="1:1" ht="15.75" customHeight="1" x14ac:dyDescent="0.25">
      <c r="A43" s="11"/>
    </row>
    <row r="44" spans="1:1" ht="15.75" customHeight="1" x14ac:dyDescent="0.25">
      <c r="A44" s="11"/>
    </row>
    <row r="45" spans="1:1" ht="15.75" customHeight="1" x14ac:dyDescent="0.25">
      <c r="A45" s="11"/>
    </row>
    <row r="46" spans="1:1" ht="15.75" customHeight="1" x14ac:dyDescent="0.25">
      <c r="A46" s="11"/>
    </row>
    <row r="47" spans="1:1" ht="15.75" customHeight="1" x14ac:dyDescent="0.25">
      <c r="A47" s="11"/>
    </row>
    <row r="48" spans="1:1" ht="15.75" customHeight="1" x14ac:dyDescent="0.25">
      <c r="A48" s="11"/>
    </row>
    <row r="49" spans="1:1" ht="15.75" customHeight="1" x14ac:dyDescent="0.25">
      <c r="A49" s="11"/>
    </row>
    <row r="50" spans="1:1" ht="15.75" customHeight="1" x14ac:dyDescent="0.25">
      <c r="A50" s="11"/>
    </row>
    <row r="51" spans="1:1" ht="15.75" customHeight="1" x14ac:dyDescent="0.25">
      <c r="A51" s="11"/>
    </row>
    <row r="52" spans="1:1" ht="15.75" customHeight="1" x14ac:dyDescent="0.25">
      <c r="A52" s="11"/>
    </row>
    <row r="53" spans="1:1" ht="15.75" customHeight="1" x14ac:dyDescent="0.25">
      <c r="A53" s="11"/>
    </row>
    <row r="54" spans="1:1" ht="15.75" customHeight="1" x14ac:dyDescent="0.25">
      <c r="A54" s="11"/>
    </row>
    <row r="55" spans="1:1" ht="15.75" customHeight="1" x14ac:dyDescent="0.25">
      <c r="A55" s="11"/>
    </row>
    <row r="56" spans="1:1" ht="15.75" customHeight="1" x14ac:dyDescent="0.25">
      <c r="A56" s="11"/>
    </row>
    <row r="57" spans="1:1" ht="15.75" customHeight="1" x14ac:dyDescent="0.25">
      <c r="A57" s="11"/>
    </row>
    <row r="58" spans="1:1" ht="15.75" customHeight="1" x14ac:dyDescent="0.25">
      <c r="A58" s="11"/>
    </row>
    <row r="59" spans="1:1" ht="15.75" customHeight="1" x14ac:dyDescent="0.25">
      <c r="A59" s="11"/>
    </row>
    <row r="60" spans="1:1" ht="15.75" customHeight="1" x14ac:dyDescent="0.25">
      <c r="A60" s="11"/>
    </row>
    <row r="61" spans="1:1" ht="15.75" customHeight="1" x14ac:dyDescent="0.25">
      <c r="A61" s="11"/>
    </row>
    <row r="62" spans="1:1" ht="15.75" customHeight="1" x14ac:dyDescent="0.25">
      <c r="A62" s="11"/>
    </row>
    <row r="63" spans="1:1" ht="15.75" customHeight="1" x14ac:dyDescent="0.25">
      <c r="A63" s="11"/>
    </row>
    <row r="64" spans="1:1" ht="15.75" customHeight="1" x14ac:dyDescent="0.25">
      <c r="A64" s="11"/>
    </row>
    <row r="65" spans="1:1" ht="15.75" customHeight="1" x14ac:dyDescent="0.25">
      <c r="A65" s="11"/>
    </row>
    <row r="66" spans="1:1" ht="15.75" customHeight="1" x14ac:dyDescent="0.25">
      <c r="A66" s="11"/>
    </row>
    <row r="67" spans="1:1" ht="15.75" customHeight="1" x14ac:dyDescent="0.25">
      <c r="A67" s="11"/>
    </row>
    <row r="68" spans="1:1" ht="15.75" customHeight="1" x14ac:dyDescent="0.25">
      <c r="A68" s="11"/>
    </row>
    <row r="69" spans="1:1" ht="15.75" customHeight="1" x14ac:dyDescent="0.25">
      <c r="A69" s="11"/>
    </row>
    <row r="70" spans="1:1" ht="15.75" customHeight="1" x14ac:dyDescent="0.25">
      <c r="A70" s="11"/>
    </row>
    <row r="71" spans="1:1" ht="15.75" customHeight="1" x14ac:dyDescent="0.25">
      <c r="A71" s="11"/>
    </row>
    <row r="72" spans="1:1" ht="15.75" customHeight="1" x14ac:dyDescent="0.25">
      <c r="A72" s="11"/>
    </row>
    <row r="73" spans="1:1" ht="15.75" customHeight="1" x14ac:dyDescent="0.25">
      <c r="A73" s="11"/>
    </row>
    <row r="74" spans="1:1" ht="15.75" customHeight="1" x14ac:dyDescent="0.25">
      <c r="A74" s="11"/>
    </row>
    <row r="75" spans="1:1" ht="15.75" customHeight="1" x14ac:dyDescent="0.25">
      <c r="A75" s="11"/>
    </row>
    <row r="76" spans="1:1" ht="15.75" customHeight="1" x14ac:dyDescent="0.25">
      <c r="A76" s="11"/>
    </row>
    <row r="77" spans="1:1" ht="15.75" customHeight="1" x14ac:dyDescent="0.25">
      <c r="A77" s="11"/>
    </row>
    <row r="78" spans="1:1" ht="15.75" customHeight="1" x14ac:dyDescent="0.25">
      <c r="A78" s="11"/>
    </row>
    <row r="79" spans="1:1" ht="15.75" customHeight="1" x14ac:dyDescent="0.25">
      <c r="A79" s="11"/>
    </row>
    <row r="80" spans="1:1" ht="15.75" customHeight="1" x14ac:dyDescent="0.25">
      <c r="A80" s="11"/>
    </row>
    <row r="81" spans="1:1" ht="15.75" customHeight="1" x14ac:dyDescent="0.25">
      <c r="A81" s="11"/>
    </row>
    <row r="82" spans="1:1" ht="15.75" customHeight="1" x14ac:dyDescent="0.25">
      <c r="A82" s="11"/>
    </row>
    <row r="83" spans="1:1" ht="15.75" customHeight="1" x14ac:dyDescent="0.25">
      <c r="A83" s="11"/>
    </row>
    <row r="84" spans="1:1" ht="15.75" customHeight="1" x14ac:dyDescent="0.25">
      <c r="A84" s="11"/>
    </row>
    <row r="85" spans="1:1" ht="15.75" customHeight="1" x14ac:dyDescent="0.25">
      <c r="A85" s="11"/>
    </row>
    <row r="86" spans="1:1" ht="15.75" customHeight="1" x14ac:dyDescent="0.25">
      <c r="A86" s="11"/>
    </row>
    <row r="87" spans="1:1" ht="15.75" customHeight="1" x14ac:dyDescent="0.25">
      <c r="A87" s="11"/>
    </row>
    <row r="88" spans="1:1" ht="15.75" customHeight="1" x14ac:dyDescent="0.25">
      <c r="A88" s="11"/>
    </row>
    <row r="89" spans="1:1" ht="15.75" customHeight="1" x14ac:dyDescent="0.25">
      <c r="A89" s="11"/>
    </row>
    <row r="90" spans="1:1" ht="15.75" customHeight="1" x14ac:dyDescent="0.25">
      <c r="A90" s="11"/>
    </row>
    <row r="91" spans="1:1" ht="15.75" customHeight="1" x14ac:dyDescent="0.25">
      <c r="A91" s="11"/>
    </row>
    <row r="92" spans="1:1" ht="15.75" customHeight="1" x14ac:dyDescent="0.25">
      <c r="A92" s="11"/>
    </row>
    <row r="93" spans="1:1" ht="15.75" customHeight="1" x14ac:dyDescent="0.25">
      <c r="A93" s="11"/>
    </row>
    <row r="94" spans="1:1" ht="15.75" customHeight="1" x14ac:dyDescent="0.25">
      <c r="A94" s="11"/>
    </row>
    <row r="95" spans="1:1" ht="15.75" customHeight="1" x14ac:dyDescent="0.25">
      <c r="A95" s="11"/>
    </row>
    <row r="96" spans="1:1" ht="15.75" customHeight="1" x14ac:dyDescent="0.25">
      <c r="A96" s="11"/>
    </row>
    <row r="97" spans="1:1" ht="15.75" customHeight="1" x14ac:dyDescent="0.25">
      <c r="A97" s="11"/>
    </row>
    <row r="98" spans="1:1" ht="15.75" customHeight="1" x14ac:dyDescent="0.25">
      <c r="A98" s="11"/>
    </row>
    <row r="99" spans="1:1" ht="15.75" customHeight="1" x14ac:dyDescent="0.25">
      <c r="A99" s="11"/>
    </row>
    <row r="100" spans="1:1" ht="15.75" customHeight="1" x14ac:dyDescent="0.25">
      <c r="A100" s="11"/>
    </row>
    <row r="101" spans="1:1" ht="15.75" customHeight="1" x14ac:dyDescent="0.25">
      <c r="A101" s="11"/>
    </row>
    <row r="102" spans="1:1" ht="15.75" customHeight="1" x14ac:dyDescent="0.25">
      <c r="A102" s="11"/>
    </row>
    <row r="103" spans="1:1" ht="15.75" customHeight="1" x14ac:dyDescent="0.25">
      <c r="A103" s="11"/>
    </row>
    <row r="104" spans="1:1" ht="15.75" customHeight="1" x14ac:dyDescent="0.25">
      <c r="A104" s="11"/>
    </row>
    <row r="105" spans="1:1" ht="15.75" customHeight="1" x14ac:dyDescent="0.25">
      <c r="A105" s="11"/>
    </row>
    <row r="106" spans="1:1" ht="15.75" customHeight="1" x14ac:dyDescent="0.25">
      <c r="A106" s="11"/>
    </row>
    <row r="107" spans="1:1" ht="15.75" customHeight="1" x14ac:dyDescent="0.25">
      <c r="A107" s="11"/>
    </row>
    <row r="108" spans="1:1" ht="15.75" customHeight="1" x14ac:dyDescent="0.25">
      <c r="A108" s="11"/>
    </row>
    <row r="109" spans="1:1" ht="15.75" customHeight="1" x14ac:dyDescent="0.25">
      <c r="A109" s="11"/>
    </row>
    <row r="110" spans="1:1" ht="15.75" customHeight="1" x14ac:dyDescent="0.25">
      <c r="A110" s="11"/>
    </row>
    <row r="111" spans="1:1" ht="15.75" customHeight="1" x14ac:dyDescent="0.25">
      <c r="A111" s="11"/>
    </row>
    <row r="112" spans="1:1" ht="15.75" customHeight="1" x14ac:dyDescent="0.25">
      <c r="A112" s="11"/>
    </row>
    <row r="113" spans="1:1" ht="15.75" customHeight="1" x14ac:dyDescent="0.25">
      <c r="A113" s="11"/>
    </row>
    <row r="114" spans="1:1" ht="15.75" customHeight="1" x14ac:dyDescent="0.25">
      <c r="A114" s="11"/>
    </row>
    <row r="115" spans="1:1" ht="15.75" customHeight="1" x14ac:dyDescent="0.25">
      <c r="A115" s="11"/>
    </row>
    <row r="116" spans="1:1" ht="15.75" customHeight="1" x14ac:dyDescent="0.25">
      <c r="A116" s="11"/>
    </row>
    <row r="117" spans="1:1" ht="15.75" customHeight="1" x14ac:dyDescent="0.25">
      <c r="A117" s="11"/>
    </row>
    <row r="118" spans="1:1" ht="15.75" customHeight="1" x14ac:dyDescent="0.25">
      <c r="A118" s="11"/>
    </row>
    <row r="119" spans="1:1" ht="15.75" customHeight="1" x14ac:dyDescent="0.25">
      <c r="A119" s="11"/>
    </row>
    <row r="120" spans="1:1" ht="15.75" customHeight="1" x14ac:dyDescent="0.25">
      <c r="A120" s="11"/>
    </row>
    <row r="121" spans="1:1" ht="15.75" customHeight="1" x14ac:dyDescent="0.25">
      <c r="A121" s="11"/>
    </row>
    <row r="122" spans="1:1" ht="15.75" customHeight="1" x14ac:dyDescent="0.25">
      <c r="A122" s="11"/>
    </row>
    <row r="123" spans="1:1" ht="15.75" customHeight="1" x14ac:dyDescent="0.25">
      <c r="A123" s="11"/>
    </row>
    <row r="124" spans="1:1" ht="15.75" customHeight="1" x14ac:dyDescent="0.25">
      <c r="A124" s="11"/>
    </row>
    <row r="125" spans="1:1" ht="15.75" customHeight="1" x14ac:dyDescent="0.25">
      <c r="A125" s="11"/>
    </row>
    <row r="126" spans="1:1" ht="15.75" customHeight="1" x14ac:dyDescent="0.25">
      <c r="A126" s="11"/>
    </row>
    <row r="127" spans="1:1" ht="15.75" customHeight="1" x14ac:dyDescent="0.25">
      <c r="A127" s="11"/>
    </row>
    <row r="128" spans="1:1" ht="15.75" customHeight="1" x14ac:dyDescent="0.25">
      <c r="A128" s="11"/>
    </row>
    <row r="129" spans="1:1" ht="15.75" customHeight="1" x14ac:dyDescent="0.25">
      <c r="A129" s="11"/>
    </row>
    <row r="130" spans="1:1" ht="15.75" customHeight="1" x14ac:dyDescent="0.25">
      <c r="A130" s="11"/>
    </row>
    <row r="131" spans="1:1" ht="15.75" customHeight="1" x14ac:dyDescent="0.25">
      <c r="A131" s="11"/>
    </row>
    <row r="132" spans="1:1" ht="15.75" customHeight="1" x14ac:dyDescent="0.25">
      <c r="A132" s="11"/>
    </row>
    <row r="133" spans="1:1" ht="15.75" customHeight="1" x14ac:dyDescent="0.25">
      <c r="A133" s="11"/>
    </row>
    <row r="134" spans="1:1" ht="15.75" customHeight="1" x14ac:dyDescent="0.25">
      <c r="A134" s="11"/>
    </row>
    <row r="135" spans="1:1" ht="15.75" customHeight="1" x14ac:dyDescent="0.25">
      <c r="A135" s="11"/>
    </row>
    <row r="136" spans="1:1" ht="15.75" customHeight="1" x14ac:dyDescent="0.25">
      <c r="A136" s="11"/>
    </row>
    <row r="137" spans="1:1" ht="15.75" customHeight="1" x14ac:dyDescent="0.25">
      <c r="A137" s="11"/>
    </row>
    <row r="138" spans="1:1" ht="15.75" customHeight="1" x14ac:dyDescent="0.25">
      <c r="A138" s="11"/>
    </row>
    <row r="139" spans="1:1" ht="15.75" customHeight="1" x14ac:dyDescent="0.25">
      <c r="A139" s="11"/>
    </row>
    <row r="140" spans="1:1" ht="15.75" customHeight="1" x14ac:dyDescent="0.25">
      <c r="A140" s="11"/>
    </row>
    <row r="141" spans="1:1" ht="15.75" customHeight="1" x14ac:dyDescent="0.25">
      <c r="A141" s="11"/>
    </row>
    <row r="142" spans="1:1" ht="15.75" customHeight="1" x14ac:dyDescent="0.25">
      <c r="A142" s="11"/>
    </row>
    <row r="143" spans="1:1" ht="15.75" customHeight="1" x14ac:dyDescent="0.25">
      <c r="A143" s="11"/>
    </row>
    <row r="144" spans="1:1" ht="15.75" customHeight="1" x14ac:dyDescent="0.25">
      <c r="A144" s="11"/>
    </row>
    <row r="145" spans="1:1" ht="15.75" customHeight="1" x14ac:dyDescent="0.25">
      <c r="A145" s="11"/>
    </row>
    <row r="146" spans="1:1" ht="15.75" customHeight="1" x14ac:dyDescent="0.25">
      <c r="A146" s="11"/>
    </row>
    <row r="147" spans="1:1" ht="15.75" customHeight="1" x14ac:dyDescent="0.25">
      <c r="A147" s="11"/>
    </row>
    <row r="148" spans="1:1" ht="15.75" customHeight="1" x14ac:dyDescent="0.25">
      <c r="A148" s="11"/>
    </row>
    <row r="149" spans="1:1" ht="15.75" customHeight="1" x14ac:dyDescent="0.25">
      <c r="A149" s="11"/>
    </row>
    <row r="150" spans="1:1" ht="15.75" customHeight="1" x14ac:dyDescent="0.25">
      <c r="A150" s="11"/>
    </row>
    <row r="151" spans="1:1" ht="15.75" customHeight="1" x14ac:dyDescent="0.25">
      <c r="A151" s="11"/>
    </row>
    <row r="152" spans="1:1" ht="15.75" customHeight="1" x14ac:dyDescent="0.25">
      <c r="A152" s="11"/>
    </row>
    <row r="153" spans="1:1" ht="15.75" customHeight="1" x14ac:dyDescent="0.25">
      <c r="A153" s="11"/>
    </row>
    <row r="154" spans="1:1" ht="15.75" customHeight="1" x14ac:dyDescent="0.25">
      <c r="A154" s="11"/>
    </row>
    <row r="155" spans="1:1" ht="15.75" customHeight="1" x14ac:dyDescent="0.25">
      <c r="A155" s="11"/>
    </row>
    <row r="156" spans="1:1" ht="15.75" customHeight="1" x14ac:dyDescent="0.25">
      <c r="A156" s="11"/>
    </row>
    <row r="157" spans="1:1" ht="15.75" customHeight="1" x14ac:dyDescent="0.25">
      <c r="A157" s="11"/>
    </row>
    <row r="158" spans="1:1" ht="15.75" customHeight="1" x14ac:dyDescent="0.25">
      <c r="A158" s="11"/>
    </row>
    <row r="159" spans="1:1" ht="15.75" customHeight="1" x14ac:dyDescent="0.25">
      <c r="A159" s="11"/>
    </row>
    <row r="160" spans="1:1" ht="15.75" customHeight="1" x14ac:dyDescent="0.25">
      <c r="A160" s="11"/>
    </row>
    <row r="161" spans="1:1" ht="15.75" customHeight="1" x14ac:dyDescent="0.25">
      <c r="A161" s="11"/>
    </row>
    <row r="162" spans="1:1" ht="15.75" customHeight="1" x14ac:dyDescent="0.25">
      <c r="A162" s="11"/>
    </row>
    <row r="163" spans="1:1" ht="15.75" customHeight="1" x14ac:dyDescent="0.25">
      <c r="A163" s="11"/>
    </row>
    <row r="164" spans="1:1" ht="15.75" customHeight="1" x14ac:dyDescent="0.25">
      <c r="A164" s="11"/>
    </row>
    <row r="165" spans="1:1" ht="15.75" customHeight="1" x14ac:dyDescent="0.25">
      <c r="A165" s="11"/>
    </row>
    <row r="166" spans="1:1" ht="15.75" customHeight="1" x14ac:dyDescent="0.25">
      <c r="A166" s="11"/>
    </row>
    <row r="167" spans="1:1" ht="15.75" customHeight="1" x14ac:dyDescent="0.25">
      <c r="A167" s="11"/>
    </row>
    <row r="168" spans="1:1" ht="15.75" customHeight="1" x14ac:dyDescent="0.25">
      <c r="A168" s="11"/>
    </row>
    <row r="169" spans="1:1" ht="15.75" customHeight="1" x14ac:dyDescent="0.25">
      <c r="A169" s="11"/>
    </row>
    <row r="170" spans="1:1" ht="15.75" customHeight="1" x14ac:dyDescent="0.25">
      <c r="A170" s="11"/>
    </row>
    <row r="171" spans="1:1" ht="15.75" customHeight="1" x14ac:dyDescent="0.25">
      <c r="A171" s="11"/>
    </row>
    <row r="172" spans="1:1" ht="15.75" customHeight="1" x14ac:dyDescent="0.25">
      <c r="A172" s="11"/>
    </row>
    <row r="173" spans="1:1" ht="15.75" customHeight="1" x14ac:dyDescent="0.25">
      <c r="A173" s="11"/>
    </row>
    <row r="174" spans="1:1" ht="15.75" customHeight="1" x14ac:dyDescent="0.25">
      <c r="A174" s="11"/>
    </row>
    <row r="175" spans="1:1" ht="15.75" customHeight="1" x14ac:dyDescent="0.25">
      <c r="A175" s="11"/>
    </row>
    <row r="176" spans="1:1" ht="15.75" customHeight="1" x14ac:dyDescent="0.25">
      <c r="A176" s="11"/>
    </row>
    <row r="177" spans="1:1" ht="15.75" customHeight="1" x14ac:dyDescent="0.25">
      <c r="A177" s="11"/>
    </row>
    <row r="178" spans="1:1" ht="15.75" customHeight="1" x14ac:dyDescent="0.25">
      <c r="A178" s="11"/>
    </row>
    <row r="179" spans="1:1" ht="15.75" customHeight="1" x14ac:dyDescent="0.25">
      <c r="A179" s="11"/>
    </row>
    <row r="180" spans="1:1" ht="15.75" customHeight="1" x14ac:dyDescent="0.25">
      <c r="A180" s="11"/>
    </row>
    <row r="181" spans="1:1" ht="15.75" customHeight="1" x14ac:dyDescent="0.25">
      <c r="A181" s="11"/>
    </row>
    <row r="182" spans="1:1" ht="15.75" customHeight="1" x14ac:dyDescent="0.25">
      <c r="A182" s="11"/>
    </row>
    <row r="183" spans="1:1" ht="15.75" customHeight="1" x14ac:dyDescent="0.25">
      <c r="A183" s="11"/>
    </row>
    <row r="184" spans="1:1" ht="15.75" customHeight="1" x14ac:dyDescent="0.25">
      <c r="A184" s="11"/>
    </row>
    <row r="185" spans="1:1" ht="15.75" customHeight="1" x14ac:dyDescent="0.25">
      <c r="A185" s="11"/>
    </row>
    <row r="186" spans="1:1" ht="15.75" customHeight="1" x14ac:dyDescent="0.25">
      <c r="A186" s="11"/>
    </row>
    <row r="187" spans="1:1" ht="15.75" customHeight="1" x14ac:dyDescent="0.25">
      <c r="A187" s="11"/>
    </row>
    <row r="188" spans="1:1" ht="15.75" customHeight="1" x14ac:dyDescent="0.25">
      <c r="A188" s="11"/>
    </row>
    <row r="189" spans="1:1" ht="15.75" customHeight="1" x14ac:dyDescent="0.25">
      <c r="A189" s="11"/>
    </row>
    <row r="190" spans="1:1" ht="15.75" customHeight="1" x14ac:dyDescent="0.25">
      <c r="A190" s="11"/>
    </row>
    <row r="191" spans="1:1" ht="15.75" customHeight="1" x14ac:dyDescent="0.25">
      <c r="A191" s="11"/>
    </row>
    <row r="192" spans="1:1" ht="15.75" customHeight="1" x14ac:dyDescent="0.25">
      <c r="A192" s="11"/>
    </row>
    <row r="193" spans="1:1" ht="15.75" customHeight="1" x14ac:dyDescent="0.25">
      <c r="A193" s="11"/>
    </row>
    <row r="194" spans="1:1" ht="15.75" customHeight="1" x14ac:dyDescent="0.25">
      <c r="A194" s="11"/>
    </row>
    <row r="195" spans="1:1" ht="15.75" customHeight="1" x14ac:dyDescent="0.25">
      <c r="A195" s="11"/>
    </row>
    <row r="196" spans="1:1" ht="15.75" customHeight="1" x14ac:dyDescent="0.25">
      <c r="A196" s="11"/>
    </row>
    <row r="197" spans="1:1" ht="15.75" customHeight="1" x14ac:dyDescent="0.25">
      <c r="A197" s="11"/>
    </row>
    <row r="198" spans="1:1" ht="15.75" customHeight="1" x14ac:dyDescent="0.25">
      <c r="A198" s="11"/>
    </row>
    <row r="199" spans="1:1" ht="15.75" customHeight="1" x14ac:dyDescent="0.25">
      <c r="A199" s="11"/>
    </row>
    <row r="200" spans="1:1" ht="15.75" customHeight="1" x14ac:dyDescent="0.25">
      <c r="A200" s="11"/>
    </row>
    <row r="201" spans="1:1" ht="15.75" customHeight="1" x14ac:dyDescent="0.25">
      <c r="A201" s="11"/>
    </row>
    <row r="202" spans="1:1" ht="15.75" customHeight="1" x14ac:dyDescent="0.25">
      <c r="A202" s="11"/>
    </row>
    <row r="203" spans="1:1" ht="15.75" customHeight="1" x14ac:dyDescent="0.25">
      <c r="A203" s="11"/>
    </row>
    <row r="204" spans="1:1" ht="15.75" customHeight="1" x14ac:dyDescent="0.25">
      <c r="A204" s="11"/>
    </row>
    <row r="205" spans="1:1" ht="15.75" customHeight="1" x14ac:dyDescent="0.25">
      <c r="A205" s="11"/>
    </row>
    <row r="206" spans="1:1" ht="15.75" customHeight="1" x14ac:dyDescent="0.25">
      <c r="A206" s="11"/>
    </row>
    <row r="207" spans="1:1" ht="15.75" customHeight="1" x14ac:dyDescent="0.25">
      <c r="A207" s="11"/>
    </row>
    <row r="208" spans="1:1" ht="15.75" customHeight="1" x14ac:dyDescent="0.25">
      <c r="A208" s="11"/>
    </row>
    <row r="209" spans="1:1" ht="15.75" customHeight="1" x14ac:dyDescent="0.25">
      <c r="A209" s="11"/>
    </row>
    <row r="210" spans="1:1" ht="15.75" customHeight="1" x14ac:dyDescent="0.25">
      <c r="A210" s="11"/>
    </row>
    <row r="211" spans="1:1" ht="15.75" customHeight="1" x14ac:dyDescent="0.25">
      <c r="A211" s="11"/>
    </row>
    <row r="212" spans="1:1" ht="15.75" customHeight="1" x14ac:dyDescent="0.25">
      <c r="A212" s="11"/>
    </row>
    <row r="213" spans="1:1" ht="15.75" customHeight="1" x14ac:dyDescent="0.25">
      <c r="A213" s="11"/>
    </row>
    <row r="214" spans="1:1" ht="15.75" customHeight="1" x14ac:dyDescent="0.25">
      <c r="A214" s="11"/>
    </row>
    <row r="215" spans="1:1" ht="15.75" customHeight="1" x14ac:dyDescent="0.25">
      <c r="A215" s="11"/>
    </row>
    <row r="216" spans="1:1" ht="15.75" customHeight="1" x14ac:dyDescent="0.25">
      <c r="A216" s="11"/>
    </row>
    <row r="217" spans="1:1" ht="15.75" customHeight="1" x14ac:dyDescent="0.25">
      <c r="A217" s="11"/>
    </row>
    <row r="218" spans="1:1" ht="15.75" customHeight="1" x14ac:dyDescent="0.25">
      <c r="A218" s="11"/>
    </row>
    <row r="219" spans="1:1" ht="15.75" customHeight="1" x14ac:dyDescent="0.25">
      <c r="A219" s="11"/>
    </row>
    <row r="220" spans="1:1" ht="15.75" customHeight="1" x14ac:dyDescent="0.25">
      <c r="A220" s="11"/>
    </row>
    <row r="221" spans="1:1" ht="15.75" customHeight="1" x14ac:dyDescent="0.25"/>
    <row r="222" spans="1:1" ht="15.75" customHeight="1" x14ac:dyDescent="0.25"/>
    <row r="223" spans="1:1" ht="15.75" customHeight="1" x14ac:dyDescent="0.25"/>
    <row r="224" spans="1: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C1"/>
  </mergeCells>
  <hyperlinks>
    <hyperlink ref="C3" location="null!A1" display="ĐỀ NGHỊ THANH TOÁN" xr:uid="{00000000-0004-0000-0000-000000000000}"/>
    <hyperlink ref="C4" location="null!A1" display="Bảng kê nhận lương" xr:uid="{00000000-0004-0000-0000-000001000000}"/>
    <hyperlink ref="C5" location="'3. BẢNG CHẤM CÔNG'!A1" display="3,BẢNG CHẤM CÔNG" xr:uid="{00000000-0004-0000-0000-000002000000}"/>
    <hyperlink ref="C6" location="null!A1" display="Bảng phép năm 2023" xr:uid="{00000000-0004-0000-0000-000003000000}"/>
    <hyperlink ref="C7" location="null!A1" display="Thông số TL" xr:uid="{00000000-0004-0000-0000-000004000000}"/>
    <hyperlink ref="C8" location="null!A1" display="Bảng lương" xr:uid="{00000000-0004-0000-0000-000005000000}"/>
    <hyperlink ref="C9" location="'7.Danh sách NPT'!A1" display="#'7.Danh sách NPT'!A1" xr:uid="{00000000-0004-0000-0000-000006000000}"/>
    <hyperlink ref="C10" location="'8. Phiếu lương'!A1" display="Phiếu lương" xr:uid="{00000000-0004-0000-0000-000007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80000"/>
    <outlinePr summaryBelow="0" summaryRight="0"/>
    <pageSetUpPr fitToPage="1"/>
  </sheetPr>
  <dimension ref="A1:AA1000"/>
  <sheetViews>
    <sheetView showGridLines="0" topLeftCell="A3" zoomScale="99" workbookViewId="0">
      <selection activeCell="U8" sqref="U8"/>
    </sheetView>
  </sheetViews>
  <sheetFormatPr defaultColWidth="12.6640625" defaultRowHeight="15" customHeight="1" x14ac:dyDescent="0.25"/>
  <cols>
    <col min="1" max="2" width="1.6640625" customWidth="1"/>
    <col min="3" max="3" width="12" customWidth="1"/>
    <col min="4" max="4" width="2.88671875" customWidth="1"/>
    <col min="5" max="5" width="5.6640625" customWidth="1"/>
    <col min="6" max="6" width="4.88671875" customWidth="1"/>
    <col min="7" max="7" width="3.6640625" customWidth="1"/>
    <col min="8" max="8" width="5.33203125" customWidth="1"/>
    <col min="9" max="9" width="5.109375" customWidth="1"/>
    <col min="10" max="10" width="3.109375" customWidth="1"/>
    <col min="11" max="11" width="1" customWidth="1"/>
    <col min="12" max="12" width="4.33203125" customWidth="1"/>
    <col min="13" max="13" width="0.33203125" customWidth="1"/>
    <col min="14" max="14" width="4.44140625" customWidth="1"/>
    <col min="15" max="15" width="2.33203125" customWidth="1"/>
    <col min="16" max="16" width="4.109375" customWidth="1"/>
    <col min="17" max="17" width="2.6640625" customWidth="1"/>
    <col min="18" max="19" width="3.6640625" customWidth="1"/>
    <col min="20" max="20" width="3" customWidth="1"/>
    <col min="21" max="21" width="4.33203125" customWidth="1"/>
    <col min="22" max="22" width="5.6640625" customWidth="1"/>
    <col min="23" max="23" width="4.21875" customWidth="1"/>
    <col min="24" max="24" width="6.21875" customWidth="1"/>
    <col min="25" max="27" width="3.33203125" customWidth="1"/>
  </cols>
  <sheetData>
    <row r="1" spans="1:27" ht="65.25" customHeight="1" x14ac:dyDescent="0.25">
      <c r="A1" s="519"/>
      <c r="B1" s="520"/>
      <c r="C1" s="521"/>
      <c r="D1" s="522" t="s">
        <v>18</v>
      </c>
      <c r="E1" s="520"/>
      <c r="F1" s="520"/>
      <c r="G1" s="520"/>
      <c r="H1" s="520"/>
      <c r="I1" s="520"/>
      <c r="J1" s="520"/>
      <c r="K1" s="520"/>
      <c r="L1" s="520"/>
      <c r="M1" s="520"/>
      <c r="N1" s="520"/>
      <c r="O1" s="520"/>
      <c r="P1" s="520"/>
      <c r="Q1" s="520"/>
      <c r="R1" s="520"/>
      <c r="S1" s="520"/>
      <c r="T1" s="520"/>
      <c r="U1" s="520"/>
      <c r="V1" s="520"/>
      <c r="W1" s="520"/>
      <c r="X1" s="520"/>
      <c r="Y1" s="520"/>
      <c r="Z1" s="521"/>
      <c r="AA1" s="12"/>
    </row>
    <row r="2" spans="1:27" ht="12.75" customHeight="1" x14ac:dyDescent="0.25">
      <c r="A2" s="13"/>
      <c r="B2" s="13"/>
      <c r="C2" s="14"/>
      <c r="D2" s="523" t="s">
        <v>19</v>
      </c>
      <c r="E2" s="520"/>
      <c r="F2" s="520"/>
      <c r="G2" s="520"/>
      <c r="H2" s="520"/>
      <c r="I2" s="520"/>
      <c r="J2" s="520"/>
      <c r="K2" s="520"/>
      <c r="L2" s="520"/>
      <c r="M2" s="520"/>
      <c r="N2" s="520"/>
      <c r="O2" s="520"/>
      <c r="P2" s="520"/>
      <c r="Q2" s="520"/>
      <c r="R2" s="520"/>
      <c r="S2" s="520"/>
      <c r="T2" s="520"/>
      <c r="U2" s="520"/>
      <c r="V2" s="520"/>
      <c r="W2" s="520"/>
      <c r="X2" s="520"/>
      <c r="Y2" s="520"/>
      <c r="Z2" s="521"/>
      <c r="AA2" s="13"/>
    </row>
    <row r="3" spans="1:27" ht="22.5" customHeight="1" x14ac:dyDescent="0.35">
      <c r="A3" s="15"/>
      <c r="B3" s="15"/>
      <c r="C3" s="524"/>
      <c r="D3" s="502"/>
      <c r="E3" s="16"/>
      <c r="F3" s="17"/>
      <c r="G3" s="16"/>
      <c r="H3" s="16"/>
      <c r="I3" s="16"/>
      <c r="J3" s="16"/>
      <c r="K3" s="18"/>
      <c r="L3" s="15"/>
      <c r="M3" s="525" t="str">
        <f>IF(E3="","Hà Nội, Ngày 05 Tháng 05 Năm 2026",VLOOKUP(E3,'[24]NHẬP LIỆU'!B1:M29,2,0))</f>
        <v>Hà Nội, Ngày 05 Tháng 05 Năm 2026</v>
      </c>
      <c r="N3" s="502"/>
      <c r="O3" s="502"/>
      <c r="P3" s="502"/>
      <c r="Q3" s="502"/>
      <c r="R3" s="502"/>
      <c r="S3" s="502"/>
      <c r="T3" s="502"/>
      <c r="U3" s="502"/>
      <c r="V3" s="502"/>
      <c r="W3" s="502"/>
      <c r="X3" s="502"/>
      <c r="Y3" s="502"/>
      <c r="Z3" s="502"/>
      <c r="AA3" s="19"/>
    </row>
    <row r="4" spans="1:27" ht="10.5" customHeight="1" x14ac:dyDescent="0.45">
      <c r="A4" s="15"/>
      <c r="B4" s="15"/>
      <c r="C4" s="20"/>
      <c r="D4" s="20"/>
      <c r="E4" s="20"/>
      <c r="F4" s="20"/>
      <c r="G4" s="20"/>
      <c r="H4" s="20"/>
      <c r="I4" s="20"/>
      <c r="J4" s="20"/>
      <c r="K4" s="20"/>
      <c r="L4" s="20"/>
      <c r="M4" s="20"/>
      <c r="N4" s="20"/>
      <c r="O4" s="20"/>
      <c r="P4" s="20"/>
      <c r="Q4" s="20"/>
      <c r="R4" s="20"/>
      <c r="S4" s="20"/>
      <c r="T4" s="21"/>
      <c r="U4" s="20"/>
      <c r="V4" s="20"/>
      <c r="W4" s="20"/>
      <c r="X4" s="20"/>
      <c r="Y4" s="20"/>
      <c r="Z4" s="20"/>
      <c r="AA4" s="20"/>
    </row>
    <row r="5" spans="1:27" ht="24" customHeight="1" x14ac:dyDescent="0.25">
      <c r="A5" s="13"/>
      <c r="B5" s="13"/>
      <c r="C5" s="22"/>
      <c r="D5" s="22"/>
      <c r="E5" s="22"/>
      <c r="F5" s="22"/>
      <c r="G5" s="23"/>
      <c r="H5" s="526" t="s">
        <v>5</v>
      </c>
      <c r="I5" s="502"/>
      <c r="J5" s="502"/>
      <c r="K5" s="502"/>
      <c r="L5" s="502"/>
      <c r="M5" s="502"/>
      <c r="N5" s="502"/>
      <c r="O5" s="502"/>
      <c r="P5" s="502"/>
      <c r="Q5" s="502"/>
      <c r="R5" s="502"/>
      <c r="S5" s="502"/>
      <c r="T5" s="22"/>
      <c r="U5" s="22"/>
      <c r="V5" s="22"/>
      <c r="W5" s="22"/>
      <c r="X5" s="22"/>
      <c r="Y5" s="22"/>
      <c r="Z5" s="22"/>
      <c r="AA5" s="22"/>
    </row>
    <row r="6" spans="1:27" ht="37.5" customHeight="1" x14ac:dyDescent="0.25">
      <c r="A6" s="24"/>
      <c r="B6" s="24"/>
      <c r="C6" s="25" t="s">
        <v>20</v>
      </c>
      <c r="D6" s="527" t="s">
        <v>331</v>
      </c>
      <c r="E6" s="502"/>
      <c r="F6" s="502"/>
      <c r="G6" s="502"/>
      <c r="H6" s="502"/>
      <c r="I6" s="502"/>
      <c r="J6" s="502"/>
      <c r="K6" s="502"/>
      <c r="L6" s="502"/>
      <c r="M6" s="502"/>
      <c r="N6" s="502"/>
      <c r="O6" s="502"/>
      <c r="P6" s="502"/>
      <c r="Q6" s="502"/>
      <c r="R6" s="502"/>
      <c r="S6" s="502"/>
      <c r="T6" s="502"/>
      <c r="U6" s="502"/>
      <c r="V6" s="502"/>
      <c r="W6" s="502"/>
      <c r="X6" s="502"/>
      <c r="Y6" s="502"/>
      <c r="Z6" s="26"/>
      <c r="AA6" s="26"/>
    </row>
    <row r="7" spans="1:27" ht="21.75" customHeight="1" x14ac:dyDescent="0.25">
      <c r="A7" s="24"/>
      <c r="B7" s="24"/>
      <c r="C7" s="25" t="s">
        <v>332</v>
      </c>
      <c r="K7" s="24"/>
      <c r="L7" s="24"/>
      <c r="M7" s="24"/>
      <c r="N7" s="24"/>
      <c r="O7" s="24"/>
      <c r="P7" s="24"/>
      <c r="Q7" s="24"/>
      <c r="R7" s="24"/>
      <c r="S7" s="24"/>
      <c r="T7" s="24" t="s">
        <v>21</v>
      </c>
      <c r="U7" s="24"/>
      <c r="V7" s="24"/>
      <c r="W7" s="24"/>
      <c r="X7" s="24"/>
      <c r="Y7" s="24"/>
      <c r="Z7" s="24"/>
      <c r="AA7" s="24"/>
    </row>
    <row r="8" spans="1:27" ht="22.5" customHeight="1" x14ac:dyDescent="0.25">
      <c r="A8" s="24"/>
      <c r="B8" s="24"/>
      <c r="C8" s="25" t="s">
        <v>22</v>
      </c>
      <c r="D8" s="528" t="s">
        <v>319</v>
      </c>
      <c r="E8" s="520"/>
      <c r="F8" s="520"/>
      <c r="G8" s="520"/>
      <c r="H8" s="520"/>
      <c r="I8" s="521"/>
      <c r="J8" s="24"/>
      <c r="K8" s="24"/>
      <c r="L8" s="24"/>
      <c r="M8" s="24"/>
      <c r="N8" s="24"/>
      <c r="O8" s="24"/>
      <c r="P8" s="24"/>
      <c r="Q8" s="24"/>
      <c r="R8" s="24"/>
      <c r="S8" s="24"/>
      <c r="T8" s="24"/>
      <c r="U8" s="24"/>
      <c r="V8" s="24"/>
      <c r="W8" s="24"/>
      <c r="X8" s="24"/>
      <c r="Y8" s="24"/>
      <c r="Z8" s="24"/>
      <c r="AA8" s="24"/>
    </row>
    <row r="9" spans="1:27" ht="27" customHeight="1" x14ac:dyDescent="0.25">
      <c r="A9" s="24"/>
      <c r="B9" s="24"/>
      <c r="C9" s="529" t="s">
        <v>389</v>
      </c>
      <c r="D9" s="502"/>
      <c r="E9" s="502"/>
      <c r="F9" s="502"/>
      <c r="G9" s="502"/>
      <c r="H9" s="502"/>
      <c r="I9" s="502"/>
      <c r="J9" s="502"/>
      <c r="K9" s="502"/>
      <c r="L9" s="502"/>
      <c r="M9" s="502"/>
      <c r="N9" s="502"/>
      <c r="O9" s="502"/>
      <c r="P9" s="502"/>
      <c r="Q9" s="502"/>
      <c r="R9" s="502"/>
      <c r="S9" s="502"/>
      <c r="T9" s="502"/>
      <c r="U9" s="502"/>
      <c r="V9" s="502"/>
      <c r="W9" s="502"/>
      <c r="X9" s="502"/>
      <c r="Y9" s="502"/>
      <c r="Z9" s="27"/>
      <c r="AA9" s="27"/>
    </row>
    <row r="10" spans="1:27" ht="10.5" customHeight="1"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7" ht="25.5" customHeight="1" x14ac:dyDescent="0.25">
      <c r="A11" s="24"/>
      <c r="B11" s="24"/>
      <c r="C11" s="530" t="s">
        <v>23</v>
      </c>
      <c r="D11" s="531"/>
      <c r="E11" s="531"/>
      <c r="F11" s="531"/>
      <c r="G11" s="531"/>
      <c r="H11" s="531"/>
      <c r="I11" s="531"/>
      <c r="J11" s="531"/>
      <c r="K11" s="531"/>
      <c r="L11" s="531"/>
      <c r="M11" s="532"/>
      <c r="N11" s="533" t="s">
        <v>24</v>
      </c>
      <c r="O11" s="531"/>
      <c r="P11" s="531"/>
      <c r="Q11" s="531"/>
      <c r="R11" s="531"/>
      <c r="S11" s="531"/>
      <c r="T11" s="531"/>
      <c r="U11" s="531"/>
      <c r="V11" s="531"/>
      <c r="W11" s="531"/>
      <c r="X11" s="531"/>
      <c r="Y11" s="531"/>
      <c r="Z11" s="532"/>
      <c r="AA11" s="24"/>
    </row>
    <row r="12" spans="1:27" ht="51.75" customHeight="1" x14ac:dyDescent="0.25">
      <c r="A12" s="24"/>
      <c r="B12" s="24"/>
      <c r="C12" s="534" t="s">
        <v>404</v>
      </c>
      <c r="D12" s="531"/>
      <c r="E12" s="531"/>
      <c r="F12" s="531"/>
      <c r="G12" s="531"/>
      <c r="H12" s="531"/>
      <c r="I12" s="531"/>
      <c r="J12" s="531"/>
      <c r="K12" s="531"/>
      <c r="L12" s="531"/>
      <c r="M12" s="532"/>
      <c r="N12" s="535">
        <f>'2. DS TKNH L1'!G20</f>
        <v>151759700</v>
      </c>
      <c r="O12" s="531"/>
      <c r="P12" s="531"/>
      <c r="Q12" s="531"/>
      <c r="R12" s="531"/>
      <c r="S12" s="531"/>
      <c r="T12" s="531"/>
      <c r="U12" s="531"/>
      <c r="V12" s="531"/>
      <c r="W12" s="531"/>
      <c r="X12" s="531"/>
      <c r="Y12" s="531"/>
      <c r="Z12" s="532"/>
      <c r="AA12" s="24"/>
    </row>
    <row r="13" spans="1:27" ht="25.5" customHeight="1" x14ac:dyDescent="0.25">
      <c r="A13" s="24"/>
      <c r="B13" s="24"/>
      <c r="C13" s="536" t="s">
        <v>25</v>
      </c>
      <c r="D13" s="531"/>
      <c r="E13" s="531"/>
      <c r="F13" s="531"/>
      <c r="G13" s="531"/>
      <c r="H13" s="531"/>
      <c r="I13" s="531"/>
      <c r="J13" s="531"/>
      <c r="K13" s="531"/>
      <c r="L13" s="531"/>
      <c r="M13" s="532"/>
      <c r="N13" s="538">
        <f>N12</f>
        <v>151759700</v>
      </c>
      <c r="O13" s="531"/>
      <c r="P13" s="531"/>
      <c r="Q13" s="531"/>
      <c r="R13" s="531"/>
      <c r="S13" s="531"/>
      <c r="T13" s="531"/>
      <c r="U13" s="531"/>
      <c r="V13" s="531"/>
      <c r="W13" s="531"/>
      <c r="X13" s="531"/>
      <c r="Y13" s="531"/>
      <c r="Z13" s="532"/>
      <c r="AA13" s="24"/>
    </row>
    <row r="14" spans="1:27" ht="31.5" customHeight="1" x14ac:dyDescent="0.25">
      <c r="A14" s="24"/>
      <c r="B14" s="24"/>
      <c r="C14" s="28" t="s">
        <v>26</v>
      </c>
      <c r="D14" s="539"/>
      <c r="E14" s="502"/>
      <c r="F14" s="502"/>
      <c r="G14" s="502"/>
      <c r="H14" s="502"/>
      <c r="I14" s="502"/>
      <c r="J14" s="502"/>
      <c r="K14" s="502"/>
      <c r="L14" s="502"/>
      <c r="M14" s="502"/>
      <c r="N14" s="502"/>
      <c r="O14" s="502"/>
      <c r="P14" s="502"/>
      <c r="Q14" s="502"/>
      <c r="R14" s="502"/>
      <c r="S14" s="502"/>
      <c r="T14" s="502"/>
      <c r="U14" s="502"/>
      <c r="V14" s="502"/>
      <c r="W14" s="502"/>
      <c r="X14" s="502"/>
      <c r="Y14" s="502"/>
      <c r="Z14" s="502"/>
      <c r="AA14" s="28"/>
    </row>
    <row r="15" spans="1:27" ht="39.75" customHeight="1" x14ac:dyDescent="0.25">
      <c r="A15" s="24"/>
      <c r="B15" s="24"/>
      <c r="C15" s="540" t="str">
        <f>" Đề nghị Ban lãnh đạo và phòng kế toán phê duyệt để thanh toán số tiền nêu trên. Chi tiết cụ thể như số liệu đã đề cập."</f>
        <v xml:space="preserve"> Đề nghị Ban lãnh đạo và phòng kế toán phê duyệt để thanh toán số tiền nêu trên. Chi tiết cụ thể như số liệu đã đề cập.</v>
      </c>
      <c r="D15" s="502"/>
      <c r="E15" s="502"/>
      <c r="F15" s="502"/>
      <c r="G15" s="502"/>
      <c r="H15" s="502"/>
      <c r="I15" s="502"/>
      <c r="J15" s="502"/>
      <c r="K15" s="502"/>
      <c r="L15" s="502"/>
      <c r="M15" s="502"/>
      <c r="N15" s="502"/>
      <c r="O15" s="502"/>
      <c r="P15" s="502"/>
      <c r="Q15" s="502"/>
      <c r="R15" s="502"/>
      <c r="S15" s="502"/>
      <c r="T15" s="502"/>
      <c r="U15" s="502"/>
      <c r="V15" s="502"/>
      <c r="W15" s="502"/>
      <c r="X15" s="502"/>
      <c r="Y15" s="502"/>
      <c r="Z15" s="502"/>
      <c r="AA15" s="26"/>
    </row>
    <row r="16" spans="1:27" ht="22.5" customHeight="1" x14ac:dyDescent="0.25">
      <c r="A16" s="24"/>
      <c r="B16" s="24"/>
      <c r="C16" s="541" t="s">
        <v>27</v>
      </c>
      <c r="D16" s="502"/>
      <c r="E16" s="502"/>
      <c r="F16" s="502"/>
      <c r="G16" s="502"/>
      <c r="H16" s="29" t="s">
        <v>28</v>
      </c>
      <c r="I16" s="30"/>
      <c r="J16" s="30"/>
      <c r="K16" s="30"/>
      <c r="L16" s="542" t="b">
        <v>0</v>
      </c>
      <c r="M16" s="502"/>
      <c r="N16" s="502"/>
      <c r="O16" s="30"/>
      <c r="P16" s="30"/>
      <c r="Q16" s="30"/>
      <c r="R16" s="30"/>
      <c r="S16" s="30"/>
      <c r="T16" s="30"/>
      <c r="U16" s="30"/>
      <c r="V16" s="30"/>
      <c r="W16" s="30"/>
      <c r="X16" s="30"/>
      <c r="Y16" s="24"/>
      <c r="Z16" s="24"/>
      <c r="AA16" s="24"/>
    </row>
    <row r="17" spans="1:27" ht="24" customHeight="1" x14ac:dyDescent="0.25">
      <c r="A17" s="24"/>
      <c r="B17" s="24"/>
      <c r="C17" s="502"/>
      <c r="D17" s="502"/>
      <c r="E17" s="502"/>
      <c r="F17" s="502"/>
      <c r="G17" s="502"/>
      <c r="H17" s="29" t="s">
        <v>29</v>
      </c>
      <c r="I17" s="30"/>
      <c r="J17" s="30"/>
      <c r="K17" s="30"/>
      <c r="L17" s="542" t="b">
        <v>1</v>
      </c>
      <c r="M17" s="502"/>
      <c r="N17" s="502"/>
      <c r="O17" s="30"/>
      <c r="P17" s="30"/>
      <c r="Q17" s="30"/>
      <c r="R17" s="30"/>
      <c r="S17" s="30"/>
      <c r="T17" s="30"/>
      <c r="U17" s="30"/>
      <c r="V17" s="30"/>
      <c r="W17" s="30"/>
      <c r="X17" s="30"/>
      <c r="Y17" s="24"/>
      <c r="Z17" s="24"/>
      <c r="AA17" s="24"/>
    </row>
    <row r="18" spans="1:27" ht="20.25" customHeight="1" x14ac:dyDescent="0.25">
      <c r="A18" s="24"/>
      <c r="B18" s="24"/>
      <c r="C18" s="24" t="s">
        <v>30</v>
      </c>
      <c r="D18" s="24"/>
      <c r="E18" s="24"/>
      <c r="F18" s="30"/>
      <c r="G18" s="30"/>
      <c r="H18" s="30"/>
      <c r="I18" s="30"/>
      <c r="J18" s="30"/>
      <c r="K18" s="30"/>
      <c r="L18" s="30"/>
      <c r="M18" s="30"/>
      <c r="N18" s="30"/>
      <c r="O18" s="30"/>
      <c r="P18" s="30"/>
      <c r="Q18" s="30"/>
      <c r="R18" s="30"/>
      <c r="S18" s="30"/>
      <c r="T18" s="30"/>
      <c r="U18" s="30"/>
      <c r="V18" s="30"/>
      <c r="W18" s="30"/>
      <c r="X18" s="30"/>
      <c r="Y18" s="24"/>
      <c r="Z18" s="24"/>
      <c r="AA18" s="24"/>
    </row>
    <row r="19" spans="1:27" ht="15.75" customHeight="1" x14ac:dyDescent="0.25">
      <c r="A19" s="24"/>
      <c r="B19" s="24"/>
      <c r="C19" s="541" t="s">
        <v>31</v>
      </c>
      <c r="D19" s="502"/>
      <c r="E19" s="502"/>
      <c r="F19" s="537" t="s">
        <v>32</v>
      </c>
      <c r="G19" s="502"/>
      <c r="H19" s="502"/>
      <c r="I19" s="502"/>
      <c r="J19" s="502"/>
      <c r="K19" s="502"/>
      <c r="L19" s="502"/>
      <c r="M19" s="502"/>
      <c r="N19" s="502"/>
      <c r="O19" s="502"/>
      <c r="P19" s="502"/>
      <c r="Q19" s="502"/>
      <c r="R19" s="502"/>
      <c r="S19" s="502"/>
      <c r="T19" s="502"/>
      <c r="U19" s="502"/>
      <c r="V19" s="502"/>
      <c r="W19" s="502"/>
      <c r="X19" s="502"/>
      <c r="Y19" s="24"/>
      <c r="Z19" s="24"/>
      <c r="AA19" s="24"/>
    </row>
    <row r="20" spans="1:27" ht="15.75" customHeight="1" x14ac:dyDescent="0.25">
      <c r="A20" s="24"/>
      <c r="B20" s="24"/>
      <c r="C20" s="541" t="s">
        <v>33</v>
      </c>
      <c r="D20" s="502"/>
      <c r="E20" s="502"/>
      <c r="F20" s="537" t="s">
        <v>32</v>
      </c>
      <c r="G20" s="502"/>
      <c r="H20" s="502"/>
      <c r="I20" s="502"/>
      <c r="J20" s="502"/>
      <c r="K20" s="502"/>
      <c r="L20" s="502"/>
      <c r="M20" s="502"/>
      <c r="N20" s="502"/>
      <c r="O20" s="502"/>
      <c r="P20" s="502"/>
      <c r="Q20" s="502"/>
      <c r="R20" s="502"/>
      <c r="S20" s="502"/>
      <c r="T20" s="502"/>
      <c r="U20" s="502"/>
      <c r="V20" s="502"/>
      <c r="W20" s="502"/>
      <c r="X20" s="502"/>
      <c r="Y20" s="24"/>
      <c r="Z20" s="24"/>
      <c r="AA20" s="24"/>
    </row>
    <row r="21" spans="1:27" ht="15.75" customHeight="1" x14ac:dyDescent="0.25">
      <c r="A21" s="24"/>
      <c r="B21" s="24"/>
      <c r="C21" s="541" t="s">
        <v>34</v>
      </c>
      <c r="D21" s="502"/>
      <c r="E21" s="502"/>
      <c r="F21" s="537" t="s">
        <v>32</v>
      </c>
      <c r="G21" s="502"/>
      <c r="H21" s="502"/>
      <c r="I21" s="502"/>
      <c r="J21" s="502"/>
      <c r="K21" s="502"/>
      <c r="L21" s="502"/>
      <c r="M21" s="502"/>
      <c r="N21" s="502"/>
      <c r="O21" s="502"/>
      <c r="P21" s="502"/>
      <c r="Q21" s="502"/>
      <c r="R21" s="502"/>
      <c r="S21" s="502"/>
      <c r="T21" s="502"/>
      <c r="U21" s="502"/>
      <c r="V21" s="502"/>
      <c r="W21" s="502"/>
      <c r="X21" s="502"/>
      <c r="Y21" s="24"/>
      <c r="Z21" s="24"/>
      <c r="AA21" s="24"/>
    </row>
    <row r="22" spans="1:27" ht="15.75" customHeight="1"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ht="15.75" customHeight="1" x14ac:dyDescent="0.25">
      <c r="A23" s="543" t="s">
        <v>35</v>
      </c>
      <c r="B23" s="502"/>
      <c r="C23" s="502"/>
      <c r="D23" s="502"/>
      <c r="E23" s="502"/>
      <c r="F23" s="546" t="s">
        <v>36</v>
      </c>
      <c r="G23" s="502"/>
      <c r="H23" s="502"/>
      <c r="I23" s="502"/>
      <c r="J23" s="502"/>
      <c r="K23" s="502"/>
      <c r="L23" s="502"/>
      <c r="M23" s="31"/>
      <c r="N23" s="546" t="s">
        <v>37</v>
      </c>
      <c r="O23" s="502"/>
      <c r="P23" s="502"/>
      <c r="Q23" s="502"/>
      <c r="R23" s="502"/>
      <c r="S23" s="502"/>
      <c r="T23" s="502"/>
      <c r="U23" s="31"/>
      <c r="V23" s="546" t="s">
        <v>38</v>
      </c>
      <c r="W23" s="502"/>
      <c r="X23" s="502"/>
      <c r="Y23" s="502"/>
      <c r="Z23" s="502"/>
    </row>
    <row r="24" spans="1:27" ht="15.75" customHeight="1" x14ac:dyDescent="0.25">
      <c r="A24" s="502"/>
      <c r="B24" s="502"/>
      <c r="C24" s="502"/>
      <c r="D24" s="502"/>
      <c r="E24" s="502"/>
      <c r="F24" s="502"/>
      <c r="G24" s="502"/>
      <c r="H24" s="502"/>
      <c r="I24" s="502"/>
      <c r="J24" s="502"/>
      <c r="K24" s="502"/>
      <c r="L24" s="502"/>
      <c r="M24" s="31"/>
      <c r="N24" s="502"/>
      <c r="O24" s="502"/>
      <c r="P24" s="502"/>
      <c r="Q24" s="502"/>
      <c r="R24" s="502"/>
      <c r="S24" s="502"/>
      <c r="T24" s="502"/>
      <c r="U24" s="31"/>
      <c r="V24" s="502"/>
      <c r="W24" s="502"/>
      <c r="X24" s="502"/>
      <c r="Y24" s="502"/>
      <c r="Z24" s="502"/>
    </row>
    <row r="25" spans="1:27" ht="15.75" customHeight="1"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ht="15.75" customHeight="1"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ht="15.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ht="15.75" customHeight="1"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ht="24.75" customHeight="1" x14ac:dyDescent="0.25">
      <c r="A29" s="543"/>
      <c r="B29" s="502"/>
      <c r="C29" s="502"/>
      <c r="D29" s="502"/>
      <c r="E29" s="502"/>
      <c r="F29" s="544"/>
      <c r="G29" s="520"/>
      <c r="H29" s="520"/>
      <c r="I29" s="520"/>
      <c r="J29" s="520"/>
      <c r="K29" s="520"/>
      <c r="L29" s="521"/>
      <c r="M29" s="32"/>
      <c r="N29" s="545"/>
      <c r="O29" s="520"/>
      <c r="P29" s="520"/>
      <c r="Q29" s="520"/>
      <c r="R29" s="520"/>
      <c r="S29" s="520"/>
      <c r="T29" s="521"/>
      <c r="U29" s="545"/>
      <c r="V29" s="520"/>
      <c r="W29" s="520"/>
      <c r="X29" s="520"/>
      <c r="Y29" s="520"/>
      <c r="Z29" s="520"/>
      <c r="AA29" s="521"/>
    </row>
    <row r="30" spans="1:27" ht="15.75" customHeight="1" x14ac:dyDescent="0.25"/>
    <row r="31" spans="1:27" ht="15.75" customHeight="1" x14ac:dyDescent="0.25"/>
    <row r="32" spans="1:2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4">
    <mergeCell ref="A29:E29"/>
    <mergeCell ref="F29:L29"/>
    <mergeCell ref="N29:T29"/>
    <mergeCell ref="U29:AA29"/>
    <mergeCell ref="C19:E19"/>
    <mergeCell ref="C20:E20"/>
    <mergeCell ref="C21:E21"/>
    <mergeCell ref="A23:E24"/>
    <mergeCell ref="F23:L24"/>
    <mergeCell ref="N23:T24"/>
    <mergeCell ref="V23:Z24"/>
    <mergeCell ref="C12:M12"/>
    <mergeCell ref="N12:Z12"/>
    <mergeCell ref="C13:M13"/>
    <mergeCell ref="F20:X20"/>
    <mergeCell ref="F21:X21"/>
    <mergeCell ref="N13:Z13"/>
    <mergeCell ref="D14:Z14"/>
    <mergeCell ref="C15:Z15"/>
    <mergeCell ref="C16:G17"/>
    <mergeCell ref="L16:N16"/>
    <mergeCell ref="L17:N17"/>
    <mergeCell ref="F19:X19"/>
    <mergeCell ref="H5:S5"/>
    <mergeCell ref="D6:Y6"/>
    <mergeCell ref="D8:I8"/>
    <mergeCell ref="C9:Y9"/>
    <mergeCell ref="C11:M11"/>
    <mergeCell ref="N11:Z11"/>
    <mergeCell ref="A1:C1"/>
    <mergeCell ref="D1:Z1"/>
    <mergeCell ref="D2:Z2"/>
    <mergeCell ref="C3:D3"/>
    <mergeCell ref="M3:Z3"/>
  </mergeCells>
  <printOptions horizontalCentered="1"/>
  <pageMargins left="0.62041592272417834" right="0.61068360773085195" top="0.79858625626342172" bottom="0.81737652111667869"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999"/>
  <sheetViews>
    <sheetView showGridLines="0" topLeftCell="A7" workbookViewId="0">
      <selection activeCell="G15" sqref="G15"/>
    </sheetView>
  </sheetViews>
  <sheetFormatPr defaultColWidth="12.6640625" defaultRowHeight="15" customHeight="1" x14ac:dyDescent="0.25"/>
  <cols>
    <col min="1" max="1" width="8.6640625" customWidth="1"/>
    <col min="2" max="2" width="12.88671875" customWidth="1"/>
    <col min="3" max="3" width="22.6640625" customWidth="1"/>
    <col min="4" max="4" width="22.33203125" customWidth="1"/>
    <col min="5" max="5" width="23.88671875" customWidth="1"/>
    <col min="6" max="6" width="12" customWidth="1"/>
    <col min="7" max="7" width="18.88671875" customWidth="1"/>
    <col min="10" max="10" width="22.21875" customWidth="1"/>
  </cols>
  <sheetData>
    <row r="1" spans="1:26" ht="43.5" customHeight="1" x14ac:dyDescent="0.25">
      <c r="A1" s="503"/>
      <c r="B1" s="504"/>
      <c r="C1" s="507" t="s">
        <v>391</v>
      </c>
      <c r="D1" s="508"/>
      <c r="E1" s="508"/>
      <c r="F1" s="508"/>
      <c r="G1" s="509"/>
    </row>
    <row r="2" spans="1:26" ht="42" customHeight="1" x14ac:dyDescent="0.25">
      <c r="A2" s="505"/>
      <c r="B2" s="506"/>
      <c r="C2" s="510" t="s">
        <v>392</v>
      </c>
      <c r="D2" s="511"/>
      <c r="E2" s="511"/>
      <c r="F2" s="511"/>
      <c r="G2" s="512"/>
    </row>
    <row r="3" spans="1:26" ht="44.25" customHeight="1" x14ac:dyDescent="0.25">
      <c r="A3" s="424" t="s">
        <v>1</v>
      </c>
      <c r="B3" s="425" t="s">
        <v>40</v>
      </c>
      <c r="C3" s="425" t="s">
        <v>41</v>
      </c>
      <c r="D3" s="426" t="s">
        <v>42</v>
      </c>
      <c r="E3" s="425" t="s">
        <v>43</v>
      </c>
      <c r="F3" s="425" t="s">
        <v>44</v>
      </c>
      <c r="G3" s="427" t="s">
        <v>45</v>
      </c>
    </row>
    <row r="4" spans="1:26" ht="27" customHeight="1" x14ac:dyDescent="0.25">
      <c r="A4" s="429">
        <v>1</v>
      </c>
      <c r="B4" s="429" t="s">
        <v>324</v>
      </c>
      <c r="C4" s="374" t="str">
        <f>VLOOKUP(B4,'6.Bảng lương  '!B13:$C$16,2,0)</f>
        <v>Lê Thị Kim Liên</v>
      </c>
      <c r="D4" s="430">
        <v>19031627139016</v>
      </c>
      <c r="E4" s="431" t="s">
        <v>333</v>
      </c>
      <c r="F4" s="429"/>
      <c r="G4" s="432">
        <f>VLOOKUP($B4,'6.Bảng lương  '!$B$11:$AV$38,47,0)</f>
        <v>16212500</v>
      </c>
      <c r="H4" s="36"/>
      <c r="I4" s="36"/>
      <c r="J4" s="36"/>
      <c r="K4" s="36"/>
      <c r="L4" s="36"/>
      <c r="M4" s="36"/>
      <c r="N4" s="36"/>
      <c r="O4" s="36"/>
      <c r="P4" s="36"/>
      <c r="Q4" s="36"/>
      <c r="R4" s="36"/>
      <c r="S4" s="36"/>
      <c r="T4" s="36"/>
      <c r="U4" s="36"/>
      <c r="V4" s="36"/>
      <c r="W4" s="36"/>
      <c r="X4" s="36"/>
      <c r="Y4" s="36"/>
      <c r="Z4" s="36"/>
    </row>
    <row r="5" spans="1:26" ht="26.25" customHeight="1" x14ac:dyDescent="0.25">
      <c r="A5" s="429">
        <v>2</v>
      </c>
      <c r="B5" s="429" t="s">
        <v>323</v>
      </c>
      <c r="C5" s="374" t="str">
        <f>VLOOKUP(B5,'6.Bảng lương  '!B15:$C$16,2,0)</f>
        <v>Nguyễn Thị Thu Hảo</v>
      </c>
      <c r="D5" s="433">
        <v>19035531863010</v>
      </c>
      <c r="E5" s="431" t="s">
        <v>333</v>
      </c>
      <c r="F5" s="429"/>
      <c r="G5" s="432">
        <f>VLOOKUP($B5,'6.Bảng lương  '!$B$11:$AV$38,47,0)</f>
        <v>10121600</v>
      </c>
    </row>
    <row r="6" spans="1:26" ht="26.25" customHeight="1" x14ac:dyDescent="0.25">
      <c r="A6" s="429">
        <v>3</v>
      </c>
      <c r="B6" s="429" t="s">
        <v>340</v>
      </c>
      <c r="C6" s="374" t="str">
        <f>VLOOKUP(B6,'6.Bảng lương  '!B12:$C$12,2,0)</f>
        <v>Bùi Thanh Anh</v>
      </c>
      <c r="D6" s="433">
        <v>1978555558</v>
      </c>
      <c r="E6" s="431" t="s">
        <v>345</v>
      </c>
      <c r="F6" s="429"/>
      <c r="G6" s="432">
        <f>VLOOKUP($B6,'6.Bảng lương  '!$B$11:$AV$38,47,0)</f>
        <v>15000000</v>
      </c>
    </row>
    <row r="7" spans="1:26" ht="26.25" customHeight="1" x14ac:dyDescent="0.25">
      <c r="A7" s="429">
        <v>4</v>
      </c>
      <c r="B7" s="429" t="s">
        <v>336</v>
      </c>
      <c r="C7" s="374" t="str">
        <f>VLOOKUP(B7,'6.Bảng lương  '!B$16:$C29,2,0)</f>
        <v>Eugene</v>
      </c>
      <c r="D7" s="433">
        <v>1045887952</v>
      </c>
      <c r="E7" s="431" t="s">
        <v>346</v>
      </c>
      <c r="F7" s="429"/>
      <c r="G7" s="432">
        <f>VLOOKUP($B7,'6.Bảng lương  '!$B$11:$AV$38,47,0)</f>
        <v>22275400</v>
      </c>
    </row>
    <row r="8" spans="1:26" ht="26.25" customHeight="1" x14ac:dyDescent="0.25">
      <c r="A8" s="429">
        <v>5</v>
      </c>
      <c r="B8" s="429" t="s">
        <v>349</v>
      </c>
      <c r="C8" s="374" t="str">
        <f>VLOOKUP(B8,'6.Bảng lương  '!B$16:$C30,2,0)</f>
        <v>Nguyễn Ánh Hồng</v>
      </c>
      <c r="D8" s="433">
        <v>1033638061</v>
      </c>
      <c r="E8" s="431" t="s">
        <v>346</v>
      </c>
      <c r="F8" s="429"/>
      <c r="G8" s="432">
        <f>VLOOKUP($B8,'6.Bảng lương  '!$B$11:$AV$38,47,0)</f>
        <v>8422500</v>
      </c>
    </row>
    <row r="9" spans="1:26" ht="26.25" customHeight="1" x14ac:dyDescent="0.25">
      <c r="A9" s="429">
        <v>6</v>
      </c>
      <c r="B9" s="429" t="s">
        <v>381</v>
      </c>
      <c r="C9" s="374" t="s">
        <v>382</v>
      </c>
      <c r="D9" s="430" t="s">
        <v>400</v>
      </c>
      <c r="E9" s="431" t="s">
        <v>376</v>
      </c>
      <c r="F9" s="429"/>
      <c r="G9" s="432">
        <f>VLOOKUP($B9,'6.Bảng lương  '!$B$11:$AV$38,47,0)</f>
        <v>7758300</v>
      </c>
    </row>
    <row r="10" spans="1:26" ht="26.25" customHeight="1" x14ac:dyDescent="0.25">
      <c r="A10" s="429">
        <v>7</v>
      </c>
      <c r="B10" s="429" t="s">
        <v>354</v>
      </c>
      <c r="C10" s="374" t="str">
        <f>VLOOKUP(B10,'6.Bảng lương  '!$B$12:$C$30,2,0)</f>
        <v>Nguyễn Thị Thu</v>
      </c>
      <c r="D10" s="433">
        <v>1991555558</v>
      </c>
      <c r="E10" s="431" t="s">
        <v>345</v>
      </c>
      <c r="F10" s="429"/>
      <c r="G10" s="432">
        <f>VLOOKUP($B10,'6.Bảng lương  '!$B$11:$AV$38,47,0)</f>
        <v>8000000</v>
      </c>
    </row>
    <row r="11" spans="1:26" ht="26.25" customHeight="1" x14ac:dyDescent="0.25">
      <c r="A11" s="429">
        <v>8</v>
      </c>
      <c r="B11" s="429" t="s">
        <v>363</v>
      </c>
      <c r="C11" s="374" t="str">
        <f>VLOOKUP(B11,' 5. Thông số TL'!$D$12:$E$25,2,0)</f>
        <v>Phùng Thị Lụa</v>
      </c>
      <c r="D11" s="430" t="s">
        <v>375</v>
      </c>
      <c r="E11" s="431" t="s">
        <v>376</v>
      </c>
      <c r="F11" s="429"/>
      <c r="G11" s="432">
        <f>'6.Bảng lương  '!AV34</f>
        <v>10850200</v>
      </c>
    </row>
    <row r="12" spans="1:26" ht="26.25" customHeight="1" x14ac:dyDescent="0.25">
      <c r="A12" s="429">
        <v>9</v>
      </c>
      <c r="B12" s="429" t="s">
        <v>365</v>
      </c>
      <c r="C12" s="374" t="str">
        <f>VLOOKUP(B12,' 5. Thông số TL'!$D$12:$E$25,2,0)</f>
        <v>Đinh Thị Bích Ngọc</v>
      </c>
      <c r="D12" s="433">
        <v>19032824127018</v>
      </c>
      <c r="E12" s="431" t="s">
        <v>333</v>
      </c>
      <c r="F12" s="429"/>
      <c r="G12" s="432">
        <f>'6.Bảng lương  '!AV21</f>
        <v>9034000</v>
      </c>
    </row>
    <row r="13" spans="1:26" ht="26.25" customHeight="1" x14ac:dyDescent="0.25">
      <c r="A13" s="429">
        <v>10</v>
      </c>
      <c r="B13" s="429" t="s">
        <v>367</v>
      </c>
      <c r="C13" s="374" t="str">
        <f>VLOOKUP(B13,' 5. Thông số TL'!$D$12:$E$25,2,0)</f>
        <v>Lương Văn Châm</v>
      </c>
      <c r="D13" s="433">
        <v>9904677976</v>
      </c>
      <c r="E13" s="431" t="s">
        <v>333</v>
      </c>
      <c r="F13" s="429"/>
      <c r="G13" s="432">
        <f>'6.Bảng lương  '!AV22</f>
        <v>8179100</v>
      </c>
    </row>
    <row r="14" spans="1:26" ht="26.25" customHeight="1" x14ac:dyDescent="0.25">
      <c r="A14" s="429">
        <v>11</v>
      </c>
      <c r="B14" s="429" t="s">
        <v>369</v>
      </c>
      <c r="C14" s="374" t="str">
        <f>VLOOKUP(B14,' 5. Thông số TL'!$D$12:$E$25,2,0)</f>
        <v>Nguyễn Thị Phúc</v>
      </c>
      <c r="D14" s="433">
        <v>1036236348</v>
      </c>
      <c r="E14" s="431" t="s">
        <v>377</v>
      </c>
      <c r="F14" s="429"/>
      <c r="G14" s="432">
        <f>VLOOKUP($B14,'6.Bảng lương  '!$B$11:$AV$38,47,0)</f>
        <v>10000000</v>
      </c>
    </row>
    <row r="15" spans="1:26" ht="26.25" customHeight="1" x14ac:dyDescent="0.25">
      <c r="A15" s="429">
        <v>12</v>
      </c>
      <c r="B15" s="429" t="s">
        <v>371</v>
      </c>
      <c r="C15" s="374" t="str">
        <f>VLOOKUP(B15,' 5. Thông số TL'!$D$12:$E$25,2,0)</f>
        <v>Nguyễn Thị Thuỳ Trang</v>
      </c>
      <c r="D15" s="430" t="s">
        <v>378</v>
      </c>
      <c r="E15" s="431" t="s">
        <v>376</v>
      </c>
      <c r="F15" s="429"/>
      <c r="G15" s="432">
        <f>VLOOKUP($B15,'6.Bảng lương  '!$B$11:$AV$38,47,0)</f>
        <v>5397800</v>
      </c>
    </row>
    <row r="16" spans="1:26" ht="26.25" customHeight="1" x14ac:dyDescent="0.25">
      <c r="A16" s="429">
        <v>13</v>
      </c>
      <c r="B16" s="429" t="s">
        <v>383</v>
      </c>
      <c r="C16" s="374" t="s">
        <v>384</v>
      </c>
      <c r="D16" s="430" t="s">
        <v>401</v>
      </c>
      <c r="E16" s="431" t="s">
        <v>376</v>
      </c>
      <c r="F16" s="429"/>
      <c r="G16" s="432">
        <f>VLOOKUP($B16,'6.Bảng lương  '!$B$11:$AV$38,47,0)</f>
        <v>5439600</v>
      </c>
    </row>
    <row r="17" spans="1:10" ht="26.25" customHeight="1" x14ac:dyDescent="0.25">
      <c r="A17" s="429">
        <v>14</v>
      </c>
      <c r="B17" s="429" t="s">
        <v>387</v>
      </c>
      <c r="C17" s="374" t="s">
        <v>388</v>
      </c>
      <c r="D17" s="430">
        <v>8862965558</v>
      </c>
      <c r="E17" s="431" t="s">
        <v>405</v>
      </c>
      <c r="F17" s="429"/>
      <c r="G17" s="432">
        <f>VLOOKUP($B17,'6.Bảng lương  '!$B$11:$AV$38,47,0)</f>
        <v>5328600</v>
      </c>
    </row>
    <row r="18" spans="1:10" ht="26.25" customHeight="1" x14ac:dyDescent="0.25">
      <c r="A18" s="429">
        <v>15</v>
      </c>
      <c r="B18" s="429" t="s">
        <v>393</v>
      </c>
      <c r="C18" s="374" t="s">
        <v>395</v>
      </c>
      <c r="D18" s="430"/>
      <c r="E18" s="431"/>
      <c r="F18" s="429"/>
      <c r="G18" s="432">
        <f>VLOOKUP($B18,'6.Bảng lương  '!$B$11:$AV$38,47,0)</f>
        <v>9000000</v>
      </c>
    </row>
    <row r="19" spans="1:10" ht="26.25" customHeight="1" x14ac:dyDescent="0.25">
      <c r="A19" s="429">
        <v>16</v>
      </c>
      <c r="B19" s="429" t="s">
        <v>402</v>
      </c>
      <c r="C19" s="374" t="s">
        <v>403</v>
      </c>
      <c r="D19" s="430">
        <v>19021081619016</v>
      </c>
      <c r="E19" s="431" t="s">
        <v>333</v>
      </c>
      <c r="F19" s="429"/>
      <c r="G19" s="432">
        <f>VLOOKUP($B19,'6.Bảng lương  '!$B$11:$AV$38,47,0)</f>
        <v>740100</v>
      </c>
    </row>
    <row r="20" spans="1:10" ht="25.5" customHeight="1" x14ac:dyDescent="0.25">
      <c r="A20" s="513" t="s">
        <v>51</v>
      </c>
      <c r="B20" s="514"/>
      <c r="C20" s="514"/>
      <c r="D20" s="514"/>
      <c r="E20" s="514"/>
      <c r="F20" s="515"/>
      <c r="G20" s="428">
        <f>SUM(G4:G19)</f>
        <v>151759700</v>
      </c>
      <c r="H20" s="457"/>
    </row>
    <row r="21" spans="1:10" ht="15.75" customHeight="1" x14ac:dyDescent="0.3">
      <c r="A21" s="39"/>
      <c r="B21" s="39"/>
      <c r="C21" s="40"/>
      <c r="D21" s="41"/>
      <c r="E21" s="39"/>
      <c r="F21" s="40"/>
      <c r="G21" s="40"/>
      <c r="J21" s="42"/>
    </row>
    <row r="22" spans="1:10" ht="3.75" customHeight="1" x14ac:dyDescent="0.3">
      <c r="A22" s="39"/>
      <c r="B22" s="39"/>
      <c r="C22" s="40"/>
      <c r="D22" s="41"/>
      <c r="E22" s="39"/>
      <c r="F22" s="40"/>
      <c r="G22" s="40"/>
      <c r="J22" s="43"/>
    </row>
    <row r="23" spans="1:10" ht="15.75" customHeight="1" x14ac:dyDescent="0.3">
      <c r="A23" s="39"/>
      <c r="B23" s="39"/>
      <c r="C23" s="40"/>
      <c r="D23" s="41"/>
      <c r="E23" s="516" t="s">
        <v>390</v>
      </c>
      <c r="F23" s="502"/>
      <c r="G23" s="502"/>
    </row>
    <row r="24" spans="1:10" ht="15.75" customHeight="1" x14ac:dyDescent="0.3">
      <c r="A24" s="39"/>
      <c r="B24" s="39"/>
      <c r="C24" s="40"/>
      <c r="D24" s="41"/>
      <c r="E24" s="39"/>
      <c r="F24" s="40"/>
      <c r="G24" s="40"/>
    </row>
    <row r="25" spans="1:10" ht="18.75" customHeight="1" x14ac:dyDescent="0.25">
      <c r="A25" s="501" t="s">
        <v>52</v>
      </c>
      <c r="B25" s="502"/>
      <c r="C25" s="517" t="s">
        <v>53</v>
      </c>
      <c r="D25" s="502"/>
      <c r="E25" s="44" t="s">
        <v>54</v>
      </c>
      <c r="F25" s="501" t="s">
        <v>55</v>
      </c>
      <c r="G25" s="502"/>
    </row>
    <row r="26" spans="1:10" ht="18.75" customHeight="1" x14ac:dyDescent="0.3">
      <c r="A26" s="39"/>
      <c r="B26" s="39"/>
      <c r="C26" s="40"/>
      <c r="D26" s="36"/>
      <c r="E26" s="39"/>
      <c r="F26" s="40"/>
      <c r="G26" s="40"/>
    </row>
    <row r="27" spans="1:10" ht="18.75" customHeight="1" x14ac:dyDescent="0.3">
      <c r="A27" s="39"/>
      <c r="B27" s="39"/>
      <c r="C27" s="40"/>
      <c r="D27" s="41"/>
      <c r="E27" s="39"/>
      <c r="F27" s="40"/>
      <c r="G27" s="40"/>
    </row>
    <row r="28" spans="1:10" ht="18.75" customHeight="1" x14ac:dyDescent="0.3">
      <c r="A28" s="39"/>
      <c r="B28" s="39"/>
      <c r="C28" s="40"/>
      <c r="D28" s="41"/>
      <c r="E28" s="39"/>
      <c r="F28" s="40"/>
      <c r="G28" s="40"/>
    </row>
    <row r="29" spans="1:10" ht="18.75" customHeight="1" x14ac:dyDescent="0.3">
      <c r="A29" s="39"/>
      <c r="B29" s="39"/>
      <c r="C29" s="40"/>
      <c r="D29" s="41"/>
      <c r="E29" s="39"/>
      <c r="F29" s="40"/>
      <c r="G29" s="40"/>
    </row>
    <row r="30" spans="1:10" ht="18.75" customHeight="1" x14ac:dyDescent="0.3">
      <c r="A30" s="46"/>
      <c r="B30" s="46"/>
      <c r="C30" s="47"/>
      <c r="D30" s="48"/>
      <c r="E30" s="46"/>
      <c r="F30" s="47"/>
      <c r="G30" s="47"/>
    </row>
    <row r="31" spans="1:10" ht="18.75" customHeight="1" x14ac:dyDescent="0.25">
      <c r="A31" s="501"/>
      <c r="B31" s="502"/>
      <c r="C31" s="501"/>
      <c r="D31" s="502"/>
      <c r="E31" s="49"/>
      <c r="F31" s="501"/>
      <c r="G31" s="502"/>
    </row>
    <row r="32" spans="1:10" ht="15.75" customHeight="1" x14ac:dyDescent="0.25">
      <c r="A32" s="50"/>
      <c r="B32" s="50"/>
      <c r="C32" s="51"/>
      <c r="D32" s="52"/>
      <c r="E32" s="50"/>
      <c r="F32" s="51"/>
      <c r="G32" s="51"/>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11">
    <mergeCell ref="A25:B25"/>
    <mergeCell ref="A31:B31"/>
    <mergeCell ref="C31:D31"/>
    <mergeCell ref="F31:G31"/>
    <mergeCell ref="A1:B2"/>
    <mergeCell ref="C1:G1"/>
    <mergeCell ref="C2:G2"/>
    <mergeCell ref="A20:F20"/>
    <mergeCell ref="E23:G23"/>
    <mergeCell ref="C25:D25"/>
    <mergeCell ref="F25:G25"/>
  </mergeCells>
  <pageMargins left="0.59321432058873147" right="0.59321432058873147" top="0.80798138869005032" bottom="0.81737652111667869"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pageSetUpPr fitToPage="1"/>
  </sheetPr>
  <dimension ref="A1:AV997"/>
  <sheetViews>
    <sheetView showGridLines="0" topLeftCell="D2" zoomScale="70" zoomScaleNormal="70" workbookViewId="0">
      <selection activeCell="AQ13" sqref="AQ13"/>
    </sheetView>
  </sheetViews>
  <sheetFormatPr defaultColWidth="12.6640625" defaultRowHeight="15" customHeight="1" x14ac:dyDescent="0.25"/>
  <cols>
    <col min="1" max="1" width="5.21875" customWidth="1"/>
    <col min="2" max="2" width="15.88671875" customWidth="1"/>
    <col min="3" max="3" width="18.109375" customWidth="1"/>
    <col min="4" max="4" width="22.88671875" customWidth="1"/>
    <col min="5" max="5" width="7.6640625" hidden="1" customWidth="1"/>
    <col min="6" max="6" width="27.109375" customWidth="1"/>
    <col min="7" max="7" width="14.44140625" customWidth="1"/>
    <col min="8" max="8" width="5.33203125" customWidth="1"/>
    <col min="9" max="11" width="5.109375" customWidth="1"/>
    <col min="12" max="12" width="4.6640625" customWidth="1"/>
    <col min="13" max="17" width="5.109375" customWidth="1"/>
    <col min="18" max="19" width="4.6640625" customWidth="1"/>
    <col min="20" max="20" width="5.21875" customWidth="1"/>
    <col min="21" max="21" width="5.6640625" customWidth="1"/>
    <col min="22" max="23" width="5.109375" customWidth="1"/>
    <col min="24" max="25" width="5.33203125" customWidth="1"/>
    <col min="26" max="26" width="4.88671875" customWidth="1"/>
    <col min="27" max="33" width="5.109375" customWidth="1"/>
    <col min="34" max="34" width="5.88671875" customWidth="1"/>
    <col min="35" max="37" width="5.109375" customWidth="1"/>
    <col min="38" max="38" width="5.109375" hidden="1" customWidth="1"/>
    <col min="39" max="39" width="6.88671875" customWidth="1"/>
    <col min="40" max="40" width="9.109375" customWidth="1"/>
    <col min="41" max="41" width="5.33203125" customWidth="1"/>
    <col min="42" max="42" width="9.6640625" bestFit="1" customWidth="1"/>
    <col min="43" max="43" width="6.6640625" customWidth="1"/>
    <col min="44" max="44" width="8.21875" customWidth="1"/>
    <col min="45" max="45" width="5.6640625" customWidth="1"/>
    <col min="46" max="46" width="6.88671875" customWidth="1"/>
    <col min="47" max="47" width="7.6640625" customWidth="1"/>
    <col min="48" max="48" width="8.21875" hidden="1" customWidth="1"/>
  </cols>
  <sheetData>
    <row r="1" spans="1:48" ht="51.75" customHeight="1" thickBot="1" x14ac:dyDescent="0.8">
      <c r="A1" s="556"/>
      <c r="B1" s="502"/>
      <c r="C1" s="557" t="s">
        <v>328</v>
      </c>
      <c r="D1" s="520"/>
      <c r="E1" s="520"/>
      <c r="F1" s="520"/>
      <c r="G1" s="521"/>
      <c r="H1" s="558"/>
      <c r="I1" s="502"/>
      <c r="J1" s="502"/>
      <c r="K1" s="502"/>
      <c r="L1" s="502"/>
      <c r="M1" s="502"/>
      <c r="N1" s="502"/>
      <c r="O1" s="502"/>
      <c r="P1" s="502"/>
      <c r="Q1" s="502"/>
      <c r="R1" s="502"/>
      <c r="S1" s="502"/>
      <c r="T1" s="502"/>
      <c r="U1" s="502"/>
      <c r="V1" s="502"/>
      <c r="W1" s="502"/>
      <c r="X1" s="502"/>
      <c r="Y1" s="502"/>
      <c r="Z1" s="502"/>
      <c r="AA1" s="502"/>
      <c r="AB1" s="502"/>
      <c r="AC1" s="502"/>
      <c r="AH1" s="559"/>
      <c r="AI1" s="521"/>
      <c r="AJ1" s="54"/>
      <c r="AK1" s="54"/>
      <c r="AL1" s="54"/>
      <c r="AM1" s="55"/>
      <c r="AS1" s="56"/>
      <c r="AU1" s="57"/>
      <c r="AV1" s="58"/>
    </row>
    <row r="2" spans="1:48" ht="22.5" customHeight="1" thickBot="1" x14ac:dyDescent="0.3">
      <c r="A2" s="59"/>
      <c r="B2" s="60"/>
      <c r="C2" s="59"/>
      <c r="D2" s="59"/>
      <c r="E2" s="59"/>
      <c r="F2" s="59"/>
      <c r="G2" s="59"/>
      <c r="I2" s="560" t="s">
        <v>56</v>
      </c>
      <c r="J2" s="561"/>
      <c r="K2" s="563">
        <v>4</v>
      </c>
      <c r="L2" s="548"/>
      <c r="M2" s="564" t="s">
        <v>57</v>
      </c>
      <c r="N2" s="520"/>
      <c r="O2" s="520"/>
      <c r="P2" s="520"/>
      <c r="Q2" s="520"/>
      <c r="R2" s="520"/>
      <c r="S2" s="520"/>
      <c r="T2" s="520"/>
      <c r="U2" s="520"/>
      <c r="V2" s="520"/>
      <c r="W2" s="520"/>
      <c r="X2" s="520"/>
      <c r="Y2" s="520"/>
      <c r="Z2" s="520"/>
      <c r="AA2" s="520"/>
      <c r="AB2" s="520"/>
      <c r="AC2" s="521"/>
      <c r="AH2" s="61"/>
      <c r="AI2" s="61"/>
      <c r="AJ2" s="61"/>
      <c r="AK2" s="61"/>
      <c r="AL2" s="61"/>
      <c r="AS2" s="56"/>
      <c r="AU2" s="57"/>
      <c r="AV2" s="62"/>
    </row>
    <row r="3" spans="1:48" ht="18" customHeight="1" thickBot="1" x14ac:dyDescent="0.3">
      <c r="A3" s="59"/>
      <c r="B3" s="60"/>
      <c r="C3" s="59"/>
      <c r="D3" s="59"/>
      <c r="E3" s="59"/>
      <c r="F3" s="59"/>
      <c r="G3" s="59"/>
      <c r="I3" s="562"/>
      <c r="J3" s="502"/>
      <c r="K3" s="549"/>
      <c r="L3" s="550"/>
      <c r="M3" s="568" t="s">
        <v>58</v>
      </c>
      <c r="N3" s="548"/>
      <c r="O3" s="569" t="s">
        <v>59</v>
      </c>
      <c r="P3" s="570" t="s">
        <v>60</v>
      </c>
      <c r="Q3" s="571" t="s">
        <v>61</v>
      </c>
      <c r="R3" s="572" t="s">
        <v>62</v>
      </c>
      <c r="S3" s="573" t="s">
        <v>63</v>
      </c>
      <c r="T3" s="551" t="s">
        <v>64</v>
      </c>
      <c r="U3" s="553" t="s">
        <v>65</v>
      </c>
      <c r="V3" s="554" t="s">
        <v>66</v>
      </c>
      <c r="W3" s="548"/>
      <c r="X3" s="555" t="s">
        <v>67</v>
      </c>
      <c r="Y3" s="555" t="s">
        <v>68</v>
      </c>
      <c r="Z3" s="547" t="s">
        <v>69</v>
      </c>
      <c r="AA3" s="548"/>
      <c r="AB3" s="565" t="s">
        <v>70</v>
      </c>
      <c r="AC3" s="548"/>
      <c r="AH3" s="566"/>
      <c r="AI3" s="566"/>
      <c r="AJ3" s="61"/>
      <c r="AK3" s="61"/>
      <c r="AL3" s="61"/>
      <c r="AS3" s="56"/>
      <c r="AU3" s="57"/>
      <c r="AV3" s="62"/>
    </row>
    <row r="4" spans="1:48" ht="27.75" customHeight="1" thickBot="1" x14ac:dyDescent="0.3">
      <c r="A4" s="59"/>
      <c r="B4" s="60"/>
      <c r="C4" s="59"/>
      <c r="D4" s="59"/>
      <c r="E4" s="59"/>
      <c r="F4" s="59"/>
      <c r="G4" s="59"/>
      <c r="I4" s="560" t="s">
        <v>71</v>
      </c>
      <c r="J4" s="548"/>
      <c r="K4" s="563">
        <v>2026</v>
      </c>
      <c r="L4" s="548"/>
      <c r="M4" s="549"/>
      <c r="N4" s="550"/>
      <c r="O4" s="552"/>
      <c r="P4" s="552"/>
      <c r="Q4" s="552"/>
      <c r="R4" s="552"/>
      <c r="S4" s="552"/>
      <c r="T4" s="552"/>
      <c r="U4" s="552"/>
      <c r="V4" s="549"/>
      <c r="W4" s="550"/>
      <c r="X4" s="552"/>
      <c r="Y4" s="552"/>
      <c r="Z4" s="549"/>
      <c r="AA4" s="550"/>
      <c r="AB4" s="549"/>
      <c r="AC4" s="550"/>
      <c r="AH4" s="567"/>
      <c r="AI4" s="567"/>
      <c r="AJ4" s="61"/>
      <c r="AK4" s="61"/>
      <c r="AL4" s="61"/>
      <c r="AS4" s="56"/>
      <c r="AU4" s="57"/>
      <c r="AV4" s="62"/>
    </row>
    <row r="5" spans="1:48" ht="24" customHeight="1" thickBot="1" x14ac:dyDescent="0.3">
      <c r="A5" s="59"/>
      <c r="B5" s="60"/>
      <c r="C5" s="59"/>
      <c r="D5" s="59"/>
      <c r="E5" s="59"/>
      <c r="F5" s="59"/>
      <c r="G5" s="59"/>
      <c r="I5" s="549"/>
      <c r="J5" s="550"/>
      <c r="K5" s="549"/>
      <c r="L5" s="550"/>
      <c r="M5" s="568" t="s">
        <v>72</v>
      </c>
      <c r="N5" s="548"/>
      <c r="O5" s="578" t="s">
        <v>73</v>
      </c>
      <c r="P5" s="579" t="s">
        <v>74</v>
      </c>
      <c r="Q5" s="580" t="s">
        <v>75</v>
      </c>
      <c r="R5" s="580" t="s">
        <v>76</v>
      </c>
      <c r="S5" s="574" t="s">
        <v>77</v>
      </c>
      <c r="T5" s="574" t="s">
        <v>78</v>
      </c>
      <c r="U5" s="575" t="s">
        <v>79</v>
      </c>
      <c r="V5" s="576" t="s">
        <v>80</v>
      </c>
      <c r="W5" s="548"/>
      <c r="X5" s="577" t="s">
        <v>81</v>
      </c>
      <c r="Y5" s="577" t="s">
        <v>82</v>
      </c>
      <c r="Z5" s="593" t="s">
        <v>83</v>
      </c>
      <c r="AA5" s="548"/>
      <c r="AB5" s="590" t="s">
        <v>84</v>
      </c>
      <c r="AC5" s="548"/>
      <c r="AH5" s="566"/>
      <c r="AI5" s="566"/>
      <c r="AJ5" s="61"/>
      <c r="AK5" s="61"/>
      <c r="AL5" s="61"/>
      <c r="AS5" s="56"/>
      <c r="AU5" s="57"/>
      <c r="AV5" s="62"/>
    </row>
    <row r="6" spans="1:48" ht="14.25" customHeight="1" thickBot="1" x14ac:dyDescent="0.3">
      <c r="A6" s="581" t="s">
        <v>397</v>
      </c>
      <c r="B6" s="582"/>
      <c r="C6" s="582"/>
      <c r="D6" s="582"/>
      <c r="E6" s="582"/>
      <c r="F6" s="582"/>
      <c r="G6" s="583"/>
      <c r="I6" s="53"/>
      <c r="J6" s="53"/>
      <c r="K6" s="63"/>
      <c r="L6" s="64"/>
      <c r="M6" s="549"/>
      <c r="N6" s="550"/>
      <c r="O6" s="552"/>
      <c r="P6" s="552"/>
      <c r="Q6" s="552"/>
      <c r="R6" s="552"/>
      <c r="S6" s="552"/>
      <c r="T6" s="552"/>
      <c r="U6" s="552"/>
      <c r="V6" s="549"/>
      <c r="W6" s="550"/>
      <c r="X6" s="552"/>
      <c r="Y6" s="552"/>
      <c r="Z6" s="549"/>
      <c r="AA6" s="550"/>
      <c r="AB6" s="549"/>
      <c r="AC6" s="550"/>
      <c r="AH6" s="567"/>
      <c r="AI6" s="567"/>
      <c r="AJ6" s="61"/>
      <c r="AK6" s="61"/>
      <c r="AL6" s="61"/>
      <c r="AS6" s="56"/>
      <c r="AU6" s="57"/>
      <c r="AV6" s="62"/>
    </row>
    <row r="7" spans="1:48" ht="25.5" customHeight="1" thickBot="1" x14ac:dyDescent="0.3">
      <c r="A7" s="584"/>
      <c r="B7" s="502"/>
      <c r="C7" s="502"/>
      <c r="D7" s="502"/>
      <c r="E7" s="502"/>
      <c r="F7" s="502"/>
      <c r="G7" s="585"/>
      <c r="H7" s="65">
        <v>8</v>
      </c>
      <c r="I7" s="65">
        <f t="shared" ref="I7:AN7" si="0">1+H7</f>
        <v>9</v>
      </c>
      <c r="J7" s="65">
        <f t="shared" si="0"/>
        <v>10</v>
      </c>
      <c r="K7" s="65">
        <f t="shared" si="0"/>
        <v>11</v>
      </c>
      <c r="L7" s="65">
        <f t="shared" si="0"/>
        <v>12</v>
      </c>
      <c r="M7" s="65">
        <f t="shared" si="0"/>
        <v>13</v>
      </c>
      <c r="N7" s="65">
        <f t="shared" si="0"/>
        <v>14</v>
      </c>
      <c r="O7" s="65">
        <f t="shared" si="0"/>
        <v>15</v>
      </c>
      <c r="P7" s="65">
        <f t="shared" si="0"/>
        <v>16</v>
      </c>
      <c r="Q7" s="65">
        <f t="shared" si="0"/>
        <v>17</v>
      </c>
      <c r="R7" s="65">
        <f t="shared" si="0"/>
        <v>18</v>
      </c>
      <c r="S7" s="65">
        <f t="shared" si="0"/>
        <v>19</v>
      </c>
      <c r="T7" s="65">
        <f t="shared" si="0"/>
        <v>20</v>
      </c>
      <c r="U7" s="65">
        <f t="shared" si="0"/>
        <v>21</v>
      </c>
      <c r="V7" s="65">
        <f t="shared" si="0"/>
        <v>22</v>
      </c>
      <c r="W7" s="65">
        <f t="shared" si="0"/>
        <v>23</v>
      </c>
      <c r="X7" s="65">
        <f t="shared" si="0"/>
        <v>24</v>
      </c>
      <c r="Y7" s="65">
        <f t="shared" si="0"/>
        <v>25</v>
      </c>
      <c r="Z7" s="65">
        <f t="shared" si="0"/>
        <v>26</v>
      </c>
      <c r="AA7" s="65">
        <f t="shared" si="0"/>
        <v>27</v>
      </c>
      <c r="AB7" s="65">
        <f t="shared" si="0"/>
        <v>28</v>
      </c>
      <c r="AC7" s="65">
        <f t="shared" si="0"/>
        <v>29</v>
      </c>
      <c r="AD7" s="65">
        <f t="shared" si="0"/>
        <v>30</v>
      </c>
      <c r="AE7" s="65">
        <f t="shared" si="0"/>
        <v>31</v>
      </c>
      <c r="AF7" s="65">
        <f t="shared" si="0"/>
        <v>32</v>
      </c>
      <c r="AG7" s="65">
        <f t="shared" si="0"/>
        <v>33</v>
      </c>
      <c r="AH7" s="65">
        <f t="shared" si="0"/>
        <v>34</v>
      </c>
      <c r="AI7" s="65">
        <f t="shared" si="0"/>
        <v>35</v>
      </c>
      <c r="AJ7" s="65">
        <f t="shared" si="0"/>
        <v>36</v>
      </c>
      <c r="AK7" s="65">
        <f t="shared" si="0"/>
        <v>37</v>
      </c>
      <c r="AL7" s="65">
        <f t="shared" si="0"/>
        <v>38</v>
      </c>
      <c r="AM7" s="65">
        <f>1+AL7</f>
        <v>39</v>
      </c>
      <c r="AN7" s="65">
        <f t="shared" si="0"/>
        <v>40</v>
      </c>
      <c r="AO7" s="65"/>
      <c r="AP7" s="65">
        <f>1+AN7</f>
        <v>41</v>
      </c>
      <c r="AQ7" s="65">
        <f t="shared" ref="AQ7:AV7" si="1">1+AP7</f>
        <v>42</v>
      </c>
      <c r="AR7" s="65">
        <f t="shared" si="1"/>
        <v>43</v>
      </c>
      <c r="AS7" s="65">
        <f t="shared" si="1"/>
        <v>44</v>
      </c>
      <c r="AT7" s="65">
        <f t="shared" si="1"/>
        <v>45</v>
      </c>
      <c r="AU7" s="65">
        <f t="shared" si="1"/>
        <v>46</v>
      </c>
      <c r="AV7" s="65">
        <f t="shared" si="1"/>
        <v>47</v>
      </c>
    </row>
    <row r="8" spans="1:48" ht="38.25" customHeight="1" thickBot="1" x14ac:dyDescent="0.3">
      <c r="A8" s="584"/>
      <c r="B8" s="502"/>
      <c r="C8" s="502"/>
      <c r="D8" s="502"/>
      <c r="E8" s="502"/>
      <c r="F8" s="502"/>
      <c r="G8" s="585"/>
      <c r="H8" s="66">
        <f>DATE(K4,K2,1)</f>
        <v>46113</v>
      </c>
      <c r="I8" s="67">
        <f t="shared" ref="I8:AL8" si="2">H8+1</f>
        <v>46114</v>
      </c>
      <c r="J8" s="67">
        <f t="shared" si="2"/>
        <v>46115</v>
      </c>
      <c r="K8" s="67">
        <f t="shared" si="2"/>
        <v>46116</v>
      </c>
      <c r="L8" s="67">
        <f t="shared" si="2"/>
        <v>46117</v>
      </c>
      <c r="M8" s="67">
        <f t="shared" si="2"/>
        <v>46118</v>
      </c>
      <c r="N8" s="67">
        <f t="shared" si="2"/>
        <v>46119</v>
      </c>
      <c r="O8" s="67">
        <f t="shared" si="2"/>
        <v>46120</v>
      </c>
      <c r="P8" s="67">
        <f t="shared" si="2"/>
        <v>46121</v>
      </c>
      <c r="Q8" s="67">
        <f t="shared" si="2"/>
        <v>46122</v>
      </c>
      <c r="R8" s="67">
        <f t="shared" si="2"/>
        <v>46123</v>
      </c>
      <c r="S8" s="67">
        <f t="shared" si="2"/>
        <v>46124</v>
      </c>
      <c r="T8" s="67">
        <f t="shared" si="2"/>
        <v>46125</v>
      </c>
      <c r="U8" s="67">
        <f t="shared" si="2"/>
        <v>46126</v>
      </c>
      <c r="V8" s="67">
        <f t="shared" si="2"/>
        <v>46127</v>
      </c>
      <c r="W8" s="67">
        <f t="shared" si="2"/>
        <v>46128</v>
      </c>
      <c r="X8" s="67">
        <f t="shared" si="2"/>
        <v>46129</v>
      </c>
      <c r="Y8" s="67">
        <f t="shared" si="2"/>
        <v>46130</v>
      </c>
      <c r="Z8" s="67">
        <f t="shared" si="2"/>
        <v>46131</v>
      </c>
      <c r="AA8" s="67">
        <f t="shared" si="2"/>
        <v>46132</v>
      </c>
      <c r="AB8" s="67">
        <f t="shared" si="2"/>
        <v>46133</v>
      </c>
      <c r="AC8" s="67">
        <f t="shared" si="2"/>
        <v>46134</v>
      </c>
      <c r="AD8" s="67">
        <f t="shared" si="2"/>
        <v>46135</v>
      </c>
      <c r="AE8" s="67">
        <f t="shared" si="2"/>
        <v>46136</v>
      </c>
      <c r="AF8" s="67">
        <f t="shared" si="2"/>
        <v>46137</v>
      </c>
      <c r="AG8" s="68">
        <f t="shared" si="2"/>
        <v>46138</v>
      </c>
      <c r="AH8" s="69">
        <f t="shared" si="2"/>
        <v>46139</v>
      </c>
      <c r="AI8" s="70">
        <f t="shared" si="2"/>
        <v>46140</v>
      </c>
      <c r="AJ8" s="71">
        <f t="shared" si="2"/>
        <v>46141</v>
      </c>
      <c r="AK8" s="70">
        <f t="shared" si="2"/>
        <v>46142</v>
      </c>
      <c r="AL8" s="70">
        <f t="shared" si="2"/>
        <v>46143</v>
      </c>
      <c r="AM8" s="72" t="s">
        <v>73</v>
      </c>
      <c r="AN8" s="73" t="s">
        <v>74</v>
      </c>
      <c r="AO8" s="74" t="s">
        <v>85</v>
      </c>
      <c r="AP8" s="75" t="s">
        <v>79</v>
      </c>
      <c r="AQ8" s="76" t="s">
        <v>86</v>
      </c>
      <c r="AR8" s="591" t="s">
        <v>87</v>
      </c>
      <c r="AS8" s="77" t="s">
        <v>81</v>
      </c>
      <c r="AT8" s="78" t="s">
        <v>83</v>
      </c>
      <c r="AU8" s="594" t="s">
        <v>88</v>
      </c>
      <c r="AV8" s="596" t="str">
        <f>"Phép Tồn năm 2023 tính đến T."&amp;K2</f>
        <v>Phép Tồn năm 2023 tính đến T.4</v>
      </c>
    </row>
    <row r="9" spans="1:48" ht="45.75" customHeight="1" thickBot="1" x14ac:dyDescent="0.3">
      <c r="A9" s="586"/>
      <c r="B9" s="587"/>
      <c r="C9" s="587"/>
      <c r="D9" s="587"/>
      <c r="E9" s="587"/>
      <c r="F9" s="587"/>
      <c r="G9" s="588"/>
      <c r="H9" s="79" t="str">
        <f t="shared" ref="H9:AL9" si="3">CHOOSE(WEEKDAY(H8),"Chủ Nhật","Thứ Hai","Thứ Ba","Thứ Tư","Thứ Năm","Thứ Sáu","Thứ Bảy")</f>
        <v>Thứ Tư</v>
      </c>
      <c r="I9" s="80" t="str">
        <f t="shared" si="3"/>
        <v>Thứ Năm</v>
      </c>
      <c r="J9" s="80" t="str">
        <f t="shared" si="3"/>
        <v>Thứ Sáu</v>
      </c>
      <c r="K9" s="80" t="str">
        <f t="shared" si="3"/>
        <v>Thứ Bảy</v>
      </c>
      <c r="L9" s="80" t="str">
        <f t="shared" si="3"/>
        <v>Chủ Nhật</v>
      </c>
      <c r="M9" s="80" t="str">
        <f t="shared" si="3"/>
        <v>Thứ Hai</v>
      </c>
      <c r="N9" s="80" t="str">
        <f t="shared" si="3"/>
        <v>Thứ Ba</v>
      </c>
      <c r="O9" s="80" t="str">
        <f t="shared" si="3"/>
        <v>Thứ Tư</v>
      </c>
      <c r="P9" s="80" t="str">
        <f t="shared" si="3"/>
        <v>Thứ Năm</v>
      </c>
      <c r="Q9" s="80" t="str">
        <f t="shared" si="3"/>
        <v>Thứ Sáu</v>
      </c>
      <c r="R9" s="80" t="str">
        <f t="shared" si="3"/>
        <v>Thứ Bảy</v>
      </c>
      <c r="S9" s="80" t="str">
        <f t="shared" si="3"/>
        <v>Chủ Nhật</v>
      </c>
      <c r="T9" s="80" t="str">
        <f t="shared" si="3"/>
        <v>Thứ Hai</v>
      </c>
      <c r="U9" s="80" t="str">
        <f t="shared" si="3"/>
        <v>Thứ Ba</v>
      </c>
      <c r="V9" s="80" t="str">
        <f t="shared" si="3"/>
        <v>Thứ Tư</v>
      </c>
      <c r="W9" s="80" t="str">
        <f t="shared" si="3"/>
        <v>Thứ Năm</v>
      </c>
      <c r="X9" s="80" t="str">
        <f t="shared" si="3"/>
        <v>Thứ Sáu</v>
      </c>
      <c r="Y9" s="80" t="str">
        <f t="shared" si="3"/>
        <v>Thứ Bảy</v>
      </c>
      <c r="Z9" s="80" t="str">
        <f t="shared" si="3"/>
        <v>Chủ Nhật</v>
      </c>
      <c r="AA9" s="80" t="str">
        <f t="shared" si="3"/>
        <v>Thứ Hai</v>
      </c>
      <c r="AB9" s="80" t="str">
        <f t="shared" si="3"/>
        <v>Thứ Ba</v>
      </c>
      <c r="AC9" s="80" t="str">
        <f t="shared" si="3"/>
        <v>Thứ Tư</v>
      </c>
      <c r="AD9" s="80" t="str">
        <f t="shared" si="3"/>
        <v>Thứ Năm</v>
      </c>
      <c r="AE9" s="80" t="str">
        <f t="shared" si="3"/>
        <v>Thứ Sáu</v>
      </c>
      <c r="AF9" s="80" t="str">
        <f t="shared" si="3"/>
        <v>Thứ Bảy</v>
      </c>
      <c r="AG9" s="80" t="str">
        <f t="shared" si="3"/>
        <v>Chủ Nhật</v>
      </c>
      <c r="AH9" s="81" t="str">
        <f t="shared" si="3"/>
        <v>Thứ Hai</v>
      </c>
      <c r="AI9" s="82" t="str">
        <f t="shared" si="3"/>
        <v>Thứ Ba</v>
      </c>
      <c r="AJ9" s="82" t="str">
        <f t="shared" si="3"/>
        <v>Thứ Tư</v>
      </c>
      <c r="AK9" s="82" t="str">
        <f t="shared" si="3"/>
        <v>Thứ Năm</v>
      </c>
      <c r="AL9" s="82" t="str">
        <f t="shared" si="3"/>
        <v>Thứ Sáu</v>
      </c>
      <c r="AM9" s="83" t="s">
        <v>89</v>
      </c>
      <c r="AN9" s="84" t="s">
        <v>90</v>
      </c>
      <c r="AO9" s="85" t="s">
        <v>91</v>
      </c>
      <c r="AP9" s="86" t="s">
        <v>92</v>
      </c>
      <c r="AQ9" s="87" t="s">
        <v>63</v>
      </c>
      <c r="AR9" s="592"/>
      <c r="AS9" s="88" t="s">
        <v>93</v>
      </c>
      <c r="AT9" s="89" t="s">
        <v>69</v>
      </c>
      <c r="AU9" s="595"/>
      <c r="AV9" s="597"/>
    </row>
    <row r="10" spans="1:48" ht="38.25" customHeight="1" x14ac:dyDescent="0.25">
      <c r="A10" s="90" t="s">
        <v>1</v>
      </c>
      <c r="B10" s="91" t="s">
        <v>40</v>
      </c>
      <c r="C10" s="92" t="s">
        <v>94</v>
      </c>
      <c r="D10" s="92" t="s">
        <v>95</v>
      </c>
      <c r="E10" s="93" t="s">
        <v>96</v>
      </c>
      <c r="F10" s="94" t="s">
        <v>97</v>
      </c>
      <c r="G10" s="95" t="s">
        <v>98</v>
      </c>
      <c r="H10" s="96"/>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8"/>
      <c r="AJ10" s="98"/>
      <c r="AK10" s="98"/>
      <c r="AL10" s="98"/>
      <c r="AM10" s="98"/>
      <c r="AN10" s="98"/>
      <c r="AO10" s="98"/>
      <c r="AP10" s="98"/>
      <c r="AQ10" s="98"/>
      <c r="AR10" s="99">
        <f>SUM(AR12:AR33)</f>
        <v>505</v>
      </c>
      <c r="AS10" s="98"/>
      <c r="AT10" s="99">
        <f>SUM(AT12:AT33)</f>
        <v>131</v>
      </c>
      <c r="AU10" s="98"/>
      <c r="AV10" s="98"/>
    </row>
    <row r="11" spans="1:48" ht="39" customHeight="1" x14ac:dyDescent="0.25">
      <c r="A11" s="100">
        <f t="shared" ref="A11:A20" si="4">SUBTOTAL(3,$F$11:F11)</f>
        <v>1</v>
      </c>
      <c r="B11" s="101" t="s">
        <v>323</v>
      </c>
      <c r="C11" s="102" t="s">
        <v>319</v>
      </c>
      <c r="D11" s="103" t="s">
        <v>322</v>
      </c>
      <c r="E11" s="104"/>
      <c r="F11" s="35" t="s">
        <v>318</v>
      </c>
      <c r="G11" s="105" t="s">
        <v>100</v>
      </c>
      <c r="H11" s="106" t="s">
        <v>75</v>
      </c>
      <c r="I11" s="106" t="s">
        <v>75</v>
      </c>
      <c r="J11" s="106" t="s">
        <v>75</v>
      </c>
      <c r="K11" s="106"/>
      <c r="L11" s="106"/>
      <c r="M11" s="106" t="s">
        <v>75</v>
      </c>
      <c r="N11" s="106" t="s">
        <v>75</v>
      </c>
      <c r="O11" s="106" t="s">
        <v>75</v>
      </c>
      <c r="P11" s="106" t="s">
        <v>75</v>
      </c>
      <c r="Q11" s="106" t="s">
        <v>75</v>
      </c>
      <c r="R11" s="106"/>
      <c r="S11" s="106"/>
      <c r="T11" s="106" t="s">
        <v>75</v>
      </c>
      <c r="U11" s="106" t="s">
        <v>75</v>
      </c>
      <c r="V11" s="106" t="s">
        <v>81</v>
      </c>
      <c r="W11" s="106" t="s">
        <v>81</v>
      </c>
      <c r="X11" s="106" t="s">
        <v>81</v>
      </c>
      <c r="Y11" s="106"/>
      <c r="Z11" s="106"/>
      <c r="AA11" s="106" t="s">
        <v>73</v>
      </c>
      <c r="AB11" s="106" t="s">
        <v>73</v>
      </c>
      <c r="AC11" s="106" t="s">
        <v>73</v>
      </c>
      <c r="AD11" s="106" t="s">
        <v>73</v>
      </c>
      <c r="AE11" s="106" t="s">
        <v>73</v>
      </c>
      <c r="AF11" s="106"/>
      <c r="AG11" s="106"/>
      <c r="AH11" s="106" t="s">
        <v>81</v>
      </c>
      <c r="AI11" s="106" t="s">
        <v>73</v>
      </c>
      <c r="AJ11" s="106" t="s">
        <v>73</v>
      </c>
      <c r="AK11" s="106" t="s">
        <v>81</v>
      </c>
      <c r="AL11" s="106"/>
      <c r="AM11" s="107">
        <f t="shared" ref="AM11:AM17" si="5">IF(F11="","",COUNTIF($H11:$AL11,AM$8))</f>
        <v>7</v>
      </c>
      <c r="AN11" s="108">
        <f t="shared" ref="AN11:AN12" si="6">IF(OR(G11="",G11="Đã nghỉ"),0,COUNTIF($H11:$AL11,"N1")/2++IF(AND(LEN(H11)&gt;2,OR(LEFT(H11,2)="N1",RIGHT(H11,2)="N1")),0.5)+IF(AND(LEN(I11)&gt;2,OR(LEFT(I11,2)="N1",RIGHT(I11,2)="N1")),0.5)+IF(AND(LEN(J11)&gt;2,OR(LEFT(J11,2)="N1",RIGHT(J11,2)="N1")),0.5)+IF(AND(LEN(K11)&gt;2,OR(LEFT(K11,2)="N1",RIGHT(K11,2)="N1")),0.5)+IF(AND(LEN(L11)&gt;2,OR(LEFT(L11,2)="N1",RIGHT(L11,2)="N1")),0.5)+IF(AND(LEN(M11)&gt;2,OR(LEFT(M11,2)="N1",RIGHT(M11,2)="N1")),0.5)+IF(AND(LEN(N11)&gt;2,OR(LEFT(N11,2)="N1",RIGHT(N11,2)="N1")),0.5)+IF(AND(LEN(O11)&gt;2,OR(LEFT(O11,2)="N1",RIGHT(O11,2)="N1")),0.5)+IF(AND(LEN(P11)&gt;2,OR(LEFT(P11,2)="N1",RIGHT(P11,2)="N1")),0.5)+IF(AND(LEN(Q11)&gt;2,OR(LEFT(Q11,2)="N1",RIGHT(Q11,2)="N1")),0.5)+IF(AND(LEN(R11)&gt;2,OR(LEFT(R11,2)="N1",RIGHT(R11,2)="N1")),0.5)+IF(AND(LEN(S11)&gt;2,OR(LEFT(S11,2)="N1",RIGHT(S11,2)="N1")),0.5)+IF(AND(LEN(T11)&gt;2,OR(LEFT(T11,2)="N1",RIGHT(T11,2)="N1")),0.5)+IF(AND(LEN(U11)&gt;2,OR(LEFT(U11,2)="N1",RIGHT(U11,2)="N1")),0.5)+IF(AND(LEN(V11)&gt;2,OR(LEFT(V11,2)="N1",RIGHT(V11,2)="N1")),0.5)+IF(AND(LEN(W11)&gt;2,OR(LEFT(W11,2)="N1",RIGHT(W11,2)="N1")),0.5)+IF(AND(LEN(X11)&gt;2,OR(LEFT(X11,2)="N1",RIGHT(X11,2)="N1")),0.5)+IF(AND(LEN(Y11)&gt;2,OR(LEFT(Y11,2)="N1",RIGHT(Y11,2)="N1")),0.5)+IF(AND(LEN(Z11)&gt;2,OR(LEFT(Z11,2)="N1",RIGHT(Z11,2)="N1")),0.5)+IF(AND(LEN(AA11)&gt;2,OR(LEFT(AA11,2)="N1",RIGHT(AA11,2)="N1")),0.5)+IF(AND(LEN(AB11)&gt;2,OR(LEFT(AB11,2)="N1",RIGHT(AB11,2)="N1")),0.5)+IF(AND(LEN(AC11)&gt;2,OR(LEFT(AC11,2)="N1",RIGHT(AC11,2)="N1")),0.5)+IF(AND(LEN(AD11)&gt;2,OR(LEFT(AD11,2)="N1",RIGHT(AD11,2)="N1")),0.5)+IF(AND(LEN(AE11)&gt;2,OR(LEFT(AE11,2)="N1",RIGHT(AE11,2)="N1")),0.5)+IF(AND(LEN(AF11)&gt;2,OR(LEFT(AF11,2)="N1",RIGHT(AF11,2)="N1")),0.5)+IF(AND(LEN(AG11)&gt;2,OR(LEFT(AG11,2)="N1",RIGHT(AG11,2)="N1")),0.5)+IF(AND(LEN(AH11)&gt;2,OR(LEFT(AH11,2)="N1",RIGHT(AH11,2)="N1")),0.5)+IF(AND(LEN(AI11)&gt;2,OR(LEFT(AI11,2)="N1",RIGHT(AI11,2)="N1")),0.5)+IF(AND(LEN(AJ11)&gt;2,OR(LEFT(AJ11,2)="N1",RIGHT(AJ11,2)="N1")),0.5)+IF(AND(LEN(AK11)&gt;2,OR(LEFT(AK11,2)="N1",RIGHT(AK11,2)="N1")),0.5)+IF(AND(LEN(AL11)&gt;2,OR(LEFT(AL11,2)="N1",RIGHT(AL11,2)="N1")),0.5))</f>
        <v>0</v>
      </c>
      <c r="AO11" s="109">
        <f t="shared" ref="AO11:AO12" si="7">COUNTIF(H11:AL11,"ON")+COUNTIF(H11:AL11,"ON/2")/2</f>
        <v>10</v>
      </c>
      <c r="AP11" s="110">
        <f t="shared" ref="AP11:AP12" si="8">IF(F11="","",COUNTIF($H11:$AL11,AP$8))+IF(F11="","",COUNTIF($H11:$AL11,$V$5)/2)</f>
        <v>0</v>
      </c>
      <c r="AQ11" s="111">
        <f>COUNTIF($H11:$AL11,"P")+COUNTIF($H11:$AL11,"P1")/2+IF(AND(LEN(I11)&gt;2,OR(LEFT(I11,2)="P1",RIGHT(I11,2)="P1")),0.5)+IF(AND(LEN(J11)&gt;2,OR(LEFT(J11,2)="P1",RIGHT(J11,2)="P1")),0.5)+IF(AND(LEN(K11)&gt;2,OR(LEFT(K11,2)="P1",RIGHT(K11,2)="P1")),0.5)+IF(AND(LEN(L11)&gt;2,OR(LEFT(L11,2)="P1",RIGHT(L11,2)="P1")),0.5)+IF(AND(LEN(M11)&gt;2,OR(LEFT(M11,2)="P1",RIGHT(M11,2)="P1")),0.5)+IF(AND(LEN(N11)&gt;2,OR(LEFT(N11,2)="P1",RIGHT(N11,2)="P1")),0.5)+IF(AND(LEN(O11)&gt;2,OR(LEFT(O11,2)="P1",RIGHT(O11,2)="P1")),0.5)+IF(AND(LEN(P11)&gt;2,OR(LEFT(P11,2)="P1",RIGHT(P11,2)="P1")),0.5)+IF(AND(LEN(Q11)&gt;2,OR(LEFT(Q11,2)="P1",RIGHT(Q11,2)="P1")),0.5)+IF(AND(LEN(R11)&gt;2,OR(LEFT(R11,2)="P1",RIGHT(R11,2)="P1")),0.5)+IF(AND(LEN(S11)&gt;2,OR(LEFT(S11,2)="P1",RIGHT(S11,2)="P1")),0.5)+IF(AND(LEN(T11)&gt;2,OR(LEFT(T11,2)="P1",RIGHT(T11,2)="P1")),0.5)+IF(AND(LEN(U11)&gt;2,OR(LEFT(U11,2)="P1",RIGHT(U11,2)="P1")),0.5)+IF(AND(LEN(V11)&gt;2,OR(LEFT(V11,2)="P1",RIGHT(V11,2)="P1")),0.5)+IF(AND(LEN(W11)&gt;2,OR(LEFT(W11,2)="P1",RIGHT(W11,2)="P1")),0.5)+IF(AND(LEN(X11)&gt;2,OR(LEFT(X11,2)="P1",RIGHT(X11,2)="P1")),0.5)+IF(AND(LEN(Y11)&gt;2,OR(LEFT(Y11,2)="P1",RIGHT(Y11,2)="P1")),0.5)+IF(AND(LEN(Z11)&gt;2,OR(LEFT(Z11,2)="P1",RIGHT(Z11,2)="P1")),0.5)+IF(AND(LEN(AA11)&gt;2,OR(LEFT(AA11,2)="P1",RIGHT(AA11,2)="P1")),0.5)+IF(AND(LEN(AB11)&gt;2,OR(LEFT(AB11,2)="P1",RIGHT(AB11,2)="P1")),0.5)+IF(AND(LEN(AC11)&gt;2,OR(LEFT(AC11,2)="P1",RIGHT(AC11,2)="P1")),0.5)+IF(AND(LEN(AD11)&gt;2,OR(LEFT(AD11,2)="P1",RIGHT(AD11,2)="P1")),0.5)+IF(AND(LEN(AE11)&gt;2,OR(LEFT(AE357,2)="P1",RIGHT(AE11,2)="P1")),0.5)+IF(AND(LEN(AF11)&gt;2,OR(LEFT(AF11,2)="P1",RIGHT(AF11,2)="P1")),0.5)+IF(AND(LEN(AG11)&gt;2,OR(LEFT(AG11,2)="P1",RIGHT(AG11,2)="P1")),0.5)+IF(AND(LEN(AH11)&gt;2,OR(LEFT(AH11,2)="P1",RIGHT(AH11,2)="P1")),0.5)+IF(AND(LEN(AI11)&gt;2,OR(LEFT(AI11,2)="P1",RIGHT(AI11,2)="P1")),0.5)+IF(AND(LEN(AJ11)&gt;2,OR(LEFT(AJ11,2)="P1",RIGHT(AJ11,2)="P1")),0.5)+IF(AND(LEN(AK11)&gt;2,OR(LEFT(AK11,2)="P1",RIGHT(AK11,2)="P1")),0.5)+IF(AND(LEN(AL11)&gt;2,OR(LEFT(AL11,2)="P1",RIGHT(AL11,2)="P1")),0.5)</f>
        <v>0</v>
      </c>
      <c r="AR11" s="112">
        <f t="shared" ref="AR11:AR12" si="9">IF(G11="","",AM11+AN11+AP11+AQ11)</f>
        <v>7</v>
      </c>
      <c r="AS11" s="113">
        <f t="shared" ref="AS11:AS12" si="10">IF(F11="","",COUNTIF($H11:$AL11,AS$8))++IF(F11="","",COUNTIF($H11:$AL11,"L1")/2)</f>
        <v>5</v>
      </c>
      <c r="AT11" s="114">
        <v>5</v>
      </c>
      <c r="AU11" s="115">
        <v>22</v>
      </c>
      <c r="AV11" s="116"/>
    </row>
    <row r="12" spans="1:48" ht="39" customHeight="1" x14ac:dyDescent="0.25">
      <c r="A12" s="100">
        <f t="shared" si="4"/>
        <v>2</v>
      </c>
      <c r="B12" s="101" t="s">
        <v>324</v>
      </c>
      <c r="C12" s="102" t="s">
        <v>321</v>
      </c>
      <c r="D12" s="103" t="s">
        <v>325</v>
      </c>
      <c r="E12" s="104"/>
      <c r="F12" s="35" t="s">
        <v>326</v>
      </c>
      <c r="G12" s="105" t="s">
        <v>100</v>
      </c>
      <c r="H12" s="106" t="s">
        <v>73</v>
      </c>
      <c r="I12" s="106" t="s">
        <v>73</v>
      </c>
      <c r="J12" s="106" t="s">
        <v>73</v>
      </c>
      <c r="K12" s="106"/>
      <c r="L12" s="106"/>
      <c r="M12" s="106" t="s">
        <v>73</v>
      </c>
      <c r="N12" s="106" t="s">
        <v>73</v>
      </c>
      <c r="O12" s="106" t="s">
        <v>73</v>
      </c>
      <c r="P12" s="106" t="s">
        <v>73</v>
      </c>
      <c r="Q12" s="106" t="s">
        <v>73</v>
      </c>
      <c r="R12" s="106"/>
      <c r="S12" s="106"/>
      <c r="T12" s="106" t="s">
        <v>73</v>
      </c>
      <c r="U12" s="106" t="s">
        <v>73</v>
      </c>
      <c r="V12" s="106" t="s">
        <v>73</v>
      </c>
      <c r="W12" s="106" t="s">
        <v>73</v>
      </c>
      <c r="X12" s="106" t="s">
        <v>73</v>
      </c>
      <c r="Y12" s="106"/>
      <c r="Z12" s="106"/>
      <c r="AA12" s="106" t="s">
        <v>73</v>
      </c>
      <c r="AB12" s="106" t="s">
        <v>73</v>
      </c>
      <c r="AC12" s="106" t="s">
        <v>73</v>
      </c>
      <c r="AD12" s="106" t="s">
        <v>73</v>
      </c>
      <c r="AE12" s="106" t="s">
        <v>73</v>
      </c>
      <c r="AF12" s="106"/>
      <c r="AG12" s="106"/>
      <c r="AH12" s="106" t="s">
        <v>81</v>
      </c>
      <c r="AI12" s="106" t="s">
        <v>73</v>
      </c>
      <c r="AJ12" s="106" t="s">
        <v>73</v>
      </c>
      <c r="AK12" s="106" t="s">
        <v>81</v>
      </c>
      <c r="AL12" s="106"/>
      <c r="AM12" s="107">
        <f t="shared" si="5"/>
        <v>20</v>
      </c>
      <c r="AN12" s="108">
        <f t="shared" si="6"/>
        <v>0</v>
      </c>
      <c r="AO12" s="109">
        <f t="shared" si="7"/>
        <v>0</v>
      </c>
      <c r="AP12" s="110">
        <f t="shared" si="8"/>
        <v>0</v>
      </c>
      <c r="AQ12" s="111">
        <v>0</v>
      </c>
      <c r="AR12" s="112">
        <f t="shared" si="9"/>
        <v>20</v>
      </c>
      <c r="AS12" s="113">
        <f t="shared" si="10"/>
        <v>2</v>
      </c>
      <c r="AT12" s="114">
        <f>AU12-AR12-AS12</f>
        <v>0</v>
      </c>
      <c r="AU12" s="115">
        <v>22</v>
      </c>
      <c r="AV12" s="116" t="e">
        <f>VLOOKUP(B12,'4. Bảng phép năm 2026'!B7:T7,24,0)</f>
        <v>#REF!</v>
      </c>
    </row>
    <row r="13" spans="1:48" ht="39" customHeight="1" x14ac:dyDescent="0.25">
      <c r="A13" s="100">
        <f t="shared" si="4"/>
        <v>3</v>
      </c>
      <c r="B13" s="101" t="s">
        <v>349</v>
      </c>
      <c r="C13" s="379" t="s">
        <v>339</v>
      </c>
      <c r="D13" s="103" t="s">
        <v>350</v>
      </c>
      <c r="E13" s="104"/>
      <c r="F13" s="35" t="s">
        <v>379</v>
      </c>
      <c r="G13" s="105" t="s">
        <v>100</v>
      </c>
      <c r="H13" s="106" t="s">
        <v>73</v>
      </c>
      <c r="I13" s="106" t="s">
        <v>73</v>
      </c>
      <c r="J13" s="106" t="s">
        <v>73</v>
      </c>
      <c r="K13" s="106"/>
      <c r="L13" s="106"/>
      <c r="M13" s="106" t="s">
        <v>73</v>
      </c>
      <c r="N13" s="106" t="s">
        <v>73</v>
      </c>
      <c r="O13" s="106" t="s">
        <v>73</v>
      </c>
      <c r="P13" s="106" t="s">
        <v>73</v>
      </c>
      <c r="Q13" s="106" t="s">
        <v>77</v>
      </c>
      <c r="R13" s="106"/>
      <c r="S13" s="106"/>
      <c r="T13" s="106" t="s">
        <v>73</v>
      </c>
      <c r="U13" s="106" t="s">
        <v>73</v>
      </c>
      <c r="V13" s="106" t="s">
        <v>73</v>
      </c>
      <c r="W13" s="106" t="s">
        <v>73</v>
      </c>
      <c r="X13" s="106" t="s">
        <v>73</v>
      </c>
      <c r="Y13" s="106"/>
      <c r="Z13" s="106"/>
      <c r="AA13" s="106" t="s">
        <v>73</v>
      </c>
      <c r="AB13" s="106" t="s">
        <v>73</v>
      </c>
      <c r="AC13" s="106" t="s">
        <v>73</v>
      </c>
      <c r="AD13" s="106" t="s">
        <v>73</v>
      </c>
      <c r="AE13" s="106" t="s">
        <v>73</v>
      </c>
      <c r="AF13" s="106"/>
      <c r="AG13" s="106"/>
      <c r="AH13" s="106" t="s">
        <v>81</v>
      </c>
      <c r="AI13" s="106" t="s">
        <v>73</v>
      </c>
      <c r="AJ13" s="106" t="s">
        <v>73</v>
      </c>
      <c r="AK13" s="106" t="s">
        <v>81</v>
      </c>
      <c r="AL13" s="106"/>
      <c r="AM13" s="107">
        <f t="shared" ref="AM13" si="11">IF(F13="","",COUNTIF($H13:$AL13,AM$8))</f>
        <v>19</v>
      </c>
      <c r="AN13" s="108">
        <f t="shared" ref="AN13" si="12">IF(OR(G13="",G13="Đã nghỉ"),0,COUNTIF($H13:$AL13,"N1")/2++IF(AND(LEN(H13)&gt;2,OR(LEFT(H13,2)="N1",RIGHT(H13,2)="N1")),0.5)+IF(AND(LEN(I13)&gt;2,OR(LEFT(I13,2)="N1",RIGHT(I13,2)="N1")),0.5)+IF(AND(LEN(J13)&gt;2,OR(LEFT(J13,2)="N1",RIGHT(J13,2)="N1")),0.5)+IF(AND(LEN(K13)&gt;2,OR(LEFT(K13,2)="N1",RIGHT(K13,2)="N1")),0.5)+IF(AND(LEN(L13)&gt;2,OR(LEFT(L13,2)="N1",RIGHT(L13,2)="N1")),0.5)+IF(AND(LEN(M13)&gt;2,OR(LEFT(M13,2)="N1",RIGHT(M13,2)="N1")),0.5)+IF(AND(LEN(N13)&gt;2,OR(LEFT(N13,2)="N1",RIGHT(N13,2)="N1")),0.5)+IF(AND(LEN(O13)&gt;2,OR(LEFT(O13,2)="N1",RIGHT(O13,2)="N1")),0.5)+IF(AND(LEN(P13)&gt;2,OR(LEFT(P13,2)="N1",RIGHT(P13,2)="N1")),0.5)+IF(AND(LEN(Q13)&gt;2,OR(LEFT(Q13,2)="N1",RIGHT(Q13,2)="N1")),0.5)+IF(AND(LEN(R13)&gt;2,OR(LEFT(R13,2)="N1",RIGHT(R13,2)="N1")),0.5)+IF(AND(LEN(S13)&gt;2,OR(LEFT(S13,2)="N1",RIGHT(S13,2)="N1")),0.5)+IF(AND(LEN(T13)&gt;2,OR(LEFT(T13,2)="N1",RIGHT(T13,2)="N1")),0.5)+IF(AND(LEN(U13)&gt;2,OR(LEFT(U13,2)="N1",RIGHT(U13,2)="N1")),0.5)+IF(AND(LEN(V13)&gt;2,OR(LEFT(V13,2)="N1",RIGHT(V13,2)="N1")),0.5)+IF(AND(LEN(W13)&gt;2,OR(LEFT(W13,2)="N1",RIGHT(W13,2)="N1")),0.5)+IF(AND(LEN(X13)&gt;2,OR(LEFT(X13,2)="N1",RIGHT(X13,2)="N1")),0.5)+IF(AND(LEN(Y13)&gt;2,OR(LEFT(Y13,2)="N1",RIGHT(Y13,2)="N1")),0.5)+IF(AND(LEN(Z13)&gt;2,OR(LEFT(Z13,2)="N1",RIGHT(Z13,2)="N1")),0.5)+IF(AND(LEN(AA13)&gt;2,OR(LEFT(AA13,2)="N1",RIGHT(AA13,2)="N1")),0.5)+IF(AND(LEN(AB13)&gt;2,OR(LEFT(AB13,2)="N1",RIGHT(AB13,2)="N1")),0.5)+IF(AND(LEN(AC13)&gt;2,OR(LEFT(AC13,2)="N1",RIGHT(AC13,2)="N1")),0.5)+IF(AND(LEN(AD13)&gt;2,OR(LEFT(AD13,2)="N1",RIGHT(AD13,2)="N1")),0.5)+IF(AND(LEN(AE13)&gt;2,OR(LEFT(AE13,2)="N1",RIGHT(AE13,2)="N1")),0.5)+IF(AND(LEN(AF13)&gt;2,OR(LEFT(AF13,2)="N1",RIGHT(AF13,2)="N1")),0.5)+IF(AND(LEN(AG13)&gt;2,OR(LEFT(AG13,2)="N1",RIGHT(AG13,2)="N1")),0.5)+IF(AND(LEN(AH13)&gt;2,OR(LEFT(AH13,2)="N1",RIGHT(AH13,2)="N1")),0.5)+IF(AND(LEN(AI13)&gt;2,OR(LEFT(AI13,2)="N1",RIGHT(AI13,2)="N1")),0.5)+IF(AND(LEN(AJ13)&gt;2,OR(LEFT(AJ13,2)="N1",RIGHT(AJ13,2)="N1")),0.5)+IF(AND(LEN(AK13)&gt;2,OR(LEFT(AK13,2)="N1",RIGHT(AK13,2)="N1")),0.5)+IF(AND(LEN(AL13)&gt;2,OR(LEFT(AL13,2)="N1",RIGHT(AL13,2)="N1")),0.5))</f>
        <v>0</v>
      </c>
      <c r="AO13" s="109">
        <f t="shared" ref="AO13" si="13">COUNTIF(H13:AL13,"ON")+COUNTIF(H13:AL13,"ON/2")/2</f>
        <v>0</v>
      </c>
      <c r="AP13" s="110">
        <f t="shared" ref="AP13" si="14">IF(F13="","",COUNTIF($H13:$AL13,AP$8))+IF(F13="","",COUNTIF($H13:$AL13,$V$5)/2)</f>
        <v>0</v>
      </c>
      <c r="AQ13" s="111">
        <v>1</v>
      </c>
      <c r="AR13" s="112">
        <f>IF(G13="","",AM13+AN13+AP13+AQ13)</f>
        <v>20</v>
      </c>
      <c r="AS13" s="113">
        <f t="shared" ref="AS13" si="15">IF(F13="","",COUNTIF($H13:$AL13,AS$8))++IF(F13="","",COUNTIF($H13:$AL13,"L1")/2)</f>
        <v>2</v>
      </c>
      <c r="AT13" s="114">
        <f>AU13-AR13-AS13</f>
        <v>0</v>
      </c>
      <c r="AU13" s="115">
        <v>22</v>
      </c>
      <c r="AV13" s="116"/>
    </row>
    <row r="14" spans="1:48" ht="39" customHeight="1" x14ac:dyDescent="0.25">
      <c r="A14" s="100">
        <f t="shared" si="4"/>
        <v>4</v>
      </c>
      <c r="B14" s="101" t="s">
        <v>336</v>
      </c>
      <c r="C14" s="379" t="s">
        <v>339</v>
      </c>
      <c r="D14" s="103" t="s">
        <v>337</v>
      </c>
      <c r="E14" s="104"/>
      <c r="F14" s="35" t="s">
        <v>338</v>
      </c>
      <c r="G14" s="105" t="s">
        <v>100</v>
      </c>
      <c r="H14" s="106" t="s">
        <v>74</v>
      </c>
      <c r="I14" s="106" t="s">
        <v>74</v>
      </c>
      <c r="J14" s="106" t="s">
        <v>74</v>
      </c>
      <c r="K14" s="106"/>
      <c r="L14" s="106"/>
      <c r="M14" s="106" t="s">
        <v>74</v>
      </c>
      <c r="N14" s="106" t="s">
        <v>74</v>
      </c>
      <c r="O14" s="106" t="s">
        <v>74</v>
      </c>
      <c r="P14" s="106" t="s">
        <v>74</v>
      </c>
      <c r="Q14" s="106" t="s">
        <v>74</v>
      </c>
      <c r="R14" s="106"/>
      <c r="S14" s="106"/>
      <c r="T14" s="106" t="s">
        <v>74</v>
      </c>
      <c r="U14" s="106" t="s">
        <v>74</v>
      </c>
      <c r="V14" s="106" t="s">
        <v>83</v>
      </c>
      <c r="W14" s="106" t="s">
        <v>74</v>
      </c>
      <c r="X14" s="106" t="s">
        <v>74</v>
      </c>
      <c r="Y14" s="106"/>
      <c r="Z14" s="106"/>
      <c r="AA14" s="106" t="s">
        <v>74</v>
      </c>
      <c r="AB14" s="106" t="s">
        <v>83</v>
      </c>
      <c r="AC14" s="106" t="s">
        <v>74</v>
      </c>
      <c r="AD14" s="106" t="s">
        <v>83</v>
      </c>
      <c r="AE14" s="106" t="s">
        <v>74</v>
      </c>
      <c r="AF14" s="106"/>
      <c r="AG14" s="106"/>
      <c r="AH14" s="106" t="s">
        <v>81</v>
      </c>
      <c r="AI14" s="106" t="s">
        <v>83</v>
      </c>
      <c r="AJ14" s="106" t="s">
        <v>74</v>
      </c>
      <c r="AK14" s="106" t="s">
        <v>81</v>
      </c>
      <c r="AL14" s="106"/>
      <c r="AM14" s="107">
        <f t="shared" ref="AM14" si="16">IF(F14="","",COUNTIF($H14:$AL14,AM$8))</f>
        <v>0</v>
      </c>
      <c r="AN14" s="108">
        <f t="shared" ref="AN14" si="17">IF(OR(G14="",G14="Đã nghỉ"),0,COUNTIF($H14:$AL14,"N1")/2++IF(AND(LEN(H14)&gt;2,OR(LEFT(H14,2)="N1",RIGHT(H14,2)="N1")),0.5)+IF(AND(LEN(I14)&gt;2,OR(LEFT(I14,2)="N1",RIGHT(I14,2)="N1")),0.5)+IF(AND(LEN(J14)&gt;2,OR(LEFT(J14,2)="N1",RIGHT(J14,2)="N1")),0.5)+IF(AND(LEN(K14)&gt;2,OR(LEFT(K14,2)="N1",RIGHT(K14,2)="N1")),0.5)+IF(AND(LEN(L14)&gt;2,OR(LEFT(L14,2)="N1",RIGHT(L14,2)="N1")),0.5)+IF(AND(LEN(M14)&gt;2,OR(LEFT(M14,2)="N1",RIGHT(M14,2)="N1")),0.5)+IF(AND(LEN(N14)&gt;2,OR(LEFT(N14,2)="N1",RIGHT(N14,2)="N1")),0.5)+IF(AND(LEN(O14)&gt;2,OR(LEFT(O14,2)="N1",RIGHT(O14,2)="N1")),0.5)+IF(AND(LEN(P14)&gt;2,OR(LEFT(P14,2)="N1",RIGHT(P14,2)="N1")),0.5)+IF(AND(LEN(Q14)&gt;2,OR(LEFT(Q14,2)="N1",RIGHT(Q14,2)="N1")),0.5)+IF(AND(LEN(R14)&gt;2,OR(LEFT(R14,2)="N1",RIGHT(R14,2)="N1")),0.5)+IF(AND(LEN(S14)&gt;2,OR(LEFT(S14,2)="N1",RIGHT(S14,2)="N1")),0.5)+IF(AND(LEN(T14)&gt;2,OR(LEFT(T14,2)="N1",RIGHT(T14,2)="N1")),0.5)+IF(AND(LEN(U14)&gt;2,OR(LEFT(U14,2)="N1",RIGHT(U14,2)="N1")),0.5)+IF(AND(LEN(V14)&gt;2,OR(LEFT(V14,2)="N1",RIGHT(V14,2)="N1")),0.5)+IF(AND(LEN(W14)&gt;2,OR(LEFT(W14,2)="N1",RIGHT(W14,2)="N1")),0.5)+IF(AND(LEN(X14)&gt;2,OR(LEFT(X14,2)="N1",RIGHT(X14,2)="N1")),0.5)+IF(AND(LEN(Y14)&gt;2,OR(LEFT(Y14,2)="N1",RIGHT(Y14,2)="N1")),0.5)+IF(AND(LEN(Z14)&gt;2,OR(LEFT(Z14,2)="N1",RIGHT(Z14,2)="N1")),0.5)+IF(AND(LEN(AA14)&gt;2,OR(LEFT(AA14,2)="N1",RIGHT(AA14,2)="N1")),0.5)+IF(AND(LEN(AB14)&gt;2,OR(LEFT(AB14,2)="N1",RIGHT(AB14,2)="N1")),0.5)+IF(AND(LEN(AC14)&gt;2,OR(LEFT(AC14,2)="N1",RIGHT(AC14,2)="N1")),0.5)+IF(AND(LEN(AD14)&gt;2,OR(LEFT(AD14,2)="N1",RIGHT(AD14,2)="N1")),0.5)+IF(AND(LEN(AE14)&gt;2,OR(LEFT(AE14,2)="N1",RIGHT(AE14,2)="N1")),0.5)+IF(AND(LEN(AF14)&gt;2,OR(LEFT(AF14,2)="N1",RIGHT(AF14,2)="N1")),0.5)+IF(AND(LEN(AG14)&gt;2,OR(LEFT(AG14,2)="N1",RIGHT(AG14,2)="N1")),0.5)+IF(AND(LEN(AH14)&gt;2,OR(LEFT(AH14,2)="N1",RIGHT(AH14,2)="N1")),0.5)+IF(AND(LEN(AI14)&gt;2,OR(LEFT(AI14,2)="N1",RIGHT(AI14,2)="N1")),0.5)+IF(AND(LEN(AJ14)&gt;2,OR(LEFT(AJ14,2)="N1",RIGHT(AJ14,2)="N1")),0.5)+IF(AND(LEN(AK14)&gt;2,OR(LEFT(AK14,2)="N1",RIGHT(AK14,2)="N1")),0.5)+IF(AND(LEN(AL14)&gt;2,OR(LEFT(AL14,2)="N1",RIGHT(AL14,2)="N1")),0.5))</f>
        <v>8</v>
      </c>
      <c r="AO14" s="109">
        <f t="shared" ref="AO14" si="18">COUNTIF(H14:AL14,"ON")+COUNTIF(H14:AL14,"ON/2")/2</f>
        <v>0</v>
      </c>
      <c r="AP14" s="110">
        <f t="shared" ref="AP14" si="19">IF(F14="","",COUNTIF($H14:$AL14,AP$8))+IF(F14="","",COUNTIF($H14:$AL14,$V$5)/2)</f>
        <v>0</v>
      </c>
      <c r="AQ14" s="111">
        <v>0</v>
      </c>
      <c r="AR14" s="112">
        <f t="shared" ref="AR14" si="20">IF(G14="","",AM14+AN14+AP14+AQ14)</f>
        <v>8</v>
      </c>
      <c r="AS14" s="113">
        <f t="shared" ref="AS14" si="21">IF(F14="","",COUNTIF($H14:$AL14,AS$8))++IF(F14="","",COUNTIF($H14:$AL14,"L1")/2)</f>
        <v>2</v>
      </c>
      <c r="AT14" s="114">
        <f t="shared" ref="AT14" si="22">AU14-AR14-AS14</f>
        <v>12</v>
      </c>
      <c r="AU14" s="115">
        <v>22</v>
      </c>
      <c r="AV14" s="116"/>
    </row>
    <row r="15" spans="1:48" ht="39" customHeight="1" x14ac:dyDescent="0.25">
      <c r="A15" s="100">
        <f t="shared" si="4"/>
        <v>5</v>
      </c>
      <c r="B15" s="101" t="s">
        <v>381</v>
      </c>
      <c r="C15" s="379" t="s">
        <v>319</v>
      </c>
      <c r="D15" s="103" t="s">
        <v>380</v>
      </c>
      <c r="E15" s="104"/>
      <c r="F15" s="35" t="s">
        <v>382</v>
      </c>
      <c r="G15" s="105" t="s">
        <v>320</v>
      </c>
      <c r="H15" s="106"/>
      <c r="I15" s="106"/>
      <c r="J15" s="106"/>
      <c r="K15" s="106"/>
      <c r="L15" s="106"/>
      <c r="M15" s="106" t="s">
        <v>73</v>
      </c>
      <c r="N15" s="106" t="s">
        <v>73</v>
      </c>
      <c r="O15" s="106" t="s">
        <v>73</v>
      </c>
      <c r="P15" s="106" t="s">
        <v>73</v>
      </c>
      <c r="Q15" s="106" t="s">
        <v>73</v>
      </c>
      <c r="R15" s="106"/>
      <c r="S15" s="106"/>
      <c r="T15" s="106" t="s">
        <v>73</v>
      </c>
      <c r="U15" s="106" t="s">
        <v>73</v>
      </c>
      <c r="V15" s="106" t="s">
        <v>73</v>
      </c>
      <c r="W15" s="106" t="s">
        <v>73</v>
      </c>
      <c r="X15" s="106" t="s">
        <v>73</v>
      </c>
      <c r="Y15" s="106"/>
      <c r="Z15" s="106"/>
      <c r="AA15" s="106" t="s">
        <v>73</v>
      </c>
      <c r="AB15" s="106" t="s">
        <v>73</v>
      </c>
      <c r="AC15" s="106" t="s">
        <v>73</v>
      </c>
      <c r="AD15" s="106" t="s">
        <v>73</v>
      </c>
      <c r="AE15" s="106" t="s">
        <v>73</v>
      </c>
      <c r="AF15" s="106"/>
      <c r="AG15" s="106"/>
      <c r="AH15" s="106" t="s">
        <v>83</v>
      </c>
      <c r="AI15" s="106" t="s">
        <v>73</v>
      </c>
      <c r="AJ15" s="106" t="s">
        <v>73</v>
      </c>
      <c r="AK15" s="106" t="s">
        <v>83</v>
      </c>
      <c r="AL15" s="106"/>
      <c r="AM15" s="107">
        <f t="shared" ref="AM15" si="23">IF(F15="","",COUNTIF($H15:$AL15,AM$8))</f>
        <v>17</v>
      </c>
      <c r="AN15" s="108">
        <f t="shared" ref="AN15" si="24">IF(OR(G15="",G15="Đã nghỉ"),0,COUNTIF($H15:$AL15,"N1")/2++IF(AND(LEN(H15)&gt;2,OR(LEFT(H15,2)="N1",RIGHT(H15,2)="N1")),0.5)+IF(AND(LEN(I15)&gt;2,OR(LEFT(I15,2)="N1",RIGHT(I15,2)="N1")),0.5)+IF(AND(LEN(J15)&gt;2,OR(LEFT(J15,2)="N1",RIGHT(J15,2)="N1")),0.5)+IF(AND(LEN(K15)&gt;2,OR(LEFT(K15,2)="N1",RIGHT(K15,2)="N1")),0.5)+IF(AND(LEN(L15)&gt;2,OR(LEFT(L15,2)="N1",RIGHT(L15,2)="N1")),0.5)+IF(AND(LEN(M15)&gt;2,OR(LEFT(M15,2)="N1",RIGHT(M15,2)="N1")),0.5)+IF(AND(LEN(N15)&gt;2,OR(LEFT(N15,2)="N1",RIGHT(N15,2)="N1")),0.5)+IF(AND(LEN(O15)&gt;2,OR(LEFT(O15,2)="N1",RIGHT(O15,2)="N1")),0.5)+IF(AND(LEN(P15)&gt;2,OR(LEFT(P15,2)="N1",RIGHT(P15,2)="N1")),0.5)+IF(AND(LEN(Q15)&gt;2,OR(LEFT(Q15,2)="N1",RIGHT(Q15,2)="N1")),0.5)+IF(AND(LEN(R15)&gt;2,OR(LEFT(R15,2)="N1",RIGHT(R15,2)="N1")),0.5)+IF(AND(LEN(S15)&gt;2,OR(LEFT(S15,2)="N1",RIGHT(S15,2)="N1")),0.5)+IF(AND(LEN(T15)&gt;2,OR(LEFT(T15,2)="N1",RIGHT(T15,2)="N1")),0.5)+IF(AND(LEN(U15)&gt;2,OR(LEFT(U15,2)="N1",RIGHT(U15,2)="N1")),0.5)+IF(AND(LEN(V15)&gt;2,OR(LEFT(V15,2)="N1",RIGHT(V15,2)="N1")),0.5)+IF(AND(LEN(W15)&gt;2,OR(LEFT(W15,2)="N1",RIGHT(W15,2)="N1")),0.5)+IF(AND(LEN(X15)&gt;2,OR(LEFT(X15,2)="N1",RIGHT(X15,2)="N1")),0.5)+IF(AND(LEN(Y15)&gt;2,OR(LEFT(Y15,2)="N1",RIGHT(Y15,2)="N1")),0.5)+IF(AND(LEN(Z15)&gt;2,OR(LEFT(Z15,2)="N1",RIGHT(Z15,2)="N1")),0.5)+IF(AND(LEN(AA15)&gt;2,OR(LEFT(AA15,2)="N1",RIGHT(AA15,2)="N1")),0.5)+IF(AND(LEN(AB15)&gt;2,OR(LEFT(AB15,2)="N1",RIGHT(AB15,2)="N1")),0.5)+IF(AND(LEN(AC15)&gt;2,OR(LEFT(AC15,2)="N1",RIGHT(AC15,2)="N1")),0.5)+IF(AND(LEN(AD15)&gt;2,OR(LEFT(AD15,2)="N1",RIGHT(AD15,2)="N1")),0.5)+IF(AND(LEN(AE15)&gt;2,OR(LEFT(AE15,2)="N1",RIGHT(AE15,2)="N1")),0.5)+IF(AND(LEN(AF15)&gt;2,OR(LEFT(AF15,2)="N1",RIGHT(AF15,2)="N1")),0.5)+IF(AND(LEN(AG15)&gt;2,OR(LEFT(AG15,2)="N1",RIGHT(AG15,2)="N1")),0.5)+IF(AND(LEN(AH15)&gt;2,OR(LEFT(AH15,2)="N1",RIGHT(AH15,2)="N1")),0.5)+IF(AND(LEN(AI15)&gt;2,OR(LEFT(AI15,2)="N1",RIGHT(AI15,2)="N1")),0.5)+IF(AND(LEN(AJ15)&gt;2,OR(LEFT(AJ15,2)="N1",RIGHT(AJ15,2)="N1")),0.5)+IF(AND(LEN(AK15)&gt;2,OR(LEFT(AK15,2)="N1",RIGHT(AK15,2)="N1")),0.5)+IF(AND(LEN(AL15)&gt;2,OR(LEFT(AL15,2)="N1",RIGHT(AL15,2)="N1")),0.5))</f>
        <v>0</v>
      </c>
      <c r="AO15" s="109">
        <f t="shared" ref="AO15" si="25">COUNTIF(H15:AL15,"ON")+COUNTIF(H15:AL15,"ON/2")/2</f>
        <v>0</v>
      </c>
      <c r="AP15" s="110">
        <f t="shared" ref="AP15" si="26">IF(F15="","",COUNTIF($H15:$AL15,AP$8))+IF(F15="","",COUNTIF($H15:$AL15,$V$5)/2)</f>
        <v>0</v>
      </c>
      <c r="AQ15" s="111">
        <v>0</v>
      </c>
      <c r="AR15" s="112">
        <f t="shared" ref="AR15" si="27">IF(G15="","",AM15+AN15+AP15+AQ15)</f>
        <v>17</v>
      </c>
      <c r="AS15" s="113">
        <f t="shared" ref="AS15" si="28">IF(F15="","",COUNTIF($H15:$AL15,AS$8))++IF(F15="","",COUNTIF($H15:$AL15,"L1")/2)</f>
        <v>0</v>
      </c>
      <c r="AT15" s="114">
        <f t="shared" ref="AT15" si="29">AU15-AR15-AS15</f>
        <v>5</v>
      </c>
      <c r="AU15" s="115">
        <v>22</v>
      </c>
      <c r="AV15" s="116"/>
    </row>
    <row r="16" spans="1:48" ht="39" customHeight="1" x14ac:dyDescent="0.25">
      <c r="A16" s="100">
        <f t="shared" si="4"/>
        <v>6</v>
      </c>
      <c r="B16" s="101" t="s">
        <v>354</v>
      </c>
      <c r="C16" s="379" t="s">
        <v>321</v>
      </c>
      <c r="D16" s="103" t="s">
        <v>353</v>
      </c>
      <c r="E16" s="104"/>
      <c r="F16" s="35" t="s">
        <v>355</v>
      </c>
      <c r="G16" s="105" t="s">
        <v>100</v>
      </c>
      <c r="H16" s="106" t="s">
        <v>73</v>
      </c>
      <c r="I16" s="106" t="s">
        <v>73</v>
      </c>
      <c r="J16" s="106" t="s">
        <v>73</v>
      </c>
      <c r="K16" s="106"/>
      <c r="L16" s="106"/>
      <c r="M16" s="106" t="s">
        <v>73</v>
      </c>
      <c r="N16" s="106" t="s">
        <v>73</v>
      </c>
      <c r="O16" s="106" t="s">
        <v>73</v>
      </c>
      <c r="P16" s="106" t="s">
        <v>73</v>
      </c>
      <c r="Q16" s="106" t="s">
        <v>73</v>
      </c>
      <c r="R16" s="106"/>
      <c r="S16" s="106"/>
      <c r="T16" s="106" t="s">
        <v>73</v>
      </c>
      <c r="U16" s="106" t="s">
        <v>73</v>
      </c>
      <c r="V16" s="106" t="s">
        <v>73</v>
      </c>
      <c r="W16" s="106" t="s">
        <v>73</v>
      </c>
      <c r="X16" s="106" t="s">
        <v>73</v>
      </c>
      <c r="Y16" s="106"/>
      <c r="Z16" s="106"/>
      <c r="AA16" s="106" t="s">
        <v>73</v>
      </c>
      <c r="AB16" s="106" t="s">
        <v>73</v>
      </c>
      <c r="AC16" s="106" t="s">
        <v>73</v>
      </c>
      <c r="AD16" s="106" t="s">
        <v>73</v>
      </c>
      <c r="AE16" s="106" t="s">
        <v>73</v>
      </c>
      <c r="AF16" s="106"/>
      <c r="AG16" s="106"/>
      <c r="AH16" s="106" t="s">
        <v>81</v>
      </c>
      <c r="AI16" s="106" t="s">
        <v>73</v>
      </c>
      <c r="AJ16" s="106" t="s">
        <v>73</v>
      </c>
      <c r="AK16" s="106" t="s">
        <v>81</v>
      </c>
      <c r="AL16" s="106"/>
      <c r="AM16" s="107">
        <f t="shared" ref="AM16" si="30">IF(F16="","",COUNTIF($H16:$AL16,AM$8))</f>
        <v>20</v>
      </c>
      <c r="AN16" s="108">
        <f t="shared" ref="AN16" si="31">IF(OR(G16="",G16="Đã nghỉ"),0,COUNTIF($H16:$AL16,"N1")/2++IF(AND(LEN(H16)&gt;2,OR(LEFT(H16,2)="N1",RIGHT(H16,2)="N1")),0.5)+IF(AND(LEN(I16)&gt;2,OR(LEFT(I16,2)="N1",RIGHT(I16,2)="N1")),0.5)+IF(AND(LEN(J16)&gt;2,OR(LEFT(J16,2)="N1",RIGHT(J16,2)="N1")),0.5)+IF(AND(LEN(K16)&gt;2,OR(LEFT(K16,2)="N1",RIGHT(K16,2)="N1")),0.5)+IF(AND(LEN(L16)&gt;2,OR(LEFT(L16,2)="N1",RIGHT(L16,2)="N1")),0.5)+IF(AND(LEN(M16)&gt;2,OR(LEFT(M16,2)="N1",RIGHT(M16,2)="N1")),0.5)+IF(AND(LEN(N16)&gt;2,OR(LEFT(N16,2)="N1",RIGHT(N16,2)="N1")),0.5)+IF(AND(LEN(O16)&gt;2,OR(LEFT(O16,2)="N1",RIGHT(O16,2)="N1")),0.5)+IF(AND(LEN(P16)&gt;2,OR(LEFT(P16,2)="N1",RIGHT(P16,2)="N1")),0.5)+IF(AND(LEN(Q16)&gt;2,OR(LEFT(Q16,2)="N1",RIGHT(Q16,2)="N1")),0.5)+IF(AND(LEN(R16)&gt;2,OR(LEFT(R16,2)="N1",RIGHT(R16,2)="N1")),0.5)+IF(AND(LEN(S16)&gt;2,OR(LEFT(S16,2)="N1",RIGHT(S16,2)="N1")),0.5)+IF(AND(LEN(T16)&gt;2,OR(LEFT(T16,2)="N1",RIGHT(T16,2)="N1")),0.5)+IF(AND(LEN(U16)&gt;2,OR(LEFT(U16,2)="N1",RIGHT(U16,2)="N1")),0.5)+IF(AND(LEN(V16)&gt;2,OR(LEFT(V16,2)="N1",RIGHT(V16,2)="N1")),0.5)+IF(AND(LEN(W16)&gt;2,OR(LEFT(W16,2)="N1",RIGHT(W16,2)="N1")),0.5)+IF(AND(LEN(X16)&gt;2,OR(LEFT(X16,2)="N1",RIGHT(X16,2)="N1")),0.5)+IF(AND(LEN(Y16)&gt;2,OR(LEFT(Y16,2)="N1",RIGHT(Y16,2)="N1")),0.5)+IF(AND(LEN(Z16)&gt;2,OR(LEFT(Z16,2)="N1",RIGHT(Z16,2)="N1")),0.5)+IF(AND(LEN(AA16)&gt;2,OR(LEFT(AA16,2)="N1",RIGHT(AA16,2)="N1")),0.5)+IF(AND(LEN(AB16)&gt;2,OR(LEFT(AB16,2)="N1",RIGHT(AB16,2)="N1")),0.5)+IF(AND(LEN(AC16)&gt;2,OR(LEFT(AC16,2)="N1",RIGHT(AC16,2)="N1")),0.5)+IF(AND(LEN(AD16)&gt;2,OR(LEFT(AD16,2)="N1",RIGHT(AD16,2)="N1")),0.5)+IF(AND(LEN(AE16)&gt;2,OR(LEFT(AE16,2)="N1",RIGHT(AE16,2)="N1")),0.5)+IF(AND(LEN(AF16)&gt;2,OR(LEFT(AF16,2)="N1",RIGHT(AF16,2)="N1")),0.5)+IF(AND(LEN(AG16)&gt;2,OR(LEFT(AG16,2)="N1",RIGHT(AG16,2)="N1")),0.5)+IF(AND(LEN(AH16)&gt;2,OR(LEFT(AH16,2)="N1",RIGHT(AH16,2)="N1")),0.5)+IF(AND(LEN(AI16)&gt;2,OR(LEFT(AI16,2)="N1",RIGHT(AI16,2)="N1")),0.5)+IF(AND(LEN(AJ16)&gt;2,OR(LEFT(AJ16,2)="N1",RIGHT(AJ16,2)="N1")),0.5)+IF(AND(LEN(AK16)&gt;2,OR(LEFT(AK16,2)="N1",RIGHT(AK16,2)="N1")),0.5)+IF(AND(LEN(AL16)&gt;2,OR(LEFT(AL16,2)="N1",RIGHT(AL16,2)="N1")),0.5))</f>
        <v>0</v>
      </c>
      <c r="AO16" s="109">
        <f t="shared" ref="AO16" si="32">COUNTIF(H16:AL16,"ON")+COUNTIF(H16:AL16,"ON/2")/2</f>
        <v>0</v>
      </c>
      <c r="AP16" s="110">
        <f t="shared" ref="AP16" si="33">IF(F16="","",COUNTIF($H16:$AL16,AP$8))+IF(F16="","",COUNTIF($H16:$AL16,$V$5)/2)</f>
        <v>0</v>
      </c>
      <c r="AQ16" s="111">
        <v>0</v>
      </c>
      <c r="AR16" s="112">
        <f t="shared" ref="AR16" si="34">IF(G16="","",AM16+AN16+AP16+AQ16)</f>
        <v>20</v>
      </c>
      <c r="AS16" s="113">
        <f t="shared" ref="AS16" si="35">IF(F16="","",COUNTIF($H16:$AL16,AS$8))++IF(F16="","",COUNTIF($H16:$AL16,"L1")/2)</f>
        <v>2</v>
      </c>
      <c r="AT16" s="114">
        <f t="shared" ref="AT16" si="36">AU16-AR16-AS16</f>
        <v>0</v>
      </c>
      <c r="AU16" s="115">
        <v>22</v>
      </c>
      <c r="AV16" s="116"/>
    </row>
    <row r="17" spans="1:48" ht="39" customHeight="1" x14ac:dyDescent="0.25">
      <c r="A17" s="100">
        <f t="shared" si="4"/>
        <v>7</v>
      </c>
      <c r="B17" s="101" t="s">
        <v>340</v>
      </c>
      <c r="C17" s="379" t="s">
        <v>321</v>
      </c>
      <c r="D17" s="103" t="s">
        <v>344</v>
      </c>
      <c r="E17" s="104"/>
      <c r="F17" s="35" t="s">
        <v>341</v>
      </c>
      <c r="G17" s="105" t="s">
        <v>100</v>
      </c>
      <c r="H17" s="106" t="s">
        <v>73</v>
      </c>
      <c r="I17" s="106" t="s">
        <v>73</v>
      </c>
      <c r="J17" s="106" t="s">
        <v>73</v>
      </c>
      <c r="K17" s="106"/>
      <c r="L17" s="106"/>
      <c r="M17" s="106" t="s">
        <v>73</v>
      </c>
      <c r="N17" s="106" t="s">
        <v>73</v>
      </c>
      <c r="O17" s="106" t="s">
        <v>73</v>
      </c>
      <c r="P17" s="106" t="s">
        <v>73</v>
      </c>
      <c r="Q17" s="106" t="s">
        <v>73</v>
      </c>
      <c r="R17" s="106"/>
      <c r="S17" s="106"/>
      <c r="T17" s="106" t="s">
        <v>73</v>
      </c>
      <c r="U17" s="106" t="s">
        <v>73</v>
      </c>
      <c r="V17" s="106" t="s">
        <v>73</v>
      </c>
      <c r="W17" s="106" t="s">
        <v>73</v>
      </c>
      <c r="X17" s="106" t="s">
        <v>73</v>
      </c>
      <c r="Y17" s="106"/>
      <c r="Z17" s="106"/>
      <c r="AA17" s="106" t="s">
        <v>73</v>
      </c>
      <c r="AB17" s="106" t="s">
        <v>73</v>
      </c>
      <c r="AC17" s="106" t="s">
        <v>73</v>
      </c>
      <c r="AD17" s="106" t="s">
        <v>73</v>
      </c>
      <c r="AE17" s="106" t="s">
        <v>73</v>
      </c>
      <c r="AF17" s="106"/>
      <c r="AG17" s="106"/>
      <c r="AH17" s="106" t="s">
        <v>81</v>
      </c>
      <c r="AI17" s="106" t="s">
        <v>73</v>
      </c>
      <c r="AJ17" s="106" t="s">
        <v>73</v>
      </c>
      <c r="AK17" s="106" t="s">
        <v>81</v>
      </c>
      <c r="AL17" s="106"/>
      <c r="AM17" s="107">
        <f t="shared" si="5"/>
        <v>20</v>
      </c>
      <c r="AN17" s="108">
        <f t="shared" ref="AN17" si="37">IF(OR(G17="",G17="Đã nghỉ"),0,COUNTIF($H17:$AL17,"N1")/2++IF(AND(LEN(H17)&gt;2,OR(LEFT(H17,2)="N1",RIGHT(H17,2)="N1")),0.5)+IF(AND(LEN(I17)&gt;2,OR(LEFT(I17,2)="N1",RIGHT(I17,2)="N1")),0.5)+IF(AND(LEN(J17)&gt;2,OR(LEFT(J17,2)="N1",RIGHT(J17,2)="N1")),0.5)+IF(AND(LEN(K17)&gt;2,OR(LEFT(K17,2)="N1",RIGHT(K17,2)="N1")),0.5)+IF(AND(LEN(L17)&gt;2,OR(LEFT(L17,2)="N1",RIGHT(L17,2)="N1")),0.5)+IF(AND(LEN(M17)&gt;2,OR(LEFT(M17,2)="N1",RIGHT(M17,2)="N1")),0.5)+IF(AND(LEN(N17)&gt;2,OR(LEFT(N17,2)="N1",RIGHT(N17,2)="N1")),0.5)+IF(AND(LEN(O17)&gt;2,OR(LEFT(O17,2)="N1",RIGHT(O17,2)="N1")),0.5)+IF(AND(LEN(P17)&gt;2,OR(LEFT(P17,2)="N1",RIGHT(P17,2)="N1")),0.5)+IF(AND(LEN(Q17)&gt;2,OR(LEFT(Q17,2)="N1",RIGHT(Q17,2)="N1")),0.5)+IF(AND(LEN(R17)&gt;2,OR(LEFT(R17,2)="N1",RIGHT(R17,2)="N1")),0.5)+IF(AND(LEN(S17)&gt;2,OR(LEFT(S17,2)="N1",RIGHT(S17,2)="N1")),0.5)+IF(AND(LEN(T17)&gt;2,OR(LEFT(T17,2)="N1",RIGHT(T17,2)="N1")),0.5)+IF(AND(LEN(U17)&gt;2,OR(LEFT(U17,2)="N1",RIGHT(U17,2)="N1")),0.5)+IF(AND(LEN(V17)&gt;2,OR(LEFT(V17,2)="N1",RIGHT(V17,2)="N1")),0.5)+IF(AND(LEN(W17)&gt;2,OR(LEFT(W17,2)="N1",RIGHT(W17,2)="N1")),0.5)+IF(AND(LEN(X17)&gt;2,OR(LEFT(X17,2)="N1",RIGHT(X17,2)="N1")),0.5)+IF(AND(LEN(Y17)&gt;2,OR(LEFT(Y17,2)="N1",RIGHT(Y17,2)="N1")),0.5)+IF(AND(LEN(Z17)&gt;2,OR(LEFT(Z17,2)="N1",RIGHT(Z17,2)="N1")),0.5)+IF(AND(LEN(AA17)&gt;2,OR(LEFT(AA17,2)="N1",RIGHT(AA17,2)="N1")),0.5)+IF(AND(LEN(AB17)&gt;2,OR(LEFT(AB17,2)="N1",RIGHT(AB17,2)="N1")),0.5)+IF(AND(LEN(AC17)&gt;2,OR(LEFT(AC17,2)="N1",RIGHT(AC17,2)="N1")),0.5)+IF(AND(LEN(AD17)&gt;2,OR(LEFT(AD17,2)="N1",RIGHT(AD17,2)="N1")),0.5)+IF(AND(LEN(AE17)&gt;2,OR(LEFT(AE17,2)="N1",RIGHT(AE17,2)="N1")),0.5)+IF(AND(LEN(AF17)&gt;2,OR(LEFT(AF17,2)="N1",RIGHT(AF17,2)="N1")),0.5)+IF(AND(LEN(AG17)&gt;2,OR(LEFT(AG17,2)="N1",RIGHT(AG17,2)="N1")),0.5)+IF(AND(LEN(AH17)&gt;2,OR(LEFT(AH17,2)="N1",RIGHT(AH17,2)="N1")),0.5)+IF(AND(LEN(AI17)&gt;2,OR(LEFT(AI17,2)="N1",RIGHT(AI17,2)="N1")),0.5)+IF(AND(LEN(AJ17)&gt;2,OR(LEFT(AJ17,2)="N1",RIGHT(AJ17,2)="N1")),0.5)+IF(AND(LEN(AK17)&gt;2,OR(LEFT(AK17,2)="N1",RIGHT(AK17,2)="N1")),0.5)+IF(AND(LEN(AL17)&gt;2,OR(LEFT(AL17,2)="N1",RIGHT(AL17,2)="N1")),0.5))</f>
        <v>0</v>
      </c>
      <c r="AO17" s="109">
        <f t="shared" ref="AO17" si="38">COUNTIF(H17:AL17,"ON")+COUNTIF(H17:AL17,"ON/2")/2</f>
        <v>0</v>
      </c>
      <c r="AP17" s="110">
        <f t="shared" ref="AP17" si="39">IF(F17="","",COUNTIF($H17:$AL17,AP$8))+IF(F17="","",COUNTIF($H17:$AL17,$V$5)/2)</f>
        <v>0</v>
      </c>
      <c r="AQ17" s="111">
        <v>0</v>
      </c>
      <c r="AR17" s="112">
        <f t="shared" ref="AR17" si="40">IF(G17="","",AM17+AN17+AP17+AQ17)</f>
        <v>20</v>
      </c>
      <c r="AS17" s="113">
        <f t="shared" ref="AS17" si="41">IF(F17="","",COUNTIF($H17:$AL17,AS$8))++IF(F17="","",COUNTIF($H17:$AL17,"L1")/2)</f>
        <v>2</v>
      </c>
      <c r="AT17" s="114">
        <f t="shared" ref="AT17" si="42">AU17-AR17-AS17</f>
        <v>0</v>
      </c>
      <c r="AU17" s="115">
        <v>22</v>
      </c>
      <c r="AV17" s="116"/>
    </row>
    <row r="18" spans="1:48" ht="39" customHeight="1" x14ac:dyDescent="0.25">
      <c r="A18" s="100">
        <f t="shared" si="4"/>
        <v>8</v>
      </c>
      <c r="B18" s="101" t="s">
        <v>363</v>
      </c>
      <c r="C18" s="379" t="s">
        <v>339</v>
      </c>
      <c r="D18" s="103" t="s">
        <v>350</v>
      </c>
      <c r="E18" s="104"/>
      <c r="F18" s="35" t="s">
        <v>362</v>
      </c>
      <c r="G18" s="105" t="s">
        <v>100</v>
      </c>
      <c r="H18" s="106" t="s">
        <v>73</v>
      </c>
      <c r="I18" s="106" t="s">
        <v>73</v>
      </c>
      <c r="J18" s="106" t="s">
        <v>73</v>
      </c>
      <c r="K18" s="106"/>
      <c r="L18" s="106"/>
      <c r="M18" s="106" t="s">
        <v>73</v>
      </c>
      <c r="N18" s="106" t="s">
        <v>73</v>
      </c>
      <c r="O18" s="106" t="s">
        <v>73</v>
      </c>
      <c r="P18" s="106" t="s">
        <v>73</v>
      </c>
      <c r="Q18" s="106" t="s">
        <v>73</v>
      </c>
      <c r="R18" s="106"/>
      <c r="S18" s="106"/>
      <c r="T18" s="106" t="s">
        <v>73</v>
      </c>
      <c r="U18" s="106" t="s">
        <v>73</v>
      </c>
      <c r="V18" s="106" t="s">
        <v>73</v>
      </c>
      <c r="W18" s="106" t="s">
        <v>73</v>
      </c>
      <c r="X18" s="106" t="s">
        <v>73</v>
      </c>
      <c r="Y18" s="106"/>
      <c r="Z18" s="106"/>
      <c r="AA18" s="106" t="s">
        <v>73</v>
      </c>
      <c r="AB18" s="106" t="s">
        <v>73</v>
      </c>
      <c r="AC18" s="106" t="s">
        <v>73</v>
      </c>
      <c r="AD18" s="106" t="s">
        <v>73</v>
      </c>
      <c r="AE18" s="106" t="s">
        <v>73</v>
      </c>
      <c r="AF18" s="106"/>
      <c r="AG18" s="106"/>
      <c r="AH18" s="106" t="s">
        <v>81</v>
      </c>
      <c r="AI18" s="106" t="s">
        <v>73</v>
      </c>
      <c r="AJ18" s="106" t="s">
        <v>73</v>
      </c>
      <c r="AK18" s="106" t="s">
        <v>81</v>
      </c>
      <c r="AL18" s="106"/>
      <c r="AM18" s="107">
        <f t="shared" ref="AM18" si="43">IF(F18="","",COUNTIF($H18:$AL18,AM$8))</f>
        <v>20</v>
      </c>
      <c r="AN18" s="108">
        <f t="shared" ref="AN18" si="44">IF(OR(G18="",G18="Đã nghỉ"),0,COUNTIF($H18:$AL18,"N1")/2++IF(AND(LEN(H18)&gt;2,OR(LEFT(H18,2)="N1",RIGHT(H18,2)="N1")),0.5)+IF(AND(LEN(I18)&gt;2,OR(LEFT(I18,2)="N1",RIGHT(I18,2)="N1")),0.5)+IF(AND(LEN(J18)&gt;2,OR(LEFT(J18,2)="N1",RIGHT(J18,2)="N1")),0.5)+IF(AND(LEN(K18)&gt;2,OR(LEFT(K18,2)="N1",RIGHT(K18,2)="N1")),0.5)+IF(AND(LEN(L18)&gt;2,OR(LEFT(L18,2)="N1",RIGHT(L18,2)="N1")),0.5)+IF(AND(LEN(M18)&gt;2,OR(LEFT(M18,2)="N1",RIGHT(M18,2)="N1")),0.5)+IF(AND(LEN(N18)&gt;2,OR(LEFT(N18,2)="N1",RIGHT(N18,2)="N1")),0.5)+IF(AND(LEN(O18)&gt;2,OR(LEFT(O18,2)="N1",RIGHT(O18,2)="N1")),0.5)+IF(AND(LEN(P18)&gt;2,OR(LEFT(P18,2)="N1",RIGHT(P18,2)="N1")),0.5)+IF(AND(LEN(Q18)&gt;2,OR(LEFT(Q18,2)="N1",RIGHT(Q18,2)="N1")),0.5)+IF(AND(LEN(R18)&gt;2,OR(LEFT(R18,2)="N1",RIGHT(R18,2)="N1")),0.5)+IF(AND(LEN(S18)&gt;2,OR(LEFT(S18,2)="N1",RIGHT(S18,2)="N1")),0.5)+IF(AND(LEN(T18)&gt;2,OR(LEFT(T18,2)="N1",RIGHT(T18,2)="N1")),0.5)+IF(AND(LEN(U18)&gt;2,OR(LEFT(U18,2)="N1",RIGHT(U18,2)="N1")),0.5)+IF(AND(LEN(V18)&gt;2,OR(LEFT(V18,2)="N1",RIGHT(V18,2)="N1")),0.5)+IF(AND(LEN(W18)&gt;2,OR(LEFT(W18,2)="N1",RIGHT(W18,2)="N1")),0.5)+IF(AND(LEN(X18)&gt;2,OR(LEFT(X18,2)="N1",RIGHT(X18,2)="N1")),0.5)+IF(AND(LEN(Y18)&gt;2,OR(LEFT(Y18,2)="N1",RIGHT(Y18,2)="N1")),0.5)+IF(AND(LEN(Z18)&gt;2,OR(LEFT(Z18,2)="N1",RIGHT(Z18,2)="N1")),0.5)+IF(AND(LEN(AA18)&gt;2,OR(LEFT(AA18,2)="N1",RIGHT(AA18,2)="N1")),0.5)+IF(AND(LEN(AB18)&gt;2,OR(LEFT(AB18,2)="N1",RIGHT(AB18,2)="N1")),0.5)+IF(AND(LEN(AC18)&gt;2,OR(LEFT(AC18,2)="N1",RIGHT(AC18,2)="N1")),0.5)+IF(AND(LEN(AD18)&gt;2,OR(LEFT(AD18,2)="N1",RIGHT(AD18,2)="N1")),0.5)+IF(AND(LEN(AE18)&gt;2,OR(LEFT(AE18,2)="N1",RIGHT(AE18,2)="N1")),0.5)+IF(AND(LEN(AF18)&gt;2,OR(LEFT(AF18,2)="N1",RIGHT(AF18,2)="N1")),0.5)+IF(AND(LEN(AG18)&gt;2,OR(LEFT(AG18,2)="N1",RIGHT(AG18,2)="N1")),0.5)+IF(AND(LEN(AH18)&gt;2,OR(LEFT(AH18,2)="N1",RIGHT(AH18,2)="N1")),0.5)+IF(AND(LEN(AI18)&gt;2,OR(LEFT(AI18,2)="N1",RIGHT(AI18,2)="N1")),0.5)+IF(AND(LEN(AJ18)&gt;2,OR(LEFT(AJ18,2)="N1",RIGHT(AJ18,2)="N1")),0.5)+IF(AND(LEN(AK18)&gt;2,OR(LEFT(AK18,2)="N1",RIGHT(AK18,2)="N1")),0.5)+IF(AND(LEN(AL18)&gt;2,OR(LEFT(AL18,2)="N1",RIGHT(AL18,2)="N1")),0.5))</f>
        <v>0</v>
      </c>
      <c r="AO18" s="109">
        <f t="shared" ref="AO18" si="45">COUNTIF(H18:AL18,"ON")+COUNTIF(H18:AL18,"ON/2")/2</f>
        <v>0</v>
      </c>
      <c r="AP18" s="110">
        <f t="shared" ref="AP18" si="46">IF(F18="","",COUNTIF($H18:$AL18,AP$8))+IF(F18="","",COUNTIF($H18:$AL18,$V$5)/2)</f>
        <v>0</v>
      </c>
      <c r="AQ18" s="111">
        <v>0</v>
      </c>
      <c r="AR18" s="112">
        <f t="shared" ref="AR18" si="47">IF(G18="","",AM18+AN18+AP18+AQ18)</f>
        <v>20</v>
      </c>
      <c r="AS18" s="113">
        <f t="shared" ref="AS18" si="48">IF(F18="","",COUNTIF($H18:$AL18,AS$8))++IF(F18="","",COUNTIF($H18:$AL18,"L1")/2)</f>
        <v>2</v>
      </c>
      <c r="AT18" s="114">
        <f t="shared" ref="AT18" si="49">AU18-AR18-AS18</f>
        <v>0</v>
      </c>
      <c r="AU18" s="115">
        <v>22</v>
      </c>
      <c r="AV18" s="116"/>
    </row>
    <row r="19" spans="1:48" ht="39" customHeight="1" x14ac:dyDescent="0.25">
      <c r="A19" s="100">
        <f t="shared" si="4"/>
        <v>9</v>
      </c>
      <c r="B19" s="101" t="s">
        <v>365</v>
      </c>
      <c r="C19" s="379" t="s">
        <v>319</v>
      </c>
      <c r="D19" s="103" t="s">
        <v>364</v>
      </c>
      <c r="E19" s="104"/>
      <c r="F19" s="35" t="s">
        <v>366</v>
      </c>
      <c r="G19" s="105" t="s">
        <v>100</v>
      </c>
      <c r="H19" s="106" t="s">
        <v>73</v>
      </c>
      <c r="I19" s="106" t="s">
        <v>73</v>
      </c>
      <c r="J19" s="106" t="s">
        <v>73</v>
      </c>
      <c r="K19" s="106"/>
      <c r="L19" s="106"/>
      <c r="M19" s="106" t="s">
        <v>73</v>
      </c>
      <c r="N19" s="106" t="s">
        <v>73</v>
      </c>
      <c r="O19" s="106" t="s">
        <v>73</v>
      </c>
      <c r="P19" s="106" t="s">
        <v>73</v>
      </c>
      <c r="Q19" s="106" t="s">
        <v>73</v>
      </c>
      <c r="R19" s="106"/>
      <c r="S19" s="106"/>
      <c r="T19" s="106" t="s">
        <v>73</v>
      </c>
      <c r="U19" s="106" t="s">
        <v>73</v>
      </c>
      <c r="V19" s="106" t="s">
        <v>73</v>
      </c>
      <c r="W19" s="106" t="s">
        <v>73</v>
      </c>
      <c r="X19" s="106" t="s">
        <v>73</v>
      </c>
      <c r="Y19" s="106"/>
      <c r="Z19" s="106"/>
      <c r="AA19" s="106" t="s">
        <v>73</v>
      </c>
      <c r="AB19" s="106" t="s">
        <v>73</v>
      </c>
      <c r="AC19" s="106" t="s">
        <v>73</v>
      </c>
      <c r="AD19" s="106" t="s">
        <v>73</v>
      </c>
      <c r="AE19" s="106" t="s">
        <v>73</v>
      </c>
      <c r="AF19" s="106"/>
      <c r="AG19" s="106"/>
      <c r="AH19" s="106" t="s">
        <v>81</v>
      </c>
      <c r="AI19" s="106" t="s">
        <v>73</v>
      </c>
      <c r="AJ19" s="106" t="s">
        <v>73</v>
      </c>
      <c r="AK19" s="106" t="s">
        <v>81</v>
      </c>
      <c r="AL19" s="106"/>
      <c r="AM19" s="107">
        <f t="shared" ref="AM19:AM23" si="50">IF(F19="","",COUNTIF($H19:$AL19,AM$8))</f>
        <v>20</v>
      </c>
      <c r="AN19" s="108">
        <f t="shared" ref="AN19:AN23" si="51">IF(OR(G19="",G19="Đã nghỉ"),0,COUNTIF($H19:$AL19,"N1")/2++IF(AND(LEN(H19)&gt;2,OR(LEFT(H19,2)="N1",RIGHT(H19,2)="N1")),0.5)+IF(AND(LEN(I19)&gt;2,OR(LEFT(I19,2)="N1",RIGHT(I19,2)="N1")),0.5)+IF(AND(LEN(J19)&gt;2,OR(LEFT(J19,2)="N1",RIGHT(J19,2)="N1")),0.5)+IF(AND(LEN(K19)&gt;2,OR(LEFT(K19,2)="N1",RIGHT(K19,2)="N1")),0.5)+IF(AND(LEN(L19)&gt;2,OR(LEFT(L19,2)="N1",RIGHT(L19,2)="N1")),0.5)+IF(AND(LEN(M19)&gt;2,OR(LEFT(M19,2)="N1",RIGHT(M19,2)="N1")),0.5)+IF(AND(LEN(N19)&gt;2,OR(LEFT(N19,2)="N1",RIGHT(N19,2)="N1")),0.5)+IF(AND(LEN(O19)&gt;2,OR(LEFT(O19,2)="N1",RIGHT(O19,2)="N1")),0.5)+IF(AND(LEN(P19)&gt;2,OR(LEFT(P19,2)="N1",RIGHT(P19,2)="N1")),0.5)+IF(AND(LEN(Q19)&gt;2,OR(LEFT(Q19,2)="N1",RIGHT(Q19,2)="N1")),0.5)+IF(AND(LEN(R19)&gt;2,OR(LEFT(R19,2)="N1",RIGHT(R19,2)="N1")),0.5)+IF(AND(LEN(S19)&gt;2,OR(LEFT(S19,2)="N1",RIGHT(S19,2)="N1")),0.5)+IF(AND(LEN(T19)&gt;2,OR(LEFT(T19,2)="N1",RIGHT(T19,2)="N1")),0.5)+IF(AND(LEN(U19)&gt;2,OR(LEFT(U19,2)="N1",RIGHT(U19,2)="N1")),0.5)+IF(AND(LEN(V19)&gt;2,OR(LEFT(V19,2)="N1",RIGHT(V19,2)="N1")),0.5)+IF(AND(LEN(W19)&gt;2,OR(LEFT(W19,2)="N1",RIGHT(W19,2)="N1")),0.5)+IF(AND(LEN(X19)&gt;2,OR(LEFT(X19,2)="N1",RIGHT(X19,2)="N1")),0.5)+IF(AND(LEN(Y19)&gt;2,OR(LEFT(Y19,2)="N1",RIGHT(Y19,2)="N1")),0.5)+IF(AND(LEN(Z19)&gt;2,OR(LEFT(Z19,2)="N1",RIGHT(Z19,2)="N1")),0.5)+IF(AND(LEN(AA19)&gt;2,OR(LEFT(AA19,2)="N1",RIGHT(AA19,2)="N1")),0.5)+IF(AND(LEN(AB19)&gt;2,OR(LEFT(AB19,2)="N1",RIGHT(AB19,2)="N1")),0.5)+IF(AND(LEN(AC19)&gt;2,OR(LEFT(AC19,2)="N1",RIGHT(AC19,2)="N1")),0.5)+IF(AND(LEN(AD19)&gt;2,OR(LEFT(AD19,2)="N1",RIGHT(AD19,2)="N1")),0.5)+IF(AND(LEN(AE19)&gt;2,OR(LEFT(AE19,2)="N1",RIGHT(AE19,2)="N1")),0.5)+IF(AND(LEN(AF19)&gt;2,OR(LEFT(AF19,2)="N1",RIGHT(AF19,2)="N1")),0.5)+IF(AND(LEN(AG19)&gt;2,OR(LEFT(AG19,2)="N1",RIGHT(AG19,2)="N1")),0.5)+IF(AND(LEN(AH19)&gt;2,OR(LEFT(AH19,2)="N1",RIGHT(AH19,2)="N1")),0.5)+IF(AND(LEN(AI19)&gt;2,OR(LEFT(AI19,2)="N1",RIGHT(AI19,2)="N1")),0.5)+IF(AND(LEN(AJ19)&gt;2,OR(LEFT(AJ19,2)="N1",RIGHT(AJ19,2)="N1")),0.5)+IF(AND(LEN(AK19)&gt;2,OR(LEFT(AK19,2)="N1",RIGHT(AK19,2)="N1")),0.5)+IF(AND(LEN(AL19)&gt;2,OR(LEFT(AL19,2)="N1",RIGHT(AL19,2)="N1")),0.5))</f>
        <v>0</v>
      </c>
      <c r="AO19" s="109">
        <f t="shared" ref="AO19:AO23" si="52">COUNTIF(H19:AL19,"ON")+COUNTIF(H19:AL19,"ON/2")/2</f>
        <v>0</v>
      </c>
      <c r="AP19" s="110">
        <f t="shared" ref="AP19:AP23" si="53">IF(F19="","",COUNTIF($H19:$AL19,AP$8))+IF(F19="","",COUNTIF($H19:$AL19,$V$5)/2)</f>
        <v>0</v>
      </c>
      <c r="AQ19" s="111">
        <v>0</v>
      </c>
      <c r="AR19" s="112">
        <f t="shared" ref="AR19:AR23" si="54">IF(G19="","",AM19+AN19+AP19+AQ19)</f>
        <v>20</v>
      </c>
      <c r="AS19" s="113">
        <f t="shared" ref="AS19:AS23" si="55">IF(F19="","",COUNTIF($H19:$AL19,AS$8))++IF(F19="","",COUNTIF($H19:$AL19,"L1")/2)</f>
        <v>2</v>
      </c>
      <c r="AT19" s="114">
        <f t="shared" ref="AT19:AT23" si="56">AU19-AR19-AS19</f>
        <v>0</v>
      </c>
      <c r="AU19" s="115">
        <v>22</v>
      </c>
      <c r="AV19" s="116"/>
    </row>
    <row r="20" spans="1:48" ht="39" customHeight="1" x14ac:dyDescent="0.25">
      <c r="A20" s="100">
        <f t="shared" si="4"/>
        <v>10</v>
      </c>
      <c r="B20" s="101" t="s">
        <v>367</v>
      </c>
      <c r="C20" s="379" t="s">
        <v>319</v>
      </c>
      <c r="D20" s="103" t="s">
        <v>373</v>
      </c>
      <c r="E20" s="104"/>
      <c r="F20" s="35" t="s">
        <v>368</v>
      </c>
      <c r="G20" s="105" t="s">
        <v>320</v>
      </c>
      <c r="H20" s="106" t="s">
        <v>73</v>
      </c>
      <c r="I20" s="106" t="s">
        <v>73</v>
      </c>
      <c r="J20" s="106" t="s">
        <v>73</v>
      </c>
      <c r="K20" s="106"/>
      <c r="L20" s="106"/>
      <c r="M20" s="106" t="s">
        <v>73</v>
      </c>
      <c r="N20" s="106" t="s">
        <v>73</v>
      </c>
      <c r="O20" s="106" t="s">
        <v>73</v>
      </c>
      <c r="P20" s="106" t="s">
        <v>73</v>
      </c>
      <c r="Q20" s="106" t="s">
        <v>73</v>
      </c>
      <c r="R20" s="106"/>
      <c r="S20" s="106"/>
      <c r="T20" s="106"/>
      <c r="U20" s="380"/>
      <c r="V20" s="380"/>
      <c r="W20" s="106"/>
      <c r="X20" s="106"/>
      <c r="Y20" s="106"/>
      <c r="Z20" s="106"/>
      <c r="AA20" s="106"/>
      <c r="AB20" s="380"/>
      <c r="AC20" s="380"/>
      <c r="AD20" s="106"/>
      <c r="AE20" s="106"/>
      <c r="AF20" s="106"/>
      <c r="AG20" s="106"/>
      <c r="AH20" s="106"/>
      <c r="AI20" s="380"/>
      <c r="AJ20" s="380"/>
      <c r="AK20" s="106"/>
      <c r="AL20" s="106"/>
      <c r="AM20" s="107">
        <f t="shared" si="50"/>
        <v>8</v>
      </c>
      <c r="AN20" s="108">
        <f t="shared" si="51"/>
        <v>0</v>
      </c>
      <c r="AO20" s="109">
        <f t="shared" si="52"/>
        <v>0</v>
      </c>
      <c r="AP20" s="110">
        <f t="shared" si="53"/>
        <v>0</v>
      </c>
      <c r="AQ20" s="111">
        <v>0</v>
      </c>
      <c r="AR20" s="112">
        <f t="shared" si="54"/>
        <v>8</v>
      </c>
      <c r="AS20" s="113">
        <f t="shared" si="55"/>
        <v>0</v>
      </c>
      <c r="AT20" s="114">
        <f t="shared" si="56"/>
        <v>0</v>
      </c>
      <c r="AU20" s="115">
        <v>8</v>
      </c>
      <c r="AV20" s="116"/>
    </row>
    <row r="21" spans="1:48" ht="39" customHeight="1" x14ac:dyDescent="0.25">
      <c r="A21" s="100">
        <v>10</v>
      </c>
      <c r="B21" s="101" t="s">
        <v>367</v>
      </c>
      <c r="C21" s="379" t="s">
        <v>319</v>
      </c>
      <c r="D21" s="103" t="s">
        <v>373</v>
      </c>
      <c r="E21" s="104"/>
      <c r="F21" s="35" t="s">
        <v>368</v>
      </c>
      <c r="G21" s="105" t="s">
        <v>100</v>
      </c>
      <c r="H21" s="380"/>
      <c r="I21" s="106"/>
      <c r="J21" s="106"/>
      <c r="K21" s="106"/>
      <c r="L21" s="106"/>
      <c r="M21" s="106"/>
      <c r="N21" s="380"/>
      <c r="O21" s="380"/>
      <c r="P21" s="106"/>
      <c r="Q21" s="106"/>
      <c r="R21" s="106"/>
      <c r="S21" s="106"/>
      <c r="T21" s="106" t="s">
        <v>73</v>
      </c>
      <c r="U21" s="106" t="s">
        <v>73</v>
      </c>
      <c r="V21" s="106" t="s">
        <v>73</v>
      </c>
      <c r="W21" s="106" t="s">
        <v>73</v>
      </c>
      <c r="X21" s="106" t="s">
        <v>73</v>
      </c>
      <c r="Y21" s="106"/>
      <c r="Z21" s="106"/>
      <c r="AA21" s="106" t="s">
        <v>73</v>
      </c>
      <c r="AB21" s="106" t="s">
        <v>73</v>
      </c>
      <c r="AC21" s="106" t="s">
        <v>73</v>
      </c>
      <c r="AD21" s="106" t="s">
        <v>73</v>
      </c>
      <c r="AE21" s="106" t="s">
        <v>73</v>
      </c>
      <c r="AF21" s="106"/>
      <c r="AG21" s="106"/>
      <c r="AH21" s="106" t="s">
        <v>81</v>
      </c>
      <c r="AI21" s="106" t="s">
        <v>73</v>
      </c>
      <c r="AJ21" s="106" t="s">
        <v>73</v>
      </c>
      <c r="AK21" s="106" t="s">
        <v>81</v>
      </c>
      <c r="AL21" s="106"/>
      <c r="AM21" s="107">
        <f t="shared" ref="AM21" si="57">IF(F21="","",COUNTIF($H21:$AL21,AM$8))</f>
        <v>12</v>
      </c>
      <c r="AN21" s="108">
        <f t="shared" ref="AN21" si="58">IF(OR(G21="",G21="Đã nghỉ"),0,COUNTIF($H21:$AL21,"N1")/2++IF(AND(LEN(H21)&gt;2,OR(LEFT(H21,2)="N1",RIGHT(H21,2)="N1")),0.5)+IF(AND(LEN(I21)&gt;2,OR(LEFT(I21,2)="N1",RIGHT(I21,2)="N1")),0.5)+IF(AND(LEN(J21)&gt;2,OR(LEFT(J21,2)="N1",RIGHT(J21,2)="N1")),0.5)+IF(AND(LEN(K21)&gt;2,OR(LEFT(K21,2)="N1",RIGHT(K21,2)="N1")),0.5)+IF(AND(LEN(L21)&gt;2,OR(LEFT(L21,2)="N1",RIGHT(L21,2)="N1")),0.5)+IF(AND(LEN(M21)&gt;2,OR(LEFT(M21,2)="N1",RIGHT(M21,2)="N1")),0.5)+IF(AND(LEN(N21)&gt;2,OR(LEFT(N21,2)="N1",RIGHT(N21,2)="N1")),0.5)+IF(AND(LEN(O21)&gt;2,OR(LEFT(O21,2)="N1",RIGHT(O21,2)="N1")),0.5)+IF(AND(LEN(P21)&gt;2,OR(LEFT(P21,2)="N1",RIGHT(P21,2)="N1")),0.5)+IF(AND(LEN(Q21)&gt;2,OR(LEFT(Q21,2)="N1",RIGHT(Q21,2)="N1")),0.5)+IF(AND(LEN(R21)&gt;2,OR(LEFT(R21,2)="N1",RIGHT(R21,2)="N1")),0.5)+IF(AND(LEN(S21)&gt;2,OR(LEFT(S21,2)="N1",RIGHT(S21,2)="N1")),0.5)+IF(AND(LEN(T21)&gt;2,OR(LEFT(T21,2)="N1",RIGHT(T21,2)="N1")),0.5)+IF(AND(LEN(U21)&gt;2,OR(LEFT(U21,2)="N1",RIGHT(U21,2)="N1")),0.5)+IF(AND(LEN(V21)&gt;2,OR(LEFT(V21,2)="N1",RIGHT(V21,2)="N1")),0.5)+IF(AND(LEN(W21)&gt;2,OR(LEFT(W21,2)="N1",RIGHT(W21,2)="N1")),0.5)+IF(AND(LEN(X21)&gt;2,OR(LEFT(X21,2)="N1",RIGHT(X21,2)="N1")),0.5)+IF(AND(LEN(Y21)&gt;2,OR(LEFT(Y21,2)="N1",RIGHT(Y21,2)="N1")),0.5)+IF(AND(LEN(Z21)&gt;2,OR(LEFT(Z21,2)="N1",RIGHT(Z21,2)="N1")),0.5)+IF(AND(LEN(AA21)&gt;2,OR(LEFT(AA21,2)="N1",RIGHT(AA21,2)="N1")),0.5)+IF(AND(LEN(AB21)&gt;2,OR(LEFT(AB21,2)="N1",RIGHT(AB21,2)="N1")),0.5)+IF(AND(LEN(AC21)&gt;2,OR(LEFT(AC21,2)="N1",RIGHT(AC21,2)="N1")),0.5)+IF(AND(LEN(AD21)&gt;2,OR(LEFT(AD21,2)="N1",RIGHT(AD21,2)="N1")),0.5)+IF(AND(LEN(AE21)&gt;2,OR(LEFT(AE21,2)="N1",RIGHT(AE21,2)="N1")),0.5)+IF(AND(LEN(AF21)&gt;2,OR(LEFT(AF21,2)="N1",RIGHT(AF21,2)="N1")),0.5)+IF(AND(LEN(AG21)&gt;2,OR(LEFT(AG21,2)="N1",RIGHT(AG21,2)="N1")),0.5)+IF(AND(LEN(AH21)&gt;2,OR(LEFT(AH21,2)="N1",RIGHT(AH21,2)="N1")),0.5)+IF(AND(LEN(AI21)&gt;2,OR(LEFT(AI21,2)="N1",RIGHT(AI21,2)="N1")),0.5)+IF(AND(LEN(AJ21)&gt;2,OR(LEFT(AJ21,2)="N1",RIGHT(AJ21,2)="N1")),0.5)+IF(AND(LEN(AK21)&gt;2,OR(LEFT(AK21,2)="N1",RIGHT(AK21,2)="N1")),0.5)+IF(AND(LEN(AL21)&gt;2,OR(LEFT(AL21,2)="N1",RIGHT(AL21,2)="N1")),0.5))</f>
        <v>0</v>
      </c>
      <c r="AO21" s="109">
        <f t="shared" ref="AO21" si="59">COUNTIF(H21:AL21,"ON")+COUNTIF(H21:AL21,"ON/2")/2</f>
        <v>0</v>
      </c>
      <c r="AP21" s="110">
        <f t="shared" ref="AP21" si="60">IF(F21="","",COUNTIF($H21:$AL21,AP$8))+IF(F21="","",COUNTIF($H21:$AL21,$V$5)/2)</f>
        <v>0</v>
      </c>
      <c r="AQ21" s="111">
        <v>0</v>
      </c>
      <c r="AR21" s="112">
        <f t="shared" ref="AR21" si="61">IF(G21="","",AM21+AN21+AP21+AQ21)</f>
        <v>12</v>
      </c>
      <c r="AS21" s="113">
        <f t="shared" ref="AS21" si="62">IF(F21="","",COUNTIF($H21:$AL21,AS$8))++IF(F21="","",COUNTIF($H21:$AL21,"L1")/2)</f>
        <v>2</v>
      </c>
      <c r="AT21" s="114">
        <f t="shared" ref="AT21" si="63">AU21-AR21-AS21</f>
        <v>0</v>
      </c>
      <c r="AU21" s="115">
        <v>14</v>
      </c>
      <c r="AV21" s="116"/>
    </row>
    <row r="22" spans="1:48" ht="39" customHeight="1" x14ac:dyDescent="0.25">
      <c r="A22" s="100">
        <v>11</v>
      </c>
      <c r="B22" s="101" t="s">
        <v>369</v>
      </c>
      <c r="C22" s="379" t="s">
        <v>319</v>
      </c>
      <c r="D22" s="103" t="s">
        <v>374</v>
      </c>
      <c r="E22" s="104"/>
      <c r="F22" s="35" t="s">
        <v>370</v>
      </c>
      <c r="G22" s="105" t="s">
        <v>100</v>
      </c>
      <c r="H22" s="106" t="s">
        <v>73</v>
      </c>
      <c r="I22" s="106" t="s">
        <v>73</v>
      </c>
      <c r="J22" s="106" t="s">
        <v>73</v>
      </c>
      <c r="K22" s="106"/>
      <c r="L22" s="106"/>
      <c r="M22" s="106" t="s">
        <v>73</v>
      </c>
      <c r="N22" s="106" t="s">
        <v>73</v>
      </c>
      <c r="O22" s="106" t="s">
        <v>73</v>
      </c>
      <c r="P22" s="106" t="s">
        <v>73</v>
      </c>
      <c r="Q22" s="106" t="s">
        <v>73</v>
      </c>
      <c r="R22" s="106"/>
      <c r="S22" s="106"/>
      <c r="T22" s="106" t="s">
        <v>73</v>
      </c>
      <c r="U22" s="106" t="s">
        <v>73</v>
      </c>
      <c r="V22" s="106" t="s">
        <v>73</v>
      </c>
      <c r="W22" s="106" t="s">
        <v>73</v>
      </c>
      <c r="X22" s="106" t="s">
        <v>73</v>
      </c>
      <c r="Y22" s="106"/>
      <c r="Z22" s="106"/>
      <c r="AA22" s="106" t="s">
        <v>73</v>
      </c>
      <c r="AB22" s="106" t="s">
        <v>73</v>
      </c>
      <c r="AC22" s="106" t="s">
        <v>73</v>
      </c>
      <c r="AD22" s="106" t="s">
        <v>73</v>
      </c>
      <c r="AE22" s="106" t="s">
        <v>73</v>
      </c>
      <c r="AF22" s="106"/>
      <c r="AG22" s="106"/>
      <c r="AH22" s="106" t="s">
        <v>81</v>
      </c>
      <c r="AI22" s="106" t="s">
        <v>73</v>
      </c>
      <c r="AJ22" s="106" t="s">
        <v>73</v>
      </c>
      <c r="AK22" s="106" t="s">
        <v>81</v>
      </c>
      <c r="AL22" s="106"/>
      <c r="AM22" s="107">
        <f t="shared" si="50"/>
        <v>20</v>
      </c>
      <c r="AN22" s="108">
        <f t="shared" si="51"/>
        <v>0</v>
      </c>
      <c r="AO22" s="109">
        <f t="shared" si="52"/>
        <v>0</v>
      </c>
      <c r="AP22" s="110">
        <f t="shared" si="53"/>
        <v>0</v>
      </c>
      <c r="AQ22" s="111">
        <v>0</v>
      </c>
      <c r="AR22" s="112">
        <f t="shared" si="54"/>
        <v>20</v>
      </c>
      <c r="AS22" s="113">
        <f t="shared" si="55"/>
        <v>2</v>
      </c>
      <c r="AT22" s="114">
        <f t="shared" si="56"/>
        <v>0</v>
      </c>
      <c r="AU22" s="115">
        <v>22</v>
      </c>
      <c r="AV22" s="116"/>
    </row>
    <row r="23" spans="1:48" ht="39" customHeight="1" x14ac:dyDescent="0.25">
      <c r="A23" s="100">
        <v>12</v>
      </c>
      <c r="B23" s="101" t="s">
        <v>371</v>
      </c>
      <c r="C23" s="379" t="s">
        <v>319</v>
      </c>
      <c r="D23" s="103" t="s">
        <v>319</v>
      </c>
      <c r="E23" s="104"/>
      <c r="F23" s="35" t="s">
        <v>372</v>
      </c>
      <c r="G23" s="105" t="s">
        <v>320</v>
      </c>
      <c r="H23" s="106" t="s">
        <v>73</v>
      </c>
      <c r="I23" s="106" t="s">
        <v>73</v>
      </c>
      <c r="J23" s="106" t="s">
        <v>73</v>
      </c>
      <c r="K23" s="106"/>
      <c r="L23" s="106"/>
      <c r="M23" s="106" t="s">
        <v>73</v>
      </c>
      <c r="N23" s="106" t="s">
        <v>73</v>
      </c>
      <c r="O23" s="106" t="s">
        <v>73</v>
      </c>
      <c r="P23" s="106"/>
      <c r="Q23" s="106"/>
      <c r="R23" s="106"/>
      <c r="S23" s="106"/>
      <c r="T23" s="106" t="s">
        <v>73</v>
      </c>
      <c r="U23" s="106" t="s">
        <v>73</v>
      </c>
      <c r="V23" s="106" t="s">
        <v>73</v>
      </c>
      <c r="W23" s="106" t="s">
        <v>73</v>
      </c>
      <c r="X23" s="106" t="s">
        <v>73</v>
      </c>
      <c r="Y23" s="106"/>
      <c r="Z23" s="106"/>
      <c r="AA23" s="106" t="s">
        <v>73</v>
      </c>
      <c r="AB23" s="106" t="s">
        <v>73</v>
      </c>
      <c r="AC23" s="106" t="s">
        <v>73</v>
      </c>
      <c r="AD23" s="106" t="s">
        <v>73</v>
      </c>
      <c r="AE23" s="106" t="s">
        <v>73</v>
      </c>
      <c r="AF23" s="106"/>
      <c r="AG23" s="106"/>
      <c r="AH23" s="106"/>
      <c r="AI23" s="106"/>
      <c r="AJ23" s="106"/>
      <c r="AK23" s="106"/>
      <c r="AL23" s="106"/>
      <c r="AM23" s="107">
        <f t="shared" si="50"/>
        <v>16</v>
      </c>
      <c r="AN23" s="108">
        <f t="shared" si="51"/>
        <v>0</v>
      </c>
      <c r="AO23" s="109">
        <f t="shared" si="52"/>
        <v>0</v>
      </c>
      <c r="AP23" s="110">
        <f t="shared" si="53"/>
        <v>0</v>
      </c>
      <c r="AQ23" s="111">
        <v>0</v>
      </c>
      <c r="AR23" s="112">
        <f t="shared" si="54"/>
        <v>16</v>
      </c>
      <c r="AS23" s="113">
        <f t="shared" si="55"/>
        <v>0</v>
      </c>
      <c r="AT23" s="114">
        <f t="shared" si="56"/>
        <v>6</v>
      </c>
      <c r="AU23" s="115">
        <v>22</v>
      </c>
      <c r="AV23" s="116"/>
    </row>
    <row r="24" spans="1:48" ht="39" customHeight="1" x14ac:dyDescent="0.25">
      <c r="A24" s="100">
        <v>13</v>
      </c>
      <c r="B24" s="101" t="s">
        <v>383</v>
      </c>
      <c r="C24" s="379" t="s">
        <v>339</v>
      </c>
      <c r="D24" s="103" t="s">
        <v>350</v>
      </c>
      <c r="E24" s="104"/>
      <c r="F24" s="374" t="s">
        <v>384</v>
      </c>
      <c r="G24" s="105" t="s">
        <v>320</v>
      </c>
      <c r="H24" s="380"/>
      <c r="I24" s="380"/>
      <c r="J24" s="380"/>
      <c r="K24" s="380"/>
      <c r="L24" s="380"/>
      <c r="M24" s="106" t="s">
        <v>73</v>
      </c>
      <c r="N24" s="106" t="s">
        <v>73</v>
      </c>
      <c r="O24" s="106" t="s">
        <v>73</v>
      </c>
      <c r="P24" s="106" t="s">
        <v>73</v>
      </c>
      <c r="Q24" s="106" t="s">
        <v>73</v>
      </c>
      <c r="R24" s="106"/>
      <c r="S24" s="106"/>
      <c r="T24" s="106" t="s">
        <v>73</v>
      </c>
      <c r="U24" s="106" t="s">
        <v>73</v>
      </c>
      <c r="V24" s="106" t="s">
        <v>73</v>
      </c>
      <c r="W24" s="106" t="s">
        <v>73</v>
      </c>
      <c r="X24" s="106" t="s">
        <v>73</v>
      </c>
      <c r="Y24" s="106"/>
      <c r="Z24" s="106"/>
      <c r="AA24" s="106" t="s">
        <v>73</v>
      </c>
      <c r="AB24" s="106" t="s">
        <v>73</v>
      </c>
      <c r="AC24" s="106" t="s">
        <v>73</v>
      </c>
      <c r="AD24" s="106" t="s">
        <v>73</v>
      </c>
      <c r="AE24" s="106" t="s">
        <v>73</v>
      </c>
      <c r="AF24" s="106"/>
      <c r="AG24" s="106"/>
      <c r="AH24" s="106" t="s">
        <v>83</v>
      </c>
      <c r="AI24" s="106" t="s">
        <v>73</v>
      </c>
      <c r="AJ24" s="106" t="s">
        <v>73</v>
      </c>
      <c r="AK24" s="106" t="s">
        <v>83</v>
      </c>
      <c r="AL24" s="380"/>
      <c r="AM24" s="107">
        <f t="shared" ref="AM24" si="64">IF(F24="","",COUNTIF($H24:$AL24,AM$8))</f>
        <v>17</v>
      </c>
      <c r="AN24" s="108">
        <f t="shared" ref="AN24" si="65">IF(OR(G24="",G24="Đã nghỉ"),0,COUNTIF($H24:$AL24,"N1")/2++IF(AND(LEN(H24)&gt;2,OR(LEFT(H24,2)="N1",RIGHT(H24,2)="N1")),0.5)+IF(AND(LEN(I24)&gt;2,OR(LEFT(I24,2)="N1",RIGHT(I24,2)="N1")),0.5)+IF(AND(LEN(J24)&gt;2,OR(LEFT(J24,2)="N1",RIGHT(J24,2)="N1")),0.5)+IF(AND(LEN(K24)&gt;2,OR(LEFT(K24,2)="N1",RIGHT(K24,2)="N1")),0.5)+IF(AND(LEN(L24)&gt;2,OR(LEFT(L24,2)="N1",RIGHT(L24,2)="N1")),0.5)+IF(AND(LEN(M24)&gt;2,OR(LEFT(M24,2)="N1",RIGHT(M24,2)="N1")),0.5)+IF(AND(LEN(N24)&gt;2,OR(LEFT(N24,2)="N1",RIGHT(N24,2)="N1")),0.5)+IF(AND(LEN(O24)&gt;2,OR(LEFT(O24,2)="N1",RIGHT(O24,2)="N1")),0.5)+IF(AND(LEN(P24)&gt;2,OR(LEFT(P24,2)="N1",RIGHT(P24,2)="N1")),0.5)+IF(AND(LEN(Q24)&gt;2,OR(LEFT(Q24,2)="N1",RIGHT(Q24,2)="N1")),0.5)+IF(AND(LEN(R24)&gt;2,OR(LEFT(R24,2)="N1",RIGHT(R24,2)="N1")),0.5)+IF(AND(LEN(S24)&gt;2,OR(LEFT(S24,2)="N1",RIGHT(S24,2)="N1")),0.5)+IF(AND(LEN(T24)&gt;2,OR(LEFT(T24,2)="N1",RIGHT(T24,2)="N1")),0.5)+IF(AND(LEN(U24)&gt;2,OR(LEFT(U24,2)="N1",RIGHT(U24,2)="N1")),0.5)+IF(AND(LEN(V24)&gt;2,OR(LEFT(V24,2)="N1",RIGHT(V24,2)="N1")),0.5)+IF(AND(LEN(W24)&gt;2,OR(LEFT(W24,2)="N1",RIGHT(W24,2)="N1")),0.5)+IF(AND(LEN(X24)&gt;2,OR(LEFT(X24,2)="N1",RIGHT(X24,2)="N1")),0.5)+IF(AND(LEN(Y24)&gt;2,OR(LEFT(Y24,2)="N1",RIGHT(Y24,2)="N1")),0.5)+IF(AND(LEN(Z24)&gt;2,OR(LEFT(Z24,2)="N1",RIGHT(Z24,2)="N1")),0.5)+IF(AND(LEN(AA24)&gt;2,OR(LEFT(AA24,2)="N1",RIGHT(AA24,2)="N1")),0.5)+IF(AND(LEN(AB24)&gt;2,OR(LEFT(AB24,2)="N1",RIGHT(AB24,2)="N1")),0.5)+IF(AND(LEN(AC24)&gt;2,OR(LEFT(AC24,2)="N1",RIGHT(AC24,2)="N1")),0.5)+IF(AND(LEN(AD24)&gt;2,OR(LEFT(AD24,2)="N1",RIGHT(AD24,2)="N1")),0.5)+IF(AND(LEN(AE24)&gt;2,OR(LEFT(AE24,2)="N1",RIGHT(AE24,2)="N1")),0.5)+IF(AND(LEN(AF24)&gt;2,OR(LEFT(AF24,2)="N1",RIGHT(AF24,2)="N1")),0.5)+IF(AND(LEN(AG24)&gt;2,OR(LEFT(AG24,2)="N1",RIGHT(AG24,2)="N1")),0.5)+IF(AND(LEN(AH24)&gt;2,OR(LEFT(AH24,2)="N1",RIGHT(AH24,2)="N1")),0.5)+IF(AND(LEN(AI24)&gt;2,OR(LEFT(AI24,2)="N1",RIGHT(AI24,2)="N1")),0.5)+IF(AND(LEN(AJ24)&gt;2,OR(LEFT(AJ24,2)="N1",RIGHT(AJ24,2)="N1")),0.5)+IF(AND(LEN(AK24)&gt;2,OR(LEFT(AK24,2)="N1",RIGHT(AK24,2)="N1")),0.5)+IF(AND(LEN(AL24)&gt;2,OR(LEFT(AL24,2)="N1",RIGHT(AL24,2)="N1")),0.5))</f>
        <v>0</v>
      </c>
      <c r="AO24" s="109">
        <f t="shared" ref="AO24" si="66">COUNTIF(H24:AL24,"ON")+COUNTIF(H24:AL24,"ON/2")/2</f>
        <v>0</v>
      </c>
      <c r="AP24" s="110">
        <f t="shared" ref="AP24" si="67">IF(F24="","",COUNTIF($H24:$AL24,AP$8))+IF(F24="","",COUNTIF($H24:$AL24,$V$5)/2)</f>
        <v>0</v>
      </c>
      <c r="AQ24" s="111">
        <v>0</v>
      </c>
      <c r="AR24" s="112">
        <f t="shared" ref="AR24" si="68">IF(G24="","",AM24+AN24+AP24+AQ24)</f>
        <v>17</v>
      </c>
      <c r="AS24" s="113">
        <f t="shared" ref="AS24" si="69">IF(F24="","",COUNTIF($H24:$AL24,AS$8))++IF(F24="","",COUNTIF($H24:$AL24,"L1")/2)</f>
        <v>0</v>
      </c>
      <c r="AT24" s="114">
        <f t="shared" ref="AT24" si="70">AU24-AR24-AS24</f>
        <v>5</v>
      </c>
      <c r="AU24" s="115">
        <v>22</v>
      </c>
      <c r="AV24" s="116"/>
    </row>
    <row r="25" spans="1:48" ht="39" customHeight="1" x14ac:dyDescent="0.25">
      <c r="A25" s="100">
        <v>14</v>
      </c>
      <c r="B25" s="101" t="s">
        <v>387</v>
      </c>
      <c r="C25" s="379" t="s">
        <v>339</v>
      </c>
      <c r="D25" s="103" t="s">
        <v>350</v>
      </c>
      <c r="E25" s="104"/>
      <c r="F25" s="374" t="s">
        <v>388</v>
      </c>
      <c r="G25" s="105" t="s">
        <v>320</v>
      </c>
      <c r="H25" s="380"/>
      <c r="I25" s="380"/>
      <c r="J25" s="380"/>
      <c r="K25" s="380"/>
      <c r="L25" s="380"/>
      <c r="M25" s="380"/>
      <c r="N25" s="106" t="s">
        <v>73</v>
      </c>
      <c r="O25" s="106" t="s">
        <v>73</v>
      </c>
      <c r="P25" s="106" t="s">
        <v>73</v>
      </c>
      <c r="Q25" s="106" t="s">
        <v>73</v>
      </c>
      <c r="R25" s="106"/>
      <c r="S25" s="106"/>
      <c r="T25" s="106" t="s">
        <v>73</v>
      </c>
      <c r="U25" s="106" t="s">
        <v>73</v>
      </c>
      <c r="V25" s="106" t="s">
        <v>73</v>
      </c>
      <c r="W25" s="106" t="s">
        <v>73</v>
      </c>
      <c r="X25" s="106" t="s">
        <v>73</v>
      </c>
      <c r="Y25" s="106"/>
      <c r="Z25" s="106"/>
      <c r="AA25" s="106" t="s">
        <v>73</v>
      </c>
      <c r="AB25" s="106" t="s">
        <v>73</v>
      </c>
      <c r="AC25" s="106" t="s">
        <v>73</v>
      </c>
      <c r="AD25" s="106" t="s">
        <v>73</v>
      </c>
      <c r="AE25" s="106" t="s">
        <v>73</v>
      </c>
      <c r="AF25" s="106"/>
      <c r="AG25" s="106"/>
      <c r="AH25" s="106" t="s">
        <v>83</v>
      </c>
      <c r="AI25" s="106" t="s">
        <v>73</v>
      </c>
      <c r="AJ25" s="106" t="s">
        <v>73</v>
      </c>
      <c r="AK25" s="106" t="s">
        <v>83</v>
      </c>
      <c r="AL25" s="380"/>
      <c r="AM25" s="107">
        <f t="shared" ref="AM25" si="71">IF(F25="","",COUNTIF($H25:$AL25,AM$8))</f>
        <v>16</v>
      </c>
      <c r="AN25" s="108">
        <f t="shared" ref="AN25" si="72">IF(OR(G25="",G25="Đã nghỉ"),0,COUNTIF($H25:$AL25,"N1")/2++IF(AND(LEN(H25)&gt;2,OR(LEFT(H25,2)="N1",RIGHT(H25,2)="N1")),0.5)+IF(AND(LEN(I25)&gt;2,OR(LEFT(I25,2)="N1",RIGHT(I25,2)="N1")),0.5)+IF(AND(LEN(J25)&gt;2,OR(LEFT(J25,2)="N1",RIGHT(J25,2)="N1")),0.5)+IF(AND(LEN(K25)&gt;2,OR(LEFT(K25,2)="N1",RIGHT(K25,2)="N1")),0.5)+IF(AND(LEN(L25)&gt;2,OR(LEFT(L25,2)="N1",RIGHT(L25,2)="N1")),0.5)+IF(AND(LEN(M25)&gt;2,OR(LEFT(M25,2)="N1",RIGHT(M25,2)="N1")),0.5)+IF(AND(LEN(N25)&gt;2,OR(LEFT(N25,2)="N1",RIGHT(N25,2)="N1")),0.5)+IF(AND(LEN(O25)&gt;2,OR(LEFT(O25,2)="N1",RIGHT(O25,2)="N1")),0.5)+IF(AND(LEN(P25)&gt;2,OR(LEFT(P25,2)="N1",RIGHT(P25,2)="N1")),0.5)+IF(AND(LEN(Q25)&gt;2,OR(LEFT(Q25,2)="N1",RIGHT(Q25,2)="N1")),0.5)+IF(AND(LEN(R25)&gt;2,OR(LEFT(R25,2)="N1",RIGHT(R25,2)="N1")),0.5)+IF(AND(LEN(S25)&gt;2,OR(LEFT(S25,2)="N1",RIGHT(S25,2)="N1")),0.5)+IF(AND(LEN(T25)&gt;2,OR(LEFT(T25,2)="N1",RIGHT(T25,2)="N1")),0.5)+IF(AND(LEN(U25)&gt;2,OR(LEFT(U25,2)="N1",RIGHT(U25,2)="N1")),0.5)+IF(AND(LEN(V25)&gt;2,OR(LEFT(V25,2)="N1",RIGHT(V25,2)="N1")),0.5)+IF(AND(LEN(W25)&gt;2,OR(LEFT(W25,2)="N1",RIGHT(W25,2)="N1")),0.5)+IF(AND(LEN(X25)&gt;2,OR(LEFT(X25,2)="N1",RIGHT(X25,2)="N1")),0.5)+IF(AND(LEN(Y25)&gt;2,OR(LEFT(Y25,2)="N1",RIGHT(Y25,2)="N1")),0.5)+IF(AND(LEN(Z25)&gt;2,OR(LEFT(Z25,2)="N1",RIGHT(Z25,2)="N1")),0.5)+IF(AND(LEN(AA25)&gt;2,OR(LEFT(AA25,2)="N1",RIGHT(AA25,2)="N1")),0.5)+IF(AND(LEN(AB25)&gt;2,OR(LEFT(AB25,2)="N1",RIGHT(AB25,2)="N1")),0.5)+IF(AND(LEN(AC25)&gt;2,OR(LEFT(AC25,2)="N1",RIGHT(AC25,2)="N1")),0.5)+IF(AND(LEN(AD25)&gt;2,OR(LEFT(AD25,2)="N1",RIGHT(AD25,2)="N1")),0.5)+IF(AND(LEN(AE25)&gt;2,OR(LEFT(AE25,2)="N1",RIGHT(AE25,2)="N1")),0.5)+IF(AND(LEN(AF25)&gt;2,OR(LEFT(AF25,2)="N1",RIGHT(AF25,2)="N1")),0.5)+IF(AND(LEN(AG25)&gt;2,OR(LEFT(AG25,2)="N1",RIGHT(AG25,2)="N1")),0.5)+IF(AND(LEN(AH25)&gt;2,OR(LEFT(AH25,2)="N1",RIGHT(AH25,2)="N1")),0.5)+IF(AND(LEN(AI25)&gt;2,OR(LEFT(AI25,2)="N1",RIGHT(AI25,2)="N1")),0.5)+IF(AND(LEN(AJ25)&gt;2,OR(LEFT(AJ25,2)="N1",RIGHT(AJ25,2)="N1")),0.5)+IF(AND(LEN(AK25)&gt;2,OR(LEFT(AK25,2)="N1",RIGHT(AK25,2)="N1")),0.5)+IF(AND(LEN(AL25)&gt;2,OR(LEFT(AL25,2)="N1",RIGHT(AL25,2)="N1")),0.5))</f>
        <v>0</v>
      </c>
      <c r="AO25" s="109">
        <f t="shared" ref="AO25" si="73">COUNTIF(H25:AL25,"ON")+COUNTIF(H25:AL25,"ON/2")/2</f>
        <v>0</v>
      </c>
      <c r="AP25" s="110">
        <f t="shared" ref="AP25" si="74">IF(F25="","",COUNTIF($H25:$AL25,AP$8))+IF(F25="","",COUNTIF($H25:$AL25,$V$5)/2)</f>
        <v>0</v>
      </c>
      <c r="AQ25" s="111">
        <v>0</v>
      </c>
      <c r="AR25" s="112">
        <f t="shared" ref="AR25" si="75">IF(G25="","",AM25+AN25+AP25+AQ25)</f>
        <v>16</v>
      </c>
      <c r="AS25" s="113">
        <f t="shared" ref="AS25" si="76">IF(F25="","",COUNTIF($H25:$AL25,AS$8))++IF(F25="","",COUNTIF($H25:$AL25,"L1")/2)</f>
        <v>0</v>
      </c>
      <c r="AT25" s="114">
        <f t="shared" ref="AT25" si="77">AU25-AR25-AS25</f>
        <v>6</v>
      </c>
      <c r="AU25" s="115">
        <v>22</v>
      </c>
      <c r="AV25" s="116"/>
    </row>
    <row r="26" spans="1:48" ht="39" customHeight="1" x14ac:dyDescent="0.25">
      <c r="A26" s="466">
        <v>15</v>
      </c>
      <c r="B26" s="467" t="s">
        <v>393</v>
      </c>
      <c r="C26" s="381" t="s">
        <v>319</v>
      </c>
      <c r="D26" s="468" t="s">
        <v>394</v>
      </c>
      <c r="E26" s="469"/>
      <c r="F26" s="470" t="s">
        <v>395</v>
      </c>
      <c r="G26" s="471" t="s">
        <v>396</v>
      </c>
      <c r="H26" s="472" t="s">
        <v>73</v>
      </c>
      <c r="I26" s="472" t="s">
        <v>73</v>
      </c>
      <c r="J26" s="472" t="s">
        <v>73</v>
      </c>
      <c r="K26" s="473"/>
      <c r="L26" s="473"/>
      <c r="M26" s="472" t="s">
        <v>73</v>
      </c>
      <c r="N26" s="472" t="s">
        <v>73</v>
      </c>
      <c r="O26" s="472" t="s">
        <v>73</v>
      </c>
      <c r="P26" s="472" t="s">
        <v>73</v>
      </c>
      <c r="Q26" s="472" t="s">
        <v>73</v>
      </c>
      <c r="R26" s="473"/>
      <c r="S26" s="473"/>
      <c r="T26" s="472" t="s">
        <v>73</v>
      </c>
      <c r="U26" s="472" t="s">
        <v>73</v>
      </c>
      <c r="V26" s="472" t="s">
        <v>73</v>
      </c>
      <c r="W26" s="472" t="s">
        <v>73</v>
      </c>
      <c r="X26" s="472" t="s">
        <v>73</v>
      </c>
      <c r="Y26" s="473"/>
      <c r="Z26" s="473"/>
      <c r="AA26" s="472" t="s">
        <v>73</v>
      </c>
      <c r="AB26" s="472" t="s">
        <v>73</v>
      </c>
      <c r="AC26" s="473"/>
      <c r="AD26" s="472" t="s">
        <v>73</v>
      </c>
      <c r="AE26" s="472" t="s">
        <v>73</v>
      </c>
      <c r="AF26" s="473"/>
      <c r="AG26" s="473"/>
      <c r="AH26" s="473"/>
      <c r="AI26" s="472"/>
      <c r="AJ26" s="472" t="s">
        <v>73</v>
      </c>
      <c r="AK26" s="473"/>
      <c r="AL26" s="473"/>
      <c r="AM26" s="474">
        <f t="shared" ref="AM26" si="78">IF(F26="","",COUNTIF($H26:$AL26,AM$8))</f>
        <v>18</v>
      </c>
      <c r="AN26" s="475">
        <f t="shared" ref="AN26" si="79">IF(OR(G26="",G26="Đã nghỉ"),0,COUNTIF($H26:$AL26,"N1")/2++IF(AND(LEN(H26)&gt;2,OR(LEFT(H26,2)="N1",RIGHT(H26,2)="N1")),0.5)+IF(AND(LEN(I26)&gt;2,OR(LEFT(I26,2)="N1",RIGHT(I26,2)="N1")),0.5)+IF(AND(LEN(J26)&gt;2,OR(LEFT(J26,2)="N1",RIGHT(J26,2)="N1")),0.5)+IF(AND(LEN(K26)&gt;2,OR(LEFT(K26,2)="N1",RIGHT(K26,2)="N1")),0.5)+IF(AND(LEN(L26)&gt;2,OR(LEFT(L26,2)="N1",RIGHT(L26,2)="N1")),0.5)+IF(AND(LEN(M26)&gt;2,OR(LEFT(M26,2)="N1",RIGHT(M26,2)="N1")),0.5)+IF(AND(LEN(N26)&gt;2,OR(LEFT(N26,2)="N1",RIGHT(N26,2)="N1")),0.5)+IF(AND(LEN(O26)&gt;2,OR(LEFT(O26,2)="N1",RIGHT(O26,2)="N1")),0.5)+IF(AND(LEN(P26)&gt;2,OR(LEFT(P26,2)="N1",RIGHT(P26,2)="N1")),0.5)+IF(AND(LEN(Q26)&gt;2,OR(LEFT(Q26,2)="N1",RIGHT(Q26,2)="N1")),0.5)+IF(AND(LEN(R26)&gt;2,OR(LEFT(R26,2)="N1",RIGHT(R26,2)="N1")),0.5)+IF(AND(LEN(S26)&gt;2,OR(LEFT(S26,2)="N1",RIGHT(S26,2)="N1")),0.5)+IF(AND(LEN(T26)&gt;2,OR(LEFT(T26,2)="N1",RIGHT(T26,2)="N1")),0.5)+IF(AND(LEN(U26)&gt;2,OR(LEFT(U26,2)="N1",RIGHT(U26,2)="N1")),0.5)+IF(AND(LEN(V26)&gt;2,OR(LEFT(V26,2)="N1",RIGHT(V26,2)="N1")),0.5)+IF(AND(LEN(W26)&gt;2,OR(LEFT(W26,2)="N1",RIGHT(W26,2)="N1")),0.5)+IF(AND(LEN(X26)&gt;2,OR(LEFT(X26,2)="N1",RIGHT(X26,2)="N1")),0.5)+IF(AND(LEN(Y26)&gt;2,OR(LEFT(Y26,2)="N1",RIGHT(Y26,2)="N1")),0.5)+IF(AND(LEN(Z26)&gt;2,OR(LEFT(Z26,2)="N1",RIGHT(Z26,2)="N1")),0.5)+IF(AND(LEN(AA26)&gt;2,OR(LEFT(AA26,2)="N1",RIGHT(AA26,2)="N1")),0.5)+IF(AND(LEN(AB26)&gt;2,OR(LEFT(AB26,2)="N1",RIGHT(AB26,2)="N1")),0.5)+IF(AND(LEN(AC26)&gt;2,OR(LEFT(AC26,2)="N1",RIGHT(AC26,2)="N1")),0.5)+IF(AND(LEN(AD26)&gt;2,OR(LEFT(AD26,2)="N1",RIGHT(AD26,2)="N1")),0.5)+IF(AND(LEN(AE26)&gt;2,OR(LEFT(AE26,2)="N1",RIGHT(AE26,2)="N1")),0.5)+IF(AND(LEN(AF26)&gt;2,OR(LEFT(AF26,2)="N1",RIGHT(AF26,2)="N1")),0.5)+IF(AND(LEN(AG26)&gt;2,OR(LEFT(AG26,2)="N1",RIGHT(AG26,2)="N1")),0.5)+IF(AND(LEN(AH26)&gt;2,OR(LEFT(AH26,2)="N1",RIGHT(AH26,2)="N1")),0.5)+IF(AND(LEN(AI26)&gt;2,OR(LEFT(AI26,2)="N1",RIGHT(AI26,2)="N1")),0.5)+IF(AND(LEN(AJ26)&gt;2,OR(LEFT(AJ26,2)="N1",RIGHT(AJ26,2)="N1")),0.5)+IF(AND(LEN(AK26)&gt;2,OR(LEFT(AK26,2)="N1",RIGHT(AK26,2)="N1")),0.5)+IF(AND(LEN(AL26)&gt;2,OR(LEFT(AL26,2)="N1",RIGHT(AL26,2)="N1")),0.5))</f>
        <v>0</v>
      </c>
      <c r="AO26" s="476">
        <f t="shared" ref="AO26" si="80">COUNTIF(H26:AL26,"ON")+COUNTIF(H26:AL26,"ON/2")/2</f>
        <v>0</v>
      </c>
      <c r="AP26" s="477">
        <f t="shared" ref="AP26" si="81">IF(F26="","",COUNTIF($H26:$AL26,AP$8))+IF(F26="","",COUNTIF($H26:$AL26,$V$5)/2)</f>
        <v>0</v>
      </c>
      <c r="AQ26" s="478">
        <v>0</v>
      </c>
      <c r="AR26" s="479">
        <f t="shared" ref="AR26" si="82">IF(G26="","",AM26+AN26+AP26+AQ26)</f>
        <v>18</v>
      </c>
      <c r="AS26" s="480">
        <f t="shared" ref="AS26" si="83">IF(F26="","",COUNTIF($H26:$AL26,AS$8))++IF(F26="","",COUNTIF($H26:$AL26,"L1")/2)</f>
        <v>0</v>
      </c>
      <c r="AT26" s="481">
        <f t="shared" ref="AT26" si="84">AU26-AR26-AS26</f>
        <v>4</v>
      </c>
      <c r="AU26" s="482">
        <v>22</v>
      </c>
      <c r="AV26" s="116"/>
    </row>
    <row r="27" spans="1:48" ht="39" customHeight="1" x14ac:dyDescent="0.25">
      <c r="A27" s="456">
        <v>16</v>
      </c>
      <c r="B27" s="487" t="s">
        <v>402</v>
      </c>
      <c r="C27" s="389" t="s">
        <v>319</v>
      </c>
      <c r="D27" s="389" t="s">
        <v>394</v>
      </c>
      <c r="E27" s="488"/>
      <c r="F27" s="374" t="s">
        <v>403</v>
      </c>
      <c r="G27" s="489" t="s">
        <v>320</v>
      </c>
      <c r="H27" s="490"/>
      <c r="I27" s="490"/>
      <c r="J27" s="490"/>
      <c r="K27" s="490"/>
      <c r="L27" s="490"/>
      <c r="M27" s="490"/>
      <c r="N27" s="490"/>
      <c r="O27" s="490"/>
      <c r="P27" s="490"/>
      <c r="Q27" s="490"/>
      <c r="R27" s="490"/>
      <c r="S27" s="490"/>
      <c r="T27" s="490"/>
      <c r="U27" s="490"/>
      <c r="V27" s="490"/>
      <c r="W27" s="490"/>
      <c r="X27" s="490"/>
      <c r="Y27" s="490"/>
      <c r="Z27" s="490"/>
      <c r="AA27" s="490"/>
      <c r="AB27" s="490"/>
      <c r="AC27" s="490"/>
      <c r="AD27" s="490"/>
      <c r="AE27" s="490"/>
      <c r="AF27" s="490"/>
      <c r="AG27" s="490"/>
      <c r="AH27" s="490"/>
      <c r="AI27" s="106" t="s">
        <v>73</v>
      </c>
      <c r="AJ27" s="106" t="s">
        <v>73</v>
      </c>
      <c r="AK27" s="490"/>
      <c r="AL27" s="490"/>
      <c r="AM27" s="491">
        <f t="shared" ref="AM27" si="85">IF(F27="","",COUNTIF($H27:$AL27,AM$8))</f>
        <v>2</v>
      </c>
      <c r="AN27" s="492">
        <f t="shared" ref="AN27" si="86">IF(OR(G27="",G27="Đã nghỉ"),0,COUNTIF($H27:$AL27,"N1")/2++IF(AND(LEN(H27)&gt;2,OR(LEFT(H27,2)="N1",RIGHT(H27,2)="N1")),0.5)+IF(AND(LEN(I27)&gt;2,OR(LEFT(I27,2)="N1",RIGHT(I27,2)="N1")),0.5)+IF(AND(LEN(J27)&gt;2,OR(LEFT(J27,2)="N1",RIGHT(J27,2)="N1")),0.5)+IF(AND(LEN(K27)&gt;2,OR(LEFT(K27,2)="N1",RIGHT(K27,2)="N1")),0.5)+IF(AND(LEN(L27)&gt;2,OR(LEFT(L27,2)="N1",RIGHT(L27,2)="N1")),0.5)+IF(AND(LEN(M27)&gt;2,OR(LEFT(M27,2)="N1",RIGHT(M27,2)="N1")),0.5)+IF(AND(LEN(N27)&gt;2,OR(LEFT(N27,2)="N1",RIGHT(N27,2)="N1")),0.5)+IF(AND(LEN(O27)&gt;2,OR(LEFT(O27,2)="N1",RIGHT(O27,2)="N1")),0.5)+IF(AND(LEN(P27)&gt;2,OR(LEFT(P27,2)="N1",RIGHT(P27,2)="N1")),0.5)+IF(AND(LEN(Q27)&gt;2,OR(LEFT(Q27,2)="N1",RIGHT(Q27,2)="N1")),0.5)+IF(AND(LEN(R27)&gt;2,OR(LEFT(R27,2)="N1",RIGHT(R27,2)="N1")),0.5)+IF(AND(LEN(S27)&gt;2,OR(LEFT(S27,2)="N1",RIGHT(S27,2)="N1")),0.5)+IF(AND(LEN(T27)&gt;2,OR(LEFT(T27,2)="N1",RIGHT(T27,2)="N1")),0.5)+IF(AND(LEN(U27)&gt;2,OR(LEFT(U27,2)="N1",RIGHT(U27,2)="N1")),0.5)+IF(AND(LEN(V27)&gt;2,OR(LEFT(V27,2)="N1",RIGHT(V27,2)="N1")),0.5)+IF(AND(LEN(W27)&gt;2,OR(LEFT(W27,2)="N1",RIGHT(W27,2)="N1")),0.5)+IF(AND(LEN(X27)&gt;2,OR(LEFT(X27,2)="N1",RIGHT(X27,2)="N1")),0.5)+IF(AND(LEN(Y27)&gt;2,OR(LEFT(Y27,2)="N1",RIGHT(Y27,2)="N1")),0.5)+IF(AND(LEN(Z27)&gt;2,OR(LEFT(Z27,2)="N1",RIGHT(Z27,2)="N1")),0.5)+IF(AND(LEN(AA27)&gt;2,OR(LEFT(AA27,2)="N1",RIGHT(AA27,2)="N1")),0.5)+IF(AND(LEN(AB27)&gt;2,OR(LEFT(AB27,2)="N1",RIGHT(AB27,2)="N1")),0.5)+IF(AND(LEN(AC27)&gt;2,OR(LEFT(AC27,2)="N1",RIGHT(AC27,2)="N1")),0.5)+IF(AND(LEN(AD27)&gt;2,OR(LEFT(AD27,2)="N1",RIGHT(AD27,2)="N1")),0.5)+IF(AND(LEN(AE27)&gt;2,OR(LEFT(AE27,2)="N1",RIGHT(AE27,2)="N1")),0.5)+IF(AND(LEN(AF27)&gt;2,OR(LEFT(AF27,2)="N1",RIGHT(AF27,2)="N1")),0.5)+IF(AND(LEN(AG27)&gt;2,OR(LEFT(AG27,2)="N1",RIGHT(AG27,2)="N1")),0.5)+IF(AND(LEN(AH27)&gt;2,OR(LEFT(AH27,2)="N1",RIGHT(AH27,2)="N1")),0.5)+IF(AND(LEN(AI27)&gt;2,OR(LEFT(AI27,2)="N1",RIGHT(AI27,2)="N1")),0.5)+IF(AND(LEN(AJ27)&gt;2,OR(LEFT(AJ27,2)="N1",RIGHT(AJ27,2)="N1")),0.5)+IF(AND(LEN(AK27)&gt;2,OR(LEFT(AK27,2)="N1",RIGHT(AK27,2)="N1")),0.5)+IF(AND(LEN(AL27)&gt;2,OR(LEFT(AL27,2)="N1",RIGHT(AL27,2)="N1")),0.5))</f>
        <v>0</v>
      </c>
      <c r="AO27" s="493">
        <f t="shared" ref="AO27" si="87">COUNTIF(H27:AL27,"ON")+COUNTIF(H27:AL27,"ON/2")/2</f>
        <v>0</v>
      </c>
      <c r="AP27" s="494">
        <f t="shared" ref="AP27" si="88">IF(F27="","",COUNTIF($H27:$AL27,AP$8))+IF(F27="","",COUNTIF($H27:$AL27,$V$5)/2)</f>
        <v>0</v>
      </c>
      <c r="AQ27" s="495">
        <v>0</v>
      </c>
      <c r="AR27" s="496">
        <f t="shared" ref="AR27" si="89">IF(G27="","",AM27+AN27+AP27+AQ27)</f>
        <v>2</v>
      </c>
      <c r="AS27" s="497">
        <f t="shared" ref="AS27" si="90">IF(F27="","",COUNTIF($H27:$AL27,AS$8))++IF(F27="","",COUNTIF($H27:$AL27,"L1")/2)</f>
        <v>0</v>
      </c>
      <c r="AT27" s="498">
        <f t="shared" ref="AT27" si="91">AU27-AR27-AS27</f>
        <v>20</v>
      </c>
      <c r="AU27" s="499">
        <v>22</v>
      </c>
      <c r="AV27" s="465"/>
    </row>
    <row r="28" spans="1:48" ht="21.75" customHeight="1" x14ac:dyDescent="0.25">
      <c r="A28" s="463" t="s">
        <v>51</v>
      </c>
      <c r="B28" s="463"/>
      <c r="C28" s="463"/>
      <c r="D28" s="463"/>
      <c r="E28" s="463"/>
      <c r="F28" s="463"/>
      <c r="G28" s="463"/>
      <c r="H28" s="483"/>
      <c r="I28" s="483"/>
      <c r="J28" s="484"/>
      <c r="K28" s="483"/>
      <c r="L28" s="483"/>
      <c r="M28" s="483"/>
      <c r="N28" s="483"/>
      <c r="O28" s="483"/>
      <c r="P28" s="483"/>
      <c r="Q28" s="484"/>
      <c r="R28" s="483"/>
      <c r="S28" s="483"/>
      <c r="T28" s="483"/>
      <c r="U28" s="483"/>
      <c r="V28" s="483"/>
      <c r="W28" s="485"/>
      <c r="X28" s="484"/>
      <c r="Y28" s="483"/>
      <c r="Z28" s="483"/>
      <c r="AA28" s="483"/>
      <c r="AB28" s="483"/>
      <c r="AC28" s="483"/>
      <c r="AD28" s="485"/>
      <c r="AE28" s="484"/>
      <c r="AF28" s="483"/>
      <c r="AG28" s="483"/>
      <c r="AH28" s="483"/>
      <c r="AI28" s="483"/>
      <c r="AJ28" s="483"/>
      <c r="AK28" s="485"/>
      <c r="AL28" s="484"/>
      <c r="AM28" s="486">
        <f>SUBTOTAL(9,AM11:AM12)</f>
        <v>27</v>
      </c>
      <c r="AN28" s="486">
        <f>SUBTOTAL(9,AN11:AN23)</f>
        <v>8</v>
      </c>
      <c r="AO28" s="486">
        <f>SUBTOTAL(9,AO11:AO23)</f>
        <v>10</v>
      </c>
      <c r="AP28" s="486">
        <f>SUBTOTAL(9,AP11:AP23)</f>
        <v>0</v>
      </c>
      <c r="AQ28" s="486">
        <f>SUBTOTAL(9,AQ11:AQ12)</f>
        <v>0</v>
      </c>
      <c r="AR28" s="486">
        <f>SUBTOTAL(9,AR11:AR23)</f>
        <v>208</v>
      </c>
      <c r="AS28" s="486">
        <f>SUBTOTAL(9,AS11:AS23)</f>
        <v>23</v>
      </c>
      <c r="AT28" s="486">
        <f>SUBTOTAL(9,AT11:AT23)</f>
        <v>28</v>
      </c>
      <c r="AU28" s="486">
        <f>SUBTOTAL(9,AU11:AU23)</f>
        <v>264</v>
      </c>
      <c r="AV28" s="119"/>
    </row>
    <row r="29" spans="1:48" ht="14.25" customHeight="1" x14ac:dyDescent="0.25">
      <c r="A29" s="120"/>
      <c r="B29" s="121" t="s">
        <v>104</v>
      </c>
      <c r="C29" s="122">
        <f t="shared" ref="C29:AV29" si="92">B29+1</f>
        <v>2</v>
      </c>
      <c r="D29" s="122">
        <f t="shared" si="92"/>
        <v>3</v>
      </c>
      <c r="E29" s="122">
        <f t="shared" si="92"/>
        <v>4</v>
      </c>
      <c r="F29" s="122">
        <f t="shared" si="92"/>
        <v>5</v>
      </c>
      <c r="G29" s="122">
        <f t="shared" si="92"/>
        <v>6</v>
      </c>
      <c r="H29" s="122">
        <f t="shared" si="92"/>
        <v>7</v>
      </c>
      <c r="I29" s="122">
        <f t="shared" si="92"/>
        <v>8</v>
      </c>
      <c r="J29" s="122">
        <f t="shared" si="92"/>
        <v>9</v>
      </c>
      <c r="K29" s="122">
        <f t="shared" si="92"/>
        <v>10</v>
      </c>
      <c r="L29" s="122">
        <f t="shared" si="92"/>
        <v>11</v>
      </c>
      <c r="M29" s="122">
        <f t="shared" si="92"/>
        <v>12</v>
      </c>
      <c r="N29" s="122">
        <f t="shared" si="92"/>
        <v>13</v>
      </c>
      <c r="O29" s="122">
        <f t="shared" si="92"/>
        <v>14</v>
      </c>
      <c r="P29" s="122">
        <f t="shared" si="92"/>
        <v>15</v>
      </c>
      <c r="Q29" s="122">
        <f t="shared" si="92"/>
        <v>16</v>
      </c>
      <c r="R29" s="122">
        <f t="shared" si="92"/>
        <v>17</v>
      </c>
      <c r="S29" s="122">
        <f t="shared" si="92"/>
        <v>18</v>
      </c>
      <c r="T29" s="122">
        <f t="shared" si="92"/>
        <v>19</v>
      </c>
      <c r="U29" s="122">
        <f t="shared" si="92"/>
        <v>20</v>
      </c>
      <c r="V29" s="122">
        <f t="shared" si="92"/>
        <v>21</v>
      </c>
      <c r="W29" s="122">
        <f t="shared" si="92"/>
        <v>22</v>
      </c>
      <c r="X29" s="122">
        <f t="shared" si="92"/>
        <v>23</v>
      </c>
      <c r="Y29" s="122">
        <f t="shared" si="92"/>
        <v>24</v>
      </c>
      <c r="Z29" s="122">
        <f t="shared" si="92"/>
        <v>25</v>
      </c>
      <c r="AA29" s="122">
        <f t="shared" si="92"/>
        <v>26</v>
      </c>
      <c r="AB29" s="122">
        <f t="shared" si="92"/>
        <v>27</v>
      </c>
      <c r="AC29" s="122">
        <f t="shared" si="92"/>
        <v>28</v>
      </c>
      <c r="AD29" s="122">
        <f t="shared" si="92"/>
        <v>29</v>
      </c>
      <c r="AE29" s="122">
        <f t="shared" si="92"/>
        <v>30</v>
      </c>
      <c r="AF29" s="122">
        <f t="shared" si="92"/>
        <v>31</v>
      </c>
      <c r="AG29" s="122">
        <f t="shared" si="92"/>
        <v>32</v>
      </c>
      <c r="AH29" s="122">
        <f t="shared" si="92"/>
        <v>33</v>
      </c>
      <c r="AI29" s="122">
        <f t="shared" si="92"/>
        <v>34</v>
      </c>
      <c r="AJ29" s="122">
        <f t="shared" si="92"/>
        <v>35</v>
      </c>
      <c r="AK29" s="122">
        <f t="shared" si="92"/>
        <v>36</v>
      </c>
      <c r="AL29" s="122">
        <f t="shared" si="92"/>
        <v>37</v>
      </c>
      <c r="AM29" s="122">
        <f>AL29+1</f>
        <v>38</v>
      </c>
      <c r="AN29" s="122">
        <f t="shared" si="92"/>
        <v>39</v>
      </c>
      <c r="AO29" s="122">
        <f t="shared" si="92"/>
        <v>40</v>
      </c>
      <c r="AP29" s="122">
        <f t="shared" si="92"/>
        <v>41</v>
      </c>
      <c r="AQ29" s="122">
        <f t="shared" si="92"/>
        <v>42</v>
      </c>
      <c r="AR29" s="122">
        <f t="shared" si="92"/>
        <v>43</v>
      </c>
      <c r="AS29" s="122">
        <f t="shared" si="92"/>
        <v>44</v>
      </c>
      <c r="AT29" s="122">
        <f t="shared" si="92"/>
        <v>45</v>
      </c>
      <c r="AU29" s="122">
        <f t="shared" si="92"/>
        <v>46</v>
      </c>
      <c r="AV29" s="122">
        <f t="shared" si="92"/>
        <v>47</v>
      </c>
    </row>
    <row r="30" spans="1:48" ht="21.75" customHeight="1" x14ac:dyDescent="0.25">
      <c r="A30" s="120"/>
      <c r="B30" s="121"/>
      <c r="C30" s="123"/>
      <c r="D30" s="123"/>
      <c r="E30" s="118"/>
      <c r="F30" s="124"/>
      <c r="G30" s="120"/>
      <c r="H30" s="125"/>
      <c r="I30" s="125"/>
      <c r="J30" s="125"/>
      <c r="K30" s="125"/>
      <c r="L30" s="125"/>
      <c r="M30" s="125"/>
      <c r="N30" s="125"/>
      <c r="O30" s="125"/>
      <c r="P30" s="125"/>
      <c r="Q30" s="125"/>
      <c r="R30" s="125"/>
      <c r="S30" s="125"/>
      <c r="T30" s="125"/>
      <c r="U30" s="125"/>
      <c r="V30" s="125"/>
      <c r="W30" s="125"/>
      <c r="X30" s="125"/>
      <c r="Y30" s="125"/>
      <c r="Z30" s="125"/>
      <c r="AA30" s="125"/>
      <c r="AB30" s="125"/>
      <c r="AC30" s="125"/>
      <c r="AJ30" s="126"/>
      <c r="AK30" s="126"/>
      <c r="AL30" s="126"/>
      <c r="AM30" s="599" t="s">
        <v>347</v>
      </c>
      <c r="AN30" s="520"/>
      <c r="AO30" s="520"/>
      <c r="AP30" s="520"/>
      <c r="AQ30" s="520"/>
      <c r="AR30" s="520"/>
      <c r="AS30" s="521"/>
      <c r="AT30" s="127"/>
      <c r="AU30" s="128"/>
      <c r="AV30" s="129"/>
    </row>
    <row r="31" spans="1:48" ht="32.25" customHeight="1" x14ac:dyDescent="0.25">
      <c r="A31" s="120"/>
      <c r="B31" s="121"/>
      <c r="C31" s="130"/>
      <c r="D31" s="589" t="s">
        <v>99</v>
      </c>
      <c r="E31" s="502"/>
      <c r="F31" s="502"/>
      <c r="G31" s="130"/>
      <c r="I31" s="130"/>
      <c r="J31" s="132"/>
      <c r="K31" s="132"/>
      <c r="L31" s="132"/>
      <c r="M31" s="598" t="s">
        <v>105</v>
      </c>
      <c r="N31" s="520"/>
      <c r="O31" s="520"/>
      <c r="P31" s="520"/>
      <c r="Q31" s="520"/>
      <c r="R31" s="520"/>
      <c r="S31" s="520"/>
      <c r="T31" s="520"/>
      <c r="U31" s="521"/>
      <c r="V31" s="133"/>
      <c r="W31" s="133"/>
      <c r="X31" s="133"/>
      <c r="Y31" s="133"/>
      <c r="Z31" s="598" t="s">
        <v>106</v>
      </c>
      <c r="AA31" s="520"/>
      <c r="AB31" s="520"/>
      <c r="AC31" s="520"/>
      <c r="AD31" s="520"/>
      <c r="AE31" s="520"/>
      <c r="AF31" s="520"/>
      <c r="AG31" s="520"/>
      <c r="AH31" s="521"/>
      <c r="AJ31" s="134"/>
      <c r="AK31" s="134"/>
      <c r="AL31" s="134"/>
      <c r="AM31" s="598" t="s">
        <v>38</v>
      </c>
      <c r="AN31" s="520"/>
      <c r="AO31" s="520"/>
      <c r="AP31" s="520"/>
      <c r="AQ31" s="520"/>
      <c r="AR31" s="520"/>
      <c r="AS31" s="521"/>
      <c r="AT31" s="127"/>
      <c r="AU31" s="128"/>
      <c r="AV31" s="129"/>
    </row>
    <row r="32" spans="1:48" ht="33.75" customHeight="1" x14ac:dyDescent="0.25">
      <c r="A32" s="120"/>
      <c r="B32" s="121"/>
      <c r="C32" s="123"/>
      <c r="D32" s="125"/>
      <c r="E32" s="125"/>
      <c r="F32" s="125"/>
      <c r="G32" s="131"/>
      <c r="H32" s="125"/>
      <c r="I32" s="125"/>
      <c r="J32" s="125"/>
      <c r="K32" s="125"/>
      <c r="L32" s="125"/>
      <c r="M32" s="125"/>
      <c r="N32" s="125"/>
      <c r="O32" s="125"/>
      <c r="P32" s="125"/>
      <c r="Q32" s="125"/>
      <c r="R32" s="125"/>
      <c r="S32" s="125"/>
      <c r="T32" s="125"/>
      <c r="V32" s="125"/>
      <c r="W32" s="125"/>
      <c r="X32" s="125"/>
      <c r="Y32" s="125"/>
      <c r="Z32" s="125"/>
      <c r="AA32" s="125"/>
      <c r="AB32" s="125"/>
      <c r="AC32" s="125"/>
      <c r="AD32" s="125"/>
      <c r="AE32" s="125"/>
      <c r="AF32" s="125"/>
      <c r="AG32" s="125"/>
      <c r="AH32" s="125"/>
      <c r="AI32" s="125"/>
      <c r="AJ32" s="125"/>
      <c r="AK32" s="125"/>
      <c r="AL32" s="125"/>
      <c r="AM32" s="125"/>
      <c r="AN32" s="125"/>
      <c r="AO32" s="125"/>
      <c r="AP32" s="135"/>
      <c r="AQ32" s="136"/>
      <c r="AR32" s="137"/>
      <c r="AS32" s="138"/>
      <c r="AT32" s="127"/>
      <c r="AU32" s="128"/>
      <c r="AV32" s="129"/>
    </row>
    <row r="33" spans="1:48" ht="33.75" customHeight="1" x14ac:dyDescent="0.25">
      <c r="A33" s="120"/>
      <c r="B33" s="121"/>
      <c r="C33" s="130"/>
      <c r="D33" s="589"/>
      <c r="E33" s="502"/>
      <c r="F33" s="502"/>
      <c r="G33" s="130"/>
      <c r="H33" s="130"/>
      <c r="I33" s="132"/>
      <c r="J33" s="132"/>
      <c r="K33" s="132"/>
      <c r="L33" s="132"/>
      <c r="M33" s="598"/>
      <c r="N33" s="520"/>
      <c r="O33" s="520"/>
      <c r="P33" s="520"/>
      <c r="Q33" s="520"/>
      <c r="R33" s="520"/>
      <c r="S33" s="520"/>
      <c r="T33" s="520"/>
      <c r="U33" s="521"/>
      <c r="V33" s="133"/>
      <c r="W33" s="133"/>
      <c r="X33" s="133"/>
      <c r="Y33" s="133"/>
      <c r="Z33" s="133"/>
      <c r="AC33" s="598"/>
      <c r="AD33" s="520"/>
      <c r="AE33" s="520"/>
      <c r="AF33" s="520"/>
      <c r="AG33" s="520"/>
      <c r="AH33" s="521"/>
      <c r="AJ33" s="134"/>
      <c r="AK33" s="134"/>
      <c r="AL33" s="134"/>
      <c r="AM33" s="598"/>
      <c r="AN33" s="520"/>
      <c r="AO33" s="520"/>
      <c r="AP33" s="520"/>
      <c r="AQ33" s="520"/>
      <c r="AR33" s="520"/>
      <c r="AS33" s="521"/>
      <c r="AT33" s="127"/>
      <c r="AU33" s="128"/>
      <c r="AV33" s="129"/>
    </row>
    <row r="34" spans="1:48" ht="15.75" customHeight="1" x14ac:dyDescent="0.25">
      <c r="B34" s="139"/>
      <c r="G34" s="140"/>
    </row>
    <row r="35" spans="1:48" ht="15.75" customHeight="1" x14ac:dyDescent="0.25">
      <c r="B35" s="139"/>
      <c r="G35" s="140"/>
    </row>
    <row r="36" spans="1:48" ht="15.75" customHeight="1" x14ac:dyDescent="0.25">
      <c r="B36" s="139"/>
      <c r="G36" s="140"/>
    </row>
    <row r="37" spans="1:48" ht="15.75" customHeight="1" x14ac:dyDescent="0.25">
      <c r="B37" s="139"/>
      <c r="G37" s="140"/>
    </row>
    <row r="38" spans="1:48" ht="15.75" customHeight="1" x14ac:dyDescent="0.25">
      <c r="B38" s="139"/>
      <c r="G38" s="140"/>
    </row>
    <row r="39" spans="1:48" ht="15.75" customHeight="1" x14ac:dyDescent="0.25">
      <c r="B39" s="139"/>
      <c r="G39" s="140"/>
    </row>
    <row r="40" spans="1:48" ht="15.75" customHeight="1" x14ac:dyDescent="0.25">
      <c r="B40" s="139"/>
      <c r="G40" s="140"/>
    </row>
    <row r="41" spans="1:48" ht="15.75" customHeight="1" x14ac:dyDescent="0.25">
      <c r="B41" s="139"/>
      <c r="G41" s="140"/>
    </row>
    <row r="42" spans="1:48" ht="15.75" customHeight="1" x14ac:dyDescent="0.25">
      <c r="B42" s="139"/>
      <c r="G42" s="140"/>
    </row>
    <row r="43" spans="1:48" ht="15.75" customHeight="1" x14ac:dyDescent="0.25">
      <c r="B43" s="139"/>
      <c r="G43" s="140"/>
    </row>
    <row r="44" spans="1:48" ht="15.75" customHeight="1" x14ac:dyDescent="0.25">
      <c r="B44" s="139"/>
      <c r="G44" s="140"/>
    </row>
    <row r="45" spans="1:48" ht="15.75" customHeight="1" x14ac:dyDescent="0.25">
      <c r="B45" s="139"/>
      <c r="G45" s="140"/>
    </row>
    <row r="46" spans="1:48" ht="15.75" customHeight="1" x14ac:dyDescent="0.25">
      <c r="B46" s="139"/>
      <c r="G46" s="140"/>
    </row>
    <row r="47" spans="1:48" ht="15.75" customHeight="1" x14ac:dyDescent="0.25">
      <c r="B47" s="139"/>
      <c r="G47" s="140"/>
    </row>
    <row r="48" spans="1:48" ht="15.75" customHeight="1" x14ac:dyDescent="0.25">
      <c r="B48" s="139"/>
      <c r="G48" s="140"/>
    </row>
    <row r="49" spans="2:7" ht="15.75" customHeight="1" x14ac:dyDescent="0.25">
      <c r="B49" s="139"/>
      <c r="G49" s="140"/>
    </row>
    <row r="50" spans="2:7" ht="15.75" customHeight="1" x14ac:dyDescent="0.25">
      <c r="B50" s="139"/>
      <c r="G50" s="140"/>
    </row>
    <row r="51" spans="2:7" ht="15.75" customHeight="1" x14ac:dyDescent="0.25">
      <c r="B51" s="139"/>
      <c r="G51" s="140"/>
    </row>
    <row r="52" spans="2:7" ht="15.75" customHeight="1" x14ac:dyDescent="0.25">
      <c r="B52" s="139"/>
      <c r="G52" s="140"/>
    </row>
    <row r="53" spans="2:7" ht="15.75" customHeight="1" x14ac:dyDescent="0.25">
      <c r="B53" s="139"/>
      <c r="G53" s="140"/>
    </row>
    <row r="54" spans="2:7" ht="15.75" customHeight="1" x14ac:dyDescent="0.25">
      <c r="B54" s="139"/>
      <c r="G54" s="140"/>
    </row>
    <row r="55" spans="2:7" ht="15.75" customHeight="1" x14ac:dyDescent="0.25">
      <c r="B55" s="139"/>
      <c r="G55" s="140"/>
    </row>
    <row r="56" spans="2:7" ht="15.75" customHeight="1" x14ac:dyDescent="0.25">
      <c r="B56" s="139"/>
      <c r="G56" s="140"/>
    </row>
    <row r="57" spans="2:7" ht="15.75" customHeight="1" x14ac:dyDescent="0.25">
      <c r="B57" s="139"/>
      <c r="G57" s="140"/>
    </row>
    <row r="58" spans="2:7" ht="15.75" customHeight="1" x14ac:dyDescent="0.25">
      <c r="B58" s="139"/>
      <c r="G58" s="140"/>
    </row>
    <row r="59" spans="2:7" ht="15.75" customHeight="1" x14ac:dyDescent="0.25">
      <c r="B59" s="139"/>
      <c r="G59" s="140"/>
    </row>
    <row r="60" spans="2:7" ht="15.75" customHeight="1" x14ac:dyDescent="0.25">
      <c r="B60" s="139"/>
      <c r="G60" s="140"/>
    </row>
    <row r="61" spans="2:7" ht="15.75" customHeight="1" x14ac:dyDescent="0.25">
      <c r="B61" s="139"/>
      <c r="G61" s="140"/>
    </row>
    <row r="62" spans="2:7" ht="15.75" customHeight="1" x14ac:dyDescent="0.25">
      <c r="B62" s="139"/>
      <c r="G62" s="140"/>
    </row>
    <row r="63" spans="2:7" ht="15.75" customHeight="1" x14ac:dyDescent="0.25">
      <c r="B63" s="139"/>
      <c r="G63" s="140"/>
    </row>
    <row r="64" spans="2:7" ht="15.75" customHeight="1" x14ac:dyDescent="0.25">
      <c r="B64" s="139"/>
      <c r="G64" s="140"/>
    </row>
    <row r="65" spans="2:7" ht="15.75" customHeight="1" x14ac:dyDescent="0.25">
      <c r="B65" s="139"/>
      <c r="G65" s="140"/>
    </row>
    <row r="66" spans="2:7" ht="15.75" customHeight="1" x14ac:dyDescent="0.25">
      <c r="B66" s="139"/>
      <c r="G66" s="140"/>
    </row>
    <row r="67" spans="2:7" ht="15.75" customHeight="1" x14ac:dyDescent="0.25">
      <c r="B67" s="139"/>
      <c r="G67" s="140"/>
    </row>
    <row r="68" spans="2:7" ht="15.75" customHeight="1" x14ac:dyDescent="0.25">
      <c r="B68" s="139"/>
      <c r="G68" s="140"/>
    </row>
    <row r="69" spans="2:7" ht="15.75" customHeight="1" x14ac:dyDescent="0.25">
      <c r="B69" s="139"/>
      <c r="G69" s="140"/>
    </row>
    <row r="70" spans="2:7" ht="15.75" customHeight="1" x14ac:dyDescent="0.25">
      <c r="B70" s="139"/>
      <c r="G70" s="140"/>
    </row>
    <row r="71" spans="2:7" ht="15.75" customHeight="1" x14ac:dyDescent="0.25">
      <c r="B71" s="139"/>
      <c r="G71" s="140"/>
    </row>
    <row r="72" spans="2:7" ht="15.75" customHeight="1" x14ac:dyDescent="0.25">
      <c r="B72" s="139"/>
      <c r="G72" s="140"/>
    </row>
    <row r="73" spans="2:7" ht="15.75" customHeight="1" x14ac:dyDescent="0.25">
      <c r="B73" s="139"/>
      <c r="G73" s="140"/>
    </row>
    <row r="74" spans="2:7" ht="15.75" customHeight="1" x14ac:dyDescent="0.25">
      <c r="B74" s="139"/>
      <c r="G74" s="140"/>
    </row>
    <row r="75" spans="2:7" ht="15.75" customHeight="1" x14ac:dyDescent="0.25">
      <c r="B75" s="139"/>
      <c r="G75" s="140"/>
    </row>
    <row r="76" spans="2:7" ht="15.75" customHeight="1" x14ac:dyDescent="0.25">
      <c r="B76" s="139"/>
      <c r="G76" s="140"/>
    </row>
    <row r="77" spans="2:7" ht="15.75" customHeight="1" x14ac:dyDescent="0.25">
      <c r="B77" s="139"/>
      <c r="G77" s="140"/>
    </row>
    <row r="78" spans="2:7" ht="15.75" customHeight="1" x14ac:dyDescent="0.25">
      <c r="B78" s="139"/>
      <c r="G78" s="140"/>
    </row>
    <row r="79" spans="2:7" ht="15.75" customHeight="1" x14ac:dyDescent="0.25">
      <c r="B79" s="139"/>
      <c r="G79" s="140"/>
    </row>
    <row r="80" spans="2:7" ht="15.75" customHeight="1" x14ac:dyDescent="0.25">
      <c r="B80" s="139"/>
      <c r="G80" s="140"/>
    </row>
    <row r="81" spans="2:7" ht="15.75" customHeight="1" x14ac:dyDescent="0.25">
      <c r="B81" s="139"/>
      <c r="G81" s="140"/>
    </row>
    <row r="82" spans="2:7" ht="15.75" customHeight="1" x14ac:dyDescent="0.25">
      <c r="B82" s="139"/>
      <c r="G82" s="140"/>
    </row>
    <row r="83" spans="2:7" ht="15.75" customHeight="1" x14ac:dyDescent="0.25">
      <c r="B83" s="139"/>
      <c r="G83" s="140"/>
    </row>
    <row r="84" spans="2:7" ht="15.75" customHeight="1" x14ac:dyDescent="0.25">
      <c r="B84" s="139"/>
      <c r="G84" s="140"/>
    </row>
    <row r="85" spans="2:7" ht="15.75" customHeight="1" x14ac:dyDescent="0.25">
      <c r="B85" s="139"/>
      <c r="G85" s="140"/>
    </row>
    <row r="86" spans="2:7" ht="15.75" customHeight="1" x14ac:dyDescent="0.25">
      <c r="B86" s="139"/>
      <c r="G86" s="140"/>
    </row>
    <row r="87" spans="2:7" ht="15.75" customHeight="1" x14ac:dyDescent="0.25">
      <c r="B87" s="139"/>
      <c r="G87" s="140"/>
    </row>
    <row r="88" spans="2:7" ht="15.75" customHeight="1" x14ac:dyDescent="0.25">
      <c r="B88" s="139"/>
      <c r="G88" s="140"/>
    </row>
    <row r="89" spans="2:7" ht="15.75" customHeight="1" x14ac:dyDescent="0.25">
      <c r="B89" s="139"/>
      <c r="G89" s="140"/>
    </row>
    <row r="90" spans="2:7" ht="15.75" customHeight="1" x14ac:dyDescent="0.25">
      <c r="B90" s="139"/>
      <c r="G90" s="140"/>
    </row>
    <row r="91" spans="2:7" ht="15.75" customHeight="1" x14ac:dyDescent="0.25">
      <c r="B91" s="139"/>
      <c r="G91" s="140"/>
    </row>
    <row r="92" spans="2:7" ht="15.75" customHeight="1" x14ac:dyDescent="0.25">
      <c r="B92" s="139"/>
      <c r="G92" s="140"/>
    </row>
    <row r="93" spans="2:7" ht="15.75" customHeight="1" x14ac:dyDescent="0.25">
      <c r="B93" s="139"/>
      <c r="G93" s="140"/>
    </row>
    <row r="94" spans="2:7" ht="15.75" customHeight="1" x14ac:dyDescent="0.25">
      <c r="B94" s="139"/>
      <c r="G94" s="140"/>
    </row>
    <row r="95" spans="2:7" ht="15.75" customHeight="1" x14ac:dyDescent="0.25">
      <c r="B95" s="139"/>
      <c r="G95" s="140"/>
    </row>
    <row r="96" spans="2:7" ht="15.75" customHeight="1" x14ac:dyDescent="0.25">
      <c r="B96" s="139"/>
      <c r="G96" s="140"/>
    </row>
    <row r="97" spans="2:7" ht="15.75" customHeight="1" x14ac:dyDescent="0.25">
      <c r="B97" s="139"/>
      <c r="G97" s="140"/>
    </row>
    <row r="98" spans="2:7" ht="15.75" customHeight="1" x14ac:dyDescent="0.25">
      <c r="B98" s="139"/>
      <c r="G98" s="140"/>
    </row>
    <row r="99" spans="2:7" ht="15.75" customHeight="1" x14ac:dyDescent="0.25">
      <c r="B99" s="139"/>
      <c r="G99" s="140"/>
    </row>
    <row r="100" spans="2:7" ht="15.75" customHeight="1" x14ac:dyDescent="0.25">
      <c r="B100" s="139"/>
      <c r="G100" s="140"/>
    </row>
    <row r="101" spans="2:7" ht="15.75" customHeight="1" x14ac:dyDescent="0.25">
      <c r="B101" s="139"/>
      <c r="G101" s="140"/>
    </row>
    <row r="102" spans="2:7" ht="15.75" customHeight="1" x14ac:dyDescent="0.25">
      <c r="B102" s="139"/>
      <c r="G102" s="140"/>
    </row>
    <row r="103" spans="2:7" ht="15.75" customHeight="1" x14ac:dyDescent="0.25">
      <c r="B103" s="139"/>
      <c r="G103" s="140"/>
    </row>
    <row r="104" spans="2:7" ht="15.75" customHeight="1" x14ac:dyDescent="0.25">
      <c r="B104" s="139"/>
      <c r="G104" s="140"/>
    </row>
    <row r="105" spans="2:7" ht="15.75" customHeight="1" x14ac:dyDescent="0.25">
      <c r="B105" s="139"/>
      <c r="G105" s="140"/>
    </row>
    <row r="106" spans="2:7" ht="15.75" customHeight="1" x14ac:dyDescent="0.25">
      <c r="B106" s="139"/>
      <c r="G106" s="140"/>
    </row>
    <row r="107" spans="2:7" ht="15.75" customHeight="1" x14ac:dyDescent="0.25">
      <c r="B107" s="139"/>
      <c r="G107" s="140"/>
    </row>
    <row r="108" spans="2:7" ht="15.75" customHeight="1" x14ac:dyDescent="0.25">
      <c r="B108" s="139"/>
      <c r="G108" s="140"/>
    </row>
    <row r="109" spans="2:7" ht="15.75" customHeight="1" x14ac:dyDescent="0.25">
      <c r="B109" s="139"/>
      <c r="G109" s="140"/>
    </row>
    <row r="110" spans="2:7" ht="15.75" customHeight="1" x14ac:dyDescent="0.25">
      <c r="B110" s="139"/>
      <c r="G110" s="140"/>
    </row>
    <row r="111" spans="2:7" ht="15.75" customHeight="1" x14ac:dyDescent="0.25">
      <c r="B111" s="139"/>
      <c r="G111" s="140"/>
    </row>
    <row r="112" spans="2:7" ht="15.75" customHeight="1" x14ac:dyDescent="0.25">
      <c r="B112" s="139"/>
      <c r="G112" s="140"/>
    </row>
    <row r="113" spans="2:7" ht="15.75" customHeight="1" x14ac:dyDescent="0.25">
      <c r="B113" s="139"/>
      <c r="G113" s="140"/>
    </row>
    <row r="114" spans="2:7" ht="15.75" customHeight="1" x14ac:dyDescent="0.25">
      <c r="B114" s="139"/>
      <c r="G114" s="140"/>
    </row>
    <row r="115" spans="2:7" ht="15.75" customHeight="1" x14ac:dyDescent="0.25">
      <c r="B115" s="139"/>
      <c r="G115" s="140"/>
    </row>
    <row r="116" spans="2:7" ht="15.75" customHeight="1" x14ac:dyDescent="0.25">
      <c r="B116" s="139"/>
      <c r="G116" s="140"/>
    </row>
    <row r="117" spans="2:7" ht="15.75" customHeight="1" x14ac:dyDescent="0.25">
      <c r="B117" s="139"/>
      <c r="G117" s="140"/>
    </row>
    <row r="118" spans="2:7" ht="15.75" customHeight="1" x14ac:dyDescent="0.25">
      <c r="B118" s="139"/>
      <c r="G118" s="140"/>
    </row>
    <row r="119" spans="2:7" ht="15.75" customHeight="1" x14ac:dyDescent="0.25">
      <c r="B119" s="139"/>
      <c r="G119" s="140"/>
    </row>
    <row r="120" spans="2:7" ht="15.75" customHeight="1" x14ac:dyDescent="0.25">
      <c r="B120" s="139"/>
      <c r="G120" s="140"/>
    </row>
    <row r="121" spans="2:7" ht="15.75" customHeight="1" x14ac:dyDescent="0.25">
      <c r="B121" s="139"/>
      <c r="G121" s="140"/>
    </row>
    <row r="122" spans="2:7" ht="15.75" customHeight="1" x14ac:dyDescent="0.25">
      <c r="B122" s="139"/>
      <c r="G122" s="140"/>
    </row>
    <row r="123" spans="2:7" ht="15.75" customHeight="1" x14ac:dyDescent="0.25">
      <c r="B123" s="139"/>
      <c r="G123" s="140"/>
    </row>
    <row r="124" spans="2:7" ht="15.75" customHeight="1" x14ac:dyDescent="0.25">
      <c r="B124" s="139"/>
      <c r="G124" s="140"/>
    </row>
    <row r="125" spans="2:7" ht="15.75" customHeight="1" x14ac:dyDescent="0.25">
      <c r="B125" s="139"/>
      <c r="G125" s="140"/>
    </row>
    <row r="126" spans="2:7" ht="15.75" customHeight="1" x14ac:dyDescent="0.25">
      <c r="B126" s="139"/>
      <c r="G126" s="140"/>
    </row>
    <row r="127" spans="2:7" ht="15.75" customHeight="1" x14ac:dyDescent="0.25">
      <c r="B127" s="139"/>
      <c r="G127" s="140"/>
    </row>
    <row r="128" spans="2:7" ht="15.75" customHeight="1" x14ac:dyDescent="0.25">
      <c r="B128" s="139"/>
      <c r="G128" s="140"/>
    </row>
    <row r="129" spans="2:7" ht="15.75" customHeight="1" x14ac:dyDescent="0.25">
      <c r="B129" s="139"/>
      <c r="G129" s="140"/>
    </row>
    <row r="130" spans="2:7" ht="15.75" customHeight="1" x14ac:dyDescent="0.25">
      <c r="B130" s="139"/>
      <c r="G130" s="140"/>
    </row>
    <row r="131" spans="2:7" ht="15.75" customHeight="1" x14ac:dyDescent="0.25">
      <c r="B131" s="139"/>
      <c r="G131" s="140"/>
    </row>
    <row r="132" spans="2:7" ht="15.75" customHeight="1" x14ac:dyDescent="0.25">
      <c r="B132" s="139"/>
      <c r="G132" s="140"/>
    </row>
    <row r="133" spans="2:7" ht="15.75" customHeight="1" x14ac:dyDescent="0.25">
      <c r="B133" s="139"/>
      <c r="G133" s="140"/>
    </row>
    <row r="134" spans="2:7" ht="15.75" customHeight="1" x14ac:dyDescent="0.25">
      <c r="B134" s="139"/>
      <c r="G134" s="140"/>
    </row>
    <row r="135" spans="2:7" ht="15.75" customHeight="1" x14ac:dyDescent="0.25">
      <c r="B135" s="139"/>
      <c r="G135" s="140"/>
    </row>
    <row r="136" spans="2:7" ht="15.75" customHeight="1" x14ac:dyDescent="0.25">
      <c r="B136" s="139"/>
      <c r="G136" s="140"/>
    </row>
    <row r="137" spans="2:7" ht="15.75" customHeight="1" x14ac:dyDescent="0.25">
      <c r="B137" s="139"/>
      <c r="G137" s="140"/>
    </row>
    <row r="138" spans="2:7" ht="15.75" customHeight="1" x14ac:dyDescent="0.25">
      <c r="B138" s="139"/>
      <c r="G138" s="140"/>
    </row>
    <row r="139" spans="2:7" ht="15.75" customHeight="1" x14ac:dyDescent="0.25">
      <c r="B139" s="139"/>
      <c r="G139" s="140"/>
    </row>
    <row r="140" spans="2:7" ht="15.75" customHeight="1" x14ac:dyDescent="0.25">
      <c r="B140" s="139"/>
      <c r="G140" s="140"/>
    </row>
    <row r="141" spans="2:7" ht="15.75" customHeight="1" x14ac:dyDescent="0.25">
      <c r="B141" s="139"/>
      <c r="G141" s="140"/>
    </row>
    <row r="142" spans="2:7" ht="15.75" customHeight="1" x14ac:dyDescent="0.25">
      <c r="B142" s="139"/>
      <c r="G142" s="140"/>
    </row>
    <row r="143" spans="2:7" ht="15.75" customHeight="1" x14ac:dyDescent="0.25">
      <c r="B143" s="139"/>
      <c r="G143" s="140"/>
    </row>
    <row r="144" spans="2:7" ht="15.75" customHeight="1" x14ac:dyDescent="0.25">
      <c r="B144" s="139"/>
      <c r="G144" s="140"/>
    </row>
    <row r="145" spans="2:7" ht="15.75" customHeight="1" x14ac:dyDescent="0.25">
      <c r="B145" s="139"/>
      <c r="G145" s="140"/>
    </row>
    <row r="146" spans="2:7" ht="15.75" customHeight="1" x14ac:dyDescent="0.25">
      <c r="B146" s="139"/>
      <c r="G146" s="140"/>
    </row>
    <row r="147" spans="2:7" ht="15.75" customHeight="1" x14ac:dyDescent="0.25">
      <c r="B147" s="139"/>
      <c r="G147" s="140"/>
    </row>
    <row r="148" spans="2:7" ht="15.75" customHeight="1" x14ac:dyDescent="0.25">
      <c r="B148" s="139"/>
      <c r="G148" s="140"/>
    </row>
    <row r="149" spans="2:7" ht="15.75" customHeight="1" x14ac:dyDescent="0.25">
      <c r="B149" s="139"/>
      <c r="G149" s="140"/>
    </row>
    <row r="150" spans="2:7" ht="15.75" customHeight="1" x14ac:dyDescent="0.25">
      <c r="B150" s="139"/>
      <c r="G150" s="140"/>
    </row>
    <row r="151" spans="2:7" ht="15.75" customHeight="1" x14ac:dyDescent="0.25">
      <c r="B151" s="139"/>
      <c r="G151" s="140"/>
    </row>
    <row r="152" spans="2:7" ht="15.75" customHeight="1" x14ac:dyDescent="0.25">
      <c r="B152" s="139"/>
      <c r="G152" s="140"/>
    </row>
    <row r="153" spans="2:7" ht="15.75" customHeight="1" x14ac:dyDescent="0.25">
      <c r="B153" s="139"/>
      <c r="G153" s="140"/>
    </row>
    <row r="154" spans="2:7" ht="15.75" customHeight="1" x14ac:dyDescent="0.25">
      <c r="B154" s="139"/>
      <c r="G154" s="140"/>
    </row>
    <row r="155" spans="2:7" ht="15.75" customHeight="1" x14ac:dyDescent="0.25">
      <c r="B155" s="139"/>
      <c r="G155" s="140"/>
    </row>
    <row r="156" spans="2:7" ht="15.75" customHeight="1" x14ac:dyDescent="0.25">
      <c r="B156" s="139"/>
      <c r="G156" s="140"/>
    </row>
    <row r="157" spans="2:7" ht="15.75" customHeight="1" x14ac:dyDescent="0.25">
      <c r="B157" s="139"/>
      <c r="G157" s="140"/>
    </row>
    <row r="158" spans="2:7" ht="15.75" customHeight="1" x14ac:dyDescent="0.25">
      <c r="B158" s="139"/>
      <c r="G158" s="140"/>
    </row>
    <row r="159" spans="2:7" ht="15.75" customHeight="1" x14ac:dyDescent="0.25">
      <c r="B159" s="139"/>
      <c r="G159" s="140"/>
    </row>
    <row r="160" spans="2:7" ht="15.75" customHeight="1" x14ac:dyDescent="0.25">
      <c r="B160" s="139"/>
      <c r="G160" s="140"/>
    </row>
    <row r="161" spans="2:7" ht="15.75" customHeight="1" x14ac:dyDescent="0.25">
      <c r="B161" s="139"/>
      <c r="G161" s="140"/>
    </row>
    <row r="162" spans="2:7" ht="15.75" customHeight="1" x14ac:dyDescent="0.25">
      <c r="B162" s="139"/>
      <c r="G162" s="140"/>
    </row>
    <row r="163" spans="2:7" ht="15.75" customHeight="1" x14ac:dyDescent="0.25">
      <c r="B163" s="139"/>
      <c r="G163" s="140"/>
    </row>
    <row r="164" spans="2:7" ht="15.75" customHeight="1" x14ac:dyDescent="0.25">
      <c r="B164" s="139"/>
      <c r="G164" s="140"/>
    </row>
    <row r="165" spans="2:7" ht="15.75" customHeight="1" x14ac:dyDescent="0.25">
      <c r="B165" s="139"/>
      <c r="G165" s="140"/>
    </row>
    <row r="166" spans="2:7" ht="15.75" customHeight="1" x14ac:dyDescent="0.25">
      <c r="B166" s="139"/>
      <c r="G166" s="140"/>
    </row>
    <row r="167" spans="2:7" ht="15.75" customHeight="1" x14ac:dyDescent="0.25">
      <c r="B167" s="139"/>
      <c r="G167" s="140"/>
    </row>
    <row r="168" spans="2:7" ht="15.75" customHeight="1" x14ac:dyDescent="0.25">
      <c r="B168" s="139"/>
      <c r="G168" s="140"/>
    </row>
    <row r="169" spans="2:7" ht="15.75" customHeight="1" x14ac:dyDescent="0.25">
      <c r="B169" s="139"/>
      <c r="G169" s="140"/>
    </row>
    <row r="170" spans="2:7" ht="15.75" customHeight="1" x14ac:dyDescent="0.25">
      <c r="B170" s="139"/>
      <c r="G170" s="140"/>
    </row>
    <row r="171" spans="2:7" ht="15.75" customHeight="1" x14ac:dyDescent="0.25">
      <c r="B171" s="139"/>
      <c r="G171" s="140"/>
    </row>
    <row r="172" spans="2:7" ht="15.75" customHeight="1" x14ac:dyDescent="0.25">
      <c r="B172" s="139"/>
      <c r="G172" s="140"/>
    </row>
    <row r="173" spans="2:7" ht="15.75" customHeight="1" x14ac:dyDescent="0.25">
      <c r="B173" s="139"/>
      <c r="G173" s="140"/>
    </row>
    <row r="174" spans="2:7" ht="15.75" customHeight="1" x14ac:dyDescent="0.25">
      <c r="B174" s="139"/>
      <c r="G174" s="140"/>
    </row>
    <row r="175" spans="2:7" ht="15.75" customHeight="1" x14ac:dyDescent="0.25">
      <c r="B175" s="139"/>
      <c r="G175" s="140"/>
    </row>
    <row r="176" spans="2:7" ht="15.75" customHeight="1" x14ac:dyDescent="0.25">
      <c r="B176" s="139"/>
      <c r="G176" s="140"/>
    </row>
    <row r="177" spans="2:7" ht="15.75" customHeight="1" x14ac:dyDescent="0.25">
      <c r="B177" s="139"/>
      <c r="G177" s="140"/>
    </row>
    <row r="178" spans="2:7" ht="15.75" customHeight="1" x14ac:dyDescent="0.25">
      <c r="B178" s="139"/>
      <c r="G178" s="140"/>
    </row>
    <row r="179" spans="2:7" ht="15.75" customHeight="1" x14ac:dyDescent="0.25">
      <c r="B179" s="139"/>
      <c r="G179" s="140"/>
    </row>
    <row r="180" spans="2:7" ht="15.75" customHeight="1" x14ac:dyDescent="0.25">
      <c r="B180" s="139"/>
      <c r="G180" s="140"/>
    </row>
    <row r="181" spans="2:7" ht="15.75" customHeight="1" x14ac:dyDescent="0.25">
      <c r="B181" s="139"/>
      <c r="G181" s="140"/>
    </row>
    <row r="182" spans="2:7" ht="15.75" customHeight="1" x14ac:dyDescent="0.25">
      <c r="B182" s="139"/>
      <c r="G182" s="140"/>
    </row>
    <row r="183" spans="2:7" ht="15.75" customHeight="1" x14ac:dyDescent="0.25">
      <c r="B183" s="139"/>
      <c r="G183" s="140"/>
    </row>
    <row r="184" spans="2:7" ht="15.75" customHeight="1" x14ac:dyDescent="0.25">
      <c r="B184" s="139"/>
      <c r="G184" s="140"/>
    </row>
    <row r="185" spans="2:7" ht="15.75" customHeight="1" x14ac:dyDescent="0.25">
      <c r="B185" s="139"/>
      <c r="G185" s="140"/>
    </row>
    <row r="186" spans="2:7" ht="15.75" customHeight="1" x14ac:dyDescent="0.25">
      <c r="B186" s="139"/>
      <c r="G186" s="140"/>
    </row>
    <row r="187" spans="2:7" ht="15.75" customHeight="1" x14ac:dyDescent="0.25">
      <c r="B187" s="139"/>
      <c r="G187" s="140"/>
    </row>
    <row r="188" spans="2:7" ht="15.75" customHeight="1" x14ac:dyDescent="0.25">
      <c r="B188" s="139"/>
      <c r="G188" s="140"/>
    </row>
    <row r="189" spans="2:7" ht="15.75" customHeight="1" x14ac:dyDescent="0.25">
      <c r="B189" s="139"/>
      <c r="G189" s="140"/>
    </row>
    <row r="190" spans="2:7" ht="15.75" customHeight="1" x14ac:dyDescent="0.25">
      <c r="B190" s="139"/>
      <c r="G190" s="140"/>
    </row>
    <row r="191" spans="2:7" ht="15.75" customHeight="1" x14ac:dyDescent="0.25">
      <c r="B191" s="139"/>
      <c r="G191" s="140"/>
    </row>
    <row r="192" spans="2:7" ht="15.75" customHeight="1" x14ac:dyDescent="0.25">
      <c r="B192" s="139"/>
      <c r="G192" s="140"/>
    </row>
    <row r="193" spans="2:7" ht="15.75" customHeight="1" x14ac:dyDescent="0.25">
      <c r="B193" s="139"/>
      <c r="G193" s="140"/>
    </row>
    <row r="194" spans="2:7" ht="15.75" customHeight="1" x14ac:dyDescent="0.25">
      <c r="B194" s="139"/>
      <c r="G194" s="140"/>
    </row>
    <row r="195" spans="2:7" ht="15.75" customHeight="1" x14ac:dyDescent="0.25">
      <c r="B195" s="139"/>
      <c r="G195" s="140"/>
    </row>
    <row r="196" spans="2:7" ht="15.75" customHeight="1" x14ac:dyDescent="0.25">
      <c r="B196" s="139"/>
      <c r="G196" s="140"/>
    </row>
    <row r="197" spans="2:7" ht="15.75" customHeight="1" x14ac:dyDescent="0.25">
      <c r="B197" s="139"/>
      <c r="G197" s="140"/>
    </row>
    <row r="198" spans="2:7" ht="15.75" customHeight="1" x14ac:dyDescent="0.25">
      <c r="B198" s="139"/>
      <c r="G198" s="140"/>
    </row>
    <row r="199" spans="2:7" ht="15.75" customHeight="1" x14ac:dyDescent="0.25">
      <c r="B199" s="139"/>
      <c r="G199" s="140"/>
    </row>
    <row r="200" spans="2:7" ht="15.75" customHeight="1" x14ac:dyDescent="0.25">
      <c r="B200" s="139"/>
      <c r="G200" s="140"/>
    </row>
    <row r="201" spans="2:7" ht="15.75" customHeight="1" x14ac:dyDescent="0.25">
      <c r="B201" s="139"/>
      <c r="G201" s="140"/>
    </row>
    <row r="202" spans="2:7" ht="15.75" customHeight="1" x14ac:dyDescent="0.25">
      <c r="B202" s="139"/>
      <c r="G202" s="140"/>
    </row>
    <row r="203" spans="2:7" ht="15.75" customHeight="1" x14ac:dyDescent="0.25">
      <c r="B203" s="139"/>
      <c r="G203" s="140"/>
    </row>
    <row r="204" spans="2:7" ht="15.75" customHeight="1" x14ac:dyDescent="0.25">
      <c r="B204" s="139"/>
      <c r="G204" s="140"/>
    </row>
    <row r="205" spans="2:7" ht="15.75" customHeight="1" x14ac:dyDescent="0.25">
      <c r="B205" s="139"/>
      <c r="G205" s="140"/>
    </row>
    <row r="206" spans="2:7" ht="15.75" customHeight="1" x14ac:dyDescent="0.25">
      <c r="B206" s="139"/>
      <c r="G206" s="140"/>
    </row>
    <row r="207" spans="2:7" ht="15.75" customHeight="1" x14ac:dyDescent="0.25">
      <c r="B207" s="139"/>
      <c r="G207" s="140"/>
    </row>
    <row r="208" spans="2:7" ht="15.75" customHeight="1" x14ac:dyDescent="0.25">
      <c r="B208" s="139"/>
      <c r="G208" s="140"/>
    </row>
    <row r="209" spans="2:7" ht="15.75" customHeight="1" x14ac:dyDescent="0.25">
      <c r="B209" s="139"/>
      <c r="G209" s="140"/>
    </row>
    <row r="210" spans="2:7" ht="15.75" customHeight="1" x14ac:dyDescent="0.25">
      <c r="B210" s="139"/>
      <c r="G210" s="140"/>
    </row>
    <row r="211" spans="2:7" ht="15.75" customHeight="1" x14ac:dyDescent="0.25">
      <c r="B211" s="139"/>
      <c r="G211" s="140"/>
    </row>
    <row r="212" spans="2:7" ht="15.75" customHeight="1" x14ac:dyDescent="0.25">
      <c r="B212" s="139"/>
      <c r="G212" s="140"/>
    </row>
    <row r="213" spans="2:7" ht="15.75" customHeight="1" x14ac:dyDescent="0.25">
      <c r="B213" s="139"/>
      <c r="G213" s="140"/>
    </row>
    <row r="214" spans="2:7" ht="15.75" customHeight="1" x14ac:dyDescent="0.25">
      <c r="B214" s="139"/>
      <c r="G214" s="140"/>
    </row>
    <row r="215" spans="2:7" ht="15.75" customHeight="1" x14ac:dyDescent="0.25">
      <c r="B215" s="139"/>
      <c r="G215" s="140"/>
    </row>
    <row r="216" spans="2:7" ht="15.75" customHeight="1" x14ac:dyDescent="0.25">
      <c r="B216" s="139"/>
      <c r="G216" s="140"/>
    </row>
    <row r="217" spans="2:7" ht="15.75" customHeight="1" x14ac:dyDescent="0.25">
      <c r="B217" s="139"/>
      <c r="G217" s="140"/>
    </row>
    <row r="218" spans="2:7" ht="15.75" customHeight="1" x14ac:dyDescent="0.25">
      <c r="B218" s="139"/>
      <c r="G218" s="140"/>
    </row>
    <row r="219" spans="2:7" ht="15.75" customHeight="1" x14ac:dyDescent="0.25">
      <c r="B219" s="139"/>
      <c r="G219" s="140"/>
    </row>
    <row r="220" spans="2:7" ht="15.75" customHeight="1" x14ac:dyDescent="0.25">
      <c r="B220" s="139"/>
      <c r="G220" s="140"/>
    </row>
    <row r="221" spans="2:7" ht="15.75" customHeight="1" x14ac:dyDescent="0.25">
      <c r="B221" s="139"/>
      <c r="G221" s="140"/>
    </row>
    <row r="222" spans="2:7" ht="15.75" customHeight="1" x14ac:dyDescent="0.25">
      <c r="B222" s="139"/>
      <c r="G222" s="140"/>
    </row>
    <row r="223" spans="2:7" ht="15.75" customHeight="1" x14ac:dyDescent="0.25">
      <c r="B223" s="139"/>
      <c r="G223" s="140"/>
    </row>
    <row r="224" spans="2:7" ht="15.75" customHeight="1" x14ac:dyDescent="0.25">
      <c r="B224" s="139"/>
      <c r="G224" s="140"/>
    </row>
    <row r="225" spans="2:7" ht="15.75" customHeight="1" x14ac:dyDescent="0.25">
      <c r="B225" s="139"/>
      <c r="G225" s="140"/>
    </row>
    <row r="226" spans="2:7" ht="15.75" customHeight="1" x14ac:dyDescent="0.25">
      <c r="B226" s="139"/>
      <c r="G226" s="140"/>
    </row>
    <row r="227" spans="2:7" ht="15.75" customHeight="1" x14ac:dyDescent="0.25">
      <c r="B227" s="139"/>
      <c r="G227" s="140"/>
    </row>
    <row r="228" spans="2:7" ht="15.75" customHeight="1" x14ac:dyDescent="0.25">
      <c r="B228" s="139"/>
      <c r="G228" s="140"/>
    </row>
    <row r="229" spans="2:7" ht="15.75" customHeight="1" x14ac:dyDescent="0.25">
      <c r="B229" s="139"/>
      <c r="G229" s="140"/>
    </row>
    <row r="230" spans="2:7" ht="15.75" customHeight="1" x14ac:dyDescent="0.25">
      <c r="B230" s="139"/>
      <c r="G230" s="140"/>
    </row>
    <row r="231" spans="2:7" ht="15.75" customHeight="1" x14ac:dyDescent="0.25">
      <c r="B231" s="139"/>
      <c r="G231" s="140"/>
    </row>
    <row r="232" spans="2:7" ht="15.75" customHeight="1" x14ac:dyDescent="0.25">
      <c r="B232" s="139"/>
      <c r="G232" s="140"/>
    </row>
    <row r="233" spans="2:7" ht="15.75" customHeight="1" x14ac:dyDescent="0.25">
      <c r="B233" s="139"/>
      <c r="G233" s="140"/>
    </row>
    <row r="234" spans="2:7" ht="15.75" customHeight="1" x14ac:dyDescent="0.25">
      <c r="B234" s="139"/>
      <c r="G234" s="140"/>
    </row>
    <row r="235" spans="2:7" ht="15.75" customHeight="1" x14ac:dyDescent="0.25">
      <c r="B235" s="139"/>
      <c r="G235" s="140"/>
    </row>
    <row r="236" spans="2:7" ht="15.75" customHeight="1" x14ac:dyDescent="0.25">
      <c r="B236" s="139"/>
      <c r="G236" s="140"/>
    </row>
    <row r="237" spans="2:7" ht="15.75" customHeight="1" x14ac:dyDescent="0.25">
      <c r="B237" s="139"/>
      <c r="G237" s="140"/>
    </row>
    <row r="238" spans="2:7" ht="15.75" customHeight="1" x14ac:dyDescent="0.25">
      <c r="B238" s="139"/>
      <c r="G238" s="140"/>
    </row>
    <row r="239" spans="2:7" ht="15.75" customHeight="1" x14ac:dyDescent="0.25">
      <c r="B239" s="139"/>
      <c r="G239" s="140"/>
    </row>
    <row r="240" spans="2:7" ht="15.75" customHeight="1" x14ac:dyDescent="0.25">
      <c r="B240" s="139"/>
      <c r="G240" s="140"/>
    </row>
    <row r="241" spans="2:7" ht="15.75" customHeight="1" x14ac:dyDescent="0.25">
      <c r="B241" s="139"/>
      <c r="G241" s="140"/>
    </row>
    <row r="242" spans="2:7" ht="15.75" customHeight="1" x14ac:dyDescent="0.25">
      <c r="B242" s="139"/>
      <c r="G242" s="140"/>
    </row>
    <row r="243" spans="2:7" ht="15.75" customHeight="1" x14ac:dyDescent="0.25">
      <c r="B243" s="139"/>
      <c r="G243" s="140"/>
    </row>
    <row r="244" spans="2:7" ht="15.75" customHeight="1" x14ac:dyDescent="0.25">
      <c r="B244" s="139"/>
      <c r="G244" s="140"/>
    </row>
    <row r="245" spans="2:7" ht="15.75" customHeight="1" x14ac:dyDescent="0.25">
      <c r="B245" s="139"/>
      <c r="G245" s="140"/>
    </row>
    <row r="246" spans="2:7" ht="15.75" customHeight="1" x14ac:dyDescent="0.25">
      <c r="B246" s="139"/>
      <c r="G246" s="140"/>
    </row>
    <row r="247" spans="2:7" ht="15.75" customHeight="1" x14ac:dyDescent="0.25">
      <c r="B247" s="139"/>
      <c r="G247" s="140"/>
    </row>
    <row r="248" spans="2:7" ht="15.75" customHeight="1" x14ac:dyDescent="0.25">
      <c r="B248" s="139"/>
      <c r="G248" s="140"/>
    </row>
    <row r="249" spans="2:7" ht="15.75" customHeight="1" x14ac:dyDescent="0.25">
      <c r="B249" s="139"/>
      <c r="G249" s="140"/>
    </row>
    <row r="250" spans="2:7" ht="15.75" customHeight="1" x14ac:dyDescent="0.25">
      <c r="B250" s="139"/>
      <c r="G250" s="140"/>
    </row>
    <row r="251" spans="2:7" ht="15.75" customHeight="1" x14ac:dyDescent="0.25">
      <c r="B251" s="139"/>
      <c r="G251" s="140"/>
    </row>
    <row r="252" spans="2:7" ht="15.75" customHeight="1" x14ac:dyDescent="0.25">
      <c r="B252" s="139"/>
      <c r="G252" s="140"/>
    </row>
    <row r="253" spans="2:7" ht="15.75" customHeight="1" x14ac:dyDescent="0.25">
      <c r="B253" s="139"/>
      <c r="G253" s="140"/>
    </row>
    <row r="254" spans="2:7" ht="15.75" customHeight="1" x14ac:dyDescent="0.25">
      <c r="B254" s="139"/>
      <c r="G254" s="140"/>
    </row>
    <row r="255" spans="2:7" ht="15.75" customHeight="1" x14ac:dyDescent="0.25">
      <c r="B255" s="139"/>
      <c r="G255" s="140"/>
    </row>
    <row r="256" spans="2:7" ht="15.75" customHeight="1" x14ac:dyDescent="0.25">
      <c r="B256" s="139"/>
      <c r="G256" s="140"/>
    </row>
    <row r="257" spans="2:7" ht="15.75" customHeight="1" x14ac:dyDescent="0.25">
      <c r="B257" s="139"/>
      <c r="G257" s="140"/>
    </row>
    <row r="258" spans="2:7" ht="15.75" customHeight="1" x14ac:dyDescent="0.25">
      <c r="B258" s="139"/>
      <c r="G258" s="140"/>
    </row>
    <row r="259" spans="2:7" ht="15.75" customHeight="1" x14ac:dyDescent="0.25">
      <c r="B259" s="139"/>
      <c r="G259" s="140"/>
    </row>
    <row r="260" spans="2:7" ht="15.75" customHeight="1" x14ac:dyDescent="0.25">
      <c r="B260" s="139"/>
      <c r="G260" s="140"/>
    </row>
    <row r="261" spans="2:7" ht="15.75" customHeight="1" x14ac:dyDescent="0.25">
      <c r="B261" s="139"/>
      <c r="G261" s="140"/>
    </row>
    <row r="262" spans="2:7" ht="15.75" customHeight="1" x14ac:dyDescent="0.25">
      <c r="B262" s="139"/>
      <c r="G262" s="140"/>
    </row>
    <row r="263" spans="2:7" ht="15.75" customHeight="1" x14ac:dyDescent="0.25">
      <c r="B263" s="139"/>
      <c r="G263" s="140"/>
    </row>
    <row r="264" spans="2:7" ht="15.75" customHeight="1" x14ac:dyDescent="0.25">
      <c r="B264" s="139"/>
      <c r="G264" s="140"/>
    </row>
    <row r="265" spans="2:7" ht="15.75" customHeight="1" x14ac:dyDescent="0.25">
      <c r="B265" s="139"/>
      <c r="G265" s="140"/>
    </row>
    <row r="266" spans="2:7" ht="15.75" customHeight="1" x14ac:dyDescent="0.25">
      <c r="B266" s="139"/>
      <c r="G266" s="140"/>
    </row>
    <row r="267" spans="2:7" ht="15.75" customHeight="1" x14ac:dyDescent="0.25">
      <c r="B267" s="139"/>
      <c r="G267" s="140"/>
    </row>
    <row r="268" spans="2:7" ht="15.75" customHeight="1" x14ac:dyDescent="0.25">
      <c r="B268" s="139"/>
      <c r="G268" s="140"/>
    </row>
    <row r="269" spans="2:7" ht="15.75" customHeight="1" x14ac:dyDescent="0.25">
      <c r="B269" s="139"/>
      <c r="G269" s="140"/>
    </row>
    <row r="270" spans="2:7" ht="15.75" customHeight="1" x14ac:dyDescent="0.25">
      <c r="B270" s="139"/>
      <c r="G270" s="140"/>
    </row>
    <row r="271" spans="2:7" ht="15.75" customHeight="1" x14ac:dyDescent="0.25">
      <c r="B271" s="139"/>
      <c r="G271" s="140"/>
    </row>
    <row r="272" spans="2:7" ht="15.75" customHeight="1" x14ac:dyDescent="0.25">
      <c r="B272" s="139"/>
      <c r="G272" s="140"/>
    </row>
    <row r="273" spans="2:7" ht="15.75" customHeight="1" x14ac:dyDescent="0.25">
      <c r="B273" s="139"/>
      <c r="G273" s="140"/>
    </row>
    <row r="274" spans="2:7" ht="15.75" customHeight="1" x14ac:dyDescent="0.25">
      <c r="B274" s="139"/>
      <c r="G274" s="140"/>
    </row>
    <row r="275" spans="2:7" ht="15.75" customHeight="1" x14ac:dyDescent="0.25">
      <c r="B275" s="139"/>
      <c r="G275" s="140"/>
    </row>
    <row r="276" spans="2:7" ht="15.75" customHeight="1" x14ac:dyDescent="0.25">
      <c r="B276" s="139"/>
      <c r="G276" s="140"/>
    </row>
    <row r="277" spans="2:7" ht="15.75" customHeight="1" x14ac:dyDescent="0.25">
      <c r="B277" s="139"/>
      <c r="G277" s="140"/>
    </row>
    <row r="278" spans="2:7" ht="15.75" customHeight="1" x14ac:dyDescent="0.25">
      <c r="B278" s="139"/>
      <c r="G278" s="140"/>
    </row>
    <row r="279" spans="2:7" ht="15.75" customHeight="1" x14ac:dyDescent="0.25">
      <c r="B279" s="139"/>
      <c r="G279" s="140"/>
    </row>
    <row r="280" spans="2:7" ht="15.75" customHeight="1" x14ac:dyDescent="0.25">
      <c r="B280" s="139"/>
      <c r="G280" s="140"/>
    </row>
    <row r="281" spans="2:7" ht="15.75" customHeight="1" x14ac:dyDescent="0.25">
      <c r="B281" s="139"/>
      <c r="G281" s="140"/>
    </row>
    <row r="282" spans="2:7" ht="15.75" customHeight="1" x14ac:dyDescent="0.25">
      <c r="B282" s="139"/>
      <c r="G282" s="140"/>
    </row>
    <row r="283" spans="2:7" ht="15.75" customHeight="1" x14ac:dyDescent="0.25">
      <c r="B283" s="139"/>
      <c r="G283" s="140"/>
    </row>
    <row r="284" spans="2:7" ht="15.75" customHeight="1" x14ac:dyDescent="0.25">
      <c r="B284" s="139"/>
      <c r="G284" s="140"/>
    </row>
    <row r="285" spans="2:7" ht="15.75" customHeight="1" x14ac:dyDescent="0.25">
      <c r="B285" s="139"/>
      <c r="G285" s="140"/>
    </row>
    <row r="286" spans="2:7" ht="15.75" customHeight="1" x14ac:dyDescent="0.25">
      <c r="B286" s="139"/>
      <c r="G286" s="140"/>
    </row>
    <row r="287" spans="2:7" ht="15.75" customHeight="1" x14ac:dyDescent="0.25">
      <c r="B287" s="139"/>
      <c r="G287" s="140"/>
    </row>
    <row r="288" spans="2:7" ht="15.75" customHeight="1" x14ac:dyDescent="0.25">
      <c r="B288" s="139"/>
      <c r="G288" s="140"/>
    </row>
    <row r="289" spans="2:7" ht="15.75" customHeight="1" x14ac:dyDescent="0.25">
      <c r="B289" s="139"/>
      <c r="G289" s="140"/>
    </row>
    <row r="290" spans="2:7" ht="15.75" customHeight="1" x14ac:dyDescent="0.25">
      <c r="B290" s="139"/>
      <c r="G290" s="140"/>
    </row>
    <row r="291" spans="2:7" ht="15.75" customHeight="1" x14ac:dyDescent="0.25">
      <c r="B291" s="139"/>
      <c r="G291" s="140"/>
    </row>
    <row r="292" spans="2:7" ht="15.75" customHeight="1" x14ac:dyDescent="0.25">
      <c r="B292" s="139"/>
      <c r="G292" s="140"/>
    </row>
    <row r="293" spans="2:7" ht="15.75" customHeight="1" x14ac:dyDescent="0.25">
      <c r="B293" s="139"/>
      <c r="G293" s="140"/>
    </row>
    <row r="294" spans="2:7" ht="15.75" customHeight="1" x14ac:dyDescent="0.25">
      <c r="B294" s="139"/>
      <c r="G294" s="140"/>
    </row>
    <row r="295" spans="2:7" ht="15.75" customHeight="1" x14ac:dyDescent="0.25">
      <c r="B295" s="139"/>
      <c r="G295" s="140"/>
    </row>
    <row r="296" spans="2:7" ht="15.75" customHeight="1" x14ac:dyDescent="0.25">
      <c r="B296" s="139"/>
      <c r="G296" s="140"/>
    </row>
    <row r="297" spans="2:7" ht="15.75" customHeight="1" x14ac:dyDescent="0.25">
      <c r="B297" s="139"/>
      <c r="G297" s="140"/>
    </row>
    <row r="298" spans="2:7" ht="15.75" customHeight="1" x14ac:dyDescent="0.25">
      <c r="B298" s="139"/>
      <c r="G298" s="140"/>
    </row>
    <row r="299" spans="2:7" ht="15.75" customHeight="1" x14ac:dyDescent="0.25">
      <c r="B299" s="139"/>
      <c r="G299" s="140"/>
    </row>
    <row r="300" spans="2:7" ht="15.75" customHeight="1" x14ac:dyDescent="0.25">
      <c r="B300" s="139"/>
      <c r="G300" s="140"/>
    </row>
    <row r="301" spans="2:7" ht="15.75" customHeight="1" x14ac:dyDescent="0.25">
      <c r="B301" s="139"/>
      <c r="G301" s="140"/>
    </row>
    <row r="302" spans="2:7" ht="15.75" customHeight="1" x14ac:dyDescent="0.25">
      <c r="B302" s="139"/>
      <c r="G302" s="140"/>
    </row>
    <row r="303" spans="2:7" ht="15.75" customHeight="1" x14ac:dyDescent="0.25">
      <c r="B303" s="139"/>
      <c r="G303" s="140"/>
    </row>
    <row r="304" spans="2:7" ht="15.75" customHeight="1" x14ac:dyDescent="0.25">
      <c r="B304" s="139"/>
      <c r="G304" s="140"/>
    </row>
    <row r="305" spans="2:7" ht="15.75" customHeight="1" x14ac:dyDescent="0.25">
      <c r="B305" s="139"/>
      <c r="G305" s="140"/>
    </row>
    <row r="306" spans="2:7" ht="15.75" customHeight="1" x14ac:dyDescent="0.25">
      <c r="B306" s="139"/>
      <c r="G306" s="140"/>
    </row>
    <row r="307" spans="2:7" ht="15.75" customHeight="1" x14ac:dyDescent="0.25">
      <c r="B307" s="139"/>
      <c r="G307" s="140"/>
    </row>
    <row r="308" spans="2:7" ht="15.75" customHeight="1" x14ac:dyDescent="0.25">
      <c r="B308" s="139"/>
      <c r="G308" s="140"/>
    </row>
    <row r="309" spans="2:7" ht="15.75" customHeight="1" x14ac:dyDescent="0.25">
      <c r="B309" s="139"/>
      <c r="G309" s="140"/>
    </row>
    <row r="310" spans="2:7" ht="15.75" customHeight="1" x14ac:dyDescent="0.25">
      <c r="B310" s="139"/>
      <c r="G310" s="140"/>
    </row>
    <row r="311" spans="2:7" ht="15.75" customHeight="1" x14ac:dyDescent="0.25">
      <c r="B311" s="139"/>
      <c r="G311" s="140"/>
    </row>
    <row r="312" spans="2:7" ht="15.75" customHeight="1" x14ac:dyDescent="0.25">
      <c r="B312" s="139"/>
      <c r="G312" s="140"/>
    </row>
    <row r="313" spans="2:7" ht="15.75" customHeight="1" x14ac:dyDescent="0.25">
      <c r="B313" s="139"/>
      <c r="G313" s="140"/>
    </row>
    <row r="314" spans="2:7" ht="15.75" customHeight="1" x14ac:dyDescent="0.25">
      <c r="B314" s="139"/>
      <c r="G314" s="140"/>
    </row>
    <row r="315" spans="2:7" ht="15.75" customHeight="1" x14ac:dyDescent="0.25">
      <c r="B315" s="139"/>
      <c r="G315" s="140"/>
    </row>
    <row r="316" spans="2:7" ht="15.75" customHeight="1" x14ac:dyDescent="0.25">
      <c r="B316" s="139"/>
      <c r="G316" s="140"/>
    </row>
    <row r="317" spans="2:7" ht="15.75" customHeight="1" x14ac:dyDescent="0.25">
      <c r="B317" s="139"/>
      <c r="G317" s="140"/>
    </row>
    <row r="318" spans="2:7" ht="15.75" customHeight="1" x14ac:dyDescent="0.25">
      <c r="B318" s="139"/>
      <c r="G318" s="140"/>
    </row>
    <row r="319" spans="2:7" ht="15.75" customHeight="1" x14ac:dyDescent="0.25">
      <c r="B319" s="139"/>
      <c r="G319" s="140"/>
    </row>
    <row r="320" spans="2:7" ht="15.75" customHeight="1" x14ac:dyDescent="0.25">
      <c r="B320" s="139"/>
      <c r="G320" s="140"/>
    </row>
    <row r="321" spans="2:7" ht="15.75" customHeight="1" x14ac:dyDescent="0.25">
      <c r="B321" s="139"/>
      <c r="G321" s="140"/>
    </row>
    <row r="322" spans="2:7" ht="15.75" customHeight="1" x14ac:dyDescent="0.25">
      <c r="B322" s="139"/>
      <c r="G322" s="140"/>
    </row>
    <row r="323" spans="2:7" ht="15.75" customHeight="1" x14ac:dyDescent="0.25">
      <c r="B323" s="139"/>
      <c r="G323" s="140"/>
    </row>
    <row r="324" spans="2:7" ht="15.75" customHeight="1" x14ac:dyDescent="0.25">
      <c r="B324" s="139"/>
      <c r="G324" s="140"/>
    </row>
    <row r="325" spans="2:7" ht="15.75" customHeight="1" x14ac:dyDescent="0.25">
      <c r="B325" s="139"/>
      <c r="G325" s="140"/>
    </row>
    <row r="326" spans="2:7" ht="15.75" customHeight="1" x14ac:dyDescent="0.25">
      <c r="B326" s="139"/>
      <c r="G326" s="140"/>
    </row>
    <row r="327" spans="2:7" ht="15.75" customHeight="1" x14ac:dyDescent="0.25">
      <c r="B327" s="139"/>
      <c r="G327" s="140"/>
    </row>
    <row r="328" spans="2:7" ht="15.75" customHeight="1" x14ac:dyDescent="0.25">
      <c r="B328" s="139"/>
      <c r="G328" s="140"/>
    </row>
    <row r="329" spans="2:7" ht="15.75" customHeight="1" x14ac:dyDescent="0.25">
      <c r="B329" s="139"/>
      <c r="G329" s="140"/>
    </row>
    <row r="330" spans="2:7" ht="15.75" customHeight="1" x14ac:dyDescent="0.25">
      <c r="B330" s="139"/>
      <c r="G330" s="140"/>
    </row>
    <row r="331" spans="2:7" ht="15.75" customHeight="1" x14ac:dyDescent="0.25">
      <c r="B331" s="139"/>
      <c r="G331" s="140"/>
    </row>
    <row r="332" spans="2:7" ht="15.75" customHeight="1" x14ac:dyDescent="0.25">
      <c r="B332" s="139"/>
      <c r="G332" s="140"/>
    </row>
    <row r="333" spans="2:7" ht="15.75" customHeight="1" x14ac:dyDescent="0.25">
      <c r="B333" s="139"/>
      <c r="G333" s="140"/>
    </row>
    <row r="334" spans="2:7" ht="15.75" customHeight="1" x14ac:dyDescent="0.25">
      <c r="B334" s="139"/>
      <c r="G334" s="140"/>
    </row>
    <row r="335" spans="2:7" ht="15.75" customHeight="1" x14ac:dyDescent="0.25">
      <c r="B335" s="139"/>
      <c r="G335" s="140"/>
    </row>
    <row r="336" spans="2:7" ht="15.75" customHeight="1" x14ac:dyDescent="0.25">
      <c r="B336" s="139"/>
      <c r="G336" s="140"/>
    </row>
    <row r="337" spans="2:7" ht="15.75" customHeight="1" x14ac:dyDescent="0.25">
      <c r="B337" s="139"/>
      <c r="G337" s="140"/>
    </row>
    <row r="338" spans="2:7" ht="15.75" customHeight="1" x14ac:dyDescent="0.25">
      <c r="B338" s="139"/>
      <c r="G338" s="140"/>
    </row>
    <row r="339" spans="2:7" ht="15.75" customHeight="1" x14ac:dyDescent="0.25">
      <c r="B339" s="139"/>
      <c r="G339" s="140"/>
    </row>
    <row r="340" spans="2:7" ht="15.75" customHeight="1" x14ac:dyDescent="0.25">
      <c r="B340" s="139"/>
      <c r="G340" s="140"/>
    </row>
    <row r="341" spans="2:7" ht="15.75" customHeight="1" x14ac:dyDescent="0.25">
      <c r="B341" s="139"/>
      <c r="G341" s="140"/>
    </row>
    <row r="342" spans="2:7" ht="15.75" customHeight="1" x14ac:dyDescent="0.25">
      <c r="B342" s="139"/>
      <c r="G342" s="140"/>
    </row>
    <row r="343" spans="2:7" ht="15.75" customHeight="1" x14ac:dyDescent="0.25">
      <c r="B343" s="139"/>
      <c r="G343" s="140"/>
    </row>
    <row r="344" spans="2:7" ht="15.75" customHeight="1" x14ac:dyDescent="0.25">
      <c r="B344" s="139"/>
      <c r="G344" s="140"/>
    </row>
    <row r="345" spans="2:7" ht="15.75" customHeight="1" x14ac:dyDescent="0.25">
      <c r="B345" s="139"/>
      <c r="G345" s="140"/>
    </row>
    <row r="346" spans="2:7" ht="15.75" customHeight="1" x14ac:dyDescent="0.25">
      <c r="B346" s="139"/>
      <c r="G346" s="140"/>
    </row>
    <row r="347" spans="2:7" ht="15.75" customHeight="1" x14ac:dyDescent="0.25">
      <c r="B347" s="139"/>
      <c r="G347" s="140"/>
    </row>
    <row r="348" spans="2:7" ht="15.75" customHeight="1" x14ac:dyDescent="0.25">
      <c r="B348" s="139"/>
      <c r="G348" s="140"/>
    </row>
    <row r="349" spans="2:7" ht="15.75" customHeight="1" x14ac:dyDescent="0.25">
      <c r="B349" s="139"/>
      <c r="G349" s="140"/>
    </row>
    <row r="350" spans="2:7" ht="15.75" customHeight="1" x14ac:dyDescent="0.25">
      <c r="B350" s="139"/>
      <c r="G350" s="140"/>
    </row>
    <row r="351" spans="2:7" ht="15.75" customHeight="1" x14ac:dyDescent="0.25">
      <c r="B351" s="139"/>
      <c r="G351" s="140"/>
    </row>
    <row r="352" spans="2:7" ht="15.75" customHeight="1" x14ac:dyDescent="0.25">
      <c r="B352" s="139"/>
      <c r="G352" s="140"/>
    </row>
    <row r="353" spans="2:7" ht="15.75" customHeight="1" x14ac:dyDescent="0.25">
      <c r="B353" s="139"/>
      <c r="G353" s="140"/>
    </row>
    <row r="354" spans="2:7" ht="15.75" customHeight="1" x14ac:dyDescent="0.25">
      <c r="B354" s="139"/>
      <c r="G354" s="140"/>
    </row>
    <row r="355" spans="2:7" ht="15.75" customHeight="1" x14ac:dyDescent="0.25">
      <c r="B355" s="139"/>
      <c r="G355" s="140"/>
    </row>
    <row r="356" spans="2:7" ht="15.75" customHeight="1" x14ac:dyDescent="0.25">
      <c r="B356" s="139"/>
      <c r="G356" s="140"/>
    </row>
    <row r="357" spans="2:7" ht="15.75" customHeight="1" x14ac:dyDescent="0.25">
      <c r="B357" s="139"/>
      <c r="G357" s="140"/>
    </row>
    <row r="358" spans="2:7" ht="15.75" customHeight="1" x14ac:dyDescent="0.25">
      <c r="B358" s="139"/>
      <c r="G358" s="140"/>
    </row>
    <row r="359" spans="2:7" ht="15.75" customHeight="1" x14ac:dyDescent="0.25">
      <c r="B359" s="139"/>
      <c r="G359" s="140"/>
    </row>
    <row r="360" spans="2:7" ht="15.75" customHeight="1" x14ac:dyDescent="0.25">
      <c r="B360" s="139"/>
      <c r="G360" s="140"/>
    </row>
    <row r="361" spans="2:7" ht="15.75" customHeight="1" x14ac:dyDescent="0.25">
      <c r="B361" s="139"/>
      <c r="G361" s="140"/>
    </row>
    <row r="362" spans="2:7" ht="15.75" customHeight="1" x14ac:dyDescent="0.25">
      <c r="B362" s="139"/>
      <c r="G362" s="140"/>
    </row>
    <row r="363" spans="2:7" ht="15.75" customHeight="1" x14ac:dyDescent="0.25">
      <c r="B363" s="139"/>
      <c r="G363" s="140"/>
    </row>
    <row r="364" spans="2:7" ht="15.75" customHeight="1" x14ac:dyDescent="0.25">
      <c r="B364" s="139"/>
      <c r="G364" s="140"/>
    </row>
    <row r="365" spans="2:7" ht="15.75" customHeight="1" x14ac:dyDescent="0.25">
      <c r="B365" s="139"/>
      <c r="G365" s="140"/>
    </row>
    <row r="366" spans="2:7" ht="15.75" customHeight="1" x14ac:dyDescent="0.25">
      <c r="B366" s="139"/>
      <c r="G366" s="140"/>
    </row>
    <row r="367" spans="2:7" ht="15.75" customHeight="1" x14ac:dyDescent="0.25">
      <c r="B367" s="139"/>
      <c r="G367" s="140"/>
    </row>
    <row r="368" spans="2:7" ht="15.75" customHeight="1" x14ac:dyDescent="0.25">
      <c r="B368" s="139"/>
      <c r="G368" s="140"/>
    </row>
    <row r="369" spans="2:7" ht="15.75" customHeight="1" x14ac:dyDescent="0.25">
      <c r="B369" s="139"/>
      <c r="G369" s="140"/>
    </row>
    <row r="370" spans="2:7" ht="15.75" customHeight="1" x14ac:dyDescent="0.25">
      <c r="B370" s="139"/>
      <c r="G370" s="140"/>
    </row>
    <row r="371" spans="2:7" ht="15.75" customHeight="1" x14ac:dyDescent="0.25">
      <c r="B371" s="139"/>
      <c r="G371" s="140"/>
    </row>
    <row r="372" spans="2:7" ht="15.75" customHeight="1" x14ac:dyDescent="0.25">
      <c r="B372" s="139"/>
      <c r="G372" s="140"/>
    </row>
    <row r="373" spans="2:7" ht="15.75" customHeight="1" x14ac:dyDescent="0.25">
      <c r="B373" s="139"/>
      <c r="G373" s="140"/>
    </row>
    <row r="374" spans="2:7" ht="15.75" customHeight="1" x14ac:dyDescent="0.25">
      <c r="B374" s="139"/>
      <c r="G374" s="140"/>
    </row>
    <row r="375" spans="2:7" ht="15.75" customHeight="1" x14ac:dyDescent="0.25">
      <c r="B375" s="139"/>
      <c r="G375" s="140"/>
    </row>
    <row r="376" spans="2:7" ht="15.75" customHeight="1" x14ac:dyDescent="0.25">
      <c r="B376" s="139"/>
      <c r="G376" s="140"/>
    </row>
    <row r="377" spans="2:7" ht="15.75" customHeight="1" x14ac:dyDescent="0.25">
      <c r="B377" s="139"/>
      <c r="G377" s="140"/>
    </row>
    <row r="378" spans="2:7" ht="15.75" customHeight="1" x14ac:dyDescent="0.25">
      <c r="B378" s="139"/>
      <c r="G378" s="140"/>
    </row>
    <row r="379" spans="2:7" ht="15.75" customHeight="1" x14ac:dyDescent="0.25">
      <c r="B379" s="139"/>
      <c r="G379" s="140"/>
    </row>
    <row r="380" spans="2:7" ht="15.75" customHeight="1" x14ac:dyDescent="0.25">
      <c r="B380" s="139"/>
      <c r="G380" s="140"/>
    </row>
    <row r="381" spans="2:7" ht="15.75" customHeight="1" x14ac:dyDescent="0.25">
      <c r="B381" s="139"/>
      <c r="G381" s="140"/>
    </row>
    <row r="382" spans="2:7" ht="15.75" customHeight="1" x14ac:dyDescent="0.25">
      <c r="B382" s="139"/>
      <c r="G382" s="140"/>
    </row>
    <row r="383" spans="2:7" ht="15.75" customHeight="1" x14ac:dyDescent="0.25">
      <c r="B383" s="139"/>
      <c r="G383" s="140"/>
    </row>
    <row r="384" spans="2:7" ht="15.75" customHeight="1" x14ac:dyDescent="0.25">
      <c r="B384" s="139"/>
      <c r="G384" s="140"/>
    </row>
    <row r="385" spans="2:7" ht="15.75" customHeight="1" x14ac:dyDescent="0.25">
      <c r="B385" s="139"/>
      <c r="G385" s="140"/>
    </row>
    <row r="386" spans="2:7" ht="15.75" customHeight="1" x14ac:dyDescent="0.25">
      <c r="B386" s="139"/>
      <c r="G386" s="140"/>
    </row>
    <row r="387" spans="2:7" ht="15.75" customHeight="1" x14ac:dyDescent="0.25">
      <c r="B387" s="139"/>
      <c r="G387" s="140"/>
    </row>
    <row r="388" spans="2:7" ht="15.75" customHeight="1" x14ac:dyDescent="0.25">
      <c r="B388" s="139"/>
      <c r="G388" s="140"/>
    </row>
    <row r="389" spans="2:7" ht="15.75" customHeight="1" x14ac:dyDescent="0.25">
      <c r="B389" s="139"/>
      <c r="G389" s="140"/>
    </row>
    <row r="390" spans="2:7" ht="15.75" customHeight="1" x14ac:dyDescent="0.25">
      <c r="B390" s="139"/>
      <c r="G390" s="140"/>
    </row>
    <row r="391" spans="2:7" ht="15.75" customHeight="1" x14ac:dyDescent="0.25">
      <c r="B391" s="139"/>
      <c r="G391" s="140"/>
    </row>
    <row r="392" spans="2:7" ht="15.75" customHeight="1" x14ac:dyDescent="0.25">
      <c r="B392" s="139"/>
      <c r="G392" s="140"/>
    </row>
    <row r="393" spans="2:7" ht="15.75" customHeight="1" x14ac:dyDescent="0.25">
      <c r="B393" s="139"/>
      <c r="G393" s="140"/>
    </row>
    <row r="394" spans="2:7" ht="15.75" customHeight="1" x14ac:dyDescent="0.25">
      <c r="B394" s="139"/>
      <c r="G394" s="140"/>
    </row>
    <row r="395" spans="2:7" ht="15.75" customHeight="1" x14ac:dyDescent="0.25">
      <c r="B395" s="139"/>
      <c r="G395" s="140"/>
    </row>
    <row r="396" spans="2:7" ht="15.75" customHeight="1" x14ac:dyDescent="0.25">
      <c r="B396" s="139"/>
      <c r="G396" s="140"/>
    </row>
    <row r="397" spans="2:7" ht="15.75" customHeight="1" x14ac:dyDescent="0.25">
      <c r="B397" s="139"/>
      <c r="G397" s="140"/>
    </row>
    <row r="398" spans="2:7" ht="15.75" customHeight="1" x14ac:dyDescent="0.25">
      <c r="B398" s="139"/>
      <c r="G398" s="140"/>
    </row>
    <row r="399" spans="2:7" ht="15.75" customHeight="1" x14ac:dyDescent="0.25">
      <c r="B399" s="139"/>
      <c r="G399" s="140"/>
    </row>
    <row r="400" spans="2:7" ht="15.75" customHeight="1" x14ac:dyDescent="0.25">
      <c r="B400" s="139"/>
      <c r="G400" s="140"/>
    </row>
    <row r="401" spans="2:7" ht="15.75" customHeight="1" x14ac:dyDescent="0.25">
      <c r="B401" s="139"/>
      <c r="G401" s="140"/>
    </row>
    <row r="402" spans="2:7" ht="15.75" customHeight="1" x14ac:dyDescent="0.25">
      <c r="B402" s="139"/>
      <c r="G402" s="140"/>
    </row>
    <row r="403" spans="2:7" ht="15.75" customHeight="1" x14ac:dyDescent="0.25">
      <c r="B403" s="139"/>
      <c r="G403" s="140"/>
    </row>
    <row r="404" spans="2:7" ht="15.75" customHeight="1" x14ac:dyDescent="0.25">
      <c r="B404" s="139"/>
      <c r="G404" s="140"/>
    </row>
    <row r="405" spans="2:7" ht="15.75" customHeight="1" x14ac:dyDescent="0.25">
      <c r="B405" s="139"/>
      <c r="G405" s="140"/>
    </row>
    <row r="406" spans="2:7" ht="15.75" customHeight="1" x14ac:dyDescent="0.25">
      <c r="B406" s="139"/>
      <c r="G406" s="140"/>
    </row>
    <row r="407" spans="2:7" ht="15.75" customHeight="1" x14ac:dyDescent="0.25">
      <c r="B407" s="139"/>
      <c r="G407" s="140"/>
    </row>
    <row r="408" spans="2:7" ht="15.75" customHeight="1" x14ac:dyDescent="0.25">
      <c r="B408" s="139"/>
      <c r="G408" s="140"/>
    </row>
    <row r="409" spans="2:7" ht="15.75" customHeight="1" x14ac:dyDescent="0.25">
      <c r="B409" s="139"/>
      <c r="G409" s="140"/>
    </row>
    <row r="410" spans="2:7" ht="15.75" customHeight="1" x14ac:dyDescent="0.25">
      <c r="B410" s="139"/>
      <c r="G410" s="140"/>
    </row>
    <row r="411" spans="2:7" ht="15.75" customHeight="1" x14ac:dyDescent="0.25">
      <c r="B411" s="139"/>
      <c r="G411" s="140"/>
    </row>
    <row r="412" spans="2:7" ht="15.75" customHeight="1" x14ac:dyDescent="0.25">
      <c r="B412" s="139"/>
      <c r="G412" s="140"/>
    </row>
    <row r="413" spans="2:7" ht="15.75" customHeight="1" x14ac:dyDescent="0.25">
      <c r="B413" s="139"/>
      <c r="G413" s="140"/>
    </row>
    <row r="414" spans="2:7" ht="15.75" customHeight="1" x14ac:dyDescent="0.25">
      <c r="B414" s="139"/>
      <c r="G414" s="140"/>
    </row>
    <row r="415" spans="2:7" ht="15.75" customHeight="1" x14ac:dyDescent="0.25">
      <c r="B415" s="139"/>
      <c r="G415" s="140"/>
    </row>
    <row r="416" spans="2:7" ht="15.75" customHeight="1" x14ac:dyDescent="0.25">
      <c r="B416" s="139"/>
      <c r="G416" s="140"/>
    </row>
    <row r="417" spans="2:7" ht="15.75" customHeight="1" x14ac:dyDescent="0.25">
      <c r="B417" s="139"/>
      <c r="G417" s="140"/>
    </row>
    <row r="418" spans="2:7" ht="15.75" customHeight="1" x14ac:dyDescent="0.25">
      <c r="B418" s="139"/>
      <c r="G418" s="140"/>
    </row>
    <row r="419" spans="2:7" ht="15.75" customHeight="1" x14ac:dyDescent="0.25">
      <c r="B419" s="139"/>
      <c r="G419" s="140"/>
    </row>
    <row r="420" spans="2:7" ht="15.75" customHeight="1" x14ac:dyDescent="0.25">
      <c r="B420" s="139"/>
      <c r="G420" s="140"/>
    </row>
    <row r="421" spans="2:7" ht="15.75" customHeight="1" x14ac:dyDescent="0.25">
      <c r="B421" s="139"/>
      <c r="G421" s="140"/>
    </row>
    <row r="422" spans="2:7" ht="15.75" customHeight="1" x14ac:dyDescent="0.25">
      <c r="B422" s="139"/>
      <c r="G422" s="140"/>
    </row>
    <row r="423" spans="2:7" ht="15.75" customHeight="1" x14ac:dyDescent="0.25">
      <c r="B423" s="139"/>
      <c r="G423" s="140"/>
    </row>
    <row r="424" spans="2:7" ht="15.75" customHeight="1" x14ac:dyDescent="0.25">
      <c r="B424" s="139"/>
      <c r="G424" s="140"/>
    </row>
    <row r="425" spans="2:7" ht="15.75" customHeight="1" x14ac:dyDescent="0.25">
      <c r="B425" s="139"/>
      <c r="G425" s="140"/>
    </row>
    <row r="426" spans="2:7" ht="15.75" customHeight="1" x14ac:dyDescent="0.25">
      <c r="B426" s="139"/>
      <c r="G426" s="140"/>
    </row>
    <row r="427" spans="2:7" ht="15.75" customHeight="1" x14ac:dyDescent="0.25">
      <c r="B427" s="139"/>
      <c r="G427" s="140"/>
    </row>
    <row r="428" spans="2:7" ht="15.75" customHeight="1" x14ac:dyDescent="0.25">
      <c r="B428" s="139"/>
      <c r="G428" s="140"/>
    </row>
    <row r="429" spans="2:7" ht="15.75" customHeight="1" x14ac:dyDescent="0.25">
      <c r="B429" s="139"/>
      <c r="G429" s="140"/>
    </row>
    <row r="430" spans="2:7" ht="15.75" customHeight="1" x14ac:dyDescent="0.25">
      <c r="B430" s="139"/>
      <c r="G430" s="140"/>
    </row>
    <row r="431" spans="2:7" ht="15.75" customHeight="1" x14ac:dyDescent="0.25">
      <c r="B431" s="139"/>
      <c r="G431" s="140"/>
    </row>
    <row r="432" spans="2:7" ht="15.75" customHeight="1" x14ac:dyDescent="0.25">
      <c r="B432" s="139"/>
      <c r="G432" s="140"/>
    </row>
    <row r="433" spans="2:7" ht="15.75" customHeight="1" x14ac:dyDescent="0.25">
      <c r="B433" s="139"/>
      <c r="G433" s="140"/>
    </row>
    <row r="434" spans="2:7" ht="15.75" customHeight="1" x14ac:dyDescent="0.25">
      <c r="B434" s="139"/>
      <c r="G434" s="140"/>
    </row>
    <row r="435" spans="2:7" ht="15.75" customHeight="1" x14ac:dyDescent="0.25">
      <c r="B435" s="139"/>
      <c r="G435" s="140"/>
    </row>
    <row r="436" spans="2:7" ht="15.75" customHeight="1" x14ac:dyDescent="0.25">
      <c r="B436" s="139"/>
      <c r="G436" s="140"/>
    </row>
    <row r="437" spans="2:7" ht="15.75" customHeight="1" x14ac:dyDescent="0.25">
      <c r="B437" s="139"/>
      <c r="G437" s="140"/>
    </row>
    <row r="438" spans="2:7" ht="15.75" customHeight="1" x14ac:dyDescent="0.25">
      <c r="B438" s="139"/>
      <c r="G438" s="140"/>
    </row>
    <row r="439" spans="2:7" ht="15.75" customHeight="1" x14ac:dyDescent="0.25">
      <c r="B439" s="139"/>
      <c r="G439" s="140"/>
    </row>
    <row r="440" spans="2:7" ht="15.75" customHeight="1" x14ac:dyDescent="0.25">
      <c r="B440" s="139"/>
      <c r="G440" s="140"/>
    </row>
    <row r="441" spans="2:7" ht="15.75" customHeight="1" x14ac:dyDescent="0.25">
      <c r="B441" s="139"/>
      <c r="G441" s="140"/>
    </row>
    <row r="442" spans="2:7" ht="15.75" customHeight="1" x14ac:dyDescent="0.25">
      <c r="B442" s="139"/>
      <c r="G442" s="140"/>
    </row>
    <row r="443" spans="2:7" ht="15.75" customHeight="1" x14ac:dyDescent="0.25">
      <c r="B443" s="139"/>
      <c r="G443" s="140"/>
    </row>
    <row r="444" spans="2:7" ht="15.75" customHeight="1" x14ac:dyDescent="0.25">
      <c r="B444" s="139"/>
      <c r="G444" s="140"/>
    </row>
    <row r="445" spans="2:7" ht="15.75" customHeight="1" x14ac:dyDescent="0.25">
      <c r="B445" s="139"/>
      <c r="G445" s="140"/>
    </row>
    <row r="446" spans="2:7" ht="15.75" customHeight="1" x14ac:dyDescent="0.25">
      <c r="B446" s="139"/>
      <c r="G446" s="140"/>
    </row>
    <row r="447" spans="2:7" ht="15.75" customHeight="1" x14ac:dyDescent="0.25">
      <c r="B447" s="139"/>
      <c r="G447" s="140"/>
    </row>
    <row r="448" spans="2:7" ht="15.75" customHeight="1" x14ac:dyDescent="0.25">
      <c r="B448" s="139"/>
      <c r="G448" s="140"/>
    </row>
    <row r="449" spans="2:7" ht="15.75" customHeight="1" x14ac:dyDescent="0.25">
      <c r="B449" s="139"/>
      <c r="G449" s="140"/>
    </row>
    <row r="450" spans="2:7" ht="15.75" customHeight="1" x14ac:dyDescent="0.25">
      <c r="B450" s="139"/>
      <c r="G450" s="140"/>
    </row>
    <row r="451" spans="2:7" ht="15.75" customHeight="1" x14ac:dyDescent="0.25">
      <c r="B451" s="139"/>
      <c r="G451" s="140"/>
    </row>
    <row r="452" spans="2:7" ht="15.75" customHeight="1" x14ac:dyDescent="0.25">
      <c r="B452" s="139"/>
      <c r="G452" s="140"/>
    </row>
    <row r="453" spans="2:7" ht="15.75" customHeight="1" x14ac:dyDescent="0.25">
      <c r="B453" s="139"/>
      <c r="G453" s="140"/>
    </row>
    <row r="454" spans="2:7" ht="15.75" customHeight="1" x14ac:dyDescent="0.25">
      <c r="B454" s="139"/>
      <c r="G454" s="140"/>
    </row>
    <row r="455" spans="2:7" ht="15.75" customHeight="1" x14ac:dyDescent="0.25">
      <c r="B455" s="139"/>
      <c r="G455" s="140"/>
    </row>
    <row r="456" spans="2:7" ht="15.75" customHeight="1" x14ac:dyDescent="0.25">
      <c r="B456" s="139"/>
      <c r="G456" s="140"/>
    </row>
    <row r="457" spans="2:7" ht="15.75" customHeight="1" x14ac:dyDescent="0.25">
      <c r="B457" s="139"/>
      <c r="G457" s="140"/>
    </row>
    <row r="458" spans="2:7" ht="15.75" customHeight="1" x14ac:dyDescent="0.25">
      <c r="B458" s="139"/>
      <c r="G458" s="140"/>
    </row>
    <row r="459" spans="2:7" ht="15.75" customHeight="1" x14ac:dyDescent="0.25">
      <c r="B459" s="139"/>
      <c r="G459" s="140"/>
    </row>
    <row r="460" spans="2:7" ht="15.75" customHeight="1" x14ac:dyDescent="0.25">
      <c r="B460" s="139"/>
      <c r="G460" s="140"/>
    </row>
    <row r="461" spans="2:7" ht="15.75" customHeight="1" x14ac:dyDescent="0.25">
      <c r="B461" s="139"/>
      <c r="G461" s="140"/>
    </row>
    <row r="462" spans="2:7" ht="15.75" customHeight="1" x14ac:dyDescent="0.25">
      <c r="B462" s="139"/>
      <c r="G462" s="140"/>
    </row>
    <row r="463" spans="2:7" ht="15.75" customHeight="1" x14ac:dyDescent="0.25">
      <c r="B463" s="139"/>
      <c r="G463" s="140"/>
    </row>
    <row r="464" spans="2:7" ht="15.75" customHeight="1" x14ac:dyDescent="0.25">
      <c r="B464" s="139"/>
      <c r="G464" s="140"/>
    </row>
    <row r="465" spans="2:7" ht="15.75" customHeight="1" x14ac:dyDescent="0.25">
      <c r="B465" s="139"/>
      <c r="G465" s="140"/>
    </row>
    <row r="466" spans="2:7" ht="15.75" customHeight="1" x14ac:dyDescent="0.25">
      <c r="B466" s="139"/>
      <c r="G466" s="140"/>
    </row>
    <row r="467" spans="2:7" ht="15.75" customHeight="1" x14ac:dyDescent="0.25">
      <c r="B467" s="139"/>
      <c r="G467" s="140"/>
    </row>
    <row r="468" spans="2:7" ht="15.75" customHeight="1" x14ac:dyDescent="0.25">
      <c r="B468" s="139"/>
      <c r="G468" s="140"/>
    </row>
    <row r="469" spans="2:7" ht="15.75" customHeight="1" x14ac:dyDescent="0.25">
      <c r="B469" s="139"/>
      <c r="G469" s="140"/>
    </row>
    <row r="470" spans="2:7" ht="15.75" customHeight="1" x14ac:dyDescent="0.25">
      <c r="B470" s="139"/>
      <c r="G470" s="140"/>
    </row>
    <row r="471" spans="2:7" ht="15.75" customHeight="1" x14ac:dyDescent="0.25">
      <c r="B471" s="139"/>
      <c r="G471" s="140"/>
    </row>
    <row r="472" spans="2:7" ht="15.75" customHeight="1" x14ac:dyDescent="0.25">
      <c r="B472" s="139"/>
      <c r="G472" s="140"/>
    </row>
    <row r="473" spans="2:7" ht="15.75" customHeight="1" x14ac:dyDescent="0.25">
      <c r="B473" s="139"/>
      <c r="G473" s="140"/>
    </row>
    <row r="474" spans="2:7" ht="15.75" customHeight="1" x14ac:dyDescent="0.25">
      <c r="B474" s="139"/>
      <c r="G474" s="140"/>
    </row>
    <row r="475" spans="2:7" ht="15.75" customHeight="1" x14ac:dyDescent="0.25">
      <c r="B475" s="139"/>
      <c r="G475" s="140"/>
    </row>
    <row r="476" spans="2:7" ht="15.75" customHeight="1" x14ac:dyDescent="0.25">
      <c r="B476" s="139"/>
      <c r="G476" s="140"/>
    </row>
    <row r="477" spans="2:7" ht="15.75" customHeight="1" x14ac:dyDescent="0.25">
      <c r="B477" s="139"/>
      <c r="G477" s="140"/>
    </row>
    <row r="478" spans="2:7" ht="15.75" customHeight="1" x14ac:dyDescent="0.25">
      <c r="B478" s="139"/>
      <c r="G478" s="140"/>
    </row>
    <row r="479" spans="2:7" ht="15.75" customHeight="1" x14ac:dyDescent="0.25">
      <c r="B479" s="139"/>
      <c r="G479" s="140"/>
    </row>
    <row r="480" spans="2:7" ht="15.75" customHeight="1" x14ac:dyDescent="0.25">
      <c r="B480" s="139"/>
      <c r="G480" s="140"/>
    </row>
    <row r="481" spans="2:7" ht="15.75" customHeight="1" x14ac:dyDescent="0.25">
      <c r="B481" s="139"/>
      <c r="G481" s="140"/>
    </row>
    <row r="482" spans="2:7" ht="15.75" customHeight="1" x14ac:dyDescent="0.25">
      <c r="B482" s="139"/>
      <c r="G482" s="140"/>
    </row>
    <row r="483" spans="2:7" ht="15.75" customHeight="1" x14ac:dyDescent="0.25">
      <c r="B483" s="139"/>
      <c r="G483" s="140"/>
    </row>
    <row r="484" spans="2:7" ht="15.75" customHeight="1" x14ac:dyDescent="0.25">
      <c r="B484" s="139"/>
      <c r="G484" s="140"/>
    </row>
    <row r="485" spans="2:7" ht="15.75" customHeight="1" x14ac:dyDescent="0.25">
      <c r="B485" s="139"/>
      <c r="G485" s="140"/>
    </row>
    <row r="486" spans="2:7" ht="15.75" customHeight="1" x14ac:dyDescent="0.25">
      <c r="B486" s="139"/>
      <c r="G486" s="140"/>
    </row>
    <row r="487" spans="2:7" ht="15.75" customHeight="1" x14ac:dyDescent="0.25">
      <c r="B487" s="139"/>
      <c r="G487" s="140"/>
    </row>
    <row r="488" spans="2:7" ht="15.75" customHeight="1" x14ac:dyDescent="0.25">
      <c r="B488" s="139"/>
      <c r="G488" s="140"/>
    </row>
    <row r="489" spans="2:7" ht="15.75" customHeight="1" x14ac:dyDescent="0.25">
      <c r="B489" s="139"/>
      <c r="G489" s="140"/>
    </row>
    <row r="490" spans="2:7" ht="15.75" customHeight="1" x14ac:dyDescent="0.25">
      <c r="B490" s="139"/>
      <c r="G490" s="140"/>
    </row>
    <row r="491" spans="2:7" ht="15.75" customHeight="1" x14ac:dyDescent="0.25">
      <c r="B491" s="139"/>
      <c r="G491" s="140"/>
    </row>
    <row r="492" spans="2:7" ht="15.75" customHeight="1" x14ac:dyDescent="0.25">
      <c r="B492" s="139"/>
      <c r="G492" s="140"/>
    </row>
    <row r="493" spans="2:7" ht="15.75" customHeight="1" x14ac:dyDescent="0.25">
      <c r="B493" s="139"/>
      <c r="G493" s="140"/>
    </row>
    <row r="494" spans="2:7" ht="15.75" customHeight="1" x14ac:dyDescent="0.25">
      <c r="B494" s="139"/>
      <c r="G494" s="140"/>
    </row>
    <row r="495" spans="2:7" ht="15.75" customHeight="1" x14ac:dyDescent="0.25">
      <c r="B495" s="139"/>
      <c r="G495" s="140"/>
    </row>
    <row r="496" spans="2:7" ht="15.75" customHeight="1" x14ac:dyDescent="0.25">
      <c r="B496" s="139"/>
      <c r="G496" s="140"/>
    </row>
    <row r="497" spans="2:7" ht="15.75" customHeight="1" x14ac:dyDescent="0.25">
      <c r="B497" s="139"/>
      <c r="G497" s="140"/>
    </row>
    <row r="498" spans="2:7" ht="15.75" customHeight="1" x14ac:dyDescent="0.25">
      <c r="B498" s="139"/>
      <c r="G498" s="140"/>
    </row>
    <row r="499" spans="2:7" ht="15.75" customHeight="1" x14ac:dyDescent="0.25">
      <c r="B499" s="139"/>
      <c r="G499" s="140"/>
    </row>
    <row r="500" spans="2:7" ht="15.75" customHeight="1" x14ac:dyDescent="0.25">
      <c r="B500" s="139"/>
      <c r="G500" s="140"/>
    </row>
    <row r="501" spans="2:7" ht="15.75" customHeight="1" x14ac:dyDescent="0.25">
      <c r="B501" s="139"/>
      <c r="G501" s="140"/>
    </row>
    <row r="502" spans="2:7" ht="15.75" customHeight="1" x14ac:dyDescent="0.25">
      <c r="B502" s="139"/>
      <c r="G502" s="140"/>
    </row>
    <row r="503" spans="2:7" ht="15.75" customHeight="1" x14ac:dyDescent="0.25">
      <c r="B503" s="139"/>
      <c r="G503" s="140"/>
    </row>
    <row r="504" spans="2:7" ht="15.75" customHeight="1" x14ac:dyDescent="0.25">
      <c r="B504" s="139"/>
      <c r="G504" s="140"/>
    </row>
    <row r="505" spans="2:7" ht="15.75" customHeight="1" x14ac:dyDescent="0.25">
      <c r="B505" s="139"/>
      <c r="G505" s="140"/>
    </row>
    <row r="506" spans="2:7" ht="15.75" customHeight="1" x14ac:dyDescent="0.25">
      <c r="B506" s="139"/>
      <c r="G506" s="140"/>
    </row>
    <row r="507" spans="2:7" ht="15.75" customHeight="1" x14ac:dyDescent="0.25">
      <c r="B507" s="139"/>
      <c r="G507" s="140"/>
    </row>
    <row r="508" spans="2:7" ht="15.75" customHeight="1" x14ac:dyDescent="0.25">
      <c r="B508" s="139"/>
      <c r="G508" s="140"/>
    </row>
    <row r="509" spans="2:7" ht="15.75" customHeight="1" x14ac:dyDescent="0.25">
      <c r="B509" s="139"/>
      <c r="G509" s="140"/>
    </row>
    <row r="510" spans="2:7" ht="15.75" customHeight="1" x14ac:dyDescent="0.25">
      <c r="B510" s="139"/>
      <c r="G510" s="140"/>
    </row>
    <row r="511" spans="2:7" ht="15.75" customHeight="1" x14ac:dyDescent="0.25">
      <c r="B511" s="139"/>
      <c r="G511" s="140"/>
    </row>
    <row r="512" spans="2:7" ht="15.75" customHeight="1" x14ac:dyDescent="0.25">
      <c r="B512" s="139"/>
      <c r="G512" s="140"/>
    </row>
    <row r="513" spans="2:7" ht="15.75" customHeight="1" x14ac:dyDescent="0.25">
      <c r="B513" s="139"/>
      <c r="G513" s="140"/>
    </row>
    <row r="514" spans="2:7" ht="15.75" customHeight="1" x14ac:dyDescent="0.25">
      <c r="B514" s="139"/>
      <c r="G514" s="140"/>
    </row>
    <row r="515" spans="2:7" ht="15.75" customHeight="1" x14ac:dyDescent="0.25">
      <c r="B515" s="139"/>
      <c r="G515" s="140"/>
    </row>
    <row r="516" spans="2:7" ht="15.75" customHeight="1" x14ac:dyDescent="0.25">
      <c r="B516" s="139"/>
      <c r="G516" s="140"/>
    </row>
    <row r="517" spans="2:7" ht="15.75" customHeight="1" x14ac:dyDescent="0.25">
      <c r="B517" s="139"/>
      <c r="G517" s="140"/>
    </row>
    <row r="518" spans="2:7" ht="15.75" customHeight="1" x14ac:dyDescent="0.25">
      <c r="B518" s="139"/>
      <c r="G518" s="140"/>
    </row>
    <row r="519" spans="2:7" ht="15.75" customHeight="1" x14ac:dyDescent="0.25">
      <c r="B519" s="139"/>
      <c r="G519" s="140"/>
    </row>
    <row r="520" spans="2:7" ht="15.75" customHeight="1" x14ac:dyDescent="0.25">
      <c r="B520" s="139"/>
      <c r="G520" s="140"/>
    </row>
    <row r="521" spans="2:7" ht="15.75" customHeight="1" x14ac:dyDescent="0.25">
      <c r="B521" s="139"/>
      <c r="G521" s="140"/>
    </row>
    <row r="522" spans="2:7" ht="15.75" customHeight="1" x14ac:dyDescent="0.25">
      <c r="B522" s="139"/>
      <c r="G522" s="140"/>
    </row>
    <row r="523" spans="2:7" ht="15.75" customHeight="1" x14ac:dyDescent="0.25">
      <c r="B523" s="139"/>
      <c r="G523" s="140"/>
    </row>
    <row r="524" spans="2:7" ht="15.75" customHeight="1" x14ac:dyDescent="0.25">
      <c r="B524" s="139"/>
      <c r="G524" s="140"/>
    </row>
    <row r="525" spans="2:7" ht="15.75" customHeight="1" x14ac:dyDescent="0.25">
      <c r="B525" s="139"/>
      <c r="G525" s="140"/>
    </row>
    <row r="526" spans="2:7" ht="15.75" customHeight="1" x14ac:dyDescent="0.25">
      <c r="B526" s="139"/>
      <c r="G526" s="140"/>
    </row>
    <row r="527" spans="2:7" ht="15.75" customHeight="1" x14ac:dyDescent="0.25">
      <c r="B527" s="139"/>
      <c r="G527" s="140"/>
    </row>
    <row r="528" spans="2:7" ht="15.75" customHeight="1" x14ac:dyDescent="0.25">
      <c r="B528" s="139"/>
      <c r="G528" s="140"/>
    </row>
    <row r="529" spans="2:7" ht="15.75" customHeight="1" x14ac:dyDescent="0.25">
      <c r="B529" s="139"/>
      <c r="G529" s="140"/>
    </row>
    <row r="530" spans="2:7" ht="15.75" customHeight="1" x14ac:dyDescent="0.25">
      <c r="B530" s="139"/>
      <c r="G530" s="140"/>
    </row>
    <row r="531" spans="2:7" ht="15.75" customHeight="1" x14ac:dyDescent="0.25">
      <c r="B531" s="139"/>
      <c r="G531" s="140"/>
    </row>
    <row r="532" spans="2:7" ht="15.75" customHeight="1" x14ac:dyDescent="0.25">
      <c r="B532" s="139"/>
      <c r="G532" s="140"/>
    </row>
    <row r="533" spans="2:7" ht="15.75" customHeight="1" x14ac:dyDescent="0.25">
      <c r="B533" s="139"/>
      <c r="G533" s="140"/>
    </row>
    <row r="534" spans="2:7" ht="15.75" customHeight="1" x14ac:dyDescent="0.25">
      <c r="B534" s="139"/>
      <c r="G534" s="140"/>
    </row>
    <row r="535" spans="2:7" ht="15.75" customHeight="1" x14ac:dyDescent="0.25">
      <c r="B535" s="139"/>
      <c r="G535" s="140"/>
    </row>
    <row r="536" spans="2:7" ht="15.75" customHeight="1" x14ac:dyDescent="0.25">
      <c r="B536" s="139"/>
      <c r="G536" s="140"/>
    </row>
    <row r="537" spans="2:7" ht="15.75" customHeight="1" x14ac:dyDescent="0.25">
      <c r="B537" s="139"/>
      <c r="G537" s="140"/>
    </row>
    <row r="538" spans="2:7" ht="15.75" customHeight="1" x14ac:dyDescent="0.25">
      <c r="B538" s="139"/>
      <c r="G538" s="140"/>
    </row>
    <row r="539" spans="2:7" ht="15.75" customHeight="1" x14ac:dyDescent="0.25">
      <c r="B539" s="139"/>
      <c r="G539" s="140"/>
    </row>
    <row r="540" spans="2:7" ht="15.75" customHeight="1" x14ac:dyDescent="0.25">
      <c r="B540" s="139"/>
      <c r="G540" s="140"/>
    </row>
    <row r="541" spans="2:7" ht="15.75" customHeight="1" x14ac:dyDescent="0.25">
      <c r="B541" s="139"/>
      <c r="G541" s="140"/>
    </row>
    <row r="542" spans="2:7" ht="15.75" customHeight="1" x14ac:dyDescent="0.25">
      <c r="B542" s="139"/>
      <c r="G542" s="140"/>
    </row>
    <row r="543" spans="2:7" ht="15.75" customHeight="1" x14ac:dyDescent="0.25">
      <c r="B543" s="139"/>
      <c r="G543" s="140"/>
    </row>
    <row r="544" spans="2:7" ht="15.75" customHeight="1" x14ac:dyDescent="0.25">
      <c r="B544" s="139"/>
      <c r="G544" s="140"/>
    </row>
    <row r="545" spans="2:7" ht="15.75" customHeight="1" x14ac:dyDescent="0.25">
      <c r="B545" s="139"/>
      <c r="G545" s="140"/>
    </row>
    <row r="546" spans="2:7" ht="15.75" customHeight="1" x14ac:dyDescent="0.25">
      <c r="B546" s="139"/>
      <c r="G546" s="140"/>
    </row>
    <row r="547" spans="2:7" ht="15.75" customHeight="1" x14ac:dyDescent="0.25">
      <c r="B547" s="139"/>
      <c r="G547" s="140"/>
    </row>
    <row r="548" spans="2:7" ht="15.75" customHeight="1" x14ac:dyDescent="0.25">
      <c r="B548" s="139"/>
      <c r="G548" s="140"/>
    </row>
    <row r="549" spans="2:7" ht="15.75" customHeight="1" x14ac:dyDescent="0.25">
      <c r="B549" s="139"/>
      <c r="G549" s="140"/>
    </row>
    <row r="550" spans="2:7" ht="15.75" customHeight="1" x14ac:dyDescent="0.25">
      <c r="B550" s="139"/>
      <c r="G550" s="140"/>
    </row>
    <row r="551" spans="2:7" ht="15.75" customHeight="1" x14ac:dyDescent="0.25">
      <c r="B551" s="139"/>
      <c r="G551" s="140"/>
    </row>
    <row r="552" spans="2:7" ht="15.75" customHeight="1" x14ac:dyDescent="0.25">
      <c r="B552" s="139"/>
      <c r="G552" s="140"/>
    </row>
    <row r="553" spans="2:7" ht="15.75" customHeight="1" x14ac:dyDescent="0.25">
      <c r="B553" s="139"/>
      <c r="G553" s="140"/>
    </row>
    <row r="554" spans="2:7" ht="15.75" customHeight="1" x14ac:dyDescent="0.25">
      <c r="B554" s="139"/>
      <c r="G554" s="140"/>
    </row>
    <row r="555" spans="2:7" ht="15.75" customHeight="1" x14ac:dyDescent="0.25">
      <c r="B555" s="139"/>
      <c r="G555" s="140"/>
    </row>
    <row r="556" spans="2:7" ht="15.75" customHeight="1" x14ac:dyDescent="0.25">
      <c r="B556" s="139"/>
      <c r="G556" s="140"/>
    </row>
    <row r="557" spans="2:7" ht="15.75" customHeight="1" x14ac:dyDescent="0.25">
      <c r="B557" s="139"/>
      <c r="G557" s="140"/>
    </row>
    <row r="558" spans="2:7" ht="15.75" customHeight="1" x14ac:dyDescent="0.25">
      <c r="B558" s="139"/>
      <c r="G558" s="140"/>
    </row>
    <row r="559" spans="2:7" ht="15.75" customHeight="1" x14ac:dyDescent="0.25">
      <c r="B559" s="139"/>
      <c r="G559" s="140"/>
    </row>
    <row r="560" spans="2:7" ht="15.75" customHeight="1" x14ac:dyDescent="0.25">
      <c r="B560" s="139"/>
      <c r="G560" s="140"/>
    </row>
    <row r="561" spans="2:7" ht="15.75" customHeight="1" x14ac:dyDescent="0.25">
      <c r="B561" s="139"/>
      <c r="G561" s="140"/>
    </row>
    <row r="562" spans="2:7" ht="15.75" customHeight="1" x14ac:dyDescent="0.25">
      <c r="B562" s="139"/>
      <c r="G562" s="140"/>
    </row>
    <row r="563" spans="2:7" ht="15.75" customHeight="1" x14ac:dyDescent="0.25">
      <c r="B563" s="139"/>
      <c r="G563" s="140"/>
    </row>
    <row r="564" spans="2:7" ht="15.75" customHeight="1" x14ac:dyDescent="0.25">
      <c r="B564" s="139"/>
      <c r="G564" s="140"/>
    </row>
    <row r="565" spans="2:7" ht="15.75" customHeight="1" x14ac:dyDescent="0.25">
      <c r="B565" s="139"/>
      <c r="G565" s="140"/>
    </row>
    <row r="566" spans="2:7" ht="15.75" customHeight="1" x14ac:dyDescent="0.25">
      <c r="B566" s="139"/>
      <c r="G566" s="140"/>
    </row>
    <row r="567" spans="2:7" ht="15.75" customHeight="1" x14ac:dyDescent="0.25">
      <c r="B567" s="139"/>
      <c r="G567" s="140"/>
    </row>
    <row r="568" spans="2:7" ht="15.75" customHeight="1" x14ac:dyDescent="0.25">
      <c r="B568" s="139"/>
      <c r="G568" s="140"/>
    </row>
    <row r="569" spans="2:7" ht="15.75" customHeight="1" x14ac:dyDescent="0.25">
      <c r="B569" s="139"/>
      <c r="G569" s="140"/>
    </row>
    <row r="570" spans="2:7" ht="15.75" customHeight="1" x14ac:dyDescent="0.25">
      <c r="B570" s="139"/>
      <c r="G570" s="140"/>
    </row>
    <row r="571" spans="2:7" ht="15.75" customHeight="1" x14ac:dyDescent="0.25">
      <c r="B571" s="139"/>
      <c r="G571" s="140"/>
    </row>
    <row r="572" spans="2:7" ht="15.75" customHeight="1" x14ac:dyDescent="0.25">
      <c r="B572" s="139"/>
      <c r="G572" s="140"/>
    </row>
    <row r="573" spans="2:7" ht="15.75" customHeight="1" x14ac:dyDescent="0.25">
      <c r="B573" s="139"/>
      <c r="G573" s="140"/>
    </row>
    <row r="574" spans="2:7" ht="15.75" customHeight="1" x14ac:dyDescent="0.25">
      <c r="B574" s="139"/>
      <c r="G574" s="140"/>
    </row>
    <row r="575" spans="2:7" ht="15.75" customHeight="1" x14ac:dyDescent="0.25">
      <c r="B575" s="139"/>
      <c r="G575" s="140"/>
    </row>
    <row r="576" spans="2:7" ht="15.75" customHeight="1" x14ac:dyDescent="0.25">
      <c r="B576" s="139"/>
      <c r="G576" s="140"/>
    </row>
    <row r="577" spans="2:7" ht="15.75" customHeight="1" x14ac:dyDescent="0.25">
      <c r="B577" s="139"/>
      <c r="G577" s="140"/>
    </row>
    <row r="578" spans="2:7" ht="15.75" customHeight="1" x14ac:dyDescent="0.25">
      <c r="B578" s="139"/>
      <c r="G578" s="140"/>
    </row>
    <row r="579" spans="2:7" ht="15.75" customHeight="1" x14ac:dyDescent="0.25">
      <c r="B579" s="139"/>
      <c r="G579" s="140"/>
    </row>
    <row r="580" spans="2:7" ht="15.75" customHeight="1" x14ac:dyDescent="0.25">
      <c r="B580" s="139"/>
      <c r="G580" s="140"/>
    </row>
    <row r="581" spans="2:7" ht="15.75" customHeight="1" x14ac:dyDescent="0.25">
      <c r="B581" s="139"/>
      <c r="G581" s="140"/>
    </row>
    <row r="582" spans="2:7" ht="15.75" customHeight="1" x14ac:dyDescent="0.25">
      <c r="B582" s="139"/>
      <c r="G582" s="140"/>
    </row>
    <row r="583" spans="2:7" ht="15.75" customHeight="1" x14ac:dyDescent="0.25">
      <c r="B583" s="139"/>
      <c r="G583" s="140"/>
    </row>
    <row r="584" spans="2:7" ht="15.75" customHeight="1" x14ac:dyDescent="0.25">
      <c r="B584" s="139"/>
      <c r="G584" s="140"/>
    </row>
    <row r="585" spans="2:7" ht="15.75" customHeight="1" x14ac:dyDescent="0.25">
      <c r="B585" s="139"/>
      <c r="G585" s="140"/>
    </row>
    <row r="586" spans="2:7" ht="15.75" customHeight="1" x14ac:dyDescent="0.25">
      <c r="B586" s="139"/>
      <c r="G586" s="140"/>
    </row>
    <row r="587" spans="2:7" ht="15.75" customHeight="1" x14ac:dyDescent="0.25">
      <c r="B587" s="139"/>
      <c r="G587" s="140"/>
    </row>
    <row r="588" spans="2:7" ht="15.75" customHeight="1" x14ac:dyDescent="0.25">
      <c r="B588" s="139"/>
      <c r="G588" s="140"/>
    </row>
    <row r="589" spans="2:7" ht="15.75" customHeight="1" x14ac:dyDescent="0.25">
      <c r="B589" s="139"/>
      <c r="G589" s="140"/>
    </row>
    <row r="590" spans="2:7" ht="15.75" customHeight="1" x14ac:dyDescent="0.25">
      <c r="B590" s="139"/>
      <c r="G590" s="140"/>
    </row>
    <row r="591" spans="2:7" ht="15.75" customHeight="1" x14ac:dyDescent="0.25">
      <c r="B591" s="139"/>
      <c r="G591" s="140"/>
    </row>
    <row r="592" spans="2:7" ht="15.75" customHeight="1" x14ac:dyDescent="0.25">
      <c r="B592" s="139"/>
      <c r="G592" s="140"/>
    </row>
    <row r="593" spans="2:7" ht="15.75" customHeight="1" x14ac:dyDescent="0.25">
      <c r="B593" s="139"/>
      <c r="G593" s="140"/>
    </row>
    <row r="594" spans="2:7" ht="15.75" customHeight="1" x14ac:dyDescent="0.25">
      <c r="B594" s="139"/>
      <c r="G594" s="140"/>
    </row>
    <row r="595" spans="2:7" ht="15.75" customHeight="1" x14ac:dyDescent="0.25">
      <c r="B595" s="139"/>
      <c r="G595" s="140"/>
    </row>
    <row r="596" spans="2:7" ht="15.75" customHeight="1" x14ac:dyDescent="0.25">
      <c r="B596" s="139"/>
      <c r="G596" s="140"/>
    </row>
    <row r="597" spans="2:7" ht="15.75" customHeight="1" x14ac:dyDescent="0.25">
      <c r="B597" s="139"/>
      <c r="G597" s="140"/>
    </row>
    <row r="598" spans="2:7" ht="15.75" customHeight="1" x14ac:dyDescent="0.25">
      <c r="B598" s="139"/>
      <c r="G598" s="140"/>
    </row>
    <row r="599" spans="2:7" ht="15.75" customHeight="1" x14ac:dyDescent="0.25">
      <c r="B599" s="139"/>
      <c r="G599" s="140"/>
    </row>
    <row r="600" spans="2:7" ht="15.75" customHeight="1" x14ac:dyDescent="0.25">
      <c r="B600" s="139"/>
      <c r="G600" s="140"/>
    </row>
    <row r="601" spans="2:7" ht="15.75" customHeight="1" x14ac:dyDescent="0.25">
      <c r="B601" s="139"/>
      <c r="G601" s="140"/>
    </row>
    <row r="602" spans="2:7" ht="15.75" customHeight="1" x14ac:dyDescent="0.25">
      <c r="B602" s="139"/>
      <c r="G602" s="140"/>
    </row>
    <row r="603" spans="2:7" ht="15.75" customHeight="1" x14ac:dyDescent="0.25">
      <c r="B603" s="139"/>
      <c r="G603" s="140"/>
    </row>
    <row r="604" spans="2:7" ht="15.75" customHeight="1" x14ac:dyDescent="0.25">
      <c r="B604" s="139"/>
      <c r="G604" s="140"/>
    </row>
    <row r="605" spans="2:7" ht="15.75" customHeight="1" x14ac:dyDescent="0.25">
      <c r="B605" s="139"/>
      <c r="G605" s="140"/>
    </row>
    <row r="606" spans="2:7" ht="15.75" customHeight="1" x14ac:dyDescent="0.25">
      <c r="B606" s="139"/>
      <c r="G606" s="140"/>
    </row>
    <row r="607" spans="2:7" ht="15.75" customHeight="1" x14ac:dyDescent="0.25">
      <c r="B607" s="139"/>
      <c r="G607" s="140"/>
    </row>
    <row r="608" spans="2:7" ht="15.75" customHeight="1" x14ac:dyDescent="0.25">
      <c r="B608" s="139"/>
      <c r="G608" s="140"/>
    </row>
    <row r="609" spans="2:7" ht="15.75" customHeight="1" x14ac:dyDescent="0.25">
      <c r="B609" s="139"/>
      <c r="G609" s="140"/>
    </row>
    <row r="610" spans="2:7" ht="15.75" customHeight="1" x14ac:dyDescent="0.25">
      <c r="B610" s="139"/>
      <c r="G610" s="140"/>
    </row>
    <row r="611" spans="2:7" ht="15.75" customHeight="1" x14ac:dyDescent="0.25">
      <c r="B611" s="139"/>
      <c r="G611" s="140"/>
    </row>
    <row r="612" spans="2:7" ht="15.75" customHeight="1" x14ac:dyDescent="0.25">
      <c r="B612" s="139"/>
      <c r="G612" s="140"/>
    </row>
    <row r="613" spans="2:7" ht="15.75" customHeight="1" x14ac:dyDescent="0.25">
      <c r="B613" s="139"/>
      <c r="G613" s="140"/>
    </row>
    <row r="614" spans="2:7" ht="15.75" customHeight="1" x14ac:dyDescent="0.25">
      <c r="B614" s="139"/>
      <c r="G614" s="140"/>
    </row>
    <row r="615" spans="2:7" ht="15.75" customHeight="1" x14ac:dyDescent="0.25">
      <c r="B615" s="139"/>
      <c r="G615" s="140"/>
    </row>
    <row r="616" spans="2:7" ht="15.75" customHeight="1" x14ac:dyDescent="0.25">
      <c r="B616" s="139"/>
      <c r="G616" s="140"/>
    </row>
    <row r="617" spans="2:7" ht="15.75" customHeight="1" x14ac:dyDescent="0.25">
      <c r="B617" s="139"/>
      <c r="G617" s="140"/>
    </row>
    <row r="618" spans="2:7" ht="15.75" customHeight="1" x14ac:dyDescent="0.25">
      <c r="B618" s="139"/>
      <c r="G618" s="140"/>
    </row>
    <row r="619" spans="2:7" ht="15.75" customHeight="1" x14ac:dyDescent="0.25">
      <c r="B619" s="139"/>
      <c r="G619" s="140"/>
    </row>
    <row r="620" spans="2:7" ht="15.75" customHeight="1" x14ac:dyDescent="0.25">
      <c r="B620" s="139"/>
      <c r="G620" s="140"/>
    </row>
    <row r="621" spans="2:7" ht="15.75" customHeight="1" x14ac:dyDescent="0.25">
      <c r="B621" s="139"/>
      <c r="G621" s="140"/>
    </row>
    <row r="622" spans="2:7" ht="15.75" customHeight="1" x14ac:dyDescent="0.25">
      <c r="B622" s="139"/>
      <c r="G622" s="140"/>
    </row>
    <row r="623" spans="2:7" ht="15.75" customHeight="1" x14ac:dyDescent="0.25">
      <c r="B623" s="139"/>
      <c r="G623" s="140"/>
    </row>
    <row r="624" spans="2:7" ht="15.75" customHeight="1" x14ac:dyDescent="0.25">
      <c r="B624" s="139"/>
      <c r="G624" s="140"/>
    </row>
    <row r="625" spans="2:7" ht="15.75" customHeight="1" x14ac:dyDescent="0.25">
      <c r="B625" s="139"/>
      <c r="G625" s="140"/>
    </row>
    <row r="626" spans="2:7" ht="15.75" customHeight="1" x14ac:dyDescent="0.25">
      <c r="B626" s="139"/>
      <c r="G626" s="140"/>
    </row>
    <row r="627" spans="2:7" ht="15.75" customHeight="1" x14ac:dyDescent="0.25">
      <c r="B627" s="139"/>
      <c r="G627" s="140"/>
    </row>
    <row r="628" spans="2:7" ht="15.75" customHeight="1" x14ac:dyDescent="0.25">
      <c r="B628" s="139"/>
      <c r="G628" s="140"/>
    </row>
    <row r="629" spans="2:7" ht="15.75" customHeight="1" x14ac:dyDescent="0.25">
      <c r="B629" s="139"/>
      <c r="G629" s="140"/>
    </row>
    <row r="630" spans="2:7" ht="15.75" customHeight="1" x14ac:dyDescent="0.25">
      <c r="B630" s="139"/>
      <c r="G630" s="140"/>
    </row>
    <row r="631" spans="2:7" ht="15.75" customHeight="1" x14ac:dyDescent="0.25">
      <c r="B631" s="139"/>
      <c r="G631" s="140"/>
    </row>
    <row r="632" spans="2:7" ht="15.75" customHeight="1" x14ac:dyDescent="0.25">
      <c r="B632" s="139"/>
      <c r="G632" s="140"/>
    </row>
    <row r="633" spans="2:7" ht="15.75" customHeight="1" x14ac:dyDescent="0.25">
      <c r="B633" s="139"/>
      <c r="G633" s="140"/>
    </row>
    <row r="634" spans="2:7" ht="15.75" customHeight="1" x14ac:dyDescent="0.25">
      <c r="B634" s="139"/>
      <c r="G634" s="140"/>
    </row>
    <row r="635" spans="2:7" ht="15.75" customHeight="1" x14ac:dyDescent="0.25">
      <c r="B635" s="139"/>
      <c r="G635" s="140"/>
    </row>
    <row r="636" spans="2:7" ht="15.75" customHeight="1" x14ac:dyDescent="0.25">
      <c r="B636" s="139"/>
      <c r="G636" s="140"/>
    </row>
    <row r="637" spans="2:7" ht="15.75" customHeight="1" x14ac:dyDescent="0.25">
      <c r="B637" s="139"/>
      <c r="G637" s="140"/>
    </row>
    <row r="638" spans="2:7" ht="15.75" customHeight="1" x14ac:dyDescent="0.25">
      <c r="B638" s="139"/>
      <c r="G638" s="140"/>
    </row>
    <row r="639" spans="2:7" ht="15.75" customHeight="1" x14ac:dyDescent="0.25">
      <c r="B639" s="139"/>
      <c r="G639" s="140"/>
    </row>
    <row r="640" spans="2:7" ht="15.75" customHeight="1" x14ac:dyDescent="0.25">
      <c r="B640" s="139"/>
      <c r="G640" s="140"/>
    </row>
    <row r="641" spans="2:7" ht="15.75" customHeight="1" x14ac:dyDescent="0.25">
      <c r="B641" s="139"/>
      <c r="G641" s="140"/>
    </row>
    <row r="642" spans="2:7" ht="15.75" customHeight="1" x14ac:dyDescent="0.25">
      <c r="B642" s="139"/>
      <c r="G642" s="140"/>
    </row>
    <row r="643" spans="2:7" ht="15.75" customHeight="1" x14ac:dyDescent="0.25">
      <c r="B643" s="139"/>
      <c r="G643" s="140"/>
    </row>
    <row r="644" spans="2:7" ht="15.75" customHeight="1" x14ac:dyDescent="0.25">
      <c r="B644" s="139"/>
      <c r="G644" s="140"/>
    </row>
    <row r="645" spans="2:7" ht="15.75" customHeight="1" x14ac:dyDescent="0.25">
      <c r="B645" s="139"/>
      <c r="G645" s="140"/>
    </row>
    <row r="646" spans="2:7" ht="15.75" customHeight="1" x14ac:dyDescent="0.25">
      <c r="B646" s="139"/>
      <c r="G646" s="140"/>
    </row>
    <row r="647" spans="2:7" ht="15.75" customHeight="1" x14ac:dyDescent="0.25">
      <c r="B647" s="139"/>
      <c r="G647" s="140"/>
    </row>
    <row r="648" spans="2:7" ht="15.75" customHeight="1" x14ac:dyDescent="0.25">
      <c r="B648" s="139"/>
      <c r="G648" s="140"/>
    </row>
    <row r="649" spans="2:7" ht="15.75" customHeight="1" x14ac:dyDescent="0.25">
      <c r="B649" s="139"/>
      <c r="G649" s="140"/>
    </row>
    <row r="650" spans="2:7" ht="15.75" customHeight="1" x14ac:dyDescent="0.25">
      <c r="B650" s="139"/>
      <c r="G650" s="140"/>
    </row>
    <row r="651" spans="2:7" ht="15.75" customHeight="1" x14ac:dyDescent="0.25">
      <c r="B651" s="139"/>
      <c r="G651" s="140"/>
    </row>
    <row r="652" spans="2:7" ht="15.75" customHeight="1" x14ac:dyDescent="0.25">
      <c r="B652" s="139"/>
      <c r="G652" s="140"/>
    </row>
    <row r="653" spans="2:7" ht="15.75" customHeight="1" x14ac:dyDescent="0.25">
      <c r="B653" s="139"/>
      <c r="G653" s="140"/>
    </row>
    <row r="654" spans="2:7" ht="15.75" customHeight="1" x14ac:dyDescent="0.25">
      <c r="B654" s="139"/>
      <c r="G654" s="140"/>
    </row>
    <row r="655" spans="2:7" ht="15.75" customHeight="1" x14ac:dyDescent="0.25">
      <c r="B655" s="139"/>
      <c r="G655" s="140"/>
    </row>
    <row r="656" spans="2:7" ht="15.75" customHeight="1" x14ac:dyDescent="0.25">
      <c r="B656" s="139"/>
      <c r="G656" s="140"/>
    </row>
    <row r="657" spans="2:7" ht="15.75" customHeight="1" x14ac:dyDescent="0.25">
      <c r="B657" s="139"/>
      <c r="G657" s="140"/>
    </row>
    <row r="658" spans="2:7" ht="15.75" customHeight="1" x14ac:dyDescent="0.25">
      <c r="B658" s="139"/>
      <c r="G658" s="140"/>
    </row>
    <row r="659" spans="2:7" ht="15.75" customHeight="1" x14ac:dyDescent="0.25">
      <c r="B659" s="139"/>
      <c r="G659" s="140"/>
    </row>
    <row r="660" spans="2:7" ht="15.75" customHeight="1" x14ac:dyDescent="0.25">
      <c r="B660" s="139"/>
      <c r="G660" s="140"/>
    </row>
    <row r="661" spans="2:7" ht="15.75" customHeight="1" x14ac:dyDescent="0.25">
      <c r="B661" s="139"/>
      <c r="G661" s="140"/>
    </row>
    <row r="662" spans="2:7" ht="15.75" customHeight="1" x14ac:dyDescent="0.25">
      <c r="B662" s="139"/>
      <c r="G662" s="140"/>
    </row>
    <row r="663" spans="2:7" ht="15.75" customHeight="1" x14ac:dyDescent="0.25">
      <c r="B663" s="139"/>
      <c r="G663" s="140"/>
    </row>
    <row r="664" spans="2:7" ht="15.75" customHeight="1" x14ac:dyDescent="0.25">
      <c r="B664" s="139"/>
      <c r="G664" s="140"/>
    </row>
    <row r="665" spans="2:7" ht="15.75" customHeight="1" x14ac:dyDescent="0.25">
      <c r="B665" s="139"/>
      <c r="G665" s="140"/>
    </row>
    <row r="666" spans="2:7" ht="15.75" customHeight="1" x14ac:dyDescent="0.25">
      <c r="B666" s="139"/>
      <c r="G666" s="140"/>
    </row>
    <row r="667" spans="2:7" ht="15.75" customHeight="1" x14ac:dyDescent="0.25">
      <c r="B667" s="139"/>
      <c r="G667" s="140"/>
    </row>
    <row r="668" spans="2:7" ht="15.75" customHeight="1" x14ac:dyDescent="0.25">
      <c r="B668" s="139"/>
      <c r="G668" s="140"/>
    </row>
    <row r="669" spans="2:7" ht="15.75" customHeight="1" x14ac:dyDescent="0.25">
      <c r="B669" s="139"/>
      <c r="G669" s="140"/>
    </row>
    <row r="670" spans="2:7" ht="15.75" customHeight="1" x14ac:dyDescent="0.25">
      <c r="B670" s="139"/>
      <c r="G670" s="140"/>
    </row>
    <row r="671" spans="2:7" ht="15.75" customHeight="1" x14ac:dyDescent="0.25">
      <c r="B671" s="139"/>
      <c r="G671" s="140"/>
    </row>
    <row r="672" spans="2:7" ht="15.75" customHeight="1" x14ac:dyDescent="0.25">
      <c r="B672" s="139"/>
      <c r="G672" s="140"/>
    </row>
    <row r="673" spans="2:7" ht="15.75" customHeight="1" x14ac:dyDescent="0.25">
      <c r="B673" s="139"/>
      <c r="G673" s="140"/>
    </row>
    <row r="674" spans="2:7" ht="15.75" customHeight="1" x14ac:dyDescent="0.25">
      <c r="B674" s="139"/>
      <c r="G674" s="140"/>
    </row>
    <row r="675" spans="2:7" ht="15.75" customHeight="1" x14ac:dyDescent="0.25">
      <c r="B675" s="139"/>
      <c r="G675" s="140"/>
    </row>
    <row r="676" spans="2:7" ht="15.75" customHeight="1" x14ac:dyDescent="0.25">
      <c r="B676" s="139"/>
      <c r="G676" s="140"/>
    </row>
    <row r="677" spans="2:7" ht="15.75" customHeight="1" x14ac:dyDescent="0.25">
      <c r="B677" s="139"/>
      <c r="G677" s="140"/>
    </row>
    <row r="678" spans="2:7" ht="15.75" customHeight="1" x14ac:dyDescent="0.25">
      <c r="B678" s="139"/>
      <c r="G678" s="140"/>
    </row>
    <row r="679" spans="2:7" ht="15.75" customHeight="1" x14ac:dyDescent="0.25">
      <c r="B679" s="139"/>
      <c r="G679" s="140"/>
    </row>
    <row r="680" spans="2:7" ht="15.75" customHeight="1" x14ac:dyDescent="0.25">
      <c r="B680" s="139"/>
      <c r="G680" s="140"/>
    </row>
    <row r="681" spans="2:7" ht="15.75" customHeight="1" x14ac:dyDescent="0.25">
      <c r="B681" s="139"/>
      <c r="G681" s="140"/>
    </row>
    <row r="682" spans="2:7" ht="15.75" customHeight="1" x14ac:dyDescent="0.25">
      <c r="B682" s="139"/>
      <c r="G682" s="140"/>
    </row>
    <row r="683" spans="2:7" ht="15.75" customHeight="1" x14ac:dyDescent="0.25">
      <c r="B683" s="139"/>
      <c r="G683" s="140"/>
    </row>
    <row r="684" spans="2:7" ht="15.75" customHeight="1" x14ac:dyDescent="0.25">
      <c r="B684" s="139"/>
      <c r="G684" s="140"/>
    </row>
    <row r="685" spans="2:7" ht="15.75" customHeight="1" x14ac:dyDescent="0.25">
      <c r="B685" s="139"/>
      <c r="G685" s="140"/>
    </row>
    <row r="686" spans="2:7" ht="15.75" customHeight="1" x14ac:dyDescent="0.25">
      <c r="B686" s="139"/>
      <c r="G686" s="140"/>
    </row>
    <row r="687" spans="2:7" ht="15.75" customHeight="1" x14ac:dyDescent="0.25">
      <c r="B687" s="139"/>
      <c r="G687" s="140"/>
    </row>
    <row r="688" spans="2:7" ht="15.75" customHeight="1" x14ac:dyDescent="0.25">
      <c r="B688" s="139"/>
      <c r="G688" s="140"/>
    </row>
    <row r="689" spans="2:7" ht="15.75" customHeight="1" x14ac:dyDescent="0.25">
      <c r="B689" s="139"/>
      <c r="G689" s="140"/>
    </row>
    <row r="690" spans="2:7" ht="15.75" customHeight="1" x14ac:dyDescent="0.25">
      <c r="B690" s="139"/>
      <c r="G690" s="140"/>
    </row>
    <row r="691" spans="2:7" ht="15.75" customHeight="1" x14ac:dyDescent="0.25">
      <c r="B691" s="139"/>
      <c r="G691" s="140"/>
    </row>
    <row r="692" spans="2:7" ht="15.75" customHeight="1" x14ac:dyDescent="0.25">
      <c r="B692" s="139"/>
      <c r="G692" s="140"/>
    </row>
    <row r="693" spans="2:7" ht="15.75" customHeight="1" x14ac:dyDescent="0.25">
      <c r="B693" s="139"/>
      <c r="G693" s="140"/>
    </row>
    <row r="694" spans="2:7" ht="15.75" customHeight="1" x14ac:dyDescent="0.25">
      <c r="B694" s="139"/>
      <c r="G694" s="140"/>
    </row>
    <row r="695" spans="2:7" ht="15.75" customHeight="1" x14ac:dyDescent="0.25">
      <c r="B695" s="139"/>
      <c r="G695" s="140"/>
    </row>
    <row r="696" spans="2:7" ht="15.75" customHeight="1" x14ac:dyDescent="0.25">
      <c r="B696" s="139"/>
      <c r="G696" s="140"/>
    </row>
    <row r="697" spans="2:7" ht="15.75" customHeight="1" x14ac:dyDescent="0.25">
      <c r="B697" s="139"/>
      <c r="G697" s="140"/>
    </row>
    <row r="698" spans="2:7" ht="15.75" customHeight="1" x14ac:dyDescent="0.25">
      <c r="B698" s="139"/>
      <c r="G698" s="140"/>
    </row>
    <row r="699" spans="2:7" ht="15.75" customHeight="1" x14ac:dyDescent="0.25">
      <c r="B699" s="139"/>
      <c r="G699" s="140"/>
    </row>
    <row r="700" spans="2:7" ht="15.75" customHeight="1" x14ac:dyDescent="0.25">
      <c r="B700" s="139"/>
      <c r="G700" s="140"/>
    </row>
    <row r="701" spans="2:7" ht="15.75" customHeight="1" x14ac:dyDescent="0.25">
      <c r="B701" s="139"/>
      <c r="G701" s="140"/>
    </row>
    <row r="702" spans="2:7" ht="15.75" customHeight="1" x14ac:dyDescent="0.25">
      <c r="B702" s="139"/>
      <c r="G702" s="140"/>
    </row>
    <row r="703" spans="2:7" ht="15.75" customHeight="1" x14ac:dyDescent="0.25">
      <c r="B703" s="139"/>
      <c r="G703" s="140"/>
    </row>
    <row r="704" spans="2:7" ht="15.75" customHeight="1" x14ac:dyDescent="0.25">
      <c r="B704" s="139"/>
      <c r="G704" s="140"/>
    </row>
    <row r="705" spans="2:7" ht="15.75" customHeight="1" x14ac:dyDescent="0.25">
      <c r="B705" s="139"/>
      <c r="G705" s="140"/>
    </row>
    <row r="706" spans="2:7" ht="15.75" customHeight="1" x14ac:dyDescent="0.25">
      <c r="B706" s="139"/>
      <c r="G706" s="140"/>
    </row>
    <row r="707" spans="2:7" ht="15.75" customHeight="1" x14ac:dyDescent="0.25">
      <c r="B707" s="139"/>
      <c r="G707" s="140"/>
    </row>
    <row r="708" spans="2:7" ht="15.75" customHeight="1" x14ac:dyDescent="0.25">
      <c r="B708" s="139"/>
      <c r="G708" s="140"/>
    </row>
    <row r="709" spans="2:7" ht="15.75" customHeight="1" x14ac:dyDescent="0.25">
      <c r="B709" s="139"/>
      <c r="G709" s="140"/>
    </row>
    <row r="710" spans="2:7" ht="15.75" customHeight="1" x14ac:dyDescent="0.25">
      <c r="B710" s="139"/>
      <c r="G710" s="140"/>
    </row>
    <row r="711" spans="2:7" ht="15.75" customHeight="1" x14ac:dyDescent="0.25">
      <c r="B711" s="139"/>
      <c r="G711" s="140"/>
    </row>
    <row r="712" spans="2:7" ht="15.75" customHeight="1" x14ac:dyDescent="0.25">
      <c r="B712" s="139"/>
      <c r="G712" s="140"/>
    </row>
    <row r="713" spans="2:7" ht="15.75" customHeight="1" x14ac:dyDescent="0.25">
      <c r="B713" s="139"/>
      <c r="G713" s="140"/>
    </row>
    <row r="714" spans="2:7" ht="15.75" customHeight="1" x14ac:dyDescent="0.25">
      <c r="B714" s="139"/>
      <c r="G714" s="140"/>
    </row>
    <row r="715" spans="2:7" ht="15.75" customHeight="1" x14ac:dyDescent="0.25">
      <c r="B715" s="139"/>
      <c r="G715" s="140"/>
    </row>
    <row r="716" spans="2:7" ht="15.75" customHeight="1" x14ac:dyDescent="0.25">
      <c r="B716" s="139"/>
      <c r="G716" s="140"/>
    </row>
    <row r="717" spans="2:7" ht="15.75" customHeight="1" x14ac:dyDescent="0.25">
      <c r="B717" s="139"/>
      <c r="G717" s="140"/>
    </row>
    <row r="718" spans="2:7" ht="15.75" customHeight="1" x14ac:dyDescent="0.25">
      <c r="B718" s="139"/>
      <c r="G718" s="140"/>
    </row>
    <row r="719" spans="2:7" ht="15.75" customHeight="1" x14ac:dyDescent="0.25">
      <c r="B719" s="139"/>
      <c r="G719" s="140"/>
    </row>
    <row r="720" spans="2:7" ht="15.75" customHeight="1" x14ac:dyDescent="0.25">
      <c r="B720" s="139"/>
      <c r="G720" s="140"/>
    </row>
    <row r="721" spans="2:7" ht="15.75" customHeight="1" x14ac:dyDescent="0.25">
      <c r="B721" s="139"/>
      <c r="G721" s="140"/>
    </row>
    <row r="722" spans="2:7" ht="15.75" customHeight="1" x14ac:dyDescent="0.25">
      <c r="B722" s="139"/>
      <c r="G722" s="140"/>
    </row>
    <row r="723" spans="2:7" ht="15.75" customHeight="1" x14ac:dyDescent="0.25">
      <c r="B723" s="139"/>
      <c r="G723" s="140"/>
    </row>
    <row r="724" spans="2:7" ht="15.75" customHeight="1" x14ac:dyDescent="0.25">
      <c r="B724" s="139"/>
      <c r="G724" s="140"/>
    </row>
    <row r="725" spans="2:7" ht="15.75" customHeight="1" x14ac:dyDescent="0.25">
      <c r="B725" s="139"/>
      <c r="G725" s="140"/>
    </row>
    <row r="726" spans="2:7" ht="15.75" customHeight="1" x14ac:dyDescent="0.25">
      <c r="B726" s="139"/>
      <c r="G726" s="140"/>
    </row>
    <row r="727" spans="2:7" ht="15.75" customHeight="1" x14ac:dyDescent="0.25">
      <c r="B727" s="139"/>
      <c r="G727" s="140"/>
    </row>
    <row r="728" spans="2:7" ht="15.75" customHeight="1" x14ac:dyDescent="0.25">
      <c r="B728" s="139"/>
      <c r="G728" s="140"/>
    </row>
    <row r="729" spans="2:7" ht="15.75" customHeight="1" x14ac:dyDescent="0.25">
      <c r="B729" s="139"/>
      <c r="G729" s="140"/>
    </row>
    <row r="730" spans="2:7" ht="15.75" customHeight="1" x14ac:dyDescent="0.25">
      <c r="B730" s="139"/>
      <c r="G730" s="140"/>
    </row>
    <row r="731" spans="2:7" ht="15.75" customHeight="1" x14ac:dyDescent="0.25">
      <c r="B731" s="139"/>
      <c r="G731" s="140"/>
    </row>
    <row r="732" spans="2:7" ht="15.75" customHeight="1" x14ac:dyDescent="0.25">
      <c r="B732" s="139"/>
      <c r="G732" s="140"/>
    </row>
    <row r="733" spans="2:7" ht="15.75" customHeight="1" x14ac:dyDescent="0.25">
      <c r="B733" s="139"/>
      <c r="G733" s="140"/>
    </row>
    <row r="734" spans="2:7" ht="15.75" customHeight="1" x14ac:dyDescent="0.25">
      <c r="B734" s="139"/>
      <c r="G734" s="140"/>
    </row>
    <row r="735" spans="2:7" ht="15.75" customHeight="1" x14ac:dyDescent="0.25">
      <c r="B735" s="139"/>
      <c r="G735" s="140"/>
    </row>
    <row r="736" spans="2:7" ht="15.75" customHeight="1" x14ac:dyDescent="0.25">
      <c r="B736" s="139"/>
      <c r="G736" s="140"/>
    </row>
    <row r="737" spans="2:7" ht="15.75" customHeight="1" x14ac:dyDescent="0.25">
      <c r="B737" s="139"/>
      <c r="G737" s="140"/>
    </row>
    <row r="738" spans="2:7" ht="15.75" customHeight="1" x14ac:dyDescent="0.25">
      <c r="B738" s="139"/>
      <c r="G738" s="140"/>
    </row>
    <row r="739" spans="2:7" ht="15.75" customHeight="1" x14ac:dyDescent="0.25">
      <c r="B739" s="139"/>
      <c r="G739" s="140"/>
    </row>
    <row r="740" spans="2:7" ht="15.75" customHeight="1" x14ac:dyDescent="0.25">
      <c r="B740" s="139"/>
      <c r="G740" s="140"/>
    </row>
    <row r="741" spans="2:7" ht="15.75" customHeight="1" x14ac:dyDescent="0.25">
      <c r="B741" s="139"/>
      <c r="G741" s="140"/>
    </row>
    <row r="742" spans="2:7" ht="15.75" customHeight="1" x14ac:dyDescent="0.25">
      <c r="B742" s="139"/>
      <c r="G742" s="140"/>
    </row>
    <row r="743" spans="2:7" ht="15.75" customHeight="1" x14ac:dyDescent="0.25">
      <c r="B743" s="139"/>
      <c r="G743" s="140"/>
    </row>
    <row r="744" spans="2:7" ht="15.75" customHeight="1" x14ac:dyDescent="0.25">
      <c r="B744" s="139"/>
      <c r="G744" s="140"/>
    </row>
    <row r="745" spans="2:7" ht="15.75" customHeight="1" x14ac:dyDescent="0.25">
      <c r="B745" s="139"/>
      <c r="G745" s="140"/>
    </row>
    <row r="746" spans="2:7" ht="15.75" customHeight="1" x14ac:dyDescent="0.25">
      <c r="B746" s="139"/>
      <c r="G746" s="140"/>
    </row>
    <row r="747" spans="2:7" ht="15.75" customHeight="1" x14ac:dyDescent="0.25">
      <c r="B747" s="139"/>
      <c r="G747" s="140"/>
    </row>
    <row r="748" spans="2:7" ht="15.75" customHeight="1" x14ac:dyDescent="0.25">
      <c r="B748" s="139"/>
      <c r="G748" s="140"/>
    </row>
    <row r="749" spans="2:7" ht="15.75" customHeight="1" x14ac:dyDescent="0.25">
      <c r="B749" s="139"/>
      <c r="G749" s="140"/>
    </row>
    <row r="750" spans="2:7" ht="15.75" customHeight="1" x14ac:dyDescent="0.25">
      <c r="B750" s="139"/>
      <c r="G750" s="140"/>
    </row>
    <row r="751" spans="2:7" ht="15.75" customHeight="1" x14ac:dyDescent="0.25">
      <c r="B751" s="139"/>
      <c r="G751" s="140"/>
    </row>
    <row r="752" spans="2:7" ht="15.75" customHeight="1" x14ac:dyDescent="0.25">
      <c r="B752" s="139"/>
      <c r="G752" s="140"/>
    </row>
    <row r="753" spans="2:7" ht="15.75" customHeight="1" x14ac:dyDescent="0.25">
      <c r="B753" s="139"/>
      <c r="G753" s="140"/>
    </row>
    <row r="754" spans="2:7" ht="15.75" customHeight="1" x14ac:dyDescent="0.25">
      <c r="B754" s="139"/>
      <c r="G754" s="140"/>
    </row>
    <row r="755" spans="2:7" ht="15.75" customHeight="1" x14ac:dyDescent="0.25">
      <c r="B755" s="139"/>
      <c r="G755" s="140"/>
    </row>
    <row r="756" spans="2:7" ht="15.75" customHeight="1" x14ac:dyDescent="0.25">
      <c r="B756" s="139"/>
      <c r="G756" s="140"/>
    </row>
    <row r="757" spans="2:7" ht="15.75" customHeight="1" x14ac:dyDescent="0.25">
      <c r="B757" s="139"/>
      <c r="G757" s="140"/>
    </row>
    <row r="758" spans="2:7" ht="15.75" customHeight="1" x14ac:dyDescent="0.25">
      <c r="B758" s="139"/>
      <c r="G758" s="140"/>
    </row>
    <row r="759" spans="2:7" ht="15.75" customHeight="1" x14ac:dyDescent="0.25">
      <c r="B759" s="139"/>
      <c r="G759" s="140"/>
    </row>
    <row r="760" spans="2:7" ht="15.75" customHeight="1" x14ac:dyDescent="0.25">
      <c r="B760" s="139"/>
      <c r="G760" s="140"/>
    </row>
    <row r="761" spans="2:7" ht="15.75" customHeight="1" x14ac:dyDescent="0.25">
      <c r="B761" s="139"/>
      <c r="G761" s="140"/>
    </row>
    <row r="762" spans="2:7" ht="15.75" customHeight="1" x14ac:dyDescent="0.25">
      <c r="B762" s="139"/>
      <c r="G762" s="140"/>
    </row>
    <row r="763" spans="2:7" ht="15.75" customHeight="1" x14ac:dyDescent="0.25">
      <c r="B763" s="139"/>
      <c r="G763" s="140"/>
    </row>
    <row r="764" spans="2:7" ht="15.75" customHeight="1" x14ac:dyDescent="0.25">
      <c r="B764" s="139"/>
      <c r="G764" s="140"/>
    </row>
    <row r="765" spans="2:7" ht="15.75" customHeight="1" x14ac:dyDescent="0.25">
      <c r="B765" s="139"/>
      <c r="G765" s="140"/>
    </row>
    <row r="766" spans="2:7" ht="15.75" customHeight="1" x14ac:dyDescent="0.25">
      <c r="B766" s="139"/>
      <c r="G766" s="140"/>
    </row>
    <row r="767" spans="2:7" ht="15.75" customHeight="1" x14ac:dyDescent="0.25">
      <c r="B767" s="139"/>
      <c r="G767" s="140"/>
    </row>
    <row r="768" spans="2:7" ht="15.75" customHeight="1" x14ac:dyDescent="0.25">
      <c r="B768" s="139"/>
      <c r="G768" s="140"/>
    </row>
    <row r="769" spans="2:7" ht="15.75" customHeight="1" x14ac:dyDescent="0.25">
      <c r="B769" s="139"/>
      <c r="G769" s="140"/>
    </row>
    <row r="770" spans="2:7" ht="15.75" customHeight="1" x14ac:dyDescent="0.25">
      <c r="B770" s="139"/>
      <c r="G770" s="140"/>
    </row>
    <row r="771" spans="2:7" ht="15.75" customHeight="1" x14ac:dyDescent="0.25">
      <c r="B771" s="139"/>
      <c r="G771" s="140"/>
    </row>
    <row r="772" spans="2:7" ht="15.75" customHeight="1" x14ac:dyDescent="0.25">
      <c r="B772" s="139"/>
      <c r="G772" s="140"/>
    </row>
    <row r="773" spans="2:7" ht="15.75" customHeight="1" x14ac:dyDescent="0.25">
      <c r="B773" s="139"/>
      <c r="G773" s="140"/>
    </row>
    <row r="774" spans="2:7" ht="15.75" customHeight="1" x14ac:dyDescent="0.25">
      <c r="B774" s="139"/>
      <c r="G774" s="140"/>
    </row>
    <row r="775" spans="2:7" ht="15.75" customHeight="1" x14ac:dyDescent="0.25">
      <c r="B775" s="139"/>
      <c r="G775" s="140"/>
    </row>
    <row r="776" spans="2:7" ht="15.75" customHeight="1" x14ac:dyDescent="0.25">
      <c r="B776" s="139"/>
      <c r="G776" s="140"/>
    </row>
    <row r="777" spans="2:7" ht="15.75" customHeight="1" x14ac:dyDescent="0.25">
      <c r="B777" s="139"/>
      <c r="G777" s="140"/>
    </row>
    <row r="778" spans="2:7" ht="15.75" customHeight="1" x14ac:dyDescent="0.25">
      <c r="B778" s="139"/>
      <c r="G778" s="140"/>
    </row>
    <row r="779" spans="2:7" ht="15.75" customHeight="1" x14ac:dyDescent="0.25">
      <c r="B779" s="139"/>
      <c r="G779" s="140"/>
    </row>
    <row r="780" spans="2:7" ht="15.75" customHeight="1" x14ac:dyDescent="0.25">
      <c r="B780" s="139"/>
      <c r="G780" s="140"/>
    </row>
    <row r="781" spans="2:7" ht="15.75" customHeight="1" x14ac:dyDescent="0.25">
      <c r="B781" s="139"/>
      <c r="G781" s="140"/>
    </row>
    <row r="782" spans="2:7" ht="15.75" customHeight="1" x14ac:dyDescent="0.25">
      <c r="B782" s="139"/>
      <c r="G782" s="140"/>
    </row>
    <row r="783" spans="2:7" ht="15.75" customHeight="1" x14ac:dyDescent="0.25">
      <c r="B783" s="139"/>
      <c r="G783" s="140"/>
    </row>
    <row r="784" spans="2:7" ht="15.75" customHeight="1" x14ac:dyDescent="0.25">
      <c r="B784" s="139"/>
      <c r="G784" s="140"/>
    </row>
    <row r="785" spans="2:7" ht="15.75" customHeight="1" x14ac:dyDescent="0.25">
      <c r="B785" s="139"/>
      <c r="G785" s="140"/>
    </row>
    <row r="786" spans="2:7" ht="15.75" customHeight="1" x14ac:dyDescent="0.25">
      <c r="B786" s="139"/>
      <c r="G786" s="140"/>
    </row>
    <row r="787" spans="2:7" ht="15.75" customHeight="1" x14ac:dyDescent="0.25">
      <c r="B787" s="139"/>
      <c r="G787" s="140"/>
    </row>
    <row r="788" spans="2:7" ht="15.75" customHeight="1" x14ac:dyDescent="0.25">
      <c r="B788" s="139"/>
      <c r="G788" s="140"/>
    </row>
    <row r="789" spans="2:7" ht="15.75" customHeight="1" x14ac:dyDescent="0.25">
      <c r="B789" s="139"/>
      <c r="G789" s="140"/>
    </row>
    <row r="790" spans="2:7" ht="15.75" customHeight="1" x14ac:dyDescent="0.25">
      <c r="B790" s="139"/>
      <c r="G790" s="140"/>
    </row>
    <row r="791" spans="2:7" ht="15.75" customHeight="1" x14ac:dyDescent="0.25">
      <c r="B791" s="139"/>
      <c r="G791" s="140"/>
    </row>
    <row r="792" spans="2:7" ht="15.75" customHeight="1" x14ac:dyDescent="0.25">
      <c r="B792" s="139"/>
      <c r="G792" s="140"/>
    </row>
    <row r="793" spans="2:7" ht="15.75" customHeight="1" x14ac:dyDescent="0.25">
      <c r="B793" s="139"/>
      <c r="G793" s="140"/>
    </row>
    <row r="794" spans="2:7" ht="15.75" customHeight="1" x14ac:dyDescent="0.25">
      <c r="B794" s="139"/>
      <c r="G794" s="140"/>
    </row>
    <row r="795" spans="2:7" ht="15.75" customHeight="1" x14ac:dyDescent="0.25">
      <c r="B795" s="139"/>
      <c r="G795" s="140"/>
    </row>
    <row r="796" spans="2:7" ht="15.75" customHeight="1" x14ac:dyDescent="0.25">
      <c r="B796" s="139"/>
      <c r="G796" s="140"/>
    </row>
    <row r="797" spans="2:7" ht="15.75" customHeight="1" x14ac:dyDescent="0.25">
      <c r="B797" s="139"/>
      <c r="G797" s="140"/>
    </row>
    <row r="798" spans="2:7" ht="15.75" customHeight="1" x14ac:dyDescent="0.25">
      <c r="B798" s="139"/>
      <c r="G798" s="140"/>
    </row>
    <row r="799" spans="2:7" ht="15.75" customHeight="1" x14ac:dyDescent="0.25">
      <c r="B799" s="139"/>
      <c r="G799" s="140"/>
    </row>
    <row r="800" spans="2:7" ht="15.75" customHeight="1" x14ac:dyDescent="0.25">
      <c r="B800" s="139"/>
      <c r="G800" s="140"/>
    </row>
    <row r="801" spans="2:7" ht="15.75" customHeight="1" x14ac:dyDescent="0.25">
      <c r="B801" s="139"/>
      <c r="G801" s="140"/>
    </row>
    <row r="802" spans="2:7" ht="15.75" customHeight="1" x14ac:dyDescent="0.25">
      <c r="B802" s="139"/>
      <c r="G802" s="140"/>
    </row>
    <row r="803" spans="2:7" ht="15.75" customHeight="1" x14ac:dyDescent="0.25">
      <c r="B803" s="139"/>
      <c r="G803" s="140"/>
    </row>
    <row r="804" spans="2:7" ht="15.75" customHeight="1" x14ac:dyDescent="0.25">
      <c r="B804" s="139"/>
      <c r="G804" s="140"/>
    </row>
    <row r="805" spans="2:7" ht="15.75" customHeight="1" x14ac:dyDescent="0.25">
      <c r="B805" s="139"/>
      <c r="G805" s="140"/>
    </row>
    <row r="806" spans="2:7" ht="15.75" customHeight="1" x14ac:dyDescent="0.25">
      <c r="B806" s="139"/>
      <c r="G806" s="140"/>
    </row>
    <row r="807" spans="2:7" ht="15.75" customHeight="1" x14ac:dyDescent="0.25">
      <c r="B807" s="139"/>
      <c r="G807" s="140"/>
    </row>
    <row r="808" spans="2:7" ht="15.75" customHeight="1" x14ac:dyDescent="0.25">
      <c r="B808" s="139"/>
      <c r="G808" s="140"/>
    </row>
    <row r="809" spans="2:7" ht="15.75" customHeight="1" x14ac:dyDescent="0.25">
      <c r="B809" s="139"/>
      <c r="G809" s="140"/>
    </row>
    <row r="810" spans="2:7" ht="15.75" customHeight="1" x14ac:dyDescent="0.25">
      <c r="B810" s="139"/>
      <c r="G810" s="140"/>
    </row>
    <row r="811" spans="2:7" ht="15.75" customHeight="1" x14ac:dyDescent="0.25">
      <c r="B811" s="139"/>
      <c r="G811" s="140"/>
    </row>
    <row r="812" spans="2:7" ht="15.75" customHeight="1" x14ac:dyDescent="0.25">
      <c r="B812" s="139"/>
      <c r="G812" s="140"/>
    </row>
    <row r="813" spans="2:7" ht="15.75" customHeight="1" x14ac:dyDescent="0.25">
      <c r="B813" s="139"/>
      <c r="G813" s="140"/>
    </row>
    <row r="814" spans="2:7" ht="15.75" customHeight="1" x14ac:dyDescent="0.25">
      <c r="B814" s="139"/>
      <c r="G814" s="140"/>
    </row>
    <row r="815" spans="2:7" ht="15.75" customHeight="1" x14ac:dyDescent="0.25">
      <c r="B815" s="139"/>
      <c r="G815" s="140"/>
    </row>
    <row r="816" spans="2:7" ht="15.75" customHeight="1" x14ac:dyDescent="0.25">
      <c r="B816" s="139"/>
      <c r="G816" s="140"/>
    </row>
    <row r="817" spans="2:7" ht="15.75" customHeight="1" x14ac:dyDescent="0.25">
      <c r="B817" s="139"/>
      <c r="G817" s="140"/>
    </row>
    <row r="818" spans="2:7" ht="15.75" customHeight="1" x14ac:dyDescent="0.25">
      <c r="B818" s="139"/>
      <c r="G818" s="140"/>
    </row>
    <row r="819" spans="2:7" ht="15.75" customHeight="1" x14ac:dyDescent="0.25">
      <c r="B819" s="139"/>
      <c r="G819" s="140"/>
    </row>
    <row r="820" spans="2:7" ht="15.75" customHeight="1" x14ac:dyDescent="0.25">
      <c r="B820" s="139"/>
      <c r="G820" s="140"/>
    </row>
    <row r="821" spans="2:7" ht="15.75" customHeight="1" x14ac:dyDescent="0.25">
      <c r="B821" s="139"/>
      <c r="G821" s="140"/>
    </row>
    <row r="822" spans="2:7" ht="15.75" customHeight="1" x14ac:dyDescent="0.25">
      <c r="B822" s="139"/>
      <c r="G822" s="140"/>
    </row>
    <row r="823" spans="2:7" ht="15.75" customHeight="1" x14ac:dyDescent="0.25">
      <c r="B823" s="139"/>
      <c r="G823" s="140"/>
    </row>
    <row r="824" spans="2:7" ht="15.75" customHeight="1" x14ac:dyDescent="0.25">
      <c r="B824" s="139"/>
      <c r="G824" s="140"/>
    </row>
    <row r="825" spans="2:7" ht="15.75" customHeight="1" x14ac:dyDescent="0.25">
      <c r="B825" s="139"/>
      <c r="G825" s="140"/>
    </row>
    <row r="826" spans="2:7" ht="15.75" customHeight="1" x14ac:dyDescent="0.25">
      <c r="B826" s="139"/>
      <c r="G826" s="140"/>
    </row>
    <row r="827" spans="2:7" ht="15.75" customHeight="1" x14ac:dyDescent="0.25">
      <c r="B827" s="139"/>
      <c r="G827" s="140"/>
    </row>
    <row r="828" spans="2:7" ht="15.75" customHeight="1" x14ac:dyDescent="0.25">
      <c r="B828" s="139"/>
      <c r="G828" s="140"/>
    </row>
    <row r="829" spans="2:7" ht="15.75" customHeight="1" x14ac:dyDescent="0.25">
      <c r="B829" s="139"/>
      <c r="G829" s="140"/>
    </row>
    <row r="830" spans="2:7" ht="15.75" customHeight="1" x14ac:dyDescent="0.25">
      <c r="B830" s="139"/>
      <c r="G830" s="140"/>
    </row>
    <row r="831" spans="2:7" ht="15.75" customHeight="1" x14ac:dyDescent="0.25">
      <c r="B831" s="139"/>
      <c r="G831" s="140"/>
    </row>
    <row r="832" spans="2:7" ht="15.75" customHeight="1" x14ac:dyDescent="0.25">
      <c r="B832" s="139"/>
      <c r="G832" s="140"/>
    </row>
    <row r="833" spans="2:7" ht="15.75" customHeight="1" x14ac:dyDescent="0.25">
      <c r="B833" s="139"/>
      <c r="G833" s="140"/>
    </row>
    <row r="834" spans="2:7" ht="15.75" customHeight="1" x14ac:dyDescent="0.25">
      <c r="B834" s="139"/>
      <c r="G834" s="140"/>
    </row>
    <row r="835" spans="2:7" ht="15.75" customHeight="1" x14ac:dyDescent="0.25">
      <c r="B835" s="139"/>
      <c r="G835" s="140"/>
    </row>
    <row r="836" spans="2:7" ht="15.75" customHeight="1" x14ac:dyDescent="0.25">
      <c r="B836" s="139"/>
      <c r="G836" s="140"/>
    </row>
    <row r="837" spans="2:7" ht="15.75" customHeight="1" x14ac:dyDescent="0.25">
      <c r="B837" s="139"/>
      <c r="G837" s="140"/>
    </row>
    <row r="838" spans="2:7" ht="15.75" customHeight="1" x14ac:dyDescent="0.25">
      <c r="B838" s="139"/>
      <c r="G838" s="140"/>
    </row>
    <row r="839" spans="2:7" ht="15.75" customHeight="1" x14ac:dyDescent="0.25">
      <c r="B839" s="139"/>
      <c r="G839" s="140"/>
    </row>
    <row r="840" spans="2:7" ht="15.75" customHeight="1" x14ac:dyDescent="0.25">
      <c r="B840" s="139"/>
      <c r="G840" s="140"/>
    </row>
    <row r="841" spans="2:7" ht="15.75" customHeight="1" x14ac:dyDescent="0.25">
      <c r="B841" s="139"/>
      <c r="G841" s="140"/>
    </row>
    <row r="842" spans="2:7" ht="15.75" customHeight="1" x14ac:dyDescent="0.25">
      <c r="B842" s="139"/>
      <c r="G842" s="140"/>
    </row>
    <row r="843" spans="2:7" ht="15.75" customHeight="1" x14ac:dyDescent="0.25">
      <c r="B843" s="139"/>
      <c r="G843" s="140"/>
    </row>
    <row r="844" spans="2:7" ht="15.75" customHeight="1" x14ac:dyDescent="0.25">
      <c r="B844" s="139"/>
      <c r="G844" s="140"/>
    </row>
    <row r="845" spans="2:7" ht="15.75" customHeight="1" x14ac:dyDescent="0.25">
      <c r="B845" s="139"/>
      <c r="G845" s="140"/>
    </row>
    <row r="846" spans="2:7" ht="15.75" customHeight="1" x14ac:dyDescent="0.25">
      <c r="B846" s="139"/>
      <c r="G846" s="140"/>
    </row>
    <row r="847" spans="2:7" ht="15.75" customHeight="1" x14ac:dyDescent="0.25">
      <c r="B847" s="139"/>
      <c r="G847" s="140"/>
    </row>
    <row r="848" spans="2:7" ht="15.75" customHeight="1" x14ac:dyDescent="0.25">
      <c r="B848" s="139"/>
      <c r="G848" s="140"/>
    </row>
    <row r="849" spans="2:7" ht="15.75" customHeight="1" x14ac:dyDescent="0.25">
      <c r="B849" s="139"/>
      <c r="G849" s="140"/>
    </row>
    <row r="850" spans="2:7" ht="15.75" customHeight="1" x14ac:dyDescent="0.25">
      <c r="B850" s="139"/>
      <c r="G850" s="140"/>
    </row>
    <row r="851" spans="2:7" ht="15.75" customHeight="1" x14ac:dyDescent="0.25">
      <c r="B851" s="139"/>
      <c r="G851" s="140"/>
    </row>
    <row r="852" spans="2:7" ht="15.75" customHeight="1" x14ac:dyDescent="0.25">
      <c r="B852" s="139"/>
      <c r="G852" s="140"/>
    </row>
    <row r="853" spans="2:7" ht="15.75" customHeight="1" x14ac:dyDescent="0.25">
      <c r="B853" s="139"/>
      <c r="G853" s="140"/>
    </row>
    <row r="854" spans="2:7" ht="15.75" customHeight="1" x14ac:dyDescent="0.25">
      <c r="B854" s="139"/>
      <c r="G854" s="140"/>
    </row>
    <row r="855" spans="2:7" ht="15.75" customHeight="1" x14ac:dyDescent="0.25">
      <c r="B855" s="139"/>
      <c r="G855" s="140"/>
    </row>
    <row r="856" spans="2:7" ht="15.75" customHeight="1" x14ac:dyDescent="0.25">
      <c r="B856" s="139"/>
      <c r="G856" s="140"/>
    </row>
    <row r="857" spans="2:7" ht="15.75" customHeight="1" x14ac:dyDescent="0.25">
      <c r="B857" s="139"/>
      <c r="G857" s="140"/>
    </row>
    <row r="858" spans="2:7" ht="15.75" customHeight="1" x14ac:dyDescent="0.25">
      <c r="B858" s="139"/>
      <c r="G858" s="140"/>
    </row>
    <row r="859" spans="2:7" ht="15.75" customHeight="1" x14ac:dyDescent="0.25">
      <c r="B859" s="139"/>
      <c r="G859" s="140"/>
    </row>
    <row r="860" spans="2:7" ht="15.75" customHeight="1" x14ac:dyDescent="0.25">
      <c r="B860" s="139"/>
      <c r="G860" s="140"/>
    </row>
    <row r="861" spans="2:7" ht="15.75" customHeight="1" x14ac:dyDescent="0.25">
      <c r="B861" s="139"/>
      <c r="G861" s="140"/>
    </row>
    <row r="862" spans="2:7" ht="15.75" customHeight="1" x14ac:dyDescent="0.25">
      <c r="B862" s="139"/>
      <c r="G862" s="140"/>
    </row>
    <row r="863" spans="2:7" ht="15.75" customHeight="1" x14ac:dyDescent="0.25">
      <c r="B863" s="139"/>
      <c r="G863" s="140"/>
    </row>
    <row r="864" spans="2:7" ht="15.75" customHeight="1" x14ac:dyDescent="0.25">
      <c r="B864" s="139"/>
      <c r="G864" s="140"/>
    </row>
    <row r="865" spans="2:7" ht="15.75" customHeight="1" x14ac:dyDescent="0.25">
      <c r="B865" s="139"/>
      <c r="G865" s="140"/>
    </row>
    <row r="866" spans="2:7" ht="15.75" customHeight="1" x14ac:dyDescent="0.25">
      <c r="B866" s="139"/>
      <c r="G866" s="140"/>
    </row>
    <row r="867" spans="2:7" ht="15.75" customHeight="1" x14ac:dyDescent="0.25">
      <c r="B867" s="139"/>
      <c r="G867" s="140"/>
    </row>
    <row r="868" spans="2:7" ht="15.75" customHeight="1" x14ac:dyDescent="0.25">
      <c r="B868" s="139"/>
      <c r="G868" s="140"/>
    </row>
    <row r="869" spans="2:7" ht="15.75" customHeight="1" x14ac:dyDescent="0.25">
      <c r="B869" s="139"/>
      <c r="G869" s="140"/>
    </row>
    <row r="870" spans="2:7" ht="15.75" customHeight="1" x14ac:dyDescent="0.25">
      <c r="B870" s="139"/>
      <c r="G870" s="140"/>
    </row>
    <row r="871" spans="2:7" ht="15.75" customHeight="1" x14ac:dyDescent="0.25">
      <c r="B871" s="139"/>
      <c r="G871" s="140"/>
    </row>
    <row r="872" spans="2:7" ht="15.75" customHeight="1" x14ac:dyDescent="0.25">
      <c r="B872" s="139"/>
      <c r="G872" s="140"/>
    </row>
    <row r="873" spans="2:7" ht="15.75" customHeight="1" x14ac:dyDescent="0.25">
      <c r="B873" s="139"/>
      <c r="G873" s="140"/>
    </row>
    <row r="874" spans="2:7" ht="15.75" customHeight="1" x14ac:dyDescent="0.25">
      <c r="B874" s="139"/>
      <c r="G874" s="140"/>
    </row>
    <row r="875" spans="2:7" ht="15.75" customHeight="1" x14ac:dyDescent="0.25">
      <c r="B875" s="139"/>
      <c r="G875" s="140"/>
    </row>
    <row r="876" spans="2:7" ht="15.75" customHeight="1" x14ac:dyDescent="0.25">
      <c r="B876" s="139"/>
      <c r="G876" s="140"/>
    </row>
    <row r="877" spans="2:7" ht="15.75" customHeight="1" x14ac:dyDescent="0.25">
      <c r="B877" s="139"/>
      <c r="G877" s="140"/>
    </row>
    <row r="878" spans="2:7" ht="15.75" customHeight="1" x14ac:dyDescent="0.25">
      <c r="B878" s="139"/>
      <c r="G878" s="140"/>
    </row>
    <row r="879" spans="2:7" ht="15.75" customHeight="1" x14ac:dyDescent="0.25">
      <c r="B879" s="139"/>
      <c r="G879" s="140"/>
    </row>
    <row r="880" spans="2:7" ht="15.75" customHeight="1" x14ac:dyDescent="0.25">
      <c r="B880" s="139"/>
      <c r="G880" s="140"/>
    </row>
    <row r="881" spans="2:7" ht="15.75" customHeight="1" x14ac:dyDescent="0.25">
      <c r="B881" s="139"/>
      <c r="G881" s="140"/>
    </row>
    <row r="882" spans="2:7" ht="15.75" customHeight="1" x14ac:dyDescent="0.25">
      <c r="B882" s="139"/>
      <c r="G882" s="140"/>
    </row>
    <row r="883" spans="2:7" ht="15.75" customHeight="1" x14ac:dyDescent="0.25">
      <c r="B883" s="139"/>
      <c r="G883" s="140"/>
    </row>
    <row r="884" spans="2:7" ht="15.75" customHeight="1" x14ac:dyDescent="0.25">
      <c r="B884" s="139"/>
      <c r="G884" s="140"/>
    </row>
    <row r="885" spans="2:7" ht="15.75" customHeight="1" x14ac:dyDescent="0.25">
      <c r="B885" s="139"/>
      <c r="G885" s="140"/>
    </row>
    <row r="886" spans="2:7" ht="15.75" customHeight="1" x14ac:dyDescent="0.25">
      <c r="B886" s="139"/>
      <c r="G886" s="140"/>
    </row>
    <row r="887" spans="2:7" ht="15.75" customHeight="1" x14ac:dyDescent="0.25">
      <c r="B887" s="139"/>
      <c r="G887" s="140"/>
    </row>
    <row r="888" spans="2:7" ht="15.75" customHeight="1" x14ac:dyDescent="0.25">
      <c r="B888" s="139"/>
      <c r="G888" s="140"/>
    </row>
    <row r="889" spans="2:7" ht="15.75" customHeight="1" x14ac:dyDescent="0.25">
      <c r="B889" s="139"/>
      <c r="G889" s="140"/>
    </row>
    <row r="890" spans="2:7" ht="15.75" customHeight="1" x14ac:dyDescent="0.25">
      <c r="B890" s="139"/>
      <c r="G890" s="140"/>
    </row>
    <row r="891" spans="2:7" ht="15.75" customHeight="1" x14ac:dyDescent="0.25">
      <c r="B891" s="139"/>
      <c r="G891" s="140"/>
    </row>
    <row r="892" spans="2:7" ht="15.75" customHeight="1" x14ac:dyDescent="0.25">
      <c r="B892" s="139"/>
      <c r="G892" s="140"/>
    </row>
    <row r="893" spans="2:7" ht="15.75" customHeight="1" x14ac:dyDescent="0.25">
      <c r="B893" s="139"/>
      <c r="G893" s="140"/>
    </row>
    <row r="894" spans="2:7" ht="15.75" customHeight="1" x14ac:dyDescent="0.25">
      <c r="B894" s="139"/>
      <c r="G894" s="140"/>
    </row>
    <row r="895" spans="2:7" ht="15.75" customHeight="1" x14ac:dyDescent="0.25">
      <c r="B895" s="139"/>
      <c r="G895" s="140"/>
    </row>
    <row r="896" spans="2:7" ht="15.75" customHeight="1" x14ac:dyDescent="0.25">
      <c r="B896" s="139"/>
      <c r="G896" s="140"/>
    </row>
    <row r="897" spans="2:7" ht="15.75" customHeight="1" x14ac:dyDescent="0.25">
      <c r="B897" s="139"/>
      <c r="G897" s="140"/>
    </row>
    <row r="898" spans="2:7" ht="15.75" customHeight="1" x14ac:dyDescent="0.25">
      <c r="B898" s="139"/>
      <c r="G898" s="140"/>
    </row>
    <row r="899" spans="2:7" ht="15.75" customHeight="1" x14ac:dyDescent="0.25">
      <c r="B899" s="139"/>
      <c r="G899" s="140"/>
    </row>
    <row r="900" spans="2:7" ht="15.75" customHeight="1" x14ac:dyDescent="0.25">
      <c r="B900" s="139"/>
      <c r="G900" s="140"/>
    </row>
    <row r="901" spans="2:7" ht="15.75" customHeight="1" x14ac:dyDescent="0.25">
      <c r="B901" s="139"/>
      <c r="G901" s="140"/>
    </row>
    <row r="902" spans="2:7" ht="15.75" customHeight="1" x14ac:dyDescent="0.25">
      <c r="B902" s="139"/>
      <c r="G902" s="140"/>
    </row>
    <row r="903" spans="2:7" ht="15.75" customHeight="1" x14ac:dyDescent="0.25">
      <c r="B903" s="139"/>
      <c r="G903" s="140"/>
    </row>
    <row r="904" spans="2:7" ht="15.75" customHeight="1" x14ac:dyDescent="0.25">
      <c r="B904" s="139"/>
      <c r="G904" s="140"/>
    </row>
    <row r="905" spans="2:7" ht="15.75" customHeight="1" x14ac:dyDescent="0.25">
      <c r="B905" s="139"/>
      <c r="G905" s="140"/>
    </row>
    <row r="906" spans="2:7" ht="15.75" customHeight="1" x14ac:dyDescent="0.25">
      <c r="B906" s="139"/>
      <c r="G906" s="140"/>
    </row>
    <row r="907" spans="2:7" ht="15.75" customHeight="1" x14ac:dyDescent="0.25">
      <c r="B907" s="139"/>
      <c r="G907" s="140"/>
    </row>
    <row r="908" spans="2:7" ht="15.75" customHeight="1" x14ac:dyDescent="0.25">
      <c r="B908" s="139"/>
      <c r="G908" s="140"/>
    </row>
    <row r="909" spans="2:7" ht="15.75" customHeight="1" x14ac:dyDescent="0.25">
      <c r="B909" s="139"/>
      <c r="G909" s="140"/>
    </row>
    <row r="910" spans="2:7" ht="15.75" customHeight="1" x14ac:dyDescent="0.25">
      <c r="B910" s="139"/>
      <c r="G910" s="140"/>
    </row>
    <row r="911" spans="2:7" ht="15.75" customHeight="1" x14ac:dyDescent="0.25">
      <c r="B911" s="139"/>
      <c r="G911" s="140"/>
    </row>
    <row r="912" spans="2:7" ht="15.75" customHeight="1" x14ac:dyDescent="0.25">
      <c r="B912" s="139"/>
      <c r="G912" s="140"/>
    </row>
    <row r="913" spans="2:7" ht="15.75" customHeight="1" x14ac:dyDescent="0.25">
      <c r="B913" s="139"/>
      <c r="G913" s="140"/>
    </row>
    <row r="914" spans="2:7" ht="15.75" customHeight="1" x14ac:dyDescent="0.25">
      <c r="B914" s="139"/>
      <c r="G914" s="140"/>
    </row>
    <row r="915" spans="2:7" ht="15.75" customHeight="1" x14ac:dyDescent="0.25">
      <c r="B915" s="139"/>
      <c r="G915" s="140"/>
    </row>
    <row r="916" spans="2:7" ht="15.75" customHeight="1" x14ac:dyDescent="0.25">
      <c r="B916" s="139"/>
      <c r="G916" s="140"/>
    </row>
    <row r="917" spans="2:7" ht="15.75" customHeight="1" x14ac:dyDescent="0.25">
      <c r="B917" s="139"/>
      <c r="G917" s="140"/>
    </row>
    <row r="918" spans="2:7" ht="15.75" customHeight="1" x14ac:dyDescent="0.25">
      <c r="B918" s="139"/>
      <c r="G918" s="140"/>
    </row>
    <row r="919" spans="2:7" ht="15.75" customHeight="1" x14ac:dyDescent="0.25">
      <c r="B919" s="139"/>
      <c r="G919" s="140"/>
    </row>
    <row r="920" spans="2:7" ht="15.75" customHeight="1" x14ac:dyDescent="0.25">
      <c r="B920" s="139"/>
      <c r="G920" s="140"/>
    </row>
    <row r="921" spans="2:7" ht="15.75" customHeight="1" x14ac:dyDescent="0.25">
      <c r="B921" s="139"/>
      <c r="G921" s="140"/>
    </row>
    <row r="922" spans="2:7" ht="15.75" customHeight="1" x14ac:dyDescent="0.25">
      <c r="B922" s="139"/>
      <c r="G922" s="140"/>
    </row>
    <row r="923" spans="2:7" ht="15.75" customHeight="1" x14ac:dyDescent="0.25">
      <c r="B923" s="139"/>
      <c r="G923" s="140"/>
    </row>
    <row r="924" spans="2:7" ht="15.75" customHeight="1" x14ac:dyDescent="0.25">
      <c r="B924" s="139"/>
      <c r="G924" s="140"/>
    </row>
    <row r="925" spans="2:7" ht="15.75" customHeight="1" x14ac:dyDescent="0.25">
      <c r="B925" s="139"/>
      <c r="G925" s="140"/>
    </row>
    <row r="926" spans="2:7" ht="15.75" customHeight="1" x14ac:dyDescent="0.25">
      <c r="B926" s="139"/>
      <c r="G926" s="140"/>
    </row>
    <row r="927" spans="2:7" ht="15.75" customHeight="1" x14ac:dyDescent="0.25">
      <c r="B927" s="139"/>
      <c r="G927" s="140"/>
    </row>
    <row r="928" spans="2:7" ht="15.75" customHeight="1" x14ac:dyDescent="0.25">
      <c r="B928" s="139"/>
      <c r="G928" s="140"/>
    </row>
    <row r="929" spans="2:7" ht="15.75" customHeight="1" x14ac:dyDescent="0.25">
      <c r="B929" s="139"/>
      <c r="G929" s="140"/>
    </row>
    <row r="930" spans="2:7" ht="15.75" customHeight="1" x14ac:dyDescent="0.25">
      <c r="B930" s="139"/>
      <c r="G930" s="140"/>
    </row>
    <row r="931" spans="2:7" ht="15.75" customHeight="1" x14ac:dyDescent="0.25">
      <c r="B931" s="139"/>
      <c r="G931" s="140"/>
    </row>
    <row r="932" spans="2:7" ht="15.75" customHeight="1" x14ac:dyDescent="0.25">
      <c r="B932" s="139"/>
      <c r="G932" s="140"/>
    </row>
    <row r="933" spans="2:7" ht="15.75" customHeight="1" x14ac:dyDescent="0.25">
      <c r="B933" s="139"/>
      <c r="G933" s="140"/>
    </row>
    <row r="934" spans="2:7" ht="15.75" customHeight="1" x14ac:dyDescent="0.25">
      <c r="B934" s="139"/>
      <c r="G934" s="140"/>
    </row>
    <row r="935" spans="2:7" ht="15.75" customHeight="1" x14ac:dyDescent="0.25">
      <c r="B935" s="139"/>
      <c r="G935" s="140"/>
    </row>
    <row r="936" spans="2:7" ht="15.75" customHeight="1" x14ac:dyDescent="0.25">
      <c r="B936" s="139"/>
      <c r="G936" s="140"/>
    </row>
    <row r="937" spans="2:7" ht="15.75" customHeight="1" x14ac:dyDescent="0.25">
      <c r="B937" s="139"/>
      <c r="G937" s="140"/>
    </row>
    <row r="938" spans="2:7" ht="15.75" customHeight="1" x14ac:dyDescent="0.25">
      <c r="B938" s="139"/>
      <c r="G938" s="140"/>
    </row>
    <row r="939" spans="2:7" ht="15.75" customHeight="1" x14ac:dyDescent="0.25">
      <c r="B939" s="139"/>
      <c r="G939" s="140"/>
    </row>
    <row r="940" spans="2:7" ht="15.75" customHeight="1" x14ac:dyDescent="0.25">
      <c r="B940" s="139"/>
      <c r="G940" s="140"/>
    </row>
    <row r="941" spans="2:7" ht="15.75" customHeight="1" x14ac:dyDescent="0.25">
      <c r="B941" s="139"/>
      <c r="G941" s="140"/>
    </row>
    <row r="942" spans="2:7" ht="15.75" customHeight="1" x14ac:dyDescent="0.25">
      <c r="B942" s="139"/>
      <c r="G942" s="140"/>
    </row>
    <row r="943" spans="2:7" ht="15.75" customHeight="1" x14ac:dyDescent="0.25">
      <c r="B943" s="139"/>
      <c r="G943" s="140"/>
    </row>
    <row r="944" spans="2:7" ht="15.75" customHeight="1" x14ac:dyDescent="0.25">
      <c r="B944" s="139"/>
      <c r="G944" s="140"/>
    </row>
    <row r="945" spans="2:7" ht="15.75" customHeight="1" x14ac:dyDescent="0.25">
      <c r="B945" s="139"/>
      <c r="G945" s="140"/>
    </row>
    <row r="946" spans="2:7" ht="15.75" customHeight="1" x14ac:dyDescent="0.25">
      <c r="B946" s="139"/>
      <c r="G946" s="140"/>
    </row>
    <row r="947" spans="2:7" ht="15.75" customHeight="1" x14ac:dyDescent="0.25">
      <c r="B947" s="139"/>
      <c r="G947" s="140"/>
    </row>
    <row r="948" spans="2:7" ht="15.75" customHeight="1" x14ac:dyDescent="0.25">
      <c r="B948" s="139"/>
      <c r="G948" s="140"/>
    </row>
    <row r="949" spans="2:7" ht="15.75" customHeight="1" x14ac:dyDescent="0.25">
      <c r="B949" s="139"/>
      <c r="G949" s="140"/>
    </row>
    <row r="950" spans="2:7" ht="15.75" customHeight="1" x14ac:dyDescent="0.25">
      <c r="B950" s="139"/>
      <c r="G950" s="140"/>
    </row>
    <row r="951" spans="2:7" ht="15.75" customHeight="1" x14ac:dyDescent="0.25">
      <c r="B951" s="139"/>
      <c r="G951" s="140"/>
    </row>
    <row r="952" spans="2:7" ht="15.75" customHeight="1" x14ac:dyDescent="0.25">
      <c r="B952" s="139"/>
      <c r="G952" s="140"/>
    </row>
    <row r="953" spans="2:7" ht="15.75" customHeight="1" x14ac:dyDescent="0.25">
      <c r="B953" s="139"/>
      <c r="G953" s="140"/>
    </row>
    <row r="954" spans="2:7" ht="15.75" customHeight="1" x14ac:dyDescent="0.25">
      <c r="B954" s="139"/>
      <c r="G954" s="140"/>
    </row>
    <row r="955" spans="2:7" ht="15.75" customHeight="1" x14ac:dyDescent="0.25">
      <c r="B955" s="139"/>
      <c r="G955" s="140"/>
    </row>
    <row r="956" spans="2:7" ht="15.75" customHeight="1" x14ac:dyDescent="0.25">
      <c r="B956" s="139"/>
      <c r="G956" s="140"/>
    </row>
    <row r="957" spans="2:7" ht="15.75" customHeight="1" x14ac:dyDescent="0.25">
      <c r="B957" s="139"/>
      <c r="G957" s="140"/>
    </row>
    <row r="958" spans="2:7" ht="15.75" customHeight="1" x14ac:dyDescent="0.25">
      <c r="B958" s="139"/>
      <c r="G958" s="140"/>
    </row>
    <row r="959" spans="2:7" ht="15.75" customHeight="1" x14ac:dyDescent="0.25">
      <c r="B959" s="139"/>
      <c r="G959" s="140"/>
    </row>
    <row r="960" spans="2:7" ht="15.75" customHeight="1" x14ac:dyDescent="0.25">
      <c r="B960" s="139"/>
      <c r="G960" s="140"/>
    </row>
    <row r="961" spans="2:7" ht="15.75" customHeight="1" x14ac:dyDescent="0.25">
      <c r="B961" s="139"/>
      <c r="G961" s="140"/>
    </row>
    <row r="962" spans="2:7" ht="15.75" customHeight="1" x14ac:dyDescent="0.25">
      <c r="B962" s="139"/>
      <c r="G962" s="140"/>
    </row>
    <row r="963" spans="2:7" ht="15.75" customHeight="1" x14ac:dyDescent="0.25">
      <c r="B963" s="139"/>
      <c r="G963" s="140"/>
    </row>
    <row r="964" spans="2:7" ht="15.75" customHeight="1" x14ac:dyDescent="0.25">
      <c r="B964" s="139"/>
      <c r="G964" s="140"/>
    </row>
    <row r="965" spans="2:7" ht="15.75" customHeight="1" x14ac:dyDescent="0.25">
      <c r="B965" s="139"/>
      <c r="G965" s="140"/>
    </row>
    <row r="966" spans="2:7" ht="15.75" customHeight="1" x14ac:dyDescent="0.25">
      <c r="B966" s="139"/>
      <c r="G966" s="140"/>
    </row>
    <row r="967" spans="2:7" ht="15.75" customHeight="1" x14ac:dyDescent="0.25">
      <c r="B967" s="139"/>
      <c r="G967" s="140"/>
    </row>
    <row r="968" spans="2:7" ht="15.75" customHeight="1" x14ac:dyDescent="0.25">
      <c r="B968" s="139"/>
      <c r="G968" s="140"/>
    </row>
    <row r="969" spans="2:7" ht="15.75" customHeight="1" x14ac:dyDescent="0.25">
      <c r="B969" s="139"/>
      <c r="G969" s="140"/>
    </row>
    <row r="970" spans="2:7" ht="15.75" customHeight="1" x14ac:dyDescent="0.25">
      <c r="B970" s="139"/>
      <c r="G970" s="140"/>
    </row>
    <row r="971" spans="2:7" ht="15.75" customHeight="1" x14ac:dyDescent="0.25">
      <c r="B971" s="139"/>
      <c r="G971" s="140"/>
    </row>
    <row r="972" spans="2:7" ht="15.75" customHeight="1" x14ac:dyDescent="0.25">
      <c r="B972" s="139"/>
      <c r="G972" s="140"/>
    </row>
    <row r="973" spans="2:7" ht="15.75" customHeight="1" x14ac:dyDescent="0.25">
      <c r="B973" s="139"/>
      <c r="G973" s="140"/>
    </row>
    <row r="974" spans="2:7" ht="15.75" customHeight="1" x14ac:dyDescent="0.25">
      <c r="B974" s="139"/>
      <c r="G974" s="140"/>
    </row>
    <row r="975" spans="2:7" ht="15.75" customHeight="1" x14ac:dyDescent="0.25">
      <c r="B975" s="139"/>
      <c r="G975" s="140"/>
    </row>
    <row r="976" spans="2:7" ht="15.75" customHeight="1" x14ac:dyDescent="0.25">
      <c r="B976" s="139"/>
      <c r="G976" s="140"/>
    </row>
    <row r="977" spans="2:7" ht="15.75" customHeight="1" x14ac:dyDescent="0.25">
      <c r="B977" s="139"/>
      <c r="G977" s="140"/>
    </row>
    <row r="978" spans="2:7" ht="15.75" customHeight="1" x14ac:dyDescent="0.25">
      <c r="B978" s="139"/>
      <c r="G978" s="140"/>
    </row>
    <row r="979" spans="2:7" ht="15.75" customHeight="1" x14ac:dyDescent="0.25">
      <c r="B979" s="139"/>
      <c r="G979" s="140"/>
    </row>
    <row r="980" spans="2:7" ht="15.75" customHeight="1" x14ac:dyDescent="0.25">
      <c r="B980" s="139"/>
      <c r="G980" s="140"/>
    </row>
    <row r="981" spans="2:7" ht="15.75" customHeight="1" x14ac:dyDescent="0.25">
      <c r="B981" s="139"/>
      <c r="G981" s="140"/>
    </row>
    <row r="982" spans="2:7" ht="15.75" customHeight="1" x14ac:dyDescent="0.25">
      <c r="B982" s="139"/>
      <c r="G982" s="140"/>
    </row>
    <row r="983" spans="2:7" ht="15.75" customHeight="1" x14ac:dyDescent="0.25">
      <c r="B983" s="139"/>
      <c r="G983" s="140"/>
    </row>
    <row r="984" spans="2:7" ht="15.75" customHeight="1" x14ac:dyDescent="0.25">
      <c r="B984" s="139"/>
      <c r="G984" s="140"/>
    </row>
    <row r="985" spans="2:7" ht="15.75" customHeight="1" x14ac:dyDescent="0.25">
      <c r="B985" s="139"/>
      <c r="G985" s="140"/>
    </row>
    <row r="986" spans="2:7" ht="15.75" customHeight="1" x14ac:dyDescent="0.25">
      <c r="B986" s="139"/>
      <c r="G986" s="140"/>
    </row>
    <row r="987" spans="2:7" ht="15.75" customHeight="1" x14ac:dyDescent="0.25">
      <c r="B987" s="139"/>
      <c r="G987" s="140"/>
    </row>
    <row r="988" spans="2:7" ht="15.75" customHeight="1" x14ac:dyDescent="0.25">
      <c r="B988" s="139"/>
      <c r="G988" s="140"/>
    </row>
    <row r="989" spans="2:7" ht="15.75" customHeight="1" x14ac:dyDescent="0.25">
      <c r="B989" s="139"/>
      <c r="G989" s="140"/>
    </row>
    <row r="990" spans="2:7" ht="15.75" customHeight="1" x14ac:dyDescent="0.25">
      <c r="B990" s="139"/>
      <c r="G990" s="140"/>
    </row>
    <row r="991" spans="2:7" ht="15.75" customHeight="1" x14ac:dyDescent="0.25">
      <c r="B991" s="139"/>
      <c r="G991" s="140"/>
    </row>
    <row r="992" spans="2:7" ht="15.75" customHeight="1" x14ac:dyDescent="0.25">
      <c r="B992" s="139"/>
      <c r="G992" s="140"/>
    </row>
    <row r="993" spans="2:7" ht="15.75" customHeight="1" x14ac:dyDescent="0.25">
      <c r="B993" s="139"/>
      <c r="G993" s="140"/>
    </row>
    <row r="994" spans="2:7" ht="15.75" customHeight="1" x14ac:dyDescent="0.25">
      <c r="B994" s="139"/>
      <c r="G994" s="140"/>
    </row>
    <row r="995" spans="2:7" ht="15.75" customHeight="1" x14ac:dyDescent="0.25">
      <c r="B995" s="139"/>
      <c r="G995" s="140"/>
    </row>
    <row r="996" spans="2:7" ht="15.75" customHeight="1" x14ac:dyDescent="0.25">
      <c r="B996" s="139"/>
      <c r="G996" s="140"/>
    </row>
    <row r="997" spans="2:7" ht="15.75" customHeight="1" x14ac:dyDescent="0.25">
      <c r="B997" s="139"/>
      <c r="G997" s="140"/>
    </row>
  </sheetData>
  <autoFilter ref="A10:AV31" xr:uid="{00000000-0009-0000-0000-000003000000}"/>
  <customSheetViews>
    <customSheetView guid="{F001DCF7-7858-4452-B989-2BC2E25DF2FD}" filter="1" showAutoFilter="1">
      <pageMargins left="0.7" right="0.7" top="0.75" bottom="0.75" header="0.3" footer="0.3"/>
      <autoFilter ref="C10:H15" xr:uid="{FE4530F2-08B8-49A0-BBF7-C959215BCD41}"/>
      <extLst>
        <ext uri="GoogleSheetsCustomDataVersion1">
          <go:sheetsCustomData xmlns:go="http://customooxmlschemas.google.com/" filterViewId="57283807"/>
        </ext>
      </extLst>
    </customSheetView>
    <customSheetView guid="{3D93CEF9-49E9-4DC4-8F19-88A64F2D43A5}" filter="1" showAutoFilter="1">
      <pageMargins left="0.7" right="0.7" top="0.75" bottom="0.75" header="0.3" footer="0.3"/>
      <autoFilter ref="A10:AV17" xr:uid="{2286EEF5-C79A-46C0-AA1C-34E943142814}"/>
      <extLst>
        <ext uri="GoogleSheetsCustomDataVersion1">
          <go:sheetsCustomData xmlns:go="http://customooxmlschemas.google.com/" filterViewId="419318502"/>
        </ext>
      </extLst>
    </customSheetView>
    <customSheetView guid="{F0D95686-377B-4362-ADF9-0A7D9547883D}" filter="1" showAutoFilter="1">
      <pageMargins left="0.7" right="0.7" top="0.75" bottom="0.75" header="0.3" footer="0.3"/>
      <autoFilter ref="C10:H15" xr:uid="{2DB3A055-4A96-49AE-88D3-5E37112FFC95}"/>
      <extLst>
        <ext uri="GoogleSheetsCustomDataVersion1">
          <go:sheetsCustomData xmlns:go="http://customooxmlschemas.google.com/" filterViewId="1800887591"/>
        </ext>
      </extLst>
    </customSheetView>
    <customSheetView guid="{56E9B80D-243F-40B6-91B9-5464FF1EEE5D}" filter="1" showAutoFilter="1">
      <pageMargins left="0.7" right="0.7" top="0.75" bottom="0.75" header="0.3" footer="0.3"/>
      <autoFilter ref="C10:H15" xr:uid="{64B4978B-67E9-4688-BCA7-5BC7A7989D59}"/>
      <extLst>
        <ext uri="GoogleSheetsCustomDataVersion1">
          <go:sheetsCustomData xmlns:go="http://customooxmlschemas.google.com/" filterViewId="1264675821"/>
        </ext>
      </extLst>
    </customSheetView>
  </customSheetViews>
  <mergeCells count="52">
    <mergeCell ref="AU8:AU9"/>
    <mergeCell ref="AV8:AV9"/>
    <mergeCell ref="M31:U31"/>
    <mergeCell ref="M33:U33"/>
    <mergeCell ref="AC33:AH33"/>
    <mergeCell ref="Z31:AH31"/>
    <mergeCell ref="AM30:AS30"/>
    <mergeCell ref="AM31:AS31"/>
    <mergeCell ref="AM33:AS33"/>
    <mergeCell ref="AB5:AC6"/>
    <mergeCell ref="AH5:AH6"/>
    <mergeCell ref="AI5:AI6"/>
    <mergeCell ref="AR8:AR9"/>
    <mergeCell ref="Y5:Y6"/>
    <mergeCell ref="Z5:AA6"/>
    <mergeCell ref="A6:G9"/>
    <mergeCell ref="D31:F31"/>
    <mergeCell ref="D33:F33"/>
    <mergeCell ref="I4:J5"/>
    <mergeCell ref="K4:L5"/>
    <mergeCell ref="M5:N6"/>
    <mergeCell ref="O5:O6"/>
    <mergeCell ref="P5:P6"/>
    <mergeCell ref="Q5:Q6"/>
    <mergeCell ref="R5:R6"/>
    <mergeCell ref="S5:S6"/>
    <mergeCell ref="T5:T6"/>
    <mergeCell ref="U5:U6"/>
    <mergeCell ref="V5:W6"/>
    <mergeCell ref="X5:X6"/>
    <mergeCell ref="A1:B1"/>
    <mergeCell ref="C1:G1"/>
    <mergeCell ref="H1:AC1"/>
    <mergeCell ref="AH1:AI1"/>
    <mergeCell ref="I2:J3"/>
    <mergeCell ref="K2:L3"/>
    <mergeCell ref="M2:AC2"/>
    <mergeCell ref="AB3:AC4"/>
    <mergeCell ref="AH3:AH4"/>
    <mergeCell ref="AI3:AI4"/>
    <mergeCell ref="M3:N4"/>
    <mergeCell ref="O3:O4"/>
    <mergeCell ref="P3:P4"/>
    <mergeCell ref="Q3:Q4"/>
    <mergeCell ref="R3:R4"/>
    <mergeCell ref="S3:S4"/>
    <mergeCell ref="Z3:AA4"/>
    <mergeCell ref="T3:T4"/>
    <mergeCell ref="U3:U4"/>
    <mergeCell ref="V3:W4"/>
    <mergeCell ref="X3:X4"/>
    <mergeCell ref="Y3:Y4"/>
  </mergeCells>
  <conditionalFormatting sqref="D32:F32 H32:T32 V32:Z32">
    <cfRule type="containsText" dxfId="1924" priority="3151" operator="containsText" text="L">
      <formula>NOT(ISERROR(SEARCH(("L"),(#REF!))))</formula>
    </cfRule>
    <cfRule type="containsText" dxfId="1923" priority="3152" operator="containsText" text="N">
      <formula>NOT(ISERROR(SEARCH(("N"),(#REF!))))</formula>
    </cfRule>
    <cfRule type="containsText" dxfId="1922" priority="3153" operator="containsText" text="O">
      <formula>NOT(ISERROR(SEARCH(("O"),(#REF!))))</formula>
    </cfRule>
    <cfRule type="containsText" dxfId="1921" priority="3154" operator="containsText" text="C">
      <formula>NOT(ISERROR(SEARCH(("C"),(#REF!))))</formula>
    </cfRule>
    <cfRule type="containsText" dxfId="1920" priority="3155" operator="containsText" text="P">
      <formula>NOT(ISERROR(SEARCH(("P"),(#REF!))))</formula>
    </cfRule>
    <cfRule type="containsText" dxfId="1919" priority="3156" operator="containsText" text="K">
      <formula>NOT(ISERROR(SEARCH(("K"),(#REF!))))</formula>
    </cfRule>
    <cfRule type="containsText" dxfId="1918" priority="3157" operator="containsText" text="X">
      <formula>NOT(ISERROR(SEARCH(("X"),(#REF!))))</formula>
    </cfRule>
  </conditionalFormatting>
  <conditionalFormatting sqref="G10:G27 G30 G32">
    <cfRule type="containsText" dxfId="1917" priority="3099" operator="containsText" text="Chính Thức">
      <formula>NOT(ISERROR(SEARCH(("Chính Thức"),(G10))))</formula>
    </cfRule>
    <cfRule type="containsText" dxfId="1916" priority="3100" operator="containsText" text="Thử Việc">
      <formula>NOT(ISERROR(SEARCH(("Thử Việc"),(G10))))</formula>
    </cfRule>
  </conditionalFormatting>
  <conditionalFormatting sqref="G11:G27 G30 G32">
    <cfRule type="containsText" dxfId="1915" priority="3101" operator="containsText" text="Part Time">
      <formula>NOT(ISERROR(SEARCH(("Part Time"),(G11))))</formula>
    </cfRule>
    <cfRule type="containsText" dxfId="1914" priority="3102" operator="containsText" text="Học Việc">
      <formula>NOT(ISERROR(SEARCH(("Học Việc"),(G11))))</formula>
    </cfRule>
    <cfRule type="containsText" dxfId="1913" priority="3103" operator="containsText" text="Đã Nghỉ">
      <formula>NOT(ISERROR(SEARCH(("Đã Nghỉ"),(G11))))</formula>
    </cfRule>
    <cfRule type="containsText" dxfId="1912" priority="3104" operator="containsText" text="Part Time">
      <formula>NOT(ISERROR(SEARCH(("Part Time"),(G11))))</formula>
    </cfRule>
    <cfRule type="containsText" dxfId="1911" priority="3105" operator="containsText" text="Thực tập sinh">
      <formula>NOT(ISERROR(SEARCH(("Thực tập sinh"),(G11))))</formula>
    </cfRule>
  </conditionalFormatting>
  <conditionalFormatting sqref="H12:H13">
    <cfRule type="containsText" dxfId="1910" priority="1497" operator="containsText" text="N">
      <formula>NOT(ISERROR(SEARCH(("N"),(H12))))</formula>
    </cfRule>
  </conditionalFormatting>
  <conditionalFormatting sqref="H16">
    <cfRule type="containsText" dxfId="1909" priority="1336" operator="containsText" text="O">
      <formula>NOT(ISERROR(SEARCH(("O"),(H16))))</formula>
    </cfRule>
    <cfRule type="containsText" dxfId="1908" priority="1337" operator="containsText" text="C">
      <formula>NOT(ISERROR(SEARCH(("C"),(H16))))</formula>
    </cfRule>
    <cfRule type="containsText" dxfId="1907" priority="1338" operator="containsText" text="P">
      <formula>NOT(ISERROR(SEARCH(("P"),(H16))))</formula>
    </cfRule>
    <cfRule type="containsText" dxfId="1906" priority="1339" operator="containsText" text="K">
      <formula>NOT(ISERROR(SEARCH(("K"),(H16))))</formula>
    </cfRule>
    <cfRule type="containsText" dxfId="1905" priority="1340" operator="containsText" text="X">
      <formula>NOT(ISERROR(SEARCH(("X"),(H16))))</formula>
    </cfRule>
    <cfRule type="containsText" dxfId="1904" priority="1341" operator="containsText" text="L">
      <formula>NOT(ISERROR(SEARCH(("L"),(H16))))</formula>
    </cfRule>
  </conditionalFormatting>
  <conditionalFormatting sqref="H16:H19">
    <cfRule type="containsText" dxfId="1903" priority="864" operator="containsText" text="N">
      <formula>NOT(ISERROR(SEARCH(("N"),(H16))))</formula>
    </cfRule>
  </conditionalFormatting>
  <conditionalFormatting sqref="H19">
    <cfRule type="containsText" dxfId="1902" priority="865" operator="containsText" text="O">
      <formula>NOT(ISERROR(SEARCH(("O"),(H19))))</formula>
    </cfRule>
    <cfRule type="containsText" dxfId="1901" priority="866" operator="containsText" text="C">
      <formula>NOT(ISERROR(SEARCH(("C"),(H19))))</formula>
    </cfRule>
    <cfRule type="containsText" dxfId="1900" priority="867" operator="containsText" text="P">
      <formula>NOT(ISERROR(SEARCH(("P"),(H19))))</formula>
    </cfRule>
    <cfRule type="containsText" dxfId="1899" priority="868" operator="containsText" text="K">
      <formula>NOT(ISERROR(SEARCH(("K"),(H19))))</formula>
    </cfRule>
    <cfRule type="containsText" dxfId="1898" priority="869" operator="containsText" text="X">
      <formula>NOT(ISERROR(SEARCH(("X"),(H19))))</formula>
    </cfRule>
    <cfRule type="containsText" dxfId="1897" priority="870" operator="containsText" text="L">
      <formula>NOT(ISERROR(SEARCH(("L"),(H19))))</formula>
    </cfRule>
  </conditionalFormatting>
  <conditionalFormatting sqref="H26:H27">
    <cfRule type="containsText" dxfId="1896" priority="230" operator="containsText" text="O">
      <formula>NOT(ISERROR(SEARCH(("O"),(H26))))</formula>
    </cfRule>
    <cfRule type="containsText" dxfId="1895" priority="231" operator="containsText" text="C">
      <formula>NOT(ISERROR(SEARCH(("C"),(H26))))</formula>
    </cfRule>
    <cfRule type="containsText" dxfId="1894" priority="232" operator="containsText" text="P">
      <formula>NOT(ISERROR(SEARCH(("P"),(H26))))</formula>
    </cfRule>
    <cfRule type="containsText" dxfId="1893" priority="233" operator="containsText" text="K">
      <formula>NOT(ISERROR(SEARCH(("K"),(H26))))</formula>
    </cfRule>
    <cfRule type="containsText" dxfId="1892" priority="234" operator="containsText" text="X">
      <formula>NOT(ISERROR(SEARCH(("X"),(H26))))</formula>
    </cfRule>
    <cfRule type="containsText" dxfId="1891" priority="235" operator="containsText" text="L">
      <formula>NOT(ISERROR(SEARCH(("L"),(H26))))</formula>
    </cfRule>
  </conditionalFormatting>
  <conditionalFormatting sqref="H12:I13 K12:K13 AK12:AL13 I13:J13 H14 I15:M15 H15:I27 K15:K27 AK15:AL27 I19:M21 M20:N20 M24">
    <cfRule type="containsText" dxfId="1890" priority="3113" operator="containsText" text="N">
      <formula>NOT(ISERROR(SEARCH(("N"),(H12))))</formula>
    </cfRule>
  </conditionalFormatting>
  <conditionalFormatting sqref="H26:I27">
    <cfRule type="containsText" dxfId="1889" priority="227" operator="containsText" text="L">
      <formula>NOT(ISERROR(SEARCH(("L"),(H26))))</formula>
    </cfRule>
  </conditionalFormatting>
  <conditionalFormatting sqref="H11:J11">
    <cfRule type="containsText" dxfId="1888" priority="1204" operator="containsText" text="N">
      <formula>NOT(ISERROR(SEARCH(("N"),(H11))))</formula>
    </cfRule>
    <cfRule type="containsText" dxfId="1887" priority="1205" operator="containsText" text="O">
      <formula>NOT(ISERROR(SEARCH(("O"),(H11))))</formula>
    </cfRule>
    <cfRule type="containsText" dxfId="1886" priority="1206" operator="containsText" text="C">
      <formula>NOT(ISERROR(SEARCH(("C"),(H11))))</formula>
    </cfRule>
    <cfRule type="containsText" dxfId="1885" priority="1207" operator="containsText" text="P">
      <formula>NOT(ISERROR(SEARCH(("P"),(H11))))</formula>
    </cfRule>
    <cfRule type="containsText" dxfId="1884" priority="1208" operator="containsText" text="K">
      <formula>NOT(ISERROR(SEARCH(("K"),(H11))))</formula>
    </cfRule>
    <cfRule type="containsText" dxfId="1883" priority="1209" operator="containsText" text="X">
      <formula>NOT(ISERROR(SEARCH(("X"),(H11))))</formula>
    </cfRule>
    <cfRule type="containsText" dxfId="1882" priority="1210" operator="containsText" text="L">
      <formula>NOT(ISERROR(SEARCH(("L"),(H11))))</formula>
    </cfRule>
    <cfRule type="containsText" dxfId="1881" priority="1211" operator="containsText" text="N">
      <formula>NOT(ISERROR(SEARCH(("N"),(H11))))</formula>
    </cfRule>
    <cfRule type="containsText" dxfId="1880" priority="1212" operator="containsText" text="O">
      <formula>NOT(ISERROR(SEARCH(("O"),(H11))))</formula>
    </cfRule>
    <cfRule type="containsText" dxfId="1879" priority="1213" operator="containsText" text="C">
      <formula>NOT(ISERROR(SEARCH(("C"),(H11))))</formula>
    </cfRule>
    <cfRule type="containsText" dxfId="1878" priority="1214" operator="containsText" text="P">
      <formula>NOT(ISERROR(SEARCH(("P"),(H11))))</formula>
    </cfRule>
    <cfRule type="containsText" dxfId="1877" priority="1215" operator="containsText" text="K">
      <formula>NOT(ISERROR(SEARCH(("K"),(H11))))</formula>
    </cfRule>
    <cfRule type="containsText" dxfId="1876" priority="1216" operator="containsText" text="X">
      <formula>NOT(ISERROR(SEARCH(("X"),(H11))))</formula>
    </cfRule>
    <cfRule type="containsText" dxfId="1875" priority="1217" operator="containsText" text="L">
      <formula>NOT(ISERROR(SEARCH(("L"),(H11))))</formula>
    </cfRule>
    <cfRule type="containsText" dxfId="1874" priority="1498" operator="containsText" text="N">
      <formula>NOT(ISERROR(SEARCH(("N"),(H11))))</formula>
    </cfRule>
    <cfRule type="containsText" dxfId="1873" priority="1499" operator="containsText" text="O">
      <formula>NOT(ISERROR(SEARCH(("O"),(H11))))</formula>
    </cfRule>
    <cfRule type="containsText" dxfId="1872" priority="1500" operator="containsText" text="C">
      <formula>NOT(ISERROR(SEARCH(("C"),(H11))))</formula>
    </cfRule>
    <cfRule type="containsText" dxfId="1871" priority="1501" operator="containsText" text="P">
      <formula>NOT(ISERROR(SEARCH(("P"),(H11))))</formula>
    </cfRule>
    <cfRule type="containsText" dxfId="1870" priority="1502" operator="containsText" text="K">
      <formula>NOT(ISERROR(SEARCH(("K"),(H11))))</formula>
    </cfRule>
    <cfRule type="containsText" dxfId="1869" priority="1503" operator="containsText" text="X">
      <formula>NOT(ISERROR(SEARCH(("X"),(H11))))</formula>
    </cfRule>
    <cfRule type="containsText" dxfId="1868" priority="1504" operator="containsText" text="L">
      <formula>NOT(ISERROR(SEARCH(("L"),(H11))))</formula>
    </cfRule>
    <cfRule type="containsText" dxfId="1867" priority="1505" operator="containsText" text="N">
      <formula>NOT(ISERROR(SEARCH(("N"),(H11))))</formula>
    </cfRule>
    <cfRule type="containsText" dxfId="1866" priority="1506" operator="containsText" text="O">
      <formula>NOT(ISERROR(SEARCH(("O"),(H11))))</formula>
    </cfRule>
    <cfRule type="containsText" dxfId="1865" priority="1507" operator="containsText" text="C">
      <formula>NOT(ISERROR(SEARCH(("C"),(H11))))</formula>
    </cfRule>
    <cfRule type="containsText" dxfId="1864" priority="1508" operator="containsText" text="P">
      <formula>NOT(ISERROR(SEARCH(("P"),(H11))))</formula>
    </cfRule>
    <cfRule type="containsText" dxfId="1863" priority="1509" operator="containsText" text="K">
      <formula>NOT(ISERROR(SEARCH(("K"),(H11))))</formula>
    </cfRule>
    <cfRule type="containsText" dxfId="1862" priority="1510" operator="containsText" text="X">
      <formula>NOT(ISERROR(SEARCH(("X"),(H11))))</formula>
    </cfRule>
    <cfRule type="containsText" dxfId="1861" priority="1511" operator="containsText" text="L">
      <formula>NOT(ISERROR(SEARCH(("L"),(H11))))</formula>
    </cfRule>
  </conditionalFormatting>
  <conditionalFormatting sqref="H14:J14">
    <cfRule type="containsText" dxfId="1860" priority="313" operator="containsText" text="L">
      <formula>NOT(ISERROR(SEARCH(("L"),(H14))))</formula>
    </cfRule>
    <cfRule type="containsText" dxfId="1859" priority="314" operator="containsText" text="N">
      <formula>NOT(ISERROR(SEARCH(("N"),(H14))))</formula>
    </cfRule>
  </conditionalFormatting>
  <conditionalFormatting sqref="H17:J17">
    <cfRule type="containsText" dxfId="1858" priority="1440" operator="containsText" text="L">
      <formula>NOT(ISERROR(SEARCH(("L"),(H17))))</formula>
    </cfRule>
    <cfRule type="containsText" dxfId="1857" priority="1441" operator="containsText" text="O">
      <formula>NOT(ISERROR(SEARCH(("O"),(H17))))</formula>
    </cfRule>
    <cfRule type="containsText" dxfId="1856" priority="1442" operator="containsText" text="C">
      <formula>NOT(ISERROR(SEARCH(("C"),(H17))))</formula>
    </cfRule>
    <cfRule type="containsText" dxfId="1855" priority="1443" operator="containsText" text="P">
      <formula>NOT(ISERROR(SEARCH(("P"),(H17))))</formula>
    </cfRule>
    <cfRule type="containsText" dxfId="1854" priority="1444" operator="containsText" text="K">
      <formula>NOT(ISERROR(SEARCH(("K"),(H17))))</formula>
    </cfRule>
    <cfRule type="containsText" dxfId="1853" priority="1445" operator="containsText" text="X">
      <formula>NOT(ISERROR(SEARCH(("X"),(H17))))</formula>
    </cfRule>
    <cfRule type="containsText" dxfId="1852" priority="1446" operator="containsText" text="L">
      <formula>NOT(ISERROR(SEARCH(("L"),(H17))))</formula>
    </cfRule>
  </conditionalFormatting>
  <conditionalFormatting sqref="H18:J18">
    <cfRule type="containsText" dxfId="1851" priority="778" operator="containsText" text="L">
      <formula>NOT(ISERROR(SEARCH(("L"),(H18))))</formula>
    </cfRule>
    <cfRule type="containsText" dxfId="1850" priority="779" operator="containsText" text="O">
      <formula>NOT(ISERROR(SEARCH(("O"),(H18))))</formula>
    </cfRule>
    <cfRule type="containsText" dxfId="1849" priority="780" operator="containsText" text="C">
      <formula>NOT(ISERROR(SEARCH(("C"),(H18))))</formula>
    </cfRule>
    <cfRule type="containsText" dxfId="1848" priority="781" operator="containsText" text="P">
      <formula>NOT(ISERROR(SEARCH(("P"),(H18))))</formula>
    </cfRule>
    <cfRule type="containsText" dxfId="1847" priority="782" operator="containsText" text="K">
      <formula>NOT(ISERROR(SEARCH(("K"),(H18))))</formula>
    </cfRule>
    <cfRule type="containsText" dxfId="1846" priority="783" operator="containsText" text="X">
      <formula>NOT(ISERROR(SEARCH(("X"),(H18))))</formula>
    </cfRule>
    <cfRule type="containsText" dxfId="1845" priority="784" operator="containsText" text="L">
      <formula>NOT(ISERROR(SEARCH(("L"),(H18))))</formula>
    </cfRule>
  </conditionalFormatting>
  <conditionalFormatting sqref="H20:J20">
    <cfRule type="containsText" dxfId="1844" priority="1023" operator="containsText" text="N">
      <formula>NOT(ISERROR(SEARCH(("N"),(H20))))</formula>
    </cfRule>
    <cfRule type="containsText" dxfId="1843" priority="1025" operator="containsText" text="L">
      <formula>NOT(ISERROR(SEARCH(("L"),(H20))))</formula>
    </cfRule>
    <cfRule type="containsText" dxfId="1842" priority="1026" operator="containsText" text="O">
      <formula>NOT(ISERROR(SEARCH(("O"),(H20))))</formula>
    </cfRule>
    <cfRule type="containsText" dxfId="1841" priority="1027" operator="containsText" text="C">
      <formula>NOT(ISERROR(SEARCH(("C"),(H20))))</formula>
    </cfRule>
    <cfRule type="containsText" dxfId="1840" priority="1028" operator="containsText" text="P">
      <formula>NOT(ISERROR(SEARCH(("P"),(H20))))</formula>
    </cfRule>
    <cfRule type="containsText" dxfId="1839" priority="1029" operator="containsText" text="K">
      <formula>NOT(ISERROR(SEARCH(("K"),(H20))))</formula>
    </cfRule>
    <cfRule type="containsText" dxfId="1838" priority="1030" operator="containsText" text="X">
      <formula>NOT(ISERROR(SEARCH(("X"),(H20))))</formula>
    </cfRule>
    <cfRule type="containsText" dxfId="1837" priority="1031" operator="containsText" text="L">
      <formula>NOT(ISERROR(SEARCH(("L"),(H20))))</formula>
    </cfRule>
  </conditionalFormatting>
  <conditionalFormatting sqref="H22:J22">
    <cfRule type="containsText" dxfId="1836" priority="400" operator="containsText" text="L">
      <formula>NOT(ISERROR(SEARCH(("L"),(H22))))</formula>
    </cfRule>
    <cfRule type="containsText" dxfId="1835" priority="401" operator="containsText" text="O">
      <formula>NOT(ISERROR(SEARCH(("O"),(H22))))</formula>
    </cfRule>
    <cfRule type="containsText" dxfId="1834" priority="402" operator="containsText" text="C">
      <formula>NOT(ISERROR(SEARCH(("C"),(H22))))</formula>
    </cfRule>
    <cfRule type="containsText" dxfId="1833" priority="403" operator="containsText" text="P">
      <formula>NOT(ISERROR(SEARCH(("P"),(H22))))</formula>
    </cfRule>
    <cfRule type="containsText" dxfId="1832" priority="404" operator="containsText" text="K">
      <formula>NOT(ISERROR(SEARCH(("K"),(H22))))</formula>
    </cfRule>
    <cfRule type="containsText" dxfId="1831" priority="405" operator="containsText" text="X">
      <formula>NOT(ISERROR(SEARCH(("X"),(H22))))</formula>
    </cfRule>
  </conditionalFormatting>
  <conditionalFormatting sqref="H22:J23">
    <cfRule type="containsText" dxfId="1830" priority="398" operator="containsText" text="N">
      <formula>NOT(ISERROR(SEARCH(("N"),(H22))))</formula>
    </cfRule>
    <cfRule type="containsText" dxfId="1829" priority="406" operator="containsText" text="L">
      <formula>NOT(ISERROR(SEARCH(("L"),(H22))))</formula>
    </cfRule>
  </conditionalFormatting>
  <conditionalFormatting sqref="H23:J23">
    <cfRule type="containsText" dxfId="1828" priority="1159" operator="containsText" text="O">
      <formula>NOT(ISERROR(SEARCH(("O"),(H23))))</formula>
    </cfRule>
    <cfRule type="containsText" dxfId="1827" priority="1160" operator="containsText" text="C">
      <formula>NOT(ISERROR(SEARCH(("C"),(H23))))</formula>
    </cfRule>
    <cfRule type="containsText" dxfId="1826" priority="1161" operator="containsText" text="P">
      <formula>NOT(ISERROR(SEARCH(("P"),(H23))))</formula>
    </cfRule>
    <cfRule type="containsText" dxfId="1825" priority="1162" operator="containsText" text="K">
      <formula>NOT(ISERROR(SEARCH(("K"),(H23))))</formula>
    </cfRule>
    <cfRule type="containsText" dxfId="1824" priority="1163" operator="containsText" text="X">
      <formula>NOT(ISERROR(SEARCH(("X"),(H23))))</formula>
    </cfRule>
    <cfRule type="containsText" dxfId="1823" priority="1164" operator="containsText" text="L">
      <formula>NOT(ISERROR(SEARCH(("L"),(H23))))</formula>
    </cfRule>
  </conditionalFormatting>
  <conditionalFormatting sqref="H26:J27">
    <cfRule type="containsText" dxfId="1822" priority="219" operator="containsText" text="N">
      <formula>NOT(ISERROR(SEARCH(("N"),(H26))))</formula>
    </cfRule>
  </conditionalFormatting>
  <conditionalFormatting sqref="H14:M14">
    <cfRule type="containsText" dxfId="1821" priority="1960" operator="containsText" text="O">
      <formula>NOT(ISERROR(SEARCH(("O"),(H14))))</formula>
    </cfRule>
    <cfRule type="containsText" dxfId="1820" priority="1961" operator="containsText" text="C">
      <formula>NOT(ISERROR(SEARCH(("C"),(H14))))</formula>
    </cfRule>
    <cfRule type="containsText" dxfId="1819" priority="1962" operator="containsText" text="P">
      <formula>NOT(ISERROR(SEARCH(("P"),(H14))))</formula>
    </cfRule>
    <cfRule type="containsText" dxfId="1818" priority="1963" operator="containsText" text="K">
      <formula>NOT(ISERROR(SEARCH(("K"),(H14))))</formula>
    </cfRule>
    <cfRule type="containsText" dxfId="1817" priority="1964" operator="containsText" text="X">
      <formula>NOT(ISERROR(SEARCH(("X"),(H14))))</formula>
    </cfRule>
    <cfRule type="containsText" dxfId="1816" priority="2000" operator="containsText" text="O">
      <formula>NOT(ISERROR(SEARCH(("O"),(H14))))</formula>
    </cfRule>
    <cfRule type="containsText" dxfId="1815" priority="2001" operator="containsText" text="C">
      <formula>NOT(ISERROR(SEARCH(("C"),(H14))))</formula>
    </cfRule>
    <cfRule type="containsText" dxfId="1814" priority="2002" operator="containsText" text="P">
      <formula>NOT(ISERROR(SEARCH(("P"),(H14))))</formula>
    </cfRule>
    <cfRule type="containsText" dxfId="1813" priority="2003" operator="containsText" text="K">
      <formula>NOT(ISERROR(SEARCH(("K"),(H14))))</formula>
    </cfRule>
    <cfRule type="containsText" dxfId="1812" priority="2004" operator="containsText" text="X">
      <formula>NOT(ISERROR(SEARCH(("X"),(H14))))</formula>
    </cfRule>
    <cfRule type="containsText" dxfId="1811" priority="2006" operator="containsText" text="L">
      <formula>NOT(ISERROR(SEARCH(("L"),(H14))))</formula>
    </cfRule>
  </conditionalFormatting>
  <conditionalFormatting sqref="H12:O12 H13:K13">
    <cfRule type="containsText" dxfId="1810" priority="3114" operator="containsText" text="O">
      <formula>NOT(ISERROR(SEARCH(("O"),(H12))))</formula>
    </cfRule>
    <cfRule type="containsText" dxfId="1809" priority="3115" operator="containsText" text="C">
      <formula>NOT(ISERROR(SEARCH(("C"),(H12))))</formula>
    </cfRule>
    <cfRule type="containsText" dxfId="1808" priority="3116" operator="containsText" text="P">
      <formula>NOT(ISERROR(SEARCH(("P"),(H12))))</formula>
    </cfRule>
    <cfRule type="containsText" dxfId="1807" priority="3117" operator="containsText" text="K">
      <formula>NOT(ISERROR(SEARCH(("K"),(H12))))</formula>
    </cfRule>
    <cfRule type="containsText" dxfId="1806" priority="3118" operator="containsText" text="X">
      <formula>NOT(ISERROR(SEARCH(("X"),(H12))))</formula>
    </cfRule>
    <cfRule type="containsText" dxfId="1805" priority="3143" operator="containsText" text="L">
      <formula>NOT(ISERROR(SEARCH(("L"),(H12))))</formula>
    </cfRule>
  </conditionalFormatting>
  <conditionalFormatting sqref="H30:AC30 AJ30:AL32 AA32:AI32 AI33:AL33">
    <cfRule type="containsText" dxfId="1804" priority="3119" operator="containsText" text="L">
      <formula>NOT(ISERROR(SEARCH(("L"),(H30))))</formula>
    </cfRule>
    <cfRule type="containsText" dxfId="1803" priority="3120" operator="containsText" text="N">
      <formula>NOT(ISERROR(SEARCH(("N"),(H30))))</formula>
    </cfRule>
    <cfRule type="containsText" dxfId="1802" priority="3121" operator="containsText" text="O">
      <formula>NOT(ISERROR(SEARCH(("O"),(H30))))</formula>
    </cfRule>
    <cfRule type="containsText" dxfId="1801" priority="3122" operator="containsText" text="C">
      <formula>NOT(ISERROR(SEARCH(("C"),(H30))))</formula>
    </cfRule>
    <cfRule type="containsText" dxfId="1800" priority="3123" operator="containsText" text="P">
      <formula>NOT(ISERROR(SEARCH(("P"),(H30))))</formula>
    </cfRule>
    <cfRule type="containsText" dxfId="1799" priority="3124" operator="containsText" text="K">
      <formula>NOT(ISERROR(SEARCH(("K"),(H30))))</formula>
    </cfRule>
    <cfRule type="containsText" dxfId="1798" priority="3125" operator="containsText" text="X">
      <formula>NOT(ISERROR(SEARCH(("X"),(H30))))</formula>
    </cfRule>
  </conditionalFormatting>
  <conditionalFormatting sqref="H9:AL9">
    <cfRule type="containsText" dxfId="1797" priority="3126" operator="containsText" text="Chủ Nhật">
      <formula>NOT(ISERROR(SEARCH(("Chủ Nhật"),(H9))))</formula>
    </cfRule>
  </conditionalFormatting>
  <conditionalFormatting sqref="H11:AL13 H14 H15:AL27">
    <cfRule type="containsText" dxfId="1796" priority="3108" operator="containsText" text="O">
      <formula>NOT(ISERROR(SEARCH(("O"),(H11))))</formula>
    </cfRule>
    <cfRule type="containsText" dxfId="1795" priority="3109" operator="containsText" text="C">
      <formula>NOT(ISERROR(SEARCH(("C"),(H11))))</formula>
    </cfRule>
    <cfRule type="containsText" dxfId="1794" priority="3110" operator="containsText" text="P">
      <formula>NOT(ISERROR(SEARCH(("P"),(H11))))</formula>
    </cfRule>
    <cfRule type="containsText" dxfId="1793" priority="3111" operator="containsText" text="K">
      <formula>NOT(ISERROR(SEARCH(("K"),(H11))))</formula>
    </cfRule>
    <cfRule type="containsText" dxfId="1792" priority="3112" operator="containsText" text="X">
      <formula>NOT(ISERROR(SEARCH(("X"),(H11))))</formula>
    </cfRule>
  </conditionalFormatting>
  <conditionalFormatting sqref="H11:AL13 H15:AL27 H14">
    <cfRule type="containsText" dxfId="1791" priority="3107" operator="containsText" text="N">
      <formula>NOT(ISERROR(SEARCH(("N"),(H11))))</formula>
    </cfRule>
  </conditionalFormatting>
  <conditionalFormatting sqref="H11:AL13">
    <cfRule type="containsText" dxfId="1790" priority="3106" operator="containsText" text="L">
      <formula>NOT(ISERROR(SEARCH(("L"),(H11))))</formula>
    </cfRule>
  </conditionalFormatting>
  <conditionalFormatting sqref="H14:AL14">
    <cfRule type="containsText" dxfId="1789" priority="1991" operator="containsText" text="L">
      <formula>NOT(ISERROR(SEARCH(("L"),(H14))))</formula>
    </cfRule>
    <cfRule type="containsText" dxfId="1788" priority="1993" operator="containsText" text="N">
      <formula>NOT(ISERROR(SEARCH(("N"),(H14))))</formula>
    </cfRule>
    <cfRule type="containsText" dxfId="1787" priority="1994" operator="containsText" text="O">
      <formula>NOT(ISERROR(SEARCH(("O"),(H14))))</formula>
    </cfRule>
    <cfRule type="containsText" dxfId="1786" priority="1995" operator="containsText" text="C">
      <formula>NOT(ISERROR(SEARCH(("C"),(H14))))</formula>
    </cfRule>
    <cfRule type="containsText" dxfId="1785" priority="1996" operator="containsText" text="P">
      <formula>NOT(ISERROR(SEARCH(("P"),(H14))))</formula>
    </cfRule>
    <cfRule type="containsText" dxfId="1784" priority="1997" operator="containsText" text="K">
      <formula>NOT(ISERROR(SEARCH(("K"),(H14))))</formula>
    </cfRule>
    <cfRule type="containsText" dxfId="1783" priority="1998" operator="containsText" text="X">
      <formula>NOT(ISERROR(SEARCH(("X"),(H14))))</formula>
    </cfRule>
    <cfRule type="expression" dxfId="1782" priority="2005">
      <formula>WEEKDAY(H$8)=1</formula>
    </cfRule>
  </conditionalFormatting>
  <conditionalFormatting sqref="H15:AL28 H11:AL13 H14 H8:AL8">
    <cfRule type="expression" dxfId="1781" priority="3141">
      <formula>WEEKDAY(H$8)=1</formula>
    </cfRule>
  </conditionalFormatting>
  <conditionalFormatting sqref="H28:AL28">
    <cfRule type="containsText" dxfId="1780" priority="3134" operator="containsText" text="L">
      <formula>NOT(ISERROR(SEARCH(("L"),(H32))))</formula>
    </cfRule>
    <cfRule type="containsText" dxfId="1779" priority="3135" operator="containsText" text="N">
      <formula>NOT(ISERROR(SEARCH(("N"),(H32))))</formula>
    </cfRule>
    <cfRule type="containsText" dxfId="1778" priority="3136" operator="containsText" text="O">
      <formula>NOT(ISERROR(SEARCH(("O"),(H32))))</formula>
    </cfRule>
    <cfRule type="containsText" dxfId="1777" priority="3137" operator="containsText" text="C">
      <formula>NOT(ISERROR(SEARCH(("C"),(H32))))</formula>
    </cfRule>
    <cfRule type="containsText" dxfId="1776" priority="3138" operator="containsText" text="P">
      <formula>NOT(ISERROR(SEARCH(("P"),(H32))))</formula>
    </cfRule>
    <cfRule type="containsText" dxfId="1775" priority="3139" operator="containsText" text="K">
      <formula>NOT(ISERROR(SEARCH(("K"),(H32))))</formula>
    </cfRule>
    <cfRule type="containsText" dxfId="1774" priority="3140" operator="containsText" text="X">
      <formula>NOT(ISERROR(SEARCH(("X"),(H32))))</formula>
    </cfRule>
  </conditionalFormatting>
  <conditionalFormatting sqref="I14 AK14:AL14 K14">
    <cfRule type="containsText" dxfId="1773" priority="1984" operator="containsText" text="L">
      <formula>NOT(ISERROR(SEARCH(("L"),(I14))))</formula>
    </cfRule>
  </conditionalFormatting>
  <conditionalFormatting sqref="I14 AK14:AL14">
    <cfRule type="containsText" dxfId="1772" priority="1979" operator="containsText" text="O">
      <formula>NOT(ISERROR(SEARCH(("O"),(I14))))</formula>
    </cfRule>
    <cfRule type="containsText" dxfId="1771" priority="1980" operator="containsText" text="C">
      <formula>NOT(ISERROR(SEARCH(("C"),(I14))))</formula>
    </cfRule>
    <cfRule type="containsText" dxfId="1770" priority="1981" operator="containsText" text="P">
      <formula>NOT(ISERROR(SEARCH(("P"),(I14))))</formula>
    </cfRule>
    <cfRule type="containsText" dxfId="1769" priority="1982" operator="containsText" text="K">
      <formula>NOT(ISERROR(SEARCH(("K"),(I14))))</formula>
    </cfRule>
    <cfRule type="containsText" dxfId="1768" priority="1983" operator="containsText" text="X">
      <formula>NOT(ISERROR(SEARCH(("X"),(I14))))</formula>
    </cfRule>
  </conditionalFormatting>
  <conditionalFormatting sqref="I15">
    <cfRule type="containsText" dxfId="1767" priority="2476" operator="containsText" text="N">
      <formula>NOT(ISERROR(SEARCH(("N"),(I15))))</formula>
    </cfRule>
    <cfRule type="containsText" dxfId="1766" priority="2477" operator="containsText" text="O">
      <formula>NOT(ISERROR(SEARCH(("O"),(I15))))</formula>
    </cfRule>
    <cfRule type="containsText" dxfId="1765" priority="2478" operator="containsText" text="C">
      <formula>NOT(ISERROR(SEARCH(("C"),(I15))))</formula>
    </cfRule>
    <cfRule type="containsText" dxfId="1764" priority="2479" operator="containsText" text="P">
      <formula>NOT(ISERROR(SEARCH(("P"),(I15))))</formula>
    </cfRule>
    <cfRule type="containsText" dxfId="1763" priority="2480" operator="containsText" text="K">
      <formula>NOT(ISERROR(SEARCH(("K"),(I15))))</formula>
    </cfRule>
    <cfRule type="containsText" dxfId="1762" priority="2481" operator="containsText" text="X">
      <formula>NOT(ISERROR(SEARCH(("X"),(I15))))</formula>
    </cfRule>
    <cfRule type="containsText" dxfId="1761" priority="2482" operator="containsText" text="L">
      <formula>NOT(ISERROR(SEARCH(("L"),(I15))))</formula>
    </cfRule>
  </conditionalFormatting>
  <conditionalFormatting sqref="I26:I27">
    <cfRule type="containsText" dxfId="1760" priority="221" operator="containsText" text="L">
      <formula>NOT(ISERROR(SEARCH(("L"),(I26))))</formula>
    </cfRule>
    <cfRule type="containsText" dxfId="1759" priority="222" operator="containsText" text="O">
      <formula>NOT(ISERROR(SEARCH(("O"),(I26))))</formula>
    </cfRule>
    <cfRule type="containsText" dxfId="1758" priority="223" operator="containsText" text="C">
      <formula>NOT(ISERROR(SEARCH(("C"),(I26))))</formula>
    </cfRule>
    <cfRule type="containsText" dxfId="1757" priority="224" operator="containsText" text="P">
      <formula>NOT(ISERROR(SEARCH(("P"),(I26))))</formula>
    </cfRule>
    <cfRule type="containsText" dxfId="1756" priority="225" operator="containsText" text="K">
      <formula>NOT(ISERROR(SEARCH(("K"),(I26))))</formula>
    </cfRule>
    <cfRule type="containsText" dxfId="1755" priority="226" operator="containsText" text="X">
      <formula>NOT(ISERROR(SEARCH(("X"),(I26))))</formula>
    </cfRule>
  </conditionalFormatting>
  <conditionalFormatting sqref="I17:J18">
    <cfRule type="containsText" dxfId="1754" priority="777" operator="containsText" text="N">
      <formula>NOT(ISERROR(SEARCH(("N"),(I17))))</formula>
    </cfRule>
  </conditionalFormatting>
  <conditionalFormatting sqref="I11:M11 H12:I13 K12:K13 H15:I27 K15:K27 I19:M21 M20:N20 M24 AK15:AL27">
    <cfRule type="containsText" dxfId="1753" priority="2981" operator="containsText" text="O">
      <formula>NOT(ISERROR(SEARCH(("O"),(H11))))</formula>
    </cfRule>
  </conditionalFormatting>
  <conditionalFormatting sqref="I11:M11 H12:I13 K12:K13 H15:AL27">
    <cfRule type="containsText" dxfId="1752" priority="2986" operator="containsText" text="L">
      <formula>NOT(ISERROR(SEARCH(("L"),(H11))))</formula>
    </cfRule>
  </conditionalFormatting>
  <conditionalFormatting sqref="I11:M11 H12:I13 K12:K13 I15:M15 H15:I27 K15:K27 AK15:AL27 I19:M21 M20:N20 M24">
    <cfRule type="containsText" dxfId="1751" priority="2982" operator="containsText" text="C">
      <formula>NOT(ISERROR(SEARCH(("C"),(H11))))</formula>
    </cfRule>
    <cfRule type="containsText" dxfId="1750" priority="2983" operator="containsText" text="P">
      <formula>NOT(ISERROR(SEARCH(("P"),(H11))))</formula>
    </cfRule>
    <cfRule type="containsText" dxfId="1749" priority="2984" operator="containsText" text="K">
      <formula>NOT(ISERROR(SEARCH(("K"),(H11))))</formula>
    </cfRule>
    <cfRule type="containsText" dxfId="1748" priority="2985" operator="containsText" text="X">
      <formula>NOT(ISERROR(SEARCH(("X"),(H11))))</formula>
    </cfRule>
  </conditionalFormatting>
  <conditionalFormatting sqref="I11:M12">
    <cfRule type="containsText" dxfId="1747" priority="2980" operator="containsText" text="N">
      <formula>NOT(ISERROR(SEARCH(("N"),(I11))))</formula>
    </cfRule>
  </conditionalFormatting>
  <conditionalFormatting sqref="I15:M27 M26:Q27">
    <cfRule type="containsText" dxfId="1746" priority="2925" operator="containsText" text="O">
      <formula>NOT(ISERROR(SEARCH(("O"),(I15))))</formula>
    </cfRule>
  </conditionalFormatting>
  <conditionalFormatting sqref="I16:M27 M26:Q27">
    <cfRule type="containsText" dxfId="1745" priority="2924" operator="containsText" text="N">
      <formula>NOT(ISERROR(SEARCH(("N"),(I16))))</formula>
    </cfRule>
    <cfRule type="containsText" dxfId="1744" priority="2926" operator="containsText" text="C">
      <formula>NOT(ISERROR(SEARCH(("C"),(I16))))</formula>
    </cfRule>
    <cfRule type="containsText" dxfId="1743" priority="2927" operator="containsText" text="P">
      <formula>NOT(ISERROR(SEARCH(("P"),(I16))))</formula>
    </cfRule>
    <cfRule type="containsText" dxfId="1742" priority="2928" operator="containsText" text="K">
      <formula>NOT(ISERROR(SEARCH(("K"),(I16))))</formula>
    </cfRule>
    <cfRule type="containsText" dxfId="1741" priority="2929" operator="containsText" text="X">
      <formula>NOT(ISERROR(SEARCH(("X"),(I16))))</formula>
    </cfRule>
    <cfRule type="containsText" dxfId="1740" priority="2930" operator="containsText" text="L">
      <formula>NOT(ISERROR(SEARCH(("L"),(I16))))</formula>
    </cfRule>
  </conditionalFormatting>
  <conditionalFormatting sqref="I22:M22">
    <cfRule type="containsText" dxfId="1739" priority="1849" operator="containsText" text="O">
      <formula>NOT(ISERROR(SEARCH(("O"),(I22))))</formula>
    </cfRule>
    <cfRule type="containsText" dxfId="1738" priority="1850" operator="containsText" text="C">
      <formula>NOT(ISERROR(SEARCH(("C"),(I22))))</formula>
    </cfRule>
    <cfRule type="containsText" dxfId="1737" priority="1851" operator="containsText" text="P">
      <formula>NOT(ISERROR(SEARCH(("P"),(I22))))</formula>
    </cfRule>
    <cfRule type="containsText" dxfId="1736" priority="1852" operator="containsText" text="K">
      <formula>NOT(ISERROR(SEARCH(("K"),(I22))))</formula>
    </cfRule>
    <cfRule type="containsText" dxfId="1735" priority="1853" operator="containsText" text="X">
      <formula>NOT(ISERROR(SEARCH(("X"),(I22))))</formula>
    </cfRule>
    <cfRule type="containsText" dxfId="1734" priority="1854" operator="containsText" text="L">
      <formula>NOT(ISERROR(SEARCH(("L"),(I22))))</formula>
    </cfRule>
    <cfRule type="containsText" dxfId="1733" priority="1855" operator="containsText" text="N">
      <formula>NOT(ISERROR(SEARCH(("N"),(I22))))</formula>
    </cfRule>
    <cfRule type="containsText" dxfId="1732" priority="1857" operator="containsText" text="O">
      <formula>NOT(ISERROR(SEARCH(("O"),(I22))))</formula>
    </cfRule>
    <cfRule type="containsText" dxfId="1731" priority="1858" operator="containsText" text="C">
      <formula>NOT(ISERROR(SEARCH(("C"),(I22))))</formula>
    </cfRule>
    <cfRule type="containsText" dxfId="1730" priority="1859" operator="containsText" text="P">
      <formula>NOT(ISERROR(SEARCH(("P"),(I22))))</formula>
    </cfRule>
    <cfRule type="containsText" dxfId="1729" priority="1860" operator="containsText" text="K">
      <formula>NOT(ISERROR(SEARCH(("K"),(I22))))</formula>
    </cfRule>
    <cfRule type="containsText" dxfId="1728" priority="1861" operator="containsText" text="X">
      <formula>NOT(ISERROR(SEARCH(("X"),(I22))))</formula>
    </cfRule>
    <cfRule type="containsText" dxfId="1727" priority="1862" operator="containsText" text="L">
      <formula>NOT(ISERROR(SEARCH(("L"),(I22))))</formula>
    </cfRule>
  </conditionalFormatting>
  <conditionalFormatting sqref="I22:M27 M26:Q27">
    <cfRule type="containsText" dxfId="1726" priority="1679" operator="containsText" text="N">
      <formula>NOT(ISERROR(SEARCH(("N"),(I22))))</formula>
    </cfRule>
    <cfRule type="containsText" dxfId="1725" priority="1681" operator="containsText" text="O">
      <formula>NOT(ISERROR(SEARCH(("O"),(I22))))</formula>
    </cfRule>
    <cfRule type="containsText" dxfId="1724" priority="1682" operator="containsText" text="C">
      <formula>NOT(ISERROR(SEARCH(("C"),(I22))))</formula>
    </cfRule>
    <cfRule type="containsText" dxfId="1723" priority="1683" operator="containsText" text="P">
      <formula>NOT(ISERROR(SEARCH(("P"),(I22))))</formula>
    </cfRule>
    <cfRule type="containsText" dxfId="1722" priority="1684" operator="containsText" text="K">
      <formula>NOT(ISERROR(SEARCH(("K"),(I22))))</formula>
    </cfRule>
    <cfRule type="containsText" dxfId="1721" priority="1685" operator="containsText" text="X">
      <formula>NOT(ISERROR(SEARCH(("X"),(I22))))</formula>
    </cfRule>
    <cfRule type="containsText" dxfId="1720" priority="1686" operator="containsText" text="L">
      <formula>NOT(ISERROR(SEARCH(("L"),(I22))))</formula>
    </cfRule>
  </conditionalFormatting>
  <conditionalFormatting sqref="I23:M27 M26:Q27">
    <cfRule type="containsText" dxfId="1719" priority="1667" operator="containsText" text="O">
      <formula>NOT(ISERROR(SEARCH(("O"),(I23))))</formula>
    </cfRule>
    <cfRule type="containsText" dxfId="1718" priority="1668" operator="containsText" text="C">
      <formula>NOT(ISERROR(SEARCH(("C"),(I23))))</formula>
    </cfRule>
    <cfRule type="containsText" dxfId="1717" priority="1669" operator="containsText" text="P">
      <formula>NOT(ISERROR(SEARCH(("P"),(I23))))</formula>
    </cfRule>
    <cfRule type="containsText" dxfId="1716" priority="1670" operator="containsText" text="K">
      <formula>NOT(ISERROR(SEARCH(("K"),(I23))))</formula>
    </cfRule>
    <cfRule type="containsText" dxfId="1715" priority="1671" operator="containsText" text="X">
      <formula>NOT(ISERROR(SEARCH(("X"),(I23))))</formula>
    </cfRule>
    <cfRule type="containsText" dxfId="1714" priority="1672" operator="containsText" text="L">
      <formula>NOT(ISERROR(SEARCH(("L"),(I23))))</formula>
    </cfRule>
    <cfRule type="containsText" dxfId="1713" priority="1673" operator="containsText" text="O">
      <formula>NOT(ISERROR(SEARCH(("O"),(I23))))</formula>
    </cfRule>
    <cfRule type="containsText" dxfId="1712" priority="1674" operator="containsText" text="C">
      <formula>NOT(ISERROR(SEARCH(("C"),(I23))))</formula>
    </cfRule>
    <cfRule type="containsText" dxfId="1711" priority="1675" operator="containsText" text="P">
      <formula>NOT(ISERROR(SEARCH(("P"),(I23))))</formula>
    </cfRule>
    <cfRule type="containsText" dxfId="1710" priority="1676" operator="containsText" text="K">
      <formula>NOT(ISERROR(SEARCH(("K"),(I23))))</formula>
    </cfRule>
    <cfRule type="containsText" dxfId="1709" priority="1677" operator="containsText" text="X">
      <formula>NOT(ISERROR(SEARCH(("X"),(I23))))</formula>
    </cfRule>
    <cfRule type="containsText" dxfId="1708" priority="1678" operator="containsText" text="L">
      <formula>NOT(ISERROR(SEARCH(("L"),(I23))))</formula>
    </cfRule>
  </conditionalFormatting>
  <conditionalFormatting sqref="J26:J27">
    <cfRule type="containsText" dxfId="1707" priority="206" operator="containsText" text="N">
      <formula>NOT(ISERROR(SEARCH(("N"),(J26))))</formula>
    </cfRule>
    <cfRule type="containsText" dxfId="1706" priority="207" operator="containsText" text="L">
      <formula>NOT(ISERROR(SEARCH(("L"),(J26))))</formula>
    </cfRule>
    <cfRule type="containsText" dxfId="1705" priority="208" operator="containsText" text="O">
      <formula>NOT(ISERROR(SEARCH(("O"),(J26))))</formula>
    </cfRule>
    <cfRule type="containsText" dxfId="1704" priority="209" operator="containsText" text="C">
      <formula>NOT(ISERROR(SEARCH(("C"),(J26))))</formula>
    </cfRule>
    <cfRule type="containsText" dxfId="1703" priority="210" operator="containsText" text="P">
      <formula>NOT(ISERROR(SEARCH(("P"),(J26))))</formula>
    </cfRule>
    <cfRule type="containsText" dxfId="1702" priority="211" operator="containsText" text="K">
      <formula>NOT(ISERROR(SEARCH(("K"),(J26))))</formula>
    </cfRule>
    <cfRule type="containsText" dxfId="1701" priority="212" operator="containsText" text="X">
      <formula>NOT(ISERROR(SEARCH(("X"),(J26))))</formula>
    </cfRule>
    <cfRule type="containsText" dxfId="1700" priority="213" operator="containsText" text="L">
      <formula>NOT(ISERROR(SEARCH(("L"),(J26))))</formula>
    </cfRule>
    <cfRule type="containsText" dxfId="1699" priority="214" operator="containsText" text="O">
      <formula>NOT(ISERROR(SEARCH(("O"),(J26))))</formula>
    </cfRule>
    <cfRule type="containsText" dxfId="1698" priority="215" operator="containsText" text="C">
      <formula>NOT(ISERROR(SEARCH(("C"),(J26))))</formula>
    </cfRule>
    <cfRule type="containsText" dxfId="1697" priority="216" operator="containsText" text="P">
      <formula>NOT(ISERROR(SEARCH(("P"),(J26))))</formula>
    </cfRule>
    <cfRule type="containsText" dxfId="1696" priority="217" operator="containsText" text="K">
      <formula>NOT(ISERROR(SEARCH(("K"),(J26))))</formula>
    </cfRule>
    <cfRule type="containsText" dxfId="1695" priority="218" operator="containsText" text="X">
      <formula>NOT(ISERROR(SEARCH(("X"),(J26))))</formula>
    </cfRule>
  </conditionalFormatting>
  <conditionalFormatting sqref="K16:K27">
    <cfRule type="containsText" dxfId="1694" priority="2917" operator="containsText" text="L">
      <formula>NOT(ISERROR(SEARCH(("L"),(K16))))</formula>
    </cfRule>
    <cfRule type="containsText" dxfId="1693" priority="2918" operator="containsText" text="N">
      <formula>NOT(ISERROR(SEARCH(("N"),(K16))))</formula>
    </cfRule>
    <cfRule type="containsText" dxfId="1692" priority="2919" operator="containsText" text="O">
      <formula>NOT(ISERROR(SEARCH(("O"),(K16))))</formula>
    </cfRule>
    <cfRule type="containsText" dxfId="1691" priority="2920" operator="containsText" text="C">
      <formula>NOT(ISERROR(SEARCH(("C"),(K16))))</formula>
    </cfRule>
    <cfRule type="containsText" dxfId="1690" priority="2921" operator="containsText" text="P">
      <formula>NOT(ISERROR(SEARCH(("P"),(K16))))</formula>
    </cfRule>
    <cfRule type="containsText" dxfId="1689" priority="2922" operator="containsText" text="K">
      <formula>NOT(ISERROR(SEARCH(("K"),(K16))))</formula>
    </cfRule>
    <cfRule type="containsText" dxfId="1688" priority="2923" operator="containsText" text="X">
      <formula>NOT(ISERROR(SEARCH(("X"),(K16))))</formula>
    </cfRule>
  </conditionalFormatting>
  <conditionalFormatting sqref="K13:O13">
    <cfRule type="containsText" dxfId="1687" priority="701" operator="containsText" text="N">
      <formula>NOT(ISERROR(SEARCH(("N"),(K13))))</formula>
    </cfRule>
  </conditionalFormatting>
  <conditionalFormatting sqref="L14:M14">
    <cfRule type="containsText" dxfId="1686" priority="1959" operator="containsText" text="N">
      <formula>NOT(ISERROR(SEARCH(("N"),(L14))))</formula>
    </cfRule>
  </conditionalFormatting>
  <conditionalFormatting sqref="L13:O13">
    <cfRule type="containsText" dxfId="1685" priority="702" operator="containsText" text="O">
      <formula>NOT(ISERROR(SEARCH(("O"),(L13))))</formula>
    </cfRule>
    <cfRule type="containsText" dxfId="1684" priority="703" operator="containsText" text="C">
      <formula>NOT(ISERROR(SEARCH(("C"),(L13))))</formula>
    </cfRule>
    <cfRule type="containsText" dxfId="1683" priority="704" operator="containsText" text="P">
      <formula>NOT(ISERROR(SEARCH(("P"),(L13))))</formula>
    </cfRule>
    <cfRule type="containsText" dxfId="1682" priority="705" operator="containsText" text="K">
      <formula>NOT(ISERROR(SEARCH(("K"),(L13))))</formula>
    </cfRule>
    <cfRule type="containsText" dxfId="1681" priority="706" operator="containsText" text="X">
      <formula>NOT(ISERROR(SEARCH(("X"),(L13))))</formula>
    </cfRule>
    <cfRule type="containsText" dxfId="1680" priority="707" operator="containsText" text="L">
      <formula>NOT(ISERROR(SEARCH(("L"),(L13))))</formula>
    </cfRule>
  </conditionalFormatting>
  <conditionalFormatting sqref="L14:O14">
    <cfRule type="containsText" dxfId="1679" priority="263" operator="containsText" text="L">
      <formula>NOT(ISERROR(SEARCH(("L"),(L14))))</formula>
    </cfRule>
  </conditionalFormatting>
  <conditionalFormatting sqref="M20:O20">
    <cfRule type="containsText" dxfId="1678" priority="1009" operator="containsText" text="L">
      <formula>NOT(ISERROR(SEARCH(("L"),(M20))))</formula>
    </cfRule>
    <cfRule type="containsText" dxfId="1677" priority="1010" operator="containsText" text="O">
      <formula>NOT(ISERROR(SEARCH(("O"),(M20))))</formula>
    </cfRule>
    <cfRule type="containsText" dxfId="1676" priority="1011" operator="containsText" text="C">
      <formula>NOT(ISERROR(SEARCH(("C"),(M20))))</formula>
    </cfRule>
    <cfRule type="containsText" dxfId="1675" priority="1012" operator="containsText" text="P">
      <formula>NOT(ISERROR(SEARCH(("P"),(M20))))</formula>
    </cfRule>
    <cfRule type="containsText" dxfId="1674" priority="1013" operator="containsText" text="K">
      <formula>NOT(ISERROR(SEARCH(("K"),(M20))))</formula>
    </cfRule>
    <cfRule type="containsText" dxfId="1673" priority="1014" operator="containsText" text="X">
      <formula>NOT(ISERROR(SEARCH(("X"),(M20))))</formula>
    </cfRule>
    <cfRule type="containsText" dxfId="1672" priority="1015" operator="containsText" text="L">
      <formula>NOT(ISERROR(SEARCH(("L"),(M20))))</formula>
    </cfRule>
  </conditionalFormatting>
  <conditionalFormatting sqref="M20:P20">
    <cfRule type="containsText" dxfId="1671" priority="1006" operator="containsText" text="N">
      <formula>NOT(ISERROR(SEARCH(("N"),(M20))))</formula>
    </cfRule>
  </conditionalFormatting>
  <conditionalFormatting sqref="M11:Q11 P11:T14">
    <cfRule type="containsText" dxfId="1670" priority="1973" operator="containsText" text="O">
      <formula>NOT(ISERROR(SEARCH(("O"),(M11))))</formula>
    </cfRule>
    <cfRule type="containsText" dxfId="1669" priority="1974" operator="containsText" text="C">
      <formula>NOT(ISERROR(SEARCH(("C"),(M11))))</formula>
    </cfRule>
    <cfRule type="containsText" dxfId="1668" priority="1975" operator="containsText" text="P">
      <formula>NOT(ISERROR(SEARCH(("P"),(M11))))</formula>
    </cfRule>
    <cfRule type="containsText" dxfId="1667" priority="1976" operator="containsText" text="K">
      <formula>NOT(ISERROR(SEARCH(("K"),(M11))))</formula>
    </cfRule>
    <cfRule type="containsText" dxfId="1666" priority="1977" operator="containsText" text="X">
      <formula>NOT(ISERROR(SEARCH(("X"),(M11))))</formula>
    </cfRule>
    <cfRule type="containsText" dxfId="1665" priority="1978" operator="containsText" text="L">
      <formula>NOT(ISERROR(SEARCH(("L"),(M11))))</formula>
    </cfRule>
  </conditionalFormatting>
  <conditionalFormatting sqref="M11:Q11">
    <cfRule type="containsText" dxfId="1664" priority="1512" operator="containsText" text="N">
      <formula>NOT(ISERROR(SEARCH(("N"),(M11))))</formula>
    </cfRule>
    <cfRule type="containsText" dxfId="1663" priority="1513" operator="containsText" text="O">
      <formula>NOT(ISERROR(SEARCH(("O"),(M11))))</formula>
    </cfRule>
    <cfRule type="containsText" dxfId="1662" priority="1514" operator="containsText" text="C">
      <formula>NOT(ISERROR(SEARCH(("C"),(M11))))</formula>
    </cfRule>
    <cfRule type="containsText" dxfId="1661" priority="1515" operator="containsText" text="P">
      <formula>NOT(ISERROR(SEARCH(("P"),(M11))))</formula>
    </cfRule>
    <cfRule type="containsText" dxfId="1660" priority="1516" operator="containsText" text="K">
      <formula>NOT(ISERROR(SEARCH(("K"),(M11))))</formula>
    </cfRule>
    <cfRule type="containsText" dxfId="1659" priority="1517" operator="containsText" text="X">
      <formula>NOT(ISERROR(SEARCH(("X"),(M11))))</formula>
    </cfRule>
    <cfRule type="containsText" dxfId="1658" priority="1518" operator="containsText" text="L">
      <formula>NOT(ISERROR(SEARCH(("L"),(M11))))</formula>
    </cfRule>
  </conditionalFormatting>
  <conditionalFormatting sqref="M15:Q15">
    <cfRule type="containsText" dxfId="1657" priority="1196" operator="containsText" text="N">
      <formula>NOT(ISERROR(SEARCH(("N"),(M15))))</formula>
    </cfRule>
    <cfRule type="containsText" dxfId="1656" priority="1197" operator="containsText" text="O">
      <formula>NOT(ISERROR(SEARCH(("O"),(M15))))</formula>
    </cfRule>
    <cfRule type="containsText" dxfId="1655" priority="1198" operator="containsText" text="C">
      <formula>NOT(ISERROR(SEARCH(("C"),(M15))))</formula>
    </cfRule>
    <cfRule type="containsText" dxfId="1654" priority="1199" operator="containsText" text="P">
      <formula>NOT(ISERROR(SEARCH(("P"),(M15))))</formula>
    </cfRule>
    <cfRule type="containsText" dxfId="1653" priority="1200" operator="containsText" text="K">
      <formula>NOT(ISERROR(SEARCH(("K"),(M15))))</formula>
    </cfRule>
    <cfRule type="containsText" dxfId="1652" priority="1201" operator="containsText" text="X">
      <formula>NOT(ISERROR(SEARCH(("X"),(M15))))</formula>
    </cfRule>
    <cfRule type="containsText" dxfId="1651" priority="1202" operator="containsText" text="L">
      <formula>NOT(ISERROR(SEARCH(("L"),(M15))))</formula>
    </cfRule>
  </conditionalFormatting>
  <conditionalFormatting sqref="M26:Q27 I23:M27">
    <cfRule type="containsText" dxfId="1650" priority="1666" operator="containsText" text="N">
      <formula>NOT(ISERROR(SEARCH(("N"),(I23))))</formula>
    </cfRule>
  </conditionalFormatting>
  <conditionalFormatting sqref="M26:Q27">
    <cfRule type="containsText" dxfId="1649" priority="200" operator="containsText" text="O">
      <formula>NOT(ISERROR(SEARCH(("O"),(M26))))</formula>
    </cfRule>
    <cfRule type="containsText" dxfId="1648" priority="201" operator="containsText" text="C">
      <formula>NOT(ISERROR(SEARCH(("C"),(M26))))</formula>
    </cfRule>
    <cfRule type="containsText" dxfId="1647" priority="202" operator="containsText" text="P">
      <formula>NOT(ISERROR(SEARCH(("P"),(M26))))</formula>
    </cfRule>
    <cfRule type="containsText" dxfId="1646" priority="203" operator="containsText" text="K">
      <formula>NOT(ISERROR(SEARCH(("K"),(M26))))</formula>
    </cfRule>
    <cfRule type="containsText" dxfId="1645" priority="204" operator="containsText" text="X">
      <formula>NOT(ISERROR(SEARCH(("X"),(M26))))</formula>
    </cfRule>
    <cfRule type="containsText" dxfId="1644" priority="205" operator="containsText" text="N">
      <formula>NOT(ISERROR(SEARCH(("N"),(M26))))</formula>
    </cfRule>
  </conditionalFormatting>
  <conditionalFormatting sqref="N12:O12">
    <cfRule type="containsText" dxfId="1643" priority="1496" operator="containsText" text="N">
      <formula>NOT(ISERROR(SEARCH(("N"),(N12))))</formula>
    </cfRule>
  </conditionalFormatting>
  <conditionalFormatting sqref="N12:O13">
    <cfRule type="containsText" dxfId="1642" priority="708" operator="containsText" text="N">
      <formula>NOT(ISERROR(SEARCH(("N"),(N12))))</formula>
    </cfRule>
    <cfRule type="containsText" dxfId="1641" priority="709" operator="containsText" text="O">
      <formula>NOT(ISERROR(SEARCH(("O"),(N12))))</formula>
    </cfRule>
    <cfRule type="containsText" dxfId="1640" priority="710" operator="containsText" text="C">
      <formula>NOT(ISERROR(SEARCH(("C"),(N12))))</formula>
    </cfRule>
    <cfRule type="containsText" dxfId="1639" priority="711" operator="containsText" text="P">
      <formula>NOT(ISERROR(SEARCH(("P"),(N12))))</formula>
    </cfRule>
    <cfRule type="containsText" dxfId="1638" priority="712" operator="containsText" text="K">
      <formula>NOT(ISERROR(SEARCH(("K"),(N12))))</formula>
    </cfRule>
    <cfRule type="containsText" dxfId="1637" priority="713" operator="containsText" text="X">
      <formula>NOT(ISERROR(SEARCH(("X"),(N12))))</formula>
    </cfRule>
    <cfRule type="containsText" dxfId="1636" priority="714" operator="containsText" text="L">
      <formula>NOT(ISERROR(SEARCH(("L"),(N12))))</formula>
    </cfRule>
  </conditionalFormatting>
  <conditionalFormatting sqref="N14:O14">
    <cfRule type="containsText" dxfId="1635" priority="236" operator="containsText" text="L">
      <formula>NOT(ISERROR(SEARCH(("L"),(N14))))</formula>
    </cfRule>
    <cfRule type="containsText" dxfId="1634" priority="237" operator="containsText" text="N">
      <formula>NOT(ISERROR(SEARCH(("N"),(N14))))</formula>
    </cfRule>
    <cfRule type="containsText" dxfId="1633" priority="238" operator="containsText" text="O">
      <formula>NOT(ISERROR(SEARCH(("O"),(N14))))</formula>
    </cfRule>
    <cfRule type="containsText" dxfId="1632" priority="239" operator="containsText" text="C">
      <formula>NOT(ISERROR(SEARCH(("C"),(N14))))</formula>
    </cfRule>
    <cfRule type="containsText" dxfId="1631" priority="240" operator="containsText" text="P">
      <formula>NOT(ISERROR(SEARCH(("P"),(N14))))</formula>
    </cfRule>
    <cfRule type="containsText" dxfId="1630" priority="241" operator="containsText" text="K">
      <formula>NOT(ISERROR(SEARCH(("K"),(N14))))</formula>
    </cfRule>
    <cfRule type="containsText" dxfId="1629" priority="242" operator="containsText" text="X">
      <formula>NOT(ISERROR(SEARCH(("X"),(N14))))</formula>
    </cfRule>
    <cfRule type="containsText" dxfId="1628" priority="243" operator="containsText" text="N">
      <formula>NOT(ISERROR(SEARCH(("N"),(N14))))</formula>
    </cfRule>
    <cfRule type="containsText" dxfId="1627" priority="244" operator="containsText" text="O">
      <formula>NOT(ISERROR(SEARCH(("O"),(N14))))</formula>
    </cfRule>
    <cfRule type="containsText" dxfId="1626" priority="245" operator="containsText" text="C">
      <formula>NOT(ISERROR(SEARCH(("C"),(N14))))</formula>
    </cfRule>
    <cfRule type="containsText" dxfId="1625" priority="246" operator="containsText" text="P">
      <formula>NOT(ISERROR(SEARCH(("P"),(N14))))</formula>
    </cfRule>
    <cfRule type="containsText" dxfId="1624" priority="247" operator="containsText" text="K">
      <formula>NOT(ISERROR(SEARCH(("K"),(N14))))</formula>
    </cfRule>
    <cfRule type="containsText" dxfId="1623" priority="248" operator="containsText" text="X">
      <formula>NOT(ISERROR(SEARCH(("X"),(N14))))</formula>
    </cfRule>
    <cfRule type="containsText" dxfId="1622" priority="249" operator="containsText" text="L">
      <formula>NOT(ISERROR(SEARCH(("L"),(N14))))</formula>
    </cfRule>
    <cfRule type="containsText" dxfId="1621" priority="250" operator="containsText" text="N">
      <formula>NOT(ISERROR(SEARCH(("N"),(N14))))</formula>
    </cfRule>
    <cfRule type="containsText" dxfId="1620" priority="251" operator="containsText" text="O">
      <formula>NOT(ISERROR(SEARCH(("O"),(N14))))</formula>
    </cfRule>
    <cfRule type="containsText" dxfId="1619" priority="252" operator="containsText" text="C">
      <formula>NOT(ISERROR(SEARCH(("C"),(N14))))</formula>
    </cfRule>
    <cfRule type="containsText" dxfId="1618" priority="253" operator="containsText" text="P">
      <formula>NOT(ISERROR(SEARCH(("P"),(N14))))</formula>
    </cfRule>
    <cfRule type="containsText" dxfId="1617" priority="254" operator="containsText" text="K">
      <formula>NOT(ISERROR(SEARCH(("K"),(N14))))</formula>
    </cfRule>
    <cfRule type="containsText" dxfId="1616" priority="255" operator="containsText" text="X">
      <formula>NOT(ISERROR(SEARCH(("X"),(N14))))</formula>
    </cfRule>
    <cfRule type="containsText" dxfId="1615" priority="256" operator="containsText" text="L">
      <formula>NOT(ISERROR(SEARCH(("L"),(N14))))</formula>
    </cfRule>
    <cfRule type="containsText" dxfId="1614" priority="257" operator="containsText" text="N">
      <formula>NOT(ISERROR(SEARCH(("N"),(N14))))</formula>
    </cfRule>
    <cfRule type="containsText" dxfId="1613" priority="258" operator="containsText" text="O">
      <formula>NOT(ISERROR(SEARCH(("O"),(N14))))</formula>
    </cfRule>
    <cfRule type="containsText" dxfId="1612" priority="259" operator="containsText" text="C">
      <formula>NOT(ISERROR(SEARCH(("C"),(N14))))</formula>
    </cfRule>
    <cfRule type="containsText" dxfId="1611" priority="260" operator="containsText" text="P">
      <formula>NOT(ISERROR(SEARCH(("P"),(N14))))</formula>
    </cfRule>
    <cfRule type="containsText" dxfId="1610" priority="261" operator="containsText" text="K">
      <formula>NOT(ISERROR(SEARCH(("K"),(N14))))</formula>
    </cfRule>
    <cfRule type="containsText" dxfId="1609" priority="262" operator="containsText" text="X">
      <formula>NOT(ISERROR(SEARCH(("X"),(N14))))</formula>
    </cfRule>
  </conditionalFormatting>
  <conditionalFormatting sqref="N16:O18">
    <cfRule type="containsText" dxfId="1608" priority="1329" operator="containsText" text="O">
      <formula>NOT(ISERROR(SEARCH(("O"),(N16))))</formula>
    </cfRule>
    <cfRule type="containsText" dxfId="1607" priority="1330" operator="containsText" text="C">
      <formula>NOT(ISERROR(SEARCH(("C"),(N16))))</formula>
    </cfRule>
    <cfRule type="containsText" dxfId="1606" priority="1331" operator="containsText" text="P">
      <formula>NOT(ISERROR(SEARCH(("P"),(N16))))</formula>
    </cfRule>
    <cfRule type="containsText" dxfId="1605" priority="1332" operator="containsText" text="K">
      <formula>NOT(ISERROR(SEARCH(("K"),(N16))))</formula>
    </cfRule>
    <cfRule type="containsText" dxfId="1604" priority="1333" operator="containsText" text="X">
      <formula>NOT(ISERROR(SEARCH(("X"),(N16))))</formula>
    </cfRule>
    <cfRule type="containsText" dxfId="1603" priority="1334" operator="containsText" text="L">
      <formula>NOT(ISERROR(SEARCH(("L"),(N16))))</formula>
    </cfRule>
  </conditionalFormatting>
  <conditionalFormatting sqref="N16:O19">
    <cfRule type="containsText" dxfId="1602" priority="863" operator="containsText" text="N">
      <formula>NOT(ISERROR(SEARCH(("N"),(N16))))</formula>
    </cfRule>
  </conditionalFormatting>
  <conditionalFormatting sqref="N19:O19">
    <cfRule type="containsText" dxfId="1601" priority="851" operator="containsText" text="N">
      <formula>NOT(ISERROR(SEARCH(("N"),(N19))))</formula>
    </cfRule>
    <cfRule type="containsText" dxfId="1600" priority="852" operator="containsText" text="O">
      <formula>NOT(ISERROR(SEARCH(("O"),(N19))))</formula>
    </cfRule>
    <cfRule type="containsText" dxfId="1599" priority="853" operator="containsText" text="C">
      <formula>NOT(ISERROR(SEARCH(("C"),(N19))))</formula>
    </cfRule>
    <cfRule type="containsText" dxfId="1598" priority="854" operator="containsText" text="P">
      <formula>NOT(ISERROR(SEARCH(("P"),(N19))))</formula>
    </cfRule>
    <cfRule type="containsText" dxfId="1597" priority="855" operator="containsText" text="K">
      <formula>NOT(ISERROR(SEARCH(("K"),(N19))))</formula>
    </cfRule>
    <cfRule type="containsText" dxfId="1596" priority="856" operator="containsText" text="X">
      <formula>NOT(ISERROR(SEARCH(("X"),(N19))))</formula>
    </cfRule>
    <cfRule type="containsText" dxfId="1595" priority="857" operator="containsText" text="L">
      <formula>NOT(ISERROR(SEARCH(("L"),(N19))))</formula>
    </cfRule>
    <cfRule type="containsText" dxfId="1594" priority="858" operator="containsText" text="O">
      <formula>NOT(ISERROR(SEARCH(("O"),(N19))))</formula>
    </cfRule>
    <cfRule type="containsText" dxfId="1593" priority="859" operator="containsText" text="C">
      <formula>NOT(ISERROR(SEARCH(("C"),(N19))))</formula>
    </cfRule>
    <cfRule type="containsText" dxfId="1592" priority="860" operator="containsText" text="P">
      <formula>NOT(ISERROR(SEARCH(("P"),(N19))))</formula>
    </cfRule>
    <cfRule type="containsText" dxfId="1591" priority="861" operator="containsText" text="K">
      <formula>NOT(ISERROR(SEARCH(("K"),(N19))))</formula>
    </cfRule>
    <cfRule type="containsText" dxfId="1590" priority="862" operator="containsText" text="X">
      <formula>NOT(ISERROR(SEARCH(("X"),(N19))))</formula>
    </cfRule>
  </conditionalFormatting>
  <conditionalFormatting sqref="N20:O20">
    <cfRule type="containsText" dxfId="1589" priority="1016" operator="containsText" text="N">
      <formula>NOT(ISERROR(SEARCH(("N"),(N20))))</formula>
    </cfRule>
    <cfRule type="containsText" dxfId="1588" priority="1017" operator="containsText" text="O">
      <formula>NOT(ISERROR(SEARCH(("O"),(N20))))</formula>
    </cfRule>
    <cfRule type="containsText" dxfId="1587" priority="1018" operator="containsText" text="C">
      <formula>NOT(ISERROR(SEARCH(("C"),(N20))))</formula>
    </cfRule>
    <cfRule type="containsText" dxfId="1586" priority="1019" operator="containsText" text="P">
      <formula>NOT(ISERROR(SEARCH(("P"),(N20))))</formula>
    </cfRule>
    <cfRule type="containsText" dxfId="1585" priority="1020" operator="containsText" text="K">
      <formula>NOT(ISERROR(SEARCH(("K"),(N20))))</formula>
    </cfRule>
    <cfRule type="containsText" dxfId="1584" priority="1021" operator="containsText" text="X">
      <formula>NOT(ISERROR(SEARCH(("X"),(N20))))</formula>
    </cfRule>
    <cfRule type="containsText" dxfId="1583" priority="1022" operator="containsText" text="L">
      <formula>NOT(ISERROR(SEARCH(("L"),(N20))))</formula>
    </cfRule>
  </conditionalFormatting>
  <conditionalFormatting sqref="N22:O22">
    <cfRule type="containsText" dxfId="1582" priority="384" operator="containsText" text="N">
      <formula>NOT(ISERROR(SEARCH(("N"),(N22))))</formula>
    </cfRule>
    <cfRule type="containsText" dxfId="1581" priority="385" operator="containsText" text="O">
      <formula>NOT(ISERROR(SEARCH(("O"),(N22))))</formula>
    </cfRule>
    <cfRule type="containsText" dxfId="1580" priority="386" operator="containsText" text="C">
      <formula>NOT(ISERROR(SEARCH(("C"),(N22))))</formula>
    </cfRule>
    <cfRule type="containsText" dxfId="1579" priority="387" operator="containsText" text="P">
      <formula>NOT(ISERROR(SEARCH(("P"),(N22))))</formula>
    </cfRule>
    <cfRule type="containsText" dxfId="1578" priority="388" operator="containsText" text="K">
      <formula>NOT(ISERROR(SEARCH(("K"),(N22))))</formula>
    </cfRule>
    <cfRule type="containsText" dxfId="1577" priority="389" operator="containsText" text="X">
      <formula>NOT(ISERROR(SEARCH(("X"),(N22))))</formula>
    </cfRule>
    <cfRule type="containsText" dxfId="1576" priority="390" operator="containsText" text="L">
      <formula>NOT(ISERROR(SEARCH(("L"),(N22))))</formula>
    </cfRule>
  </conditionalFormatting>
  <conditionalFormatting sqref="N23:O23">
    <cfRule type="containsText" dxfId="1575" priority="1143" operator="containsText" text="O">
      <formula>NOT(ISERROR(SEARCH(("O"),(N23))))</formula>
    </cfRule>
    <cfRule type="containsText" dxfId="1574" priority="1144" operator="containsText" text="C">
      <formula>NOT(ISERROR(SEARCH(("C"),(N23))))</formula>
    </cfRule>
    <cfRule type="containsText" dxfId="1573" priority="1145" operator="containsText" text="P">
      <formula>NOT(ISERROR(SEARCH(("P"),(N23))))</formula>
    </cfRule>
    <cfRule type="containsText" dxfId="1572" priority="1146" operator="containsText" text="K">
      <formula>NOT(ISERROR(SEARCH(("K"),(N23))))</formula>
    </cfRule>
    <cfRule type="containsText" dxfId="1571" priority="1147" operator="containsText" text="X">
      <formula>NOT(ISERROR(SEARCH(("X"),(N23))))</formula>
    </cfRule>
    <cfRule type="containsText" dxfId="1570" priority="1148" operator="containsText" text="L">
      <formula>NOT(ISERROR(SEARCH(("L"),(N23))))</formula>
    </cfRule>
  </conditionalFormatting>
  <conditionalFormatting sqref="N23:O24">
    <cfRule type="containsText" dxfId="1569" priority="591" operator="containsText" text="N">
      <formula>NOT(ISERROR(SEARCH(("N"),(N23))))</formula>
    </cfRule>
  </conditionalFormatting>
  <conditionalFormatting sqref="N24:O24">
    <cfRule type="containsText" dxfId="1568" priority="580" operator="containsText" text="O">
      <formula>NOT(ISERROR(SEARCH(("O"),(N24))))</formula>
    </cfRule>
    <cfRule type="containsText" dxfId="1567" priority="581" operator="containsText" text="C">
      <formula>NOT(ISERROR(SEARCH(("C"),(N24))))</formula>
    </cfRule>
    <cfRule type="containsText" dxfId="1566" priority="582" operator="containsText" text="P">
      <formula>NOT(ISERROR(SEARCH(("P"),(N24))))</formula>
    </cfRule>
    <cfRule type="containsText" dxfId="1565" priority="583" operator="containsText" text="K">
      <formula>NOT(ISERROR(SEARCH(("K"),(N24))))</formula>
    </cfRule>
    <cfRule type="containsText" dxfId="1564" priority="584" operator="containsText" text="X">
      <formula>NOT(ISERROR(SEARCH(("X"),(N24))))</formula>
    </cfRule>
    <cfRule type="containsText" dxfId="1563" priority="585" operator="containsText" text="L">
      <formula>NOT(ISERROR(SEARCH(("L"),(N24))))</formula>
    </cfRule>
  </conditionalFormatting>
  <conditionalFormatting sqref="N25:O25">
    <cfRule type="containsText" dxfId="1562" priority="487" operator="containsText" text="N">
      <formula>NOT(ISERROR(SEARCH(("N"),(N25))))</formula>
    </cfRule>
    <cfRule type="containsText" dxfId="1561" priority="488" operator="containsText" text="O">
      <formula>NOT(ISERROR(SEARCH(("O"),(N25))))</formula>
    </cfRule>
    <cfRule type="containsText" dxfId="1560" priority="489" operator="containsText" text="C">
      <formula>NOT(ISERROR(SEARCH(("C"),(N25))))</formula>
    </cfRule>
    <cfRule type="containsText" dxfId="1559" priority="490" operator="containsText" text="P">
      <formula>NOT(ISERROR(SEARCH(("P"),(N25))))</formula>
    </cfRule>
    <cfRule type="containsText" dxfId="1558" priority="491" operator="containsText" text="K">
      <formula>NOT(ISERROR(SEARCH(("K"),(N25))))</formula>
    </cfRule>
    <cfRule type="containsText" dxfId="1557" priority="492" operator="containsText" text="X">
      <formula>NOT(ISERROR(SEARCH(("X"),(N25))))</formula>
    </cfRule>
    <cfRule type="containsText" dxfId="1556" priority="493" operator="containsText" text="L">
      <formula>NOT(ISERROR(SEARCH(("L"),(N25))))</formula>
    </cfRule>
    <cfRule type="containsText" dxfId="1555" priority="494" operator="containsText" text="O">
      <formula>NOT(ISERROR(SEARCH(("O"),(N25))))</formula>
    </cfRule>
    <cfRule type="containsText" dxfId="1554" priority="495" operator="containsText" text="C">
      <formula>NOT(ISERROR(SEARCH(("C"),(N25))))</formula>
    </cfRule>
    <cfRule type="containsText" dxfId="1553" priority="496" operator="containsText" text="P">
      <formula>NOT(ISERROR(SEARCH(("P"),(N25))))</formula>
    </cfRule>
    <cfRule type="containsText" dxfId="1552" priority="497" operator="containsText" text="K">
      <formula>NOT(ISERROR(SEARCH(("K"),(N25))))</formula>
    </cfRule>
    <cfRule type="containsText" dxfId="1551" priority="498" operator="containsText" text="X">
      <formula>NOT(ISERROR(SEARCH(("X"),(N25))))</formula>
    </cfRule>
  </conditionalFormatting>
  <conditionalFormatting sqref="N24:T24">
    <cfRule type="containsText" dxfId="1550" priority="586" operator="containsText" text="O">
      <formula>NOT(ISERROR(SEARCH(("O"),(N24))))</formula>
    </cfRule>
    <cfRule type="containsText" dxfId="1549" priority="587" operator="containsText" text="C">
      <formula>NOT(ISERROR(SEARCH(("C"),(N24))))</formula>
    </cfRule>
    <cfRule type="containsText" dxfId="1548" priority="588" operator="containsText" text="P">
      <formula>NOT(ISERROR(SEARCH(("P"),(N24))))</formula>
    </cfRule>
    <cfRule type="containsText" dxfId="1547" priority="589" operator="containsText" text="K">
      <formula>NOT(ISERROR(SEARCH(("K"),(N24))))</formula>
    </cfRule>
    <cfRule type="containsText" dxfId="1546" priority="590" operator="containsText" text="X">
      <formula>NOT(ISERROR(SEARCH(("X"),(N24))))</formula>
    </cfRule>
  </conditionalFormatting>
  <conditionalFormatting sqref="N25:T25">
    <cfRule type="containsText" dxfId="1545" priority="499" operator="containsText" text="N">
      <formula>NOT(ISERROR(SEARCH(("N"),(N25))))</formula>
    </cfRule>
  </conditionalFormatting>
  <conditionalFormatting sqref="N24:AA24">
    <cfRule type="containsText" dxfId="1544" priority="578" operator="containsText" text="N">
      <formula>NOT(ISERROR(SEARCH(("N"),(N24))))</formula>
    </cfRule>
  </conditionalFormatting>
  <conditionalFormatting sqref="P20">
    <cfRule type="containsText" dxfId="1543" priority="1000" operator="containsText" text="O">
      <formula>NOT(ISERROR(SEARCH(("O"),(P20))))</formula>
    </cfRule>
    <cfRule type="containsText" dxfId="1542" priority="1001" operator="containsText" text="C">
      <formula>NOT(ISERROR(SEARCH(("C"),(P20))))</formula>
    </cfRule>
    <cfRule type="containsText" dxfId="1541" priority="1002" operator="containsText" text="P">
      <formula>NOT(ISERROR(SEARCH(("P"),(P20))))</formula>
    </cfRule>
    <cfRule type="containsText" dxfId="1540" priority="1003" operator="containsText" text="K">
      <formula>NOT(ISERROR(SEARCH(("K"),(P20))))</formula>
    </cfRule>
    <cfRule type="containsText" dxfId="1539" priority="1004" operator="containsText" text="X">
      <formula>NOT(ISERROR(SEARCH(("X"),(P20))))</formula>
    </cfRule>
    <cfRule type="containsText" dxfId="1538" priority="1005" operator="containsText" text="L">
      <formula>NOT(ISERROR(SEARCH(("L"),(P20))))</formula>
    </cfRule>
  </conditionalFormatting>
  <conditionalFormatting sqref="P23:P27 R23:R27">
    <cfRule type="containsText" dxfId="1537" priority="1659" operator="containsText" text="O">
      <formula>NOT(ISERROR(SEARCH(("O"),(P23))))</formula>
    </cfRule>
    <cfRule type="containsText" dxfId="1536" priority="1660" operator="containsText" text="C">
      <formula>NOT(ISERROR(SEARCH(("C"),(P23))))</formula>
    </cfRule>
    <cfRule type="containsText" dxfId="1535" priority="1661" operator="containsText" text="P">
      <formula>NOT(ISERROR(SEARCH(("P"),(P23))))</formula>
    </cfRule>
    <cfRule type="containsText" dxfId="1534" priority="1662" operator="containsText" text="K">
      <formula>NOT(ISERROR(SEARCH(("K"),(P23))))</formula>
    </cfRule>
    <cfRule type="containsText" dxfId="1533" priority="1663" operator="containsText" text="X">
      <formula>NOT(ISERROR(SEARCH(("X"),(P23))))</formula>
    </cfRule>
    <cfRule type="containsText" dxfId="1532" priority="1664" operator="containsText" text="L">
      <formula>NOT(ISERROR(SEARCH(("L"),(P23))))</formula>
    </cfRule>
    <cfRule type="containsText" dxfId="1531" priority="1665" operator="containsText" text="N">
      <formula>NOT(ISERROR(SEARCH(("N"),(P23))))</formula>
    </cfRule>
  </conditionalFormatting>
  <conditionalFormatting sqref="P20:Q20">
    <cfRule type="containsText" dxfId="1530" priority="987" operator="containsText" text="O">
      <formula>NOT(ISERROR(SEARCH(("O"),(P20))))</formula>
    </cfRule>
    <cfRule type="containsText" dxfId="1529" priority="988" operator="containsText" text="C">
      <formula>NOT(ISERROR(SEARCH(("C"),(P20))))</formula>
    </cfRule>
    <cfRule type="containsText" dxfId="1528" priority="989" operator="containsText" text="P">
      <formula>NOT(ISERROR(SEARCH(("P"),(P20))))</formula>
    </cfRule>
    <cfRule type="containsText" dxfId="1527" priority="990" operator="containsText" text="K">
      <formula>NOT(ISERROR(SEARCH(("K"),(P20))))</formula>
    </cfRule>
    <cfRule type="containsText" dxfId="1526" priority="991" operator="containsText" text="X">
      <formula>NOT(ISERROR(SEARCH(("X"),(P20))))</formula>
    </cfRule>
    <cfRule type="containsText" dxfId="1525" priority="992" operator="containsText" text="L">
      <formula>NOT(ISERROR(SEARCH(("L"),(P20))))</formula>
    </cfRule>
  </conditionalFormatting>
  <conditionalFormatting sqref="P14:R14">
    <cfRule type="containsText" dxfId="1524" priority="1951" operator="containsText" text="N">
      <formula>NOT(ISERROR(SEARCH(("N"),(P14))))</formula>
    </cfRule>
    <cfRule type="containsText" dxfId="1523" priority="1952" operator="containsText" text="O">
      <formula>NOT(ISERROR(SEARCH(("O"),(P14))))</formula>
    </cfRule>
    <cfRule type="containsText" dxfId="1522" priority="1953" operator="containsText" text="C">
      <formula>NOT(ISERROR(SEARCH(("C"),(P14))))</formula>
    </cfRule>
    <cfRule type="containsText" dxfId="1521" priority="1954" operator="containsText" text="P">
      <formula>NOT(ISERROR(SEARCH(("P"),(P14))))</formula>
    </cfRule>
    <cfRule type="containsText" dxfId="1520" priority="1955" operator="containsText" text="K">
      <formula>NOT(ISERROR(SEARCH(("K"),(P14))))</formula>
    </cfRule>
    <cfRule type="containsText" dxfId="1519" priority="1956" operator="containsText" text="X">
      <formula>NOT(ISERROR(SEARCH(("X"),(P14))))</formula>
    </cfRule>
    <cfRule type="containsText" dxfId="1518" priority="1957" operator="containsText" text="L">
      <formula>NOT(ISERROR(SEARCH(("L"),(P14))))</formula>
    </cfRule>
  </conditionalFormatting>
  <conditionalFormatting sqref="P14:S14">
    <cfRule type="containsText" dxfId="1517" priority="1910" operator="containsText" text="L">
      <formula>NOT(ISERROR(SEARCH(("L"),(P14))))</formula>
    </cfRule>
  </conditionalFormatting>
  <conditionalFormatting sqref="P14:S15">
    <cfRule type="containsText" dxfId="1516" priority="1938" operator="containsText" text="N">
      <formula>NOT(ISERROR(SEARCH(("N"),(P14))))</formula>
    </cfRule>
    <cfRule type="containsText" dxfId="1515" priority="1939" operator="containsText" text="O">
      <formula>NOT(ISERROR(SEARCH(("O"),(P14))))</formula>
    </cfRule>
    <cfRule type="containsText" dxfId="1514" priority="1940" operator="containsText" text="C">
      <formula>NOT(ISERROR(SEARCH(("C"),(P14))))</formula>
    </cfRule>
    <cfRule type="containsText" dxfId="1513" priority="1941" operator="containsText" text="P">
      <formula>NOT(ISERROR(SEARCH(("P"),(P14))))</formula>
    </cfRule>
    <cfRule type="containsText" dxfId="1512" priority="1942" operator="containsText" text="K">
      <formula>NOT(ISERROR(SEARCH(("K"),(P14))))</formula>
    </cfRule>
    <cfRule type="containsText" dxfId="1511" priority="1943" operator="containsText" text="X">
      <formula>NOT(ISERROR(SEARCH(("X"),(P14))))</formula>
    </cfRule>
  </conditionalFormatting>
  <conditionalFormatting sqref="P15:S15">
    <cfRule type="containsText" dxfId="1510" priority="2475" operator="containsText" text="L">
      <formula>NOT(ISERROR(SEARCH(("L"),(P15))))</formula>
    </cfRule>
  </conditionalFormatting>
  <conditionalFormatting sqref="P11:T14 M11:Q11">
    <cfRule type="containsText" dxfId="1509" priority="1972" operator="containsText" text="N">
      <formula>NOT(ISERROR(SEARCH(("N"),(M11))))</formula>
    </cfRule>
  </conditionalFormatting>
  <conditionalFormatting sqref="P16:T27">
    <cfRule type="containsText" dxfId="1508" priority="2910" operator="containsText" text="N">
      <formula>NOT(ISERROR(SEARCH(("N"),(P16))))</formula>
    </cfRule>
    <cfRule type="containsText" dxfId="1507" priority="2911" operator="containsText" text="O">
      <formula>NOT(ISERROR(SEARCH(("O"),(P16))))</formula>
    </cfRule>
    <cfRule type="containsText" dxfId="1506" priority="2912" operator="containsText" text="C">
      <formula>NOT(ISERROR(SEARCH(("C"),(P16))))</formula>
    </cfRule>
    <cfRule type="containsText" dxfId="1505" priority="2913" operator="containsText" text="P">
      <formula>NOT(ISERROR(SEARCH(("P"),(P16))))</formula>
    </cfRule>
    <cfRule type="containsText" dxfId="1504" priority="2914" operator="containsText" text="K">
      <formula>NOT(ISERROR(SEARCH(("K"),(P16))))</formula>
    </cfRule>
    <cfRule type="containsText" dxfId="1503" priority="2915" operator="containsText" text="X">
      <formula>NOT(ISERROR(SEARCH(("X"),(P16))))</formula>
    </cfRule>
    <cfRule type="containsText" dxfId="1502" priority="2916" operator="containsText" text="L">
      <formula>NOT(ISERROR(SEARCH(("L"),(P16))))</formula>
    </cfRule>
  </conditionalFormatting>
  <conditionalFormatting sqref="P19:T19">
    <cfRule type="containsText" dxfId="1501" priority="2694" operator="containsText" text="O">
      <formula>NOT(ISERROR(SEARCH(("O"),(P19))))</formula>
    </cfRule>
    <cfRule type="containsText" dxfId="1500" priority="2695" operator="containsText" text="C">
      <formula>NOT(ISERROR(SEARCH(("C"),(P19))))</formula>
    </cfRule>
    <cfRule type="containsText" dxfId="1499" priority="2696" operator="containsText" text="P">
      <formula>NOT(ISERROR(SEARCH(("P"),(P19))))</formula>
    </cfRule>
    <cfRule type="containsText" dxfId="1498" priority="2697" operator="containsText" text="K">
      <formula>NOT(ISERROR(SEARCH(("K"),(P19))))</formula>
    </cfRule>
    <cfRule type="containsText" dxfId="1497" priority="2698" operator="containsText" text="X">
      <formula>NOT(ISERROR(SEARCH(("X"),(P19))))</formula>
    </cfRule>
    <cfRule type="containsText" dxfId="1496" priority="2699" operator="containsText" text="L">
      <formula>NOT(ISERROR(SEARCH(("L"),(P19))))</formula>
    </cfRule>
    <cfRule type="containsText" dxfId="1495" priority="2700" operator="containsText" text="O">
      <formula>NOT(ISERROR(SEARCH(("O"),(P19))))</formula>
    </cfRule>
    <cfRule type="containsText" dxfId="1494" priority="2701" operator="containsText" text="C">
      <formula>NOT(ISERROR(SEARCH(("C"),(P19))))</formula>
    </cfRule>
    <cfRule type="containsText" dxfId="1493" priority="2702" operator="containsText" text="P">
      <formula>NOT(ISERROR(SEARCH(("P"),(P19))))</formula>
    </cfRule>
    <cfRule type="containsText" dxfId="1492" priority="2703" operator="containsText" text="K">
      <formula>NOT(ISERROR(SEARCH(("K"),(P19))))</formula>
    </cfRule>
    <cfRule type="containsText" dxfId="1491" priority="2704" operator="containsText" text="X">
      <formula>NOT(ISERROR(SEARCH(("X"),(P19))))</formula>
    </cfRule>
    <cfRule type="containsText" dxfId="1490" priority="2705" operator="containsText" text="L">
      <formula>NOT(ISERROR(SEARCH(("L"),(P19))))</formula>
    </cfRule>
    <cfRule type="containsText" dxfId="1489" priority="2706" operator="containsText" text="N">
      <formula>NOT(ISERROR(SEARCH(("N"),(P19))))</formula>
    </cfRule>
  </conditionalFormatting>
  <conditionalFormatting sqref="P19:T22">
    <cfRule type="containsText" dxfId="1488" priority="1700" operator="containsText" text="N">
      <formula>NOT(ISERROR(SEARCH(("N"),(P19))))</formula>
    </cfRule>
  </conditionalFormatting>
  <conditionalFormatting sqref="P20:T21">
    <cfRule type="containsText" dxfId="1487" priority="1687" operator="containsText" text="N">
      <formula>NOT(ISERROR(SEARCH(("N"),(P20))))</formula>
    </cfRule>
    <cfRule type="containsText" dxfId="1486" priority="1688" operator="containsText" text="O">
      <formula>NOT(ISERROR(SEARCH(("O"),(P20))))</formula>
    </cfRule>
    <cfRule type="containsText" dxfId="1485" priority="1689" operator="containsText" text="C">
      <formula>NOT(ISERROR(SEARCH(("C"),(P20))))</formula>
    </cfRule>
    <cfRule type="containsText" dxfId="1484" priority="1690" operator="containsText" text="P">
      <formula>NOT(ISERROR(SEARCH(("P"),(P20))))</formula>
    </cfRule>
    <cfRule type="containsText" dxfId="1483" priority="1691" operator="containsText" text="K">
      <formula>NOT(ISERROR(SEARCH(("K"),(P20))))</formula>
    </cfRule>
    <cfRule type="containsText" dxfId="1482" priority="1692" operator="containsText" text="X">
      <formula>NOT(ISERROR(SEARCH(("X"),(P20))))</formula>
    </cfRule>
    <cfRule type="containsText" dxfId="1481" priority="1693" operator="containsText" text="L">
      <formula>NOT(ISERROR(SEARCH(("L"),(P20))))</formula>
    </cfRule>
    <cfRule type="containsText" dxfId="1480" priority="1694" operator="containsText" text="O">
      <formula>NOT(ISERROR(SEARCH(("O"),(P20))))</formula>
    </cfRule>
    <cfRule type="containsText" dxfId="1479" priority="1695" operator="containsText" text="C">
      <formula>NOT(ISERROR(SEARCH(("C"),(P20))))</formula>
    </cfRule>
    <cfRule type="containsText" dxfId="1478" priority="1696" operator="containsText" text="P">
      <formula>NOT(ISERROR(SEARCH(("P"),(P20))))</formula>
    </cfRule>
    <cfRule type="containsText" dxfId="1477" priority="1697" operator="containsText" text="K">
      <formula>NOT(ISERROR(SEARCH(("K"),(P20))))</formula>
    </cfRule>
    <cfRule type="containsText" dxfId="1476" priority="1698" operator="containsText" text="X">
      <formula>NOT(ISERROR(SEARCH(("X"),(P20))))</formula>
    </cfRule>
    <cfRule type="containsText" dxfId="1475" priority="1699" operator="containsText" text="L">
      <formula>NOT(ISERROR(SEARCH(("L"),(P20))))</formula>
    </cfRule>
  </conditionalFormatting>
  <conditionalFormatting sqref="P22:T22">
    <cfRule type="containsText" dxfId="1474" priority="2422" operator="containsText" text="O">
      <formula>NOT(ISERROR(SEARCH(("O"),(P22))))</formula>
    </cfRule>
    <cfRule type="containsText" dxfId="1473" priority="2423" operator="containsText" text="C">
      <formula>NOT(ISERROR(SEARCH(("C"),(P22))))</formula>
    </cfRule>
    <cfRule type="containsText" dxfId="1472" priority="2424" operator="containsText" text="P">
      <formula>NOT(ISERROR(SEARCH(("P"),(P22))))</formula>
    </cfRule>
    <cfRule type="containsText" dxfId="1471" priority="2425" operator="containsText" text="K">
      <formula>NOT(ISERROR(SEARCH(("K"),(P22))))</formula>
    </cfRule>
    <cfRule type="containsText" dxfId="1470" priority="2426" operator="containsText" text="X">
      <formula>NOT(ISERROR(SEARCH(("X"),(P22))))</formula>
    </cfRule>
    <cfRule type="containsText" dxfId="1469" priority="2427" operator="containsText" text="L">
      <formula>NOT(ISERROR(SEARCH(("L"),(P22))))</formula>
    </cfRule>
    <cfRule type="containsText" dxfId="1468" priority="2428" operator="containsText" text="O">
      <formula>NOT(ISERROR(SEARCH(("O"),(P22))))</formula>
    </cfRule>
    <cfRule type="containsText" dxfId="1467" priority="2429" operator="containsText" text="C">
      <formula>NOT(ISERROR(SEARCH(("C"),(P22))))</formula>
    </cfRule>
    <cfRule type="containsText" dxfId="1466" priority="2430" operator="containsText" text="P">
      <formula>NOT(ISERROR(SEARCH(("P"),(P22))))</formula>
    </cfRule>
    <cfRule type="containsText" dxfId="1465" priority="2431" operator="containsText" text="K">
      <formula>NOT(ISERROR(SEARCH(("K"),(P22))))</formula>
    </cfRule>
    <cfRule type="containsText" dxfId="1464" priority="2432" operator="containsText" text="X">
      <formula>NOT(ISERROR(SEARCH(("X"),(P22))))</formula>
    </cfRule>
    <cfRule type="containsText" dxfId="1463" priority="2433" operator="containsText" text="L">
      <formula>NOT(ISERROR(SEARCH(("L"),(P22))))</formula>
    </cfRule>
    <cfRule type="containsText" dxfId="1462" priority="2434" operator="containsText" text="N">
      <formula>NOT(ISERROR(SEARCH(("N"),(P22))))</formula>
    </cfRule>
  </conditionalFormatting>
  <conditionalFormatting sqref="P23:T27">
    <cfRule type="containsText" dxfId="1461" priority="1624" operator="containsText" text="N">
      <formula>NOT(ISERROR(SEARCH(("N"),(P23))))</formula>
    </cfRule>
    <cfRule type="containsText" dxfId="1460" priority="1625" operator="containsText" text="O">
      <formula>NOT(ISERROR(SEARCH(("O"),(P23))))</formula>
    </cfRule>
    <cfRule type="containsText" dxfId="1459" priority="1626" operator="containsText" text="C">
      <formula>NOT(ISERROR(SEARCH(("C"),(P23))))</formula>
    </cfRule>
    <cfRule type="containsText" dxfId="1458" priority="1627" operator="containsText" text="P">
      <formula>NOT(ISERROR(SEARCH(("P"),(P23))))</formula>
    </cfRule>
    <cfRule type="containsText" dxfId="1457" priority="1628" operator="containsText" text="K">
      <formula>NOT(ISERROR(SEARCH(("K"),(P23))))</formula>
    </cfRule>
    <cfRule type="containsText" dxfId="1456" priority="1629" operator="containsText" text="X">
      <formula>NOT(ISERROR(SEARCH(("X"),(P23))))</formula>
    </cfRule>
    <cfRule type="containsText" dxfId="1455" priority="1630" operator="containsText" text="L">
      <formula>NOT(ISERROR(SEARCH(("L"),(P23))))</formula>
    </cfRule>
    <cfRule type="containsText" dxfId="1454" priority="1631" operator="containsText" text="O">
      <formula>NOT(ISERROR(SEARCH(("O"),(P23))))</formula>
    </cfRule>
    <cfRule type="containsText" dxfId="1453" priority="1632" operator="containsText" text="C">
      <formula>NOT(ISERROR(SEARCH(("C"),(P23))))</formula>
    </cfRule>
    <cfRule type="containsText" dxfId="1452" priority="1633" operator="containsText" text="P">
      <formula>NOT(ISERROR(SEARCH(("P"),(P23))))</formula>
    </cfRule>
    <cfRule type="containsText" dxfId="1451" priority="1634" operator="containsText" text="K">
      <formula>NOT(ISERROR(SEARCH(("K"),(P23))))</formula>
    </cfRule>
    <cfRule type="containsText" dxfId="1450" priority="1635" operator="containsText" text="X">
      <formula>NOT(ISERROR(SEARCH(("X"),(P23))))</formula>
    </cfRule>
    <cfRule type="containsText" dxfId="1449" priority="1636" operator="containsText" text="L">
      <formula>NOT(ISERROR(SEARCH(("L"),(P23))))</formula>
    </cfRule>
    <cfRule type="containsText" dxfId="1448" priority="1637" operator="containsText" text="N">
      <formula>NOT(ISERROR(SEARCH(("N"),(P23))))</formula>
    </cfRule>
    <cfRule type="containsText" dxfId="1447" priority="1639" operator="containsText" text="O">
      <formula>NOT(ISERROR(SEARCH(("O"),(P23))))</formula>
    </cfRule>
    <cfRule type="containsText" dxfId="1446" priority="1640" operator="containsText" text="C">
      <formula>NOT(ISERROR(SEARCH(("C"),(P23))))</formula>
    </cfRule>
    <cfRule type="containsText" dxfId="1445" priority="1641" operator="containsText" text="P">
      <formula>NOT(ISERROR(SEARCH(("P"),(P23))))</formula>
    </cfRule>
    <cfRule type="containsText" dxfId="1444" priority="1642" operator="containsText" text="K">
      <formula>NOT(ISERROR(SEARCH(("K"),(P23))))</formula>
    </cfRule>
    <cfRule type="containsText" dxfId="1443" priority="1643" operator="containsText" text="X">
      <formula>NOT(ISERROR(SEARCH(("X"),(P23))))</formula>
    </cfRule>
    <cfRule type="containsText" dxfId="1442" priority="1644" operator="containsText" text="L">
      <formula>NOT(ISERROR(SEARCH(("L"),(P23))))</formula>
    </cfRule>
    <cfRule type="containsText" dxfId="1441" priority="1652" operator="containsText" text="N">
      <formula>NOT(ISERROR(SEARCH(("N"),(P23))))</formula>
    </cfRule>
    <cfRule type="containsText" dxfId="1440" priority="1653" operator="containsText" text="O">
      <formula>NOT(ISERROR(SEARCH(("O"),(P23))))</formula>
    </cfRule>
    <cfRule type="containsText" dxfId="1439" priority="1654" operator="containsText" text="C">
      <formula>NOT(ISERROR(SEARCH(("C"),(P23))))</formula>
    </cfRule>
    <cfRule type="containsText" dxfId="1438" priority="1655" operator="containsText" text="P">
      <formula>NOT(ISERROR(SEARCH(("P"),(P23))))</formula>
    </cfRule>
    <cfRule type="containsText" dxfId="1437" priority="1656" operator="containsText" text="K">
      <formula>NOT(ISERROR(SEARCH(("K"),(P23))))</formula>
    </cfRule>
    <cfRule type="containsText" dxfId="1436" priority="1657" operator="containsText" text="X">
      <formula>NOT(ISERROR(SEARCH(("X"),(P23))))</formula>
    </cfRule>
    <cfRule type="containsText" dxfId="1435" priority="1658" operator="containsText" text="L">
      <formula>NOT(ISERROR(SEARCH(("L"),(P23))))</formula>
    </cfRule>
  </conditionalFormatting>
  <conditionalFormatting sqref="P24:T24">
    <cfRule type="containsText" dxfId="1434" priority="631" operator="containsText" text="L">
      <formula>NOT(ISERROR(SEARCH(("L"),(P24))))</formula>
    </cfRule>
    <cfRule type="containsText" dxfId="1433" priority="632" operator="containsText" text="O">
      <formula>NOT(ISERROR(SEARCH(("O"),(P24))))</formula>
    </cfRule>
    <cfRule type="containsText" dxfId="1432" priority="633" operator="containsText" text="C">
      <formula>NOT(ISERROR(SEARCH(("C"),(P24))))</formula>
    </cfRule>
    <cfRule type="containsText" dxfId="1431" priority="634" operator="containsText" text="P">
      <formula>NOT(ISERROR(SEARCH(("P"),(P24))))</formula>
    </cfRule>
    <cfRule type="containsText" dxfId="1430" priority="635" operator="containsText" text="K">
      <formula>NOT(ISERROR(SEARCH(("K"),(P24))))</formula>
    </cfRule>
    <cfRule type="containsText" dxfId="1429" priority="636" operator="containsText" text="X">
      <formula>NOT(ISERROR(SEARCH(("X"),(P24))))</formula>
    </cfRule>
    <cfRule type="containsText" dxfId="1428" priority="637" operator="containsText" text="L">
      <formula>NOT(ISERROR(SEARCH(("L"),(P24))))</formula>
    </cfRule>
    <cfRule type="containsText" dxfId="1427" priority="638" operator="containsText" text="N">
      <formula>NOT(ISERROR(SEARCH(("N"),(P24))))</formula>
    </cfRule>
  </conditionalFormatting>
  <conditionalFormatting sqref="P25:T25">
    <cfRule type="containsText" dxfId="1426" priority="527" operator="containsText" text="O">
      <formula>NOT(ISERROR(SEARCH(("O"),(P25))))</formula>
    </cfRule>
    <cfRule type="containsText" dxfId="1425" priority="528" operator="containsText" text="C">
      <formula>NOT(ISERROR(SEARCH(("C"),(P25))))</formula>
    </cfRule>
    <cfRule type="containsText" dxfId="1424" priority="529" operator="containsText" text="P">
      <formula>NOT(ISERROR(SEARCH(("P"),(P25))))</formula>
    </cfRule>
    <cfRule type="containsText" dxfId="1423" priority="530" operator="containsText" text="K">
      <formula>NOT(ISERROR(SEARCH(("K"),(P25))))</formula>
    </cfRule>
    <cfRule type="containsText" dxfId="1422" priority="531" operator="containsText" text="X">
      <formula>NOT(ISERROR(SEARCH(("X"),(P25))))</formula>
    </cfRule>
    <cfRule type="containsText" dxfId="1421" priority="532" operator="containsText" text="L">
      <formula>NOT(ISERROR(SEARCH(("L"),(P25))))</formula>
    </cfRule>
    <cfRule type="containsText" dxfId="1420" priority="533" operator="containsText" text="O">
      <formula>NOT(ISERROR(SEARCH(("O"),(P25))))</formula>
    </cfRule>
    <cfRule type="containsText" dxfId="1419" priority="534" operator="containsText" text="C">
      <formula>NOT(ISERROR(SEARCH(("C"),(P25))))</formula>
    </cfRule>
    <cfRule type="containsText" dxfId="1418" priority="535" operator="containsText" text="P">
      <formula>NOT(ISERROR(SEARCH(("P"),(P25))))</formula>
    </cfRule>
    <cfRule type="containsText" dxfId="1417" priority="536" operator="containsText" text="K">
      <formula>NOT(ISERROR(SEARCH(("K"),(P25))))</formula>
    </cfRule>
    <cfRule type="containsText" dxfId="1416" priority="537" operator="containsText" text="X">
      <formula>NOT(ISERROR(SEARCH(("X"),(P25))))</formula>
    </cfRule>
    <cfRule type="containsText" dxfId="1415" priority="538" operator="containsText" text="L">
      <formula>NOT(ISERROR(SEARCH(("L"),(P25))))</formula>
    </cfRule>
    <cfRule type="containsText" dxfId="1414" priority="539" operator="containsText" text="N">
      <formula>NOT(ISERROR(SEARCH(("N"),(P25))))</formula>
    </cfRule>
  </conditionalFormatting>
  <conditionalFormatting sqref="Q20">
    <cfRule type="containsText" dxfId="1413" priority="981" operator="containsText" text="O">
      <formula>NOT(ISERROR(SEARCH(("O"),(Q20))))</formula>
    </cfRule>
    <cfRule type="containsText" dxfId="1412" priority="982" operator="containsText" text="C">
      <formula>NOT(ISERROR(SEARCH(("C"),(Q20))))</formula>
    </cfRule>
    <cfRule type="containsText" dxfId="1411" priority="983" operator="containsText" text="P">
      <formula>NOT(ISERROR(SEARCH(("P"),(Q20))))</formula>
    </cfRule>
    <cfRule type="containsText" dxfId="1410" priority="984" operator="containsText" text="K">
      <formula>NOT(ISERROR(SEARCH(("K"),(Q20))))</formula>
    </cfRule>
    <cfRule type="containsText" dxfId="1409" priority="985" operator="containsText" text="X">
      <formula>NOT(ISERROR(SEARCH(("X"),(Q20))))</formula>
    </cfRule>
    <cfRule type="containsText" dxfId="1408" priority="986" operator="containsText" text="L">
      <formula>NOT(ISERROR(SEARCH(("L"),(Q20))))</formula>
    </cfRule>
    <cfRule type="containsText" dxfId="1407" priority="993" operator="containsText" text="N">
      <formula>NOT(ISERROR(SEARCH(("N"),(Q20))))</formula>
    </cfRule>
  </conditionalFormatting>
  <conditionalFormatting sqref="R14">
    <cfRule type="containsText" dxfId="1406" priority="1904" operator="containsText" text="N">
      <formula>NOT(ISERROR(SEARCH(("N"),(R14))))</formula>
    </cfRule>
    <cfRule type="containsText" dxfId="1405" priority="1905" operator="containsText" text="O">
      <formula>NOT(ISERROR(SEARCH(("O"),(R14))))</formula>
    </cfRule>
    <cfRule type="containsText" dxfId="1404" priority="1906" operator="containsText" text="C">
      <formula>NOT(ISERROR(SEARCH(("C"),(R14))))</formula>
    </cfRule>
    <cfRule type="containsText" dxfId="1403" priority="1907" operator="containsText" text="P">
      <formula>NOT(ISERROR(SEARCH(("P"),(R14))))</formula>
    </cfRule>
    <cfRule type="containsText" dxfId="1402" priority="1908" operator="containsText" text="K">
      <formula>NOT(ISERROR(SEARCH(("K"),(R14))))</formula>
    </cfRule>
    <cfRule type="containsText" dxfId="1401" priority="1909" operator="containsText" text="X">
      <formula>NOT(ISERROR(SEARCH(("X"),(R14))))</formula>
    </cfRule>
  </conditionalFormatting>
  <conditionalFormatting sqref="R23:R27">
    <cfRule type="containsText" dxfId="1400" priority="1646" operator="containsText" text="N">
      <formula>NOT(ISERROR(SEARCH(("N"),(R23))))</formula>
    </cfRule>
    <cfRule type="containsText" dxfId="1399" priority="1647" operator="containsText" text="O">
      <formula>NOT(ISERROR(SEARCH(("O"),(R23))))</formula>
    </cfRule>
    <cfRule type="containsText" dxfId="1398" priority="1648" operator="containsText" text="C">
      <formula>NOT(ISERROR(SEARCH(("C"),(R23))))</formula>
    </cfRule>
    <cfRule type="containsText" dxfId="1397" priority="1649" operator="containsText" text="P">
      <formula>NOT(ISERROR(SEARCH(("P"),(R23))))</formula>
    </cfRule>
    <cfRule type="containsText" dxfId="1396" priority="1650" operator="containsText" text="K">
      <formula>NOT(ISERROR(SEARCH(("K"),(R23))))</formula>
    </cfRule>
    <cfRule type="containsText" dxfId="1395" priority="1651" operator="containsText" text="X">
      <formula>NOT(ISERROR(SEARCH(("X"),(R23))))</formula>
    </cfRule>
  </conditionalFormatting>
  <conditionalFormatting sqref="S14">
    <cfRule type="containsText" dxfId="1394" priority="1932" operator="containsText" text="N">
      <formula>NOT(ISERROR(SEARCH(("N"),(S14))))</formula>
    </cfRule>
    <cfRule type="containsText" dxfId="1393" priority="1933" operator="containsText" text="O">
      <formula>NOT(ISERROR(SEARCH(("O"),(S14))))</formula>
    </cfRule>
    <cfRule type="containsText" dxfId="1392" priority="1934" operator="containsText" text="C">
      <formula>NOT(ISERROR(SEARCH(("C"),(S14))))</formula>
    </cfRule>
    <cfRule type="containsText" dxfId="1391" priority="1935" operator="containsText" text="P">
      <formula>NOT(ISERROR(SEARCH(("P"),(S14))))</formula>
    </cfRule>
    <cfRule type="containsText" dxfId="1390" priority="1936" operator="containsText" text="K">
      <formula>NOT(ISERROR(SEARCH(("K"),(S14))))</formula>
    </cfRule>
    <cfRule type="containsText" dxfId="1389" priority="1937" operator="containsText" text="X">
      <formula>NOT(ISERROR(SEARCH(("X"),(S14))))</formula>
    </cfRule>
    <cfRule type="containsText" dxfId="1388" priority="1944" operator="containsText" text="L">
      <formula>NOT(ISERROR(SEARCH(("L"),(S14))))</formula>
    </cfRule>
  </conditionalFormatting>
  <conditionalFormatting sqref="S20:S21">
    <cfRule type="containsText" dxfId="1387" priority="2582" operator="containsText" text="O">
      <formula>NOT(ISERROR(SEARCH(("O"),(S20))))</formula>
    </cfRule>
    <cfRule type="containsText" dxfId="1386" priority="2583" operator="containsText" text="C">
      <formula>NOT(ISERROR(SEARCH(("C"),(S20))))</formula>
    </cfRule>
    <cfRule type="containsText" dxfId="1385" priority="2584" operator="containsText" text="P">
      <formula>NOT(ISERROR(SEARCH(("P"),(S20))))</formula>
    </cfRule>
    <cfRule type="containsText" dxfId="1384" priority="2585" operator="containsText" text="K">
      <formula>NOT(ISERROR(SEARCH(("K"),(S20))))</formula>
    </cfRule>
    <cfRule type="containsText" dxfId="1383" priority="2586" operator="containsText" text="X">
      <formula>NOT(ISERROR(SEARCH(("X"),(S20))))</formula>
    </cfRule>
    <cfRule type="containsText" dxfId="1382" priority="2587" operator="containsText" text="L">
      <formula>NOT(ISERROR(SEARCH(("L"),(S20))))</formula>
    </cfRule>
    <cfRule type="containsText" dxfId="1381" priority="2588" operator="containsText" text="O">
      <formula>NOT(ISERROR(SEARCH(("O"),(S20))))</formula>
    </cfRule>
    <cfRule type="containsText" dxfId="1380" priority="2589" operator="containsText" text="C">
      <formula>NOT(ISERROR(SEARCH(("C"),(S20))))</formula>
    </cfRule>
    <cfRule type="containsText" dxfId="1379" priority="2590" operator="containsText" text="P">
      <formula>NOT(ISERROR(SEARCH(("P"),(S20))))</formula>
    </cfRule>
    <cfRule type="containsText" dxfId="1378" priority="2591" operator="containsText" text="K">
      <formula>NOT(ISERROR(SEARCH(("K"),(S20))))</formula>
    </cfRule>
    <cfRule type="containsText" dxfId="1377" priority="2592" operator="containsText" text="X">
      <formula>NOT(ISERROR(SEARCH(("X"),(S20))))</formula>
    </cfRule>
    <cfRule type="containsText" dxfId="1376" priority="2593" operator="containsText" text="L">
      <formula>NOT(ISERROR(SEARCH(("L"),(S20))))</formula>
    </cfRule>
    <cfRule type="containsText" dxfId="1375" priority="2594" operator="containsText" text="N">
      <formula>NOT(ISERROR(SEARCH(("N"),(S20))))</formula>
    </cfRule>
  </conditionalFormatting>
  <conditionalFormatting sqref="S20:T21">
    <cfRule type="containsText" dxfId="1374" priority="2580" operator="containsText" text="N">
      <formula>NOT(ISERROR(SEARCH(("N"),(S20))))</formula>
    </cfRule>
  </conditionalFormatting>
  <conditionalFormatting sqref="T11:T14 W11:AA17">
    <cfRule type="containsText" dxfId="1373" priority="1898" operator="containsText" text="O">
      <formula>NOT(ISERROR(SEARCH(("O"),(T11))))</formula>
    </cfRule>
    <cfRule type="containsText" dxfId="1372" priority="1899" operator="containsText" text="C">
      <formula>NOT(ISERROR(SEARCH(("C"),(T11))))</formula>
    </cfRule>
    <cfRule type="containsText" dxfId="1371" priority="1900" operator="containsText" text="P">
      <formula>NOT(ISERROR(SEARCH(("P"),(T11))))</formula>
    </cfRule>
    <cfRule type="containsText" dxfId="1370" priority="1901" operator="containsText" text="K">
      <formula>NOT(ISERROR(SEARCH(("K"),(T11))))</formula>
    </cfRule>
    <cfRule type="containsText" dxfId="1369" priority="1902" operator="containsText" text="X">
      <formula>NOT(ISERROR(SEARCH(("X"),(T11))))</formula>
    </cfRule>
    <cfRule type="containsText" dxfId="1368" priority="1903" operator="containsText" text="L">
      <formula>NOT(ISERROR(SEARCH(("L"),(T11))))</formula>
    </cfRule>
  </conditionalFormatting>
  <conditionalFormatting sqref="T15:T18">
    <cfRule type="containsText" dxfId="1367" priority="2840" operator="containsText" text="N">
      <formula>NOT(ISERROR(SEARCH(("N"),(T15))))</formula>
    </cfRule>
    <cfRule type="containsText" dxfId="1366" priority="2841" operator="containsText" text="O">
      <formula>NOT(ISERROR(SEARCH(("O"),(T15))))</formula>
    </cfRule>
    <cfRule type="containsText" dxfId="1365" priority="2842" operator="containsText" text="C">
      <formula>NOT(ISERROR(SEARCH(("C"),(T15))))</formula>
    </cfRule>
    <cfRule type="containsText" dxfId="1364" priority="2843" operator="containsText" text="P">
      <formula>NOT(ISERROR(SEARCH(("P"),(T15))))</formula>
    </cfRule>
    <cfRule type="containsText" dxfId="1363" priority="2844" operator="containsText" text="K">
      <formula>NOT(ISERROR(SEARCH(("K"),(T15))))</formula>
    </cfRule>
    <cfRule type="containsText" dxfId="1362" priority="2845" operator="containsText" text="X">
      <formula>NOT(ISERROR(SEARCH(("X"),(T15))))</formula>
    </cfRule>
    <cfRule type="containsText" dxfId="1361" priority="2846" operator="containsText" text="L">
      <formula>NOT(ISERROR(SEARCH(("L"),(T15))))</formula>
    </cfRule>
  </conditionalFormatting>
  <conditionalFormatting sqref="T20:T21">
    <cfRule type="containsText" dxfId="1360" priority="2567" operator="containsText" text="N">
      <formula>NOT(ISERROR(SEARCH(("N"),(T20))))</formula>
    </cfRule>
    <cfRule type="containsText" dxfId="1359" priority="2568" operator="containsText" text="O">
      <formula>NOT(ISERROR(SEARCH(("O"),(T20))))</formula>
    </cfRule>
    <cfRule type="containsText" dxfId="1358" priority="2569" operator="containsText" text="C">
      <formula>NOT(ISERROR(SEARCH(("C"),(T20))))</formula>
    </cfRule>
    <cfRule type="containsText" dxfId="1357" priority="2570" operator="containsText" text="P">
      <formula>NOT(ISERROR(SEARCH(("P"),(T20))))</formula>
    </cfRule>
    <cfRule type="containsText" dxfId="1356" priority="2571" operator="containsText" text="K">
      <formula>NOT(ISERROR(SEARCH(("K"),(T20))))</formula>
    </cfRule>
    <cfRule type="containsText" dxfId="1355" priority="2572" operator="containsText" text="X">
      <formula>NOT(ISERROR(SEARCH(("X"),(T20))))</formula>
    </cfRule>
    <cfRule type="containsText" dxfId="1354" priority="2573" operator="containsText" text="L">
      <formula>NOT(ISERROR(SEARCH(("L"),(T20))))</formula>
    </cfRule>
    <cfRule type="containsText" dxfId="1353" priority="2574" operator="containsText" text="O">
      <formula>NOT(ISERROR(SEARCH(("O"),(T20))))</formula>
    </cfRule>
    <cfRule type="containsText" dxfId="1352" priority="2575" operator="containsText" text="C">
      <formula>NOT(ISERROR(SEARCH(("C"),(T20))))</formula>
    </cfRule>
    <cfRule type="containsText" dxfId="1351" priority="2576" operator="containsText" text="P">
      <formula>NOT(ISERROR(SEARCH(("P"),(T20))))</formula>
    </cfRule>
    <cfRule type="containsText" dxfId="1350" priority="2577" operator="containsText" text="K">
      <formula>NOT(ISERROR(SEARCH(("K"),(T20))))</formula>
    </cfRule>
    <cfRule type="containsText" dxfId="1349" priority="2578" operator="containsText" text="X">
      <formula>NOT(ISERROR(SEARCH(("X"),(T20))))</formula>
    </cfRule>
    <cfRule type="containsText" dxfId="1348" priority="2579" operator="containsText" text="L">
      <formula>NOT(ISERROR(SEARCH(("L"),(T20))))</formula>
    </cfRule>
  </conditionalFormatting>
  <conditionalFormatting sqref="T26:T27">
    <cfRule type="containsText" dxfId="1347" priority="35" operator="containsText" text="O">
      <formula>NOT(ISERROR(SEARCH(("O"),(T26))))</formula>
    </cfRule>
    <cfRule type="containsText" dxfId="1346" priority="36" operator="containsText" text="C">
      <formula>NOT(ISERROR(SEARCH(("C"),(T26))))</formula>
    </cfRule>
    <cfRule type="containsText" dxfId="1345" priority="37" operator="containsText" text="P">
      <formula>NOT(ISERROR(SEARCH(("P"),(T26))))</formula>
    </cfRule>
    <cfRule type="containsText" dxfId="1344" priority="38" operator="containsText" text="K">
      <formula>NOT(ISERROR(SEARCH(("K"),(T26))))</formula>
    </cfRule>
    <cfRule type="containsText" dxfId="1343" priority="39" operator="containsText" text="X">
      <formula>NOT(ISERROR(SEARCH(("X"),(T26))))</formula>
    </cfRule>
    <cfRule type="containsText" dxfId="1342" priority="40" operator="containsText" text="L">
      <formula>NOT(ISERROR(SEARCH(("L"),(T26))))</formula>
    </cfRule>
    <cfRule type="containsText" dxfId="1341" priority="41" operator="containsText" text="O">
      <formula>NOT(ISERROR(SEARCH(("O"),(T26))))</formula>
    </cfRule>
    <cfRule type="containsText" dxfId="1340" priority="42" operator="containsText" text="C">
      <formula>NOT(ISERROR(SEARCH(("C"),(T26))))</formula>
    </cfRule>
    <cfRule type="containsText" dxfId="1339" priority="43" operator="containsText" text="P">
      <formula>NOT(ISERROR(SEARCH(("P"),(T26))))</formula>
    </cfRule>
    <cfRule type="containsText" dxfId="1338" priority="44" operator="containsText" text="K">
      <formula>NOT(ISERROR(SEARCH(("K"),(T26))))</formula>
    </cfRule>
    <cfRule type="containsText" dxfId="1337" priority="45" operator="containsText" text="X">
      <formula>NOT(ISERROR(SEARCH(("X"),(T26))))</formula>
    </cfRule>
    <cfRule type="containsText" dxfId="1336" priority="46" operator="containsText" text="L">
      <formula>NOT(ISERROR(SEARCH(("L"),(T26))))</formula>
    </cfRule>
    <cfRule type="containsText" dxfId="1335" priority="47" operator="containsText" text="N">
      <formula>NOT(ISERROR(SEARCH(("N"),(T26))))</formula>
    </cfRule>
  </conditionalFormatting>
  <conditionalFormatting sqref="T14:U14">
    <cfRule type="containsText" dxfId="1334" priority="264" operator="containsText" text="L">
      <formula>NOT(ISERROR(SEARCH(("L"),(T14))))</formula>
    </cfRule>
    <cfRule type="containsText" dxfId="1333" priority="265" operator="containsText" text="N">
      <formula>NOT(ISERROR(SEARCH(("N"),(T14))))</formula>
    </cfRule>
    <cfRule type="containsText" dxfId="1332" priority="266" operator="containsText" text="O">
      <formula>NOT(ISERROR(SEARCH(("O"),(T14))))</formula>
    </cfRule>
    <cfRule type="containsText" dxfId="1331" priority="267" operator="containsText" text="C">
      <formula>NOT(ISERROR(SEARCH(("C"),(T14))))</formula>
    </cfRule>
    <cfRule type="containsText" dxfId="1330" priority="268" operator="containsText" text="P">
      <formula>NOT(ISERROR(SEARCH(("P"),(T14))))</formula>
    </cfRule>
    <cfRule type="containsText" dxfId="1329" priority="269" operator="containsText" text="K">
      <formula>NOT(ISERROR(SEARCH(("K"),(T14))))</formula>
    </cfRule>
    <cfRule type="containsText" dxfId="1328" priority="270" operator="containsText" text="X">
      <formula>NOT(ISERROR(SEARCH(("X"),(T14))))</formula>
    </cfRule>
    <cfRule type="containsText" dxfId="1327" priority="271" operator="containsText" text="N">
      <formula>NOT(ISERROR(SEARCH(("N"),(T14))))</formula>
    </cfRule>
    <cfRule type="containsText" dxfId="1326" priority="272" operator="containsText" text="O">
      <formula>NOT(ISERROR(SEARCH(("O"),(T14))))</formula>
    </cfRule>
    <cfRule type="containsText" dxfId="1325" priority="273" operator="containsText" text="C">
      <formula>NOT(ISERROR(SEARCH(("C"),(T14))))</formula>
    </cfRule>
    <cfRule type="containsText" dxfId="1324" priority="274" operator="containsText" text="P">
      <formula>NOT(ISERROR(SEARCH(("P"),(T14))))</formula>
    </cfRule>
    <cfRule type="containsText" dxfId="1323" priority="275" operator="containsText" text="K">
      <formula>NOT(ISERROR(SEARCH(("K"),(T14))))</formula>
    </cfRule>
    <cfRule type="containsText" dxfId="1322" priority="276" operator="containsText" text="X">
      <formula>NOT(ISERROR(SEARCH(("X"),(T14))))</formula>
    </cfRule>
    <cfRule type="containsText" dxfId="1321" priority="277" operator="containsText" text="L">
      <formula>NOT(ISERROR(SEARCH(("L"),(T14))))</formula>
    </cfRule>
    <cfRule type="containsText" dxfId="1320" priority="278" operator="containsText" text="N">
      <formula>NOT(ISERROR(SEARCH(("N"),(T14))))</formula>
    </cfRule>
    <cfRule type="containsText" dxfId="1319" priority="279" operator="containsText" text="O">
      <formula>NOT(ISERROR(SEARCH(("O"),(T14))))</formula>
    </cfRule>
    <cfRule type="containsText" dxfId="1318" priority="280" operator="containsText" text="C">
      <formula>NOT(ISERROR(SEARCH(("C"),(T14))))</formula>
    </cfRule>
    <cfRule type="containsText" dxfId="1317" priority="281" operator="containsText" text="P">
      <formula>NOT(ISERROR(SEARCH(("P"),(T14))))</formula>
    </cfRule>
    <cfRule type="containsText" dxfId="1316" priority="282" operator="containsText" text="K">
      <formula>NOT(ISERROR(SEARCH(("K"),(T14))))</formula>
    </cfRule>
    <cfRule type="containsText" dxfId="1315" priority="283" operator="containsText" text="X">
      <formula>NOT(ISERROR(SEARCH(("X"),(T14))))</formula>
    </cfRule>
    <cfRule type="containsText" dxfId="1314" priority="284" operator="containsText" text="L">
      <formula>NOT(ISERROR(SEARCH(("L"),(T14))))</formula>
    </cfRule>
  </conditionalFormatting>
  <conditionalFormatting sqref="T14:V14">
    <cfRule type="containsText" dxfId="1313" priority="285" operator="containsText" text="N">
      <formula>NOT(ISERROR(SEARCH(("N"),(T14))))</formula>
    </cfRule>
    <cfRule type="containsText" dxfId="1312" priority="286" operator="containsText" text="O">
      <formula>NOT(ISERROR(SEARCH(("O"),(T14))))</formula>
    </cfRule>
    <cfRule type="containsText" dxfId="1311" priority="287" operator="containsText" text="C">
      <formula>NOT(ISERROR(SEARCH(("C"),(T14))))</formula>
    </cfRule>
    <cfRule type="containsText" dxfId="1310" priority="288" operator="containsText" text="P">
      <formula>NOT(ISERROR(SEARCH(("P"),(T14))))</formula>
    </cfRule>
    <cfRule type="containsText" dxfId="1309" priority="289" operator="containsText" text="K">
      <formula>NOT(ISERROR(SEARCH(("K"),(T14))))</formula>
    </cfRule>
    <cfRule type="containsText" dxfId="1308" priority="290" operator="containsText" text="X">
      <formula>NOT(ISERROR(SEARCH(("X"),(T14))))</formula>
    </cfRule>
    <cfRule type="containsText" dxfId="1307" priority="291" operator="containsText" text="L">
      <formula>NOT(ISERROR(SEARCH(("L"),(T14))))</formula>
    </cfRule>
  </conditionalFormatting>
  <conditionalFormatting sqref="T26:V27">
    <cfRule type="containsText" dxfId="1306" priority="26" operator="containsText" text="N">
      <formula>NOT(ISERROR(SEARCH(("N"),(T26))))</formula>
    </cfRule>
  </conditionalFormatting>
  <conditionalFormatting sqref="T15:X15">
    <cfRule type="containsText" dxfId="1305" priority="1188" operator="containsText" text="N">
      <formula>NOT(ISERROR(SEARCH(("N"),(T15))))</formula>
    </cfRule>
    <cfRule type="containsText" dxfId="1304" priority="1189" operator="containsText" text="O">
      <formula>NOT(ISERROR(SEARCH(("O"),(T15))))</formula>
    </cfRule>
    <cfRule type="containsText" dxfId="1303" priority="1190" operator="containsText" text="C">
      <formula>NOT(ISERROR(SEARCH(("C"),(T15))))</formula>
    </cfRule>
    <cfRule type="containsText" dxfId="1302" priority="1191" operator="containsText" text="P">
      <formula>NOT(ISERROR(SEARCH(("P"),(T15))))</formula>
    </cfRule>
    <cfRule type="containsText" dxfId="1301" priority="1192" operator="containsText" text="K">
      <formula>NOT(ISERROR(SEARCH(("K"),(T15))))</formula>
    </cfRule>
    <cfRule type="containsText" dxfId="1300" priority="1193" operator="containsText" text="X">
      <formula>NOT(ISERROR(SEARCH(("X"),(T15))))</formula>
    </cfRule>
    <cfRule type="containsText" dxfId="1299" priority="1194" operator="containsText" text="L">
      <formula>NOT(ISERROR(SEARCH(("L"),(T15))))</formula>
    </cfRule>
  </conditionalFormatting>
  <conditionalFormatting sqref="T23:X23">
    <cfRule type="containsText" dxfId="1298" priority="1121" operator="containsText" text="N">
      <formula>NOT(ISERROR(SEARCH(("N"),(T23))))</formula>
    </cfRule>
    <cfRule type="containsText" dxfId="1297" priority="1122" operator="containsText" text="O">
      <formula>NOT(ISERROR(SEARCH(("O"),(T23))))</formula>
    </cfRule>
    <cfRule type="containsText" dxfId="1296" priority="1123" operator="containsText" text="C">
      <formula>NOT(ISERROR(SEARCH(("C"),(T23))))</formula>
    </cfRule>
    <cfRule type="containsText" dxfId="1295" priority="1124" operator="containsText" text="P">
      <formula>NOT(ISERROR(SEARCH(("P"),(T23))))</formula>
    </cfRule>
    <cfRule type="containsText" dxfId="1294" priority="1125" operator="containsText" text="K">
      <formula>NOT(ISERROR(SEARCH(("K"),(T23))))</formula>
    </cfRule>
    <cfRule type="containsText" dxfId="1293" priority="1126" operator="containsText" text="X">
      <formula>NOT(ISERROR(SEARCH(("X"),(T23))))</formula>
    </cfRule>
    <cfRule type="containsText" dxfId="1292" priority="1127" operator="containsText" text="L">
      <formula>NOT(ISERROR(SEARCH(("L"),(T23))))</formula>
    </cfRule>
  </conditionalFormatting>
  <conditionalFormatting sqref="T21:AC22">
    <cfRule type="containsText" dxfId="1291" priority="370" operator="containsText" text="N">
      <formula>NOT(ISERROR(SEARCH(("N"),(T21))))</formula>
    </cfRule>
    <cfRule type="containsText" dxfId="1290" priority="371" operator="containsText" text="O">
      <formula>NOT(ISERROR(SEARCH(("O"),(T21))))</formula>
    </cfRule>
    <cfRule type="containsText" dxfId="1289" priority="372" operator="containsText" text="C">
      <formula>NOT(ISERROR(SEARCH(("C"),(T21))))</formula>
    </cfRule>
    <cfRule type="containsText" dxfId="1288" priority="373" operator="containsText" text="P">
      <formula>NOT(ISERROR(SEARCH(("P"),(T21))))</formula>
    </cfRule>
    <cfRule type="containsText" dxfId="1287" priority="374" operator="containsText" text="K">
      <formula>NOT(ISERROR(SEARCH(("K"),(T21))))</formula>
    </cfRule>
    <cfRule type="containsText" dxfId="1286" priority="375" operator="containsText" text="X">
      <formula>NOT(ISERROR(SEARCH(("X"),(T21))))</formula>
    </cfRule>
    <cfRule type="containsText" dxfId="1285" priority="376" operator="containsText" text="L">
      <formula>NOT(ISERROR(SEARCH(("L"),(T21))))</formula>
    </cfRule>
  </conditionalFormatting>
  <conditionalFormatting sqref="U11">
    <cfRule type="containsText" dxfId="1284" priority="1519" operator="containsText" text="N">
      <formula>NOT(ISERROR(SEARCH(("N"),(U11))))</formula>
    </cfRule>
    <cfRule type="containsText" dxfId="1283" priority="1520" operator="containsText" text="O">
      <formula>NOT(ISERROR(SEARCH(("O"),(U11))))</formula>
    </cfRule>
    <cfRule type="containsText" dxfId="1282" priority="1521" operator="containsText" text="C">
      <formula>NOT(ISERROR(SEARCH(("C"),(U11))))</formula>
    </cfRule>
    <cfRule type="containsText" dxfId="1281" priority="1522" operator="containsText" text="P">
      <formula>NOT(ISERROR(SEARCH(("P"),(U11))))</formula>
    </cfRule>
    <cfRule type="containsText" dxfId="1280" priority="1523" operator="containsText" text="K">
      <formula>NOT(ISERROR(SEARCH(("K"),(U11))))</formula>
    </cfRule>
    <cfRule type="containsText" dxfId="1279" priority="1524" operator="containsText" text="X">
      <formula>NOT(ISERROR(SEARCH(("X"),(U11))))</formula>
    </cfRule>
    <cfRule type="containsText" dxfId="1278" priority="1525" operator="containsText" text="L">
      <formula>NOT(ISERROR(SEARCH(("L"),(U11))))</formula>
    </cfRule>
    <cfRule type="containsText" dxfId="1277" priority="1526" operator="containsText" text="N">
      <formula>NOT(ISERROR(SEARCH(("N"),(U11))))</formula>
    </cfRule>
    <cfRule type="containsText" dxfId="1276" priority="1527" operator="containsText" text="O">
      <formula>NOT(ISERROR(SEARCH(("O"),(U11))))</formula>
    </cfRule>
    <cfRule type="containsText" dxfId="1275" priority="1528" operator="containsText" text="C">
      <formula>NOT(ISERROR(SEARCH(("C"),(U11))))</formula>
    </cfRule>
    <cfRule type="containsText" dxfId="1274" priority="1529" operator="containsText" text="P">
      <formula>NOT(ISERROR(SEARCH(("P"),(U11))))</formula>
    </cfRule>
    <cfRule type="containsText" dxfId="1273" priority="1530" operator="containsText" text="K">
      <formula>NOT(ISERROR(SEARCH(("K"),(U11))))</formula>
    </cfRule>
    <cfRule type="containsText" dxfId="1272" priority="1531" operator="containsText" text="X">
      <formula>NOT(ISERROR(SEARCH(("X"),(U11))))</formula>
    </cfRule>
    <cfRule type="containsText" dxfId="1271" priority="1532" operator="containsText" text="L">
      <formula>NOT(ISERROR(SEARCH(("L"),(U11))))</formula>
    </cfRule>
  </conditionalFormatting>
  <conditionalFormatting sqref="U12:V12">
    <cfRule type="containsText" dxfId="1270" priority="1482" operator="containsText" text="N">
      <formula>NOT(ISERROR(SEARCH(("N"),(U12))))</formula>
    </cfRule>
    <cfRule type="containsText" dxfId="1269" priority="1483" operator="containsText" text="O">
      <formula>NOT(ISERROR(SEARCH(("O"),(U12))))</formula>
    </cfRule>
    <cfRule type="containsText" dxfId="1268" priority="1484" operator="containsText" text="C">
      <formula>NOT(ISERROR(SEARCH(("C"),(U12))))</formula>
    </cfRule>
    <cfRule type="containsText" dxfId="1267" priority="1485" operator="containsText" text="P">
      <formula>NOT(ISERROR(SEARCH(("P"),(U12))))</formula>
    </cfRule>
    <cfRule type="containsText" dxfId="1266" priority="1486" operator="containsText" text="K">
      <formula>NOT(ISERROR(SEARCH(("K"),(U12))))</formula>
    </cfRule>
    <cfRule type="containsText" dxfId="1265" priority="1487" operator="containsText" text="X">
      <formula>NOT(ISERROR(SEARCH(("X"),(U12))))</formula>
    </cfRule>
    <cfRule type="containsText" dxfId="1264" priority="1488" operator="containsText" text="L">
      <formula>NOT(ISERROR(SEARCH(("L"),(U12))))</formula>
    </cfRule>
  </conditionalFormatting>
  <conditionalFormatting sqref="U12:V13">
    <cfRule type="containsText" dxfId="1263" priority="674" operator="containsText" text="N">
      <formula>NOT(ISERROR(SEARCH(("N"),(U12))))</formula>
    </cfRule>
    <cfRule type="containsText" dxfId="1262" priority="675" operator="containsText" text="O">
      <formula>NOT(ISERROR(SEARCH(("O"),(U12))))</formula>
    </cfRule>
    <cfRule type="containsText" dxfId="1261" priority="676" operator="containsText" text="C">
      <formula>NOT(ISERROR(SEARCH(("C"),(U12))))</formula>
    </cfRule>
    <cfRule type="containsText" dxfId="1260" priority="677" operator="containsText" text="P">
      <formula>NOT(ISERROR(SEARCH(("P"),(U12))))</formula>
    </cfRule>
    <cfRule type="containsText" dxfId="1259" priority="678" operator="containsText" text="K">
      <formula>NOT(ISERROR(SEARCH(("K"),(U12))))</formula>
    </cfRule>
    <cfRule type="containsText" dxfId="1258" priority="679" operator="containsText" text="X">
      <formula>NOT(ISERROR(SEARCH(("X"),(U12))))</formula>
    </cfRule>
    <cfRule type="containsText" dxfId="1257" priority="680" operator="containsText" text="L">
      <formula>NOT(ISERROR(SEARCH(("L"),(U12))))</formula>
    </cfRule>
  </conditionalFormatting>
  <conditionalFormatting sqref="U13:V13">
    <cfRule type="containsText" dxfId="1256" priority="667" operator="containsText" text="N">
      <formula>NOT(ISERROR(SEARCH(("N"),(U13))))</formula>
    </cfRule>
    <cfRule type="containsText" dxfId="1255" priority="668" operator="containsText" text="O">
      <formula>NOT(ISERROR(SEARCH(("O"),(U13))))</formula>
    </cfRule>
    <cfRule type="containsText" dxfId="1254" priority="669" operator="containsText" text="C">
      <formula>NOT(ISERROR(SEARCH(("C"),(U13))))</formula>
    </cfRule>
    <cfRule type="containsText" dxfId="1253" priority="670" operator="containsText" text="P">
      <formula>NOT(ISERROR(SEARCH(("P"),(U13))))</formula>
    </cfRule>
    <cfRule type="containsText" dxfId="1252" priority="671" operator="containsText" text="K">
      <formula>NOT(ISERROR(SEARCH(("K"),(U13))))</formula>
    </cfRule>
    <cfRule type="containsText" dxfId="1251" priority="672" operator="containsText" text="X">
      <formula>NOT(ISERROR(SEARCH(("X"),(U13))))</formula>
    </cfRule>
    <cfRule type="containsText" dxfId="1250" priority="673" operator="containsText" text="L">
      <formula>NOT(ISERROR(SEARCH(("L"),(U13))))</formula>
    </cfRule>
  </conditionalFormatting>
  <conditionalFormatting sqref="U16:V16">
    <cfRule type="containsText" dxfId="1249" priority="1307" operator="containsText" text="N">
      <formula>NOT(ISERROR(SEARCH(("N"),(U16))))</formula>
    </cfRule>
    <cfRule type="containsText" dxfId="1248" priority="1308" operator="containsText" text="O">
      <formula>NOT(ISERROR(SEARCH(("O"),(U16))))</formula>
    </cfRule>
    <cfRule type="containsText" dxfId="1247" priority="1309" operator="containsText" text="C">
      <formula>NOT(ISERROR(SEARCH(("C"),(U16))))</formula>
    </cfRule>
    <cfRule type="containsText" dxfId="1246" priority="1310" operator="containsText" text="P">
      <formula>NOT(ISERROR(SEARCH(("P"),(U16))))</formula>
    </cfRule>
    <cfRule type="containsText" dxfId="1245" priority="1311" operator="containsText" text="K">
      <formula>NOT(ISERROR(SEARCH(("K"),(U16))))</formula>
    </cfRule>
    <cfRule type="containsText" dxfId="1244" priority="1312" operator="containsText" text="X">
      <formula>NOT(ISERROR(SEARCH(("X"),(U16))))</formula>
    </cfRule>
    <cfRule type="containsText" dxfId="1243" priority="1313" operator="containsText" text="L">
      <formula>NOT(ISERROR(SEARCH(("L"),(U16))))</formula>
    </cfRule>
    <cfRule type="containsText" dxfId="1242" priority="1314" operator="containsText" text="N">
      <formula>NOT(ISERROR(SEARCH(("N"),(U16))))</formula>
    </cfRule>
    <cfRule type="containsText" dxfId="1241" priority="1315" operator="containsText" text="O">
      <formula>NOT(ISERROR(SEARCH(("O"),(U16))))</formula>
    </cfRule>
    <cfRule type="containsText" dxfId="1240" priority="1316" operator="containsText" text="C">
      <formula>NOT(ISERROR(SEARCH(("C"),(U16))))</formula>
    </cfRule>
    <cfRule type="containsText" dxfId="1239" priority="1317" operator="containsText" text="P">
      <formula>NOT(ISERROR(SEARCH(("P"),(U16))))</formula>
    </cfRule>
    <cfRule type="containsText" dxfId="1238" priority="1318" operator="containsText" text="K">
      <formula>NOT(ISERROR(SEARCH(("K"),(U16))))</formula>
    </cfRule>
    <cfRule type="containsText" dxfId="1237" priority="1319" operator="containsText" text="X">
      <formula>NOT(ISERROR(SEARCH(("X"),(U16))))</formula>
    </cfRule>
    <cfRule type="containsText" dxfId="1236" priority="1320" operator="containsText" text="L">
      <formula>NOT(ISERROR(SEARCH(("L"),(U16))))</formula>
    </cfRule>
  </conditionalFormatting>
  <conditionalFormatting sqref="U16:V17">
    <cfRule type="containsText" dxfId="1235" priority="1321" operator="containsText" text="N">
      <formula>NOT(ISERROR(SEARCH(("N"),(U16))))</formula>
    </cfRule>
    <cfRule type="containsText" dxfId="1234" priority="1322" operator="containsText" text="O">
      <formula>NOT(ISERROR(SEARCH(("O"),(U16))))</formula>
    </cfRule>
    <cfRule type="containsText" dxfId="1233" priority="1323" operator="containsText" text="C">
      <formula>NOT(ISERROR(SEARCH(("C"),(U16))))</formula>
    </cfRule>
    <cfRule type="containsText" dxfId="1232" priority="1324" operator="containsText" text="P">
      <formula>NOT(ISERROR(SEARCH(("P"),(U16))))</formula>
    </cfRule>
    <cfRule type="containsText" dxfId="1231" priority="1325" operator="containsText" text="K">
      <formula>NOT(ISERROR(SEARCH(("K"),(U16))))</formula>
    </cfRule>
    <cfRule type="containsText" dxfId="1230" priority="1326" operator="containsText" text="X">
      <formula>NOT(ISERROR(SEARCH(("X"),(U16))))</formula>
    </cfRule>
    <cfRule type="containsText" dxfId="1229" priority="1327" operator="containsText" text="L">
      <formula>NOT(ISERROR(SEARCH(("L"),(U16))))</formula>
    </cfRule>
  </conditionalFormatting>
  <conditionalFormatting sqref="U18:V19">
    <cfRule type="containsText" dxfId="1228" priority="770" operator="containsText" text="N">
      <formula>NOT(ISERROR(SEARCH(("N"),(U18))))</formula>
    </cfRule>
    <cfRule type="containsText" dxfId="1227" priority="771" operator="containsText" text="O">
      <formula>NOT(ISERROR(SEARCH(("O"),(U18))))</formula>
    </cfRule>
    <cfRule type="containsText" dxfId="1226" priority="772" operator="containsText" text="C">
      <formula>NOT(ISERROR(SEARCH(("C"),(U18))))</formula>
    </cfRule>
    <cfRule type="containsText" dxfId="1225" priority="773" operator="containsText" text="P">
      <formula>NOT(ISERROR(SEARCH(("P"),(U18))))</formula>
    </cfRule>
    <cfRule type="containsText" dxfId="1224" priority="774" operator="containsText" text="K">
      <formula>NOT(ISERROR(SEARCH(("K"),(U18))))</formula>
    </cfRule>
    <cfRule type="containsText" dxfId="1223" priority="775" operator="containsText" text="X">
      <formula>NOT(ISERROR(SEARCH(("X"),(U18))))</formula>
    </cfRule>
    <cfRule type="containsText" dxfId="1222" priority="776" operator="containsText" text="L">
      <formula>NOT(ISERROR(SEARCH(("L"),(U18))))</formula>
    </cfRule>
  </conditionalFormatting>
  <conditionalFormatting sqref="U19:V19">
    <cfRule type="containsText" dxfId="1221" priority="845" operator="containsText" text="O">
      <formula>NOT(ISERROR(SEARCH(("O"),(U19))))</formula>
    </cfRule>
    <cfRule type="containsText" dxfId="1220" priority="846" operator="containsText" text="C">
      <formula>NOT(ISERROR(SEARCH(("C"),(U19))))</formula>
    </cfRule>
    <cfRule type="containsText" dxfId="1219" priority="847" operator="containsText" text="P">
      <formula>NOT(ISERROR(SEARCH(("P"),(U19))))</formula>
    </cfRule>
    <cfRule type="containsText" dxfId="1218" priority="848" operator="containsText" text="K">
      <formula>NOT(ISERROR(SEARCH(("K"),(U19))))</formula>
    </cfRule>
    <cfRule type="containsText" dxfId="1217" priority="849" operator="containsText" text="X">
      <formula>NOT(ISERROR(SEARCH(("X"),(U19))))</formula>
    </cfRule>
    <cfRule type="containsText" dxfId="1216" priority="850" operator="containsText" text="N">
      <formula>NOT(ISERROR(SEARCH(("N"),(U19))))</formula>
    </cfRule>
  </conditionalFormatting>
  <conditionalFormatting sqref="U24:V24">
    <cfRule type="containsText" dxfId="1215" priority="567" operator="containsText" text="O">
      <formula>NOT(ISERROR(SEARCH(("O"),(U24))))</formula>
    </cfRule>
    <cfRule type="containsText" dxfId="1214" priority="568" operator="containsText" text="C">
      <formula>NOT(ISERROR(SEARCH(("C"),(U24))))</formula>
    </cfRule>
    <cfRule type="containsText" dxfId="1213" priority="569" operator="containsText" text="P">
      <formula>NOT(ISERROR(SEARCH(("P"),(U24))))</formula>
    </cfRule>
    <cfRule type="containsText" dxfId="1212" priority="570" operator="containsText" text="K">
      <formula>NOT(ISERROR(SEARCH(("K"),(U24))))</formula>
    </cfRule>
    <cfRule type="containsText" dxfId="1211" priority="571" operator="containsText" text="X">
      <formula>NOT(ISERROR(SEARCH(("X"),(U24))))</formula>
    </cfRule>
    <cfRule type="containsText" dxfId="1210" priority="572" operator="containsText" text="L">
      <formula>NOT(ISERROR(SEARCH(("L"),(U24))))</formula>
    </cfRule>
    <cfRule type="containsText" dxfId="1209" priority="573" operator="containsText" text="O">
      <formula>NOT(ISERROR(SEARCH(("O"),(U24))))</formula>
    </cfRule>
    <cfRule type="containsText" dxfId="1208" priority="574" operator="containsText" text="C">
      <formula>NOT(ISERROR(SEARCH(("C"),(U24))))</formula>
    </cfRule>
    <cfRule type="containsText" dxfId="1207" priority="575" operator="containsText" text="P">
      <formula>NOT(ISERROR(SEARCH(("P"),(U24))))</formula>
    </cfRule>
    <cfRule type="containsText" dxfId="1206" priority="576" operator="containsText" text="K">
      <formula>NOT(ISERROR(SEARCH(("K"),(U24))))</formula>
    </cfRule>
    <cfRule type="containsText" dxfId="1205" priority="577" operator="containsText" text="X">
      <formula>NOT(ISERROR(SEARCH(("X"),(U24))))</formula>
    </cfRule>
  </conditionalFormatting>
  <conditionalFormatting sqref="U24:V25">
    <cfRule type="containsText" dxfId="1204" priority="486" operator="containsText" text="N">
      <formula>NOT(ISERROR(SEARCH(("N"),(U24))))</formula>
    </cfRule>
  </conditionalFormatting>
  <conditionalFormatting sqref="U25:V25">
    <cfRule type="containsText" dxfId="1203" priority="475" operator="containsText" text="O">
      <formula>NOT(ISERROR(SEARCH(("O"),(U25))))</formula>
    </cfRule>
    <cfRule type="containsText" dxfId="1202" priority="476" operator="containsText" text="C">
      <formula>NOT(ISERROR(SEARCH(("C"),(U25))))</formula>
    </cfRule>
    <cfRule type="containsText" dxfId="1201" priority="477" operator="containsText" text="P">
      <formula>NOT(ISERROR(SEARCH(("P"),(U25))))</formula>
    </cfRule>
    <cfRule type="containsText" dxfId="1200" priority="478" operator="containsText" text="K">
      <formula>NOT(ISERROR(SEARCH(("K"),(U25))))</formula>
    </cfRule>
    <cfRule type="containsText" dxfId="1199" priority="479" operator="containsText" text="X">
      <formula>NOT(ISERROR(SEARCH(("X"),(U25))))</formula>
    </cfRule>
    <cfRule type="containsText" dxfId="1198" priority="480" operator="containsText" text="L">
      <formula>NOT(ISERROR(SEARCH(("L"),(U25))))</formula>
    </cfRule>
  </conditionalFormatting>
  <conditionalFormatting sqref="U26:V27">
    <cfRule type="containsText" dxfId="1197" priority="15" operator="containsText" text="O">
      <formula>NOT(ISERROR(SEARCH(("O"),(U26))))</formula>
    </cfRule>
    <cfRule type="containsText" dxfId="1196" priority="16" operator="containsText" text="C">
      <formula>NOT(ISERROR(SEARCH(("C"),(U26))))</formula>
    </cfRule>
    <cfRule type="containsText" dxfId="1195" priority="17" operator="containsText" text="P">
      <formula>NOT(ISERROR(SEARCH(("P"),(U26))))</formula>
    </cfRule>
    <cfRule type="containsText" dxfId="1194" priority="18" operator="containsText" text="K">
      <formula>NOT(ISERROR(SEARCH(("K"),(U26))))</formula>
    </cfRule>
    <cfRule type="containsText" dxfId="1193" priority="19" operator="containsText" text="X">
      <formula>NOT(ISERROR(SEARCH(("X"),(U26))))</formula>
    </cfRule>
    <cfRule type="containsText" dxfId="1192" priority="20" operator="containsText" text="L">
      <formula>NOT(ISERROR(SEARCH(("L"),(U26))))</formula>
    </cfRule>
  </conditionalFormatting>
  <conditionalFormatting sqref="U26:X27">
    <cfRule type="containsText" dxfId="1191" priority="14" operator="containsText" text="N">
      <formula>NOT(ISERROR(SEARCH(("N"),(U26))))</formula>
    </cfRule>
    <cfRule type="containsText" dxfId="1190" priority="21" operator="containsText" text="O">
      <formula>NOT(ISERROR(SEARCH(("O"),(U26))))</formula>
    </cfRule>
    <cfRule type="containsText" dxfId="1189" priority="22" operator="containsText" text="C">
      <formula>NOT(ISERROR(SEARCH(("C"),(U26))))</formula>
    </cfRule>
    <cfRule type="containsText" dxfId="1188" priority="23" operator="containsText" text="P">
      <formula>NOT(ISERROR(SEARCH(("P"),(U26))))</formula>
    </cfRule>
    <cfRule type="containsText" dxfId="1187" priority="24" operator="containsText" text="K">
      <formula>NOT(ISERROR(SEARCH(("K"),(U26))))</formula>
    </cfRule>
    <cfRule type="containsText" dxfId="1186" priority="25" operator="containsText" text="X">
      <formula>NOT(ISERROR(SEARCH(("X"),(U26))))</formula>
    </cfRule>
  </conditionalFormatting>
  <conditionalFormatting sqref="U25:AA25">
    <cfRule type="containsText" dxfId="1185" priority="481" operator="containsText" text="O">
      <formula>NOT(ISERROR(SEARCH(("O"),(U25))))</formula>
    </cfRule>
    <cfRule type="containsText" dxfId="1184" priority="482" operator="containsText" text="C">
      <formula>NOT(ISERROR(SEARCH(("C"),(U25))))</formula>
    </cfRule>
    <cfRule type="containsText" dxfId="1183" priority="483" operator="containsText" text="P">
      <formula>NOT(ISERROR(SEARCH(("P"),(U25))))</formula>
    </cfRule>
    <cfRule type="containsText" dxfId="1182" priority="484" operator="containsText" text="K">
      <formula>NOT(ISERROR(SEARCH(("K"),(U25))))</formula>
    </cfRule>
    <cfRule type="containsText" dxfId="1181" priority="485" operator="containsText" text="X">
      <formula>NOT(ISERROR(SEARCH(("X"),(U25))))</formula>
    </cfRule>
  </conditionalFormatting>
  <conditionalFormatting sqref="U25:AJ25">
    <cfRule type="containsText" dxfId="1180" priority="174" operator="containsText" text="N">
      <formula>NOT(ISERROR(SEARCH(("N"),(U25))))</formula>
    </cfRule>
  </conditionalFormatting>
  <conditionalFormatting sqref="V14:AA14">
    <cfRule type="containsText" dxfId="1179" priority="306" operator="containsText" text="N">
      <formula>NOT(ISERROR(SEARCH(("N"),(V14))))</formula>
    </cfRule>
    <cfRule type="containsText" dxfId="1178" priority="307" operator="containsText" text="O">
      <formula>NOT(ISERROR(SEARCH(("O"),(V14))))</formula>
    </cfRule>
    <cfRule type="containsText" dxfId="1177" priority="308" operator="containsText" text="C">
      <formula>NOT(ISERROR(SEARCH(("C"),(V14))))</formula>
    </cfRule>
    <cfRule type="containsText" dxfId="1176" priority="309" operator="containsText" text="P">
      <formula>NOT(ISERROR(SEARCH(("P"),(V14))))</formula>
    </cfRule>
    <cfRule type="containsText" dxfId="1175" priority="310" operator="containsText" text="K">
      <formula>NOT(ISERROR(SEARCH(("K"),(V14))))</formula>
    </cfRule>
    <cfRule type="containsText" dxfId="1174" priority="311" operator="containsText" text="X">
      <formula>NOT(ISERROR(SEARCH(("X"),(V14))))</formula>
    </cfRule>
    <cfRule type="containsText" dxfId="1173" priority="312" operator="containsText" text="L">
      <formula>NOT(ISERROR(SEARCH(("L"),(V14))))</formula>
    </cfRule>
  </conditionalFormatting>
  <conditionalFormatting sqref="W23:W27 Y23:Y27">
    <cfRule type="containsText" dxfId="1172" priority="1617" operator="containsText" text="O">
      <formula>NOT(ISERROR(SEARCH(("O"),(W23))))</formula>
    </cfRule>
    <cfRule type="containsText" dxfId="1171" priority="1618" operator="containsText" text="C">
      <formula>NOT(ISERROR(SEARCH(("C"),(W23))))</formula>
    </cfRule>
    <cfRule type="containsText" dxfId="1170" priority="1619" operator="containsText" text="P">
      <formula>NOT(ISERROR(SEARCH(("P"),(W23))))</formula>
    </cfRule>
    <cfRule type="containsText" dxfId="1169" priority="1620" operator="containsText" text="K">
      <formula>NOT(ISERROR(SEARCH(("K"),(W23))))</formula>
    </cfRule>
    <cfRule type="containsText" dxfId="1168" priority="1621" operator="containsText" text="X">
      <formula>NOT(ISERROR(SEARCH(("X"),(W23))))</formula>
    </cfRule>
    <cfRule type="containsText" dxfId="1167" priority="1622" operator="containsText" text="L">
      <formula>NOT(ISERROR(SEARCH(("L"),(W23))))</formula>
    </cfRule>
    <cfRule type="containsText" dxfId="1166" priority="1623" operator="containsText" text="N">
      <formula>NOT(ISERROR(SEARCH(("N"),(W23))))</formula>
    </cfRule>
  </conditionalFormatting>
  <conditionalFormatting sqref="W26:X27">
    <cfRule type="containsText" dxfId="1165" priority="28" operator="containsText" text="L">
      <formula>NOT(ISERROR(SEARCH(("L"),(W26))))</formula>
    </cfRule>
    <cfRule type="containsText" dxfId="1164" priority="29" operator="containsText" text="O">
      <formula>NOT(ISERROR(SEARCH(("O"),(W26))))</formula>
    </cfRule>
    <cfRule type="containsText" dxfId="1163" priority="30" operator="containsText" text="C">
      <formula>NOT(ISERROR(SEARCH(("C"),(W26))))</formula>
    </cfRule>
    <cfRule type="containsText" dxfId="1162" priority="31" operator="containsText" text="P">
      <formula>NOT(ISERROR(SEARCH(("P"),(W26))))</formula>
    </cfRule>
    <cfRule type="containsText" dxfId="1161" priority="32" operator="containsText" text="K">
      <formula>NOT(ISERROR(SEARCH(("K"),(W26))))</formula>
    </cfRule>
    <cfRule type="containsText" dxfId="1160" priority="33" operator="containsText" text="X">
      <formula>NOT(ISERROR(SEARCH(("X"),(W26))))</formula>
    </cfRule>
    <cfRule type="containsText" dxfId="1159" priority="34" operator="containsText" text="L">
      <formula>NOT(ISERROR(SEARCH(("L"),(W26))))</formula>
    </cfRule>
  </conditionalFormatting>
  <conditionalFormatting sqref="W11:AA13 I15:M15 P15:T15 T15:T27 W15:AA27 AD15:AH27">
    <cfRule type="containsText" dxfId="1158" priority="2736" operator="containsText" text="O">
      <formula>NOT(ISERROR(SEARCH(("O"),(I11))))</formula>
    </cfRule>
    <cfRule type="containsText" dxfId="1157" priority="2737" operator="containsText" text="C">
      <formula>NOT(ISERROR(SEARCH(("C"),(I11))))</formula>
    </cfRule>
    <cfRule type="containsText" dxfId="1156" priority="2738" operator="containsText" text="P">
      <formula>NOT(ISERROR(SEARCH(("P"),(I11))))</formula>
    </cfRule>
    <cfRule type="containsText" dxfId="1155" priority="2739" operator="containsText" text="K">
      <formula>NOT(ISERROR(SEARCH(("K"),(I11))))</formula>
    </cfRule>
    <cfRule type="containsText" dxfId="1154" priority="2740" operator="containsText" text="X">
      <formula>NOT(ISERROR(SEARCH(("X"),(I11))))</formula>
    </cfRule>
    <cfRule type="containsText" dxfId="1153" priority="2741" operator="containsText" text="L">
      <formula>NOT(ISERROR(SEARCH(("L"),(I11))))</formula>
    </cfRule>
  </conditionalFormatting>
  <conditionalFormatting sqref="W11:AA17 T11:T14">
    <cfRule type="containsText" dxfId="1152" priority="1897" operator="containsText" text="N">
      <formula>NOT(ISERROR(SEARCH(("N"),(T11))))</formula>
    </cfRule>
  </conditionalFormatting>
  <conditionalFormatting sqref="W14:AA14">
    <cfRule type="containsText" dxfId="1151" priority="1870" operator="containsText" text="N">
      <formula>NOT(ISERROR(SEARCH(("N"),(W14))))</formula>
    </cfRule>
    <cfRule type="containsText" dxfId="1150" priority="1871" operator="containsText" text="O">
      <formula>NOT(ISERROR(SEARCH(("O"),(W14))))</formula>
    </cfRule>
    <cfRule type="containsText" dxfId="1149" priority="1872" operator="containsText" text="C">
      <formula>NOT(ISERROR(SEARCH(("C"),(W14))))</formula>
    </cfRule>
    <cfRule type="containsText" dxfId="1148" priority="1873" operator="containsText" text="P">
      <formula>NOT(ISERROR(SEARCH(("P"),(W14))))</formula>
    </cfRule>
    <cfRule type="containsText" dxfId="1147" priority="1874" operator="containsText" text="K">
      <formula>NOT(ISERROR(SEARCH(("K"),(W14))))</formula>
    </cfRule>
    <cfRule type="containsText" dxfId="1146" priority="1875" operator="containsText" text="X">
      <formula>NOT(ISERROR(SEARCH(("X"),(W14))))</formula>
    </cfRule>
    <cfRule type="containsText" dxfId="1145" priority="1876" operator="containsText" text="N">
      <formula>NOT(ISERROR(SEARCH(("N"),(W14))))</formula>
    </cfRule>
    <cfRule type="containsText" dxfId="1144" priority="1877" operator="containsText" text="O">
      <formula>NOT(ISERROR(SEARCH(("O"),(W14))))</formula>
    </cfRule>
    <cfRule type="containsText" dxfId="1143" priority="1878" operator="containsText" text="C">
      <formula>NOT(ISERROR(SEARCH(("C"),(W14))))</formula>
    </cfRule>
    <cfRule type="containsText" dxfId="1142" priority="1879" operator="containsText" text="P">
      <formula>NOT(ISERROR(SEARCH(("P"),(W14))))</formula>
    </cfRule>
    <cfRule type="containsText" dxfId="1141" priority="1880" operator="containsText" text="K">
      <formula>NOT(ISERROR(SEARCH(("K"),(W14))))</formula>
    </cfRule>
    <cfRule type="containsText" dxfId="1140" priority="1881" operator="containsText" text="X">
      <formula>NOT(ISERROR(SEARCH(("X"),(W14))))</formula>
    </cfRule>
    <cfRule type="containsText" dxfId="1139" priority="1882" operator="containsText" text="L">
      <formula>NOT(ISERROR(SEARCH(("L"),(W14))))</formula>
    </cfRule>
    <cfRule type="containsText" dxfId="1138" priority="1883" operator="containsText" text="N">
      <formula>NOT(ISERROR(SEARCH(("N"),(W14))))</formula>
    </cfRule>
    <cfRule type="containsText" dxfId="1137" priority="1884" operator="containsText" text="O">
      <formula>NOT(ISERROR(SEARCH(("O"),(W14))))</formula>
    </cfRule>
    <cfRule type="containsText" dxfId="1136" priority="1885" operator="containsText" text="C">
      <formula>NOT(ISERROR(SEARCH(("C"),(W14))))</formula>
    </cfRule>
    <cfRule type="containsText" dxfId="1135" priority="1886" operator="containsText" text="P">
      <formula>NOT(ISERROR(SEARCH(("P"),(W14))))</formula>
    </cfRule>
    <cfRule type="containsText" dxfId="1134" priority="1887" operator="containsText" text="K">
      <formula>NOT(ISERROR(SEARCH(("K"),(W14))))</formula>
    </cfRule>
    <cfRule type="containsText" dxfId="1133" priority="1888" operator="containsText" text="X">
      <formula>NOT(ISERROR(SEARCH(("X"),(W14))))</formula>
    </cfRule>
    <cfRule type="containsText" dxfId="1132" priority="1889" operator="containsText" text="L">
      <formula>NOT(ISERROR(SEARCH(("L"),(W14))))</formula>
    </cfRule>
    <cfRule type="containsText" dxfId="1131" priority="1890" operator="containsText" text="N">
      <formula>NOT(ISERROR(SEARCH(("N"),(W14))))</formula>
    </cfRule>
    <cfRule type="containsText" dxfId="1130" priority="1891" operator="containsText" text="O">
      <formula>NOT(ISERROR(SEARCH(("O"),(W14))))</formula>
    </cfRule>
    <cfRule type="containsText" dxfId="1129" priority="1892" operator="containsText" text="C">
      <formula>NOT(ISERROR(SEARCH(("C"),(W14))))</formula>
    </cfRule>
    <cfRule type="containsText" dxfId="1128" priority="1893" operator="containsText" text="P">
      <formula>NOT(ISERROR(SEARCH(("P"),(W14))))</formula>
    </cfRule>
    <cfRule type="containsText" dxfId="1127" priority="1894" operator="containsText" text="K">
      <formula>NOT(ISERROR(SEARCH(("K"),(W14))))</formula>
    </cfRule>
    <cfRule type="containsText" dxfId="1126" priority="1895" operator="containsText" text="X">
      <formula>NOT(ISERROR(SEARCH(("X"),(W14))))</formula>
    </cfRule>
    <cfRule type="containsText" dxfId="1125" priority="1896" operator="containsText" text="L">
      <formula>NOT(ISERROR(SEARCH(("L"),(W14))))</formula>
    </cfRule>
  </conditionalFormatting>
  <conditionalFormatting sqref="W15:AA27 T15:T27 I15:M15 P15:T15 AD23:AE23 W11:AA13">
    <cfRule type="containsText" dxfId="1124" priority="2735" operator="containsText" text="N">
      <formula>NOT(ISERROR(SEARCH(("N"),(I11))))</formula>
    </cfRule>
  </conditionalFormatting>
  <conditionalFormatting sqref="W18:AA18">
    <cfRule type="containsText" dxfId="1123" priority="785" operator="containsText" text="N">
      <formula>NOT(ISERROR(SEARCH(("N"),(W18))))</formula>
    </cfRule>
    <cfRule type="containsText" dxfId="1122" priority="786" operator="containsText" text="O">
      <formula>NOT(ISERROR(SEARCH(("O"),(W18))))</formula>
    </cfRule>
    <cfRule type="containsText" dxfId="1121" priority="787" operator="containsText" text="C">
      <formula>NOT(ISERROR(SEARCH(("C"),(W18))))</formula>
    </cfRule>
    <cfRule type="containsText" dxfId="1120" priority="788" operator="containsText" text="P">
      <formula>NOT(ISERROR(SEARCH(("P"),(W18))))</formula>
    </cfRule>
    <cfRule type="containsText" dxfId="1119" priority="789" operator="containsText" text="K">
      <formula>NOT(ISERROR(SEARCH(("K"),(W18))))</formula>
    </cfRule>
    <cfRule type="containsText" dxfId="1118" priority="790" operator="containsText" text="X">
      <formula>NOT(ISERROR(SEARCH(("X"),(W18))))</formula>
    </cfRule>
    <cfRule type="containsText" dxfId="1117" priority="791" operator="containsText" text="L">
      <formula>NOT(ISERROR(SEARCH(("L"),(W18))))</formula>
    </cfRule>
  </conditionalFormatting>
  <conditionalFormatting sqref="W18:AA27">
    <cfRule type="containsText" dxfId="1116" priority="2692" operator="containsText" text="N">
      <formula>NOT(ISERROR(SEARCH(("N"),(W18))))</formula>
    </cfRule>
    <cfRule type="containsText" dxfId="1115" priority="2708" operator="containsText" text="O">
      <formula>NOT(ISERROR(SEARCH(("O"),(W18))))</formula>
    </cfRule>
    <cfRule type="containsText" dxfId="1114" priority="2709" operator="containsText" text="C">
      <formula>NOT(ISERROR(SEARCH(("C"),(W18))))</formula>
    </cfRule>
    <cfRule type="containsText" dxfId="1113" priority="2710" operator="containsText" text="P">
      <formula>NOT(ISERROR(SEARCH(("P"),(W18))))</formula>
    </cfRule>
    <cfRule type="containsText" dxfId="1112" priority="2711" operator="containsText" text="K">
      <formula>NOT(ISERROR(SEARCH(("K"),(W18))))</formula>
    </cfRule>
    <cfRule type="containsText" dxfId="1111" priority="2712" operator="containsText" text="X">
      <formula>NOT(ISERROR(SEARCH(("X"),(W18))))</formula>
    </cfRule>
    <cfRule type="containsText" dxfId="1110" priority="2713" operator="containsText" text="L">
      <formula>NOT(ISERROR(SEARCH(("L"),(W18))))</formula>
    </cfRule>
  </conditionalFormatting>
  <conditionalFormatting sqref="W19:AA19">
    <cfRule type="containsText" dxfId="1109" priority="2686" operator="containsText" text="O">
      <formula>NOT(ISERROR(SEARCH(("O"),(W19))))</formula>
    </cfRule>
    <cfRule type="containsText" dxfId="1108" priority="2687" operator="containsText" text="C">
      <formula>NOT(ISERROR(SEARCH(("C"),(W19))))</formula>
    </cfRule>
    <cfRule type="containsText" dxfId="1107" priority="2688" operator="containsText" text="P">
      <formula>NOT(ISERROR(SEARCH(("P"),(W19))))</formula>
    </cfRule>
    <cfRule type="containsText" dxfId="1106" priority="2689" operator="containsText" text="K">
      <formula>NOT(ISERROR(SEARCH(("K"),(W19))))</formula>
    </cfRule>
    <cfRule type="containsText" dxfId="1105" priority="2690" operator="containsText" text="X">
      <formula>NOT(ISERROR(SEARCH(("X"),(W19))))</formula>
    </cfRule>
    <cfRule type="containsText" dxfId="1104" priority="2691" operator="containsText" text="L">
      <formula>NOT(ISERROR(SEARCH(("L"),(W19))))</formula>
    </cfRule>
  </conditionalFormatting>
  <conditionalFormatting sqref="W19:AA21">
    <cfRule type="containsText" dxfId="1103" priority="2559" operator="containsText" text="N">
      <formula>NOT(ISERROR(SEARCH(("N"),(W19))))</formula>
    </cfRule>
    <cfRule type="containsText" dxfId="1102" priority="2561" operator="containsText" text="O">
      <formula>NOT(ISERROR(SEARCH(("O"),(W19))))</formula>
    </cfRule>
    <cfRule type="containsText" dxfId="1101" priority="2562" operator="containsText" text="C">
      <formula>NOT(ISERROR(SEARCH(("C"),(W19))))</formula>
    </cfRule>
    <cfRule type="containsText" dxfId="1100" priority="2563" operator="containsText" text="P">
      <formula>NOT(ISERROR(SEARCH(("P"),(W19))))</formula>
    </cfRule>
    <cfRule type="containsText" dxfId="1099" priority="2564" operator="containsText" text="K">
      <formula>NOT(ISERROR(SEARCH(("K"),(W19))))</formula>
    </cfRule>
    <cfRule type="containsText" dxfId="1098" priority="2565" operator="containsText" text="X">
      <formula>NOT(ISERROR(SEARCH(("X"),(W19))))</formula>
    </cfRule>
    <cfRule type="containsText" dxfId="1097" priority="2566" operator="containsText" text="L">
      <formula>NOT(ISERROR(SEARCH(("L"),(W19))))</formula>
    </cfRule>
  </conditionalFormatting>
  <conditionalFormatting sqref="W20:AA21">
    <cfRule type="containsText" dxfId="1096" priority="2553" operator="containsText" text="O">
      <formula>NOT(ISERROR(SEARCH(("O"),(W20))))</formula>
    </cfRule>
    <cfRule type="containsText" dxfId="1095" priority="2554" operator="containsText" text="C">
      <formula>NOT(ISERROR(SEARCH(("C"),(W20))))</formula>
    </cfRule>
    <cfRule type="containsText" dxfId="1094" priority="2555" operator="containsText" text="P">
      <formula>NOT(ISERROR(SEARCH(("P"),(W20))))</formula>
    </cfRule>
    <cfRule type="containsText" dxfId="1093" priority="2556" operator="containsText" text="K">
      <formula>NOT(ISERROR(SEARCH(("K"),(W20))))</formula>
    </cfRule>
    <cfRule type="containsText" dxfId="1092" priority="2557" operator="containsText" text="X">
      <formula>NOT(ISERROR(SEARCH(("X"),(W20))))</formula>
    </cfRule>
    <cfRule type="containsText" dxfId="1091" priority="2558" operator="containsText" text="L">
      <formula>NOT(ISERROR(SEARCH(("L"),(W20))))</formula>
    </cfRule>
  </conditionalFormatting>
  <conditionalFormatting sqref="W20:AA22">
    <cfRule type="containsText" dxfId="1090" priority="2413" operator="containsText" text="N">
      <formula>NOT(ISERROR(SEARCH(("N"),(W20))))</formula>
    </cfRule>
    <cfRule type="containsText" dxfId="1089" priority="2415" operator="containsText" text="O">
      <formula>NOT(ISERROR(SEARCH(("O"),(W20))))</formula>
    </cfRule>
    <cfRule type="containsText" dxfId="1088" priority="2416" operator="containsText" text="C">
      <formula>NOT(ISERROR(SEARCH(("C"),(W20))))</formula>
    </cfRule>
    <cfRule type="containsText" dxfId="1087" priority="2417" operator="containsText" text="P">
      <formula>NOT(ISERROR(SEARCH(("P"),(W20))))</formula>
    </cfRule>
    <cfRule type="containsText" dxfId="1086" priority="2418" operator="containsText" text="K">
      <formula>NOT(ISERROR(SEARCH(("K"),(W20))))</formula>
    </cfRule>
    <cfRule type="containsText" dxfId="1085" priority="2419" operator="containsText" text="X">
      <formula>NOT(ISERROR(SEARCH(("X"),(W20))))</formula>
    </cfRule>
    <cfRule type="containsText" dxfId="1084" priority="2420" operator="containsText" text="L">
      <formula>NOT(ISERROR(SEARCH(("L"),(W20))))</formula>
    </cfRule>
  </conditionalFormatting>
  <conditionalFormatting sqref="W22:AA22">
    <cfRule type="containsText" dxfId="1083" priority="2407" operator="containsText" text="O">
      <formula>NOT(ISERROR(SEARCH(("O"),(W22))))</formula>
    </cfRule>
    <cfRule type="containsText" dxfId="1082" priority="2408" operator="containsText" text="C">
      <formula>NOT(ISERROR(SEARCH(("C"),(W22))))</formula>
    </cfRule>
    <cfRule type="containsText" dxfId="1081" priority="2409" operator="containsText" text="P">
      <formula>NOT(ISERROR(SEARCH(("P"),(W22))))</formula>
    </cfRule>
    <cfRule type="containsText" dxfId="1080" priority="2410" operator="containsText" text="K">
      <formula>NOT(ISERROR(SEARCH(("K"),(W22))))</formula>
    </cfRule>
    <cfRule type="containsText" dxfId="1079" priority="2411" operator="containsText" text="X">
      <formula>NOT(ISERROR(SEARCH(("X"),(W22))))</formula>
    </cfRule>
    <cfRule type="containsText" dxfId="1078" priority="2412" operator="containsText" text="L">
      <formula>NOT(ISERROR(SEARCH(("L"),(W22))))</formula>
    </cfRule>
  </conditionalFormatting>
  <conditionalFormatting sqref="W22:AA27">
    <cfRule type="containsText" dxfId="1077" priority="1610" operator="containsText" text="N">
      <formula>NOT(ISERROR(SEARCH(("N"),(W22))))</formula>
    </cfRule>
    <cfRule type="containsText" dxfId="1076" priority="1611" operator="containsText" text="O">
      <formula>NOT(ISERROR(SEARCH(("O"),(W22))))</formula>
    </cfRule>
    <cfRule type="containsText" dxfId="1075" priority="1612" operator="containsText" text="C">
      <formula>NOT(ISERROR(SEARCH(("C"),(W22))))</formula>
    </cfRule>
    <cfRule type="containsText" dxfId="1074" priority="1613" operator="containsText" text="P">
      <formula>NOT(ISERROR(SEARCH(("P"),(W22))))</formula>
    </cfRule>
    <cfRule type="containsText" dxfId="1073" priority="1614" operator="containsText" text="K">
      <formula>NOT(ISERROR(SEARCH(("K"),(W22))))</formula>
    </cfRule>
    <cfRule type="containsText" dxfId="1072" priority="1615" operator="containsText" text="X">
      <formula>NOT(ISERROR(SEARCH(("X"),(W22))))</formula>
    </cfRule>
    <cfRule type="containsText" dxfId="1071" priority="1616" operator="containsText" text="L">
      <formula>NOT(ISERROR(SEARCH(("L"),(W22))))</formula>
    </cfRule>
  </conditionalFormatting>
  <conditionalFormatting sqref="W23:AA27">
    <cfRule type="containsText" dxfId="1070" priority="1582" operator="containsText" text="N">
      <formula>NOT(ISERROR(SEARCH(("N"),(W23))))</formula>
    </cfRule>
    <cfRule type="containsText" dxfId="1069" priority="1583" operator="containsText" text="O">
      <formula>NOT(ISERROR(SEARCH(("O"),(W23))))</formula>
    </cfRule>
    <cfRule type="containsText" dxfId="1068" priority="1584" operator="containsText" text="C">
      <formula>NOT(ISERROR(SEARCH(("C"),(W23))))</formula>
    </cfRule>
    <cfRule type="containsText" dxfId="1067" priority="1585" operator="containsText" text="P">
      <formula>NOT(ISERROR(SEARCH(("P"),(W23))))</formula>
    </cfRule>
    <cfRule type="containsText" dxfId="1066" priority="1586" operator="containsText" text="K">
      <formula>NOT(ISERROR(SEARCH(("K"),(W23))))</formula>
    </cfRule>
    <cfRule type="containsText" dxfId="1065" priority="1587" operator="containsText" text="X">
      <formula>NOT(ISERROR(SEARCH(("X"),(W23))))</formula>
    </cfRule>
    <cfRule type="containsText" dxfId="1064" priority="1588" operator="containsText" text="L">
      <formula>NOT(ISERROR(SEARCH(("L"),(W23))))</formula>
    </cfRule>
    <cfRule type="containsText" dxfId="1063" priority="1589" operator="containsText" text="O">
      <formula>NOT(ISERROR(SEARCH(("O"),(W23))))</formula>
    </cfRule>
    <cfRule type="containsText" dxfId="1062" priority="1590" operator="containsText" text="C">
      <formula>NOT(ISERROR(SEARCH(("C"),(W23))))</formula>
    </cfRule>
    <cfRule type="containsText" dxfId="1061" priority="1591" operator="containsText" text="P">
      <formula>NOT(ISERROR(SEARCH(("P"),(W23))))</formula>
    </cfRule>
    <cfRule type="containsText" dxfId="1060" priority="1592" operator="containsText" text="K">
      <formula>NOT(ISERROR(SEARCH(("K"),(W23))))</formula>
    </cfRule>
    <cfRule type="containsText" dxfId="1059" priority="1593" operator="containsText" text="X">
      <formula>NOT(ISERROR(SEARCH(("X"),(W23))))</formula>
    </cfRule>
    <cfRule type="containsText" dxfId="1058" priority="1594" operator="containsText" text="L">
      <formula>NOT(ISERROR(SEARCH(("L"),(W23))))</formula>
    </cfRule>
    <cfRule type="containsText" dxfId="1057" priority="1595" operator="containsText" text="N">
      <formula>NOT(ISERROR(SEARCH(("N"),(W23))))</formula>
    </cfRule>
    <cfRule type="containsText" dxfId="1056" priority="1597" operator="containsText" text="O">
      <formula>NOT(ISERROR(SEARCH(("O"),(W23))))</formula>
    </cfRule>
    <cfRule type="containsText" dxfId="1055" priority="1598" operator="containsText" text="C">
      <formula>NOT(ISERROR(SEARCH(("C"),(W23))))</formula>
    </cfRule>
    <cfRule type="containsText" dxfId="1054" priority="1599" operator="containsText" text="P">
      <formula>NOT(ISERROR(SEARCH(("P"),(W23))))</formula>
    </cfRule>
    <cfRule type="containsText" dxfId="1053" priority="1600" operator="containsText" text="K">
      <formula>NOT(ISERROR(SEARCH(("K"),(W23))))</formula>
    </cfRule>
    <cfRule type="containsText" dxfId="1052" priority="1601" operator="containsText" text="X">
      <formula>NOT(ISERROR(SEARCH(("X"),(W23))))</formula>
    </cfRule>
    <cfRule type="containsText" dxfId="1051" priority="1602" operator="containsText" text="L">
      <formula>NOT(ISERROR(SEARCH(("L"),(W23))))</formula>
    </cfRule>
  </conditionalFormatting>
  <conditionalFormatting sqref="W24:AA24">
    <cfRule type="containsText" dxfId="1050" priority="608" operator="containsText" text="O">
      <formula>NOT(ISERROR(SEARCH(("O"),(W24))))</formula>
    </cfRule>
    <cfRule type="containsText" dxfId="1049" priority="609" operator="containsText" text="C">
      <formula>NOT(ISERROR(SEARCH(("C"),(W24))))</formula>
    </cfRule>
    <cfRule type="containsText" dxfId="1048" priority="610" operator="containsText" text="P">
      <formula>NOT(ISERROR(SEARCH(("P"),(W24))))</formula>
    </cfRule>
    <cfRule type="containsText" dxfId="1047" priority="611" operator="containsText" text="K">
      <formula>NOT(ISERROR(SEARCH(("K"),(W24))))</formula>
    </cfRule>
    <cfRule type="containsText" dxfId="1046" priority="612" operator="containsText" text="X">
      <formula>NOT(ISERROR(SEARCH(("X"),(W24))))</formula>
    </cfRule>
    <cfRule type="containsText" dxfId="1045" priority="613" operator="containsText" text="L">
      <formula>NOT(ISERROR(SEARCH(("L"),(W24))))</formula>
    </cfRule>
    <cfRule type="containsText" dxfId="1044" priority="620" operator="containsText" text="O">
      <formula>NOT(ISERROR(SEARCH(("O"),(W24))))</formula>
    </cfRule>
    <cfRule type="containsText" dxfId="1043" priority="621" operator="containsText" text="C">
      <formula>NOT(ISERROR(SEARCH(("C"),(W24))))</formula>
    </cfRule>
    <cfRule type="containsText" dxfId="1042" priority="622" operator="containsText" text="P">
      <formula>NOT(ISERROR(SEARCH(("P"),(W24))))</formula>
    </cfRule>
    <cfRule type="containsText" dxfId="1041" priority="623" operator="containsText" text="K">
      <formula>NOT(ISERROR(SEARCH(("K"),(W24))))</formula>
    </cfRule>
    <cfRule type="containsText" dxfId="1040" priority="624" operator="containsText" text="X">
      <formula>NOT(ISERROR(SEARCH(("X"),(W24))))</formula>
    </cfRule>
    <cfRule type="containsText" dxfId="1039" priority="625" operator="containsText" text="L">
      <formula>NOT(ISERROR(SEARCH(("L"),(W24))))</formula>
    </cfRule>
  </conditionalFormatting>
  <conditionalFormatting sqref="W25:AA25">
    <cfRule type="containsText" dxfId="1038" priority="514" operator="containsText" text="L">
      <formula>NOT(ISERROR(SEARCH(("L"),(W25))))</formula>
    </cfRule>
    <cfRule type="containsText" dxfId="1037" priority="521" operator="containsText" text="O">
      <formula>NOT(ISERROR(SEARCH(("O"),(W25))))</formula>
    </cfRule>
    <cfRule type="containsText" dxfId="1036" priority="522" operator="containsText" text="C">
      <formula>NOT(ISERROR(SEARCH(("C"),(W25))))</formula>
    </cfRule>
    <cfRule type="containsText" dxfId="1035" priority="523" operator="containsText" text="P">
      <formula>NOT(ISERROR(SEARCH(("P"),(W25))))</formula>
    </cfRule>
    <cfRule type="containsText" dxfId="1034" priority="524" operator="containsText" text="K">
      <formula>NOT(ISERROR(SEARCH(("K"),(W25))))</formula>
    </cfRule>
    <cfRule type="containsText" dxfId="1033" priority="525" operator="containsText" text="X">
      <formula>NOT(ISERROR(SEARCH(("X"),(W25))))</formula>
    </cfRule>
    <cfRule type="containsText" dxfId="1032" priority="526" operator="containsText" text="L">
      <formula>NOT(ISERROR(SEARCH(("L"),(W25))))</formula>
    </cfRule>
  </conditionalFormatting>
  <conditionalFormatting sqref="Y23:Y27">
    <cfRule type="containsText" dxfId="1031" priority="1604" operator="containsText" text="N">
      <formula>NOT(ISERROR(SEARCH(("N"),(Y23))))</formula>
    </cfRule>
    <cfRule type="containsText" dxfId="1030" priority="1605" operator="containsText" text="O">
      <formula>NOT(ISERROR(SEARCH(("O"),(Y23))))</formula>
    </cfRule>
    <cfRule type="containsText" dxfId="1029" priority="1606" operator="containsText" text="C">
      <formula>NOT(ISERROR(SEARCH(("C"),(Y23))))</formula>
    </cfRule>
    <cfRule type="containsText" dxfId="1028" priority="1607" operator="containsText" text="P">
      <formula>NOT(ISERROR(SEARCH(("P"),(Y23))))</formula>
    </cfRule>
    <cfRule type="containsText" dxfId="1027" priority="1608" operator="containsText" text="K">
      <formula>NOT(ISERROR(SEARCH(("K"),(Y23))))</formula>
    </cfRule>
    <cfRule type="containsText" dxfId="1026" priority="1609" operator="containsText" text="X">
      <formula>NOT(ISERROR(SEARCH(("X"),(Y23))))</formula>
    </cfRule>
  </conditionalFormatting>
  <conditionalFormatting sqref="AA23">
    <cfRule type="containsText" dxfId="1025" priority="1114" operator="containsText" text="N">
      <formula>NOT(ISERROR(SEARCH(("N"),(AA23))))</formula>
    </cfRule>
    <cfRule type="containsText" dxfId="1024" priority="1115" operator="containsText" text="O">
      <formula>NOT(ISERROR(SEARCH(("O"),(AA23))))</formula>
    </cfRule>
    <cfRule type="containsText" dxfId="1023" priority="1116" operator="containsText" text="C">
      <formula>NOT(ISERROR(SEARCH(("C"),(AA23))))</formula>
    </cfRule>
    <cfRule type="containsText" dxfId="1022" priority="1117" operator="containsText" text="P">
      <formula>NOT(ISERROR(SEARCH(("P"),(AA23))))</formula>
    </cfRule>
    <cfRule type="containsText" dxfId="1021" priority="1118" operator="containsText" text="K">
      <formula>NOT(ISERROR(SEARCH(("K"),(AA23))))</formula>
    </cfRule>
    <cfRule type="containsText" dxfId="1020" priority="1119" operator="containsText" text="X">
      <formula>NOT(ISERROR(SEARCH(("X"),(AA23))))</formula>
    </cfRule>
    <cfRule type="containsText" dxfId="1019" priority="1120" operator="containsText" text="L">
      <formula>NOT(ISERROR(SEARCH(("L"),(AA23))))</formula>
    </cfRule>
  </conditionalFormatting>
  <conditionalFormatting sqref="AA26:AA27">
    <cfRule type="containsText" dxfId="1018" priority="193" operator="containsText" text="L">
      <formula>NOT(ISERROR(SEARCH(("L"),(AA26))))</formula>
    </cfRule>
    <cfRule type="containsText" dxfId="1017" priority="194" operator="containsText" text="O">
      <formula>NOT(ISERROR(SEARCH(("O"),(AA26))))</formula>
    </cfRule>
    <cfRule type="containsText" dxfId="1016" priority="195" operator="containsText" text="C">
      <formula>NOT(ISERROR(SEARCH(("C"),(AA26))))</formula>
    </cfRule>
    <cfRule type="containsText" dxfId="1015" priority="196" operator="containsText" text="P">
      <formula>NOT(ISERROR(SEARCH(("P"),(AA26))))</formula>
    </cfRule>
    <cfRule type="containsText" dxfId="1014" priority="197" operator="containsText" text="K">
      <formula>NOT(ISERROR(SEARCH(("K"),(AA26))))</formula>
    </cfRule>
    <cfRule type="containsText" dxfId="1013" priority="198" operator="containsText" text="X">
      <formula>NOT(ISERROR(SEARCH(("X"),(AA26))))</formula>
    </cfRule>
    <cfRule type="containsText" dxfId="1012" priority="199" operator="containsText" text="L">
      <formula>NOT(ISERROR(SEARCH(("L"),(AA26))))</formula>
    </cfRule>
  </conditionalFormatting>
  <conditionalFormatting sqref="AA26:AB27">
    <cfRule type="containsText" dxfId="1011" priority="175" operator="containsText" text="N">
      <formula>NOT(ISERROR(SEARCH(("N"),(AA26))))</formula>
    </cfRule>
    <cfRule type="containsText" dxfId="1010" priority="182" operator="containsText" text="O">
      <formula>NOT(ISERROR(SEARCH(("O"),(AA26))))</formula>
    </cfRule>
    <cfRule type="containsText" dxfId="1009" priority="183" operator="containsText" text="C">
      <formula>NOT(ISERROR(SEARCH(("C"),(AA26))))</formula>
    </cfRule>
    <cfRule type="containsText" dxfId="1008" priority="184" operator="containsText" text="P">
      <formula>NOT(ISERROR(SEARCH(("P"),(AA26))))</formula>
    </cfRule>
    <cfRule type="containsText" dxfId="1007" priority="185" operator="containsText" text="K">
      <formula>NOT(ISERROR(SEARCH(("K"),(AA26))))</formula>
    </cfRule>
    <cfRule type="containsText" dxfId="1006" priority="186" operator="containsText" text="X">
      <formula>NOT(ISERROR(SEARCH(("X"),(AA26))))</formula>
    </cfRule>
  </conditionalFormatting>
  <conditionalFormatting sqref="AA15:AE15">
    <cfRule type="containsText" dxfId="1005" priority="1180" operator="containsText" text="N">
      <formula>NOT(ISERROR(SEARCH(("N"),(AA15))))</formula>
    </cfRule>
    <cfRule type="containsText" dxfId="1004" priority="1181" operator="containsText" text="O">
      <formula>NOT(ISERROR(SEARCH(("O"),(AA15))))</formula>
    </cfRule>
    <cfRule type="containsText" dxfId="1003" priority="1182" operator="containsText" text="C">
      <formula>NOT(ISERROR(SEARCH(("C"),(AA15))))</formula>
    </cfRule>
    <cfRule type="containsText" dxfId="1002" priority="1183" operator="containsText" text="P">
      <formula>NOT(ISERROR(SEARCH(("P"),(AA15))))</formula>
    </cfRule>
    <cfRule type="containsText" dxfId="1001" priority="1184" operator="containsText" text="K">
      <formula>NOT(ISERROR(SEARCH(("K"),(AA15))))</formula>
    </cfRule>
    <cfRule type="containsText" dxfId="1000" priority="1185" operator="containsText" text="X">
      <formula>NOT(ISERROR(SEARCH(("X"),(AA15))))</formula>
    </cfRule>
    <cfRule type="containsText" dxfId="999" priority="1186" operator="containsText" text="L">
      <formula>NOT(ISERROR(SEARCH(("L"),(AA15))))</formula>
    </cfRule>
  </conditionalFormatting>
  <conditionalFormatting sqref="AA23:AE23">
    <cfRule type="containsText" dxfId="998" priority="1093" operator="containsText" text="N">
      <formula>NOT(ISERROR(SEARCH(("N"),(AA23))))</formula>
    </cfRule>
    <cfRule type="containsText" dxfId="997" priority="1094" operator="containsText" text="O">
      <formula>NOT(ISERROR(SEARCH(("O"),(AA23))))</formula>
    </cfRule>
    <cfRule type="containsText" dxfId="996" priority="1095" operator="containsText" text="C">
      <formula>NOT(ISERROR(SEARCH(("C"),(AA23))))</formula>
    </cfRule>
    <cfRule type="containsText" dxfId="995" priority="1096" operator="containsText" text="P">
      <formula>NOT(ISERROR(SEARCH(("P"),(AA23))))</formula>
    </cfRule>
    <cfRule type="containsText" dxfId="994" priority="1097" operator="containsText" text="K">
      <formula>NOT(ISERROR(SEARCH(("K"),(AA23))))</formula>
    </cfRule>
    <cfRule type="containsText" dxfId="993" priority="1098" operator="containsText" text="X">
      <formula>NOT(ISERROR(SEARCH(("X"),(AA23))))</formula>
    </cfRule>
    <cfRule type="containsText" dxfId="992" priority="1099" operator="containsText" text="L">
      <formula>NOT(ISERROR(SEARCH(("L"),(AA23))))</formula>
    </cfRule>
  </conditionalFormatting>
  <conditionalFormatting sqref="AB26:AB27">
    <cfRule type="containsText" dxfId="991" priority="176" operator="containsText" text="O">
      <formula>NOT(ISERROR(SEARCH(("O"),(AB26))))</formula>
    </cfRule>
    <cfRule type="containsText" dxfId="990" priority="177" operator="containsText" text="C">
      <formula>NOT(ISERROR(SEARCH(("C"),(AB26))))</formula>
    </cfRule>
    <cfRule type="containsText" dxfId="989" priority="178" operator="containsText" text="P">
      <formula>NOT(ISERROR(SEARCH(("P"),(AB26))))</formula>
    </cfRule>
    <cfRule type="containsText" dxfId="988" priority="179" operator="containsText" text="K">
      <formula>NOT(ISERROR(SEARCH(("K"),(AB26))))</formula>
    </cfRule>
    <cfRule type="containsText" dxfId="987" priority="180" operator="containsText" text="X">
      <formula>NOT(ISERROR(SEARCH(("X"),(AB26))))</formula>
    </cfRule>
    <cfRule type="containsText" dxfId="986" priority="181" operator="containsText" text="L">
      <formula>NOT(ISERROR(SEARCH(("L"),(AB26))))</formula>
    </cfRule>
    <cfRule type="containsText" dxfId="985" priority="187" operator="containsText" text="N">
      <formula>NOT(ISERROR(SEARCH(("N"),(AB26))))</formula>
    </cfRule>
  </conditionalFormatting>
  <conditionalFormatting sqref="AB12:AC12">
    <cfRule type="containsText" dxfId="984" priority="1468" operator="containsText" text="N">
      <formula>NOT(ISERROR(SEARCH(("N"),(AB12))))</formula>
    </cfRule>
    <cfRule type="containsText" dxfId="983" priority="1469" operator="containsText" text="O">
      <formula>NOT(ISERROR(SEARCH(("O"),(AB12))))</formula>
    </cfRule>
    <cfRule type="containsText" dxfId="982" priority="1470" operator="containsText" text="C">
      <formula>NOT(ISERROR(SEARCH(("C"),(AB12))))</formula>
    </cfRule>
    <cfRule type="containsText" dxfId="981" priority="1471" operator="containsText" text="P">
      <formula>NOT(ISERROR(SEARCH(("P"),(AB12))))</formula>
    </cfRule>
    <cfRule type="containsText" dxfId="980" priority="1472" operator="containsText" text="K">
      <formula>NOT(ISERROR(SEARCH(("K"),(AB12))))</formula>
    </cfRule>
    <cfRule type="containsText" dxfId="979" priority="1473" operator="containsText" text="X">
      <formula>NOT(ISERROR(SEARCH(("X"),(AB12))))</formula>
    </cfRule>
    <cfRule type="containsText" dxfId="978" priority="1474" operator="containsText" text="L">
      <formula>NOT(ISERROR(SEARCH(("L"),(AB12))))</formula>
    </cfRule>
  </conditionalFormatting>
  <conditionalFormatting sqref="AB12:AC13">
    <cfRule type="containsText" dxfId="977" priority="660" operator="containsText" text="N">
      <formula>NOT(ISERROR(SEARCH(("N"),(AB12))))</formula>
    </cfRule>
    <cfRule type="containsText" dxfId="976" priority="661" operator="containsText" text="O">
      <formula>NOT(ISERROR(SEARCH(("O"),(AB12))))</formula>
    </cfRule>
    <cfRule type="containsText" dxfId="975" priority="662" operator="containsText" text="C">
      <formula>NOT(ISERROR(SEARCH(("C"),(AB12))))</formula>
    </cfRule>
    <cfRule type="containsText" dxfId="974" priority="663" operator="containsText" text="P">
      <formula>NOT(ISERROR(SEARCH(("P"),(AB12))))</formula>
    </cfRule>
    <cfRule type="containsText" dxfId="973" priority="664" operator="containsText" text="K">
      <formula>NOT(ISERROR(SEARCH(("K"),(AB12))))</formula>
    </cfRule>
    <cfRule type="containsText" dxfId="972" priority="665" operator="containsText" text="X">
      <formula>NOT(ISERROR(SEARCH(("X"),(AB12))))</formula>
    </cfRule>
    <cfRule type="containsText" dxfId="971" priority="666" operator="containsText" text="L">
      <formula>NOT(ISERROR(SEARCH(("L"),(AB12))))</formula>
    </cfRule>
  </conditionalFormatting>
  <conditionalFormatting sqref="AB13:AC13">
    <cfRule type="containsText" dxfId="970" priority="653" operator="containsText" text="N">
      <formula>NOT(ISERROR(SEARCH(("N"),(AB13))))</formula>
    </cfRule>
    <cfRule type="containsText" dxfId="969" priority="654" operator="containsText" text="O">
      <formula>NOT(ISERROR(SEARCH(("O"),(AB13))))</formula>
    </cfRule>
    <cfRule type="containsText" dxfId="968" priority="655" operator="containsText" text="C">
      <formula>NOT(ISERROR(SEARCH(("C"),(AB13))))</formula>
    </cfRule>
    <cfRule type="containsText" dxfId="967" priority="656" operator="containsText" text="P">
      <formula>NOT(ISERROR(SEARCH(("P"),(AB13))))</formula>
    </cfRule>
    <cfRule type="containsText" dxfId="966" priority="657" operator="containsText" text="K">
      <formula>NOT(ISERROR(SEARCH(("K"),(AB13))))</formula>
    </cfRule>
    <cfRule type="containsText" dxfId="965" priority="658" operator="containsText" text="X">
      <formula>NOT(ISERROR(SEARCH(("X"),(AB13))))</formula>
    </cfRule>
    <cfRule type="containsText" dxfId="964" priority="659" operator="containsText" text="L">
      <formula>NOT(ISERROR(SEARCH(("L"),(AB13))))</formula>
    </cfRule>
  </conditionalFormatting>
  <conditionalFormatting sqref="AB16:AC16">
    <cfRule type="containsText" dxfId="963" priority="1286" operator="containsText" text="N">
      <formula>NOT(ISERROR(SEARCH(("N"),(AB16))))</formula>
    </cfRule>
    <cfRule type="containsText" dxfId="962" priority="1287" operator="containsText" text="O">
      <formula>NOT(ISERROR(SEARCH(("O"),(AB16))))</formula>
    </cfRule>
    <cfRule type="containsText" dxfId="961" priority="1288" operator="containsText" text="C">
      <formula>NOT(ISERROR(SEARCH(("C"),(AB16))))</formula>
    </cfRule>
    <cfRule type="containsText" dxfId="960" priority="1289" operator="containsText" text="P">
      <formula>NOT(ISERROR(SEARCH(("P"),(AB16))))</formula>
    </cfRule>
    <cfRule type="containsText" dxfId="959" priority="1290" operator="containsText" text="K">
      <formula>NOT(ISERROR(SEARCH(("K"),(AB16))))</formula>
    </cfRule>
    <cfRule type="containsText" dxfId="958" priority="1291" operator="containsText" text="X">
      <formula>NOT(ISERROR(SEARCH(("X"),(AB16))))</formula>
    </cfRule>
    <cfRule type="containsText" dxfId="957" priority="1292" operator="containsText" text="L">
      <formula>NOT(ISERROR(SEARCH(("L"),(AB16))))</formula>
    </cfRule>
    <cfRule type="containsText" dxfId="956" priority="1293" operator="containsText" text="N">
      <formula>NOT(ISERROR(SEARCH(("N"),(AB16))))</formula>
    </cfRule>
    <cfRule type="containsText" dxfId="955" priority="1294" operator="containsText" text="O">
      <formula>NOT(ISERROR(SEARCH(("O"),(AB16))))</formula>
    </cfRule>
    <cfRule type="containsText" dxfId="954" priority="1295" operator="containsText" text="C">
      <formula>NOT(ISERROR(SEARCH(("C"),(AB16))))</formula>
    </cfRule>
    <cfRule type="containsText" dxfId="953" priority="1296" operator="containsText" text="P">
      <formula>NOT(ISERROR(SEARCH(("P"),(AB16))))</formula>
    </cfRule>
    <cfRule type="containsText" dxfId="952" priority="1297" operator="containsText" text="K">
      <formula>NOT(ISERROR(SEARCH(("K"),(AB16))))</formula>
    </cfRule>
    <cfRule type="containsText" dxfId="951" priority="1298" operator="containsText" text="X">
      <formula>NOT(ISERROR(SEARCH(("X"),(AB16))))</formula>
    </cfRule>
    <cfRule type="containsText" dxfId="950" priority="1299" operator="containsText" text="L">
      <formula>NOT(ISERROR(SEARCH(("L"),(AB16))))</formula>
    </cfRule>
  </conditionalFormatting>
  <conditionalFormatting sqref="AB16:AC17">
    <cfRule type="containsText" dxfId="949" priority="1300" operator="containsText" text="N">
      <formula>NOT(ISERROR(SEARCH(("N"),(AB16))))</formula>
    </cfRule>
    <cfRule type="containsText" dxfId="948" priority="1301" operator="containsText" text="O">
      <formula>NOT(ISERROR(SEARCH(("O"),(AB16))))</formula>
    </cfRule>
    <cfRule type="containsText" dxfId="947" priority="1302" operator="containsText" text="C">
      <formula>NOT(ISERROR(SEARCH(("C"),(AB16))))</formula>
    </cfRule>
    <cfRule type="containsText" dxfId="946" priority="1303" operator="containsText" text="P">
      <formula>NOT(ISERROR(SEARCH(("P"),(AB16))))</formula>
    </cfRule>
    <cfRule type="containsText" dxfId="945" priority="1304" operator="containsText" text="K">
      <formula>NOT(ISERROR(SEARCH(("K"),(AB16))))</formula>
    </cfRule>
    <cfRule type="containsText" dxfId="944" priority="1305" operator="containsText" text="X">
      <formula>NOT(ISERROR(SEARCH(("X"),(AB16))))</formula>
    </cfRule>
    <cfRule type="containsText" dxfId="943" priority="1306" operator="containsText" text="L">
      <formula>NOT(ISERROR(SEARCH(("L"),(AB16))))</formula>
    </cfRule>
  </conditionalFormatting>
  <conditionalFormatting sqref="AB18:AC19">
    <cfRule type="containsText" dxfId="942" priority="763" operator="containsText" text="N">
      <formula>NOT(ISERROR(SEARCH(("N"),(AB18))))</formula>
    </cfRule>
    <cfRule type="containsText" dxfId="941" priority="764" operator="containsText" text="O">
      <formula>NOT(ISERROR(SEARCH(("O"),(AB18))))</formula>
    </cfRule>
    <cfRule type="containsText" dxfId="940" priority="765" operator="containsText" text="C">
      <formula>NOT(ISERROR(SEARCH(("C"),(AB18))))</formula>
    </cfRule>
    <cfRule type="containsText" dxfId="939" priority="766" operator="containsText" text="P">
      <formula>NOT(ISERROR(SEARCH(("P"),(AB18))))</formula>
    </cfRule>
    <cfRule type="containsText" dxfId="938" priority="767" operator="containsText" text="K">
      <formula>NOT(ISERROR(SEARCH(("K"),(AB18))))</formula>
    </cfRule>
    <cfRule type="containsText" dxfId="937" priority="768" operator="containsText" text="X">
      <formula>NOT(ISERROR(SEARCH(("X"),(AB18))))</formula>
    </cfRule>
    <cfRule type="containsText" dxfId="936" priority="769" operator="containsText" text="L">
      <formula>NOT(ISERROR(SEARCH(("L"),(AB18))))</formula>
    </cfRule>
  </conditionalFormatting>
  <conditionalFormatting sqref="AB19:AC19">
    <cfRule type="containsText" dxfId="935" priority="832" operator="containsText" text="O">
      <formula>NOT(ISERROR(SEARCH(("O"),(AB19))))</formula>
    </cfRule>
    <cfRule type="containsText" dxfId="934" priority="833" operator="containsText" text="C">
      <formula>NOT(ISERROR(SEARCH(("C"),(AB19))))</formula>
    </cfRule>
    <cfRule type="containsText" dxfId="933" priority="834" operator="containsText" text="P">
      <formula>NOT(ISERROR(SEARCH(("P"),(AB19))))</formula>
    </cfRule>
    <cfRule type="containsText" dxfId="932" priority="835" operator="containsText" text="K">
      <formula>NOT(ISERROR(SEARCH(("K"),(AB19))))</formula>
    </cfRule>
    <cfRule type="containsText" dxfId="931" priority="836" operator="containsText" text="X">
      <formula>NOT(ISERROR(SEARCH(("X"),(AB19))))</formula>
    </cfRule>
    <cfRule type="containsText" dxfId="930" priority="837" operator="containsText" text="N">
      <formula>NOT(ISERROR(SEARCH(("N"),(AB19))))</formula>
    </cfRule>
  </conditionalFormatting>
  <conditionalFormatting sqref="AB24:AC24">
    <cfRule type="containsText" dxfId="929" priority="554" operator="containsText" text="O">
      <formula>NOT(ISERROR(SEARCH(("O"),(AB24))))</formula>
    </cfRule>
    <cfRule type="containsText" dxfId="928" priority="555" operator="containsText" text="C">
      <formula>NOT(ISERROR(SEARCH(("C"),(AB24))))</formula>
    </cfRule>
    <cfRule type="containsText" dxfId="927" priority="556" operator="containsText" text="P">
      <formula>NOT(ISERROR(SEARCH(("P"),(AB24))))</formula>
    </cfRule>
    <cfRule type="containsText" dxfId="926" priority="557" operator="containsText" text="K">
      <formula>NOT(ISERROR(SEARCH(("K"),(AB24))))</formula>
    </cfRule>
    <cfRule type="containsText" dxfId="925" priority="558" operator="containsText" text="X">
      <formula>NOT(ISERROR(SEARCH(("X"),(AB24))))</formula>
    </cfRule>
    <cfRule type="containsText" dxfId="924" priority="559" operator="containsText" text="L">
      <formula>NOT(ISERROR(SEARCH(("L"),(AB24))))</formula>
    </cfRule>
    <cfRule type="containsText" dxfId="923" priority="560" operator="containsText" text="O">
      <formula>NOT(ISERROR(SEARCH(("O"),(AB24))))</formula>
    </cfRule>
    <cfRule type="containsText" dxfId="922" priority="561" operator="containsText" text="C">
      <formula>NOT(ISERROR(SEARCH(("C"),(AB24))))</formula>
    </cfRule>
    <cfRule type="containsText" dxfId="921" priority="562" operator="containsText" text="P">
      <formula>NOT(ISERROR(SEARCH(("P"),(AB24))))</formula>
    </cfRule>
    <cfRule type="containsText" dxfId="920" priority="563" operator="containsText" text="K">
      <formula>NOT(ISERROR(SEARCH(("K"),(AB24))))</formula>
    </cfRule>
    <cfRule type="containsText" dxfId="919" priority="564" operator="containsText" text="X">
      <formula>NOT(ISERROR(SEARCH(("X"),(AB24))))</formula>
    </cfRule>
  </conditionalFormatting>
  <conditionalFormatting sqref="AB24:AC25">
    <cfRule type="containsText" dxfId="918" priority="473" operator="containsText" text="N">
      <formula>NOT(ISERROR(SEARCH(("N"),(AB24))))</formula>
    </cfRule>
  </conditionalFormatting>
  <conditionalFormatting sqref="AB25:AC25">
    <cfRule type="containsText" dxfId="917" priority="462" operator="containsText" text="O">
      <formula>NOT(ISERROR(SEARCH(("O"),(AB25))))</formula>
    </cfRule>
    <cfRule type="containsText" dxfId="916" priority="463" operator="containsText" text="C">
      <formula>NOT(ISERROR(SEARCH(("C"),(AB25))))</formula>
    </cfRule>
    <cfRule type="containsText" dxfId="915" priority="464" operator="containsText" text="P">
      <formula>NOT(ISERROR(SEARCH(("P"),(AB25))))</formula>
    </cfRule>
    <cfRule type="containsText" dxfId="914" priority="465" operator="containsText" text="K">
      <formula>NOT(ISERROR(SEARCH(("K"),(AB25))))</formula>
    </cfRule>
    <cfRule type="containsText" dxfId="913" priority="466" operator="containsText" text="X">
      <formula>NOT(ISERROR(SEARCH(("X"),(AB25))))</formula>
    </cfRule>
    <cfRule type="containsText" dxfId="912" priority="467" operator="containsText" text="L">
      <formula>NOT(ISERROR(SEARCH(("L"),(AB25))))</formula>
    </cfRule>
  </conditionalFormatting>
  <conditionalFormatting sqref="AB11:AD11">
    <cfRule type="containsText" dxfId="911" priority="1547" operator="containsText" text="N">
      <formula>NOT(ISERROR(SEARCH(("N"),(AB11))))</formula>
    </cfRule>
    <cfRule type="containsText" dxfId="910" priority="1548" operator="containsText" text="O">
      <formula>NOT(ISERROR(SEARCH(("O"),(AB11))))</formula>
    </cfRule>
    <cfRule type="containsText" dxfId="909" priority="1549" operator="containsText" text="C">
      <formula>NOT(ISERROR(SEARCH(("C"),(AB11))))</formula>
    </cfRule>
    <cfRule type="containsText" dxfId="908" priority="1550" operator="containsText" text="P">
      <formula>NOT(ISERROR(SEARCH(("P"),(AB11))))</formula>
    </cfRule>
    <cfRule type="containsText" dxfId="907" priority="1551" operator="containsText" text="K">
      <formula>NOT(ISERROR(SEARCH(("K"),(AB11))))</formula>
    </cfRule>
    <cfRule type="containsText" dxfId="906" priority="1552" operator="containsText" text="X">
      <formula>NOT(ISERROR(SEARCH(("X"),(AB11))))</formula>
    </cfRule>
    <cfRule type="containsText" dxfId="905" priority="1553" operator="containsText" text="L">
      <formula>NOT(ISERROR(SEARCH(("L"),(AB11))))</formula>
    </cfRule>
    <cfRule type="containsText" dxfId="904" priority="1554" operator="containsText" text="N">
      <formula>NOT(ISERROR(SEARCH(("N"),(AB11))))</formula>
    </cfRule>
    <cfRule type="containsText" dxfId="903" priority="1555" operator="containsText" text="O">
      <formula>NOT(ISERROR(SEARCH(("O"),(AB11))))</formula>
    </cfRule>
    <cfRule type="containsText" dxfId="902" priority="1556" operator="containsText" text="C">
      <formula>NOT(ISERROR(SEARCH(("C"),(AB11))))</formula>
    </cfRule>
    <cfRule type="containsText" dxfId="901" priority="1557" operator="containsText" text="P">
      <formula>NOT(ISERROR(SEARCH(("P"),(AB11))))</formula>
    </cfRule>
    <cfRule type="containsText" dxfId="900" priority="1558" operator="containsText" text="K">
      <formula>NOT(ISERROR(SEARCH(("K"),(AB11))))</formula>
    </cfRule>
    <cfRule type="containsText" dxfId="899" priority="1559" operator="containsText" text="X">
      <formula>NOT(ISERROR(SEARCH(("X"),(AB11))))</formula>
    </cfRule>
    <cfRule type="containsText" dxfId="898" priority="1560" operator="containsText" text="L">
      <formula>NOT(ISERROR(SEARCH(("L"),(AB11))))</formula>
    </cfRule>
  </conditionalFormatting>
  <conditionalFormatting sqref="AB24:AH24">
    <cfRule type="containsText" dxfId="897" priority="565" operator="containsText" text="N">
      <formula>NOT(ISERROR(SEARCH(("N"),(AB24))))</formula>
    </cfRule>
  </conditionalFormatting>
  <conditionalFormatting sqref="AB25:AH25">
    <cfRule type="containsText" dxfId="896" priority="468" operator="containsText" text="O">
      <formula>NOT(ISERROR(SEARCH(("O"),(AB25))))</formula>
    </cfRule>
    <cfRule type="containsText" dxfId="895" priority="469" operator="containsText" text="C">
      <formula>NOT(ISERROR(SEARCH(("C"),(AB25))))</formula>
    </cfRule>
    <cfRule type="containsText" dxfId="894" priority="470" operator="containsText" text="P">
      <formula>NOT(ISERROR(SEARCH(("P"),(AB25))))</formula>
    </cfRule>
    <cfRule type="containsText" dxfId="893" priority="471" operator="containsText" text="K">
      <formula>NOT(ISERROR(SEARCH(("K"),(AB25))))</formula>
    </cfRule>
    <cfRule type="containsText" dxfId="892" priority="472" operator="containsText" text="X">
      <formula>NOT(ISERROR(SEARCH(("X"),(AB25))))</formula>
    </cfRule>
  </conditionalFormatting>
  <conditionalFormatting sqref="AC14">
    <cfRule type="containsText" dxfId="891" priority="292" operator="containsText" text="N">
      <formula>NOT(ISERROR(SEARCH(("N"),(AC14))))</formula>
    </cfRule>
    <cfRule type="containsText" dxfId="890" priority="293" operator="containsText" text="O">
      <formula>NOT(ISERROR(SEARCH(("O"),(AC14))))</formula>
    </cfRule>
    <cfRule type="containsText" dxfId="889" priority="294" operator="containsText" text="C">
      <formula>NOT(ISERROR(SEARCH(("C"),(AC14))))</formula>
    </cfRule>
    <cfRule type="containsText" dxfId="888" priority="295" operator="containsText" text="P">
      <formula>NOT(ISERROR(SEARCH(("P"),(AC14))))</formula>
    </cfRule>
    <cfRule type="containsText" dxfId="887" priority="296" operator="containsText" text="K">
      <formula>NOT(ISERROR(SEARCH(("K"),(AC14))))</formula>
    </cfRule>
    <cfRule type="containsText" dxfId="886" priority="297" operator="containsText" text="X">
      <formula>NOT(ISERROR(SEARCH(("X"),(AC14))))</formula>
    </cfRule>
  </conditionalFormatting>
  <conditionalFormatting sqref="AC14:AG14">
    <cfRule type="containsText" dxfId="885" priority="298" operator="containsText" text="L">
      <formula>NOT(ISERROR(SEARCH(("L"),(AC14))))</formula>
    </cfRule>
    <cfRule type="containsText" dxfId="884" priority="1912" operator="containsText" text="N">
      <formula>NOT(ISERROR(SEARCH(("N"),(AC14))))</formula>
    </cfRule>
    <cfRule type="containsText" dxfId="883" priority="1913" operator="containsText" text="O">
      <formula>NOT(ISERROR(SEARCH(("O"),(AC14))))</formula>
    </cfRule>
    <cfRule type="containsText" dxfId="882" priority="1914" operator="containsText" text="C">
      <formula>NOT(ISERROR(SEARCH(("C"),(AC14))))</formula>
    </cfRule>
    <cfRule type="containsText" dxfId="881" priority="1915" operator="containsText" text="P">
      <formula>NOT(ISERROR(SEARCH(("P"),(AC14))))</formula>
    </cfRule>
    <cfRule type="containsText" dxfId="880" priority="1916" operator="containsText" text="K">
      <formula>NOT(ISERROR(SEARCH(("K"),(AC14))))</formula>
    </cfRule>
    <cfRule type="containsText" dxfId="879" priority="1917" operator="containsText" text="X">
      <formula>NOT(ISERROR(SEARCH(("X"),(AC14))))</formula>
    </cfRule>
    <cfRule type="containsText" dxfId="878" priority="1918" operator="containsText" text="N">
      <formula>NOT(ISERROR(SEARCH(("N"),(AC14))))</formula>
    </cfRule>
    <cfRule type="containsText" dxfId="877" priority="1919" operator="containsText" text="O">
      <formula>NOT(ISERROR(SEARCH(("O"),(AC14))))</formula>
    </cfRule>
    <cfRule type="containsText" dxfId="876" priority="1920" operator="containsText" text="C">
      <formula>NOT(ISERROR(SEARCH(("C"),(AC14))))</formula>
    </cfRule>
    <cfRule type="containsText" dxfId="875" priority="1921" operator="containsText" text="P">
      <formula>NOT(ISERROR(SEARCH(("P"),(AC14))))</formula>
    </cfRule>
    <cfRule type="containsText" dxfId="874" priority="1922" operator="containsText" text="K">
      <formula>NOT(ISERROR(SEARCH(("K"),(AC14))))</formula>
    </cfRule>
    <cfRule type="containsText" dxfId="873" priority="1923" operator="containsText" text="X">
      <formula>NOT(ISERROR(SEARCH(("X"),(AC14))))</formula>
    </cfRule>
    <cfRule type="containsText" dxfId="872" priority="1924" operator="containsText" text="L">
      <formula>NOT(ISERROR(SEARCH(("L"),(AC14))))</formula>
    </cfRule>
    <cfRule type="containsText" dxfId="871" priority="1925" operator="containsText" text="N">
      <formula>NOT(ISERROR(SEARCH(("N"),(AC14))))</formula>
    </cfRule>
    <cfRule type="containsText" dxfId="870" priority="1926" operator="containsText" text="O">
      <formula>NOT(ISERROR(SEARCH(("O"),(AC14))))</formula>
    </cfRule>
    <cfRule type="containsText" dxfId="869" priority="1927" operator="containsText" text="C">
      <formula>NOT(ISERROR(SEARCH(("C"),(AC14))))</formula>
    </cfRule>
    <cfRule type="containsText" dxfId="868" priority="1928" operator="containsText" text="P">
      <formula>NOT(ISERROR(SEARCH(("P"),(AC14))))</formula>
    </cfRule>
    <cfRule type="containsText" dxfId="867" priority="1929" operator="containsText" text="K">
      <formula>NOT(ISERROR(SEARCH(("K"),(AC14))))</formula>
    </cfRule>
    <cfRule type="containsText" dxfId="866" priority="1930" operator="containsText" text="X">
      <formula>NOT(ISERROR(SEARCH(("X"),(AC14))))</formula>
    </cfRule>
    <cfRule type="containsText" dxfId="865" priority="1931" operator="containsText" text="L">
      <formula>NOT(ISERROR(SEARCH(("L"),(AC14))))</formula>
    </cfRule>
  </conditionalFormatting>
  <conditionalFormatting sqref="AD23:AD27">
    <cfRule type="containsText" dxfId="864" priority="1561" operator="containsText" text="N">
      <formula>NOT(ISERROR(SEARCH(("N"),(AD23))))</formula>
    </cfRule>
    <cfRule type="containsText" dxfId="863" priority="1562" operator="containsText" text="O">
      <formula>NOT(ISERROR(SEARCH(("O"),(AD23))))</formula>
    </cfRule>
    <cfRule type="containsText" dxfId="862" priority="1563" operator="containsText" text="C">
      <formula>NOT(ISERROR(SEARCH(("C"),(AD23))))</formula>
    </cfRule>
    <cfRule type="containsText" dxfId="861" priority="1564" operator="containsText" text="P">
      <formula>NOT(ISERROR(SEARCH(("P"),(AD23))))</formula>
    </cfRule>
    <cfRule type="containsText" dxfId="860" priority="1565" operator="containsText" text="K">
      <formula>NOT(ISERROR(SEARCH(("K"),(AD23))))</formula>
    </cfRule>
    <cfRule type="containsText" dxfId="859" priority="1566" operator="containsText" text="X">
      <formula>NOT(ISERROR(SEARCH(("X"),(AD23))))</formula>
    </cfRule>
    <cfRule type="containsText" dxfId="858" priority="1567" operator="containsText" text="L">
      <formula>NOT(ISERROR(SEARCH(("L"),(AD23))))</formula>
    </cfRule>
    <cfRule type="containsText" dxfId="857" priority="1568" operator="containsText" text="O">
      <formula>NOT(ISERROR(SEARCH(("O"),(AD23))))</formula>
    </cfRule>
    <cfRule type="containsText" dxfId="856" priority="1569" operator="containsText" text="C">
      <formula>NOT(ISERROR(SEARCH(("C"),(AD23))))</formula>
    </cfRule>
    <cfRule type="containsText" dxfId="855" priority="1570" operator="containsText" text="P">
      <formula>NOT(ISERROR(SEARCH(("P"),(AD23))))</formula>
    </cfRule>
    <cfRule type="containsText" dxfId="854" priority="1571" operator="containsText" text="K">
      <formula>NOT(ISERROR(SEARCH(("K"),(AD23))))</formula>
    </cfRule>
    <cfRule type="containsText" dxfId="853" priority="1572" operator="containsText" text="X">
      <formula>NOT(ISERROR(SEARCH(("X"),(AD23))))</formula>
    </cfRule>
    <cfRule type="containsText" dxfId="852" priority="1573" operator="containsText" text="L">
      <formula>NOT(ISERROR(SEARCH(("L"),(AD23))))</formula>
    </cfRule>
  </conditionalFormatting>
  <conditionalFormatting sqref="AD25">
    <cfRule type="containsText" dxfId="851" priority="134" operator="containsText" text="O">
      <formula>NOT(ISERROR(SEARCH(("O"),(AD25))))</formula>
    </cfRule>
    <cfRule type="containsText" dxfId="850" priority="135" operator="containsText" text="C">
      <formula>NOT(ISERROR(SEARCH(("C"),(AD25))))</formula>
    </cfRule>
    <cfRule type="containsText" dxfId="849" priority="136" operator="containsText" text="P">
      <formula>NOT(ISERROR(SEARCH(("P"),(AD25))))</formula>
    </cfRule>
    <cfRule type="containsText" dxfId="848" priority="137" operator="containsText" text="K">
      <formula>NOT(ISERROR(SEARCH(("K"),(AD25))))</formula>
    </cfRule>
    <cfRule type="containsText" dxfId="847" priority="138" operator="containsText" text="X">
      <formula>NOT(ISERROR(SEARCH(("X"),(AD25))))</formula>
    </cfRule>
    <cfRule type="containsText" dxfId="846" priority="139" operator="containsText" text="L">
      <formula>NOT(ISERROR(SEARCH(("L"),(AD25))))</formula>
    </cfRule>
    <cfRule type="containsText" dxfId="845" priority="140" operator="containsText" text="N">
      <formula>NOT(ISERROR(SEARCH(("N"),(AD25))))</formula>
    </cfRule>
    <cfRule type="containsText" dxfId="844" priority="141" operator="containsText" text="O">
      <formula>NOT(ISERROR(SEARCH(("O"),(AD25))))</formula>
    </cfRule>
    <cfRule type="containsText" dxfId="843" priority="142" operator="containsText" text="C">
      <formula>NOT(ISERROR(SEARCH(("C"),(AD25))))</formula>
    </cfRule>
    <cfRule type="containsText" dxfId="842" priority="143" operator="containsText" text="P">
      <formula>NOT(ISERROR(SEARCH(("P"),(AD25))))</formula>
    </cfRule>
    <cfRule type="containsText" dxfId="841" priority="144" operator="containsText" text="K">
      <formula>NOT(ISERROR(SEARCH(("K"),(AD25))))</formula>
    </cfRule>
    <cfRule type="containsText" dxfId="840" priority="145" operator="containsText" text="X">
      <formula>NOT(ISERROR(SEARCH(("X"),(AD25))))</formula>
    </cfRule>
    <cfRule type="containsText" dxfId="839" priority="146" operator="containsText" text="L">
      <formula>NOT(ISERROR(SEARCH(("L"),(AD25))))</formula>
    </cfRule>
    <cfRule type="containsText" dxfId="838" priority="147" operator="containsText" text="O">
      <formula>NOT(ISERROR(SEARCH(("O"),(AD25))))</formula>
    </cfRule>
    <cfRule type="containsText" dxfId="837" priority="148" operator="containsText" text="C">
      <formula>NOT(ISERROR(SEARCH(("C"),(AD25))))</formula>
    </cfRule>
    <cfRule type="containsText" dxfId="836" priority="149" operator="containsText" text="P">
      <formula>NOT(ISERROR(SEARCH(("P"),(AD25))))</formula>
    </cfRule>
    <cfRule type="containsText" dxfId="835" priority="150" operator="containsText" text="K">
      <formula>NOT(ISERROR(SEARCH(("K"),(AD25))))</formula>
    </cfRule>
    <cfRule type="containsText" dxfId="834" priority="151" operator="containsText" text="X">
      <formula>NOT(ISERROR(SEARCH(("X"),(AD25))))</formula>
    </cfRule>
    <cfRule type="containsText" dxfId="833" priority="152" operator="containsText" text="L">
      <formula>NOT(ISERROR(SEARCH(("L"),(AD25))))</formula>
    </cfRule>
    <cfRule type="containsText" dxfId="832" priority="153" operator="containsText" text="N">
      <formula>NOT(ISERROR(SEARCH(("N"),(AD25))))</formula>
    </cfRule>
    <cfRule type="containsText" dxfId="831" priority="154" operator="containsText" text="O">
      <formula>NOT(ISERROR(SEARCH(("O"),(AD25))))</formula>
    </cfRule>
    <cfRule type="containsText" dxfId="830" priority="155" operator="containsText" text="C">
      <formula>NOT(ISERROR(SEARCH(("C"),(AD25))))</formula>
    </cfRule>
    <cfRule type="containsText" dxfId="829" priority="156" operator="containsText" text="P">
      <formula>NOT(ISERROR(SEARCH(("P"),(AD25))))</formula>
    </cfRule>
    <cfRule type="containsText" dxfId="828" priority="157" operator="containsText" text="K">
      <formula>NOT(ISERROR(SEARCH(("K"),(AD25))))</formula>
    </cfRule>
    <cfRule type="containsText" dxfId="827" priority="158" operator="containsText" text="X">
      <formula>NOT(ISERROR(SEARCH(("X"),(AD25))))</formula>
    </cfRule>
    <cfRule type="containsText" dxfId="826" priority="159" operator="containsText" text="L">
      <formula>NOT(ISERROR(SEARCH(("L"),(AD25))))</formula>
    </cfRule>
    <cfRule type="containsText" dxfId="825" priority="160" operator="containsText" text="N">
      <formula>NOT(ISERROR(SEARCH(("N"),(AD25))))</formula>
    </cfRule>
    <cfRule type="containsText" dxfId="824" priority="161" operator="containsText" text="O">
      <formula>NOT(ISERROR(SEARCH(("O"),(AD25))))</formula>
    </cfRule>
    <cfRule type="containsText" dxfId="823" priority="162" operator="containsText" text="C">
      <formula>NOT(ISERROR(SEARCH(("C"),(AD25))))</formula>
    </cfRule>
    <cfRule type="containsText" dxfId="822" priority="163" operator="containsText" text="P">
      <formula>NOT(ISERROR(SEARCH(("P"),(AD25))))</formula>
    </cfRule>
    <cfRule type="containsText" dxfId="821" priority="164" operator="containsText" text="K">
      <formula>NOT(ISERROR(SEARCH(("K"),(AD25))))</formula>
    </cfRule>
    <cfRule type="containsText" dxfId="820" priority="165" operator="containsText" text="X">
      <formula>NOT(ISERROR(SEARCH(("X"),(AD25))))</formula>
    </cfRule>
    <cfRule type="containsText" dxfId="819" priority="166" operator="containsText" text="L">
      <formula>NOT(ISERROR(SEARCH(("L"),(AD25))))</formula>
    </cfRule>
    <cfRule type="containsText" dxfId="818" priority="167" operator="containsText" text="N">
      <formula>NOT(ISERROR(SEARCH(("N"),(AD25))))</formula>
    </cfRule>
    <cfRule type="containsText" dxfId="817" priority="168" operator="containsText" text="O">
      <formula>NOT(ISERROR(SEARCH(("O"),(AD25))))</formula>
    </cfRule>
    <cfRule type="containsText" dxfId="816" priority="169" operator="containsText" text="C">
      <formula>NOT(ISERROR(SEARCH(("C"),(AD25))))</formula>
    </cfRule>
    <cfRule type="containsText" dxfId="815" priority="170" operator="containsText" text="P">
      <formula>NOT(ISERROR(SEARCH(("P"),(AD25))))</formula>
    </cfRule>
    <cfRule type="containsText" dxfId="814" priority="171" operator="containsText" text="K">
      <formula>NOT(ISERROR(SEARCH(("K"),(AD25))))</formula>
    </cfRule>
    <cfRule type="containsText" dxfId="813" priority="172" operator="containsText" text="X">
      <formula>NOT(ISERROR(SEARCH(("X"),(AD25))))</formula>
    </cfRule>
    <cfRule type="containsText" dxfId="812" priority="173" operator="containsText" text="L">
      <formula>NOT(ISERROR(SEARCH(("L"),(AD25))))</formula>
    </cfRule>
  </conditionalFormatting>
  <conditionalFormatting sqref="AD25:AD27">
    <cfRule type="containsText" dxfId="811" priority="116" operator="containsText" text="P">
      <formula>NOT(ISERROR(SEARCH(("P"),(AD25))))</formula>
    </cfRule>
    <cfRule type="containsText" dxfId="810" priority="117" operator="containsText" text="K">
      <formula>NOT(ISERROR(SEARCH(("K"),(AD25))))</formula>
    </cfRule>
    <cfRule type="containsText" dxfId="809" priority="118" operator="containsText" text="X">
      <formula>NOT(ISERROR(SEARCH(("X"),(AD25))))</formula>
    </cfRule>
  </conditionalFormatting>
  <conditionalFormatting sqref="AD26:AD27">
    <cfRule type="containsText" dxfId="808" priority="76" operator="containsText" text="P">
      <formula>NOT(ISERROR(SEARCH(("P"),(AD26))))</formula>
    </cfRule>
    <cfRule type="containsText" dxfId="807" priority="77" operator="containsText" text="K">
      <formula>NOT(ISERROR(SEARCH(("K"),(AD26))))</formula>
    </cfRule>
    <cfRule type="containsText" dxfId="806" priority="78" operator="containsText" text="X">
      <formula>NOT(ISERROR(SEARCH(("X"),(AD26))))</formula>
    </cfRule>
    <cfRule type="containsText" dxfId="805" priority="79" operator="containsText" text="L">
      <formula>NOT(ISERROR(SEARCH(("L"),(AD26))))</formula>
    </cfRule>
    <cfRule type="containsText" dxfId="804" priority="80" operator="containsText" text="O">
      <formula>NOT(ISERROR(SEARCH(("O"),(AD26))))</formula>
    </cfRule>
    <cfRule type="containsText" dxfId="803" priority="81" operator="containsText" text="C">
      <formula>NOT(ISERROR(SEARCH(("C"),(AD26))))</formula>
    </cfRule>
    <cfRule type="containsText" dxfId="802" priority="82" operator="containsText" text="P">
      <formula>NOT(ISERROR(SEARCH(("P"),(AD26))))</formula>
    </cfRule>
    <cfRule type="containsText" dxfId="801" priority="83" operator="containsText" text="K">
      <formula>NOT(ISERROR(SEARCH(("K"),(AD26))))</formula>
    </cfRule>
    <cfRule type="containsText" dxfId="800" priority="84" operator="containsText" text="X">
      <formula>NOT(ISERROR(SEARCH(("X"),(AD26))))</formula>
    </cfRule>
    <cfRule type="containsText" dxfId="799" priority="85" operator="containsText" text="L">
      <formula>NOT(ISERROR(SEARCH(("L"),(AD26))))</formula>
    </cfRule>
    <cfRule type="containsText" dxfId="798" priority="86" operator="containsText" text="N">
      <formula>NOT(ISERROR(SEARCH(("N"),(AD26))))</formula>
    </cfRule>
    <cfRule type="containsText" dxfId="797" priority="87" operator="containsText" text="O">
      <formula>NOT(ISERROR(SEARCH(("O"),(AD26))))</formula>
    </cfRule>
    <cfRule type="containsText" dxfId="796" priority="88" operator="containsText" text="C">
      <formula>NOT(ISERROR(SEARCH(("C"),(AD26))))</formula>
    </cfRule>
    <cfRule type="containsText" dxfId="795" priority="89" operator="containsText" text="P">
      <formula>NOT(ISERROR(SEARCH(("P"),(AD26))))</formula>
    </cfRule>
    <cfRule type="containsText" dxfId="794" priority="90" operator="containsText" text="K">
      <formula>NOT(ISERROR(SEARCH(("K"),(AD26))))</formula>
    </cfRule>
    <cfRule type="containsText" dxfId="793" priority="91" operator="containsText" text="X">
      <formula>NOT(ISERROR(SEARCH(("X"),(AD26))))</formula>
    </cfRule>
    <cfRule type="containsText" dxfId="792" priority="92" operator="containsText" text="L">
      <formula>NOT(ISERROR(SEARCH(("L"),(AD26))))</formula>
    </cfRule>
    <cfRule type="containsText" dxfId="791" priority="93" operator="containsText" text="O">
      <formula>NOT(ISERROR(SEARCH(("O"),(AD26))))</formula>
    </cfRule>
    <cfRule type="containsText" dxfId="790" priority="94" operator="containsText" text="C">
      <formula>NOT(ISERROR(SEARCH(("C"),(AD26))))</formula>
    </cfRule>
    <cfRule type="containsText" dxfId="789" priority="95" operator="containsText" text="P">
      <formula>NOT(ISERROR(SEARCH(("P"),(AD26))))</formula>
    </cfRule>
    <cfRule type="containsText" dxfId="788" priority="96" operator="containsText" text="K">
      <formula>NOT(ISERROR(SEARCH(("K"),(AD26))))</formula>
    </cfRule>
    <cfRule type="containsText" dxfId="787" priority="97" operator="containsText" text="X">
      <formula>NOT(ISERROR(SEARCH(("X"),(AD26))))</formula>
    </cfRule>
    <cfRule type="containsText" dxfId="786" priority="98" operator="containsText" text="L">
      <formula>NOT(ISERROR(SEARCH(("L"),(AD26))))</formula>
    </cfRule>
    <cfRule type="containsText" dxfId="785" priority="99" operator="containsText" text="N">
      <formula>NOT(ISERROR(SEARCH(("N"),(AD26))))</formula>
    </cfRule>
    <cfRule type="containsText" dxfId="784" priority="100" operator="containsText" text="O">
      <formula>NOT(ISERROR(SEARCH(("O"),(AD26))))</formula>
    </cfRule>
    <cfRule type="containsText" dxfId="783" priority="101" operator="containsText" text="C">
      <formula>NOT(ISERROR(SEARCH(("C"),(AD26))))</formula>
    </cfRule>
    <cfRule type="containsText" dxfId="782" priority="102" operator="containsText" text="P">
      <formula>NOT(ISERROR(SEARCH(("P"),(AD26))))</formula>
    </cfRule>
    <cfRule type="containsText" dxfId="781" priority="103" operator="containsText" text="K">
      <formula>NOT(ISERROR(SEARCH(("K"),(AD26))))</formula>
    </cfRule>
    <cfRule type="containsText" dxfId="780" priority="104" operator="containsText" text="X">
      <formula>NOT(ISERROR(SEARCH(("X"),(AD26))))</formula>
    </cfRule>
    <cfRule type="containsText" dxfId="779" priority="105" operator="containsText" text="L">
      <formula>NOT(ISERROR(SEARCH(("L"),(AD26))))</formula>
    </cfRule>
    <cfRule type="containsText" dxfId="778" priority="106" operator="containsText" text="N">
      <formula>NOT(ISERROR(SEARCH(("N"),(AD26))))</formula>
    </cfRule>
    <cfRule type="containsText" dxfId="777" priority="107" operator="containsText" text="O">
      <formula>NOT(ISERROR(SEARCH(("O"),(AD26))))</formula>
    </cfRule>
    <cfRule type="containsText" dxfId="776" priority="108" operator="containsText" text="C">
      <formula>NOT(ISERROR(SEARCH(("C"),(AD26))))</formula>
    </cfRule>
    <cfRule type="containsText" dxfId="775" priority="109" operator="containsText" text="P">
      <formula>NOT(ISERROR(SEARCH(("P"),(AD26))))</formula>
    </cfRule>
    <cfRule type="containsText" dxfId="774" priority="110" operator="containsText" text="K">
      <formula>NOT(ISERROR(SEARCH(("K"),(AD26))))</formula>
    </cfRule>
    <cfRule type="containsText" dxfId="773" priority="111" operator="containsText" text="X">
      <formula>NOT(ISERROR(SEARCH(("X"),(AD26))))</formula>
    </cfRule>
    <cfRule type="containsText" dxfId="772" priority="112" operator="containsText" text="L">
      <formula>NOT(ISERROR(SEARCH(("L"),(AD26))))</formula>
    </cfRule>
    <cfRule type="containsText" dxfId="771" priority="113" operator="containsText" text="N">
      <formula>NOT(ISERROR(SEARCH(("N"),(AD26))))</formula>
    </cfRule>
    <cfRule type="containsText" dxfId="770" priority="114" operator="containsText" text="O">
      <formula>NOT(ISERROR(SEARCH(("O"),(AD26))))</formula>
    </cfRule>
    <cfRule type="containsText" dxfId="769" priority="115" operator="containsText" text="C">
      <formula>NOT(ISERROR(SEARCH(("C"),(AD26))))</formula>
    </cfRule>
    <cfRule type="containsText" dxfId="768" priority="119" operator="containsText" text="L">
      <formula>NOT(ISERROR(SEARCH(("L"),(AD26))))</formula>
    </cfRule>
    <cfRule type="containsText" dxfId="767" priority="120" operator="containsText" text="N">
      <formula>NOT(ISERROR(SEARCH(("N"),(AD26))))</formula>
    </cfRule>
  </conditionalFormatting>
  <conditionalFormatting sqref="AD25:AE25">
    <cfRule type="containsText" dxfId="766" priority="126" operator="containsText" text="L">
      <formula>NOT(ISERROR(SEARCH(("L"),(AD25))))</formula>
    </cfRule>
  </conditionalFormatting>
  <conditionalFormatting sqref="AD25:AE27">
    <cfRule type="containsText" dxfId="765" priority="68" operator="containsText" text="O">
      <formula>NOT(ISERROR(SEARCH(("O"),(AD25))))</formula>
    </cfRule>
    <cfRule type="containsText" dxfId="764" priority="69" operator="containsText" text="C">
      <formula>NOT(ISERROR(SEARCH(("C"),(AD25))))</formula>
    </cfRule>
  </conditionalFormatting>
  <conditionalFormatting sqref="AD26:AE27">
    <cfRule type="containsText" dxfId="763" priority="61" operator="containsText" text="N">
      <formula>NOT(ISERROR(SEARCH(("N"),(AD26))))</formula>
    </cfRule>
  </conditionalFormatting>
  <conditionalFormatting sqref="AD11:AH14">
    <cfRule type="containsText" dxfId="762" priority="1965" operator="containsText" text="N">
      <formula>NOT(ISERROR(SEARCH(("N"),(AD11))))</formula>
    </cfRule>
    <cfRule type="containsText" dxfId="761" priority="1966" operator="containsText" text="O">
      <formula>NOT(ISERROR(SEARCH(("O"),(AD11))))</formula>
    </cfRule>
    <cfRule type="containsText" dxfId="760" priority="1967" operator="containsText" text="C">
      <formula>NOT(ISERROR(SEARCH(("C"),(AD11))))</formula>
    </cfRule>
    <cfRule type="containsText" dxfId="759" priority="1968" operator="containsText" text="P">
      <formula>NOT(ISERROR(SEARCH(("P"),(AD11))))</formula>
    </cfRule>
    <cfRule type="containsText" dxfId="758" priority="1969" operator="containsText" text="K">
      <formula>NOT(ISERROR(SEARCH(("K"),(AD11))))</formula>
    </cfRule>
    <cfRule type="containsText" dxfId="757" priority="1970" operator="containsText" text="X">
      <formula>NOT(ISERROR(SEARCH(("X"),(AD11))))</formula>
    </cfRule>
    <cfRule type="containsText" dxfId="756" priority="1971" operator="containsText" text="L">
      <formula>NOT(ISERROR(SEARCH(("L"),(AD11))))</formula>
    </cfRule>
  </conditionalFormatting>
  <conditionalFormatting sqref="AD15:AH27">
    <cfRule type="containsText" dxfId="755" priority="2678" operator="containsText" text="N">
      <formula>NOT(ISERROR(SEARCH(("N"),(AD15))))</formula>
    </cfRule>
  </conditionalFormatting>
  <conditionalFormatting sqref="AD19:AH19">
    <cfRule type="containsText" dxfId="754" priority="2672" operator="containsText" text="O">
      <formula>NOT(ISERROR(SEARCH(("O"),(AD19))))</formula>
    </cfRule>
    <cfRule type="containsText" dxfId="753" priority="2673" operator="containsText" text="C">
      <formula>NOT(ISERROR(SEARCH(("C"),(AD19))))</formula>
    </cfRule>
    <cfRule type="containsText" dxfId="752" priority="2674" operator="containsText" text="P">
      <formula>NOT(ISERROR(SEARCH(("P"),(AD19))))</formula>
    </cfRule>
    <cfRule type="containsText" dxfId="751" priority="2675" operator="containsText" text="K">
      <formula>NOT(ISERROR(SEARCH(("K"),(AD19))))</formula>
    </cfRule>
    <cfRule type="containsText" dxfId="750" priority="2676" operator="containsText" text="X">
      <formula>NOT(ISERROR(SEARCH(("X"),(AD19))))</formula>
    </cfRule>
    <cfRule type="containsText" dxfId="749" priority="2677" operator="containsText" text="L">
      <formula>NOT(ISERROR(SEARCH(("L"),(AD19))))</formula>
    </cfRule>
  </conditionalFormatting>
  <conditionalFormatting sqref="AD19:AH21">
    <cfRule type="containsText" dxfId="748" priority="2538" operator="containsText" text="N">
      <formula>NOT(ISERROR(SEARCH(("N"),(AD19))))</formula>
    </cfRule>
    <cfRule type="containsText" dxfId="747" priority="2540" operator="containsText" text="O">
      <formula>NOT(ISERROR(SEARCH(("O"),(AD19))))</formula>
    </cfRule>
    <cfRule type="containsText" dxfId="746" priority="2541" operator="containsText" text="C">
      <formula>NOT(ISERROR(SEARCH(("C"),(AD19))))</formula>
    </cfRule>
    <cfRule type="containsText" dxfId="745" priority="2542" operator="containsText" text="P">
      <formula>NOT(ISERROR(SEARCH(("P"),(AD19))))</formula>
    </cfRule>
    <cfRule type="containsText" dxfId="744" priority="2543" operator="containsText" text="K">
      <formula>NOT(ISERROR(SEARCH(("K"),(AD19))))</formula>
    </cfRule>
    <cfRule type="containsText" dxfId="743" priority="2544" operator="containsText" text="X">
      <formula>NOT(ISERROR(SEARCH(("X"),(AD19))))</formula>
    </cfRule>
    <cfRule type="containsText" dxfId="742" priority="2545" operator="containsText" text="L">
      <formula>NOT(ISERROR(SEARCH(("L"),(AD19))))</formula>
    </cfRule>
  </conditionalFormatting>
  <conditionalFormatting sqref="AD20:AH21">
    <cfRule type="containsText" dxfId="741" priority="2532" operator="containsText" text="O">
      <formula>NOT(ISERROR(SEARCH(("O"),(AD20))))</formula>
    </cfRule>
    <cfRule type="containsText" dxfId="740" priority="2533" operator="containsText" text="C">
      <formula>NOT(ISERROR(SEARCH(("C"),(AD20))))</formula>
    </cfRule>
    <cfRule type="containsText" dxfId="739" priority="2534" operator="containsText" text="P">
      <formula>NOT(ISERROR(SEARCH(("P"),(AD20))))</formula>
    </cfRule>
    <cfRule type="containsText" dxfId="738" priority="2535" operator="containsText" text="K">
      <formula>NOT(ISERROR(SEARCH(("K"),(AD20))))</formula>
    </cfRule>
    <cfRule type="containsText" dxfId="737" priority="2536" operator="containsText" text="X">
      <formula>NOT(ISERROR(SEARCH(("X"),(AD20))))</formula>
    </cfRule>
    <cfRule type="containsText" dxfId="736" priority="2537" operator="containsText" text="L">
      <formula>NOT(ISERROR(SEARCH(("L"),(AD20))))</formula>
    </cfRule>
  </conditionalFormatting>
  <conditionalFormatting sqref="AD20:AH22">
    <cfRule type="containsText" dxfId="735" priority="2392" operator="containsText" text="N">
      <formula>NOT(ISERROR(SEARCH(("N"),(AD20))))</formula>
    </cfRule>
    <cfRule type="containsText" dxfId="734" priority="2394" operator="containsText" text="O">
      <formula>NOT(ISERROR(SEARCH(("O"),(AD20))))</formula>
    </cfRule>
    <cfRule type="containsText" dxfId="733" priority="2395" operator="containsText" text="C">
      <formula>NOT(ISERROR(SEARCH(("C"),(AD20))))</formula>
    </cfRule>
    <cfRule type="containsText" dxfId="732" priority="2396" operator="containsText" text="P">
      <formula>NOT(ISERROR(SEARCH(("P"),(AD20))))</formula>
    </cfRule>
    <cfRule type="containsText" dxfId="731" priority="2397" operator="containsText" text="K">
      <formula>NOT(ISERROR(SEARCH(("K"),(AD20))))</formula>
    </cfRule>
    <cfRule type="containsText" dxfId="730" priority="2398" operator="containsText" text="X">
      <formula>NOT(ISERROR(SEARCH(("X"),(AD20))))</formula>
    </cfRule>
    <cfRule type="containsText" dxfId="729" priority="2399" operator="containsText" text="L">
      <formula>NOT(ISERROR(SEARCH(("L"),(AD20))))</formula>
    </cfRule>
  </conditionalFormatting>
  <conditionalFormatting sqref="AD22:AH22">
    <cfRule type="containsText" dxfId="728" priority="2386" operator="containsText" text="O">
      <formula>NOT(ISERROR(SEARCH(("O"),(AD22))))</formula>
    </cfRule>
    <cfRule type="containsText" dxfId="727" priority="2387" operator="containsText" text="C">
      <formula>NOT(ISERROR(SEARCH(("C"),(AD22))))</formula>
    </cfRule>
    <cfRule type="containsText" dxfId="726" priority="2388" operator="containsText" text="P">
      <formula>NOT(ISERROR(SEARCH(("P"),(AD22))))</formula>
    </cfRule>
    <cfRule type="containsText" dxfId="725" priority="2389" operator="containsText" text="K">
      <formula>NOT(ISERROR(SEARCH(("K"),(AD22))))</formula>
    </cfRule>
    <cfRule type="containsText" dxfId="724" priority="2390" operator="containsText" text="X">
      <formula>NOT(ISERROR(SEARCH(("X"),(AD22))))</formula>
    </cfRule>
    <cfRule type="containsText" dxfId="723" priority="2391" operator="containsText" text="L">
      <formula>NOT(ISERROR(SEARCH(("L"),(AD22))))</formula>
    </cfRule>
  </conditionalFormatting>
  <conditionalFormatting sqref="AD22:AH27">
    <cfRule type="containsText" dxfId="722" priority="1574" operator="containsText" text="N">
      <formula>NOT(ISERROR(SEARCH(("N"),(AD22))))</formula>
    </cfRule>
    <cfRule type="containsText" dxfId="721" priority="1576" operator="containsText" text="O">
      <formula>NOT(ISERROR(SEARCH(("O"),(AD22))))</formula>
    </cfRule>
    <cfRule type="containsText" dxfId="720" priority="1577" operator="containsText" text="C">
      <formula>NOT(ISERROR(SEARCH(("C"),(AD22))))</formula>
    </cfRule>
    <cfRule type="containsText" dxfId="719" priority="1578" operator="containsText" text="P">
      <formula>NOT(ISERROR(SEARCH(("P"),(AD22))))</formula>
    </cfRule>
    <cfRule type="containsText" dxfId="718" priority="1579" operator="containsText" text="K">
      <formula>NOT(ISERROR(SEARCH(("K"),(AD22))))</formula>
    </cfRule>
    <cfRule type="containsText" dxfId="717" priority="1580" operator="containsText" text="X">
      <formula>NOT(ISERROR(SEARCH(("X"),(AD22))))</formula>
    </cfRule>
    <cfRule type="containsText" dxfId="716" priority="1581" operator="containsText" text="L">
      <formula>NOT(ISERROR(SEARCH(("L"),(AD22))))</formula>
    </cfRule>
  </conditionalFormatting>
  <conditionalFormatting sqref="AD24:AH24">
    <cfRule type="containsText" dxfId="715" priority="601" operator="containsText" text="O">
      <formula>NOT(ISERROR(SEARCH(("O"),(AD24))))</formula>
    </cfRule>
    <cfRule type="containsText" dxfId="714" priority="602" operator="containsText" text="C">
      <formula>NOT(ISERROR(SEARCH(("C"),(AD24))))</formula>
    </cfRule>
    <cfRule type="containsText" dxfId="713" priority="603" operator="containsText" text="P">
      <formula>NOT(ISERROR(SEARCH(("P"),(AD24))))</formula>
    </cfRule>
    <cfRule type="containsText" dxfId="712" priority="604" operator="containsText" text="K">
      <formula>NOT(ISERROR(SEARCH(("K"),(AD24))))</formula>
    </cfRule>
    <cfRule type="containsText" dxfId="711" priority="605" operator="containsText" text="X">
      <formula>NOT(ISERROR(SEARCH(("X"),(AD24))))</formula>
    </cfRule>
    <cfRule type="containsText" dxfId="710" priority="606" operator="containsText" text="L">
      <formula>NOT(ISERROR(SEARCH(("L"),(AD24))))</formula>
    </cfRule>
    <cfRule type="containsText" dxfId="709" priority="614" operator="containsText" text="O">
      <formula>NOT(ISERROR(SEARCH(("O"),(AD24))))</formula>
    </cfRule>
    <cfRule type="containsText" dxfId="708" priority="615" operator="containsText" text="C">
      <formula>NOT(ISERROR(SEARCH(("C"),(AD24))))</formula>
    </cfRule>
    <cfRule type="containsText" dxfId="707" priority="616" operator="containsText" text="P">
      <formula>NOT(ISERROR(SEARCH(("P"),(AD24))))</formula>
    </cfRule>
    <cfRule type="containsText" dxfId="706" priority="617" operator="containsText" text="K">
      <formula>NOT(ISERROR(SEARCH(("K"),(AD24))))</formula>
    </cfRule>
    <cfRule type="containsText" dxfId="705" priority="618" operator="containsText" text="X">
      <formula>NOT(ISERROR(SEARCH(("X"),(AD24))))</formula>
    </cfRule>
    <cfRule type="containsText" dxfId="704" priority="619" operator="containsText" text="L">
      <formula>NOT(ISERROR(SEARCH(("L"),(AD24))))</formula>
    </cfRule>
  </conditionalFormatting>
  <conditionalFormatting sqref="AD25:AH25">
    <cfRule type="containsText" dxfId="703" priority="507" operator="containsText" text="L">
      <formula>NOT(ISERROR(SEARCH(("L"),(AD25))))</formula>
    </cfRule>
    <cfRule type="containsText" dxfId="702" priority="515" operator="containsText" text="O">
      <formula>NOT(ISERROR(SEARCH(("O"),(AD25))))</formula>
    </cfRule>
    <cfRule type="containsText" dxfId="701" priority="516" operator="containsText" text="C">
      <formula>NOT(ISERROR(SEARCH(("C"),(AD25))))</formula>
    </cfRule>
    <cfRule type="containsText" dxfId="700" priority="517" operator="containsText" text="P">
      <formula>NOT(ISERROR(SEARCH(("P"),(AD25))))</formula>
    </cfRule>
    <cfRule type="containsText" dxfId="699" priority="518" operator="containsText" text="K">
      <formula>NOT(ISERROR(SEARCH(("K"),(AD25))))</formula>
    </cfRule>
    <cfRule type="containsText" dxfId="698" priority="519" operator="containsText" text="X">
      <formula>NOT(ISERROR(SEARCH(("X"),(AD25))))</formula>
    </cfRule>
    <cfRule type="containsText" dxfId="697" priority="520" operator="containsText" text="L">
      <formula>NOT(ISERROR(SEARCH(("L"),(AD25))))</formula>
    </cfRule>
  </conditionalFormatting>
  <conditionalFormatting sqref="AE25">
    <cfRule type="containsText" dxfId="696" priority="127" operator="containsText" text="N">
      <formula>NOT(ISERROR(SEARCH(("N"),(AE25))))</formula>
    </cfRule>
  </conditionalFormatting>
  <conditionalFormatting sqref="AE25:AE27">
    <cfRule type="containsText" dxfId="695" priority="70" operator="containsText" text="P">
      <formula>NOT(ISERROR(SEARCH(("P"),(AE25))))</formula>
    </cfRule>
    <cfRule type="containsText" dxfId="694" priority="71" operator="containsText" text="K">
      <formula>NOT(ISERROR(SEARCH(("K"),(AE25))))</formula>
    </cfRule>
    <cfRule type="containsText" dxfId="693" priority="72" operator="containsText" text="X">
      <formula>NOT(ISERROR(SEARCH(("X"),(AE25))))</formula>
    </cfRule>
  </conditionalFormatting>
  <conditionalFormatting sqref="AE26:AE27">
    <cfRule type="containsText" dxfId="692" priority="62" operator="containsText" text="O">
      <formula>NOT(ISERROR(SEARCH(("O"),(AE26))))</formula>
    </cfRule>
    <cfRule type="containsText" dxfId="691" priority="63" operator="containsText" text="C">
      <formula>NOT(ISERROR(SEARCH(("C"),(AE26))))</formula>
    </cfRule>
    <cfRule type="containsText" dxfId="690" priority="64" operator="containsText" text="P">
      <formula>NOT(ISERROR(SEARCH(("P"),(AE26))))</formula>
    </cfRule>
    <cfRule type="containsText" dxfId="689" priority="65" operator="containsText" text="K">
      <formula>NOT(ISERROR(SEARCH(("K"),(AE26))))</formula>
    </cfRule>
    <cfRule type="containsText" dxfId="688" priority="66" operator="containsText" text="X">
      <formula>NOT(ISERROR(SEARCH(("X"),(AE26))))</formula>
    </cfRule>
    <cfRule type="containsText" dxfId="687" priority="67" operator="containsText" text="L">
      <formula>NOT(ISERROR(SEARCH(("L"),(AE26))))</formula>
    </cfRule>
    <cfRule type="containsText" dxfId="686" priority="73" operator="containsText" text="N">
      <formula>NOT(ISERROR(SEARCH(("N"),(AE26))))</formula>
    </cfRule>
  </conditionalFormatting>
  <conditionalFormatting sqref="AE23:AH27">
    <cfRule type="containsText" dxfId="685" priority="2337" operator="containsText" text="O">
      <formula>NOT(ISERROR(SEARCH(("O"),(AE23))))</formula>
    </cfRule>
    <cfRule type="containsText" dxfId="684" priority="2338" operator="containsText" text="C">
      <formula>NOT(ISERROR(SEARCH(("C"),(AE23))))</formula>
    </cfRule>
    <cfRule type="containsText" dxfId="683" priority="2339" operator="containsText" text="P">
      <formula>NOT(ISERROR(SEARCH(("P"),(AE23))))</formula>
    </cfRule>
    <cfRule type="containsText" dxfId="682" priority="2340" operator="containsText" text="K">
      <formula>NOT(ISERROR(SEARCH(("K"),(AE23))))</formula>
    </cfRule>
    <cfRule type="containsText" dxfId="681" priority="2341" operator="containsText" text="X">
      <formula>NOT(ISERROR(SEARCH(("X"),(AE23))))</formula>
    </cfRule>
    <cfRule type="containsText" dxfId="680" priority="2342" operator="containsText" text="L">
      <formula>NOT(ISERROR(SEARCH(("L"),(AE23))))</formula>
    </cfRule>
    <cfRule type="containsText" dxfId="679" priority="2343" operator="containsText" text="N">
      <formula>NOT(ISERROR(SEARCH(("N"),(AE23))))</formula>
    </cfRule>
    <cfRule type="containsText" dxfId="678" priority="2345" operator="containsText" text="O">
      <formula>NOT(ISERROR(SEARCH(("O"),(AE23))))</formula>
    </cfRule>
    <cfRule type="containsText" dxfId="677" priority="2346" operator="containsText" text="C">
      <formula>NOT(ISERROR(SEARCH(("C"),(AE23))))</formula>
    </cfRule>
    <cfRule type="containsText" dxfId="676" priority="2347" operator="containsText" text="P">
      <formula>NOT(ISERROR(SEARCH(("P"),(AE23))))</formula>
    </cfRule>
    <cfRule type="containsText" dxfId="675" priority="2348" operator="containsText" text="K">
      <formula>NOT(ISERROR(SEARCH(("K"),(AE23))))</formula>
    </cfRule>
    <cfRule type="containsText" dxfId="674" priority="2349" operator="containsText" text="X">
      <formula>NOT(ISERROR(SEARCH(("X"),(AE23))))</formula>
    </cfRule>
    <cfRule type="containsText" dxfId="673" priority="2350" operator="containsText" text="L">
      <formula>NOT(ISERROR(SEARCH(("L"),(AE23))))</formula>
    </cfRule>
    <cfRule type="containsText" dxfId="672" priority="2351" operator="containsText" text="O">
      <formula>NOT(ISERROR(SEARCH(("O"),(AE23))))</formula>
    </cfRule>
    <cfRule type="containsText" dxfId="671" priority="2352" operator="containsText" text="C">
      <formula>NOT(ISERROR(SEARCH(("C"),(AE23))))</formula>
    </cfRule>
    <cfRule type="containsText" dxfId="670" priority="2353" operator="containsText" text="P">
      <formula>NOT(ISERROR(SEARCH(("P"),(AE23))))</formula>
    </cfRule>
    <cfRule type="containsText" dxfId="669" priority="2354" operator="containsText" text="K">
      <formula>NOT(ISERROR(SEARCH(("K"),(AE23))))</formula>
    </cfRule>
    <cfRule type="containsText" dxfId="668" priority="2355" operator="containsText" text="X">
      <formula>NOT(ISERROR(SEARCH(("X"),(AE23))))</formula>
    </cfRule>
    <cfRule type="containsText" dxfId="667" priority="2356" operator="containsText" text="L">
      <formula>NOT(ISERROR(SEARCH(("L"),(AE23))))</formula>
    </cfRule>
    <cfRule type="containsText" dxfId="666" priority="2357" operator="containsText" text="N">
      <formula>NOT(ISERROR(SEARCH(("N"),(AE23))))</formula>
    </cfRule>
  </conditionalFormatting>
  <conditionalFormatting sqref="AH16:AH18">
    <cfRule type="containsText" dxfId="665" priority="1232" operator="containsText" text="N">
      <formula>NOT(ISERROR(SEARCH(("N"),(AH16))))</formula>
    </cfRule>
    <cfRule type="containsText" dxfId="664" priority="1233" operator="containsText" text="O">
      <formula>NOT(ISERROR(SEARCH(("O"),(AH16))))</formula>
    </cfRule>
    <cfRule type="containsText" dxfId="663" priority="1234" operator="containsText" text="C">
      <formula>NOT(ISERROR(SEARCH(("C"),(AH16))))</formula>
    </cfRule>
    <cfRule type="containsText" dxfId="662" priority="1235" operator="containsText" text="P">
      <formula>NOT(ISERROR(SEARCH(("P"),(AH16))))</formula>
    </cfRule>
    <cfRule type="containsText" dxfId="661" priority="1236" operator="containsText" text="K">
      <formula>NOT(ISERROR(SEARCH(("K"),(AH16))))</formula>
    </cfRule>
    <cfRule type="containsText" dxfId="660" priority="1237" operator="containsText" text="X">
      <formula>NOT(ISERROR(SEARCH(("X"),(AH16))))</formula>
    </cfRule>
    <cfRule type="containsText" dxfId="659" priority="1238" operator="containsText" text="L">
      <formula>NOT(ISERROR(SEARCH(("L"),(AH16))))</formula>
    </cfRule>
  </conditionalFormatting>
  <conditionalFormatting sqref="AH18:AK18">
    <cfRule type="containsText" dxfId="658" priority="761" operator="containsText" text="L">
      <formula>NOT(ISERROR(SEARCH(("L"),(AH18))))</formula>
    </cfRule>
  </conditionalFormatting>
  <conditionalFormatting sqref="AH21:AK21">
    <cfRule type="containsText" dxfId="657" priority="878" operator="containsText" text="N">
      <formula>NOT(ISERROR(SEARCH(("N"),(AH21))))</formula>
    </cfRule>
    <cfRule type="containsText" dxfId="656" priority="879" operator="containsText" text="O">
      <formula>NOT(ISERROR(SEARCH(("O"),(AH21))))</formula>
    </cfRule>
    <cfRule type="containsText" dxfId="655" priority="880" operator="containsText" text="C">
      <formula>NOT(ISERROR(SEARCH(("C"),(AH21))))</formula>
    </cfRule>
    <cfRule type="containsText" dxfId="654" priority="881" operator="containsText" text="P">
      <formula>NOT(ISERROR(SEARCH(("P"),(AH21))))</formula>
    </cfRule>
    <cfRule type="containsText" dxfId="653" priority="882" operator="containsText" text="K">
      <formula>NOT(ISERROR(SEARCH(("K"),(AH21))))</formula>
    </cfRule>
    <cfRule type="containsText" dxfId="652" priority="883" operator="containsText" text="X">
      <formula>NOT(ISERROR(SEARCH(("X"),(AH21))))</formula>
    </cfRule>
    <cfRule type="containsText" dxfId="651" priority="884" operator="containsText" text="L">
      <formula>NOT(ISERROR(SEARCH(("L"),(AH21))))</formula>
    </cfRule>
    <cfRule type="containsText" dxfId="650" priority="924" operator="containsText" text="L">
      <formula>NOT(ISERROR(SEARCH(("L"),(AH21))))</formula>
    </cfRule>
  </conditionalFormatting>
  <conditionalFormatting sqref="AH22:AK22">
    <cfRule type="containsText" dxfId="649" priority="315" operator="containsText" text="N">
      <formula>NOT(ISERROR(SEARCH(("N"),(AH22))))</formula>
    </cfRule>
    <cfRule type="containsText" dxfId="648" priority="316" operator="containsText" text="O">
      <formula>NOT(ISERROR(SEARCH(("O"),(AH22))))</formula>
    </cfRule>
    <cfRule type="containsText" dxfId="647" priority="317" operator="containsText" text="C">
      <formula>NOT(ISERROR(SEARCH(("C"),(AH22))))</formula>
    </cfRule>
    <cfRule type="containsText" dxfId="646" priority="318" operator="containsText" text="P">
      <formula>NOT(ISERROR(SEARCH(("P"),(AH22))))</formula>
    </cfRule>
    <cfRule type="containsText" dxfId="645" priority="319" operator="containsText" text="K">
      <formula>NOT(ISERROR(SEARCH(("K"),(AH22))))</formula>
    </cfRule>
    <cfRule type="containsText" dxfId="644" priority="320" operator="containsText" text="X">
      <formula>NOT(ISERROR(SEARCH(("X"),(AH22))))</formula>
    </cfRule>
    <cfRule type="containsText" dxfId="643" priority="321" operator="containsText" text="L">
      <formula>NOT(ISERROR(SEARCH(("L"),(AH22))))</formula>
    </cfRule>
    <cfRule type="containsText" dxfId="642" priority="368" operator="containsText" text="L">
      <formula>NOT(ISERROR(SEARCH(("L"),(AH22))))</formula>
    </cfRule>
  </conditionalFormatting>
  <conditionalFormatting sqref="AH16:AL16">
    <cfRule type="containsText" dxfId="641" priority="1284" operator="containsText" text="L">
      <formula>NOT(ISERROR(SEARCH(("L"),(AH16))))</formula>
    </cfRule>
  </conditionalFormatting>
  <conditionalFormatting sqref="AH17:AL17">
    <cfRule type="containsText" dxfId="640" priority="1408" operator="containsText" text="L">
      <formula>NOT(ISERROR(SEARCH(("L"),(AH17))))</formula>
    </cfRule>
  </conditionalFormatting>
  <conditionalFormatting sqref="AI11:AJ11">
    <cfRule type="containsText" dxfId="639" priority="1540" operator="containsText" text="N">
      <formula>NOT(ISERROR(SEARCH(("N"),(AI11))))</formula>
    </cfRule>
    <cfRule type="containsText" dxfId="638" priority="1541" operator="containsText" text="O">
      <formula>NOT(ISERROR(SEARCH(("O"),(AI11))))</formula>
    </cfRule>
    <cfRule type="containsText" dxfId="637" priority="1542" operator="containsText" text="C">
      <formula>NOT(ISERROR(SEARCH(("C"),(AI11))))</formula>
    </cfRule>
    <cfRule type="containsText" dxfId="636" priority="1543" operator="containsText" text="P">
      <formula>NOT(ISERROR(SEARCH(("P"),(AI11))))</formula>
    </cfRule>
    <cfRule type="containsText" dxfId="635" priority="1544" operator="containsText" text="K">
      <formula>NOT(ISERROR(SEARCH(("K"),(AI11))))</formula>
    </cfRule>
    <cfRule type="containsText" dxfId="634" priority="1545" operator="containsText" text="X">
      <formula>NOT(ISERROR(SEARCH(("X"),(AI11))))</formula>
    </cfRule>
    <cfRule type="containsText" dxfId="633" priority="1546" operator="containsText" text="L">
      <formula>NOT(ISERROR(SEARCH(("L"),(AI11))))</formula>
    </cfRule>
  </conditionalFormatting>
  <conditionalFormatting sqref="AI11:AJ12">
    <cfRule type="containsText" dxfId="632" priority="1454" operator="containsText" text="N">
      <formula>NOT(ISERROR(SEARCH(("N"),(AI11))))</formula>
    </cfRule>
    <cfRule type="containsText" dxfId="631" priority="1455" operator="containsText" text="O">
      <formula>NOT(ISERROR(SEARCH(("O"),(AI11))))</formula>
    </cfRule>
    <cfRule type="containsText" dxfId="630" priority="1456" operator="containsText" text="C">
      <formula>NOT(ISERROR(SEARCH(("C"),(AI11))))</formula>
    </cfRule>
    <cfRule type="containsText" dxfId="629" priority="1457" operator="containsText" text="P">
      <formula>NOT(ISERROR(SEARCH(("P"),(AI11))))</formula>
    </cfRule>
    <cfRule type="containsText" dxfId="628" priority="1458" operator="containsText" text="K">
      <formula>NOT(ISERROR(SEARCH(("K"),(AI11))))</formula>
    </cfRule>
    <cfRule type="containsText" dxfId="627" priority="1459" operator="containsText" text="X">
      <formula>NOT(ISERROR(SEARCH(("X"),(AI11))))</formula>
    </cfRule>
    <cfRule type="containsText" dxfId="626" priority="1460" operator="containsText" text="L">
      <formula>NOT(ISERROR(SEARCH(("L"),(AI11))))</formula>
    </cfRule>
  </conditionalFormatting>
  <conditionalFormatting sqref="AI12:AJ13">
    <cfRule type="containsText" dxfId="625" priority="646" operator="containsText" text="N">
      <formula>NOT(ISERROR(SEARCH(("N"),(AI12))))</formula>
    </cfRule>
    <cfRule type="containsText" dxfId="624" priority="647" operator="containsText" text="O">
      <formula>NOT(ISERROR(SEARCH(("O"),(AI12))))</formula>
    </cfRule>
    <cfRule type="containsText" dxfId="623" priority="648" operator="containsText" text="C">
      <formula>NOT(ISERROR(SEARCH(("C"),(AI12))))</formula>
    </cfRule>
    <cfRule type="containsText" dxfId="622" priority="649" operator="containsText" text="P">
      <formula>NOT(ISERROR(SEARCH(("P"),(AI12))))</formula>
    </cfRule>
    <cfRule type="containsText" dxfId="621" priority="650" operator="containsText" text="K">
      <formula>NOT(ISERROR(SEARCH(("K"),(AI12))))</formula>
    </cfRule>
    <cfRule type="containsText" dxfId="620" priority="651" operator="containsText" text="X">
      <formula>NOT(ISERROR(SEARCH(("X"),(AI12))))</formula>
    </cfRule>
    <cfRule type="containsText" dxfId="619" priority="652" operator="containsText" text="L">
      <formula>NOT(ISERROR(SEARCH(("L"),(AI12))))</formula>
    </cfRule>
  </conditionalFormatting>
  <conditionalFormatting sqref="AI13:AJ13">
    <cfRule type="containsText" dxfId="618" priority="639" operator="containsText" text="N">
      <formula>NOT(ISERROR(SEARCH(("N"),(AI13))))</formula>
    </cfRule>
  </conditionalFormatting>
  <conditionalFormatting sqref="AI15:AJ15">
    <cfRule type="containsText" dxfId="617" priority="1165" operator="containsText" text="N">
      <formula>NOT(ISERROR(SEARCH(("N"),(AI15))))</formula>
    </cfRule>
    <cfRule type="containsText" dxfId="616" priority="1166" operator="containsText" text="O">
      <formula>NOT(ISERROR(SEARCH(("O"),(AI15))))</formula>
    </cfRule>
    <cfRule type="containsText" dxfId="615" priority="1167" operator="containsText" text="C">
      <formula>NOT(ISERROR(SEARCH(("C"),(AI15))))</formula>
    </cfRule>
    <cfRule type="containsText" dxfId="614" priority="1168" operator="containsText" text="P">
      <formula>NOT(ISERROR(SEARCH(("P"),(AI15))))</formula>
    </cfRule>
    <cfRule type="containsText" dxfId="613" priority="1169" operator="containsText" text="K">
      <formula>NOT(ISERROR(SEARCH(("K"),(AI15))))</formula>
    </cfRule>
    <cfRule type="containsText" dxfId="612" priority="1170" operator="containsText" text="X">
      <formula>NOT(ISERROR(SEARCH(("X"),(AI15))))</formula>
    </cfRule>
    <cfRule type="containsText" dxfId="611" priority="1171" operator="containsText" text="L">
      <formula>NOT(ISERROR(SEARCH(("L"),(AI15))))</formula>
    </cfRule>
    <cfRule type="containsText" dxfId="610" priority="1172" operator="containsText" text="N">
      <formula>NOT(ISERROR(SEARCH(("N"),(AI15))))</formula>
    </cfRule>
    <cfRule type="containsText" dxfId="609" priority="1173" operator="containsText" text="O">
      <formula>NOT(ISERROR(SEARCH(("O"),(AI15))))</formula>
    </cfRule>
    <cfRule type="containsText" dxfId="608" priority="1174" operator="containsText" text="C">
      <formula>NOT(ISERROR(SEARCH(("C"),(AI15))))</formula>
    </cfRule>
    <cfRule type="containsText" dxfId="607" priority="1175" operator="containsText" text="P">
      <formula>NOT(ISERROR(SEARCH(("P"),(AI15))))</formula>
    </cfRule>
    <cfRule type="containsText" dxfId="606" priority="1176" operator="containsText" text="K">
      <formula>NOT(ISERROR(SEARCH(("K"),(AI15))))</formula>
    </cfRule>
    <cfRule type="containsText" dxfId="605" priority="1177" operator="containsText" text="X">
      <formula>NOT(ISERROR(SEARCH(("X"),(AI15))))</formula>
    </cfRule>
    <cfRule type="containsText" dxfId="604" priority="1178" operator="containsText" text="L">
      <formula>NOT(ISERROR(SEARCH(("L"),(AI15))))</formula>
    </cfRule>
  </conditionalFormatting>
  <conditionalFormatting sqref="AI16:AJ17">
    <cfRule type="containsText" dxfId="603" priority="1225" operator="containsText" text="N">
      <formula>NOT(ISERROR(SEARCH(("N"),(AI16))))</formula>
    </cfRule>
    <cfRule type="containsText" dxfId="602" priority="1226" operator="containsText" text="O">
      <formula>NOT(ISERROR(SEARCH(("O"),(AI16))))</formula>
    </cfRule>
    <cfRule type="containsText" dxfId="601" priority="1227" operator="containsText" text="C">
      <formula>NOT(ISERROR(SEARCH(("C"),(AI16))))</formula>
    </cfRule>
    <cfRule type="containsText" dxfId="600" priority="1228" operator="containsText" text="P">
      <formula>NOT(ISERROR(SEARCH(("P"),(AI16))))</formula>
    </cfRule>
    <cfRule type="containsText" dxfId="599" priority="1229" operator="containsText" text="K">
      <formula>NOT(ISERROR(SEARCH(("K"),(AI16))))</formula>
    </cfRule>
    <cfRule type="containsText" dxfId="598" priority="1230" operator="containsText" text="X">
      <formula>NOT(ISERROR(SEARCH(("X"),(AI16))))</formula>
    </cfRule>
    <cfRule type="containsText" dxfId="597" priority="1231" operator="containsText" text="L">
      <formula>NOT(ISERROR(SEARCH(("L"),(AI16))))</formula>
    </cfRule>
  </conditionalFormatting>
  <conditionalFormatting sqref="AI18:AJ19">
    <cfRule type="containsText" dxfId="596" priority="722" operator="containsText" text="N">
      <formula>NOT(ISERROR(SEARCH(("N"),(AI18))))</formula>
    </cfRule>
    <cfRule type="containsText" dxfId="595" priority="723" operator="containsText" text="O">
      <formula>NOT(ISERROR(SEARCH(("O"),(AI18))))</formula>
    </cfRule>
    <cfRule type="containsText" dxfId="594" priority="724" operator="containsText" text="C">
      <formula>NOT(ISERROR(SEARCH(("C"),(AI18))))</formula>
    </cfRule>
    <cfRule type="containsText" dxfId="593" priority="725" operator="containsText" text="P">
      <formula>NOT(ISERROR(SEARCH(("P"),(AI18))))</formula>
    </cfRule>
    <cfRule type="containsText" dxfId="592" priority="726" operator="containsText" text="K">
      <formula>NOT(ISERROR(SEARCH(("K"),(AI18))))</formula>
    </cfRule>
    <cfRule type="containsText" dxfId="591" priority="727" operator="containsText" text="X">
      <formula>NOT(ISERROR(SEARCH(("X"),(AI18))))</formula>
    </cfRule>
    <cfRule type="containsText" dxfId="590" priority="728" operator="containsText" text="L">
      <formula>NOT(ISERROR(SEARCH(("L"),(AI18))))</formula>
    </cfRule>
  </conditionalFormatting>
  <conditionalFormatting sqref="AI19:AJ19">
    <cfRule type="containsText" dxfId="589" priority="819" operator="containsText" text="O">
      <formula>NOT(ISERROR(SEARCH(("O"),(AI19))))</formula>
    </cfRule>
    <cfRule type="containsText" dxfId="588" priority="820" operator="containsText" text="C">
      <formula>NOT(ISERROR(SEARCH(("C"),(AI19))))</formula>
    </cfRule>
    <cfRule type="containsText" dxfId="587" priority="821" operator="containsText" text="P">
      <formula>NOT(ISERROR(SEARCH(("P"),(AI19))))</formula>
    </cfRule>
    <cfRule type="containsText" dxfId="586" priority="822" operator="containsText" text="K">
      <formula>NOT(ISERROR(SEARCH(("K"),(AI19))))</formula>
    </cfRule>
    <cfRule type="containsText" dxfId="585" priority="823" operator="containsText" text="X">
      <formula>NOT(ISERROR(SEARCH(("X"),(AI19))))</formula>
    </cfRule>
    <cfRule type="containsText" dxfId="584" priority="824" operator="containsText" text="N">
      <formula>NOT(ISERROR(SEARCH(("N"),(AI19))))</formula>
    </cfRule>
  </conditionalFormatting>
  <conditionalFormatting sqref="AI21:AJ22">
    <cfRule type="containsText" dxfId="583" priority="322" operator="containsText" text="N">
      <formula>NOT(ISERROR(SEARCH(("N"),(AI21))))</formula>
    </cfRule>
    <cfRule type="containsText" dxfId="582" priority="323" operator="containsText" text="O">
      <formula>NOT(ISERROR(SEARCH(("O"),(AI21))))</formula>
    </cfRule>
    <cfRule type="containsText" dxfId="581" priority="324" operator="containsText" text="C">
      <formula>NOT(ISERROR(SEARCH(("C"),(AI21))))</formula>
    </cfRule>
    <cfRule type="containsText" dxfId="580" priority="325" operator="containsText" text="P">
      <formula>NOT(ISERROR(SEARCH(("P"),(AI21))))</formula>
    </cfRule>
    <cfRule type="containsText" dxfId="579" priority="326" operator="containsText" text="K">
      <formula>NOT(ISERROR(SEARCH(("K"),(AI21))))</formula>
    </cfRule>
    <cfRule type="containsText" dxfId="578" priority="327" operator="containsText" text="X">
      <formula>NOT(ISERROR(SEARCH(("X"),(AI21))))</formula>
    </cfRule>
    <cfRule type="containsText" dxfId="577" priority="328" operator="containsText" text="L">
      <formula>NOT(ISERROR(SEARCH(("L"),(AI21))))</formula>
    </cfRule>
  </conditionalFormatting>
  <conditionalFormatting sqref="AI23:AJ23">
    <cfRule type="containsText" dxfId="576" priority="1033" operator="containsText" text="O">
      <formula>NOT(ISERROR(SEARCH(("O"),(AI23))))</formula>
    </cfRule>
    <cfRule type="containsText" dxfId="575" priority="1034" operator="containsText" text="C">
      <formula>NOT(ISERROR(SEARCH(("C"),(AI23))))</formula>
    </cfRule>
    <cfRule type="containsText" dxfId="574" priority="1035" operator="containsText" text="P">
      <formula>NOT(ISERROR(SEARCH(("P"),(AI23))))</formula>
    </cfRule>
    <cfRule type="containsText" dxfId="573" priority="1036" operator="containsText" text="K">
      <formula>NOT(ISERROR(SEARCH(("K"),(AI23))))</formula>
    </cfRule>
    <cfRule type="containsText" dxfId="572" priority="1037" operator="containsText" text="X">
      <formula>NOT(ISERROR(SEARCH(("X"),(AI23))))</formula>
    </cfRule>
    <cfRule type="containsText" dxfId="571" priority="1038" operator="containsText" text="L">
      <formula>NOT(ISERROR(SEARCH(("L"),(AI23))))</formula>
    </cfRule>
    <cfRule type="containsText" dxfId="570" priority="1039" operator="containsText" text="O">
      <formula>NOT(ISERROR(SEARCH(("O"),(AI23))))</formula>
    </cfRule>
    <cfRule type="containsText" dxfId="569" priority="1040" operator="containsText" text="C">
      <formula>NOT(ISERROR(SEARCH(("C"),(AI23))))</formula>
    </cfRule>
    <cfRule type="containsText" dxfId="568" priority="1041" operator="containsText" text="P">
      <formula>NOT(ISERROR(SEARCH(("P"),(AI23))))</formula>
    </cfRule>
    <cfRule type="containsText" dxfId="567" priority="1042" operator="containsText" text="K">
      <formula>NOT(ISERROR(SEARCH(("K"),(AI23))))</formula>
    </cfRule>
    <cfRule type="containsText" dxfId="566" priority="1043" operator="containsText" text="X">
      <formula>NOT(ISERROR(SEARCH(("X"),(AI23))))</formula>
    </cfRule>
    <cfRule type="containsText" dxfId="565" priority="1044" operator="containsText" text="L">
      <formula>NOT(ISERROR(SEARCH(("L"),(AI23))))</formula>
    </cfRule>
    <cfRule type="containsText" dxfId="564" priority="1045" operator="containsText" text="N">
      <formula>NOT(ISERROR(SEARCH(("N"),(AI23))))</formula>
    </cfRule>
    <cfRule type="containsText" dxfId="563" priority="1046" operator="containsText" text="O">
      <formula>NOT(ISERROR(SEARCH(("O"),(AI23))))</formula>
    </cfRule>
    <cfRule type="containsText" dxfId="562" priority="1047" operator="containsText" text="C">
      <formula>NOT(ISERROR(SEARCH(("C"),(AI23))))</formula>
    </cfRule>
    <cfRule type="containsText" dxfId="561" priority="1048" operator="containsText" text="P">
      <formula>NOT(ISERROR(SEARCH(("P"),(AI23))))</formula>
    </cfRule>
    <cfRule type="containsText" dxfId="560" priority="1049" operator="containsText" text="K">
      <formula>NOT(ISERROR(SEARCH(("K"),(AI23))))</formula>
    </cfRule>
    <cfRule type="containsText" dxfId="559" priority="1050" operator="containsText" text="X">
      <formula>NOT(ISERROR(SEARCH(("X"),(AI23))))</formula>
    </cfRule>
    <cfRule type="containsText" dxfId="558" priority="1051" operator="containsText" text="L">
      <formula>NOT(ISERROR(SEARCH(("L"),(AI23))))</formula>
    </cfRule>
  </conditionalFormatting>
  <conditionalFormatting sqref="AI23:AJ24">
    <cfRule type="containsText" dxfId="557" priority="552" operator="containsText" text="N">
      <formula>NOT(ISERROR(SEARCH(("N"),(AI23))))</formula>
    </cfRule>
  </conditionalFormatting>
  <conditionalFormatting sqref="AI24:AJ24">
    <cfRule type="containsText" dxfId="556" priority="541" operator="containsText" text="O">
      <formula>NOT(ISERROR(SEARCH(("O"),(AI24))))</formula>
    </cfRule>
    <cfRule type="containsText" dxfId="555" priority="542" operator="containsText" text="C">
      <formula>NOT(ISERROR(SEARCH(("C"),(AI24))))</formula>
    </cfRule>
    <cfRule type="containsText" dxfId="554" priority="543" operator="containsText" text="P">
      <formula>NOT(ISERROR(SEARCH(("P"),(AI24))))</formula>
    </cfRule>
    <cfRule type="containsText" dxfId="553" priority="544" operator="containsText" text="K">
      <formula>NOT(ISERROR(SEARCH(("K"),(AI24))))</formula>
    </cfRule>
    <cfRule type="containsText" dxfId="552" priority="545" operator="containsText" text="X">
      <formula>NOT(ISERROR(SEARCH(("X"),(AI24))))</formula>
    </cfRule>
    <cfRule type="containsText" dxfId="551" priority="546" operator="containsText" text="L">
      <formula>NOT(ISERROR(SEARCH(("L"),(AI24))))</formula>
    </cfRule>
    <cfRule type="containsText" dxfId="550" priority="547" operator="containsText" text="O">
      <formula>NOT(ISERROR(SEARCH(("O"),(AI24))))</formula>
    </cfRule>
    <cfRule type="containsText" dxfId="549" priority="548" operator="containsText" text="C">
      <formula>NOT(ISERROR(SEARCH(("C"),(AI24))))</formula>
    </cfRule>
    <cfRule type="containsText" dxfId="548" priority="549" operator="containsText" text="P">
      <formula>NOT(ISERROR(SEARCH(("P"),(AI24))))</formula>
    </cfRule>
    <cfRule type="containsText" dxfId="547" priority="550" operator="containsText" text="K">
      <formula>NOT(ISERROR(SEARCH(("K"),(AI24))))</formula>
    </cfRule>
    <cfRule type="containsText" dxfId="546" priority="551" operator="containsText" text="X">
      <formula>NOT(ISERROR(SEARCH(("X"),(AI24))))</formula>
    </cfRule>
  </conditionalFormatting>
  <conditionalFormatting sqref="AI25:AJ25">
    <cfRule type="containsText" dxfId="545" priority="449" operator="containsText" text="O">
      <formula>NOT(ISERROR(SEARCH(("O"),(AI25))))</formula>
    </cfRule>
    <cfRule type="containsText" dxfId="544" priority="450" operator="containsText" text="C">
      <formula>NOT(ISERROR(SEARCH(("C"),(AI25))))</formula>
    </cfRule>
    <cfRule type="containsText" dxfId="543" priority="451" operator="containsText" text="P">
      <formula>NOT(ISERROR(SEARCH(("P"),(AI25))))</formula>
    </cfRule>
    <cfRule type="containsText" dxfId="542" priority="452" operator="containsText" text="K">
      <formula>NOT(ISERROR(SEARCH(("K"),(AI25))))</formula>
    </cfRule>
    <cfRule type="containsText" dxfId="541" priority="453" operator="containsText" text="X">
      <formula>NOT(ISERROR(SEARCH(("X"),(AI25))))</formula>
    </cfRule>
    <cfRule type="containsText" dxfId="540" priority="454" operator="containsText" text="L">
      <formula>NOT(ISERROR(SEARCH(("L"),(AI25))))</formula>
    </cfRule>
    <cfRule type="containsText" dxfId="539" priority="455" operator="containsText" text="O">
      <formula>NOT(ISERROR(SEARCH(("O"),(AI25))))</formula>
    </cfRule>
    <cfRule type="containsText" dxfId="538" priority="456" operator="containsText" text="C">
      <formula>NOT(ISERROR(SEARCH(("C"),(AI25))))</formula>
    </cfRule>
    <cfRule type="containsText" dxfId="537" priority="457" operator="containsText" text="P">
      <formula>NOT(ISERROR(SEARCH(("P"),(AI25))))</formula>
    </cfRule>
    <cfRule type="containsText" dxfId="536" priority="458" operator="containsText" text="K">
      <formula>NOT(ISERROR(SEARCH(("K"),(AI25))))</formula>
    </cfRule>
    <cfRule type="containsText" dxfId="535" priority="459" operator="containsText" text="X">
      <formula>NOT(ISERROR(SEARCH(("X"),(AI25))))</formula>
    </cfRule>
  </conditionalFormatting>
  <conditionalFormatting sqref="AI26:AJ27">
    <cfRule type="containsText" dxfId="534" priority="13" operator="containsText" text="N">
      <formula>NOT(ISERROR(SEARCH(("N"),(AI26))))</formula>
    </cfRule>
    <cfRule type="containsText" dxfId="533" priority="49" operator="containsText" text="O">
      <formula>NOT(ISERROR(SEARCH(("O"),(AI26))))</formula>
    </cfRule>
    <cfRule type="containsText" dxfId="532" priority="50" operator="containsText" text="C">
      <formula>NOT(ISERROR(SEARCH(("C"),(AI26))))</formula>
    </cfRule>
    <cfRule type="containsText" dxfId="531" priority="51" operator="containsText" text="P">
      <formula>NOT(ISERROR(SEARCH(("P"),(AI26))))</formula>
    </cfRule>
    <cfRule type="containsText" dxfId="530" priority="52" operator="containsText" text="K">
      <formula>NOT(ISERROR(SEARCH(("K"),(AI26))))</formula>
    </cfRule>
    <cfRule type="containsText" dxfId="529" priority="53" operator="containsText" text="X">
      <formula>NOT(ISERROR(SEARCH(("X"),(AI26))))</formula>
    </cfRule>
    <cfRule type="containsText" dxfId="528" priority="54" operator="containsText" text="L">
      <formula>NOT(ISERROR(SEARCH(("L"),(AI26))))</formula>
    </cfRule>
    <cfRule type="containsText" dxfId="527" priority="55" operator="containsText" text="O">
      <formula>NOT(ISERROR(SEARCH(("O"),(AI26))))</formula>
    </cfRule>
    <cfRule type="containsText" dxfId="526" priority="56" operator="containsText" text="C">
      <formula>NOT(ISERROR(SEARCH(("C"),(AI26))))</formula>
    </cfRule>
    <cfRule type="containsText" dxfId="525" priority="57" operator="containsText" text="P">
      <formula>NOT(ISERROR(SEARCH(("P"),(AI26))))</formula>
    </cfRule>
    <cfRule type="containsText" dxfId="524" priority="58" operator="containsText" text="K">
      <formula>NOT(ISERROR(SEARCH(("K"),(AI26))))</formula>
    </cfRule>
    <cfRule type="containsText" dxfId="523" priority="59" operator="containsText" text="X">
      <formula>NOT(ISERROR(SEARCH(("X"),(AI26))))</formula>
    </cfRule>
    <cfRule type="containsText" dxfId="522" priority="60" operator="containsText" text="N">
      <formula>NOT(ISERROR(SEARCH(("N"),(AI26))))</formula>
    </cfRule>
  </conditionalFormatting>
  <conditionalFormatting sqref="AI27:AJ27">
    <cfRule type="containsText" dxfId="521" priority="1" operator="containsText" text="N">
      <formula>NOT(ISERROR(SEARCH(("N"),(AI27))))</formula>
    </cfRule>
    <cfRule type="containsText" dxfId="520" priority="2" operator="containsText" text="O">
      <formula>NOT(ISERROR(SEARCH(("O"),(AI27))))</formula>
    </cfRule>
    <cfRule type="containsText" dxfId="519" priority="3" operator="containsText" text="C">
      <formula>NOT(ISERROR(SEARCH(("C"),(AI27))))</formula>
    </cfRule>
    <cfRule type="containsText" dxfId="518" priority="4" operator="containsText" text="P">
      <formula>NOT(ISERROR(SEARCH(("P"),(AI27))))</formula>
    </cfRule>
    <cfRule type="containsText" dxfId="517" priority="5" operator="containsText" text="K">
      <formula>NOT(ISERROR(SEARCH(("K"),(AI27))))</formula>
    </cfRule>
    <cfRule type="containsText" dxfId="516" priority="6" operator="containsText" text="X">
      <formula>NOT(ISERROR(SEARCH(("X"),(AI27))))</formula>
    </cfRule>
    <cfRule type="containsText" dxfId="515" priority="7" operator="containsText" text="L">
      <formula>NOT(ISERROR(SEARCH(("L"),(AI27))))</formula>
    </cfRule>
    <cfRule type="containsText" dxfId="514" priority="8" operator="containsText" text="O">
      <formula>NOT(ISERROR(SEARCH(("O"),(AI27))))</formula>
    </cfRule>
    <cfRule type="containsText" dxfId="513" priority="9" operator="containsText" text="C">
      <formula>NOT(ISERROR(SEARCH(("C"),(AI27))))</formula>
    </cfRule>
    <cfRule type="containsText" dxfId="512" priority="10" operator="containsText" text="P">
      <formula>NOT(ISERROR(SEARCH(("P"),(AI27))))</formula>
    </cfRule>
    <cfRule type="containsText" dxfId="511" priority="11" operator="containsText" text="K">
      <formula>NOT(ISERROR(SEARCH(("K"),(AI27))))</formula>
    </cfRule>
    <cfRule type="containsText" dxfId="510" priority="12" operator="containsText" text="X">
      <formula>NOT(ISERROR(SEARCH(("X"),(AI27))))</formula>
    </cfRule>
  </conditionalFormatting>
  <conditionalFormatting sqref="AI13:AK13">
    <cfRule type="containsText" dxfId="509" priority="640" operator="containsText" text="O">
      <formula>NOT(ISERROR(SEARCH(("O"),(AI13))))</formula>
    </cfRule>
    <cfRule type="containsText" dxfId="508" priority="641" operator="containsText" text="C">
      <formula>NOT(ISERROR(SEARCH(("C"),(AI13))))</formula>
    </cfRule>
    <cfRule type="containsText" dxfId="507" priority="642" operator="containsText" text="P">
      <formula>NOT(ISERROR(SEARCH(("P"),(AI13))))</formula>
    </cfRule>
    <cfRule type="containsText" dxfId="506" priority="643" operator="containsText" text="K">
      <formula>NOT(ISERROR(SEARCH(("K"),(AI13))))</formula>
    </cfRule>
    <cfRule type="containsText" dxfId="505" priority="644" operator="containsText" text="X">
      <formula>NOT(ISERROR(SEARCH(("X"),(AI13))))</formula>
    </cfRule>
    <cfRule type="containsText" dxfId="504" priority="645" operator="containsText" text="L">
      <formula>NOT(ISERROR(SEARCH(("L"),(AI13))))</formula>
    </cfRule>
  </conditionalFormatting>
  <conditionalFormatting sqref="AI18:AK18">
    <cfRule type="containsText" dxfId="503" priority="715" operator="containsText" text="N">
      <formula>NOT(ISERROR(SEARCH(("N"),(AI18))))</formula>
    </cfRule>
    <cfRule type="containsText" dxfId="502" priority="716" operator="containsText" text="O">
      <formula>NOT(ISERROR(SEARCH(("O"),(AI18))))</formula>
    </cfRule>
    <cfRule type="containsText" dxfId="501" priority="717" operator="containsText" text="C">
      <formula>NOT(ISERROR(SEARCH(("C"),(AI18))))</formula>
    </cfRule>
    <cfRule type="containsText" dxfId="500" priority="718" operator="containsText" text="P">
      <formula>NOT(ISERROR(SEARCH(("P"),(AI18))))</formula>
    </cfRule>
    <cfRule type="containsText" dxfId="499" priority="719" operator="containsText" text="K">
      <formula>NOT(ISERROR(SEARCH(("K"),(AI18))))</formula>
    </cfRule>
    <cfRule type="containsText" dxfId="498" priority="720" operator="containsText" text="X">
      <formula>NOT(ISERROR(SEARCH(("X"),(AI18))))</formula>
    </cfRule>
    <cfRule type="containsText" dxfId="497" priority="721" operator="containsText" text="L">
      <formula>NOT(ISERROR(SEARCH(("L"),(AI18))))</formula>
    </cfRule>
  </conditionalFormatting>
  <conditionalFormatting sqref="AI24:AK25">
    <cfRule type="containsText" dxfId="496" priority="460" operator="containsText" text="N">
      <formula>NOT(ISERROR(SEARCH(("N"),(AI24))))</formula>
    </cfRule>
  </conditionalFormatting>
  <conditionalFormatting sqref="AI16:AL16">
    <cfRule type="containsText" dxfId="495" priority="1218" operator="containsText" text="N">
      <formula>NOT(ISERROR(SEARCH(("N"),(AI16))))</formula>
    </cfRule>
    <cfRule type="containsText" dxfId="494" priority="1219" operator="containsText" text="O">
      <formula>NOT(ISERROR(SEARCH(("O"),(AI16))))</formula>
    </cfRule>
    <cfRule type="containsText" dxfId="493" priority="1220" operator="containsText" text="C">
      <formula>NOT(ISERROR(SEARCH(("C"),(AI16))))</formula>
    </cfRule>
    <cfRule type="containsText" dxfId="492" priority="1221" operator="containsText" text="P">
      <formula>NOT(ISERROR(SEARCH(("P"),(AI16))))</formula>
    </cfRule>
    <cfRule type="containsText" dxfId="491" priority="1222" operator="containsText" text="K">
      <formula>NOT(ISERROR(SEARCH(("K"),(AI16))))</formula>
    </cfRule>
    <cfRule type="containsText" dxfId="490" priority="1223" operator="containsText" text="X">
      <formula>NOT(ISERROR(SEARCH(("X"),(AI16))))</formula>
    </cfRule>
    <cfRule type="containsText" dxfId="489" priority="1224" operator="containsText" text="L">
      <formula>NOT(ISERROR(SEARCH(("L"),(AI16))))</formula>
    </cfRule>
  </conditionalFormatting>
  <conditionalFormatting sqref="AI17:AL17">
    <cfRule type="containsText" dxfId="488" priority="1349" operator="containsText" text="N">
      <formula>NOT(ISERROR(SEARCH(("N"),(AI17))))</formula>
    </cfRule>
    <cfRule type="containsText" dxfId="487" priority="1350" operator="containsText" text="O">
      <formula>NOT(ISERROR(SEARCH(("O"),(AI17))))</formula>
    </cfRule>
    <cfRule type="containsText" dxfId="486" priority="1351" operator="containsText" text="C">
      <formula>NOT(ISERROR(SEARCH(("C"),(AI17))))</formula>
    </cfRule>
    <cfRule type="containsText" dxfId="485" priority="1352" operator="containsText" text="P">
      <formula>NOT(ISERROR(SEARCH(("P"),(AI17))))</formula>
    </cfRule>
    <cfRule type="containsText" dxfId="484" priority="1353" operator="containsText" text="K">
      <formula>NOT(ISERROR(SEARCH(("K"),(AI17))))</formula>
    </cfRule>
    <cfRule type="containsText" dxfId="483" priority="1354" operator="containsText" text="X">
      <formula>NOT(ISERROR(SEARCH(("X"),(AI17))))</formula>
    </cfRule>
    <cfRule type="containsText" dxfId="482" priority="1355" operator="containsText" text="L">
      <formula>NOT(ISERROR(SEARCH(("L"),(AI17))))</formula>
    </cfRule>
  </conditionalFormatting>
  <conditionalFormatting sqref="AI23:AL23">
    <cfRule type="containsText" dxfId="481" priority="1052" operator="containsText" text="N">
      <formula>NOT(ISERROR(SEARCH(("N"),(AI23))))</formula>
    </cfRule>
    <cfRule type="containsText" dxfId="480" priority="1053" operator="containsText" text="O">
      <formula>NOT(ISERROR(SEARCH(("O"),(AI23))))</formula>
    </cfRule>
    <cfRule type="containsText" dxfId="479" priority="1054" operator="containsText" text="C">
      <formula>NOT(ISERROR(SEARCH(("C"),(AI23))))</formula>
    </cfRule>
    <cfRule type="containsText" dxfId="478" priority="1055" operator="containsText" text="P">
      <formula>NOT(ISERROR(SEARCH(("P"),(AI23))))</formula>
    </cfRule>
    <cfRule type="containsText" dxfId="477" priority="1056" operator="containsText" text="K">
      <formula>NOT(ISERROR(SEARCH(("K"),(AI23))))</formula>
    </cfRule>
    <cfRule type="containsText" dxfId="476" priority="1057" operator="containsText" text="X">
      <formula>NOT(ISERROR(SEARCH(("X"),(AI23))))</formula>
    </cfRule>
    <cfRule type="containsText" dxfId="475" priority="1058" operator="containsText" text="L">
      <formula>NOT(ISERROR(SEARCH(("L"),(AI23))))</formula>
    </cfRule>
  </conditionalFormatting>
  <conditionalFormatting sqref="AK13">
    <cfRule type="containsText" dxfId="474" priority="687" operator="containsText" text="N">
      <formula>NOT(ISERROR(SEARCH(("N"),(AK13))))</formula>
    </cfRule>
    <cfRule type="containsText" dxfId="473" priority="688" operator="containsText" text="O">
      <formula>NOT(ISERROR(SEARCH(("O"),(AK13))))</formula>
    </cfRule>
    <cfRule type="containsText" dxfId="472" priority="689" operator="containsText" text="C">
      <formula>NOT(ISERROR(SEARCH(("C"),(AK13))))</formula>
    </cfRule>
    <cfRule type="containsText" dxfId="471" priority="690" operator="containsText" text="P">
      <formula>NOT(ISERROR(SEARCH(("P"),(AK13))))</formula>
    </cfRule>
    <cfRule type="containsText" dxfId="470" priority="691" operator="containsText" text="K">
      <formula>NOT(ISERROR(SEARCH(("K"),(AK13))))</formula>
    </cfRule>
    <cfRule type="containsText" dxfId="469" priority="692" operator="containsText" text="X">
      <formula>NOT(ISERROR(SEARCH(("X"),(AK13))))</formula>
    </cfRule>
    <cfRule type="containsText" dxfId="468" priority="693" operator="containsText" text="L">
      <formula>NOT(ISERROR(SEARCH(("L"),(AK13))))</formula>
    </cfRule>
    <cfRule type="containsText" dxfId="467" priority="694" operator="containsText" text="N">
      <formula>NOT(ISERROR(SEARCH(("N"),(AK13))))</formula>
    </cfRule>
    <cfRule type="containsText" dxfId="466" priority="695" operator="containsText" text="O">
      <formula>NOT(ISERROR(SEARCH(("O"),(AK13))))</formula>
    </cfRule>
    <cfRule type="containsText" dxfId="465" priority="696" operator="containsText" text="C">
      <formula>NOT(ISERROR(SEARCH(("C"),(AK13))))</formula>
    </cfRule>
    <cfRule type="containsText" dxfId="464" priority="697" operator="containsText" text="P">
      <formula>NOT(ISERROR(SEARCH(("P"),(AK13))))</formula>
    </cfRule>
    <cfRule type="containsText" dxfId="463" priority="698" operator="containsText" text="K">
      <formula>NOT(ISERROR(SEARCH(("K"),(AK13))))</formula>
    </cfRule>
    <cfRule type="containsText" dxfId="462" priority="699" operator="containsText" text="X">
      <formula>NOT(ISERROR(SEARCH(("X"),(AK13))))</formula>
    </cfRule>
    <cfRule type="containsText" dxfId="461" priority="700" operator="containsText" text="L">
      <formula>NOT(ISERROR(SEARCH(("L"),(AK13))))</formula>
    </cfRule>
  </conditionalFormatting>
  <conditionalFormatting sqref="AK18">
    <cfRule type="containsText" dxfId="460" priority="736" operator="containsText" text="O">
      <formula>NOT(ISERROR(SEARCH(("O"),(AK18))))</formula>
    </cfRule>
    <cfRule type="containsText" dxfId="459" priority="737" operator="containsText" text="C">
      <formula>NOT(ISERROR(SEARCH(("C"),(AK18))))</formula>
    </cfRule>
    <cfRule type="containsText" dxfId="458" priority="738" operator="containsText" text="P">
      <formula>NOT(ISERROR(SEARCH(("P"),(AK18))))</formula>
    </cfRule>
    <cfRule type="containsText" dxfId="457" priority="739" operator="containsText" text="K">
      <formula>NOT(ISERROR(SEARCH(("K"),(AK18))))</formula>
    </cfRule>
    <cfRule type="containsText" dxfId="456" priority="740" operator="containsText" text="X">
      <formula>NOT(ISERROR(SEARCH(("X"),(AK18))))</formula>
    </cfRule>
    <cfRule type="containsText" dxfId="455" priority="741" operator="containsText" text="L">
      <formula>NOT(ISERROR(SEARCH(("L"),(AK18))))</formula>
    </cfRule>
    <cfRule type="containsText" dxfId="454" priority="742" operator="containsText" text="N">
      <formula>NOT(ISERROR(SEARCH(("N"),(AK18))))</formula>
    </cfRule>
    <cfRule type="containsText" dxfId="453" priority="743" operator="containsText" text="O">
      <formula>NOT(ISERROR(SEARCH(("O"),(AK18))))</formula>
    </cfRule>
    <cfRule type="containsText" dxfId="452" priority="744" operator="containsText" text="C">
      <formula>NOT(ISERROR(SEARCH(("C"),(AK18))))</formula>
    </cfRule>
    <cfRule type="containsText" dxfId="451" priority="745" operator="containsText" text="P">
      <formula>NOT(ISERROR(SEARCH(("P"),(AK18))))</formula>
    </cfRule>
    <cfRule type="containsText" dxfId="450" priority="746" operator="containsText" text="K">
      <formula>NOT(ISERROR(SEARCH(("K"),(AK18))))</formula>
    </cfRule>
    <cfRule type="containsText" dxfId="449" priority="747" operator="containsText" text="X">
      <formula>NOT(ISERROR(SEARCH(("X"),(AK18))))</formula>
    </cfRule>
    <cfRule type="containsText" dxfId="448" priority="748" operator="containsText" text="L">
      <formula>NOT(ISERROR(SEARCH(("L"),(AK18))))</formula>
    </cfRule>
    <cfRule type="containsText" dxfId="447" priority="749" operator="containsText" text="O">
      <formula>NOT(ISERROR(SEARCH(("O"),(AK18))))</formula>
    </cfRule>
    <cfRule type="containsText" dxfId="446" priority="750" operator="containsText" text="C">
      <formula>NOT(ISERROR(SEARCH(("C"),(AK18))))</formula>
    </cfRule>
    <cfRule type="containsText" dxfId="445" priority="751" operator="containsText" text="P">
      <formula>NOT(ISERROR(SEARCH(("P"),(AK18))))</formula>
    </cfRule>
    <cfRule type="containsText" dxfId="444" priority="752" operator="containsText" text="K">
      <formula>NOT(ISERROR(SEARCH(("K"),(AK18))))</formula>
    </cfRule>
    <cfRule type="containsText" dxfId="443" priority="753" operator="containsText" text="X">
      <formula>NOT(ISERROR(SEARCH(("X"),(AK18))))</formula>
    </cfRule>
    <cfRule type="containsText" dxfId="442" priority="754" operator="containsText" text="L">
      <formula>NOT(ISERROR(SEARCH(("L"),(AK18))))</formula>
    </cfRule>
    <cfRule type="containsText" dxfId="441" priority="755" operator="containsText" text="N">
      <formula>NOT(ISERROR(SEARCH(("N"),(AK18))))</formula>
    </cfRule>
    <cfRule type="containsText" dxfId="440" priority="756" operator="containsText" text="O">
      <formula>NOT(ISERROR(SEARCH(("O"),(AK18))))</formula>
    </cfRule>
    <cfRule type="containsText" dxfId="439" priority="757" operator="containsText" text="C">
      <formula>NOT(ISERROR(SEARCH(("C"),(AK18))))</formula>
    </cfRule>
    <cfRule type="containsText" dxfId="438" priority="758" operator="containsText" text="P">
      <formula>NOT(ISERROR(SEARCH(("P"),(AK18))))</formula>
    </cfRule>
    <cfRule type="containsText" dxfId="437" priority="759" operator="containsText" text="K">
      <formula>NOT(ISERROR(SEARCH(("K"),(AK18))))</formula>
    </cfRule>
    <cfRule type="containsText" dxfId="436" priority="760" operator="containsText" text="X">
      <formula>NOT(ISERROR(SEARCH(("X"),(AK18))))</formula>
    </cfRule>
    <cfRule type="containsText" dxfId="435" priority="792" operator="containsText" text="O">
      <formula>NOT(ISERROR(SEARCH(("O"),(AK18))))</formula>
    </cfRule>
    <cfRule type="containsText" dxfId="434" priority="793" operator="containsText" text="C">
      <formula>NOT(ISERROR(SEARCH(("C"),(AK18))))</formula>
    </cfRule>
    <cfRule type="containsText" dxfId="433" priority="794" operator="containsText" text="P">
      <formula>NOT(ISERROR(SEARCH(("P"),(AK18))))</formula>
    </cfRule>
    <cfRule type="containsText" dxfId="432" priority="795" operator="containsText" text="K">
      <formula>NOT(ISERROR(SEARCH(("K"),(AK18))))</formula>
    </cfRule>
    <cfRule type="containsText" dxfId="431" priority="796" operator="containsText" text="X">
      <formula>NOT(ISERROR(SEARCH(("X"),(AK18))))</formula>
    </cfRule>
    <cfRule type="containsText" dxfId="430" priority="797" operator="containsText" text="L">
      <formula>NOT(ISERROR(SEARCH(("L"),(AK18))))</formula>
    </cfRule>
    <cfRule type="containsText" dxfId="429" priority="798" operator="containsText" text="N">
      <formula>NOT(ISERROR(SEARCH(("N"),(AK18))))</formula>
    </cfRule>
    <cfRule type="containsText" dxfId="428" priority="799" operator="containsText" text="O">
      <formula>NOT(ISERROR(SEARCH(("O"),(AK18))))</formula>
    </cfRule>
    <cfRule type="containsText" dxfId="427" priority="800" operator="containsText" text="C">
      <formula>NOT(ISERROR(SEARCH(("C"),(AK18))))</formula>
    </cfRule>
    <cfRule type="containsText" dxfId="426" priority="801" operator="containsText" text="P">
      <formula>NOT(ISERROR(SEARCH(("P"),(AK18))))</formula>
    </cfRule>
    <cfRule type="containsText" dxfId="425" priority="802" operator="containsText" text="K">
      <formula>NOT(ISERROR(SEARCH(("K"),(AK18))))</formula>
    </cfRule>
    <cfRule type="containsText" dxfId="424" priority="803" operator="containsText" text="X">
      <formula>NOT(ISERROR(SEARCH(("X"),(AK18))))</formula>
    </cfRule>
    <cfRule type="containsText" dxfId="423" priority="804" operator="containsText" text="L">
      <formula>NOT(ISERROR(SEARCH(("L"),(AK18))))</formula>
    </cfRule>
    <cfRule type="containsText" dxfId="422" priority="805" operator="containsText" text="N">
      <formula>NOT(ISERROR(SEARCH(("N"),(AK18))))</formula>
    </cfRule>
    <cfRule type="containsText" dxfId="421" priority="806" operator="containsText" text="O">
      <formula>NOT(ISERROR(SEARCH(("O"),(AK18))))</formula>
    </cfRule>
    <cfRule type="containsText" dxfId="420" priority="807" operator="containsText" text="C">
      <formula>NOT(ISERROR(SEARCH(("C"),(AK18))))</formula>
    </cfRule>
    <cfRule type="containsText" dxfId="419" priority="808" operator="containsText" text="P">
      <formula>NOT(ISERROR(SEARCH(("P"),(AK18))))</formula>
    </cfRule>
    <cfRule type="containsText" dxfId="418" priority="809" operator="containsText" text="K">
      <formula>NOT(ISERROR(SEARCH(("K"),(AK18))))</formula>
    </cfRule>
    <cfRule type="containsText" dxfId="417" priority="810" operator="containsText" text="X">
      <formula>NOT(ISERROR(SEARCH(("X"),(AK18))))</formula>
    </cfRule>
    <cfRule type="containsText" dxfId="416" priority="811" operator="containsText" text="L">
      <formula>NOT(ISERROR(SEARCH(("L"),(AK18))))</formula>
    </cfRule>
  </conditionalFormatting>
  <conditionalFormatting sqref="AK21">
    <cfRule type="containsText" dxfId="415" priority="899" operator="containsText" text="O">
      <formula>NOT(ISERROR(SEARCH(("O"),(AK21))))</formula>
    </cfRule>
    <cfRule type="containsText" dxfId="414" priority="900" operator="containsText" text="C">
      <formula>NOT(ISERROR(SEARCH(("C"),(AK21))))</formula>
    </cfRule>
    <cfRule type="containsText" dxfId="413" priority="901" operator="containsText" text="P">
      <formula>NOT(ISERROR(SEARCH(("P"),(AK21))))</formula>
    </cfRule>
    <cfRule type="containsText" dxfId="412" priority="902" operator="containsText" text="K">
      <formula>NOT(ISERROR(SEARCH(("K"),(AK21))))</formula>
    </cfRule>
    <cfRule type="containsText" dxfId="411" priority="903" operator="containsText" text="X">
      <formula>NOT(ISERROR(SEARCH(("X"),(AK21))))</formula>
    </cfRule>
    <cfRule type="containsText" dxfId="410" priority="904" operator="containsText" text="L">
      <formula>NOT(ISERROR(SEARCH(("L"),(AK21))))</formula>
    </cfRule>
    <cfRule type="containsText" dxfId="409" priority="905" operator="containsText" text="N">
      <formula>NOT(ISERROR(SEARCH(("N"),(AK21))))</formula>
    </cfRule>
    <cfRule type="containsText" dxfId="408" priority="906" operator="containsText" text="O">
      <formula>NOT(ISERROR(SEARCH(("O"),(AK21))))</formula>
    </cfRule>
    <cfRule type="containsText" dxfId="407" priority="907" operator="containsText" text="C">
      <formula>NOT(ISERROR(SEARCH(("C"),(AK21))))</formula>
    </cfRule>
    <cfRule type="containsText" dxfId="406" priority="908" operator="containsText" text="P">
      <formula>NOT(ISERROR(SEARCH(("P"),(AK21))))</formula>
    </cfRule>
    <cfRule type="containsText" dxfId="405" priority="909" operator="containsText" text="K">
      <formula>NOT(ISERROR(SEARCH(("K"),(AK21))))</formula>
    </cfRule>
    <cfRule type="containsText" dxfId="404" priority="910" operator="containsText" text="X">
      <formula>NOT(ISERROR(SEARCH(("X"),(AK21))))</formula>
    </cfRule>
    <cfRule type="containsText" dxfId="403" priority="911" operator="containsText" text="L">
      <formula>NOT(ISERROR(SEARCH(("L"),(AK21))))</formula>
    </cfRule>
    <cfRule type="containsText" dxfId="402" priority="912" operator="containsText" text="O">
      <formula>NOT(ISERROR(SEARCH(("O"),(AK21))))</formula>
    </cfRule>
    <cfRule type="containsText" dxfId="401" priority="913" operator="containsText" text="C">
      <formula>NOT(ISERROR(SEARCH(("C"),(AK21))))</formula>
    </cfRule>
    <cfRule type="containsText" dxfId="400" priority="914" operator="containsText" text="P">
      <formula>NOT(ISERROR(SEARCH(("P"),(AK21))))</formula>
    </cfRule>
    <cfRule type="containsText" dxfId="399" priority="915" operator="containsText" text="K">
      <formula>NOT(ISERROR(SEARCH(("K"),(AK21))))</formula>
    </cfRule>
    <cfRule type="containsText" dxfId="398" priority="916" operator="containsText" text="X">
      <formula>NOT(ISERROR(SEARCH(("X"),(AK21))))</formula>
    </cfRule>
    <cfRule type="containsText" dxfId="397" priority="917" operator="containsText" text="L">
      <formula>NOT(ISERROR(SEARCH(("L"),(AK21))))</formula>
    </cfRule>
    <cfRule type="containsText" dxfId="396" priority="918" operator="containsText" text="N">
      <formula>NOT(ISERROR(SEARCH(("N"),(AK21))))</formula>
    </cfRule>
    <cfRule type="containsText" dxfId="395" priority="919" operator="containsText" text="O">
      <formula>NOT(ISERROR(SEARCH(("O"),(AK21))))</formula>
    </cfRule>
    <cfRule type="containsText" dxfId="394" priority="920" operator="containsText" text="C">
      <formula>NOT(ISERROR(SEARCH(("C"),(AK21))))</formula>
    </cfRule>
    <cfRule type="containsText" dxfId="393" priority="921" operator="containsText" text="P">
      <formula>NOT(ISERROR(SEARCH(("P"),(AK21))))</formula>
    </cfRule>
    <cfRule type="containsText" dxfId="392" priority="922" operator="containsText" text="K">
      <formula>NOT(ISERROR(SEARCH(("K"),(AK21))))</formula>
    </cfRule>
    <cfRule type="containsText" dxfId="391" priority="923" operator="containsText" text="X">
      <formula>NOT(ISERROR(SEARCH(("X"),(AK21))))</formula>
    </cfRule>
    <cfRule type="containsText" dxfId="390" priority="947" operator="containsText" text="N">
      <formula>NOT(ISERROR(SEARCH(("N"),(AK21))))</formula>
    </cfRule>
    <cfRule type="containsText" dxfId="389" priority="948" operator="containsText" text="O">
      <formula>NOT(ISERROR(SEARCH(("O"),(AK21))))</formula>
    </cfRule>
    <cfRule type="containsText" dxfId="388" priority="949" operator="containsText" text="C">
      <formula>NOT(ISERROR(SEARCH(("C"),(AK21))))</formula>
    </cfRule>
    <cfRule type="containsText" dxfId="387" priority="950" operator="containsText" text="P">
      <formula>NOT(ISERROR(SEARCH(("P"),(AK21))))</formula>
    </cfRule>
    <cfRule type="containsText" dxfId="386" priority="951" operator="containsText" text="K">
      <formula>NOT(ISERROR(SEARCH(("K"),(AK21))))</formula>
    </cfRule>
    <cfRule type="containsText" dxfId="385" priority="952" operator="containsText" text="X">
      <formula>NOT(ISERROR(SEARCH(("X"),(AK21))))</formula>
    </cfRule>
    <cfRule type="containsText" dxfId="384" priority="953" operator="containsText" text="L">
      <formula>NOT(ISERROR(SEARCH(("L"),(AK21))))</formula>
    </cfRule>
    <cfRule type="containsText" dxfId="383" priority="954" operator="containsText" text="O">
      <formula>NOT(ISERROR(SEARCH(("O"),(AK21))))</formula>
    </cfRule>
    <cfRule type="containsText" dxfId="382" priority="955" operator="containsText" text="C">
      <formula>NOT(ISERROR(SEARCH(("C"),(AK21))))</formula>
    </cfRule>
    <cfRule type="containsText" dxfId="381" priority="956" operator="containsText" text="P">
      <formula>NOT(ISERROR(SEARCH(("P"),(AK21))))</formula>
    </cfRule>
    <cfRule type="containsText" dxfId="380" priority="957" operator="containsText" text="K">
      <formula>NOT(ISERROR(SEARCH(("K"),(AK21))))</formula>
    </cfRule>
    <cfRule type="containsText" dxfId="379" priority="958" operator="containsText" text="X">
      <formula>NOT(ISERROR(SEARCH(("X"),(AK21))))</formula>
    </cfRule>
    <cfRule type="containsText" dxfId="378" priority="959" operator="containsText" text="L">
      <formula>NOT(ISERROR(SEARCH(("L"),(AK21))))</formula>
    </cfRule>
    <cfRule type="containsText" dxfId="377" priority="960" operator="containsText" text="N">
      <formula>NOT(ISERROR(SEARCH(("N"),(AK21))))</formula>
    </cfRule>
    <cfRule type="containsText" dxfId="376" priority="961" operator="containsText" text="O">
      <formula>NOT(ISERROR(SEARCH(("O"),(AK21))))</formula>
    </cfRule>
    <cfRule type="containsText" dxfId="375" priority="962" operator="containsText" text="C">
      <formula>NOT(ISERROR(SEARCH(("C"),(AK21))))</formula>
    </cfRule>
    <cfRule type="containsText" dxfId="374" priority="963" operator="containsText" text="P">
      <formula>NOT(ISERROR(SEARCH(("P"),(AK21))))</formula>
    </cfRule>
    <cfRule type="containsText" dxfId="373" priority="964" operator="containsText" text="K">
      <formula>NOT(ISERROR(SEARCH(("K"),(AK21))))</formula>
    </cfRule>
    <cfRule type="containsText" dxfId="372" priority="965" operator="containsText" text="X">
      <formula>NOT(ISERROR(SEARCH(("X"),(AK21))))</formula>
    </cfRule>
    <cfRule type="containsText" dxfId="371" priority="966" operator="containsText" text="L">
      <formula>NOT(ISERROR(SEARCH(("L"),(AK21))))</formula>
    </cfRule>
    <cfRule type="containsText" dxfId="370" priority="967" operator="containsText" text="N">
      <formula>NOT(ISERROR(SEARCH(("N"),(AK21))))</formula>
    </cfRule>
    <cfRule type="containsText" dxfId="369" priority="968" operator="containsText" text="O">
      <formula>NOT(ISERROR(SEARCH(("O"),(AK21))))</formula>
    </cfRule>
    <cfRule type="containsText" dxfId="368" priority="969" operator="containsText" text="C">
      <formula>NOT(ISERROR(SEARCH(("C"),(AK21))))</formula>
    </cfRule>
    <cfRule type="containsText" dxfId="367" priority="970" operator="containsText" text="P">
      <formula>NOT(ISERROR(SEARCH(("P"),(AK21))))</formula>
    </cfRule>
    <cfRule type="containsText" dxfId="366" priority="971" operator="containsText" text="K">
      <formula>NOT(ISERROR(SEARCH(("K"),(AK21))))</formula>
    </cfRule>
    <cfRule type="containsText" dxfId="365" priority="972" operator="containsText" text="X">
      <formula>NOT(ISERROR(SEARCH(("X"),(AK21))))</formula>
    </cfRule>
    <cfRule type="containsText" dxfId="364" priority="973" operator="containsText" text="L">
      <formula>NOT(ISERROR(SEARCH(("L"),(AK21))))</formula>
    </cfRule>
  </conditionalFormatting>
  <conditionalFormatting sqref="AK22">
    <cfRule type="containsText" dxfId="363" priority="343" operator="containsText" text="O">
      <formula>NOT(ISERROR(SEARCH(("O"),(AK22))))</formula>
    </cfRule>
    <cfRule type="containsText" dxfId="362" priority="344" operator="containsText" text="C">
      <formula>NOT(ISERROR(SEARCH(("C"),(AK22))))</formula>
    </cfRule>
    <cfRule type="containsText" dxfId="361" priority="345" operator="containsText" text="P">
      <formula>NOT(ISERROR(SEARCH(("P"),(AK22))))</formula>
    </cfRule>
    <cfRule type="containsText" dxfId="360" priority="346" operator="containsText" text="K">
      <formula>NOT(ISERROR(SEARCH(("K"),(AK22))))</formula>
    </cfRule>
    <cfRule type="containsText" dxfId="359" priority="347" operator="containsText" text="X">
      <formula>NOT(ISERROR(SEARCH(("X"),(AK22))))</formula>
    </cfRule>
    <cfRule type="containsText" dxfId="358" priority="348" operator="containsText" text="L">
      <formula>NOT(ISERROR(SEARCH(("L"),(AK22))))</formula>
    </cfRule>
    <cfRule type="containsText" dxfId="357" priority="349" operator="containsText" text="N">
      <formula>NOT(ISERROR(SEARCH(("N"),(AK22))))</formula>
    </cfRule>
    <cfRule type="containsText" dxfId="356" priority="350" operator="containsText" text="O">
      <formula>NOT(ISERROR(SEARCH(("O"),(AK22))))</formula>
    </cfRule>
    <cfRule type="containsText" dxfId="355" priority="351" operator="containsText" text="C">
      <formula>NOT(ISERROR(SEARCH(("C"),(AK22))))</formula>
    </cfRule>
    <cfRule type="containsText" dxfId="354" priority="352" operator="containsText" text="P">
      <formula>NOT(ISERROR(SEARCH(("P"),(AK22))))</formula>
    </cfRule>
    <cfRule type="containsText" dxfId="353" priority="353" operator="containsText" text="K">
      <formula>NOT(ISERROR(SEARCH(("K"),(AK22))))</formula>
    </cfRule>
    <cfRule type="containsText" dxfId="352" priority="354" operator="containsText" text="X">
      <formula>NOT(ISERROR(SEARCH(("X"),(AK22))))</formula>
    </cfRule>
    <cfRule type="containsText" dxfId="351" priority="355" operator="containsText" text="L">
      <formula>NOT(ISERROR(SEARCH(("L"),(AK22))))</formula>
    </cfRule>
    <cfRule type="containsText" dxfId="350" priority="356" operator="containsText" text="O">
      <formula>NOT(ISERROR(SEARCH(("O"),(AK22))))</formula>
    </cfRule>
    <cfRule type="containsText" dxfId="349" priority="357" operator="containsText" text="C">
      <formula>NOT(ISERROR(SEARCH(("C"),(AK22))))</formula>
    </cfRule>
    <cfRule type="containsText" dxfId="348" priority="358" operator="containsText" text="P">
      <formula>NOT(ISERROR(SEARCH(("P"),(AK22))))</formula>
    </cfRule>
    <cfRule type="containsText" dxfId="347" priority="359" operator="containsText" text="K">
      <formula>NOT(ISERROR(SEARCH(("K"),(AK22))))</formula>
    </cfRule>
    <cfRule type="containsText" dxfId="346" priority="360" operator="containsText" text="X">
      <formula>NOT(ISERROR(SEARCH(("X"),(AK22))))</formula>
    </cfRule>
    <cfRule type="containsText" dxfId="345" priority="361" operator="containsText" text="L">
      <formula>NOT(ISERROR(SEARCH(("L"),(AK22))))</formula>
    </cfRule>
    <cfRule type="containsText" dxfId="344" priority="362" operator="containsText" text="N">
      <formula>NOT(ISERROR(SEARCH(("N"),(AK22))))</formula>
    </cfRule>
    <cfRule type="containsText" dxfId="343" priority="363" operator="containsText" text="O">
      <formula>NOT(ISERROR(SEARCH(("O"),(AK22))))</formula>
    </cfRule>
    <cfRule type="containsText" dxfId="342" priority="364" operator="containsText" text="C">
      <formula>NOT(ISERROR(SEARCH(("C"),(AK22))))</formula>
    </cfRule>
    <cfRule type="containsText" dxfId="341" priority="365" operator="containsText" text="P">
      <formula>NOT(ISERROR(SEARCH(("P"),(AK22))))</formula>
    </cfRule>
    <cfRule type="containsText" dxfId="340" priority="366" operator="containsText" text="K">
      <formula>NOT(ISERROR(SEARCH(("K"),(AK22))))</formula>
    </cfRule>
    <cfRule type="containsText" dxfId="339" priority="367" operator="containsText" text="X">
      <formula>NOT(ISERROR(SEARCH(("X"),(AK22))))</formula>
    </cfRule>
    <cfRule type="containsText" dxfId="338" priority="414" operator="containsText" text="N">
      <formula>NOT(ISERROR(SEARCH(("N"),(AK22))))</formula>
    </cfRule>
    <cfRule type="containsText" dxfId="337" priority="415" operator="containsText" text="O">
      <formula>NOT(ISERROR(SEARCH(("O"),(AK22))))</formula>
    </cfRule>
    <cfRule type="containsText" dxfId="336" priority="416" operator="containsText" text="C">
      <formula>NOT(ISERROR(SEARCH(("C"),(AK22))))</formula>
    </cfRule>
    <cfRule type="containsText" dxfId="335" priority="417" operator="containsText" text="P">
      <formula>NOT(ISERROR(SEARCH(("P"),(AK22))))</formula>
    </cfRule>
    <cfRule type="containsText" dxfId="334" priority="418" operator="containsText" text="K">
      <formula>NOT(ISERROR(SEARCH(("K"),(AK22))))</formula>
    </cfRule>
    <cfRule type="containsText" dxfId="333" priority="419" operator="containsText" text="X">
      <formula>NOT(ISERROR(SEARCH(("X"),(AK22))))</formula>
    </cfRule>
    <cfRule type="containsText" dxfId="332" priority="420" operator="containsText" text="L">
      <formula>NOT(ISERROR(SEARCH(("L"),(AK22))))</formula>
    </cfRule>
    <cfRule type="containsText" dxfId="331" priority="421" operator="containsText" text="O">
      <formula>NOT(ISERROR(SEARCH(("O"),(AK22))))</formula>
    </cfRule>
    <cfRule type="containsText" dxfId="330" priority="422" operator="containsText" text="C">
      <formula>NOT(ISERROR(SEARCH(("C"),(AK22))))</formula>
    </cfRule>
    <cfRule type="containsText" dxfId="329" priority="423" operator="containsText" text="P">
      <formula>NOT(ISERROR(SEARCH(("P"),(AK22))))</formula>
    </cfRule>
    <cfRule type="containsText" dxfId="328" priority="424" operator="containsText" text="K">
      <formula>NOT(ISERROR(SEARCH(("K"),(AK22))))</formula>
    </cfRule>
    <cfRule type="containsText" dxfId="327" priority="425" operator="containsText" text="X">
      <formula>NOT(ISERROR(SEARCH(("X"),(AK22))))</formula>
    </cfRule>
    <cfRule type="containsText" dxfId="326" priority="426" operator="containsText" text="L">
      <formula>NOT(ISERROR(SEARCH(("L"),(AK22))))</formula>
    </cfRule>
    <cfRule type="containsText" dxfId="325" priority="427" operator="containsText" text="N">
      <formula>NOT(ISERROR(SEARCH(("N"),(AK22))))</formula>
    </cfRule>
    <cfRule type="containsText" dxfId="324" priority="428" operator="containsText" text="O">
      <formula>NOT(ISERROR(SEARCH(("O"),(AK22))))</formula>
    </cfRule>
    <cfRule type="containsText" dxfId="323" priority="429" operator="containsText" text="C">
      <formula>NOT(ISERROR(SEARCH(("C"),(AK22))))</formula>
    </cfRule>
    <cfRule type="containsText" dxfId="322" priority="430" operator="containsText" text="P">
      <formula>NOT(ISERROR(SEARCH(("P"),(AK22))))</formula>
    </cfRule>
    <cfRule type="containsText" dxfId="321" priority="431" operator="containsText" text="K">
      <formula>NOT(ISERROR(SEARCH(("K"),(AK22))))</formula>
    </cfRule>
    <cfRule type="containsText" dxfId="320" priority="432" operator="containsText" text="X">
      <formula>NOT(ISERROR(SEARCH(("X"),(AK22))))</formula>
    </cfRule>
    <cfRule type="containsText" dxfId="319" priority="433" operator="containsText" text="L">
      <formula>NOT(ISERROR(SEARCH(("L"),(AK22))))</formula>
    </cfRule>
    <cfRule type="containsText" dxfId="318" priority="434" operator="containsText" text="N">
      <formula>NOT(ISERROR(SEARCH(("N"),(AK22))))</formula>
    </cfRule>
    <cfRule type="containsText" dxfId="317" priority="435" operator="containsText" text="O">
      <formula>NOT(ISERROR(SEARCH(("O"),(AK22))))</formula>
    </cfRule>
    <cfRule type="containsText" dxfId="316" priority="436" operator="containsText" text="C">
      <formula>NOT(ISERROR(SEARCH(("C"),(AK22))))</formula>
    </cfRule>
    <cfRule type="containsText" dxfId="315" priority="437" operator="containsText" text="P">
      <formula>NOT(ISERROR(SEARCH(("P"),(AK22))))</formula>
    </cfRule>
    <cfRule type="containsText" dxfId="314" priority="438" operator="containsText" text="K">
      <formula>NOT(ISERROR(SEARCH(("K"),(AK22))))</formula>
    </cfRule>
    <cfRule type="containsText" dxfId="313" priority="439" operator="containsText" text="X">
      <formula>NOT(ISERROR(SEARCH(("X"),(AK22))))</formula>
    </cfRule>
    <cfRule type="containsText" dxfId="312" priority="440" operator="containsText" text="L">
      <formula>NOT(ISERROR(SEARCH(("L"),(AK22))))</formula>
    </cfRule>
  </conditionalFormatting>
  <conditionalFormatting sqref="AK24:AK25">
    <cfRule type="containsText" dxfId="311" priority="594" operator="containsText" text="O">
      <formula>NOT(ISERROR(SEARCH(("O"),(AK24))))</formula>
    </cfRule>
    <cfRule type="containsText" dxfId="310" priority="595" operator="containsText" text="C">
      <formula>NOT(ISERROR(SEARCH(("C"),(AK24))))</formula>
    </cfRule>
    <cfRule type="containsText" dxfId="309" priority="596" operator="containsText" text="P">
      <formula>NOT(ISERROR(SEARCH(("P"),(AK24))))</formula>
    </cfRule>
    <cfRule type="containsText" dxfId="308" priority="597" operator="containsText" text="K">
      <formula>NOT(ISERROR(SEARCH(("K"),(AK24))))</formula>
    </cfRule>
    <cfRule type="containsText" dxfId="307" priority="598" operator="containsText" text="X">
      <formula>NOT(ISERROR(SEARCH(("X"),(AK24))))</formula>
    </cfRule>
    <cfRule type="containsText" dxfId="306" priority="599" operator="containsText" text="L">
      <formula>NOT(ISERROR(SEARCH(("L"),(AK24))))</formula>
    </cfRule>
  </conditionalFormatting>
  <conditionalFormatting sqref="AK11:AL12">
    <cfRule type="containsText" dxfId="305" priority="2496" operator="containsText" text="N">
      <formula>NOT(ISERROR(SEARCH(("N"),(AK11))))</formula>
    </cfRule>
    <cfRule type="containsText" dxfId="304" priority="2498" operator="containsText" text="O">
      <formula>NOT(ISERROR(SEARCH(("O"),(AK11))))</formula>
    </cfRule>
    <cfRule type="containsText" dxfId="303" priority="2499" operator="containsText" text="C">
      <formula>NOT(ISERROR(SEARCH(("C"),(AK11))))</formula>
    </cfRule>
    <cfRule type="containsText" dxfId="302" priority="2500" operator="containsText" text="P">
      <formula>NOT(ISERROR(SEARCH(("P"),(AK11))))</formula>
    </cfRule>
    <cfRule type="containsText" dxfId="301" priority="2501" operator="containsText" text="K">
      <formula>NOT(ISERROR(SEARCH(("K"),(AK11))))</formula>
    </cfRule>
    <cfRule type="containsText" dxfId="300" priority="2502" operator="containsText" text="X">
      <formula>NOT(ISERROR(SEARCH(("X"),(AK11))))</formula>
    </cfRule>
    <cfRule type="containsText" dxfId="299" priority="2503" operator="containsText" text="L">
      <formula>NOT(ISERROR(SEARCH(("L"),(AK11))))</formula>
    </cfRule>
    <cfRule type="containsText" dxfId="298" priority="2657" operator="containsText" text="N">
      <formula>NOT(ISERROR(SEARCH(("N"),(AK11))))</formula>
    </cfRule>
  </conditionalFormatting>
  <conditionalFormatting sqref="AK11:AL13">
    <cfRule type="containsText" dxfId="297" priority="2651" operator="containsText" text="O">
      <formula>NOT(ISERROR(SEARCH(("O"),(AK11))))</formula>
    </cfRule>
    <cfRule type="containsText" dxfId="296" priority="2652" operator="containsText" text="C">
      <formula>NOT(ISERROR(SEARCH(("C"),(AK11))))</formula>
    </cfRule>
    <cfRule type="containsText" dxfId="295" priority="2653" operator="containsText" text="P">
      <formula>NOT(ISERROR(SEARCH(("P"),(AK11))))</formula>
    </cfRule>
    <cfRule type="containsText" dxfId="294" priority="2654" operator="containsText" text="K">
      <formula>NOT(ISERROR(SEARCH(("K"),(AK11))))</formula>
    </cfRule>
    <cfRule type="containsText" dxfId="293" priority="2655" operator="containsText" text="X">
      <formula>NOT(ISERROR(SEARCH(("X"),(AK11))))</formula>
    </cfRule>
    <cfRule type="containsText" dxfId="292" priority="2656" operator="containsText" text="L">
      <formula>NOT(ISERROR(SEARCH(("L"),(AK11))))</formula>
    </cfRule>
  </conditionalFormatting>
  <conditionalFormatting sqref="AK12:AL12">
    <cfRule type="containsText" dxfId="291" priority="2490" operator="containsText" text="O">
      <formula>NOT(ISERROR(SEARCH(("O"),(AK12))))</formula>
    </cfRule>
    <cfRule type="containsText" dxfId="290" priority="2491" operator="containsText" text="C">
      <formula>NOT(ISERROR(SEARCH(("C"),(AK12))))</formula>
    </cfRule>
    <cfRule type="containsText" dxfId="289" priority="2492" operator="containsText" text="P">
      <formula>NOT(ISERROR(SEARCH(("P"),(AK12))))</formula>
    </cfRule>
    <cfRule type="containsText" dxfId="288" priority="2493" operator="containsText" text="K">
      <formula>NOT(ISERROR(SEARCH(("K"),(AK12))))</formula>
    </cfRule>
    <cfRule type="containsText" dxfId="287" priority="2494" operator="containsText" text="X">
      <formula>NOT(ISERROR(SEARCH(("X"),(AK12))))</formula>
    </cfRule>
    <cfRule type="containsText" dxfId="286" priority="2495" operator="containsText" text="L">
      <formula>NOT(ISERROR(SEARCH(("L"),(AK12))))</formula>
    </cfRule>
    <cfRule type="containsText" dxfId="285" priority="2988" operator="containsText" text="O">
      <formula>NOT(ISERROR(SEARCH(("O"),(AK12))))</formula>
    </cfRule>
    <cfRule type="containsText" dxfId="284" priority="2989" operator="containsText" text="C">
      <formula>NOT(ISERROR(SEARCH(("C"),(AK12))))</formula>
    </cfRule>
    <cfRule type="containsText" dxfId="283" priority="2990" operator="containsText" text="P">
      <formula>NOT(ISERROR(SEARCH(("P"),(AK12))))</formula>
    </cfRule>
    <cfRule type="containsText" dxfId="282" priority="2991" operator="containsText" text="K">
      <formula>NOT(ISERROR(SEARCH(("K"),(AK12))))</formula>
    </cfRule>
    <cfRule type="containsText" dxfId="281" priority="2992" operator="containsText" text="X">
      <formula>NOT(ISERROR(SEARCH(("X"),(AK12))))</formula>
    </cfRule>
    <cfRule type="containsText" dxfId="280" priority="2993" operator="containsText" text="L">
      <formula>NOT(ISERROR(SEARCH(("L"),(AK12))))</formula>
    </cfRule>
  </conditionalFormatting>
  <conditionalFormatting sqref="AK12:AL13">
    <cfRule type="containsText" dxfId="279" priority="2301" operator="containsText" text="N">
      <formula>NOT(ISERROR(SEARCH(("N"),(AK12))))</formula>
    </cfRule>
    <cfRule type="containsText" dxfId="278" priority="2302" operator="containsText" text="O">
      <formula>NOT(ISERROR(SEARCH(("O"),(AK12))))</formula>
    </cfRule>
    <cfRule type="containsText" dxfId="277" priority="2303" operator="containsText" text="C">
      <formula>NOT(ISERROR(SEARCH(("C"),(AK12))))</formula>
    </cfRule>
    <cfRule type="containsText" dxfId="276" priority="2304" operator="containsText" text="P">
      <formula>NOT(ISERROR(SEARCH(("P"),(AK12))))</formula>
    </cfRule>
    <cfRule type="containsText" dxfId="275" priority="2305" operator="containsText" text="K">
      <formula>NOT(ISERROR(SEARCH(("K"),(AK12))))</formula>
    </cfRule>
    <cfRule type="containsText" dxfId="274" priority="2306" operator="containsText" text="X">
      <formula>NOT(ISERROR(SEARCH(("X"),(AK12))))</formula>
    </cfRule>
    <cfRule type="containsText" dxfId="273" priority="2307" operator="containsText" text="L">
      <formula>NOT(ISERROR(SEARCH(("L"),(AK12))))</formula>
    </cfRule>
  </conditionalFormatting>
  <conditionalFormatting sqref="AK13:AL13">
    <cfRule type="containsText" dxfId="272" priority="2281" operator="containsText" text="O">
      <formula>NOT(ISERROR(SEARCH(("O"),(AK13))))</formula>
    </cfRule>
    <cfRule type="containsText" dxfId="271" priority="2282" operator="containsText" text="C">
      <formula>NOT(ISERROR(SEARCH(("C"),(AK13))))</formula>
    </cfRule>
    <cfRule type="containsText" dxfId="270" priority="2283" operator="containsText" text="P">
      <formula>NOT(ISERROR(SEARCH(("P"),(AK13))))</formula>
    </cfRule>
    <cfRule type="containsText" dxfId="269" priority="2284" operator="containsText" text="K">
      <formula>NOT(ISERROR(SEARCH(("K"),(AK13))))</formula>
    </cfRule>
    <cfRule type="containsText" dxfId="268" priority="2285" operator="containsText" text="X">
      <formula>NOT(ISERROR(SEARCH(("X"),(AK13))))</formula>
    </cfRule>
    <cfRule type="containsText" dxfId="267" priority="2286" operator="containsText" text="L">
      <formula>NOT(ISERROR(SEARCH(("L"),(AK13))))</formula>
    </cfRule>
    <cfRule type="containsText" dxfId="266" priority="2287" operator="containsText" text="O">
      <formula>NOT(ISERROR(SEARCH(("O"),(AK13))))</formula>
    </cfRule>
    <cfRule type="containsText" dxfId="265" priority="2288" operator="containsText" text="C">
      <formula>NOT(ISERROR(SEARCH(("C"),(AK13))))</formula>
    </cfRule>
    <cfRule type="containsText" dxfId="264" priority="2289" operator="containsText" text="P">
      <formula>NOT(ISERROR(SEARCH(("P"),(AK13))))</formula>
    </cfRule>
    <cfRule type="containsText" dxfId="263" priority="2290" operator="containsText" text="K">
      <formula>NOT(ISERROR(SEARCH(("K"),(AK13))))</formula>
    </cfRule>
    <cfRule type="containsText" dxfId="262" priority="2291" operator="containsText" text="X">
      <formula>NOT(ISERROR(SEARCH(("X"),(AK13))))</formula>
    </cfRule>
    <cfRule type="containsText" dxfId="261" priority="2292" operator="containsText" text="L">
      <formula>NOT(ISERROR(SEARCH(("L"),(AK13))))</formula>
    </cfRule>
    <cfRule type="containsText" dxfId="260" priority="2293" operator="containsText" text="N">
      <formula>NOT(ISERROR(SEARCH(("N"),(AK13))))</formula>
    </cfRule>
    <cfRule type="containsText" dxfId="259" priority="2295" operator="containsText" text="O">
      <formula>NOT(ISERROR(SEARCH(("O"),(AK13))))</formula>
    </cfRule>
    <cfRule type="containsText" dxfId="258" priority="2296" operator="containsText" text="C">
      <formula>NOT(ISERROR(SEARCH(("C"),(AK13))))</formula>
    </cfRule>
    <cfRule type="containsText" dxfId="257" priority="2297" operator="containsText" text="P">
      <formula>NOT(ISERROR(SEARCH(("P"),(AK13))))</formula>
    </cfRule>
    <cfRule type="containsText" dxfId="256" priority="2298" operator="containsText" text="K">
      <formula>NOT(ISERROR(SEARCH(("K"),(AK13))))</formula>
    </cfRule>
    <cfRule type="containsText" dxfId="255" priority="2299" operator="containsText" text="X">
      <formula>NOT(ISERROR(SEARCH(("X"),(AK13))))</formula>
    </cfRule>
    <cfRule type="containsText" dxfId="254" priority="2300" operator="containsText" text="L">
      <formula>NOT(ISERROR(SEARCH(("L"),(AK13))))</formula>
    </cfRule>
  </conditionalFormatting>
  <conditionalFormatting sqref="AK13:AL14 H14:M14">
    <cfRule type="containsText" dxfId="253" priority="1999" operator="containsText" text="N">
      <formula>NOT(ISERROR(SEARCH(("N"),(H13))))</formula>
    </cfRule>
  </conditionalFormatting>
  <conditionalFormatting sqref="AK14:AL14">
    <cfRule type="containsText" dxfId="252" priority="1985" operator="containsText" text="N">
      <formula>NOT(ISERROR(SEARCH(("N"),(AK14))))</formula>
    </cfRule>
    <cfRule type="containsText" dxfId="251" priority="1986" operator="containsText" text="O">
      <formula>NOT(ISERROR(SEARCH(("O"),(AK14))))</formula>
    </cfRule>
    <cfRule type="containsText" dxfId="250" priority="1987" operator="containsText" text="C">
      <formula>NOT(ISERROR(SEARCH(("C"),(AK14))))</formula>
    </cfRule>
    <cfRule type="containsText" dxfId="249" priority="1988" operator="containsText" text="P">
      <formula>NOT(ISERROR(SEARCH(("P"),(AK14))))</formula>
    </cfRule>
    <cfRule type="containsText" dxfId="248" priority="1989" operator="containsText" text="K">
      <formula>NOT(ISERROR(SEARCH(("K"),(AK14))))</formula>
    </cfRule>
    <cfRule type="containsText" dxfId="247" priority="1990" operator="containsText" text="X">
      <formula>NOT(ISERROR(SEARCH(("X"),(AK14))))</formula>
    </cfRule>
  </conditionalFormatting>
  <conditionalFormatting sqref="AK15:AL16">
    <cfRule type="containsText" dxfId="246" priority="2273" operator="containsText" text="N">
      <formula>NOT(ISERROR(SEARCH(("N"),(AK15))))</formula>
    </cfRule>
    <cfRule type="containsText" dxfId="245" priority="2274" operator="containsText" text="O">
      <formula>NOT(ISERROR(SEARCH(("O"),(AK15))))</formula>
    </cfRule>
    <cfRule type="containsText" dxfId="244" priority="2275" operator="containsText" text="C">
      <formula>NOT(ISERROR(SEARCH(("C"),(AK15))))</formula>
    </cfRule>
    <cfRule type="containsText" dxfId="243" priority="2276" operator="containsText" text="P">
      <formula>NOT(ISERROR(SEARCH(("P"),(AK15))))</formula>
    </cfRule>
    <cfRule type="containsText" dxfId="242" priority="2277" operator="containsText" text="K">
      <formula>NOT(ISERROR(SEARCH(("K"),(AK15))))</formula>
    </cfRule>
    <cfRule type="containsText" dxfId="241" priority="2278" operator="containsText" text="X">
      <formula>NOT(ISERROR(SEARCH(("X"),(AK15))))</formula>
    </cfRule>
    <cfRule type="containsText" dxfId="240" priority="2279" operator="containsText" text="L">
      <formula>NOT(ISERROR(SEARCH(("L"),(AK15))))</formula>
    </cfRule>
  </conditionalFormatting>
  <conditionalFormatting sqref="AK16:AL16">
    <cfRule type="containsText" dxfId="239" priority="1246" operator="containsText" text="O">
      <formula>NOT(ISERROR(SEARCH(("O"),(AK16))))</formula>
    </cfRule>
    <cfRule type="containsText" dxfId="238" priority="1247" operator="containsText" text="C">
      <formula>NOT(ISERROR(SEARCH(("C"),(AK16))))</formula>
    </cfRule>
    <cfRule type="containsText" dxfId="237" priority="1248" operator="containsText" text="P">
      <formula>NOT(ISERROR(SEARCH(("P"),(AK16))))</formula>
    </cfRule>
    <cfRule type="containsText" dxfId="236" priority="1249" operator="containsText" text="K">
      <formula>NOT(ISERROR(SEARCH(("K"),(AK16))))</formula>
    </cfRule>
    <cfRule type="containsText" dxfId="235" priority="1250" operator="containsText" text="X">
      <formula>NOT(ISERROR(SEARCH(("X"),(AK16))))</formula>
    </cfRule>
    <cfRule type="containsText" dxfId="234" priority="1251" operator="containsText" text="L">
      <formula>NOT(ISERROR(SEARCH(("L"),(AK16))))</formula>
    </cfRule>
    <cfRule type="containsText" dxfId="233" priority="1252" operator="containsText" text="N">
      <formula>NOT(ISERROR(SEARCH(("N"),(AK16))))</formula>
    </cfRule>
    <cfRule type="containsText" dxfId="232" priority="1253" operator="containsText" text="O">
      <formula>NOT(ISERROR(SEARCH(("O"),(AK16))))</formula>
    </cfRule>
    <cfRule type="containsText" dxfId="231" priority="1254" operator="containsText" text="C">
      <formula>NOT(ISERROR(SEARCH(("C"),(AK16))))</formula>
    </cfRule>
    <cfRule type="containsText" dxfId="230" priority="1255" operator="containsText" text="P">
      <formula>NOT(ISERROR(SEARCH(("P"),(AK16))))</formula>
    </cfRule>
    <cfRule type="containsText" dxfId="229" priority="1256" operator="containsText" text="K">
      <formula>NOT(ISERROR(SEARCH(("K"),(AK16))))</formula>
    </cfRule>
    <cfRule type="containsText" dxfId="228" priority="1257" operator="containsText" text="X">
      <formula>NOT(ISERROR(SEARCH(("X"),(AK16))))</formula>
    </cfRule>
    <cfRule type="containsText" dxfId="227" priority="1258" operator="containsText" text="L">
      <formula>NOT(ISERROR(SEARCH(("L"),(AK16))))</formula>
    </cfRule>
    <cfRule type="containsText" dxfId="226" priority="1259" operator="containsText" text="O">
      <formula>NOT(ISERROR(SEARCH(("O"),(AK16))))</formula>
    </cfRule>
    <cfRule type="containsText" dxfId="225" priority="1260" operator="containsText" text="C">
      <formula>NOT(ISERROR(SEARCH(("C"),(AK16))))</formula>
    </cfRule>
    <cfRule type="containsText" dxfId="224" priority="1261" operator="containsText" text="P">
      <formula>NOT(ISERROR(SEARCH(("P"),(AK16))))</formula>
    </cfRule>
    <cfRule type="containsText" dxfId="223" priority="1262" operator="containsText" text="K">
      <formula>NOT(ISERROR(SEARCH(("K"),(AK16))))</formula>
    </cfRule>
    <cfRule type="containsText" dxfId="222" priority="1263" operator="containsText" text="X">
      <formula>NOT(ISERROR(SEARCH(("X"),(AK16))))</formula>
    </cfRule>
    <cfRule type="containsText" dxfId="221" priority="1264" operator="containsText" text="L">
      <formula>NOT(ISERROR(SEARCH(("L"),(AK16))))</formula>
    </cfRule>
    <cfRule type="containsText" dxfId="220" priority="1265" operator="containsText" text="N">
      <formula>NOT(ISERROR(SEARCH(("N"),(AK16))))</formula>
    </cfRule>
    <cfRule type="containsText" dxfId="219" priority="1279" operator="containsText" text="O">
      <formula>NOT(ISERROR(SEARCH(("O"),(AK16))))</formula>
    </cfRule>
    <cfRule type="containsText" dxfId="218" priority="1280" operator="containsText" text="C">
      <formula>NOT(ISERROR(SEARCH(("C"),(AK16))))</formula>
    </cfRule>
    <cfRule type="containsText" dxfId="217" priority="1281" operator="containsText" text="P">
      <formula>NOT(ISERROR(SEARCH(("P"),(AK16))))</formula>
    </cfRule>
    <cfRule type="containsText" dxfId="216" priority="1282" operator="containsText" text="K">
      <formula>NOT(ISERROR(SEARCH(("K"),(AK16))))</formula>
    </cfRule>
    <cfRule type="containsText" dxfId="215" priority="1283" operator="containsText" text="X">
      <formula>NOT(ISERROR(SEARCH(("X"),(AK16))))</formula>
    </cfRule>
    <cfRule type="containsText" dxfId="214" priority="2259" operator="containsText" text="O">
      <formula>NOT(ISERROR(SEARCH(("O"),(AK16))))</formula>
    </cfRule>
    <cfRule type="containsText" dxfId="213" priority="2260" operator="containsText" text="C">
      <formula>NOT(ISERROR(SEARCH(("C"),(AK16))))</formula>
    </cfRule>
    <cfRule type="containsText" dxfId="212" priority="2261" operator="containsText" text="P">
      <formula>NOT(ISERROR(SEARCH(("P"),(AK16))))</formula>
    </cfRule>
    <cfRule type="containsText" dxfId="211" priority="2262" operator="containsText" text="K">
      <formula>NOT(ISERROR(SEARCH(("K"),(AK16))))</formula>
    </cfRule>
    <cfRule type="containsText" dxfId="210" priority="2263" operator="containsText" text="X">
      <formula>NOT(ISERROR(SEARCH(("X"),(AK16))))</formula>
    </cfRule>
    <cfRule type="containsText" dxfId="209" priority="2264" operator="containsText" text="L">
      <formula>NOT(ISERROR(SEARCH(("L"),(AK16))))</formula>
    </cfRule>
    <cfRule type="containsText" dxfId="208" priority="2265" operator="containsText" text="N">
      <formula>NOT(ISERROR(SEARCH(("N"),(AK16))))</formula>
    </cfRule>
    <cfRule type="containsText" dxfId="207" priority="2267" operator="containsText" text="O">
      <formula>NOT(ISERROR(SEARCH(("O"),(AK16))))</formula>
    </cfRule>
    <cfRule type="containsText" dxfId="206" priority="2268" operator="containsText" text="C">
      <formula>NOT(ISERROR(SEARCH(("C"),(AK16))))</formula>
    </cfRule>
    <cfRule type="containsText" dxfId="205" priority="2269" operator="containsText" text="P">
      <formula>NOT(ISERROR(SEARCH(("P"),(AK16))))</formula>
    </cfRule>
    <cfRule type="containsText" dxfId="204" priority="2270" operator="containsText" text="K">
      <formula>NOT(ISERROR(SEARCH(("K"),(AK16))))</formula>
    </cfRule>
    <cfRule type="containsText" dxfId="203" priority="2271" operator="containsText" text="X">
      <formula>NOT(ISERROR(SEARCH(("X"),(AK16))))</formula>
    </cfRule>
    <cfRule type="containsText" dxfId="202" priority="2272" operator="containsText" text="L">
      <formula>NOT(ISERROR(SEARCH(("L"),(AK16))))</formula>
    </cfRule>
  </conditionalFormatting>
  <conditionalFormatting sqref="AK16:AL17">
    <cfRule type="containsText" dxfId="201" priority="2245" operator="containsText" text="N">
      <formula>NOT(ISERROR(SEARCH(("N"),(AK16))))</formula>
    </cfRule>
    <cfRule type="containsText" dxfId="200" priority="2246" operator="containsText" text="O">
      <formula>NOT(ISERROR(SEARCH(("O"),(AK16))))</formula>
    </cfRule>
    <cfRule type="containsText" dxfId="199" priority="2247" operator="containsText" text="C">
      <formula>NOT(ISERROR(SEARCH(("C"),(AK16))))</formula>
    </cfRule>
    <cfRule type="containsText" dxfId="198" priority="2248" operator="containsText" text="P">
      <formula>NOT(ISERROR(SEARCH(("P"),(AK16))))</formula>
    </cfRule>
    <cfRule type="containsText" dxfId="197" priority="2249" operator="containsText" text="K">
      <formula>NOT(ISERROR(SEARCH(("K"),(AK16))))</formula>
    </cfRule>
    <cfRule type="containsText" dxfId="196" priority="2250" operator="containsText" text="X">
      <formula>NOT(ISERROR(SEARCH(("X"),(AK16))))</formula>
    </cfRule>
    <cfRule type="containsText" dxfId="195" priority="2251" operator="containsText" text="L">
      <formula>NOT(ISERROR(SEARCH(("L"),(AK16))))</formula>
    </cfRule>
  </conditionalFormatting>
  <conditionalFormatting sqref="AK17:AL17">
    <cfRule type="containsText" dxfId="194" priority="1370" operator="containsText" text="O">
      <formula>NOT(ISERROR(SEARCH(("O"),(AK17))))</formula>
    </cfRule>
    <cfRule type="containsText" dxfId="193" priority="1371" operator="containsText" text="C">
      <formula>NOT(ISERROR(SEARCH(("C"),(AK17))))</formula>
    </cfRule>
    <cfRule type="containsText" dxfId="192" priority="1372" operator="containsText" text="P">
      <formula>NOT(ISERROR(SEARCH(("P"),(AK17))))</formula>
    </cfRule>
    <cfRule type="containsText" dxfId="191" priority="1373" operator="containsText" text="K">
      <formula>NOT(ISERROR(SEARCH(("K"),(AK17))))</formula>
    </cfRule>
    <cfRule type="containsText" dxfId="190" priority="1374" operator="containsText" text="X">
      <formula>NOT(ISERROR(SEARCH(("X"),(AK17))))</formula>
    </cfRule>
    <cfRule type="containsText" dxfId="189" priority="1375" operator="containsText" text="L">
      <formula>NOT(ISERROR(SEARCH(("L"),(AK17))))</formula>
    </cfRule>
    <cfRule type="containsText" dxfId="188" priority="1376" operator="containsText" text="N">
      <formula>NOT(ISERROR(SEARCH(("N"),(AK17))))</formula>
    </cfRule>
    <cfRule type="containsText" dxfId="187" priority="1377" operator="containsText" text="O">
      <formula>NOT(ISERROR(SEARCH(("O"),(AK17))))</formula>
    </cfRule>
    <cfRule type="containsText" dxfId="186" priority="1378" operator="containsText" text="C">
      <formula>NOT(ISERROR(SEARCH(("C"),(AK17))))</formula>
    </cfRule>
    <cfRule type="containsText" dxfId="185" priority="1379" operator="containsText" text="P">
      <formula>NOT(ISERROR(SEARCH(("P"),(AK17))))</formula>
    </cfRule>
    <cfRule type="containsText" dxfId="184" priority="1380" operator="containsText" text="K">
      <formula>NOT(ISERROR(SEARCH(("K"),(AK17))))</formula>
    </cfRule>
    <cfRule type="containsText" dxfId="183" priority="1381" operator="containsText" text="X">
      <formula>NOT(ISERROR(SEARCH(("X"),(AK17))))</formula>
    </cfRule>
    <cfRule type="containsText" dxfId="182" priority="1382" operator="containsText" text="L">
      <formula>NOT(ISERROR(SEARCH(("L"),(AK17))))</formula>
    </cfRule>
    <cfRule type="containsText" dxfId="181" priority="1383" operator="containsText" text="O">
      <formula>NOT(ISERROR(SEARCH(("O"),(AK17))))</formula>
    </cfRule>
    <cfRule type="containsText" dxfId="180" priority="1384" operator="containsText" text="C">
      <formula>NOT(ISERROR(SEARCH(("C"),(AK17))))</formula>
    </cfRule>
    <cfRule type="containsText" dxfId="179" priority="1385" operator="containsText" text="P">
      <formula>NOT(ISERROR(SEARCH(("P"),(AK17))))</formula>
    </cfRule>
    <cfRule type="containsText" dxfId="178" priority="1386" operator="containsText" text="K">
      <formula>NOT(ISERROR(SEARCH(("K"),(AK17))))</formula>
    </cfRule>
    <cfRule type="containsText" dxfId="177" priority="1387" operator="containsText" text="X">
      <formula>NOT(ISERROR(SEARCH(("X"),(AK17))))</formula>
    </cfRule>
    <cfRule type="containsText" dxfId="176" priority="1388" operator="containsText" text="L">
      <formula>NOT(ISERROR(SEARCH(("L"),(AK17))))</formula>
    </cfRule>
    <cfRule type="containsText" dxfId="175" priority="2231" operator="containsText" text="O">
      <formula>NOT(ISERROR(SEARCH(("O"),(AK17))))</formula>
    </cfRule>
    <cfRule type="containsText" dxfId="174" priority="2232" operator="containsText" text="C">
      <formula>NOT(ISERROR(SEARCH(("C"),(AK17))))</formula>
    </cfRule>
    <cfRule type="containsText" dxfId="173" priority="2233" operator="containsText" text="P">
      <formula>NOT(ISERROR(SEARCH(("P"),(AK17))))</formula>
    </cfRule>
    <cfRule type="containsText" dxfId="172" priority="2234" operator="containsText" text="K">
      <formula>NOT(ISERROR(SEARCH(("K"),(AK17))))</formula>
    </cfRule>
    <cfRule type="containsText" dxfId="171" priority="2235" operator="containsText" text="X">
      <formula>NOT(ISERROR(SEARCH(("X"),(AK17))))</formula>
    </cfRule>
    <cfRule type="containsText" dxfId="170" priority="2236" operator="containsText" text="L">
      <formula>NOT(ISERROR(SEARCH(("L"),(AK17))))</formula>
    </cfRule>
    <cfRule type="containsText" dxfId="169" priority="2237" operator="containsText" text="N">
      <formula>NOT(ISERROR(SEARCH(("N"),(AK17))))</formula>
    </cfRule>
    <cfRule type="containsText" dxfId="168" priority="2239" operator="containsText" text="O">
      <formula>NOT(ISERROR(SEARCH(("O"),(AK17))))</formula>
    </cfRule>
    <cfRule type="containsText" dxfId="167" priority="2240" operator="containsText" text="C">
      <formula>NOT(ISERROR(SEARCH(("C"),(AK17))))</formula>
    </cfRule>
    <cfRule type="containsText" dxfId="166" priority="2241" operator="containsText" text="P">
      <formula>NOT(ISERROR(SEARCH(("P"),(AK17))))</formula>
    </cfRule>
    <cfRule type="containsText" dxfId="165" priority="2242" operator="containsText" text="K">
      <formula>NOT(ISERROR(SEARCH(("K"),(AK17))))</formula>
    </cfRule>
    <cfRule type="containsText" dxfId="164" priority="2243" operator="containsText" text="X">
      <formula>NOT(ISERROR(SEARCH(("X"),(AK17))))</formula>
    </cfRule>
    <cfRule type="containsText" dxfId="163" priority="2244" operator="containsText" text="L">
      <formula>NOT(ISERROR(SEARCH(("L"),(AK17))))</formula>
    </cfRule>
  </conditionalFormatting>
  <conditionalFormatting sqref="AK17:AL18">
    <cfRule type="containsText" dxfId="162" priority="1389" operator="containsText" text="N">
      <formula>NOT(ISERROR(SEARCH(("N"),(AK17))))</formula>
    </cfRule>
    <cfRule type="containsText" dxfId="161" priority="1403" operator="containsText" text="O">
      <formula>NOT(ISERROR(SEARCH(("O"),(AK17))))</formula>
    </cfRule>
    <cfRule type="containsText" dxfId="160" priority="1404" operator="containsText" text="C">
      <formula>NOT(ISERROR(SEARCH(("C"),(AK17))))</formula>
    </cfRule>
    <cfRule type="containsText" dxfId="159" priority="1405" operator="containsText" text="P">
      <formula>NOT(ISERROR(SEARCH(("P"),(AK17))))</formula>
    </cfRule>
    <cfRule type="containsText" dxfId="158" priority="1406" operator="containsText" text="K">
      <formula>NOT(ISERROR(SEARCH(("K"),(AK17))))</formula>
    </cfRule>
    <cfRule type="containsText" dxfId="157" priority="1407" operator="containsText" text="X">
      <formula>NOT(ISERROR(SEARCH(("X"),(AK17))))</formula>
    </cfRule>
    <cfRule type="containsText" dxfId="156" priority="2217" operator="containsText" text="N">
      <formula>NOT(ISERROR(SEARCH(("N"),(AK17))))</formula>
    </cfRule>
    <cfRule type="containsText" dxfId="155" priority="2218" operator="containsText" text="O">
      <formula>NOT(ISERROR(SEARCH(("O"),(AK17))))</formula>
    </cfRule>
    <cfRule type="containsText" dxfId="154" priority="2219" operator="containsText" text="C">
      <formula>NOT(ISERROR(SEARCH(("C"),(AK17))))</formula>
    </cfRule>
    <cfRule type="containsText" dxfId="153" priority="2220" operator="containsText" text="P">
      <formula>NOT(ISERROR(SEARCH(("P"),(AK17))))</formula>
    </cfRule>
    <cfRule type="containsText" dxfId="152" priority="2221" operator="containsText" text="K">
      <formula>NOT(ISERROR(SEARCH(("K"),(AK17))))</formula>
    </cfRule>
    <cfRule type="containsText" dxfId="151" priority="2222" operator="containsText" text="X">
      <formula>NOT(ISERROR(SEARCH(("X"),(AK17))))</formula>
    </cfRule>
    <cfRule type="containsText" dxfId="150" priority="2223" operator="containsText" text="L">
      <formula>NOT(ISERROR(SEARCH(("L"),(AK17))))</formula>
    </cfRule>
  </conditionalFormatting>
  <conditionalFormatting sqref="AK18:AL18">
    <cfRule type="containsText" dxfId="149" priority="2202" operator="containsText" text="L">
      <formula>NOT(ISERROR(SEARCH(("L"),(AK18))))</formula>
    </cfRule>
    <cfRule type="containsText" dxfId="148" priority="2203" operator="containsText" text="O">
      <formula>NOT(ISERROR(SEARCH(("O"),(AK18))))</formula>
    </cfRule>
    <cfRule type="containsText" dxfId="147" priority="2204" operator="containsText" text="C">
      <formula>NOT(ISERROR(SEARCH(("C"),(AK18))))</formula>
    </cfRule>
    <cfRule type="containsText" dxfId="146" priority="2205" operator="containsText" text="P">
      <formula>NOT(ISERROR(SEARCH(("P"),(AK18))))</formula>
    </cfRule>
    <cfRule type="containsText" dxfId="145" priority="2206" operator="containsText" text="K">
      <formula>NOT(ISERROR(SEARCH(("K"),(AK18))))</formula>
    </cfRule>
    <cfRule type="containsText" dxfId="144" priority="2207" operator="containsText" text="X">
      <formula>NOT(ISERROR(SEARCH(("X"),(AK18))))</formula>
    </cfRule>
    <cfRule type="containsText" dxfId="143" priority="2208" operator="containsText" text="L">
      <formula>NOT(ISERROR(SEARCH(("L"),(AK18))))</formula>
    </cfRule>
    <cfRule type="containsText" dxfId="142" priority="2209" operator="containsText" text="N">
      <formula>NOT(ISERROR(SEARCH(("N"),(AK18))))</formula>
    </cfRule>
    <cfRule type="containsText" dxfId="141" priority="2211" operator="containsText" text="O">
      <formula>NOT(ISERROR(SEARCH(("O"),(AK18))))</formula>
    </cfRule>
    <cfRule type="containsText" dxfId="140" priority="2212" operator="containsText" text="C">
      <formula>NOT(ISERROR(SEARCH(("C"),(AK18))))</formula>
    </cfRule>
    <cfRule type="containsText" dxfId="139" priority="2213" operator="containsText" text="P">
      <formula>NOT(ISERROR(SEARCH(("P"),(AK18))))</formula>
    </cfRule>
    <cfRule type="containsText" dxfId="138" priority="2214" operator="containsText" text="K">
      <formula>NOT(ISERROR(SEARCH(("K"),(AK18))))</formula>
    </cfRule>
    <cfRule type="containsText" dxfId="137" priority="2215" operator="containsText" text="X">
      <formula>NOT(ISERROR(SEARCH(("X"),(AK18))))</formula>
    </cfRule>
    <cfRule type="containsText" dxfId="136" priority="2216" operator="containsText" text="L">
      <formula>NOT(ISERROR(SEARCH(("L"),(AK18))))</formula>
    </cfRule>
  </conditionalFormatting>
  <conditionalFormatting sqref="AK19:AL21">
    <cfRule type="containsText" dxfId="135" priority="2517" operator="containsText" text="N">
      <formula>NOT(ISERROR(SEARCH(("N"),(AK19))))</formula>
    </cfRule>
    <cfRule type="containsText" dxfId="134" priority="2519" operator="containsText" text="O">
      <formula>NOT(ISERROR(SEARCH(("O"),(AK19))))</formula>
    </cfRule>
    <cfRule type="containsText" dxfId="133" priority="2520" operator="containsText" text="C">
      <formula>NOT(ISERROR(SEARCH(("C"),(AK19))))</formula>
    </cfRule>
    <cfRule type="containsText" dxfId="132" priority="2521" operator="containsText" text="P">
      <formula>NOT(ISERROR(SEARCH(("P"),(AK19))))</formula>
    </cfRule>
    <cfRule type="containsText" dxfId="131" priority="2522" operator="containsText" text="K">
      <formula>NOT(ISERROR(SEARCH(("K"),(AK19))))</formula>
    </cfRule>
    <cfRule type="containsText" dxfId="130" priority="2523" operator="containsText" text="X">
      <formula>NOT(ISERROR(SEARCH(("X"),(AK19))))</formula>
    </cfRule>
    <cfRule type="containsText" dxfId="129" priority="2524" operator="containsText" text="L">
      <formula>NOT(ISERROR(SEARCH(("L"),(AK19))))</formula>
    </cfRule>
  </conditionalFormatting>
  <conditionalFormatting sqref="AK20:AL21">
    <cfRule type="containsText" dxfId="128" priority="2511" operator="containsText" text="O">
      <formula>NOT(ISERROR(SEARCH(("O"),(AK20))))</formula>
    </cfRule>
    <cfRule type="containsText" dxfId="127" priority="2512" operator="containsText" text="C">
      <formula>NOT(ISERROR(SEARCH(("C"),(AK20))))</formula>
    </cfRule>
    <cfRule type="containsText" dxfId="126" priority="2513" operator="containsText" text="P">
      <formula>NOT(ISERROR(SEARCH(("P"),(AK20))))</formula>
    </cfRule>
    <cfRule type="containsText" dxfId="125" priority="2514" operator="containsText" text="K">
      <formula>NOT(ISERROR(SEARCH(("K"),(AK20))))</formula>
    </cfRule>
    <cfRule type="containsText" dxfId="124" priority="2515" operator="containsText" text="X">
      <formula>NOT(ISERROR(SEARCH(("X"),(AK20))))</formula>
    </cfRule>
    <cfRule type="containsText" dxfId="123" priority="2516" operator="containsText" text="L">
      <formula>NOT(ISERROR(SEARCH(("L"),(AK20))))</formula>
    </cfRule>
  </conditionalFormatting>
  <conditionalFormatting sqref="AK20:AL22">
    <cfRule type="containsText" dxfId="122" priority="2371" operator="containsText" text="N">
      <formula>NOT(ISERROR(SEARCH(("N"),(AK20))))</formula>
    </cfRule>
    <cfRule type="containsText" dxfId="121" priority="2373" operator="containsText" text="O">
      <formula>NOT(ISERROR(SEARCH(("O"),(AK20))))</formula>
    </cfRule>
    <cfRule type="containsText" dxfId="120" priority="2374" operator="containsText" text="C">
      <formula>NOT(ISERROR(SEARCH(("C"),(AK20))))</formula>
    </cfRule>
    <cfRule type="containsText" dxfId="119" priority="2375" operator="containsText" text="P">
      <formula>NOT(ISERROR(SEARCH(("P"),(AK20))))</formula>
    </cfRule>
    <cfRule type="containsText" dxfId="118" priority="2376" operator="containsText" text="K">
      <formula>NOT(ISERROR(SEARCH(("K"),(AK20))))</formula>
    </cfRule>
    <cfRule type="containsText" dxfId="117" priority="2377" operator="containsText" text="X">
      <formula>NOT(ISERROR(SEARCH(("X"),(AK20))))</formula>
    </cfRule>
    <cfRule type="containsText" dxfId="116" priority="2378" operator="containsText" text="L">
      <formula>NOT(ISERROR(SEARCH(("L"),(AK20))))</formula>
    </cfRule>
  </conditionalFormatting>
  <conditionalFormatting sqref="AK22:AL22">
    <cfRule type="containsText" dxfId="115" priority="2365" operator="containsText" text="O">
      <formula>NOT(ISERROR(SEARCH(("O"),(AK22))))</formula>
    </cfRule>
    <cfRule type="containsText" dxfId="114" priority="2366" operator="containsText" text="C">
      <formula>NOT(ISERROR(SEARCH(("C"),(AK22))))</formula>
    </cfRule>
    <cfRule type="containsText" dxfId="113" priority="2367" operator="containsText" text="P">
      <formula>NOT(ISERROR(SEARCH(("P"),(AK22))))</formula>
    </cfRule>
    <cfRule type="containsText" dxfId="112" priority="2368" operator="containsText" text="K">
      <formula>NOT(ISERROR(SEARCH(("K"),(AK22))))</formula>
    </cfRule>
    <cfRule type="containsText" dxfId="111" priority="2369" operator="containsText" text="X">
      <formula>NOT(ISERROR(SEARCH(("X"),(AK22))))</formula>
    </cfRule>
    <cfRule type="containsText" dxfId="110" priority="2370" operator="containsText" text="L">
      <formula>NOT(ISERROR(SEARCH(("L"),(AK22))))</formula>
    </cfRule>
  </conditionalFormatting>
  <conditionalFormatting sqref="AK22:AL27">
    <cfRule type="containsText" dxfId="109" priority="2322" operator="containsText" text="N">
      <formula>NOT(ISERROR(SEARCH(("N"),(AK22))))</formula>
    </cfRule>
    <cfRule type="containsText" dxfId="108" priority="2324" operator="containsText" text="O">
      <formula>NOT(ISERROR(SEARCH(("O"),(AK22))))</formula>
    </cfRule>
    <cfRule type="containsText" dxfId="107" priority="2325" operator="containsText" text="C">
      <formula>NOT(ISERROR(SEARCH(("C"),(AK22))))</formula>
    </cfRule>
    <cfRule type="containsText" dxfId="106" priority="2326" operator="containsText" text="P">
      <formula>NOT(ISERROR(SEARCH(("P"),(AK22))))</formula>
    </cfRule>
    <cfRule type="containsText" dxfId="105" priority="2327" operator="containsText" text="K">
      <formula>NOT(ISERROR(SEARCH(("K"),(AK22))))</formula>
    </cfRule>
    <cfRule type="containsText" dxfId="104" priority="2328" operator="containsText" text="X">
      <formula>NOT(ISERROR(SEARCH(("X"),(AK22))))</formula>
    </cfRule>
    <cfRule type="containsText" dxfId="103" priority="2329" operator="containsText" text="L">
      <formula>NOT(ISERROR(SEARCH(("L"),(AK22))))</formula>
    </cfRule>
  </conditionalFormatting>
  <conditionalFormatting sqref="AK23:AL23">
    <cfRule type="containsText" dxfId="102" priority="1066" operator="containsText" text="O">
      <formula>NOT(ISERROR(SEARCH(("O"),(AK23))))</formula>
    </cfRule>
    <cfRule type="containsText" dxfId="101" priority="1067" operator="containsText" text="C">
      <formula>NOT(ISERROR(SEARCH(("C"),(AK23))))</formula>
    </cfRule>
    <cfRule type="containsText" dxfId="100" priority="1068" operator="containsText" text="P">
      <formula>NOT(ISERROR(SEARCH(("P"),(AK23))))</formula>
    </cfRule>
    <cfRule type="containsText" dxfId="99" priority="1069" operator="containsText" text="K">
      <formula>NOT(ISERROR(SEARCH(("K"),(AK23))))</formula>
    </cfRule>
    <cfRule type="containsText" dxfId="98" priority="1070" operator="containsText" text="X">
      <formula>NOT(ISERROR(SEARCH(("X"),(AK23))))</formula>
    </cfRule>
    <cfRule type="containsText" dxfId="97" priority="1071" operator="containsText" text="L">
      <formula>NOT(ISERROR(SEARCH(("L"),(AK23))))</formula>
    </cfRule>
    <cfRule type="containsText" dxfId="96" priority="1072" operator="containsText" text="N">
      <formula>NOT(ISERROR(SEARCH(("N"),(AK23))))</formula>
    </cfRule>
    <cfRule type="containsText" dxfId="95" priority="1073" operator="containsText" text="O">
      <formula>NOT(ISERROR(SEARCH(("O"),(AK23))))</formula>
    </cfRule>
    <cfRule type="containsText" dxfId="94" priority="1074" operator="containsText" text="C">
      <formula>NOT(ISERROR(SEARCH(("C"),(AK23))))</formula>
    </cfRule>
    <cfRule type="containsText" dxfId="93" priority="1075" operator="containsText" text="P">
      <formula>NOT(ISERROR(SEARCH(("P"),(AK23))))</formula>
    </cfRule>
    <cfRule type="containsText" dxfId="92" priority="1076" operator="containsText" text="K">
      <formula>NOT(ISERROR(SEARCH(("K"),(AK23))))</formula>
    </cfRule>
    <cfRule type="containsText" dxfId="91" priority="1077" operator="containsText" text="X">
      <formula>NOT(ISERROR(SEARCH(("X"),(AK23))))</formula>
    </cfRule>
    <cfRule type="containsText" dxfId="90" priority="1078" operator="containsText" text="L">
      <formula>NOT(ISERROR(SEARCH(("L"),(AK23))))</formula>
    </cfRule>
    <cfRule type="containsText" dxfId="89" priority="1079" operator="containsText" text="O">
      <formula>NOT(ISERROR(SEARCH(("O"),(AK23))))</formula>
    </cfRule>
    <cfRule type="containsText" dxfId="88" priority="1080" operator="containsText" text="C">
      <formula>NOT(ISERROR(SEARCH(("C"),(AK23))))</formula>
    </cfRule>
    <cfRule type="containsText" dxfId="87" priority="1081" operator="containsText" text="P">
      <formula>NOT(ISERROR(SEARCH(("P"),(AK23))))</formula>
    </cfRule>
    <cfRule type="containsText" dxfId="86" priority="1082" operator="containsText" text="K">
      <formula>NOT(ISERROR(SEARCH(("K"),(AK23))))</formula>
    </cfRule>
    <cfRule type="containsText" dxfId="85" priority="1083" operator="containsText" text="X">
      <formula>NOT(ISERROR(SEARCH(("X"),(AK23))))</formula>
    </cfRule>
    <cfRule type="containsText" dxfId="84" priority="1084" operator="containsText" text="L">
      <formula>NOT(ISERROR(SEARCH(("L"),(AK23))))</formula>
    </cfRule>
    <cfRule type="containsText" dxfId="83" priority="1085" operator="containsText" text="N">
      <formula>NOT(ISERROR(SEARCH(("N"),(AK23))))</formula>
    </cfRule>
    <cfRule type="containsText" dxfId="82" priority="1087" operator="containsText" text="O">
      <formula>NOT(ISERROR(SEARCH(("O"),(AK23))))</formula>
    </cfRule>
    <cfRule type="containsText" dxfId="81" priority="1088" operator="containsText" text="C">
      <formula>NOT(ISERROR(SEARCH(("C"),(AK23))))</formula>
    </cfRule>
    <cfRule type="containsText" dxfId="80" priority="1089" operator="containsText" text="P">
      <formula>NOT(ISERROR(SEARCH(("P"),(AK23))))</formula>
    </cfRule>
    <cfRule type="containsText" dxfId="79" priority="1090" operator="containsText" text="K">
      <formula>NOT(ISERROR(SEARCH(("K"),(AK23))))</formula>
    </cfRule>
    <cfRule type="containsText" dxfId="78" priority="1091" operator="containsText" text="X">
      <formula>NOT(ISERROR(SEARCH(("X"),(AK23))))</formula>
    </cfRule>
    <cfRule type="containsText" dxfId="77" priority="1092" operator="containsText" text="L">
      <formula>NOT(ISERROR(SEARCH(("L"),(AK23))))</formula>
    </cfRule>
  </conditionalFormatting>
  <conditionalFormatting sqref="AK23:AL27">
    <cfRule type="containsText" dxfId="76" priority="2309" operator="containsText" text="N">
      <formula>NOT(ISERROR(SEARCH(("N"),(AK23))))</formula>
    </cfRule>
    <cfRule type="containsText" dxfId="75" priority="2310" operator="containsText" text="O">
      <formula>NOT(ISERROR(SEARCH(("O"),(AK23))))</formula>
    </cfRule>
    <cfRule type="containsText" dxfId="74" priority="2311" operator="containsText" text="C">
      <formula>NOT(ISERROR(SEARCH(("C"),(AK23))))</formula>
    </cfRule>
    <cfRule type="containsText" dxfId="73" priority="2312" operator="containsText" text="P">
      <formula>NOT(ISERROR(SEARCH(("P"),(AK23))))</formula>
    </cfRule>
    <cfRule type="containsText" dxfId="72" priority="2313" operator="containsText" text="K">
      <formula>NOT(ISERROR(SEARCH(("K"),(AK23))))</formula>
    </cfRule>
    <cfRule type="containsText" dxfId="71" priority="2314" operator="containsText" text="X">
      <formula>NOT(ISERROR(SEARCH(("X"),(AK23))))</formula>
    </cfRule>
    <cfRule type="containsText" dxfId="70" priority="2315" operator="containsText" text="L">
      <formula>NOT(ISERROR(SEARCH(("L"),(AK23))))</formula>
    </cfRule>
    <cfRule type="containsText" dxfId="69" priority="2316" operator="containsText" text="O">
      <formula>NOT(ISERROR(SEARCH(("O"),(AK23))))</formula>
    </cfRule>
    <cfRule type="containsText" dxfId="68" priority="2317" operator="containsText" text="C">
      <formula>NOT(ISERROR(SEARCH(("C"),(AK23))))</formula>
    </cfRule>
    <cfRule type="containsText" dxfId="67" priority="2318" operator="containsText" text="P">
      <formula>NOT(ISERROR(SEARCH(("P"),(AK23))))</formula>
    </cfRule>
    <cfRule type="containsText" dxfId="66" priority="2319" operator="containsText" text="K">
      <formula>NOT(ISERROR(SEARCH(("K"),(AK23))))</formula>
    </cfRule>
    <cfRule type="containsText" dxfId="65" priority="2320" operator="containsText" text="X">
      <formula>NOT(ISERROR(SEARCH(("X"),(AK23))))</formula>
    </cfRule>
    <cfRule type="containsText" dxfId="64" priority="2321" operator="containsText" text="L">
      <formula>NOT(ISERROR(SEARCH(("L"),(AK23))))</formula>
    </cfRule>
  </conditionalFormatting>
  <conditionalFormatting sqref="AL11:AL12">
    <cfRule type="containsText" dxfId="63" priority="2932" operator="containsText" text="O">
      <formula>NOT(ISERROR(SEARCH(("O"),(AL11))))</formula>
    </cfRule>
    <cfRule type="containsText" dxfId="62" priority="2933" operator="containsText" text="C">
      <formula>NOT(ISERROR(SEARCH(("C"),(AL11))))</formula>
    </cfRule>
    <cfRule type="containsText" dxfId="61" priority="2934" operator="containsText" text="P">
      <formula>NOT(ISERROR(SEARCH(("P"),(AL11))))</formula>
    </cfRule>
    <cfRule type="containsText" dxfId="60" priority="2935" operator="containsText" text="K">
      <formula>NOT(ISERROR(SEARCH(("K"),(AL11))))</formula>
    </cfRule>
    <cfRule type="containsText" dxfId="59" priority="2936" operator="containsText" text="X">
      <formula>NOT(ISERROR(SEARCH(("X"),(AL11))))</formula>
    </cfRule>
    <cfRule type="containsText" dxfId="58" priority="2937" operator="containsText" text="L">
      <formula>NOT(ISERROR(SEARCH(("L"),(AL11))))</formula>
    </cfRule>
    <cfRule type="containsText" dxfId="57" priority="2938" operator="containsText" text="N">
      <formula>NOT(ISERROR(SEARCH(("N"),(AL11))))</formula>
    </cfRule>
    <cfRule type="containsText" dxfId="56" priority="2939" operator="containsText" text="O">
      <formula>NOT(ISERROR(SEARCH(("O"),(AL11))))</formula>
    </cfRule>
    <cfRule type="containsText" dxfId="55" priority="2940" operator="containsText" text="C">
      <formula>NOT(ISERROR(SEARCH(("C"),(AL11))))</formula>
    </cfRule>
    <cfRule type="containsText" dxfId="54" priority="2941" operator="containsText" text="P">
      <formula>NOT(ISERROR(SEARCH(("P"),(AL11))))</formula>
    </cfRule>
    <cfRule type="containsText" dxfId="53" priority="2942" operator="containsText" text="K">
      <formula>NOT(ISERROR(SEARCH(("K"),(AL11))))</formula>
    </cfRule>
    <cfRule type="containsText" dxfId="52" priority="2943" operator="containsText" text="X">
      <formula>NOT(ISERROR(SEARCH(("X"),(AL11))))</formula>
    </cfRule>
    <cfRule type="containsText" dxfId="51" priority="2944" operator="containsText" text="L">
      <formula>NOT(ISERROR(SEARCH(("L"),(AL11))))</formula>
    </cfRule>
  </conditionalFormatting>
  <conditionalFormatting sqref="AL16">
    <cfRule type="containsText" dxfId="50" priority="1266" operator="containsText" text="O">
      <formula>NOT(ISERROR(SEARCH(("O"),(AL16))))</formula>
    </cfRule>
    <cfRule type="containsText" dxfId="49" priority="1267" operator="containsText" text="C">
      <formula>NOT(ISERROR(SEARCH(("C"),(AL16))))</formula>
    </cfRule>
    <cfRule type="containsText" dxfId="48" priority="1268" operator="containsText" text="P">
      <formula>NOT(ISERROR(SEARCH(("P"),(AL16))))</formula>
    </cfRule>
    <cfRule type="containsText" dxfId="47" priority="1269" operator="containsText" text="K">
      <formula>NOT(ISERROR(SEARCH(("K"),(AL16))))</formula>
    </cfRule>
    <cfRule type="containsText" dxfId="46" priority="1270" operator="containsText" text="X">
      <formula>NOT(ISERROR(SEARCH(("X"),(AL16))))</formula>
    </cfRule>
    <cfRule type="containsText" dxfId="45" priority="1271" operator="containsText" text="L">
      <formula>NOT(ISERROR(SEARCH(("L"),(AL16))))</formula>
    </cfRule>
    <cfRule type="containsText" dxfId="44" priority="1272" operator="containsText" text="N">
      <formula>NOT(ISERROR(SEARCH(("N"),(AL16))))</formula>
    </cfRule>
    <cfRule type="containsText" dxfId="43" priority="1273" operator="containsText" text="O">
      <formula>NOT(ISERROR(SEARCH(("O"),(AL16))))</formula>
    </cfRule>
    <cfRule type="containsText" dxfId="42" priority="1274" operator="containsText" text="C">
      <formula>NOT(ISERROR(SEARCH(("C"),(AL16))))</formula>
    </cfRule>
    <cfRule type="containsText" dxfId="41" priority="1275" operator="containsText" text="P">
      <formula>NOT(ISERROR(SEARCH(("P"),(AL16))))</formula>
    </cfRule>
    <cfRule type="containsText" dxfId="40" priority="1276" operator="containsText" text="K">
      <formula>NOT(ISERROR(SEARCH(("K"),(AL16))))</formula>
    </cfRule>
    <cfRule type="containsText" dxfId="39" priority="1277" operator="containsText" text="X">
      <formula>NOT(ISERROR(SEARCH(("X"),(AL16))))</formula>
    </cfRule>
    <cfRule type="containsText" dxfId="38" priority="1278" operator="containsText" text="L">
      <formula>NOT(ISERROR(SEARCH(("L"),(AL16))))</formula>
    </cfRule>
  </conditionalFormatting>
  <conditionalFormatting sqref="AL16:AL27">
    <cfRule type="containsText" dxfId="37" priority="2875" operator="containsText" text="N">
      <formula>NOT(ISERROR(SEARCH(("N"),(AL16))))</formula>
    </cfRule>
    <cfRule type="containsText" dxfId="36" priority="2876" operator="containsText" text="O">
      <formula>NOT(ISERROR(SEARCH(("O"),(AL16))))</formula>
    </cfRule>
    <cfRule type="containsText" dxfId="35" priority="2877" operator="containsText" text="C">
      <formula>NOT(ISERROR(SEARCH(("C"),(AL16))))</formula>
    </cfRule>
    <cfRule type="containsText" dxfId="34" priority="2878" operator="containsText" text="P">
      <formula>NOT(ISERROR(SEARCH(("P"),(AL16))))</formula>
    </cfRule>
    <cfRule type="containsText" dxfId="33" priority="2879" operator="containsText" text="K">
      <formula>NOT(ISERROR(SEARCH(("K"),(AL16))))</formula>
    </cfRule>
    <cfRule type="containsText" dxfId="32" priority="2880" operator="containsText" text="X">
      <formula>NOT(ISERROR(SEARCH(("X"),(AL16))))</formula>
    </cfRule>
    <cfRule type="containsText" dxfId="31" priority="2881" operator="containsText" text="L">
      <formula>NOT(ISERROR(SEARCH(("L"),(AL16))))</formula>
    </cfRule>
    <cfRule type="containsText" dxfId="30" priority="2882" operator="containsText" text="N">
      <formula>NOT(ISERROR(SEARCH(("N"),(AL16))))</formula>
    </cfRule>
    <cfRule type="containsText" dxfId="29" priority="2883" operator="containsText" text="O">
      <formula>NOT(ISERROR(SEARCH(("O"),(AL16))))</formula>
    </cfRule>
    <cfRule type="containsText" dxfId="28" priority="2884" operator="containsText" text="C">
      <formula>NOT(ISERROR(SEARCH(("C"),(AL16))))</formula>
    </cfRule>
    <cfRule type="containsText" dxfId="27" priority="2885" operator="containsText" text="P">
      <formula>NOT(ISERROR(SEARCH(("P"),(AL16))))</formula>
    </cfRule>
    <cfRule type="containsText" dxfId="26" priority="2886" operator="containsText" text="K">
      <formula>NOT(ISERROR(SEARCH(("K"),(AL16))))</formula>
    </cfRule>
    <cfRule type="containsText" dxfId="25" priority="2887" operator="containsText" text="X">
      <formula>NOT(ISERROR(SEARCH(("X"),(AL16))))</formula>
    </cfRule>
    <cfRule type="containsText" dxfId="24" priority="2888" operator="containsText" text="L">
      <formula>NOT(ISERROR(SEARCH(("L"),(AL16))))</formula>
    </cfRule>
  </conditionalFormatting>
  <conditionalFormatting sqref="AL17">
    <cfRule type="containsText" dxfId="23" priority="1390" operator="containsText" text="O">
      <formula>NOT(ISERROR(SEARCH(("O"),(AL17))))</formula>
    </cfRule>
    <cfRule type="containsText" dxfId="22" priority="1391" operator="containsText" text="C">
      <formula>NOT(ISERROR(SEARCH(("C"),(AL17))))</formula>
    </cfRule>
    <cfRule type="containsText" dxfId="21" priority="1392" operator="containsText" text="P">
      <formula>NOT(ISERROR(SEARCH(("P"),(AL17))))</formula>
    </cfRule>
    <cfRule type="containsText" dxfId="20" priority="1393" operator="containsText" text="K">
      <formula>NOT(ISERROR(SEARCH(("K"),(AL17))))</formula>
    </cfRule>
    <cfRule type="containsText" dxfId="19" priority="1394" operator="containsText" text="X">
      <formula>NOT(ISERROR(SEARCH(("X"),(AL17))))</formula>
    </cfRule>
    <cfRule type="containsText" dxfId="18" priority="1395" operator="containsText" text="L">
      <formula>NOT(ISERROR(SEARCH(("L"),(AL17))))</formula>
    </cfRule>
    <cfRule type="containsText" dxfId="17" priority="1396" operator="containsText" text="N">
      <formula>NOT(ISERROR(SEARCH(("N"),(AL17))))</formula>
    </cfRule>
    <cfRule type="containsText" dxfId="16" priority="1397" operator="containsText" text="O">
      <formula>NOT(ISERROR(SEARCH(("O"),(AL17))))</formula>
    </cfRule>
    <cfRule type="containsText" dxfId="15" priority="1398" operator="containsText" text="C">
      <formula>NOT(ISERROR(SEARCH(("C"),(AL17))))</formula>
    </cfRule>
    <cfRule type="containsText" dxfId="14" priority="1399" operator="containsText" text="P">
      <formula>NOT(ISERROR(SEARCH(("P"),(AL17))))</formula>
    </cfRule>
    <cfRule type="containsText" dxfId="13" priority="1400" operator="containsText" text="K">
      <formula>NOT(ISERROR(SEARCH(("K"),(AL17))))</formula>
    </cfRule>
    <cfRule type="containsText" dxfId="12" priority="1401" operator="containsText" text="X">
      <formula>NOT(ISERROR(SEARCH(("X"),(AL17))))</formula>
    </cfRule>
    <cfRule type="containsText" dxfId="11" priority="1402" operator="containsText" text="L">
      <formula>NOT(ISERROR(SEARCH(("L"),(AL17))))</formula>
    </cfRule>
  </conditionalFormatting>
  <dataValidations count="1">
    <dataValidation type="list" allowBlank="1" sqref="G11:G27" xr:uid="{00000000-0002-0000-0300-000000000000}">
      <formula1>"Chính Thức,Thử Việc,Học Việc,Đã Nghỉ,Part Time"</formula1>
    </dataValidation>
  </dataValidations>
  <pageMargins left="0.17137302594785575" right="0.18455556640538312" top="0.80138347192582249" bottom="0.2" header="0" footer="0"/>
  <pageSetup paperSize="9"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986"/>
  <sheetViews>
    <sheetView showGridLines="0" workbookViewId="0">
      <pane xSplit="4" ySplit="3" topLeftCell="E5" activePane="bottomRight" state="frozen"/>
      <selection pane="topRight" activeCell="E1" sqref="E1"/>
      <selection pane="bottomLeft" activeCell="A4" sqref="A4"/>
      <selection pane="bottomRight" activeCell="E9" sqref="E9"/>
    </sheetView>
  </sheetViews>
  <sheetFormatPr defaultColWidth="12.6640625" defaultRowHeight="15" customHeight="1" x14ac:dyDescent="0.25"/>
  <cols>
    <col min="1" max="1" width="6.33203125" customWidth="1"/>
    <col min="2" max="2" width="10.21875" customWidth="1"/>
    <col min="3" max="3" width="19.109375" customWidth="1"/>
    <col min="4" max="4" width="23.6640625" customWidth="1"/>
    <col min="5" max="5" width="16.6640625" customWidth="1"/>
    <col min="6" max="6" width="6.6640625" customWidth="1"/>
    <col min="7" max="7" width="9.109375" customWidth="1"/>
    <col min="8" max="17" width="6.6640625" customWidth="1"/>
    <col min="18" max="19" width="9" customWidth="1"/>
    <col min="20" max="20" width="10.88671875" customWidth="1"/>
    <col min="21" max="21" width="18.21875" customWidth="1"/>
  </cols>
  <sheetData>
    <row r="1" spans="1:22" ht="43.5" customHeight="1" x14ac:dyDescent="0.25">
      <c r="A1" s="602" t="s">
        <v>356</v>
      </c>
      <c r="B1" s="520"/>
      <c r="C1" s="520"/>
      <c r="D1" s="521"/>
      <c r="E1" s="142"/>
      <c r="F1" s="143"/>
      <c r="G1" s="142"/>
      <c r="H1" s="142"/>
      <c r="I1" s="142"/>
      <c r="J1" s="142"/>
      <c r="K1" s="142"/>
      <c r="L1" s="142"/>
      <c r="M1" s="142"/>
      <c r="N1" s="142"/>
      <c r="O1" s="142"/>
      <c r="P1" s="142"/>
      <c r="Q1" s="142"/>
      <c r="R1" s="142"/>
      <c r="S1" s="142"/>
      <c r="T1" s="142"/>
      <c r="U1" s="140"/>
      <c r="V1" s="140"/>
    </row>
    <row r="2" spans="1:22" ht="30.75" customHeight="1" x14ac:dyDescent="0.25">
      <c r="A2" s="603" t="s">
        <v>1</v>
      </c>
      <c r="B2" s="605" t="s">
        <v>40</v>
      </c>
      <c r="C2" s="603" t="s">
        <v>109</v>
      </c>
      <c r="D2" s="603" t="s">
        <v>97</v>
      </c>
      <c r="E2" s="606" t="s">
        <v>357</v>
      </c>
      <c r="F2" s="607"/>
      <c r="G2" s="607"/>
      <c r="H2" s="607"/>
      <c r="I2" s="607"/>
      <c r="J2" s="607"/>
      <c r="K2" s="607"/>
      <c r="L2" s="607"/>
      <c r="M2" s="607"/>
      <c r="N2" s="607"/>
      <c r="O2" s="607"/>
      <c r="P2" s="607"/>
      <c r="Q2" s="608"/>
      <c r="R2" s="600" t="s">
        <v>358</v>
      </c>
      <c r="S2" s="600" t="s">
        <v>110</v>
      </c>
      <c r="T2" s="600" t="s">
        <v>111</v>
      </c>
      <c r="U2" s="600" t="s">
        <v>112</v>
      </c>
      <c r="V2" s="140"/>
    </row>
    <row r="3" spans="1:22" ht="48" customHeight="1" x14ac:dyDescent="0.25">
      <c r="A3" s="604"/>
      <c r="B3" s="604"/>
      <c r="C3" s="604"/>
      <c r="D3" s="604"/>
      <c r="E3" s="144" t="s">
        <v>116</v>
      </c>
      <c r="F3" s="144" t="s">
        <v>113</v>
      </c>
      <c r="G3" s="144" t="s">
        <v>114</v>
      </c>
      <c r="H3" s="144" t="s">
        <v>115</v>
      </c>
      <c r="I3" s="144" t="s">
        <v>117</v>
      </c>
      <c r="J3" s="144" t="s">
        <v>118</v>
      </c>
      <c r="K3" s="144" t="s">
        <v>119</v>
      </c>
      <c r="L3" s="144" t="s">
        <v>120</v>
      </c>
      <c r="M3" s="144" t="s">
        <v>121</v>
      </c>
      <c r="N3" s="144" t="s">
        <v>122</v>
      </c>
      <c r="O3" s="144" t="s">
        <v>123</v>
      </c>
      <c r="P3" s="144" t="s">
        <v>124</v>
      </c>
      <c r="Q3" s="144" t="s">
        <v>125</v>
      </c>
      <c r="R3" s="604"/>
      <c r="S3" s="604"/>
      <c r="T3" s="604"/>
      <c r="U3" s="601"/>
      <c r="V3" s="140"/>
    </row>
    <row r="4" spans="1:22" ht="15" hidden="1" customHeight="1" x14ac:dyDescent="0.25">
      <c r="A4" s="145"/>
      <c r="B4" s="145">
        <v>1</v>
      </c>
      <c r="C4" s="145">
        <f t="shared" ref="C4:U4" si="0">B4+1</f>
        <v>2</v>
      </c>
      <c r="D4" s="145">
        <f t="shared" si="0"/>
        <v>3</v>
      </c>
      <c r="E4" s="145" t="e">
        <f>#REF!+1</f>
        <v>#REF!</v>
      </c>
      <c r="F4" s="145" t="e">
        <f t="shared" si="0"/>
        <v>#REF!</v>
      </c>
      <c r="G4" s="145" t="e">
        <f t="shared" si="0"/>
        <v>#REF!</v>
      </c>
      <c r="H4" s="145" t="e">
        <f t="shared" si="0"/>
        <v>#REF!</v>
      </c>
      <c r="I4" s="145" t="e">
        <f t="shared" si="0"/>
        <v>#REF!</v>
      </c>
      <c r="J4" s="145" t="e">
        <f t="shared" si="0"/>
        <v>#REF!</v>
      </c>
      <c r="K4" s="145" t="e">
        <f t="shared" si="0"/>
        <v>#REF!</v>
      </c>
      <c r="L4" s="145" t="e">
        <f t="shared" si="0"/>
        <v>#REF!</v>
      </c>
      <c r="M4" s="145" t="e">
        <f t="shared" si="0"/>
        <v>#REF!</v>
      </c>
      <c r="N4" s="145" t="e">
        <f t="shared" si="0"/>
        <v>#REF!</v>
      </c>
      <c r="O4" s="145" t="e">
        <f t="shared" si="0"/>
        <v>#REF!</v>
      </c>
      <c r="P4" s="145" t="e">
        <f t="shared" si="0"/>
        <v>#REF!</v>
      </c>
      <c r="Q4" s="145" t="e">
        <f t="shared" si="0"/>
        <v>#REF!</v>
      </c>
      <c r="R4" s="145" t="e">
        <f t="shared" si="0"/>
        <v>#REF!</v>
      </c>
      <c r="S4" s="145" t="e">
        <f t="shared" si="0"/>
        <v>#REF!</v>
      </c>
      <c r="T4" s="145" t="e">
        <f t="shared" si="0"/>
        <v>#REF!</v>
      </c>
      <c r="U4" s="145" t="e">
        <f t="shared" si="0"/>
        <v>#REF!</v>
      </c>
      <c r="V4" s="146"/>
    </row>
    <row r="5" spans="1:22" ht="25.5" customHeight="1" x14ac:dyDescent="0.3">
      <c r="A5" s="147"/>
      <c r="B5" s="436"/>
      <c r="C5" s="437"/>
      <c r="D5" s="438"/>
      <c r="E5" s="148"/>
      <c r="F5" s="148">
        <f t="shared" ref="F5:R5" si="1">SUM(F6:F8)</f>
        <v>0</v>
      </c>
      <c r="G5" s="148">
        <f t="shared" si="1"/>
        <v>0</v>
      </c>
      <c r="H5" s="148">
        <f t="shared" si="1"/>
        <v>0</v>
      </c>
      <c r="I5" s="148">
        <f t="shared" si="1"/>
        <v>0</v>
      </c>
      <c r="J5" s="148">
        <f t="shared" si="1"/>
        <v>0</v>
      </c>
      <c r="K5" s="148">
        <f t="shared" si="1"/>
        <v>0</v>
      </c>
      <c r="L5" s="148">
        <f t="shared" si="1"/>
        <v>0</v>
      </c>
      <c r="M5" s="148">
        <f t="shared" si="1"/>
        <v>0</v>
      </c>
      <c r="N5" s="148">
        <f t="shared" si="1"/>
        <v>0</v>
      </c>
      <c r="O5" s="148">
        <f t="shared" si="1"/>
        <v>0</v>
      </c>
      <c r="P5" s="148">
        <f t="shared" si="1"/>
        <v>0</v>
      </c>
      <c r="Q5" s="148">
        <f t="shared" si="1"/>
        <v>0</v>
      </c>
      <c r="R5" s="148">
        <f t="shared" si="1"/>
        <v>0</v>
      </c>
      <c r="S5" s="148">
        <v>2</v>
      </c>
      <c r="T5" s="148">
        <f>SUM(T6:T8)</f>
        <v>2</v>
      </c>
      <c r="U5" s="439"/>
      <c r="V5" s="140"/>
    </row>
    <row r="6" spans="1:22" ht="27.75" customHeight="1" x14ac:dyDescent="0.3">
      <c r="A6" s="440">
        <f t="shared" ref="A6:A7" si="2">SUBTOTAL(3,$B$5:B6)</f>
        <v>1</v>
      </c>
      <c r="B6" s="441" t="s">
        <v>323</v>
      </c>
      <c r="C6" s="389"/>
      <c r="D6" s="374" t="str">
        <f>VLOOKUP(B6,' 5. Thông số TL'!$D$12:$E$16,2,0)</f>
        <v>Nguyễn Thị Thu Hảo</v>
      </c>
      <c r="E6" s="375"/>
      <c r="F6" s="376">
        <f>VLOOKUP(B6,'3. BẢNG CHẤM CÔNG'!$B$11:$AU$12,42,0)</f>
        <v>0</v>
      </c>
      <c r="G6" s="376">
        <v>0</v>
      </c>
      <c r="H6" s="376">
        <v>0</v>
      </c>
      <c r="I6" s="376">
        <v>0</v>
      </c>
      <c r="J6" s="376">
        <v>0</v>
      </c>
      <c r="K6" s="376">
        <v>0</v>
      </c>
      <c r="L6" s="376">
        <v>0</v>
      </c>
      <c r="M6" s="376">
        <v>0</v>
      </c>
      <c r="N6" s="376">
        <v>0</v>
      </c>
      <c r="O6" s="376">
        <v>0</v>
      </c>
      <c r="P6" s="376">
        <v>0</v>
      </c>
      <c r="Q6" s="376">
        <v>0</v>
      </c>
      <c r="R6" s="375">
        <f t="shared" ref="R6:R7" si="3">SUM(F6:Q6)</f>
        <v>0</v>
      </c>
      <c r="S6" s="375">
        <v>2</v>
      </c>
      <c r="T6" s="375">
        <v>2</v>
      </c>
      <c r="U6" s="377"/>
      <c r="V6" s="150" t="s">
        <v>108</v>
      </c>
    </row>
    <row r="7" spans="1:22" ht="27.75" customHeight="1" x14ac:dyDescent="0.3">
      <c r="A7" s="440">
        <f t="shared" si="2"/>
        <v>2</v>
      </c>
      <c r="B7" s="441" t="s">
        <v>324</v>
      </c>
      <c r="C7" s="389"/>
      <c r="D7" s="374" t="str">
        <f>VLOOKUP(B7,' 5. Thông số TL'!$D$12:$E$16,2,0)</f>
        <v>Lê Thị Kim Liên</v>
      </c>
      <c r="E7" s="375"/>
      <c r="F7" s="376">
        <v>0</v>
      </c>
      <c r="G7" s="376">
        <v>0</v>
      </c>
      <c r="H7" s="376">
        <v>0</v>
      </c>
      <c r="I7" s="376">
        <v>0</v>
      </c>
      <c r="J7" s="376">
        <v>0</v>
      </c>
      <c r="K7" s="376">
        <v>0</v>
      </c>
      <c r="L7" s="376">
        <v>0</v>
      </c>
      <c r="M7" s="376">
        <v>0</v>
      </c>
      <c r="N7" s="376">
        <v>0</v>
      </c>
      <c r="O7" s="376">
        <v>0</v>
      </c>
      <c r="P7" s="376">
        <v>0</v>
      </c>
      <c r="Q7" s="376">
        <v>0</v>
      </c>
      <c r="R7" s="375">
        <f t="shared" si="3"/>
        <v>0</v>
      </c>
      <c r="S7" s="375">
        <v>0</v>
      </c>
      <c r="T7" s="375">
        <v>0</v>
      </c>
      <c r="U7" s="377"/>
      <c r="V7" s="151"/>
    </row>
    <row r="8" spans="1:22" ht="22.2" customHeight="1" x14ac:dyDescent="0.25">
      <c r="A8" s="435">
        <v>3</v>
      </c>
      <c r="B8" s="435" t="s">
        <v>340</v>
      </c>
      <c r="C8" s="434"/>
      <c r="D8" s="374" t="str">
        <f>VLOOKUP(B8,' 5. Thông số TL'!$D$12:$E$16,2,0)</f>
        <v>Bùi Thanh Anh</v>
      </c>
      <c r="E8" s="375"/>
      <c r="F8" s="376">
        <v>0</v>
      </c>
      <c r="G8" s="376">
        <v>0</v>
      </c>
      <c r="H8" s="376">
        <v>0</v>
      </c>
      <c r="I8" s="376">
        <v>0</v>
      </c>
      <c r="J8" s="376">
        <v>0</v>
      </c>
      <c r="K8" s="376">
        <v>0</v>
      </c>
      <c r="L8" s="376">
        <v>0</v>
      </c>
      <c r="M8" s="376">
        <v>0</v>
      </c>
      <c r="N8" s="376">
        <v>0</v>
      </c>
      <c r="O8" s="376">
        <v>0</v>
      </c>
      <c r="P8" s="376">
        <v>0</v>
      </c>
      <c r="Q8" s="376">
        <v>0</v>
      </c>
      <c r="R8" s="375">
        <f t="shared" ref="R8" si="4">SUM(F8:Q8)</f>
        <v>0</v>
      </c>
      <c r="S8" s="375">
        <f t="shared" ref="S8" si="5">SUM(G8:R8)</f>
        <v>0</v>
      </c>
      <c r="T8" s="375">
        <f t="shared" ref="T8" si="6">SUM(H8:S8)</f>
        <v>0</v>
      </c>
      <c r="U8" s="434"/>
      <c r="V8" s="140"/>
    </row>
    <row r="9" spans="1:22" ht="22.2" customHeight="1" x14ac:dyDescent="0.25">
      <c r="A9" s="435">
        <v>5</v>
      </c>
      <c r="B9" s="435" t="s">
        <v>336</v>
      </c>
      <c r="C9" s="434"/>
      <c r="D9" s="374" t="str">
        <f>VLOOKUP(B9,' 5. Thông số TL'!$D$12:$E$16,2,0)</f>
        <v>Eugene</v>
      </c>
      <c r="E9" s="375"/>
      <c r="F9" s="376">
        <v>0</v>
      </c>
      <c r="G9" s="376">
        <v>0</v>
      </c>
      <c r="H9" s="376">
        <v>0</v>
      </c>
      <c r="I9" s="376">
        <v>0</v>
      </c>
      <c r="J9" s="376">
        <v>0</v>
      </c>
      <c r="K9" s="376">
        <v>0</v>
      </c>
      <c r="L9" s="376">
        <v>0</v>
      </c>
      <c r="M9" s="376">
        <v>0</v>
      </c>
      <c r="N9" s="376">
        <v>0</v>
      </c>
      <c r="O9" s="376">
        <v>0</v>
      </c>
      <c r="P9" s="376">
        <v>0</v>
      </c>
      <c r="Q9" s="376">
        <v>0</v>
      </c>
      <c r="R9" s="375">
        <f t="shared" ref="R9" si="7">SUM(F9:Q9)</f>
        <v>0</v>
      </c>
      <c r="S9" s="375">
        <f t="shared" ref="S9" si="8">SUM(G9:R9)</f>
        <v>0</v>
      </c>
      <c r="T9" s="375">
        <f t="shared" ref="T9" si="9">SUM(H9:S9)</f>
        <v>0</v>
      </c>
      <c r="U9" s="434"/>
      <c r="V9" s="140"/>
    </row>
    <row r="10" spans="1:22" ht="15" customHeight="1" x14ac:dyDescent="0.25">
      <c r="A10" s="140"/>
      <c r="B10" s="140"/>
      <c r="C10" s="140"/>
      <c r="D10" s="140"/>
      <c r="E10" s="140"/>
      <c r="F10" s="140"/>
      <c r="G10" s="140"/>
      <c r="H10" s="140"/>
      <c r="I10" s="140"/>
      <c r="J10" s="140"/>
      <c r="K10" s="140"/>
      <c r="L10" s="140"/>
      <c r="M10" s="140"/>
      <c r="N10" s="140"/>
      <c r="O10" s="140"/>
      <c r="P10" s="140"/>
      <c r="Q10" s="140"/>
      <c r="R10" s="152"/>
      <c r="S10" s="140"/>
      <c r="T10" s="140"/>
      <c r="U10" s="140"/>
      <c r="V10" s="140"/>
    </row>
    <row r="11" spans="1:22" ht="15" customHeight="1" x14ac:dyDescent="0.25">
      <c r="A11" s="140"/>
      <c r="B11" s="140"/>
      <c r="C11" s="140"/>
      <c r="D11" s="140"/>
      <c r="E11" s="140"/>
      <c r="F11" s="140"/>
      <c r="G11" s="140"/>
      <c r="H11" s="140"/>
      <c r="I11" s="140"/>
      <c r="J11" s="140"/>
      <c r="K11" s="140"/>
      <c r="L11" s="140"/>
      <c r="M11" s="140"/>
      <c r="N11" s="140"/>
      <c r="O11" s="140"/>
      <c r="P11" s="140"/>
      <c r="Q11" s="140"/>
      <c r="R11" s="140"/>
      <c r="S11" s="140"/>
      <c r="T11" s="140"/>
      <c r="U11" s="140"/>
      <c r="V11" s="140"/>
    </row>
    <row r="12" spans="1:22" ht="15" customHeight="1" x14ac:dyDescent="0.25">
      <c r="A12" s="140"/>
      <c r="B12" s="140"/>
      <c r="C12" s="140"/>
      <c r="D12" s="140"/>
      <c r="E12" s="140"/>
      <c r="F12" s="140"/>
      <c r="G12" s="140"/>
      <c r="H12" s="140"/>
      <c r="I12" s="140"/>
      <c r="J12" s="140"/>
      <c r="K12" s="140"/>
      <c r="L12" s="140"/>
      <c r="M12" s="140"/>
      <c r="N12" s="140"/>
      <c r="O12" s="140"/>
      <c r="P12" s="140"/>
      <c r="Q12" s="140"/>
      <c r="R12" s="140"/>
      <c r="S12" s="140"/>
      <c r="T12" s="140"/>
      <c r="U12" s="140"/>
      <c r="V12" s="140"/>
    </row>
    <row r="13" spans="1:22" ht="15.75" customHeight="1" x14ac:dyDescent="0.25">
      <c r="A13" s="140"/>
      <c r="B13" s="140"/>
      <c r="C13" s="140"/>
      <c r="D13" s="140"/>
      <c r="E13" s="140"/>
      <c r="F13" s="140"/>
      <c r="G13" s="140"/>
      <c r="H13" s="140"/>
      <c r="I13" s="140"/>
      <c r="J13" s="140"/>
      <c r="K13" s="140"/>
      <c r="L13" s="140"/>
      <c r="M13" s="140"/>
      <c r="N13" s="140"/>
      <c r="O13" s="140"/>
      <c r="P13" s="140"/>
      <c r="Q13" s="140"/>
      <c r="R13" s="140"/>
      <c r="S13" s="140"/>
      <c r="T13" s="140"/>
      <c r="U13" s="140"/>
      <c r="V13" s="140"/>
    </row>
    <row r="14" spans="1:22" ht="15.75" customHeight="1" x14ac:dyDescent="0.25">
      <c r="A14" s="140"/>
      <c r="B14" s="140"/>
      <c r="C14" s="140"/>
      <c r="D14" s="140"/>
      <c r="E14" s="140"/>
      <c r="F14" s="140"/>
      <c r="G14" s="140"/>
      <c r="H14" s="140"/>
      <c r="I14" s="140"/>
      <c r="J14" s="140"/>
      <c r="K14" s="140"/>
      <c r="L14" s="140"/>
      <c r="M14" s="140"/>
      <c r="N14" s="140"/>
      <c r="O14" s="140"/>
      <c r="P14" s="140"/>
      <c r="Q14" s="140"/>
      <c r="R14" s="140"/>
      <c r="S14" s="140"/>
      <c r="T14" s="140"/>
      <c r="U14" s="140"/>
      <c r="V14" s="140"/>
    </row>
    <row r="15" spans="1:22" ht="15.75" customHeight="1" x14ac:dyDescent="0.25">
      <c r="A15" s="140"/>
      <c r="B15" s="140"/>
      <c r="C15" s="140"/>
      <c r="D15" s="140"/>
      <c r="E15" s="140"/>
      <c r="F15" s="140"/>
      <c r="G15" s="140"/>
      <c r="H15" s="140"/>
      <c r="I15" s="140"/>
      <c r="J15" s="140"/>
      <c r="K15" s="140"/>
      <c r="L15" s="140"/>
      <c r="M15" s="140"/>
      <c r="N15" s="140"/>
      <c r="O15" s="140"/>
      <c r="P15" s="140"/>
      <c r="Q15" s="140"/>
      <c r="R15" s="140"/>
      <c r="S15" s="140"/>
      <c r="T15" s="140"/>
      <c r="U15" s="140"/>
      <c r="V15" s="140"/>
    </row>
    <row r="16" spans="1:22" ht="15.75" customHeight="1" x14ac:dyDescent="0.25">
      <c r="A16" s="140"/>
      <c r="B16" s="140"/>
      <c r="C16" s="140"/>
      <c r="D16" s="140"/>
      <c r="E16" s="140"/>
      <c r="F16" s="140"/>
      <c r="G16" s="140"/>
      <c r="H16" s="140"/>
      <c r="I16" s="140"/>
      <c r="J16" s="140"/>
      <c r="K16" s="140"/>
      <c r="L16" s="140"/>
      <c r="M16" s="140"/>
      <c r="N16" s="140"/>
      <c r="O16" s="140"/>
      <c r="P16" s="140"/>
      <c r="Q16" s="140"/>
      <c r="R16" s="140"/>
      <c r="S16" s="140"/>
      <c r="T16" s="140"/>
      <c r="U16" s="140"/>
      <c r="V16" s="140"/>
    </row>
    <row r="17" spans="1:22" ht="15.75" customHeight="1" x14ac:dyDescent="0.25">
      <c r="A17" s="140"/>
      <c r="B17" s="140"/>
      <c r="C17" s="140"/>
      <c r="D17" s="140"/>
      <c r="E17" s="140"/>
      <c r="F17" s="140"/>
      <c r="G17" s="140"/>
      <c r="H17" s="140"/>
      <c r="I17" s="140"/>
      <c r="J17" s="140"/>
      <c r="K17" s="140"/>
      <c r="L17" s="140"/>
      <c r="M17" s="140"/>
      <c r="N17" s="140"/>
      <c r="O17" s="140"/>
      <c r="P17" s="140"/>
      <c r="Q17" s="140"/>
      <c r="R17" s="140"/>
      <c r="S17" s="140"/>
      <c r="T17" s="140"/>
      <c r="U17" s="140"/>
      <c r="V17" s="140"/>
    </row>
    <row r="18" spans="1:22" ht="15.75" customHeight="1" x14ac:dyDescent="0.25">
      <c r="A18" s="140"/>
      <c r="B18" s="140"/>
      <c r="C18" s="140"/>
      <c r="D18" s="140"/>
      <c r="E18" s="140"/>
      <c r="F18" s="140"/>
      <c r="G18" s="140"/>
      <c r="H18" s="140"/>
      <c r="I18" s="140"/>
      <c r="J18" s="140"/>
      <c r="K18" s="140"/>
      <c r="L18" s="140"/>
      <c r="M18" s="140"/>
      <c r="N18" s="140"/>
      <c r="O18" s="140"/>
      <c r="P18" s="140"/>
      <c r="Q18" s="140"/>
      <c r="R18" s="140"/>
      <c r="S18" s="140"/>
      <c r="T18" s="140"/>
      <c r="U18" s="140"/>
      <c r="V18" s="140"/>
    </row>
    <row r="19" spans="1:22" ht="15.75" customHeight="1" x14ac:dyDescent="0.25">
      <c r="A19" s="140"/>
      <c r="B19" s="140"/>
      <c r="C19" s="140"/>
      <c r="D19" s="140"/>
      <c r="E19" s="140"/>
      <c r="F19" s="140"/>
      <c r="G19" s="140"/>
      <c r="H19" s="140"/>
      <c r="I19" s="140"/>
      <c r="J19" s="140"/>
      <c r="K19" s="140"/>
      <c r="L19" s="140"/>
      <c r="M19" s="140"/>
      <c r="N19" s="140"/>
      <c r="O19" s="140"/>
      <c r="P19" s="140"/>
      <c r="Q19" s="140"/>
      <c r="R19" s="140"/>
      <c r="S19" s="140"/>
      <c r="T19" s="140"/>
      <c r="U19" s="140"/>
      <c r="V19" s="140"/>
    </row>
    <row r="20" spans="1:22" ht="15.75" customHeight="1" x14ac:dyDescent="0.25">
      <c r="A20" s="140"/>
      <c r="B20" s="140"/>
      <c r="C20" s="140"/>
      <c r="D20" s="140"/>
      <c r="E20" s="140"/>
      <c r="F20" s="140"/>
      <c r="G20" s="140"/>
      <c r="H20" s="140"/>
      <c r="I20" s="140"/>
      <c r="J20" s="140"/>
      <c r="K20" s="140"/>
      <c r="L20" s="140"/>
      <c r="M20" s="140"/>
      <c r="N20" s="140"/>
      <c r="O20" s="140"/>
      <c r="P20" s="140"/>
      <c r="Q20" s="140"/>
      <c r="R20" s="140"/>
      <c r="S20" s="140"/>
      <c r="T20" s="140"/>
      <c r="U20" s="140"/>
      <c r="V20" s="140"/>
    </row>
    <row r="21" spans="1:22" ht="15.75" customHeight="1" x14ac:dyDescent="0.25">
      <c r="A21" s="140"/>
      <c r="B21" s="140"/>
      <c r="C21" s="140"/>
      <c r="D21" s="140"/>
      <c r="E21" s="140"/>
      <c r="F21" s="140"/>
      <c r="G21" s="140"/>
      <c r="H21" s="140"/>
      <c r="I21" s="140"/>
      <c r="J21" s="140"/>
      <c r="K21" s="140"/>
      <c r="L21" s="140"/>
      <c r="M21" s="140"/>
      <c r="N21" s="140"/>
      <c r="O21" s="140"/>
      <c r="P21" s="140"/>
      <c r="Q21" s="140"/>
      <c r="R21" s="140"/>
      <c r="S21" s="140"/>
      <c r="T21" s="140"/>
      <c r="U21" s="140"/>
      <c r="V21" s="140"/>
    </row>
    <row r="22" spans="1:22" ht="15.75" customHeight="1" x14ac:dyDescent="0.25">
      <c r="A22" s="140"/>
      <c r="B22" s="140"/>
      <c r="C22" s="140"/>
      <c r="D22" s="140"/>
      <c r="E22" s="140"/>
      <c r="F22" s="140"/>
      <c r="G22" s="140"/>
      <c r="H22" s="140"/>
      <c r="I22" s="140"/>
      <c r="J22" s="140"/>
      <c r="K22" s="140"/>
      <c r="L22" s="140"/>
      <c r="M22" s="140"/>
      <c r="N22" s="140"/>
      <c r="O22" s="140"/>
      <c r="P22" s="140"/>
      <c r="Q22" s="140"/>
      <c r="R22" s="140"/>
      <c r="S22" s="140"/>
      <c r="T22" s="140"/>
      <c r="U22" s="140"/>
      <c r="V22" s="140"/>
    </row>
    <row r="23" spans="1:22" ht="15.75" customHeight="1" x14ac:dyDescent="0.25">
      <c r="A23" s="140"/>
      <c r="B23" s="140"/>
      <c r="C23" s="140"/>
      <c r="D23" s="140"/>
      <c r="E23" s="140"/>
      <c r="F23" s="140"/>
      <c r="G23" s="140"/>
      <c r="H23" s="140"/>
      <c r="I23" s="140"/>
      <c r="J23" s="140"/>
      <c r="K23" s="140"/>
      <c r="L23" s="140"/>
      <c r="M23" s="140"/>
      <c r="N23" s="140"/>
      <c r="O23" s="140"/>
      <c r="P23" s="140"/>
      <c r="Q23" s="140"/>
      <c r="R23" s="140"/>
      <c r="S23" s="140"/>
      <c r="T23" s="140"/>
      <c r="U23" s="140"/>
      <c r="V23" s="140"/>
    </row>
    <row r="24" spans="1:22" ht="15.75" customHeight="1" x14ac:dyDescent="0.25">
      <c r="A24" s="140"/>
      <c r="B24" s="140"/>
      <c r="C24" s="140"/>
      <c r="D24" s="140"/>
      <c r="E24" s="140"/>
      <c r="F24" s="140"/>
      <c r="G24" s="140"/>
      <c r="H24" s="140"/>
      <c r="I24" s="140"/>
      <c r="J24" s="140"/>
      <c r="K24" s="140"/>
      <c r="L24" s="140"/>
      <c r="M24" s="140"/>
      <c r="N24" s="140"/>
      <c r="O24" s="140"/>
      <c r="P24" s="140"/>
      <c r="Q24" s="140"/>
      <c r="R24" s="140"/>
      <c r="S24" s="140"/>
      <c r="T24" s="140"/>
      <c r="U24" s="140"/>
      <c r="V24" s="140"/>
    </row>
    <row r="25" spans="1:22" ht="15.75" customHeight="1" x14ac:dyDescent="0.25">
      <c r="A25" s="140"/>
      <c r="B25" s="140"/>
      <c r="C25" s="140"/>
      <c r="D25" s="140"/>
      <c r="E25" s="140"/>
      <c r="F25" s="140"/>
      <c r="G25" s="140"/>
      <c r="H25" s="140"/>
      <c r="I25" s="140"/>
      <c r="J25" s="140"/>
      <c r="K25" s="140"/>
      <c r="L25" s="140"/>
      <c r="M25" s="140"/>
      <c r="N25" s="140"/>
      <c r="O25" s="140"/>
      <c r="P25" s="140"/>
      <c r="Q25" s="140"/>
      <c r="R25" s="140"/>
      <c r="S25" s="140"/>
      <c r="T25" s="140"/>
      <c r="U25" s="140"/>
      <c r="V25" s="140"/>
    </row>
    <row r="26" spans="1:22" ht="15.75" customHeight="1" x14ac:dyDescent="0.25">
      <c r="A26" s="140"/>
      <c r="B26" s="140"/>
      <c r="C26" s="140"/>
      <c r="D26" s="140"/>
      <c r="E26" s="140"/>
      <c r="F26" s="140"/>
      <c r="G26" s="140"/>
      <c r="H26" s="140"/>
      <c r="I26" s="140"/>
      <c r="J26" s="140"/>
      <c r="K26" s="140"/>
      <c r="L26" s="140"/>
      <c r="M26" s="140"/>
      <c r="N26" s="140"/>
      <c r="O26" s="140"/>
      <c r="P26" s="140"/>
      <c r="Q26" s="140"/>
      <c r="R26" s="140"/>
      <c r="S26" s="140"/>
      <c r="T26" s="140"/>
      <c r="U26" s="140"/>
      <c r="V26" s="140"/>
    </row>
    <row r="27" spans="1:22" ht="15.75" customHeight="1" x14ac:dyDescent="0.25">
      <c r="A27" s="140"/>
      <c r="B27" s="140"/>
      <c r="C27" s="140"/>
      <c r="D27" s="140"/>
      <c r="E27" s="140"/>
      <c r="F27" s="140"/>
      <c r="G27" s="140"/>
      <c r="H27" s="140"/>
      <c r="I27" s="140"/>
      <c r="J27" s="140"/>
      <c r="K27" s="140"/>
      <c r="L27" s="140"/>
      <c r="M27" s="140"/>
      <c r="N27" s="140"/>
      <c r="O27" s="140"/>
      <c r="P27" s="140"/>
      <c r="Q27" s="140"/>
      <c r="R27" s="140"/>
      <c r="S27" s="140"/>
      <c r="T27" s="140"/>
      <c r="U27" s="140"/>
      <c r="V27" s="140"/>
    </row>
    <row r="28" spans="1:22" ht="15.75" customHeight="1" x14ac:dyDescent="0.25">
      <c r="A28" s="140"/>
      <c r="B28" s="140"/>
      <c r="C28" s="140"/>
      <c r="D28" s="140"/>
      <c r="E28" s="140"/>
      <c r="F28" s="140"/>
      <c r="G28" s="140"/>
      <c r="H28" s="140"/>
      <c r="I28" s="140"/>
      <c r="J28" s="140"/>
      <c r="K28" s="140"/>
      <c r="L28" s="140"/>
      <c r="M28" s="140"/>
      <c r="N28" s="140"/>
      <c r="O28" s="140"/>
      <c r="P28" s="140"/>
      <c r="Q28" s="140"/>
      <c r="R28" s="140"/>
      <c r="S28" s="140"/>
      <c r="T28" s="140"/>
      <c r="U28" s="140"/>
      <c r="V28" s="140"/>
    </row>
    <row r="29" spans="1:22" ht="15.75" customHeight="1" x14ac:dyDescent="0.25">
      <c r="A29" s="140"/>
      <c r="B29" s="140"/>
      <c r="C29" s="140"/>
      <c r="D29" s="140"/>
      <c r="E29" s="140"/>
      <c r="F29" s="140"/>
      <c r="G29" s="140"/>
      <c r="H29" s="140"/>
      <c r="I29" s="140"/>
      <c r="J29" s="140"/>
      <c r="K29" s="140"/>
      <c r="L29" s="140"/>
      <c r="M29" s="140"/>
      <c r="N29" s="140"/>
      <c r="O29" s="140"/>
      <c r="P29" s="140"/>
      <c r="Q29" s="140"/>
      <c r="R29" s="140"/>
      <c r="S29" s="140"/>
      <c r="T29" s="140"/>
      <c r="U29" s="140"/>
      <c r="V29" s="140"/>
    </row>
    <row r="30" spans="1:22" ht="15.75" customHeight="1" x14ac:dyDescent="0.25">
      <c r="A30" s="140"/>
      <c r="B30" s="140"/>
      <c r="C30" s="140"/>
      <c r="D30" s="140"/>
      <c r="E30" s="140"/>
      <c r="F30" s="140"/>
      <c r="G30" s="140"/>
      <c r="H30" s="140"/>
      <c r="I30" s="140"/>
      <c r="J30" s="140"/>
      <c r="K30" s="140"/>
      <c r="L30" s="140"/>
      <c r="M30" s="140"/>
      <c r="N30" s="140"/>
      <c r="O30" s="140"/>
      <c r="P30" s="140"/>
      <c r="Q30" s="140"/>
      <c r="R30" s="140"/>
      <c r="S30" s="140"/>
      <c r="T30" s="140"/>
      <c r="U30" s="140"/>
      <c r="V30" s="140"/>
    </row>
    <row r="31" spans="1:22" ht="15.75" customHeight="1" x14ac:dyDescent="0.25">
      <c r="A31" s="140"/>
      <c r="B31" s="140"/>
      <c r="C31" s="140"/>
      <c r="D31" s="140"/>
      <c r="E31" s="140"/>
      <c r="F31" s="140"/>
      <c r="G31" s="140"/>
      <c r="H31" s="140"/>
      <c r="I31" s="140"/>
      <c r="J31" s="140"/>
      <c r="K31" s="140"/>
      <c r="L31" s="140"/>
      <c r="M31" s="140"/>
      <c r="N31" s="140"/>
      <c r="O31" s="140"/>
      <c r="P31" s="140"/>
      <c r="Q31" s="140"/>
      <c r="R31" s="140"/>
      <c r="S31" s="140"/>
      <c r="T31" s="140"/>
      <c r="U31" s="140"/>
      <c r="V31" s="140"/>
    </row>
    <row r="32" spans="1:22" ht="15.75" customHeight="1" x14ac:dyDescent="0.25">
      <c r="A32" s="140"/>
      <c r="B32" s="140"/>
      <c r="C32" s="140"/>
      <c r="D32" s="140"/>
      <c r="E32" s="140"/>
      <c r="F32" s="140"/>
      <c r="G32" s="140"/>
      <c r="H32" s="140"/>
      <c r="I32" s="140"/>
      <c r="J32" s="140"/>
      <c r="K32" s="140"/>
      <c r="L32" s="140"/>
      <c r="M32" s="140"/>
      <c r="N32" s="140"/>
      <c r="O32" s="140"/>
      <c r="P32" s="140"/>
      <c r="Q32" s="140"/>
      <c r="R32" s="140"/>
      <c r="S32" s="140"/>
      <c r="T32" s="140"/>
      <c r="U32" s="140"/>
      <c r="V32" s="140"/>
    </row>
    <row r="33" spans="1:22" ht="15.75" customHeight="1" x14ac:dyDescent="0.25">
      <c r="A33" s="140"/>
      <c r="B33" s="140"/>
      <c r="C33" s="140"/>
      <c r="D33" s="140"/>
      <c r="E33" s="140"/>
      <c r="F33" s="140"/>
      <c r="G33" s="140"/>
      <c r="H33" s="140"/>
      <c r="I33" s="140"/>
      <c r="J33" s="140"/>
      <c r="K33" s="140"/>
      <c r="L33" s="140"/>
      <c r="M33" s="140"/>
      <c r="N33" s="140"/>
      <c r="O33" s="140"/>
      <c r="P33" s="140"/>
      <c r="Q33" s="140"/>
      <c r="R33" s="140"/>
      <c r="S33" s="140"/>
      <c r="T33" s="140"/>
      <c r="U33" s="140"/>
      <c r="V33" s="140"/>
    </row>
    <row r="34" spans="1:22" ht="15.75" customHeight="1" x14ac:dyDescent="0.25">
      <c r="A34" s="140"/>
      <c r="B34" s="140"/>
      <c r="C34" s="140"/>
      <c r="D34" s="140"/>
      <c r="E34" s="140"/>
      <c r="F34" s="140"/>
      <c r="G34" s="140"/>
      <c r="H34" s="140"/>
      <c r="I34" s="140"/>
      <c r="J34" s="140"/>
      <c r="K34" s="140"/>
      <c r="L34" s="140"/>
      <c r="M34" s="140"/>
      <c r="N34" s="140"/>
      <c r="O34" s="140"/>
      <c r="P34" s="140"/>
      <c r="Q34" s="140"/>
      <c r="R34" s="140"/>
      <c r="S34" s="140"/>
      <c r="T34" s="140"/>
      <c r="U34" s="140"/>
      <c r="V34" s="140"/>
    </row>
    <row r="35" spans="1:22" ht="15.75" customHeight="1" x14ac:dyDescent="0.25">
      <c r="A35" s="140"/>
      <c r="B35" s="140"/>
      <c r="C35" s="140"/>
      <c r="D35" s="140"/>
      <c r="E35" s="140"/>
      <c r="F35" s="140"/>
      <c r="G35" s="140"/>
      <c r="H35" s="140"/>
      <c r="I35" s="140"/>
      <c r="J35" s="140"/>
      <c r="K35" s="140"/>
      <c r="L35" s="140"/>
      <c r="M35" s="140"/>
      <c r="N35" s="140"/>
      <c r="O35" s="140"/>
      <c r="P35" s="140"/>
      <c r="Q35" s="140"/>
      <c r="R35" s="140"/>
      <c r="S35" s="140"/>
      <c r="T35" s="140"/>
      <c r="U35" s="140"/>
      <c r="V35" s="140"/>
    </row>
    <row r="36" spans="1:22" ht="15.75" customHeight="1" x14ac:dyDescent="0.25">
      <c r="A36" s="140"/>
      <c r="B36" s="140"/>
      <c r="C36" s="140"/>
      <c r="D36" s="140"/>
      <c r="E36" s="140"/>
      <c r="F36" s="140"/>
      <c r="G36" s="140"/>
      <c r="H36" s="140"/>
      <c r="I36" s="140"/>
      <c r="J36" s="140"/>
      <c r="K36" s="140"/>
      <c r="L36" s="140"/>
      <c r="M36" s="140"/>
      <c r="N36" s="140"/>
      <c r="O36" s="140"/>
      <c r="P36" s="140"/>
      <c r="Q36" s="140"/>
      <c r="R36" s="140"/>
      <c r="S36" s="140"/>
      <c r="T36" s="140"/>
      <c r="U36" s="140"/>
      <c r="V36" s="140"/>
    </row>
    <row r="37" spans="1:22" ht="15.75" customHeight="1" x14ac:dyDescent="0.25">
      <c r="A37" s="140"/>
      <c r="B37" s="140"/>
      <c r="C37" s="140"/>
      <c r="D37" s="140"/>
      <c r="E37" s="140"/>
      <c r="F37" s="140"/>
      <c r="G37" s="140"/>
      <c r="H37" s="140"/>
      <c r="I37" s="140"/>
      <c r="J37" s="140"/>
      <c r="K37" s="140"/>
      <c r="L37" s="140"/>
      <c r="M37" s="140"/>
      <c r="N37" s="140"/>
      <c r="O37" s="140"/>
      <c r="P37" s="140"/>
      <c r="Q37" s="140"/>
      <c r="R37" s="140"/>
      <c r="S37" s="140"/>
      <c r="T37" s="140"/>
      <c r="U37" s="140"/>
      <c r="V37" s="140"/>
    </row>
    <row r="38" spans="1:22" ht="15.75" customHeight="1" x14ac:dyDescent="0.25">
      <c r="A38" s="140"/>
      <c r="B38" s="140"/>
      <c r="C38" s="140"/>
      <c r="D38" s="140"/>
      <c r="E38" s="140"/>
      <c r="F38" s="140"/>
      <c r="G38" s="140"/>
      <c r="H38" s="140"/>
      <c r="I38" s="140"/>
      <c r="J38" s="140"/>
      <c r="K38" s="140"/>
      <c r="L38" s="140"/>
      <c r="M38" s="140"/>
      <c r="N38" s="140"/>
      <c r="O38" s="140"/>
      <c r="P38" s="140"/>
      <c r="Q38" s="140"/>
      <c r="R38" s="140"/>
      <c r="S38" s="140"/>
      <c r="T38" s="140"/>
      <c r="U38" s="140"/>
      <c r="V38" s="140"/>
    </row>
    <row r="39" spans="1:22" ht="15.75" customHeight="1" x14ac:dyDescent="0.25">
      <c r="A39" s="140"/>
      <c r="B39" s="140"/>
      <c r="C39" s="140"/>
      <c r="D39" s="140"/>
      <c r="E39" s="140"/>
      <c r="F39" s="140"/>
      <c r="G39" s="140"/>
      <c r="H39" s="140"/>
      <c r="I39" s="140"/>
      <c r="J39" s="140"/>
      <c r="K39" s="140"/>
      <c r="L39" s="140"/>
      <c r="M39" s="140"/>
      <c r="N39" s="140"/>
      <c r="O39" s="140"/>
      <c r="P39" s="140"/>
      <c r="Q39" s="140"/>
      <c r="R39" s="140"/>
      <c r="S39" s="140"/>
      <c r="T39" s="140"/>
      <c r="U39" s="140"/>
      <c r="V39" s="140"/>
    </row>
    <row r="40" spans="1:22" ht="15.75" customHeight="1" x14ac:dyDescent="0.25">
      <c r="A40" s="140"/>
      <c r="B40" s="140"/>
      <c r="C40" s="140"/>
      <c r="D40" s="140"/>
      <c r="E40" s="140"/>
      <c r="F40" s="140"/>
      <c r="G40" s="140"/>
      <c r="H40" s="140"/>
      <c r="I40" s="140"/>
      <c r="J40" s="140"/>
      <c r="K40" s="140"/>
      <c r="L40" s="140"/>
      <c r="M40" s="140"/>
      <c r="N40" s="140"/>
      <c r="O40" s="140"/>
      <c r="P40" s="140"/>
      <c r="Q40" s="140"/>
      <c r="R40" s="140"/>
      <c r="S40" s="140"/>
      <c r="T40" s="140"/>
      <c r="U40" s="140"/>
      <c r="V40" s="140"/>
    </row>
    <row r="41" spans="1:22" ht="15.75" customHeight="1" x14ac:dyDescent="0.25">
      <c r="A41" s="140"/>
      <c r="B41" s="140"/>
      <c r="C41" s="140"/>
      <c r="D41" s="140"/>
      <c r="E41" s="140"/>
      <c r="F41" s="140"/>
      <c r="G41" s="140"/>
      <c r="H41" s="140"/>
      <c r="I41" s="140"/>
      <c r="J41" s="140"/>
      <c r="K41" s="140"/>
      <c r="L41" s="140"/>
      <c r="M41" s="140"/>
      <c r="N41" s="140"/>
      <c r="O41" s="140"/>
      <c r="P41" s="140"/>
      <c r="Q41" s="140"/>
      <c r="R41" s="140"/>
      <c r="S41" s="140"/>
      <c r="T41" s="140"/>
      <c r="U41" s="140"/>
      <c r="V41" s="140"/>
    </row>
    <row r="42" spans="1:22" ht="15.75" customHeight="1" x14ac:dyDescent="0.25">
      <c r="A42" s="140"/>
      <c r="B42" s="140"/>
      <c r="C42" s="140"/>
      <c r="D42" s="140"/>
      <c r="E42" s="140"/>
      <c r="F42" s="140"/>
      <c r="G42" s="140"/>
      <c r="H42" s="140"/>
      <c r="I42" s="140"/>
      <c r="J42" s="140"/>
      <c r="K42" s="140"/>
      <c r="L42" s="140"/>
      <c r="M42" s="140"/>
      <c r="N42" s="140"/>
      <c r="O42" s="140"/>
      <c r="P42" s="140"/>
      <c r="Q42" s="140"/>
      <c r="R42" s="140"/>
      <c r="S42" s="140"/>
      <c r="T42" s="140"/>
      <c r="U42" s="140"/>
      <c r="V42" s="140"/>
    </row>
    <row r="43" spans="1:22" ht="15.75" customHeight="1" x14ac:dyDescent="0.25">
      <c r="A43" s="140"/>
      <c r="B43" s="140"/>
      <c r="C43" s="140"/>
      <c r="D43" s="140"/>
      <c r="E43" s="140"/>
      <c r="F43" s="140"/>
      <c r="G43" s="140"/>
      <c r="H43" s="140"/>
      <c r="I43" s="140"/>
      <c r="J43" s="140"/>
      <c r="K43" s="140"/>
      <c r="L43" s="140"/>
      <c r="M43" s="140"/>
      <c r="N43" s="140"/>
      <c r="O43" s="140"/>
      <c r="P43" s="140"/>
      <c r="Q43" s="140"/>
      <c r="R43" s="140"/>
      <c r="S43" s="140"/>
      <c r="T43" s="140"/>
      <c r="U43" s="140"/>
      <c r="V43" s="140"/>
    </row>
    <row r="44" spans="1:22" ht="15.75" customHeight="1" x14ac:dyDescent="0.25">
      <c r="A44" s="140"/>
      <c r="B44" s="140"/>
      <c r="C44" s="140"/>
      <c r="D44" s="140"/>
      <c r="E44" s="140"/>
      <c r="F44" s="140"/>
      <c r="G44" s="140"/>
      <c r="H44" s="140"/>
      <c r="I44" s="140"/>
      <c r="J44" s="140"/>
      <c r="K44" s="140"/>
      <c r="L44" s="140"/>
      <c r="M44" s="140"/>
      <c r="N44" s="140"/>
      <c r="O44" s="140"/>
      <c r="P44" s="140"/>
      <c r="Q44" s="140"/>
      <c r="R44" s="140"/>
      <c r="S44" s="140"/>
      <c r="T44" s="140"/>
      <c r="U44" s="140"/>
      <c r="V44" s="140"/>
    </row>
    <row r="45" spans="1:22" ht="15.75" customHeight="1" x14ac:dyDescent="0.25">
      <c r="A45" s="140"/>
      <c r="B45" s="140"/>
      <c r="C45" s="140"/>
      <c r="D45" s="140"/>
      <c r="E45" s="140"/>
      <c r="F45" s="140"/>
      <c r="G45" s="140"/>
      <c r="H45" s="140"/>
      <c r="I45" s="140"/>
      <c r="J45" s="140"/>
      <c r="K45" s="140"/>
      <c r="L45" s="140"/>
      <c r="M45" s="140"/>
      <c r="N45" s="140"/>
      <c r="O45" s="140"/>
      <c r="P45" s="140"/>
      <c r="Q45" s="140"/>
      <c r="R45" s="140"/>
      <c r="S45" s="140"/>
      <c r="T45" s="140"/>
      <c r="U45" s="140"/>
      <c r="V45" s="140"/>
    </row>
    <row r="46" spans="1:22" ht="15.75" customHeight="1" x14ac:dyDescent="0.25">
      <c r="A46" s="140"/>
      <c r="B46" s="140"/>
      <c r="C46" s="140"/>
      <c r="D46" s="140"/>
      <c r="E46" s="140"/>
      <c r="F46" s="140"/>
      <c r="G46" s="140"/>
      <c r="H46" s="140"/>
      <c r="I46" s="140"/>
      <c r="J46" s="140"/>
      <c r="K46" s="140"/>
      <c r="L46" s="140"/>
      <c r="M46" s="140"/>
      <c r="N46" s="140"/>
      <c r="O46" s="140"/>
      <c r="P46" s="140"/>
      <c r="Q46" s="140"/>
      <c r="R46" s="140"/>
      <c r="S46" s="140"/>
      <c r="T46" s="140"/>
      <c r="U46" s="140"/>
      <c r="V46" s="140"/>
    </row>
    <row r="47" spans="1:22" ht="15.75" customHeight="1" x14ac:dyDescent="0.25">
      <c r="A47" s="140"/>
      <c r="B47" s="140"/>
      <c r="C47" s="140"/>
      <c r="D47" s="140"/>
      <c r="E47" s="140"/>
      <c r="F47" s="140"/>
      <c r="G47" s="140"/>
      <c r="H47" s="140"/>
      <c r="I47" s="140"/>
      <c r="J47" s="140"/>
      <c r="K47" s="140"/>
      <c r="L47" s="140"/>
      <c r="M47" s="140"/>
      <c r="N47" s="140"/>
      <c r="O47" s="140"/>
      <c r="P47" s="140"/>
      <c r="Q47" s="140"/>
      <c r="R47" s="140"/>
      <c r="S47" s="140"/>
      <c r="T47" s="140"/>
      <c r="U47" s="140"/>
      <c r="V47" s="140"/>
    </row>
    <row r="48" spans="1:22" ht="15.75" customHeight="1" x14ac:dyDescent="0.25">
      <c r="A48" s="140"/>
      <c r="B48" s="140"/>
      <c r="C48" s="140"/>
      <c r="D48" s="140"/>
      <c r="E48" s="140"/>
      <c r="F48" s="140"/>
      <c r="G48" s="140"/>
      <c r="H48" s="140"/>
      <c r="I48" s="140"/>
      <c r="J48" s="140"/>
      <c r="K48" s="140"/>
      <c r="L48" s="140"/>
      <c r="M48" s="140"/>
      <c r="N48" s="140"/>
      <c r="O48" s="140"/>
      <c r="P48" s="140"/>
      <c r="Q48" s="140"/>
      <c r="R48" s="140"/>
      <c r="S48" s="140"/>
      <c r="T48" s="140"/>
      <c r="U48" s="140"/>
      <c r="V48" s="140"/>
    </row>
    <row r="49" spans="1:22" ht="15.75" customHeight="1" x14ac:dyDescent="0.25">
      <c r="A49" s="140"/>
      <c r="B49" s="140"/>
      <c r="C49" s="140"/>
      <c r="D49" s="140"/>
      <c r="E49" s="140"/>
      <c r="F49" s="140"/>
      <c r="G49" s="140"/>
      <c r="H49" s="140"/>
      <c r="I49" s="140"/>
      <c r="J49" s="140"/>
      <c r="K49" s="140"/>
      <c r="L49" s="140"/>
      <c r="M49" s="140"/>
      <c r="N49" s="140"/>
      <c r="O49" s="140"/>
      <c r="P49" s="140"/>
      <c r="Q49" s="140"/>
      <c r="R49" s="140"/>
      <c r="S49" s="140"/>
      <c r="T49" s="140"/>
      <c r="U49" s="140"/>
      <c r="V49" s="140"/>
    </row>
    <row r="50" spans="1:22" ht="15.75" customHeight="1" x14ac:dyDescent="0.25">
      <c r="A50" s="140"/>
      <c r="B50" s="140"/>
      <c r="C50" s="140"/>
      <c r="D50" s="140"/>
      <c r="E50" s="140"/>
      <c r="F50" s="140"/>
      <c r="G50" s="140"/>
      <c r="H50" s="140"/>
      <c r="I50" s="140"/>
      <c r="J50" s="140"/>
      <c r="K50" s="140"/>
      <c r="L50" s="140"/>
      <c r="M50" s="140"/>
      <c r="N50" s="140"/>
      <c r="O50" s="140"/>
      <c r="P50" s="140"/>
      <c r="Q50" s="140"/>
      <c r="R50" s="140"/>
      <c r="S50" s="140"/>
      <c r="T50" s="140"/>
      <c r="U50" s="140"/>
      <c r="V50" s="140"/>
    </row>
    <row r="51" spans="1:22" ht="15.75" customHeight="1" x14ac:dyDescent="0.25">
      <c r="A51" s="140"/>
      <c r="B51" s="140"/>
      <c r="C51" s="140"/>
      <c r="D51" s="140"/>
      <c r="E51" s="140"/>
      <c r="F51" s="140"/>
      <c r="G51" s="140"/>
      <c r="H51" s="140"/>
      <c r="I51" s="140"/>
      <c r="J51" s="140"/>
      <c r="K51" s="140"/>
      <c r="L51" s="140"/>
      <c r="M51" s="140"/>
      <c r="N51" s="140"/>
      <c r="O51" s="140"/>
      <c r="P51" s="140"/>
      <c r="Q51" s="140"/>
      <c r="R51" s="140"/>
      <c r="S51" s="140"/>
      <c r="T51" s="140"/>
      <c r="U51" s="140"/>
      <c r="V51" s="140"/>
    </row>
    <row r="52" spans="1:22" ht="15.75" customHeight="1" x14ac:dyDescent="0.25">
      <c r="A52" s="140"/>
      <c r="B52" s="140"/>
      <c r="C52" s="140"/>
      <c r="D52" s="140"/>
      <c r="E52" s="140"/>
      <c r="F52" s="140"/>
      <c r="G52" s="140"/>
      <c r="H52" s="140"/>
      <c r="I52" s="140"/>
      <c r="J52" s="140"/>
      <c r="K52" s="140"/>
      <c r="L52" s="140"/>
      <c r="M52" s="140"/>
      <c r="N52" s="140"/>
      <c r="O52" s="140"/>
      <c r="P52" s="140"/>
      <c r="Q52" s="140"/>
      <c r="R52" s="140"/>
      <c r="S52" s="140"/>
      <c r="T52" s="140"/>
      <c r="U52" s="140"/>
      <c r="V52" s="140"/>
    </row>
    <row r="53" spans="1:22" ht="15.75" customHeight="1" x14ac:dyDescent="0.25">
      <c r="A53" s="140"/>
      <c r="B53" s="140"/>
      <c r="C53" s="140"/>
      <c r="D53" s="140"/>
      <c r="E53" s="140"/>
      <c r="F53" s="140"/>
      <c r="G53" s="140"/>
      <c r="H53" s="140"/>
      <c r="I53" s="140"/>
      <c r="J53" s="140"/>
      <c r="K53" s="140"/>
      <c r="L53" s="140"/>
      <c r="M53" s="140"/>
      <c r="N53" s="140"/>
      <c r="O53" s="140"/>
      <c r="P53" s="140"/>
      <c r="Q53" s="140"/>
      <c r="R53" s="140"/>
      <c r="S53" s="140"/>
      <c r="T53" s="140"/>
      <c r="U53" s="140"/>
      <c r="V53" s="140"/>
    </row>
    <row r="54" spans="1:22" ht="15.75" customHeight="1" x14ac:dyDescent="0.25">
      <c r="A54" s="140"/>
      <c r="B54" s="140"/>
      <c r="C54" s="140"/>
      <c r="D54" s="140"/>
      <c r="E54" s="140"/>
      <c r="F54" s="140"/>
      <c r="G54" s="140"/>
      <c r="H54" s="140"/>
      <c r="I54" s="140"/>
      <c r="J54" s="140"/>
      <c r="K54" s="140"/>
      <c r="L54" s="140"/>
      <c r="M54" s="140"/>
      <c r="N54" s="140"/>
      <c r="O54" s="140"/>
      <c r="P54" s="140"/>
      <c r="Q54" s="140"/>
      <c r="R54" s="140"/>
      <c r="S54" s="140"/>
      <c r="T54" s="140"/>
      <c r="U54" s="140"/>
      <c r="V54" s="140"/>
    </row>
    <row r="55" spans="1:22" ht="15.75" customHeight="1" x14ac:dyDescent="0.25">
      <c r="A55" s="140"/>
      <c r="B55" s="140"/>
      <c r="C55" s="140"/>
      <c r="D55" s="140"/>
      <c r="E55" s="140"/>
      <c r="F55" s="140"/>
      <c r="G55" s="140"/>
      <c r="H55" s="140"/>
      <c r="I55" s="140"/>
      <c r="J55" s="140"/>
      <c r="K55" s="140"/>
      <c r="L55" s="140"/>
      <c r="M55" s="140"/>
      <c r="N55" s="140"/>
      <c r="O55" s="140"/>
      <c r="P55" s="140"/>
      <c r="Q55" s="140"/>
      <c r="R55" s="140"/>
      <c r="S55" s="140"/>
      <c r="T55" s="140"/>
      <c r="U55" s="140"/>
      <c r="V55" s="140"/>
    </row>
    <row r="56" spans="1:22" ht="15.75" customHeight="1" x14ac:dyDescent="0.25">
      <c r="A56" s="140"/>
      <c r="B56" s="140"/>
      <c r="C56" s="140"/>
      <c r="D56" s="140"/>
      <c r="E56" s="140"/>
      <c r="F56" s="140"/>
      <c r="G56" s="140"/>
      <c r="H56" s="140"/>
      <c r="I56" s="140"/>
      <c r="J56" s="140"/>
      <c r="K56" s="140"/>
      <c r="L56" s="140"/>
      <c r="M56" s="140"/>
      <c r="N56" s="140"/>
      <c r="O56" s="140"/>
      <c r="P56" s="140"/>
      <c r="Q56" s="140"/>
      <c r="R56" s="140"/>
      <c r="S56" s="140"/>
      <c r="T56" s="140"/>
      <c r="U56" s="140"/>
      <c r="V56" s="140"/>
    </row>
    <row r="57" spans="1:22" ht="15.75" customHeight="1" x14ac:dyDescent="0.25">
      <c r="A57" s="140"/>
      <c r="B57" s="140"/>
      <c r="C57" s="140"/>
      <c r="D57" s="140"/>
      <c r="E57" s="140"/>
      <c r="F57" s="140"/>
      <c r="G57" s="140"/>
      <c r="H57" s="140"/>
      <c r="I57" s="140"/>
      <c r="J57" s="140"/>
      <c r="K57" s="140"/>
      <c r="L57" s="140"/>
      <c r="M57" s="140"/>
      <c r="N57" s="140"/>
      <c r="O57" s="140"/>
      <c r="P57" s="140"/>
      <c r="Q57" s="140"/>
      <c r="R57" s="140"/>
      <c r="S57" s="140"/>
      <c r="T57" s="140"/>
      <c r="U57" s="140"/>
      <c r="V57" s="140"/>
    </row>
    <row r="58" spans="1:22" ht="15.75" customHeight="1" x14ac:dyDescent="0.25">
      <c r="A58" s="140"/>
      <c r="B58" s="140"/>
      <c r="C58" s="140"/>
      <c r="D58" s="140"/>
      <c r="E58" s="140"/>
      <c r="F58" s="140"/>
      <c r="G58" s="140"/>
      <c r="H58" s="140"/>
      <c r="I58" s="140"/>
      <c r="J58" s="140"/>
      <c r="K58" s="140"/>
      <c r="L58" s="140"/>
      <c r="M58" s="140"/>
      <c r="N58" s="140"/>
      <c r="O58" s="140"/>
      <c r="P58" s="140"/>
      <c r="Q58" s="140"/>
      <c r="R58" s="140"/>
      <c r="S58" s="140"/>
      <c r="T58" s="140"/>
      <c r="U58" s="140"/>
      <c r="V58" s="140"/>
    </row>
    <row r="59" spans="1:22" ht="15.75" customHeight="1" x14ac:dyDescent="0.25">
      <c r="A59" s="140"/>
      <c r="B59" s="140"/>
      <c r="C59" s="140"/>
      <c r="D59" s="140"/>
      <c r="E59" s="140"/>
      <c r="F59" s="140"/>
      <c r="G59" s="140"/>
      <c r="H59" s="140"/>
      <c r="I59" s="140"/>
      <c r="J59" s="140"/>
      <c r="K59" s="140"/>
      <c r="L59" s="140"/>
      <c r="M59" s="140"/>
      <c r="N59" s="140"/>
      <c r="O59" s="140"/>
      <c r="P59" s="140"/>
      <c r="Q59" s="140"/>
      <c r="R59" s="140"/>
      <c r="S59" s="140"/>
      <c r="T59" s="140"/>
      <c r="U59" s="140"/>
      <c r="V59" s="140"/>
    </row>
    <row r="60" spans="1:22" ht="15.75" customHeight="1" x14ac:dyDescent="0.25">
      <c r="A60" s="140"/>
      <c r="B60" s="140"/>
      <c r="C60" s="140"/>
      <c r="D60" s="140"/>
      <c r="E60" s="140"/>
      <c r="F60" s="140"/>
      <c r="G60" s="140"/>
      <c r="H60" s="140"/>
      <c r="I60" s="140"/>
      <c r="J60" s="140"/>
      <c r="K60" s="140"/>
      <c r="L60" s="140"/>
      <c r="M60" s="140"/>
      <c r="N60" s="140"/>
      <c r="O60" s="140"/>
      <c r="P60" s="140"/>
      <c r="Q60" s="140"/>
      <c r="R60" s="140"/>
      <c r="S60" s="140"/>
      <c r="T60" s="140"/>
      <c r="U60" s="140"/>
      <c r="V60" s="140"/>
    </row>
    <row r="61" spans="1:22" ht="15.75" customHeight="1" x14ac:dyDescent="0.25">
      <c r="A61" s="140"/>
      <c r="B61" s="140"/>
      <c r="C61" s="140"/>
      <c r="D61" s="140"/>
      <c r="E61" s="140"/>
      <c r="F61" s="140"/>
      <c r="G61" s="140"/>
      <c r="H61" s="140"/>
      <c r="I61" s="140"/>
      <c r="J61" s="140"/>
      <c r="K61" s="140"/>
      <c r="L61" s="140"/>
      <c r="M61" s="140"/>
      <c r="N61" s="140"/>
      <c r="O61" s="140"/>
      <c r="P61" s="140"/>
      <c r="Q61" s="140"/>
      <c r="R61" s="140"/>
      <c r="S61" s="140"/>
      <c r="T61" s="140"/>
      <c r="U61" s="140"/>
      <c r="V61" s="140"/>
    </row>
    <row r="62" spans="1:22" ht="15.75" customHeight="1" x14ac:dyDescent="0.25">
      <c r="A62" s="140"/>
      <c r="B62" s="140"/>
      <c r="C62" s="140"/>
      <c r="D62" s="140"/>
      <c r="E62" s="140"/>
      <c r="F62" s="140"/>
      <c r="G62" s="140"/>
      <c r="H62" s="140"/>
      <c r="I62" s="140"/>
      <c r="J62" s="140"/>
      <c r="K62" s="140"/>
      <c r="L62" s="140"/>
      <c r="M62" s="140"/>
      <c r="N62" s="140"/>
      <c r="O62" s="140"/>
      <c r="P62" s="140"/>
      <c r="Q62" s="140"/>
      <c r="R62" s="140"/>
      <c r="S62" s="140"/>
      <c r="T62" s="140"/>
      <c r="U62" s="140"/>
      <c r="V62" s="140"/>
    </row>
    <row r="63" spans="1:22" ht="15.75" customHeight="1" x14ac:dyDescent="0.25">
      <c r="A63" s="140"/>
      <c r="B63" s="140"/>
      <c r="C63" s="140"/>
      <c r="D63" s="140"/>
      <c r="E63" s="140"/>
      <c r="F63" s="140"/>
      <c r="G63" s="140"/>
      <c r="H63" s="140"/>
      <c r="I63" s="140"/>
      <c r="J63" s="140"/>
      <c r="K63" s="140"/>
      <c r="L63" s="140"/>
      <c r="M63" s="140"/>
      <c r="N63" s="140"/>
      <c r="O63" s="140"/>
      <c r="P63" s="140"/>
      <c r="Q63" s="140"/>
      <c r="R63" s="140"/>
      <c r="S63" s="140"/>
      <c r="T63" s="140"/>
      <c r="U63" s="140"/>
      <c r="V63" s="140"/>
    </row>
    <row r="64" spans="1:22" ht="15.75" customHeight="1" x14ac:dyDescent="0.25">
      <c r="A64" s="140"/>
      <c r="B64" s="140"/>
      <c r="C64" s="140"/>
      <c r="D64" s="140"/>
      <c r="E64" s="140"/>
      <c r="F64" s="140"/>
      <c r="G64" s="140"/>
      <c r="H64" s="140"/>
      <c r="I64" s="140"/>
      <c r="J64" s="140"/>
      <c r="K64" s="140"/>
      <c r="L64" s="140"/>
      <c r="M64" s="140"/>
      <c r="N64" s="140"/>
      <c r="O64" s="140"/>
      <c r="P64" s="140"/>
      <c r="Q64" s="140"/>
      <c r="R64" s="140"/>
      <c r="S64" s="140"/>
      <c r="T64" s="140"/>
      <c r="U64" s="140"/>
      <c r="V64" s="140"/>
    </row>
    <row r="65" spans="1:22" ht="15.75" customHeight="1" x14ac:dyDescent="0.25">
      <c r="A65" s="140"/>
      <c r="B65" s="140"/>
      <c r="C65" s="140"/>
      <c r="D65" s="140"/>
      <c r="E65" s="140"/>
      <c r="F65" s="140"/>
      <c r="G65" s="140"/>
      <c r="H65" s="140"/>
      <c r="I65" s="140"/>
      <c r="J65" s="140"/>
      <c r="K65" s="140"/>
      <c r="L65" s="140"/>
      <c r="M65" s="140"/>
      <c r="N65" s="140"/>
      <c r="O65" s="140"/>
      <c r="P65" s="140"/>
      <c r="Q65" s="140"/>
      <c r="R65" s="140"/>
      <c r="S65" s="140"/>
      <c r="T65" s="140"/>
      <c r="U65" s="140"/>
      <c r="V65" s="140"/>
    </row>
    <row r="66" spans="1:22" ht="15.75" customHeight="1" x14ac:dyDescent="0.25">
      <c r="A66" s="140"/>
      <c r="B66" s="140"/>
      <c r="C66" s="140"/>
      <c r="D66" s="140"/>
      <c r="E66" s="140"/>
      <c r="F66" s="140"/>
      <c r="G66" s="140"/>
      <c r="H66" s="140"/>
      <c r="I66" s="140"/>
      <c r="J66" s="140"/>
      <c r="K66" s="140"/>
      <c r="L66" s="140"/>
      <c r="M66" s="140"/>
      <c r="N66" s="140"/>
      <c r="O66" s="140"/>
      <c r="P66" s="140"/>
      <c r="Q66" s="140"/>
      <c r="R66" s="140"/>
      <c r="S66" s="140"/>
      <c r="T66" s="140"/>
      <c r="U66" s="140"/>
      <c r="V66" s="140"/>
    </row>
    <row r="67" spans="1:22" ht="15.75" customHeight="1" x14ac:dyDescent="0.25">
      <c r="A67" s="140"/>
      <c r="B67" s="140"/>
      <c r="C67" s="140"/>
      <c r="D67" s="140"/>
      <c r="E67" s="140"/>
      <c r="F67" s="140"/>
      <c r="G67" s="140"/>
      <c r="H67" s="140"/>
      <c r="I67" s="140"/>
      <c r="J67" s="140"/>
      <c r="K67" s="140"/>
      <c r="L67" s="140"/>
      <c r="M67" s="140"/>
      <c r="N67" s="140"/>
      <c r="O67" s="140"/>
      <c r="P67" s="140"/>
      <c r="Q67" s="140"/>
      <c r="R67" s="140"/>
      <c r="S67" s="140"/>
      <c r="T67" s="140"/>
      <c r="U67" s="140"/>
      <c r="V67" s="140"/>
    </row>
    <row r="68" spans="1:22" ht="15.75" customHeight="1" x14ac:dyDescent="0.25">
      <c r="A68" s="140"/>
      <c r="B68" s="140"/>
      <c r="C68" s="140"/>
      <c r="D68" s="140"/>
      <c r="E68" s="140"/>
      <c r="F68" s="140"/>
      <c r="G68" s="140"/>
      <c r="H68" s="140"/>
      <c r="I68" s="140"/>
      <c r="J68" s="140"/>
      <c r="K68" s="140"/>
      <c r="L68" s="140"/>
      <c r="M68" s="140"/>
      <c r="N68" s="140"/>
      <c r="O68" s="140"/>
      <c r="P68" s="140"/>
      <c r="Q68" s="140"/>
      <c r="R68" s="140"/>
      <c r="S68" s="140"/>
      <c r="T68" s="140"/>
      <c r="U68" s="140"/>
      <c r="V68" s="140"/>
    </row>
    <row r="69" spans="1:22" ht="15.75" customHeight="1" x14ac:dyDescent="0.25">
      <c r="A69" s="140"/>
      <c r="B69" s="140"/>
      <c r="C69" s="140"/>
      <c r="D69" s="140"/>
      <c r="E69" s="140"/>
      <c r="F69" s="140"/>
      <c r="G69" s="140"/>
      <c r="H69" s="140"/>
      <c r="I69" s="140"/>
      <c r="J69" s="140"/>
      <c r="K69" s="140"/>
      <c r="L69" s="140"/>
      <c r="M69" s="140"/>
      <c r="N69" s="140"/>
      <c r="O69" s="140"/>
      <c r="P69" s="140"/>
      <c r="Q69" s="140"/>
      <c r="R69" s="140"/>
      <c r="S69" s="140"/>
      <c r="T69" s="140"/>
      <c r="U69" s="140"/>
      <c r="V69" s="140"/>
    </row>
    <row r="70" spans="1:22" ht="15.75" customHeight="1" x14ac:dyDescent="0.25">
      <c r="A70" s="140"/>
      <c r="B70" s="140"/>
      <c r="C70" s="140"/>
      <c r="D70" s="140"/>
      <c r="E70" s="140"/>
      <c r="F70" s="140"/>
      <c r="G70" s="140"/>
      <c r="H70" s="140"/>
      <c r="I70" s="140"/>
      <c r="J70" s="140"/>
      <c r="K70" s="140"/>
      <c r="L70" s="140"/>
      <c r="M70" s="140"/>
      <c r="N70" s="140"/>
      <c r="O70" s="140"/>
      <c r="P70" s="140"/>
      <c r="Q70" s="140"/>
      <c r="R70" s="140"/>
      <c r="S70" s="140"/>
      <c r="T70" s="140"/>
      <c r="U70" s="140"/>
      <c r="V70" s="140"/>
    </row>
    <row r="71" spans="1:22" ht="15.75" customHeight="1" x14ac:dyDescent="0.25">
      <c r="A71" s="140"/>
      <c r="B71" s="140"/>
      <c r="C71" s="140"/>
      <c r="D71" s="140"/>
      <c r="E71" s="140"/>
      <c r="F71" s="140"/>
      <c r="G71" s="140"/>
      <c r="H71" s="140"/>
      <c r="I71" s="140"/>
      <c r="J71" s="140"/>
      <c r="K71" s="140"/>
      <c r="L71" s="140"/>
      <c r="M71" s="140"/>
      <c r="N71" s="140"/>
      <c r="O71" s="140"/>
      <c r="P71" s="140"/>
      <c r="Q71" s="140"/>
      <c r="R71" s="140"/>
      <c r="S71" s="140"/>
      <c r="T71" s="140"/>
      <c r="U71" s="140"/>
      <c r="V71" s="140"/>
    </row>
    <row r="72" spans="1:22" ht="15.75" customHeight="1" x14ac:dyDescent="0.25">
      <c r="A72" s="140"/>
      <c r="B72" s="140"/>
      <c r="C72" s="140"/>
      <c r="D72" s="140"/>
      <c r="E72" s="140"/>
      <c r="F72" s="140"/>
      <c r="G72" s="140"/>
      <c r="H72" s="140"/>
      <c r="I72" s="140"/>
      <c r="J72" s="140"/>
      <c r="K72" s="140"/>
      <c r="L72" s="140"/>
      <c r="M72" s="140"/>
      <c r="N72" s="140"/>
      <c r="O72" s="140"/>
      <c r="P72" s="140"/>
      <c r="Q72" s="140"/>
      <c r="R72" s="140"/>
      <c r="S72" s="140"/>
      <c r="T72" s="140"/>
      <c r="U72" s="140"/>
      <c r="V72" s="140"/>
    </row>
    <row r="73" spans="1:22" ht="15.75" customHeight="1" x14ac:dyDescent="0.25">
      <c r="A73" s="140"/>
      <c r="B73" s="140"/>
      <c r="C73" s="140"/>
      <c r="D73" s="140"/>
      <c r="E73" s="140"/>
      <c r="F73" s="140"/>
      <c r="G73" s="140"/>
      <c r="H73" s="140"/>
      <c r="I73" s="140"/>
      <c r="J73" s="140"/>
      <c r="K73" s="140"/>
      <c r="L73" s="140"/>
      <c r="M73" s="140"/>
      <c r="N73" s="140"/>
      <c r="O73" s="140"/>
      <c r="P73" s="140"/>
      <c r="Q73" s="140"/>
      <c r="R73" s="140"/>
      <c r="S73" s="140"/>
      <c r="T73" s="140"/>
      <c r="U73" s="140"/>
      <c r="V73" s="140"/>
    </row>
    <row r="74" spans="1:22" ht="15.75" customHeight="1" x14ac:dyDescent="0.25">
      <c r="A74" s="140"/>
      <c r="B74" s="140"/>
      <c r="C74" s="140"/>
      <c r="D74" s="140"/>
      <c r="E74" s="140"/>
      <c r="F74" s="140"/>
      <c r="G74" s="140"/>
      <c r="H74" s="140"/>
      <c r="I74" s="140"/>
      <c r="J74" s="140"/>
      <c r="K74" s="140"/>
      <c r="L74" s="140"/>
      <c r="M74" s="140"/>
      <c r="N74" s="140"/>
      <c r="O74" s="140"/>
      <c r="P74" s="140"/>
      <c r="Q74" s="140"/>
      <c r="R74" s="140"/>
      <c r="S74" s="140"/>
      <c r="T74" s="140"/>
      <c r="U74" s="140"/>
      <c r="V74" s="140"/>
    </row>
    <row r="75" spans="1:22" ht="15.75" customHeight="1" x14ac:dyDescent="0.25">
      <c r="A75" s="140"/>
      <c r="B75" s="140"/>
      <c r="C75" s="140"/>
      <c r="D75" s="140"/>
      <c r="E75" s="140"/>
      <c r="F75" s="140"/>
      <c r="G75" s="140"/>
      <c r="H75" s="140"/>
      <c r="I75" s="140"/>
      <c r="J75" s="140"/>
      <c r="K75" s="140"/>
      <c r="L75" s="140"/>
      <c r="M75" s="140"/>
      <c r="N75" s="140"/>
      <c r="O75" s="140"/>
      <c r="P75" s="140"/>
      <c r="Q75" s="140"/>
      <c r="R75" s="140"/>
      <c r="S75" s="140"/>
      <c r="T75" s="140"/>
      <c r="U75" s="140"/>
      <c r="V75" s="140"/>
    </row>
    <row r="76" spans="1:22" ht="15.75" customHeight="1" x14ac:dyDescent="0.25">
      <c r="A76" s="140"/>
      <c r="B76" s="140"/>
      <c r="C76" s="140"/>
      <c r="D76" s="140"/>
      <c r="E76" s="140"/>
      <c r="F76" s="140"/>
      <c r="G76" s="140"/>
      <c r="H76" s="140"/>
      <c r="I76" s="140"/>
      <c r="J76" s="140"/>
      <c r="K76" s="140"/>
      <c r="L76" s="140"/>
      <c r="M76" s="140"/>
      <c r="N76" s="140"/>
      <c r="O76" s="140"/>
      <c r="P76" s="140"/>
      <c r="Q76" s="140"/>
      <c r="R76" s="140"/>
      <c r="S76" s="140"/>
      <c r="T76" s="140"/>
      <c r="U76" s="140"/>
      <c r="V76" s="140"/>
    </row>
    <row r="77" spans="1:22" ht="15.75" customHeight="1" x14ac:dyDescent="0.25">
      <c r="A77" s="140"/>
      <c r="B77" s="140"/>
      <c r="C77" s="140"/>
      <c r="D77" s="140"/>
      <c r="E77" s="140"/>
      <c r="F77" s="140"/>
      <c r="G77" s="140"/>
      <c r="H77" s="140"/>
      <c r="I77" s="140"/>
      <c r="J77" s="140"/>
      <c r="K77" s="140"/>
      <c r="L77" s="140"/>
      <c r="M77" s="140"/>
      <c r="N77" s="140"/>
      <c r="O77" s="140"/>
      <c r="P77" s="140"/>
      <c r="Q77" s="140"/>
      <c r="R77" s="140"/>
      <c r="S77" s="140"/>
      <c r="T77" s="140"/>
      <c r="U77" s="140"/>
      <c r="V77" s="140"/>
    </row>
    <row r="78" spans="1:22" ht="15.75" customHeight="1" x14ac:dyDescent="0.25">
      <c r="A78" s="140"/>
      <c r="B78" s="140"/>
      <c r="C78" s="140"/>
      <c r="D78" s="140"/>
      <c r="E78" s="140"/>
      <c r="F78" s="140"/>
      <c r="G78" s="140"/>
      <c r="H78" s="140"/>
      <c r="I78" s="140"/>
      <c r="J78" s="140"/>
      <c r="K78" s="140"/>
      <c r="L78" s="140"/>
      <c r="M78" s="140"/>
      <c r="N78" s="140"/>
      <c r="O78" s="140"/>
      <c r="P78" s="140"/>
      <c r="Q78" s="140"/>
      <c r="R78" s="140"/>
      <c r="S78" s="140"/>
      <c r="T78" s="140"/>
      <c r="U78" s="140"/>
      <c r="V78" s="140"/>
    </row>
    <row r="79" spans="1:22" ht="15.75" customHeight="1" x14ac:dyDescent="0.25">
      <c r="A79" s="140"/>
      <c r="B79" s="140"/>
      <c r="C79" s="140"/>
      <c r="D79" s="140"/>
      <c r="E79" s="140"/>
      <c r="F79" s="140"/>
      <c r="G79" s="140"/>
      <c r="H79" s="140"/>
      <c r="I79" s="140"/>
      <c r="J79" s="140"/>
      <c r="K79" s="140"/>
      <c r="L79" s="140"/>
      <c r="M79" s="140"/>
      <c r="N79" s="140"/>
      <c r="O79" s="140"/>
      <c r="P79" s="140"/>
      <c r="Q79" s="140"/>
      <c r="R79" s="140"/>
      <c r="S79" s="140"/>
      <c r="T79" s="140"/>
      <c r="U79" s="140"/>
      <c r="V79" s="140"/>
    </row>
    <row r="80" spans="1:22" ht="15.75" customHeight="1" x14ac:dyDescent="0.25">
      <c r="A80" s="140"/>
      <c r="B80" s="140"/>
      <c r="C80" s="140"/>
      <c r="D80" s="140"/>
      <c r="E80" s="140"/>
      <c r="F80" s="140"/>
      <c r="G80" s="140"/>
      <c r="H80" s="140"/>
      <c r="I80" s="140"/>
      <c r="J80" s="140"/>
      <c r="K80" s="140"/>
      <c r="L80" s="140"/>
      <c r="M80" s="140"/>
      <c r="N80" s="140"/>
      <c r="O80" s="140"/>
      <c r="P80" s="140"/>
      <c r="Q80" s="140"/>
      <c r="R80" s="140"/>
      <c r="S80" s="140"/>
      <c r="T80" s="140"/>
      <c r="U80" s="140"/>
      <c r="V80" s="140"/>
    </row>
    <row r="81" spans="1:22" ht="15.75" customHeight="1" x14ac:dyDescent="0.25">
      <c r="A81" s="140"/>
      <c r="B81" s="140"/>
      <c r="C81" s="140"/>
      <c r="D81" s="140"/>
      <c r="E81" s="140"/>
      <c r="F81" s="140"/>
      <c r="G81" s="140"/>
      <c r="H81" s="140"/>
      <c r="I81" s="140"/>
      <c r="J81" s="140"/>
      <c r="K81" s="140"/>
      <c r="L81" s="140"/>
      <c r="M81" s="140"/>
      <c r="N81" s="140"/>
      <c r="O81" s="140"/>
      <c r="P81" s="140"/>
      <c r="Q81" s="140"/>
      <c r="R81" s="140"/>
      <c r="S81" s="140"/>
      <c r="T81" s="140"/>
      <c r="U81" s="140"/>
      <c r="V81" s="140"/>
    </row>
    <row r="82" spans="1:22" ht="15.75" customHeight="1" x14ac:dyDescent="0.25">
      <c r="A82" s="140"/>
      <c r="B82" s="140"/>
      <c r="C82" s="140"/>
      <c r="D82" s="140"/>
      <c r="E82" s="140"/>
      <c r="F82" s="140"/>
      <c r="G82" s="140"/>
      <c r="H82" s="140"/>
      <c r="I82" s="140"/>
      <c r="J82" s="140"/>
      <c r="K82" s="140"/>
      <c r="L82" s="140"/>
      <c r="M82" s="140"/>
      <c r="N82" s="140"/>
      <c r="O82" s="140"/>
      <c r="P82" s="140"/>
      <c r="Q82" s="140"/>
      <c r="R82" s="140"/>
      <c r="S82" s="140"/>
      <c r="T82" s="140"/>
      <c r="U82" s="140"/>
      <c r="V82" s="140"/>
    </row>
    <row r="83" spans="1:22" ht="15.75" customHeight="1" x14ac:dyDescent="0.25">
      <c r="A83" s="140"/>
      <c r="B83" s="140"/>
      <c r="C83" s="140"/>
      <c r="D83" s="140"/>
      <c r="E83" s="140"/>
      <c r="F83" s="140"/>
      <c r="G83" s="140"/>
      <c r="H83" s="140"/>
      <c r="I83" s="140"/>
      <c r="J83" s="140"/>
      <c r="K83" s="140"/>
      <c r="L83" s="140"/>
      <c r="M83" s="140"/>
      <c r="N83" s="140"/>
      <c r="O83" s="140"/>
      <c r="P83" s="140"/>
      <c r="Q83" s="140"/>
      <c r="R83" s="140"/>
      <c r="S83" s="140"/>
      <c r="T83" s="140"/>
      <c r="U83" s="140"/>
      <c r="V83" s="140"/>
    </row>
    <row r="84" spans="1:22" ht="15.75" customHeight="1" x14ac:dyDescent="0.25">
      <c r="A84" s="140"/>
      <c r="B84" s="140"/>
      <c r="C84" s="140"/>
      <c r="D84" s="140"/>
      <c r="E84" s="140"/>
      <c r="F84" s="140"/>
      <c r="G84" s="140"/>
      <c r="H84" s="140"/>
      <c r="I84" s="140"/>
      <c r="J84" s="140"/>
      <c r="K84" s="140"/>
      <c r="L84" s="140"/>
      <c r="M84" s="140"/>
      <c r="N84" s="140"/>
      <c r="O84" s="140"/>
      <c r="P84" s="140"/>
      <c r="Q84" s="140"/>
      <c r="R84" s="140"/>
      <c r="S84" s="140"/>
      <c r="T84" s="140"/>
      <c r="U84" s="140"/>
      <c r="V84" s="140"/>
    </row>
    <row r="85" spans="1:22" ht="15.75" customHeight="1" x14ac:dyDescent="0.25">
      <c r="A85" s="140"/>
      <c r="B85" s="140"/>
      <c r="C85" s="140"/>
      <c r="D85" s="140"/>
      <c r="E85" s="140"/>
      <c r="F85" s="140"/>
      <c r="G85" s="140"/>
      <c r="H85" s="140"/>
      <c r="I85" s="140"/>
      <c r="J85" s="140"/>
      <c r="K85" s="140"/>
      <c r="L85" s="140"/>
      <c r="M85" s="140"/>
      <c r="N85" s="140"/>
      <c r="O85" s="140"/>
      <c r="P85" s="140"/>
      <c r="Q85" s="140"/>
      <c r="R85" s="140"/>
      <c r="S85" s="140"/>
      <c r="T85" s="140"/>
      <c r="U85" s="140"/>
      <c r="V85" s="140"/>
    </row>
    <row r="86" spans="1:22" ht="15.75" customHeight="1" x14ac:dyDescent="0.25">
      <c r="A86" s="140"/>
      <c r="B86" s="140"/>
      <c r="C86" s="140"/>
      <c r="D86" s="140"/>
      <c r="E86" s="140"/>
      <c r="F86" s="140"/>
      <c r="G86" s="140"/>
      <c r="H86" s="140"/>
      <c r="I86" s="140"/>
      <c r="J86" s="140"/>
      <c r="K86" s="140"/>
      <c r="L86" s="140"/>
      <c r="M86" s="140"/>
      <c r="N86" s="140"/>
      <c r="O86" s="140"/>
      <c r="P86" s="140"/>
      <c r="Q86" s="140"/>
      <c r="R86" s="140"/>
      <c r="S86" s="140"/>
      <c r="T86" s="140"/>
      <c r="U86" s="140"/>
      <c r="V86" s="140"/>
    </row>
    <row r="87" spans="1:22" ht="15.75" customHeight="1" x14ac:dyDescent="0.25">
      <c r="A87" s="140"/>
      <c r="B87" s="140"/>
      <c r="C87" s="140"/>
      <c r="D87" s="140"/>
      <c r="E87" s="140"/>
      <c r="F87" s="140"/>
      <c r="G87" s="140"/>
      <c r="H87" s="140"/>
      <c r="I87" s="140"/>
      <c r="J87" s="140"/>
      <c r="K87" s="140"/>
      <c r="L87" s="140"/>
      <c r="M87" s="140"/>
      <c r="N87" s="140"/>
      <c r="O87" s="140"/>
      <c r="P87" s="140"/>
      <c r="Q87" s="140"/>
      <c r="R87" s="140"/>
      <c r="S87" s="140"/>
      <c r="T87" s="140"/>
      <c r="U87" s="140"/>
      <c r="V87" s="140"/>
    </row>
    <row r="88" spans="1:22" ht="15.75" customHeight="1" x14ac:dyDescent="0.25">
      <c r="A88" s="140"/>
      <c r="B88" s="140"/>
      <c r="C88" s="140"/>
      <c r="D88" s="140"/>
      <c r="E88" s="140"/>
      <c r="F88" s="140"/>
      <c r="G88" s="140"/>
      <c r="H88" s="140"/>
      <c r="I88" s="140"/>
      <c r="J88" s="140"/>
      <c r="K88" s="140"/>
      <c r="L88" s="140"/>
      <c r="M88" s="140"/>
      <c r="N88" s="140"/>
      <c r="O88" s="140"/>
      <c r="P88" s="140"/>
      <c r="Q88" s="140"/>
      <c r="R88" s="140"/>
      <c r="S88" s="140"/>
      <c r="T88" s="140"/>
      <c r="U88" s="140"/>
      <c r="V88" s="140"/>
    </row>
    <row r="89" spans="1:22" ht="15.75" customHeight="1" x14ac:dyDescent="0.25">
      <c r="A89" s="140"/>
      <c r="B89" s="140"/>
      <c r="C89" s="140"/>
      <c r="D89" s="140"/>
      <c r="E89" s="140"/>
      <c r="F89" s="140"/>
      <c r="G89" s="140"/>
      <c r="H89" s="140"/>
      <c r="I89" s="140"/>
      <c r="J89" s="140"/>
      <c r="K89" s="140"/>
      <c r="L89" s="140"/>
      <c r="M89" s="140"/>
      <c r="N89" s="140"/>
      <c r="O89" s="140"/>
      <c r="P89" s="140"/>
      <c r="Q89" s="140"/>
      <c r="R89" s="140"/>
      <c r="S89" s="140"/>
      <c r="T89" s="140"/>
      <c r="U89" s="140"/>
      <c r="V89" s="140"/>
    </row>
    <row r="90" spans="1:22" ht="15.75" customHeight="1" x14ac:dyDescent="0.25">
      <c r="A90" s="140"/>
      <c r="B90" s="140"/>
      <c r="C90" s="140"/>
      <c r="D90" s="140"/>
      <c r="E90" s="140"/>
      <c r="F90" s="140"/>
      <c r="G90" s="140"/>
      <c r="H90" s="140"/>
      <c r="I90" s="140"/>
      <c r="J90" s="140"/>
      <c r="K90" s="140"/>
      <c r="L90" s="140"/>
      <c r="M90" s="140"/>
      <c r="N90" s="140"/>
      <c r="O90" s="140"/>
      <c r="P90" s="140"/>
      <c r="Q90" s="140"/>
      <c r="R90" s="140"/>
      <c r="S90" s="140"/>
      <c r="T90" s="140"/>
      <c r="U90" s="140"/>
      <c r="V90" s="140"/>
    </row>
    <row r="91" spans="1:22" ht="15.75" customHeight="1" x14ac:dyDescent="0.25">
      <c r="A91" s="140"/>
      <c r="B91" s="140"/>
      <c r="C91" s="140"/>
      <c r="D91" s="140"/>
      <c r="E91" s="140"/>
      <c r="F91" s="140"/>
      <c r="G91" s="140"/>
      <c r="H91" s="140"/>
      <c r="I91" s="140"/>
      <c r="J91" s="140"/>
      <c r="K91" s="140"/>
      <c r="L91" s="140"/>
      <c r="M91" s="140"/>
      <c r="N91" s="140"/>
      <c r="O91" s="140"/>
      <c r="P91" s="140"/>
      <c r="Q91" s="140"/>
      <c r="R91" s="140"/>
      <c r="S91" s="140"/>
      <c r="T91" s="140"/>
      <c r="U91" s="140"/>
      <c r="V91" s="140"/>
    </row>
    <row r="92" spans="1:22" ht="15.75" customHeight="1" x14ac:dyDescent="0.25">
      <c r="A92" s="140"/>
      <c r="B92" s="140"/>
      <c r="C92" s="140"/>
      <c r="D92" s="140"/>
      <c r="E92" s="140"/>
      <c r="F92" s="140"/>
      <c r="G92" s="140"/>
      <c r="H92" s="140"/>
      <c r="I92" s="140"/>
      <c r="J92" s="140"/>
      <c r="K92" s="140"/>
      <c r="L92" s="140"/>
      <c r="M92" s="140"/>
      <c r="N92" s="140"/>
      <c r="O92" s="140"/>
      <c r="P92" s="140"/>
      <c r="Q92" s="140"/>
      <c r="R92" s="140"/>
      <c r="S92" s="140"/>
      <c r="T92" s="140"/>
      <c r="U92" s="140"/>
      <c r="V92" s="140"/>
    </row>
    <row r="93" spans="1:22" ht="15.75" customHeight="1" x14ac:dyDescent="0.25">
      <c r="A93" s="140"/>
      <c r="B93" s="140"/>
      <c r="C93" s="140"/>
      <c r="D93" s="140"/>
      <c r="E93" s="140"/>
      <c r="F93" s="140"/>
      <c r="G93" s="140"/>
      <c r="H93" s="140"/>
      <c r="I93" s="140"/>
      <c r="J93" s="140"/>
      <c r="K93" s="140"/>
      <c r="L93" s="140"/>
      <c r="M93" s="140"/>
      <c r="N93" s="140"/>
      <c r="O93" s="140"/>
      <c r="P93" s="140"/>
      <c r="Q93" s="140"/>
      <c r="R93" s="140"/>
      <c r="S93" s="140"/>
      <c r="T93" s="140"/>
      <c r="U93" s="140"/>
      <c r="V93" s="140"/>
    </row>
    <row r="94" spans="1:22" ht="15.75" customHeight="1" x14ac:dyDescent="0.25">
      <c r="A94" s="140"/>
      <c r="B94" s="140"/>
      <c r="C94" s="140"/>
      <c r="D94" s="140"/>
      <c r="E94" s="140"/>
      <c r="F94" s="140"/>
      <c r="G94" s="140"/>
      <c r="H94" s="140"/>
      <c r="I94" s="140"/>
      <c r="J94" s="140"/>
      <c r="K94" s="140"/>
      <c r="L94" s="140"/>
      <c r="M94" s="140"/>
      <c r="N94" s="140"/>
      <c r="O94" s="140"/>
      <c r="P94" s="140"/>
      <c r="Q94" s="140"/>
      <c r="R94" s="140"/>
      <c r="S94" s="140"/>
      <c r="T94" s="140"/>
      <c r="U94" s="140"/>
      <c r="V94" s="140"/>
    </row>
    <row r="95" spans="1:22" ht="15.75" customHeight="1" x14ac:dyDescent="0.25">
      <c r="A95" s="140"/>
      <c r="B95" s="140"/>
      <c r="C95" s="140"/>
      <c r="D95" s="140"/>
      <c r="E95" s="140"/>
      <c r="F95" s="140"/>
      <c r="G95" s="140"/>
      <c r="H95" s="140"/>
      <c r="I95" s="140"/>
      <c r="J95" s="140"/>
      <c r="K95" s="140"/>
      <c r="L95" s="140"/>
      <c r="M95" s="140"/>
      <c r="N95" s="140"/>
      <c r="O95" s="140"/>
      <c r="P95" s="140"/>
      <c r="Q95" s="140"/>
      <c r="R95" s="140"/>
      <c r="S95" s="140"/>
      <c r="T95" s="140"/>
      <c r="U95" s="140"/>
      <c r="V95" s="140"/>
    </row>
    <row r="96" spans="1:22" ht="15.75" customHeight="1" x14ac:dyDescent="0.25">
      <c r="A96" s="140"/>
      <c r="B96" s="140"/>
      <c r="C96" s="140"/>
      <c r="D96" s="140"/>
      <c r="E96" s="140"/>
      <c r="F96" s="140"/>
      <c r="G96" s="140"/>
      <c r="H96" s="140"/>
      <c r="I96" s="140"/>
      <c r="J96" s="140"/>
      <c r="K96" s="140"/>
      <c r="L96" s="140"/>
      <c r="M96" s="140"/>
      <c r="N96" s="140"/>
      <c r="O96" s="140"/>
      <c r="P96" s="140"/>
      <c r="Q96" s="140"/>
      <c r="R96" s="140"/>
      <c r="S96" s="140"/>
      <c r="T96" s="140"/>
      <c r="U96" s="140"/>
      <c r="V96" s="140"/>
    </row>
    <row r="97" spans="1:22" ht="15.75" customHeight="1" x14ac:dyDescent="0.25">
      <c r="A97" s="140"/>
      <c r="B97" s="140"/>
      <c r="C97" s="140"/>
      <c r="D97" s="140"/>
      <c r="E97" s="140"/>
      <c r="F97" s="140"/>
      <c r="G97" s="140"/>
      <c r="H97" s="140"/>
      <c r="I97" s="140"/>
      <c r="J97" s="140"/>
      <c r="K97" s="140"/>
      <c r="L97" s="140"/>
      <c r="M97" s="140"/>
      <c r="N97" s="140"/>
      <c r="O97" s="140"/>
      <c r="P97" s="140"/>
      <c r="Q97" s="140"/>
      <c r="R97" s="140"/>
      <c r="S97" s="140"/>
      <c r="T97" s="140"/>
      <c r="U97" s="140"/>
      <c r="V97" s="140"/>
    </row>
    <row r="98" spans="1:22" ht="15.75" customHeight="1" x14ac:dyDescent="0.25">
      <c r="A98" s="140"/>
      <c r="B98" s="140"/>
      <c r="C98" s="140"/>
      <c r="D98" s="140"/>
      <c r="E98" s="140"/>
      <c r="F98" s="140"/>
      <c r="G98" s="140"/>
      <c r="H98" s="140"/>
      <c r="I98" s="140"/>
      <c r="J98" s="140"/>
      <c r="K98" s="140"/>
      <c r="L98" s="140"/>
      <c r="M98" s="140"/>
      <c r="N98" s="140"/>
      <c r="O98" s="140"/>
      <c r="P98" s="140"/>
      <c r="Q98" s="140"/>
      <c r="R98" s="140"/>
      <c r="S98" s="140"/>
      <c r="T98" s="140"/>
      <c r="U98" s="140"/>
      <c r="V98" s="140"/>
    </row>
    <row r="99" spans="1:22" ht="15.75" customHeight="1" x14ac:dyDescent="0.25">
      <c r="A99" s="140"/>
      <c r="B99" s="140"/>
      <c r="C99" s="140"/>
      <c r="D99" s="140"/>
      <c r="E99" s="140"/>
      <c r="F99" s="140"/>
      <c r="G99" s="140"/>
      <c r="H99" s="140"/>
      <c r="I99" s="140"/>
      <c r="J99" s="140"/>
      <c r="K99" s="140"/>
      <c r="L99" s="140"/>
      <c r="M99" s="140"/>
      <c r="N99" s="140"/>
      <c r="O99" s="140"/>
      <c r="P99" s="140"/>
      <c r="Q99" s="140"/>
      <c r="R99" s="140"/>
      <c r="S99" s="140"/>
      <c r="T99" s="140"/>
      <c r="U99" s="140"/>
      <c r="V99" s="140"/>
    </row>
    <row r="100" spans="1:22" ht="15.75" customHeight="1" x14ac:dyDescent="0.25">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row>
    <row r="101" spans="1:22" ht="15.75" customHeight="1" x14ac:dyDescent="0.25">
      <c r="A101" s="140"/>
      <c r="B101" s="140"/>
      <c r="C101" s="140"/>
      <c r="D101" s="140"/>
      <c r="E101" s="140"/>
      <c r="F101" s="140"/>
      <c r="G101" s="140"/>
      <c r="H101" s="140"/>
      <c r="I101" s="140"/>
      <c r="J101" s="140"/>
      <c r="K101" s="140"/>
      <c r="L101" s="140"/>
      <c r="M101" s="140"/>
      <c r="N101" s="140"/>
      <c r="O101" s="140"/>
      <c r="P101" s="140"/>
      <c r="Q101" s="140"/>
      <c r="R101" s="140"/>
      <c r="S101" s="140"/>
      <c r="T101" s="140"/>
      <c r="U101" s="140"/>
      <c r="V101" s="140"/>
    </row>
    <row r="102" spans="1:22" ht="15.75" customHeight="1" x14ac:dyDescent="0.25">
      <c r="A102" s="140"/>
      <c r="B102" s="140"/>
      <c r="C102" s="140"/>
      <c r="D102" s="140"/>
      <c r="E102" s="140"/>
      <c r="F102" s="140"/>
      <c r="G102" s="140"/>
      <c r="H102" s="140"/>
      <c r="I102" s="140"/>
      <c r="J102" s="140"/>
      <c r="K102" s="140"/>
      <c r="L102" s="140"/>
      <c r="M102" s="140"/>
      <c r="N102" s="140"/>
      <c r="O102" s="140"/>
      <c r="P102" s="140"/>
      <c r="Q102" s="140"/>
      <c r="R102" s="140"/>
      <c r="S102" s="140"/>
      <c r="T102" s="140"/>
      <c r="U102" s="140"/>
      <c r="V102" s="140"/>
    </row>
    <row r="103" spans="1:22" ht="15.75" customHeight="1" x14ac:dyDescent="0.25">
      <c r="A103" s="140"/>
      <c r="B103" s="140"/>
      <c r="C103" s="140"/>
      <c r="D103" s="140"/>
      <c r="E103" s="140"/>
      <c r="F103" s="140"/>
      <c r="G103" s="140"/>
      <c r="H103" s="140"/>
      <c r="I103" s="140"/>
      <c r="J103" s="140"/>
      <c r="K103" s="140"/>
      <c r="L103" s="140"/>
      <c r="M103" s="140"/>
      <c r="N103" s="140"/>
      <c r="O103" s="140"/>
      <c r="P103" s="140"/>
      <c r="Q103" s="140"/>
      <c r="R103" s="140"/>
      <c r="S103" s="140"/>
      <c r="T103" s="140"/>
      <c r="U103" s="140"/>
      <c r="V103" s="140"/>
    </row>
    <row r="104" spans="1:22" ht="15.75" customHeight="1" x14ac:dyDescent="0.25">
      <c r="A104" s="140"/>
      <c r="B104" s="140"/>
      <c r="C104" s="140"/>
      <c r="D104" s="140"/>
      <c r="E104" s="140"/>
      <c r="F104" s="140"/>
      <c r="G104" s="140"/>
      <c r="H104" s="140"/>
      <c r="I104" s="140"/>
      <c r="J104" s="140"/>
      <c r="K104" s="140"/>
      <c r="L104" s="140"/>
      <c r="M104" s="140"/>
      <c r="N104" s="140"/>
      <c r="O104" s="140"/>
      <c r="P104" s="140"/>
      <c r="Q104" s="140"/>
      <c r="R104" s="140"/>
      <c r="S104" s="140"/>
      <c r="T104" s="140"/>
      <c r="U104" s="140"/>
      <c r="V104" s="140"/>
    </row>
    <row r="105" spans="1:22" ht="15.75" customHeight="1" x14ac:dyDescent="0.25">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row>
    <row r="106" spans="1:22" ht="15.75" customHeight="1" x14ac:dyDescent="0.25">
      <c r="A106" s="140"/>
      <c r="B106" s="140"/>
      <c r="C106" s="140"/>
      <c r="D106" s="140"/>
      <c r="E106" s="140"/>
      <c r="F106" s="140"/>
      <c r="G106" s="140"/>
      <c r="H106" s="140"/>
      <c r="I106" s="140"/>
      <c r="J106" s="140"/>
      <c r="K106" s="140"/>
      <c r="L106" s="140"/>
      <c r="M106" s="140"/>
      <c r="N106" s="140"/>
      <c r="O106" s="140"/>
      <c r="P106" s="140"/>
      <c r="Q106" s="140"/>
      <c r="R106" s="140"/>
      <c r="S106" s="140"/>
      <c r="T106" s="140"/>
      <c r="U106" s="140"/>
      <c r="V106" s="140"/>
    </row>
    <row r="107" spans="1:22" ht="15.75" customHeight="1" x14ac:dyDescent="0.25">
      <c r="A107" s="140"/>
      <c r="B107" s="140"/>
      <c r="C107" s="140"/>
      <c r="D107" s="140"/>
      <c r="E107" s="140"/>
      <c r="F107" s="140"/>
      <c r="G107" s="140"/>
      <c r="H107" s="140"/>
      <c r="I107" s="140"/>
      <c r="J107" s="140"/>
      <c r="K107" s="140"/>
      <c r="L107" s="140"/>
      <c r="M107" s="140"/>
      <c r="N107" s="140"/>
      <c r="O107" s="140"/>
      <c r="P107" s="140"/>
      <c r="Q107" s="140"/>
      <c r="R107" s="140"/>
      <c r="S107" s="140"/>
      <c r="T107" s="140"/>
      <c r="U107" s="140"/>
      <c r="V107" s="140"/>
    </row>
    <row r="108" spans="1:22" ht="15.75" customHeight="1" x14ac:dyDescent="0.25">
      <c r="A108" s="140"/>
      <c r="B108" s="140"/>
      <c r="C108" s="140"/>
      <c r="D108" s="140"/>
      <c r="E108" s="140"/>
      <c r="F108" s="140"/>
      <c r="G108" s="140"/>
      <c r="H108" s="140"/>
      <c r="I108" s="140"/>
      <c r="J108" s="140"/>
      <c r="K108" s="140"/>
      <c r="L108" s="140"/>
      <c r="M108" s="140"/>
      <c r="N108" s="140"/>
      <c r="O108" s="140"/>
      <c r="P108" s="140"/>
      <c r="Q108" s="140"/>
      <c r="R108" s="140"/>
      <c r="S108" s="140"/>
      <c r="T108" s="140"/>
      <c r="U108" s="140"/>
      <c r="V108" s="140"/>
    </row>
    <row r="109" spans="1:22" ht="15.75" customHeight="1" x14ac:dyDescent="0.25">
      <c r="A109" s="140"/>
      <c r="B109" s="140"/>
      <c r="C109" s="140"/>
      <c r="D109" s="140"/>
      <c r="E109" s="140"/>
      <c r="F109" s="140"/>
      <c r="G109" s="140"/>
      <c r="H109" s="140"/>
      <c r="I109" s="140"/>
      <c r="J109" s="140"/>
      <c r="K109" s="140"/>
      <c r="L109" s="140"/>
      <c r="M109" s="140"/>
      <c r="N109" s="140"/>
      <c r="O109" s="140"/>
      <c r="P109" s="140"/>
      <c r="Q109" s="140"/>
      <c r="R109" s="140"/>
      <c r="S109" s="140"/>
      <c r="T109" s="140"/>
      <c r="U109" s="140"/>
      <c r="V109" s="140"/>
    </row>
    <row r="110" spans="1:22" ht="15.75" customHeight="1" x14ac:dyDescent="0.25">
      <c r="A110" s="140"/>
      <c r="B110" s="140"/>
      <c r="C110" s="140"/>
      <c r="D110" s="140"/>
      <c r="E110" s="140"/>
      <c r="F110" s="140"/>
      <c r="G110" s="140"/>
      <c r="H110" s="140"/>
      <c r="I110" s="140"/>
      <c r="J110" s="140"/>
      <c r="K110" s="140"/>
      <c r="L110" s="140"/>
      <c r="M110" s="140"/>
      <c r="N110" s="140"/>
      <c r="O110" s="140"/>
      <c r="P110" s="140"/>
      <c r="Q110" s="140"/>
      <c r="R110" s="140"/>
      <c r="S110" s="140"/>
      <c r="T110" s="140"/>
      <c r="U110" s="140"/>
      <c r="V110" s="140"/>
    </row>
    <row r="111" spans="1:22" ht="15.75" customHeight="1" x14ac:dyDescent="0.25">
      <c r="A111" s="140"/>
      <c r="B111" s="140"/>
      <c r="C111" s="140"/>
      <c r="D111" s="140"/>
      <c r="E111" s="140"/>
      <c r="F111" s="140"/>
      <c r="G111" s="140"/>
      <c r="H111" s="140"/>
      <c r="I111" s="140"/>
      <c r="J111" s="140"/>
      <c r="K111" s="140"/>
      <c r="L111" s="140"/>
      <c r="M111" s="140"/>
      <c r="N111" s="140"/>
      <c r="O111" s="140"/>
      <c r="P111" s="140"/>
      <c r="Q111" s="140"/>
      <c r="R111" s="140"/>
      <c r="S111" s="140"/>
      <c r="T111" s="140"/>
      <c r="U111" s="140"/>
      <c r="V111" s="140"/>
    </row>
    <row r="112" spans="1:22" ht="15.75" customHeight="1" x14ac:dyDescent="0.25">
      <c r="A112" s="140"/>
      <c r="B112" s="140"/>
      <c r="C112" s="140"/>
      <c r="D112" s="140"/>
      <c r="E112" s="140"/>
      <c r="F112" s="140"/>
      <c r="G112" s="140"/>
      <c r="H112" s="140"/>
      <c r="I112" s="140"/>
      <c r="J112" s="140"/>
      <c r="K112" s="140"/>
      <c r="L112" s="140"/>
      <c r="M112" s="140"/>
      <c r="N112" s="140"/>
      <c r="O112" s="140"/>
      <c r="P112" s="140"/>
      <c r="Q112" s="140"/>
      <c r="R112" s="140"/>
      <c r="S112" s="140"/>
      <c r="T112" s="140"/>
      <c r="U112" s="140"/>
      <c r="V112" s="140"/>
    </row>
    <row r="113" spans="1:22" ht="15.75" customHeight="1" x14ac:dyDescent="0.25">
      <c r="A113" s="140"/>
      <c r="B113" s="140"/>
      <c r="C113" s="140"/>
      <c r="D113" s="140"/>
      <c r="E113" s="140"/>
      <c r="F113" s="140"/>
      <c r="G113" s="140"/>
      <c r="H113" s="140"/>
      <c r="I113" s="140"/>
      <c r="J113" s="140"/>
      <c r="K113" s="140"/>
      <c r="L113" s="140"/>
      <c r="M113" s="140"/>
      <c r="N113" s="140"/>
      <c r="O113" s="140"/>
      <c r="P113" s="140"/>
      <c r="Q113" s="140"/>
      <c r="R113" s="140"/>
      <c r="S113" s="140"/>
      <c r="T113" s="140"/>
      <c r="U113" s="140"/>
      <c r="V113" s="140"/>
    </row>
    <row r="114" spans="1:22" ht="15.75" customHeight="1" x14ac:dyDescent="0.25">
      <c r="A114" s="140"/>
      <c r="B114" s="140"/>
      <c r="C114" s="140"/>
      <c r="D114" s="140"/>
      <c r="E114" s="140"/>
      <c r="F114" s="140"/>
      <c r="G114" s="140"/>
      <c r="H114" s="140"/>
      <c r="I114" s="140"/>
      <c r="J114" s="140"/>
      <c r="K114" s="140"/>
      <c r="L114" s="140"/>
      <c r="M114" s="140"/>
      <c r="N114" s="140"/>
      <c r="O114" s="140"/>
      <c r="P114" s="140"/>
      <c r="Q114" s="140"/>
      <c r="R114" s="140"/>
      <c r="S114" s="140"/>
      <c r="T114" s="140"/>
      <c r="U114" s="140"/>
      <c r="V114" s="140"/>
    </row>
    <row r="115" spans="1:22" ht="15.75" customHeight="1" x14ac:dyDescent="0.25">
      <c r="A115" s="140"/>
      <c r="B115" s="140"/>
      <c r="C115" s="140"/>
      <c r="D115" s="140"/>
      <c r="E115" s="140"/>
      <c r="F115" s="140"/>
      <c r="G115" s="140"/>
      <c r="H115" s="140"/>
      <c r="I115" s="140"/>
      <c r="J115" s="140"/>
      <c r="K115" s="140"/>
      <c r="L115" s="140"/>
      <c r="M115" s="140"/>
      <c r="N115" s="140"/>
      <c r="O115" s="140"/>
      <c r="P115" s="140"/>
      <c r="Q115" s="140"/>
      <c r="R115" s="140"/>
      <c r="S115" s="140"/>
      <c r="T115" s="140"/>
      <c r="U115" s="140"/>
      <c r="V115" s="140"/>
    </row>
    <row r="116" spans="1:22" ht="15.75" customHeight="1" x14ac:dyDescent="0.25">
      <c r="A116" s="140"/>
      <c r="B116" s="140"/>
      <c r="C116" s="140"/>
      <c r="D116" s="140"/>
      <c r="E116" s="140"/>
      <c r="F116" s="140"/>
      <c r="G116" s="140"/>
      <c r="H116" s="140"/>
      <c r="I116" s="140"/>
      <c r="J116" s="140"/>
      <c r="K116" s="140"/>
      <c r="L116" s="140"/>
      <c r="M116" s="140"/>
      <c r="N116" s="140"/>
      <c r="O116" s="140"/>
      <c r="P116" s="140"/>
      <c r="Q116" s="140"/>
      <c r="R116" s="140"/>
      <c r="S116" s="140"/>
      <c r="T116" s="140"/>
      <c r="U116" s="140"/>
      <c r="V116" s="140"/>
    </row>
    <row r="117" spans="1:22" ht="15.75" customHeight="1" x14ac:dyDescent="0.25">
      <c r="A117" s="140"/>
      <c r="B117" s="140"/>
      <c r="C117" s="140"/>
      <c r="D117" s="140"/>
      <c r="E117" s="140"/>
      <c r="F117" s="140"/>
      <c r="G117" s="140"/>
      <c r="H117" s="140"/>
      <c r="I117" s="140"/>
      <c r="J117" s="140"/>
      <c r="K117" s="140"/>
      <c r="L117" s="140"/>
      <c r="M117" s="140"/>
      <c r="N117" s="140"/>
      <c r="O117" s="140"/>
      <c r="P117" s="140"/>
      <c r="Q117" s="140"/>
      <c r="R117" s="140"/>
      <c r="S117" s="140"/>
      <c r="T117" s="140"/>
      <c r="U117" s="140"/>
      <c r="V117" s="140"/>
    </row>
    <row r="118" spans="1:22" ht="15.75" customHeight="1" x14ac:dyDescent="0.25">
      <c r="A118" s="140"/>
      <c r="B118" s="140"/>
      <c r="C118" s="140"/>
      <c r="D118" s="140"/>
      <c r="E118" s="140"/>
      <c r="F118" s="140"/>
      <c r="G118" s="140"/>
      <c r="H118" s="140"/>
      <c r="I118" s="140"/>
      <c r="J118" s="140"/>
      <c r="K118" s="140"/>
      <c r="L118" s="140"/>
      <c r="M118" s="140"/>
      <c r="N118" s="140"/>
      <c r="O118" s="140"/>
      <c r="P118" s="140"/>
      <c r="Q118" s="140"/>
      <c r="R118" s="140"/>
      <c r="S118" s="140"/>
      <c r="T118" s="140"/>
      <c r="U118" s="140"/>
      <c r="V118" s="140"/>
    </row>
    <row r="119" spans="1:22" ht="15.75" customHeight="1" x14ac:dyDescent="0.25">
      <c r="A119" s="140"/>
      <c r="B119" s="140"/>
      <c r="C119" s="140"/>
      <c r="D119" s="140"/>
      <c r="E119" s="140"/>
      <c r="F119" s="140"/>
      <c r="G119" s="140"/>
      <c r="H119" s="140"/>
      <c r="I119" s="140"/>
      <c r="J119" s="140"/>
      <c r="K119" s="140"/>
      <c r="L119" s="140"/>
      <c r="M119" s="140"/>
      <c r="N119" s="140"/>
      <c r="O119" s="140"/>
      <c r="P119" s="140"/>
      <c r="Q119" s="140"/>
      <c r="R119" s="140"/>
      <c r="S119" s="140"/>
      <c r="T119" s="140"/>
      <c r="U119" s="140"/>
      <c r="V119" s="140"/>
    </row>
    <row r="120" spans="1:22" ht="15.75" customHeight="1" x14ac:dyDescent="0.25">
      <c r="A120" s="140"/>
      <c r="B120" s="140"/>
      <c r="C120" s="140"/>
      <c r="D120" s="140"/>
      <c r="E120" s="140"/>
      <c r="F120" s="140"/>
      <c r="G120" s="140"/>
      <c r="H120" s="140"/>
      <c r="I120" s="140"/>
      <c r="J120" s="140"/>
      <c r="K120" s="140"/>
      <c r="L120" s="140"/>
      <c r="M120" s="140"/>
      <c r="N120" s="140"/>
      <c r="O120" s="140"/>
      <c r="P120" s="140"/>
      <c r="Q120" s="140"/>
      <c r="R120" s="140"/>
      <c r="S120" s="140"/>
      <c r="T120" s="140"/>
      <c r="U120" s="140"/>
      <c r="V120" s="140"/>
    </row>
    <row r="121" spans="1:22" ht="15.75" customHeight="1" x14ac:dyDescent="0.25">
      <c r="A121" s="140"/>
      <c r="B121" s="140"/>
      <c r="C121" s="140"/>
      <c r="D121" s="140"/>
      <c r="E121" s="140"/>
      <c r="F121" s="140"/>
      <c r="G121" s="140"/>
      <c r="H121" s="140"/>
      <c r="I121" s="140"/>
      <c r="J121" s="140"/>
      <c r="K121" s="140"/>
      <c r="L121" s="140"/>
      <c r="M121" s="140"/>
      <c r="N121" s="140"/>
      <c r="O121" s="140"/>
      <c r="P121" s="140"/>
      <c r="Q121" s="140"/>
      <c r="R121" s="140"/>
      <c r="S121" s="140"/>
      <c r="T121" s="140"/>
      <c r="U121" s="140"/>
      <c r="V121" s="140"/>
    </row>
    <row r="122" spans="1:22" ht="15.75" customHeight="1" x14ac:dyDescent="0.25">
      <c r="A122" s="140"/>
      <c r="B122" s="140"/>
      <c r="C122" s="140"/>
      <c r="D122" s="140"/>
      <c r="E122" s="140"/>
      <c r="F122" s="140"/>
      <c r="G122" s="140"/>
      <c r="H122" s="140"/>
      <c r="I122" s="140"/>
      <c r="J122" s="140"/>
      <c r="K122" s="140"/>
      <c r="L122" s="140"/>
      <c r="M122" s="140"/>
      <c r="N122" s="140"/>
      <c r="O122" s="140"/>
      <c r="P122" s="140"/>
      <c r="Q122" s="140"/>
      <c r="R122" s="140"/>
      <c r="S122" s="140"/>
      <c r="T122" s="140"/>
      <c r="U122" s="140"/>
      <c r="V122" s="140"/>
    </row>
    <row r="123" spans="1:22" ht="15.75" customHeight="1" x14ac:dyDescent="0.25">
      <c r="A123" s="140"/>
      <c r="B123" s="140"/>
      <c r="C123" s="140"/>
      <c r="D123" s="140"/>
      <c r="E123" s="140"/>
      <c r="F123" s="140"/>
      <c r="G123" s="140"/>
      <c r="H123" s="140"/>
      <c r="I123" s="140"/>
      <c r="J123" s="140"/>
      <c r="K123" s="140"/>
      <c r="L123" s="140"/>
      <c r="M123" s="140"/>
      <c r="N123" s="140"/>
      <c r="O123" s="140"/>
      <c r="P123" s="140"/>
      <c r="Q123" s="140"/>
      <c r="R123" s="140"/>
      <c r="S123" s="140"/>
      <c r="T123" s="140"/>
      <c r="U123" s="140"/>
      <c r="V123" s="140"/>
    </row>
    <row r="124" spans="1:22" ht="15.75" customHeight="1" x14ac:dyDescent="0.25">
      <c r="A124" s="140"/>
      <c r="B124" s="140"/>
      <c r="C124" s="140"/>
      <c r="D124" s="140"/>
      <c r="E124" s="140"/>
      <c r="F124" s="140"/>
      <c r="G124" s="140"/>
      <c r="H124" s="140"/>
      <c r="I124" s="140"/>
      <c r="J124" s="140"/>
      <c r="K124" s="140"/>
      <c r="L124" s="140"/>
      <c r="M124" s="140"/>
      <c r="N124" s="140"/>
      <c r="O124" s="140"/>
      <c r="P124" s="140"/>
      <c r="Q124" s="140"/>
      <c r="R124" s="140"/>
      <c r="S124" s="140"/>
      <c r="T124" s="140"/>
      <c r="U124" s="140"/>
      <c r="V124" s="140"/>
    </row>
    <row r="125" spans="1:22" ht="15.75" customHeight="1" x14ac:dyDescent="0.25">
      <c r="A125" s="140"/>
      <c r="B125" s="140"/>
      <c r="C125" s="140"/>
      <c r="D125" s="140"/>
      <c r="E125" s="140"/>
      <c r="F125" s="140"/>
      <c r="G125" s="140"/>
      <c r="H125" s="140"/>
      <c r="I125" s="140"/>
      <c r="J125" s="140"/>
      <c r="K125" s="140"/>
      <c r="L125" s="140"/>
      <c r="M125" s="140"/>
      <c r="N125" s="140"/>
      <c r="O125" s="140"/>
      <c r="P125" s="140"/>
      <c r="Q125" s="140"/>
      <c r="R125" s="140"/>
      <c r="S125" s="140"/>
      <c r="T125" s="140"/>
      <c r="U125" s="140"/>
      <c r="V125" s="140"/>
    </row>
    <row r="126" spans="1:22" ht="15.75" customHeight="1" x14ac:dyDescent="0.25">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row>
    <row r="127" spans="1:22" ht="15.75" customHeight="1" x14ac:dyDescent="0.25">
      <c r="A127" s="140"/>
      <c r="B127" s="140"/>
      <c r="C127" s="140"/>
      <c r="D127" s="140"/>
      <c r="E127" s="140"/>
      <c r="F127" s="140"/>
      <c r="G127" s="140"/>
      <c r="H127" s="140"/>
      <c r="I127" s="140"/>
      <c r="J127" s="140"/>
      <c r="K127" s="140"/>
      <c r="L127" s="140"/>
      <c r="M127" s="140"/>
      <c r="N127" s="140"/>
      <c r="O127" s="140"/>
      <c r="P127" s="140"/>
      <c r="Q127" s="140"/>
      <c r="R127" s="140"/>
      <c r="S127" s="140"/>
      <c r="T127" s="140"/>
      <c r="U127" s="140"/>
      <c r="V127" s="140"/>
    </row>
    <row r="128" spans="1:22" ht="15.75" customHeight="1" x14ac:dyDescent="0.25">
      <c r="A128" s="140"/>
      <c r="B128" s="140"/>
      <c r="C128" s="140"/>
      <c r="D128" s="140"/>
      <c r="E128" s="140"/>
      <c r="F128" s="140"/>
      <c r="G128" s="140"/>
      <c r="H128" s="140"/>
      <c r="I128" s="140"/>
      <c r="J128" s="140"/>
      <c r="K128" s="140"/>
      <c r="L128" s="140"/>
      <c r="M128" s="140"/>
      <c r="N128" s="140"/>
      <c r="O128" s="140"/>
      <c r="P128" s="140"/>
      <c r="Q128" s="140"/>
      <c r="R128" s="140"/>
      <c r="S128" s="140"/>
      <c r="T128" s="140"/>
      <c r="U128" s="140"/>
      <c r="V128" s="140"/>
    </row>
    <row r="129" spans="1:22" ht="15.75" customHeight="1" x14ac:dyDescent="0.25">
      <c r="A129" s="140"/>
      <c r="B129" s="140"/>
      <c r="C129" s="140"/>
      <c r="D129" s="140"/>
      <c r="E129" s="140"/>
      <c r="F129" s="140"/>
      <c r="G129" s="140"/>
      <c r="H129" s="140"/>
      <c r="I129" s="140"/>
      <c r="J129" s="140"/>
      <c r="K129" s="140"/>
      <c r="L129" s="140"/>
      <c r="M129" s="140"/>
      <c r="N129" s="140"/>
      <c r="O129" s="140"/>
      <c r="P129" s="140"/>
      <c r="Q129" s="140"/>
      <c r="R129" s="140"/>
      <c r="S129" s="140"/>
      <c r="T129" s="140"/>
      <c r="U129" s="140"/>
      <c r="V129" s="140"/>
    </row>
    <row r="130" spans="1:22" ht="15.75" customHeight="1" x14ac:dyDescent="0.25">
      <c r="A130" s="140"/>
      <c r="B130" s="140"/>
      <c r="C130" s="140"/>
      <c r="D130" s="140"/>
      <c r="E130" s="140"/>
      <c r="F130" s="140"/>
      <c r="G130" s="140"/>
      <c r="H130" s="140"/>
      <c r="I130" s="140"/>
      <c r="J130" s="140"/>
      <c r="K130" s="140"/>
      <c r="L130" s="140"/>
      <c r="M130" s="140"/>
      <c r="N130" s="140"/>
      <c r="O130" s="140"/>
      <c r="P130" s="140"/>
      <c r="Q130" s="140"/>
      <c r="R130" s="140"/>
      <c r="S130" s="140"/>
      <c r="T130" s="140"/>
      <c r="U130" s="140"/>
      <c r="V130" s="140"/>
    </row>
    <row r="131" spans="1:22" ht="15.75" customHeight="1" x14ac:dyDescent="0.25">
      <c r="A131" s="140"/>
      <c r="B131" s="140"/>
      <c r="C131" s="140"/>
      <c r="D131" s="140"/>
      <c r="E131" s="140"/>
      <c r="F131" s="140"/>
      <c r="G131" s="140"/>
      <c r="H131" s="140"/>
      <c r="I131" s="140"/>
      <c r="J131" s="140"/>
      <c r="K131" s="140"/>
      <c r="L131" s="140"/>
      <c r="M131" s="140"/>
      <c r="N131" s="140"/>
      <c r="O131" s="140"/>
      <c r="P131" s="140"/>
      <c r="Q131" s="140"/>
      <c r="R131" s="140"/>
      <c r="S131" s="140"/>
      <c r="T131" s="140"/>
      <c r="U131" s="140"/>
      <c r="V131" s="140"/>
    </row>
    <row r="132" spans="1:22" ht="15.75" customHeight="1" x14ac:dyDescent="0.25">
      <c r="A132" s="140"/>
      <c r="B132" s="140"/>
      <c r="C132" s="140"/>
      <c r="D132" s="140"/>
      <c r="E132" s="140"/>
      <c r="F132" s="140"/>
      <c r="G132" s="140"/>
      <c r="H132" s="140"/>
      <c r="I132" s="140"/>
      <c r="J132" s="140"/>
      <c r="K132" s="140"/>
      <c r="L132" s="140"/>
      <c r="M132" s="140"/>
      <c r="N132" s="140"/>
      <c r="O132" s="140"/>
      <c r="P132" s="140"/>
      <c r="Q132" s="140"/>
      <c r="R132" s="140"/>
      <c r="S132" s="140"/>
      <c r="T132" s="140"/>
      <c r="U132" s="140"/>
      <c r="V132" s="140"/>
    </row>
    <row r="133" spans="1:22" ht="15.75" customHeight="1" x14ac:dyDescent="0.25">
      <c r="A133" s="140"/>
      <c r="B133" s="140"/>
      <c r="C133" s="140"/>
      <c r="D133" s="140"/>
      <c r="E133" s="140"/>
      <c r="F133" s="140"/>
      <c r="G133" s="140"/>
      <c r="H133" s="140"/>
      <c r="I133" s="140"/>
      <c r="J133" s="140"/>
      <c r="K133" s="140"/>
      <c r="L133" s="140"/>
      <c r="M133" s="140"/>
      <c r="N133" s="140"/>
      <c r="O133" s="140"/>
      <c r="P133" s="140"/>
      <c r="Q133" s="140"/>
      <c r="R133" s="140"/>
      <c r="S133" s="140"/>
      <c r="T133" s="140"/>
      <c r="U133" s="140"/>
      <c r="V133" s="140"/>
    </row>
    <row r="134" spans="1:22" ht="15.75" customHeight="1" x14ac:dyDescent="0.25">
      <c r="A134" s="140"/>
      <c r="B134" s="140"/>
      <c r="C134" s="140"/>
      <c r="D134" s="140"/>
      <c r="E134" s="140"/>
      <c r="F134" s="140"/>
      <c r="G134" s="140"/>
      <c r="H134" s="140"/>
      <c r="I134" s="140"/>
      <c r="J134" s="140"/>
      <c r="K134" s="140"/>
      <c r="L134" s="140"/>
      <c r="M134" s="140"/>
      <c r="N134" s="140"/>
      <c r="O134" s="140"/>
      <c r="P134" s="140"/>
      <c r="Q134" s="140"/>
      <c r="R134" s="140"/>
      <c r="S134" s="140"/>
      <c r="T134" s="140"/>
      <c r="U134" s="140"/>
      <c r="V134" s="140"/>
    </row>
    <row r="135" spans="1:22" ht="15.75" customHeight="1" x14ac:dyDescent="0.25">
      <c r="A135" s="140"/>
      <c r="B135" s="140"/>
      <c r="C135" s="140"/>
      <c r="D135" s="140"/>
      <c r="E135" s="140"/>
      <c r="F135" s="140"/>
      <c r="G135" s="140"/>
      <c r="H135" s="140"/>
      <c r="I135" s="140"/>
      <c r="J135" s="140"/>
      <c r="K135" s="140"/>
      <c r="L135" s="140"/>
      <c r="M135" s="140"/>
      <c r="N135" s="140"/>
      <c r="O135" s="140"/>
      <c r="P135" s="140"/>
      <c r="Q135" s="140"/>
      <c r="R135" s="140"/>
      <c r="S135" s="140"/>
      <c r="T135" s="140"/>
      <c r="U135" s="140"/>
      <c r="V135" s="140"/>
    </row>
    <row r="136" spans="1:22" ht="15.75" customHeight="1" x14ac:dyDescent="0.25">
      <c r="A136" s="140"/>
      <c r="B136" s="140"/>
      <c r="C136" s="140"/>
      <c r="D136" s="140"/>
      <c r="E136" s="140"/>
      <c r="F136" s="140"/>
      <c r="G136" s="140"/>
      <c r="H136" s="140"/>
      <c r="I136" s="140"/>
      <c r="J136" s="140"/>
      <c r="K136" s="140"/>
      <c r="L136" s="140"/>
      <c r="M136" s="140"/>
      <c r="N136" s="140"/>
      <c r="O136" s="140"/>
      <c r="P136" s="140"/>
      <c r="Q136" s="140"/>
      <c r="R136" s="140"/>
      <c r="S136" s="140"/>
      <c r="T136" s="140"/>
      <c r="U136" s="140"/>
      <c r="V136" s="140"/>
    </row>
    <row r="137" spans="1:22" ht="15.75" customHeight="1" x14ac:dyDescent="0.25">
      <c r="A137" s="140"/>
      <c r="B137" s="140"/>
      <c r="C137" s="140"/>
      <c r="D137" s="140"/>
      <c r="E137" s="140"/>
      <c r="F137" s="140"/>
      <c r="G137" s="140"/>
      <c r="H137" s="140"/>
      <c r="I137" s="140"/>
      <c r="J137" s="140"/>
      <c r="K137" s="140"/>
      <c r="L137" s="140"/>
      <c r="M137" s="140"/>
      <c r="N137" s="140"/>
      <c r="O137" s="140"/>
      <c r="P137" s="140"/>
      <c r="Q137" s="140"/>
      <c r="R137" s="140"/>
      <c r="S137" s="140"/>
      <c r="T137" s="140"/>
      <c r="U137" s="140"/>
      <c r="V137" s="140"/>
    </row>
    <row r="138" spans="1:22" ht="15.75" customHeight="1" x14ac:dyDescent="0.25">
      <c r="A138" s="140"/>
      <c r="B138" s="140"/>
      <c r="C138" s="140"/>
      <c r="D138" s="140"/>
      <c r="E138" s="140"/>
      <c r="F138" s="140"/>
      <c r="G138" s="140"/>
      <c r="H138" s="140"/>
      <c r="I138" s="140"/>
      <c r="J138" s="140"/>
      <c r="K138" s="140"/>
      <c r="L138" s="140"/>
      <c r="M138" s="140"/>
      <c r="N138" s="140"/>
      <c r="O138" s="140"/>
      <c r="P138" s="140"/>
      <c r="Q138" s="140"/>
      <c r="R138" s="140"/>
      <c r="S138" s="140"/>
      <c r="T138" s="140"/>
      <c r="U138" s="140"/>
      <c r="V138" s="140"/>
    </row>
    <row r="139" spans="1:22" ht="15.75" customHeight="1" x14ac:dyDescent="0.25">
      <c r="A139" s="140"/>
      <c r="B139" s="140"/>
      <c r="C139" s="140"/>
      <c r="D139" s="140"/>
      <c r="E139" s="140"/>
      <c r="F139" s="140"/>
      <c r="G139" s="140"/>
      <c r="H139" s="140"/>
      <c r="I139" s="140"/>
      <c r="J139" s="140"/>
      <c r="K139" s="140"/>
      <c r="L139" s="140"/>
      <c r="M139" s="140"/>
      <c r="N139" s="140"/>
      <c r="O139" s="140"/>
      <c r="P139" s="140"/>
      <c r="Q139" s="140"/>
      <c r="R139" s="140"/>
      <c r="S139" s="140"/>
      <c r="T139" s="140"/>
      <c r="U139" s="140"/>
      <c r="V139" s="140"/>
    </row>
    <row r="140" spans="1:22" ht="15.75" customHeight="1" x14ac:dyDescent="0.25">
      <c r="A140" s="140"/>
      <c r="B140" s="140"/>
      <c r="C140" s="140"/>
      <c r="D140" s="140"/>
      <c r="E140" s="140"/>
      <c r="F140" s="140"/>
      <c r="G140" s="140"/>
      <c r="H140" s="140"/>
      <c r="I140" s="140"/>
      <c r="J140" s="140"/>
      <c r="K140" s="140"/>
      <c r="L140" s="140"/>
      <c r="M140" s="140"/>
      <c r="N140" s="140"/>
      <c r="O140" s="140"/>
      <c r="P140" s="140"/>
      <c r="Q140" s="140"/>
      <c r="R140" s="140"/>
      <c r="S140" s="140"/>
      <c r="T140" s="140"/>
      <c r="U140" s="140"/>
      <c r="V140" s="140"/>
    </row>
    <row r="141" spans="1:22" ht="15.75" customHeight="1" x14ac:dyDescent="0.25">
      <c r="A141" s="140"/>
      <c r="B141" s="140"/>
      <c r="C141" s="140"/>
      <c r="D141" s="140"/>
      <c r="E141" s="140"/>
      <c r="F141" s="140"/>
      <c r="G141" s="140"/>
      <c r="H141" s="140"/>
      <c r="I141" s="140"/>
      <c r="J141" s="140"/>
      <c r="K141" s="140"/>
      <c r="L141" s="140"/>
      <c r="M141" s="140"/>
      <c r="N141" s="140"/>
      <c r="O141" s="140"/>
      <c r="P141" s="140"/>
      <c r="Q141" s="140"/>
      <c r="R141" s="140"/>
      <c r="S141" s="140"/>
      <c r="T141" s="140"/>
      <c r="U141" s="140"/>
      <c r="V141" s="140"/>
    </row>
    <row r="142" spans="1:22" ht="15.75" customHeight="1" x14ac:dyDescent="0.25">
      <c r="A142" s="140"/>
      <c r="B142" s="140"/>
      <c r="C142" s="140"/>
      <c r="D142" s="140"/>
      <c r="E142" s="140"/>
      <c r="F142" s="140"/>
      <c r="G142" s="140"/>
      <c r="H142" s="140"/>
      <c r="I142" s="140"/>
      <c r="J142" s="140"/>
      <c r="K142" s="140"/>
      <c r="L142" s="140"/>
      <c r="M142" s="140"/>
      <c r="N142" s="140"/>
      <c r="O142" s="140"/>
      <c r="P142" s="140"/>
      <c r="Q142" s="140"/>
      <c r="R142" s="140"/>
      <c r="S142" s="140"/>
      <c r="T142" s="140"/>
      <c r="U142" s="140"/>
      <c r="V142" s="140"/>
    </row>
    <row r="143" spans="1:22" ht="15.75" customHeight="1" x14ac:dyDescent="0.25">
      <c r="A143" s="140"/>
      <c r="B143" s="140"/>
      <c r="C143" s="140"/>
      <c r="D143" s="140"/>
      <c r="E143" s="140"/>
      <c r="F143" s="140"/>
      <c r="G143" s="140"/>
      <c r="H143" s="140"/>
      <c r="I143" s="140"/>
      <c r="J143" s="140"/>
      <c r="K143" s="140"/>
      <c r="L143" s="140"/>
      <c r="M143" s="140"/>
      <c r="N143" s="140"/>
      <c r="O143" s="140"/>
      <c r="P143" s="140"/>
      <c r="Q143" s="140"/>
      <c r="R143" s="140"/>
      <c r="S143" s="140"/>
      <c r="T143" s="140"/>
      <c r="U143" s="140"/>
      <c r="V143" s="140"/>
    </row>
    <row r="144" spans="1:22" ht="15.75" customHeight="1" x14ac:dyDescent="0.25">
      <c r="A144" s="140"/>
      <c r="B144" s="140"/>
      <c r="C144" s="140"/>
      <c r="D144" s="140"/>
      <c r="E144" s="140"/>
      <c r="F144" s="140"/>
      <c r="G144" s="140"/>
      <c r="H144" s="140"/>
      <c r="I144" s="140"/>
      <c r="J144" s="140"/>
      <c r="K144" s="140"/>
      <c r="L144" s="140"/>
      <c r="M144" s="140"/>
      <c r="N144" s="140"/>
      <c r="O144" s="140"/>
      <c r="P144" s="140"/>
      <c r="Q144" s="140"/>
      <c r="R144" s="140"/>
      <c r="S144" s="140"/>
      <c r="T144" s="140"/>
      <c r="U144" s="140"/>
      <c r="V144" s="140"/>
    </row>
    <row r="145" spans="1:22" ht="15.75" customHeight="1" x14ac:dyDescent="0.25">
      <c r="A145" s="140"/>
      <c r="B145" s="140"/>
      <c r="C145" s="140"/>
      <c r="D145" s="140"/>
      <c r="E145" s="140"/>
      <c r="F145" s="140"/>
      <c r="G145" s="140"/>
      <c r="H145" s="140"/>
      <c r="I145" s="140"/>
      <c r="J145" s="140"/>
      <c r="K145" s="140"/>
      <c r="L145" s="140"/>
      <c r="M145" s="140"/>
      <c r="N145" s="140"/>
      <c r="O145" s="140"/>
      <c r="P145" s="140"/>
      <c r="Q145" s="140"/>
      <c r="R145" s="140"/>
      <c r="S145" s="140"/>
      <c r="T145" s="140"/>
      <c r="U145" s="140"/>
      <c r="V145" s="140"/>
    </row>
    <row r="146" spans="1:22" ht="15.75" customHeight="1" x14ac:dyDescent="0.25">
      <c r="A146" s="140"/>
      <c r="B146" s="140"/>
      <c r="C146" s="140"/>
      <c r="D146" s="140"/>
      <c r="E146" s="140"/>
      <c r="F146" s="140"/>
      <c r="G146" s="140"/>
      <c r="H146" s="140"/>
      <c r="I146" s="140"/>
      <c r="J146" s="140"/>
      <c r="K146" s="140"/>
      <c r="L146" s="140"/>
      <c r="M146" s="140"/>
      <c r="N146" s="140"/>
      <c r="O146" s="140"/>
      <c r="P146" s="140"/>
      <c r="Q146" s="140"/>
      <c r="R146" s="140"/>
      <c r="S146" s="140"/>
      <c r="T146" s="140"/>
      <c r="U146" s="140"/>
      <c r="V146" s="140"/>
    </row>
    <row r="147" spans="1:22" ht="15.75" customHeight="1" x14ac:dyDescent="0.25">
      <c r="A147" s="140"/>
      <c r="B147" s="140"/>
      <c r="C147" s="140"/>
      <c r="D147" s="140"/>
      <c r="E147" s="140"/>
      <c r="F147" s="140"/>
      <c r="G147" s="140"/>
      <c r="H147" s="140"/>
      <c r="I147" s="140"/>
      <c r="J147" s="140"/>
      <c r="K147" s="140"/>
      <c r="L147" s="140"/>
      <c r="M147" s="140"/>
      <c r="N147" s="140"/>
      <c r="O147" s="140"/>
      <c r="P147" s="140"/>
      <c r="Q147" s="140"/>
      <c r="R147" s="140"/>
      <c r="S147" s="140"/>
      <c r="T147" s="140"/>
      <c r="U147" s="140"/>
      <c r="V147" s="140"/>
    </row>
    <row r="148" spans="1:22" ht="15.75" customHeight="1" x14ac:dyDescent="0.25">
      <c r="A148" s="140"/>
      <c r="B148" s="140"/>
      <c r="C148" s="140"/>
      <c r="D148" s="140"/>
      <c r="E148" s="140"/>
      <c r="F148" s="140"/>
      <c r="G148" s="140"/>
      <c r="H148" s="140"/>
      <c r="I148" s="140"/>
      <c r="J148" s="140"/>
      <c r="K148" s="140"/>
      <c r="L148" s="140"/>
      <c r="M148" s="140"/>
      <c r="N148" s="140"/>
      <c r="O148" s="140"/>
      <c r="P148" s="140"/>
      <c r="Q148" s="140"/>
      <c r="R148" s="140"/>
      <c r="S148" s="140"/>
      <c r="T148" s="140"/>
      <c r="U148" s="140"/>
      <c r="V148" s="140"/>
    </row>
    <row r="149" spans="1:22" ht="15.75" customHeight="1" x14ac:dyDescent="0.25">
      <c r="A149" s="140"/>
      <c r="B149" s="140"/>
      <c r="C149" s="140"/>
      <c r="D149" s="140"/>
      <c r="E149" s="140"/>
      <c r="F149" s="140"/>
      <c r="G149" s="140"/>
      <c r="H149" s="140"/>
      <c r="I149" s="140"/>
      <c r="J149" s="140"/>
      <c r="K149" s="140"/>
      <c r="L149" s="140"/>
      <c r="M149" s="140"/>
      <c r="N149" s="140"/>
      <c r="O149" s="140"/>
      <c r="P149" s="140"/>
      <c r="Q149" s="140"/>
      <c r="R149" s="140"/>
      <c r="S149" s="140"/>
      <c r="T149" s="140"/>
      <c r="U149" s="140"/>
      <c r="V149" s="140"/>
    </row>
    <row r="150" spans="1:22" ht="15.75" customHeight="1" x14ac:dyDescent="0.25">
      <c r="A150" s="140"/>
      <c r="B150" s="140"/>
      <c r="C150" s="140"/>
      <c r="D150" s="140"/>
      <c r="E150" s="140"/>
      <c r="F150" s="140"/>
      <c r="G150" s="140"/>
      <c r="H150" s="140"/>
      <c r="I150" s="140"/>
      <c r="J150" s="140"/>
      <c r="K150" s="140"/>
      <c r="L150" s="140"/>
      <c r="M150" s="140"/>
      <c r="N150" s="140"/>
      <c r="O150" s="140"/>
      <c r="P150" s="140"/>
      <c r="Q150" s="140"/>
      <c r="R150" s="140"/>
      <c r="S150" s="140"/>
      <c r="T150" s="140"/>
      <c r="U150" s="140"/>
      <c r="V150" s="140"/>
    </row>
    <row r="151" spans="1:22" ht="15.75" customHeight="1" x14ac:dyDescent="0.25">
      <c r="A151" s="140"/>
      <c r="B151" s="140"/>
      <c r="C151" s="140"/>
      <c r="D151" s="140"/>
      <c r="E151" s="140"/>
      <c r="F151" s="140"/>
      <c r="G151" s="140"/>
      <c r="H151" s="140"/>
      <c r="I151" s="140"/>
      <c r="J151" s="140"/>
      <c r="K151" s="140"/>
      <c r="L151" s="140"/>
      <c r="M151" s="140"/>
      <c r="N151" s="140"/>
      <c r="O151" s="140"/>
      <c r="P151" s="140"/>
      <c r="Q151" s="140"/>
      <c r="R151" s="140"/>
      <c r="S151" s="140"/>
      <c r="T151" s="140"/>
      <c r="U151" s="140"/>
      <c r="V151" s="140"/>
    </row>
    <row r="152" spans="1:22" ht="15.75" customHeight="1" x14ac:dyDescent="0.25">
      <c r="A152" s="140"/>
      <c r="B152" s="140"/>
      <c r="C152" s="140"/>
      <c r="D152" s="140"/>
      <c r="E152" s="140"/>
      <c r="F152" s="140"/>
      <c r="G152" s="140"/>
      <c r="H152" s="140"/>
      <c r="I152" s="140"/>
      <c r="J152" s="140"/>
      <c r="K152" s="140"/>
      <c r="L152" s="140"/>
      <c r="M152" s="140"/>
      <c r="N152" s="140"/>
      <c r="O152" s="140"/>
      <c r="P152" s="140"/>
      <c r="Q152" s="140"/>
      <c r="R152" s="140"/>
      <c r="S152" s="140"/>
      <c r="T152" s="140"/>
      <c r="U152" s="140"/>
      <c r="V152" s="140"/>
    </row>
    <row r="153" spans="1:22" ht="15.75" customHeight="1" x14ac:dyDescent="0.25">
      <c r="A153" s="140"/>
      <c r="B153" s="140"/>
      <c r="C153" s="140"/>
      <c r="D153" s="140"/>
      <c r="E153" s="140"/>
      <c r="F153" s="140"/>
      <c r="G153" s="140"/>
      <c r="H153" s="140"/>
      <c r="I153" s="140"/>
      <c r="J153" s="140"/>
      <c r="K153" s="140"/>
      <c r="L153" s="140"/>
      <c r="M153" s="140"/>
      <c r="N153" s="140"/>
      <c r="O153" s="140"/>
      <c r="P153" s="140"/>
      <c r="Q153" s="140"/>
      <c r="R153" s="140"/>
      <c r="S153" s="140"/>
      <c r="T153" s="140"/>
      <c r="U153" s="140"/>
      <c r="V153" s="140"/>
    </row>
    <row r="154" spans="1:22" ht="15.75" customHeight="1" x14ac:dyDescent="0.25">
      <c r="A154" s="140"/>
      <c r="B154" s="140"/>
      <c r="C154" s="140"/>
      <c r="D154" s="140"/>
      <c r="E154" s="140"/>
      <c r="F154" s="140"/>
      <c r="G154" s="140"/>
      <c r="H154" s="140"/>
      <c r="I154" s="140"/>
      <c r="J154" s="140"/>
      <c r="K154" s="140"/>
      <c r="L154" s="140"/>
      <c r="M154" s="140"/>
      <c r="N154" s="140"/>
      <c r="O154" s="140"/>
      <c r="P154" s="140"/>
      <c r="Q154" s="140"/>
      <c r="R154" s="140"/>
      <c r="S154" s="140"/>
      <c r="T154" s="140"/>
      <c r="U154" s="140"/>
      <c r="V154" s="140"/>
    </row>
    <row r="155" spans="1:22" ht="15.75" customHeight="1" x14ac:dyDescent="0.25">
      <c r="A155" s="140"/>
      <c r="B155" s="140"/>
      <c r="C155" s="140"/>
      <c r="D155" s="140"/>
      <c r="E155" s="140"/>
      <c r="F155" s="140"/>
      <c r="G155" s="140"/>
      <c r="H155" s="140"/>
      <c r="I155" s="140"/>
      <c r="J155" s="140"/>
      <c r="K155" s="140"/>
      <c r="L155" s="140"/>
      <c r="M155" s="140"/>
      <c r="N155" s="140"/>
      <c r="O155" s="140"/>
      <c r="P155" s="140"/>
      <c r="Q155" s="140"/>
      <c r="R155" s="140"/>
      <c r="S155" s="140"/>
      <c r="T155" s="140"/>
      <c r="U155" s="140"/>
      <c r="V155" s="140"/>
    </row>
    <row r="156" spans="1:22" ht="15.75" customHeight="1" x14ac:dyDescent="0.25">
      <c r="A156" s="140"/>
      <c r="B156" s="140"/>
      <c r="C156" s="140"/>
      <c r="D156" s="140"/>
      <c r="E156" s="140"/>
      <c r="F156" s="140"/>
      <c r="G156" s="140"/>
      <c r="H156" s="140"/>
      <c r="I156" s="140"/>
      <c r="J156" s="140"/>
      <c r="K156" s="140"/>
      <c r="L156" s="140"/>
      <c r="M156" s="140"/>
      <c r="N156" s="140"/>
      <c r="O156" s="140"/>
      <c r="P156" s="140"/>
      <c r="Q156" s="140"/>
      <c r="R156" s="140"/>
      <c r="S156" s="140"/>
      <c r="T156" s="140"/>
      <c r="U156" s="140"/>
      <c r="V156" s="140"/>
    </row>
    <row r="157" spans="1:22" ht="15.75" customHeight="1" x14ac:dyDescent="0.25">
      <c r="A157" s="140"/>
      <c r="B157" s="140"/>
      <c r="C157" s="140"/>
      <c r="D157" s="140"/>
      <c r="E157" s="140"/>
      <c r="F157" s="140"/>
      <c r="G157" s="140"/>
      <c r="H157" s="140"/>
      <c r="I157" s="140"/>
      <c r="J157" s="140"/>
      <c r="K157" s="140"/>
      <c r="L157" s="140"/>
      <c r="M157" s="140"/>
      <c r="N157" s="140"/>
      <c r="O157" s="140"/>
      <c r="P157" s="140"/>
      <c r="Q157" s="140"/>
      <c r="R157" s="140"/>
      <c r="S157" s="140"/>
      <c r="T157" s="140"/>
      <c r="U157" s="140"/>
      <c r="V157" s="140"/>
    </row>
    <row r="158" spans="1:22" ht="15.75" customHeight="1" x14ac:dyDescent="0.25">
      <c r="A158" s="140"/>
      <c r="B158" s="140"/>
      <c r="C158" s="140"/>
      <c r="D158" s="140"/>
      <c r="E158" s="140"/>
      <c r="F158" s="140"/>
      <c r="G158" s="140"/>
      <c r="H158" s="140"/>
      <c r="I158" s="140"/>
      <c r="J158" s="140"/>
      <c r="K158" s="140"/>
      <c r="L158" s="140"/>
      <c r="M158" s="140"/>
      <c r="N158" s="140"/>
      <c r="O158" s="140"/>
      <c r="P158" s="140"/>
      <c r="Q158" s="140"/>
      <c r="R158" s="140"/>
      <c r="S158" s="140"/>
      <c r="T158" s="140"/>
      <c r="U158" s="140"/>
      <c r="V158" s="140"/>
    </row>
    <row r="159" spans="1:22" ht="15.75" customHeight="1" x14ac:dyDescent="0.25">
      <c r="A159" s="140"/>
      <c r="B159" s="140"/>
      <c r="C159" s="140"/>
      <c r="D159" s="140"/>
      <c r="E159" s="140"/>
      <c r="F159" s="140"/>
      <c r="G159" s="140"/>
      <c r="H159" s="140"/>
      <c r="I159" s="140"/>
      <c r="J159" s="140"/>
      <c r="K159" s="140"/>
      <c r="L159" s="140"/>
      <c r="M159" s="140"/>
      <c r="N159" s="140"/>
      <c r="O159" s="140"/>
      <c r="P159" s="140"/>
      <c r="Q159" s="140"/>
      <c r="R159" s="140"/>
      <c r="S159" s="140"/>
      <c r="T159" s="140"/>
      <c r="U159" s="140"/>
      <c r="V159" s="140"/>
    </row>
    <row r="160" spans="1:22" ht="15.75" customHeight="1" x14ac:dyDescent="0.25">
      <c r="A160" s="140"/>
      <c r="B160" s="140"/>
      <c r="C160" s="140"/>
      <c r="D160" s="140"/>
      <c r="E160" s="140"/>
      <c r="F160" s="140"/>
      <c r="G160" s="140"/>
      <c r="H160" s="140"/>
      <c r="I160" s="140"/>
      <c r="J160" s="140"/>
      <c r="K160" s="140"/>
      <c r="L160" s="140"/>
      <c r="M160" s="140"/>
      <c r="N160" s="140"/>
      <c r="O160" s="140"/>
      <c r="P160" s="140"/>
      <c r="Q160" s="140"/>
      <c r="R160" s="140"/>
      <c r="S160" s="140"/>
      <c r="T160" s="140"/>
      <c r="U160" s="140"/>
      <c r="V160" s="140"/>
    </row>
    <row r="161" spans="1:22" ht="15.75" customHeight="1" x14ac:dyDescent="0.25">
      <c r="A161" s="140"/>
      <c r="B161" s="140"/>
      <c r="C161" s="140"/>
      <c r="D161" s="140"/>
      <c r="E161" s="140"/>
      <c r="F161" s="140"/>
      <c r="G161" s="140"/>
      <c r="H161" s="140"/>
      <c r="I161" s="140"/>
      <c r="J161" s="140"/>
      <c r="K161" s="140"/>
      <c r="L161" s="140"/>
      <c r="M161" s="140"/>
      <c r="N161" s="140"/>
      <c r="O161" s="140"/>
      <c r="P161" s="140"/>
      <c r="Q161" s="140"/>
      <c r="R161" s="140"/>
      <c r="S161" s="140"/>
      <c r="T161" s="140"/>
      <c r="U161" s="140"/>
      <c r="V161" s="140"/>
    </row>
    <row r="162" spans="1:22" ht="15.75" customHeight="1" x14ac:dyDescent="0.25">
      <c r="A162" s="140"/>
      <c r="B162" s="140"/>
      <c r="C162" s="140"/>
      <c r="D162" s="140"/>
      <c r="E162" s="140"/>
      <c r="F162" s="140"/>
      <c r="G162" s="140"/>
      <c r="H162" s="140"/>
      <c r="I162" s="140"/>
      <c r="J162" s="140"/>
      <c r="K162" s="140"/>
      <c r="L162" s="140"/>
      <c r="M162" s="140"/>
      <c r="N162" s="140"/>
      <c r="O162" s="140"/>
      <c r="P162" s="140"/>
      <c r="Q162" s="140"/>
      <c r="R162" s="140"/>
      <c r="S162" s="140"/>
      <c r="T162" s="140"/>
      <c r="U162" s="140"/>
      <c r="V162" s="140"/>
    </row>
    <row r="163" spans="1:22" ht="15.75" customHeight="1" x14ac:dyDescent="0.25">
      <c r="A163" s="140"/>
      <c r="B163" s="140"/>
      <c r="C163" s="140"/>
      <c r="D163" s="140"/>
      <c r="E163" s="140"/>
      <c r="F163" s="140"/>
      <c r="G163" s="140"/>
      <c r="H163" s="140"/>
      <c r="I163" s="140"/>
      <c r="J163" s="140"/>
      <c r="K163" s="140"/>
      <c r="L163" s="140"/>
      <c r="M163" s="140"/>
      <c r="N163" s="140"/>
      <c r="O163" s="140"/>
      <c r="P163" s="140"/>
      <c r="Q163" s="140"/>
      <c r="R163" s="140"/>
      <c r="S163" s="140"/>
      <c r="T163" s="140"/>
      <c r="U163" s="140"/>
      <c r="V163" s="140"/>
    </row>
    <row r="164" spans="1:22" ht="15.75" customHeight="1" x14ac:dyDescent="0.25">
      <c r="A164" s="140"/>
      <c r="B164" s="140"/>
      <c r="C164" s="140"/>
      <c r="D164" s="140"/>
      <c r="E164" s="140"/>
      <c r="F164" s="140"/>
      <c r="G164" s="140"/>
      <c r="H164" s="140"/>
      <c r="I164" s="140"/>
      <c r="J164" s="140"/>
      <c r="K164" s="140"/>
      <c r="L164" s="140"/>
      <c r="M164" s="140"/>
      <c r="N164" s="140"/>
      <c r="O164" s="140"/>
      <c r="P164" s="140"/>
      <c r="Q164" s="140"/>
      <c r="R164" s="140"/>
      <c r="S164" s="140"/>
      <c r="T164" s="140"/>
      <c r="U164" s="140"/>
      <c r="V164" s="140"/>
    </row>
    <row r="165" spans="1:22" ht="15.75" customHeight="1" x14ac:dyDescent="0.25">
      <c r="A165" s="140"/>
      <c r="B165" s="140"/>
      <c r="C165" s="140"/>
      <c r="D165" s="140"/>
      <c r="E165" s="140"/>
      <c r="F165" s="140"/>
      <c r="G165" s="140"/>
      <c r="H165" s="140"/>
      <c r="I165" s="140"/>
      <c r="J165" s="140"/>
      <c r="K165" s="140"/>
      <c r="L165" s="140"/>
      <c r="M165" s="140"/>
      <c r="N165" s="140"/>
      <c r="O165" s="140"/>
      <c r="P165" s="140"/>
      <c r="Q165" s="140"/>
      <c r="R165" s="140"/>
      <c r="S165" s="140"/>
      <c r="T165" s="140"/>
      <c r="U165" s="140"/>
      <c r="V165" s="140"/>
    </row>
    <row r="166" spans="1:22" ht="15.75" customHeight="1" x14ac:dyDescent="0.25">
      <c r="A166" s="140"/>
      <c r="B166" s="140"/>
      <c r="C166" s="140"/>
      <c r="D166" s="140"/>
      <c r="E166" s="140"/>
      <c r="F166" s="140"/>
      <c r="G166" s="140"/>
      <c r="H166" s="140"/>
      <c r="I166" s="140"/>
      <c r="J166" s="140"/>
      <c r="K166" s="140"/>
      <c r="L166" s="140"/>
      <c r="M166" s="140"/>
      <c r="N166" s="140"/>
      <c r="O166" s="140"/>
      <c r="P166" s="140"/>
      <c r="Q166" s="140"/>
      <c r="R166" s="140"/>
      <c r="S166" s="140"/>
      <c r="T166" s="140"/>
      <c r="U166" s="140"/>
      <c r="V166" s="140"/>
    </row>
    <row r="167" spans="1:22" ht="15.75" customHeight="1" x14ac:dyDescent="0.25">
      <c r="A167" s="140"/>
      <c r="B167" s="140"/>
      <c r="C167" s="140"/>
      <c r="D167" s="140"/>
      <c r="E167" s="140"/>
      <c r="F167" s="140"/>
      <c r="G167" s="140"/>
      <c r="H167" s="140"/>
      <c r="I167" s="140"/>
      <c r="J167" s="140"/>
      <c r="K167" s="140"/>
      <c r="L167" s="140"/>
      <c r="M167" s="140"/>
      <c r="N167" s="140"/>
      <c r="O167" s="140"/>
      <c r="P167" s="140"/>
      <c r="Q167" s="140"/>
      <c r="R167" s="140"/>
      <c r="S167" s="140"/>
      <c r="T167" s="140"/>
      <c r="U167" s="140"/>
      <c r="V167" s="140"/>
    </row>
    <row r="168" spans="1:22" ht="15.75" customHeight="1" x14ac:dyDescent="0.25">
      <c r="A168" s="140"/>
      <c r="B168" s="140"/>
      <c r="C168" s="140"/>
      <c r="D168" s="140"/>
      <c r="E168" s="140"/>
      <c r="F168" s="140"/>
      <c r="G168" s="140"/>
      <c r="H168" s="140"/>
      <c r="I168" s="140"/>
      <c r="J168" s="140"/>
      <c r="K168" s="140"/>
      <c r="L168" s="140"/>
      <c r="M168" s="140"/>
      <c r="N168" s="140"/>
      <c r="O168" s="140"/>
      <c r="P168" s="140"/>
      <c r="Q168" s="140"/>
      <c r="R168" s="140"/>
      <c r="S168" s="140"/>
      <c r="T168" s="140"/>
      <c r="U168" s="140"/>
      <c r="V168" s="140"/>
    </row>
    <row r="169" spans="1:22" ht="15.75" customHeight="1" x14ac:dyDescent="0.25">
      <c r="A169" s="140"/>
      <c r="B169" s="140"/>
      <c r="C169" s="140"/>
      <c r="D169" s="140"/>
      <c r="E169" s="140"/>
      <c r="F169" s="140"/>
      <c r="G169" s="140"/>
      <c r="H169" s="140"/>
      <c r="I169" s="140"/>
      <c r="J169" s="140"/>
      <c r="K169" s="140"/>
      <c r="L169" s="140"/>
      <c r="M169" s="140"/>
      <c r="N169" s="140"/>
      <c r="O169" s="140"/>
      <c r="P169" s="140"/>
      <c r="Q169" s="140"/>
      <c r="R169" s="140"/>
      <c r="S169" s="140"/>
      <c r="T169" s="140"/>
      <c r="U169" s="140"/>
      <c r="V169" s="140"/>
    </row>
    <row r="170" spans="1:22" ht="15.75" customHeight="1" x14ac:dyDescent="0.25">
      <c r="A170" s="140"/>
      <c r="B170" s="140"/>
      <c r="C170" s="140"/>
      <c r="D170" s="140"/>
      <c r="E170" s="140"/>
      <c r="F170" s="140"/>
      <c r="G170" s="140"/>
      <c r="H170" s="140"/>
      <c r="I170" s="140"/>
      <c r="J170" s="140"/>
      <c r="K170" s="140"/>
      <c r="L170" s="140"/>
      <c r="M170" s="140"/>
      <c r="N170" s="140"/>
      <c r="O170" s="140"/>
      <c r="P170" s="140"/>
      <c r="Q170" s="140"/>
      <c r="R170" s="140"/>
      <c r="S170" s="140"/>
      <c r="T170" s="140"/>
      <c r="U170" s="140"/>
      <c r="V170" s="140"/>
    </row>
    <row r="171" spans="1:22" ht="15.75" customHeight="1" x14ac:dyDescent="0.25">
      <c r="A171" s="140"/>
      <c r="B171" s="140"/>
      <c r="C171" s="140"/>
      <c r="D171" s="140"/>
      <c r="E171" s="140"/>
      <c r="F171" s="140"/>
      <c r="G171" s="140"/>
      <c r="H171" s="140"/>
      <c r="I171" s="140"/>
      <c r="J171" s="140"/>
      <c r="K171" s="140"/>
      <c r="L171" s="140"/>
      <c r="M171" s="140"/>
      <c r="N171" s="140"/>
      <c r="O171" s="140"/>
      <c r="P171" s="140"/>
      <c r="Q171" s="140"/>
      <c r="R171" s="140"/>
      <c r="S171" s="140"/>
      <c r="T171" s="140"/>
      <c r="U171" s="140"/>
      <c r="V171" s="140"/>
    </row>
    <row r="172" spans="1:22" ht="15.75" customHeight="1" x14ac:dyDescent="0.25">
      <c r="A172" s="140"/>
      <c r="B172" s="140"/>
      <c r="C172" s="140"/>
      <c r="D172" s="140"/>
      <c r="E172" s="140"/>
      <c r="F172" s="140"/>
      <c r="G172" s="140"/>
      <c r="H172" s="140"/>
      <c r="I172" s="140"/>
      <c r="J172" s="140"/>
      <c r="K172" s="140"/>
      <c r="L172" s="140"/>
      <c r="M172" s="140"/>
      <c r="N172" s="140"/>
      <c r="O172" s="140"/>
      <c r="P172" s="140"/>
      <c r="Q172" s="140"/>
      <c r="R172" s="140"/>
      <c r="S172" s="140"/>
      <c r="T172" s="140"/>
      <c r="U172" s="140"/>
      <c r="V172" s="140"/>
    </row>
    <row r="173" spans="1:22" ht="15.75" customHeight="1" x14ac:dyDescent="0.25">
      <c r="A173" s="140"/>
      <c r="B173" s="140"/>
      <c r="C173" s="140"/>
      <c r="D173" s="140"/>
      <c r="E173" s="140"/>
      <c r="F173" s="140"/>
      <c r="G173" s="140"/>
      <c r="H173" s="140"/>
      <c r="I173" s="140"/>
      <c r="J173" s="140"/>
      <c r="K173" s="140"/>
      <c r="L173" s="140"/>
      <c r="M173" s="140"/>
      <c r="N173" s="140"/>
      <c r="O173" s="140"/>
      <c r="P173" s="140"/>
      <c r="Q173" s="140"/>
      <c r="R173" s="140"/>
      <c r="S173" s="140"/>
      <c r="T173" s="140"/>
      <c r="U173" s="140"/>
      <c r="V173" s="140"/>
    </row>
    <row r="174" spans="1:22" ht="15.75" customHeight="1" x14ac:dyDescent="0.25">
      <c r="A174" s="140"/>
      <c r="B174" s="140"/>
      <c r="C174" s="140"/>
      <c r="D174" s="140"/>
      <c r="E174" s="140"/>
      <c r="F174" s="140"/>
      <c r="G174" s="140"/>
      <c r="H174" s="140"/>
      <c r="I174" s="140"/>
      <c r="J174" s="140"/>
      <c r="K174" s="140"/>
      <c r="L174" s="140"/>
      <c r="M174" s="140"/>
      <c r="N174" s="140"/>
      <c r="O174" s="140"/>
      <c r="P174" s="140"/>
      <c r="Q174" s="140"/>
      <c r="R174" s="140"/>
      <c r="S174" s="140"/>
      <c r="T174" s="140"/>
      <c r="U174" s="140"/>
      <c r="V174" s="140"/>
    </row>
    <row r="175" spans="1:22" ht="15.75" customHeight="1" x14ac:dyDescent="0.25">
      <c r="A175" s="140"/>
      <c r="B175" s="140"/>
      <c r="C175" s="140"/>
      <c r="D175" s="140"/>
      <c r="E175" s="140"/>
      <c r="F175" s="140"/>
      <c r="G175" s="140"/>
      <c r="H175" s="140"/>
      <c r="I175" s="140"/>
      <c r="J175" s="140"/>
      <c r="K175" s="140"/>
      <c r="L175" s="140"/>
      <c r="M175" s="140"/>
      <c r="N175" s="140"/>
      <c r="O175" s="140"/>
      <c r="P175" s="140"/>
      <c r="Q175" s="140"/>
      <c r="R175" s="140"/>
      <c r="S175" s="140"/>
      <c r="T175" s="140"/>
      <c r="U175" s="140"/>
      <c r="V175" s="140"/>
    </row>
    <row r="176" spans="1:22" ht="15.75" customHeight="1" x14ac:dyDescent="0.25">
      <c r="A176" s="140"/>
      <c r="B176" s="140"/>
      <c r="C176" s="140"/>
      <c r="D176" s="140"/>
      <c r="E176" s="140"/>
      <c r="F176" s="140"/>
      <c r="G176" s="140"/>
      <c r="H176" s="140"/>
      <c r="I176" s="140"/>
      <c r="J176" s="140"/>
      <c r="K176" s="140"/>
      <c r="L176" s="140"/>
      <c r="M176" s="140"/>
      <c r="N176" s="140"/>
      <c r="O176" s="140"/>
      <c r="P176" s="140"/>
      <c r="Q176" s="140"/>
      <c r="R176" s="140"/>
      <c r="S176" s="140"/>
      <c r="T176" s="140"/>
      <c r="U176" s="140"/>
      <c r="V176" s="140"/>
    </row>
    <row r="177" spans="1:22" ht="15.75" customHeight="1" x14ac:dyDescent="0.25">
      <c r="A177" s="140"/>
      <c r="B177" s="140"/>
      <c r="C177" s="140"/>
      <c r="D177" s="140"/>
      <c r="E177" s="140"/>
      <c r="F177" s="140"/>
      <c r="G177" s="140"/>
      <c r="H177" s="140"/>
      <c r="I177" s="140"/>
      <c r="J177" s="140"/>
      <c r="K177" s="140"/>
      <c r="L177" s="140"/>
      <c r="M177" s="140"/>
      <c r="N177" s="140"/>
      <c r="O177" s="140"/>
      <c r="P177" s="140"/>
      <c r="Q177" s="140"/>
      <c r="R177" s="140"/>
      <c r="S177" s="140"/>
      <c r="T177" s="140"/>
      <c r="U177" s="140"/>
      <c r="V177" s="140"/>
    </row>
    <row r="178" spans="1:22" ht="15.75" customHeight="1" x14ac:dyDescent="0.25">
      <c r="A178" s="140"/>
      <c r="B178" s="140"/>
      <c r="C178" s="140"/>
      <c r="D178" s="140"/>
      <c r="E178" s="140"/>
      <c r="F178" s="140"/>
      <c r="G178" s="140"/>
      <c r="H178" s="140"/>
      <c r="I178" s="140"/>
      <c r="J178" s="140"/>
      <c r="K178" s="140"/>
      <c r="L178" s="140"/>
      <c r="M178" s="140"/>
      <c r="N178" s="140"/>
      <c r="O178" s="140"/>
      <c r="P178" s="140"/>
      <c r="Q178" s="140"/>
      <c r="R178" s="140"/>
      <c r="S178" s="140"/>
      <c r="T178" s="140"/>
      <c r="U178" s="140"/>
      <c r="V178" s="140"/>
    </row>
    <row r="179" spans="1:22" ht="15.75" customHeight="1" x14ac:dyDescent="0.25">
      <c r="A179" s="140"/>
      <c r="B179" s="140"/>
      <c r="C179" s="140"/>
      <c r="D179" s="140"/>
      <c r="E179" s="140"/>
      <c r="F179" s="140"/>
      <c r="G179" s="140"/>
      <c r="H179" s="140"/>
      <c r="I179" s="140"/>
      <c r="J179" s="140"/>
      <c r="K179" s="140"/>
      <c r="L179" s="140"/>
      <c r="M179" s="140"/>
      <c r="N179" s="140"/>
      <c r="O179" s="140"/>
      <c r="P179" s="140"/>
      <c r="Q179" s="140"/>
      <c r="R179" s="140"/>
      <c r="S179" s="140"/>
      <c r="T179" s="140"/>
      <c r="U179" s="140"/>
      <c r="V179" s="140"/>
    </row>
    <row r="180" spans="1:22" ht="15.75" customHeight="1" x14ac:dyDescent="0.25">
      <c r="A180" s="140"/>
      <c r="B180" s="140"/>
      <c r="C180" s="140"/>
      <c r="D180" s="140"/>
      <c r="E180" s="140"/>
      <c r="F180" s="140"/>
      <c r="G180" s="140"/>
      <c r="H180" s="140"/>
      <c r="I180" s="140"/>
      <c r="J180" s="140"/>
      <c r="K180" s="140"/>
      <c r="L180" s="140"/>
      <c r="M180" s="140"/>
      <c r="N180" s="140"/>
      <c r="O180" s="140"/>
      <c r="P180" s="140"/>
      <c r="Q180" s="140"/>
      <c r="R180" s="140"/>
      <c r="S180" s="140"/>
      <c r="T180" s="140"/>
      <c r="U180" s="140"/>
      <c r="V180" s="140"/>
    </row>
    <row r="181" spans="1:22" ht="15.75" customHeight="1" x14ac:dyDescent="0.25">
      <c r="A181" s="140"/>
      <c r="B181" s="140"/>
      <c r="C181" s="140"/>
      <c r="D181" s="140"/>
      <c r="E181" s="140"/>
      <c r="F181" s="140"/>
      <c r="G181" s="140"/>
      <c r="H181" s="140"/>
      <c r="I181" s="140"/>
      <c r="J181" s="140"/>
      <c r="K181" s="140"/>
      <c r="L181" s="140"/>
      <c r="M181" s="140"/>
      <c r="N181" s="140"/>
      <c r="O181" s="140"/>
      <c r="P181" s="140"/>
      <c r="Q181" s="140"/>
      <c r="R181" s="140"/>
      <c r="S181" s="140"/>
      <c r="T181" s="140"/>
      <c r="U181" s="140"/>
      <c r="V181" s="140"/>
    </row>
    <row r="182" spans="1:22" ht="15.75" customHeight="1" x14ac:dyDescent="0.25">
      <c r="A182" s="140"/>
      <c r="B182" s="140"/>
      <c r="C182" s="140"/>
      <c r="D182" s="140"/>
      <c r="E182" s="140"/>
      <c r="F182" s="140"/>
      <c r="G182" s="140"/>
      <c r="H182" s="140"/>
      <c r="I182" s="140"/>
      <c r="J182" s="140"/>
      <c r="K182" s="140"/>
      <c r="L182" s="140"/>
      <c r="M182" s="140"/>
      <c r="N182" s="140"/>
      <c r="O182" s="140"/>
      <c r="P182" s="140"/>
      <c r="Q182" s="140"/>
      <c r="R182" s="140"/>
      <c r="S182" s="140"/>
      <c r="T182" s="140"/>
      <c r="U182" s="140"/>
      <c r="V182" s="140"/>
    </row>
    <row r="183" spans="1:22" ht="15.75" customHeight="1" x14ac:dyDescent="0.25">
      <c r="A183" s="140"/>
      <c r="B183" s="140"/>
      <c r="C183" s="140"/>
      <c r="D183" s="140"/>
      <c r="E183" s="140"/>
      <c r="F183" s="140"/>
      <c r="G183" s="140"/>
      <c r="H183" s="140"/>
      <c r="I183" s="140"/>
      <c r="J183" s="140"/>
      <c r="K183" s="140"/>
      <c r="L183" s="140"/>
      <c r="M183" s="140"/>
      <c r="N183" s="140"/>
      <c r="O183" s="140"/>
      <c r="P183" s="140"/>
      <c r="Q183" s="140"/>
      <c r="R183" s="140"/>
      <c r="S183" s="140"/>
      <c r="T183" s="140"/>
      <c r="U183" s="140"/>
      <c r="V183" s="140"/>
    </row>
    <row r="184" spans="1:22" ht="15.75" customHeight="1" x14ac:dyDescent="0.25">
      <c r="A184" s="140"/>
      <c r="B184" s="140"/>
      <c r="C184" s="140"/>
      <c r="D184" s="140"/>
      <c r="E184" s="140"/>
      <c r="F184" s="140"/>
      <c r="G184" s="140"/>
      <c r="H184" s="140"/>
      <c r="I184" s="140"/>
      <c r="J184" s="140"/>
      <c r="K184" s="140"/>
      <c r="L184" s="140"/>
      <c r="M184" s="140"/>
      <c r="N184" s="140"/>
      <c r="O184" s="140"/>
      <c r="P184" s="140"/>
      <c r="Q184" s="140"/>
      <c r="R184" s="140"/>
      <c r="S184" s="140"/>
      <c r="T184" s="140"/>
      <c r="U184" s="140"/>
      <c r="V184" s="140"/>
    </row>
    <row r="185" spans="1:22" ht="15.75" customHeight="1" x14ac:dyDescent="0.25">
      <c r="A185" s="140"/>
      <c r="B185" s="140"/>
      <c r="C185" s="140"/>
      <c r="D185" s="140"/>
      <c r="E185" s="140"/>
      <c r="F185" s="140"/>
      <c r="G185" s="140"/>
      <c r="H185" s="140"/>
      <c r="I185" s="140"/>
      <c r="J185" s="140"/>
      <c r="K185" s="140"/>
      <c r="L185" s="140"/>
      <c r="M185" s="140"/>
      <c r="N185" s="140"/>
      <c r="O185" s="140"/>
      <c r="P185" s="140"/>
      <c r="Q185" s="140"/>
      <c r="R185" s="140"/>
      <c r="S185" s="140"/>
      <c r="T185" s="140"/>
      <c r="U185" s="140"/>
      <c r="V185" s="140"/>
    </row>
    <row r="186" spans="1:22" ht="15.75" customHeight="1" x14ac:dyDescent="0.25">
      <c r="A186" s="140"/>
      <c r="B186" s="140"/>
      <c r="C186" s="140"/>
      <c r="D186" s="140"/>
      <c r="E186" s="140"/>
      <c r="F186" s="140"/>
      <c r="G186" s="140"/>
      <c r="H186" s="140"/>
      <c r="I186" s="140"/>
      <c r="J186" s="140"/>
      <c r="K186" s="140"/>
      <c r="L186" s="140"/>
      <c r="M186" s="140"/>
      <c r="N186" s="140"/>
      <c r="O186" s="140"/>
      <c r="P186" s="140"/>
      <c r="Q186" s="140"/>
      <c r="R186" s="140"/>
      <c r="S186" s="140"/>
      <c r="T186" s="140"/>
      <c r="U186" s="140"/>
      <c r="V186" s="140"/>
    </row>
    <row r="187" spans="1:22" ht="15.75" customHeight="1" x14ac:dyDescent="0.25">
      <c r="A187" s="140"/>
      <c r="B187" s="140"/>
      <c r="C187" s="140"/>
      <c r="D187" s="140"/>
      <c r="E187" s="140"/>
      <c r="F187" s="140"/>
      <c r="G187" s="140"/>
      <c r="H187" s="140"/>
      <c r="I187" s="140"/>
      <c r="J187" s="140"/>
      <c r="K187" s="140"/>
      <c r="L187" s="140"/>
      <c r="M187" s="140"/>
      <c r="N187" s="140"/>
      <c r="O187" s="140"/>
      <c r="P187" s="140"/>
      <c r="Q187" s="140"/>
      <c r="R187" s="140"/>
      <c r="S187" s="140"/>
      <c r="T187" s="140"/>
      <c r="U187" s="140"/>
      <c r="V187" s="140"/>
    </row>
    <row r="188" spans="1:22" ht="15.75" customHeight="1" x14ac:dyDescent="0.25">
      <c r="A188" s="140"/>
      <c r="B188" s="140"/>
      <c r="C188" s="140"/>
      <c r="D188" s="140"/>
      <c r="E188" s="140"/>
      <c r="F188" s="140"/>
      <c r="G188" s="140"/>
      <c r="H188" s="140"/>
      <c r="I188" s="140"/>
      <c r="J188" s="140"/>
      <c r="K188" s="140"/>
      <c r="L188" s="140"/>
      <c r="M188" s="140"/>
      <c r="N188" s="140"/>
      <c r="O188" s="140"/>
      <c r="P188" s="140"/>
      <c r="Q188" s="140"/>
      <c r="R188" s="140"/>
      <c r="S188" s="140"/>
      <c r="T188" s="140"/>
      <c r="U188" s="140"/>
      <c r="V188" s="140"/>
    </row>
    <row r="189" spans="1:22" ht="15.75" customHeight="1" x14ac:dyDescent="0.25">
      <c r="A189" s="140"/>
      <c r="B189" s="140"/>
      <c r="C189" s="140"/>
      <c r="D189" s="140"/>
      <c r="E189" s="140"/>
      <c r="F189" s="140"/>
      <c r="G189" s="140"/>
      <c r="H189" s="140"/>
      <c r="I189" s="140"/>
      <c r="J189" s="140"/>
      <c r="K189" s="140"/>
      <c r="L189" s="140"/>
      <c r="M189" s="140"/>
      <c r="N189" s="140"/>
      <c r="O189" s="140"/>
      <c r="P189" s="140"/>
      <c r="Q189" s="140"/>
      <c r="R189" s="140"/>
      <c r="S189" s="140"/>
      <c r="T189" s="140"/>
      <c r="U189" s="140"/>
      <c r="V189" s="140"/>
    </row>
    <row r="190" spans="1:22" ht="15.75" customHeight="1" x14ac:dyDescent="0.25">
      <c r="A190" s="140"/>
      <c r="B190" s="140"/>
      <c r="C190" s="140"/>
      <c r="D190" s="140"/>
      <c r="E190" s="140"/>
      <c r="F190" s="140"/>
      <c r="G190" s="140"/>
      <c r="H190" s="140"/>
      <c r="I190" s="140"/>
      <c r="J190" s="140"/>
      <c r="K190" s="140"/>
      <c r="L190" s="140"/>
      <c r="M190" s="140"/>
      <c r="N190" s="140"/>
      <c r="O190" s="140"/>
      <c r="P190" s="140"/>
      <c r="Q190" s="140"/>
      <c r="R190" s="140"/>
      <c r="S190" s="140"/>
      <c r="T190" s="140"/>
      <c r="U190" s="140"/>
      <c r="V190" s="140"/>
    </row>
    <row r="191" spans="1:22" ht="15.75" customHeight="1" x14ac:dyDescent="0.25">
      <c r="A191" s="140"/>
      <c r="B191" s="140"/>
      <c r="C191" s="140"/>
      <c r="D191" s="140"/>
      <c r="E191" s="140"/>
      <c r="F191" s="140"/>
      <c r="G191" s="140"/>
      <c r="H191" s="140"/>
      <c r="I191" s="140"/>
      <c r="J191" s="140"/>
      <c r="K191" s="140"/>
      <c r="L191" s="140"/>
      <c r="M191" s="140"/>
      <c r="N191" s="140"/>
      <c r="O191" s="140"/>
      <c r="P191" s="140"/>
      <c r="Q191" s="140"/>
      <c r="R191" s="140"/>
      <c r="S191" s="140"/>
      <c r="T191" s="140"/>
      <c r="U191" s="140"/>
      <c r="V191" s="140"/>
    </row>
    <row r="192" spans="1:22" ht="15.75" customHeight="1" x14ac:dyDescent="0.25">
      <c r="A192" s="140"/>
      <c r="B192" s="140"/>
      <c r="C192" s="140"/>
      <c r="D192" s="140"/>
      <c r="E192" s="140"/>
      <c r="F192" s="140"/>
      <c r="G192" s="140"/>
      <c r="H192" s="140"/>
      <c r="I192" s="140"/>
      <c r="J192" s="140"/>
      <c r="K192" s="140"/>
      <c r="L192" s="140"/>
      <c r="M192" s="140"/>
      <c r="N192" s="140"/>
      <c r="O192" s="140"/>
      <c r="P192" s="140"/>
      <c r="Q192" s="140"/>
      <c r="R192" s="140"/>
      <c r="S192" s="140"/>
      <c r="T192" s="140"/>
      <c r="U192" s="140"/>
      <c r="V192" s="140"/>
    </row>
    <row r="193" spans="1:22" ht="15.75" customHeight="1" x14ac:dyDescent="0.25">
      <c r="A193" s="140"/>
      <c r="B193" s="140"/>
      <c r="C193" s="140"/>
      <c r="D193" s="140"/>
      <c r="E193" s="140"/>
      <c r="F193" s="140"/>
      <c r="G193" s="140"/>
      <c r="H193" s="140"/>
      <c r="I193" s="140"/>
      <c r="J193" s="140"/>
      <c r="K193" s="140"/>
      <c r="L193" s="140"/>
      <c r="M193" s="140"/>
      <c r="N193" s="140"/>
      <c r="O193" s="140"/>
      <c r="P193" s="140"/>
      <c r="Q193" s="140"/>
      <c r="R193" s="140"/>
      <c r="S193" s="140"/>
      <c r="T193" s="140"/>
      <c r="U193" s="140"/>
      <c r="V193" s="140"/>
    </row>
    <row r="194" spans="1:22" ht="15.75" customHeight="1" x14ac:dyDescent="0.25">
      <c r="A194" s="140"/>
      <c r="B194" s="140"/>
      <c r="C194" s="140"/>
      <c r="D194" s="140"/>
      <c r="E194" s="140"/>
      <c r="F194" s="140"/>
      <c r="G194" s="140"/>
      <c r="H194" s="140"/>
      <c r="I194" s="140"/>
      <c r="J194" s="140"/>
      <c r="K194" s="140"/>
      <c r="L194" s="140"/>
      <c r="M194" s="140"/>
      <c r="N194" s="140"/>
      <c r="O194" s="140"/>
      <c r="P194" s="140"/>
      <c r="Q194" s="140"/>
      <c r="R194" s="140"/>
      <c r="S194" s="140"/>
      <c r="T194" s="140"/>
      <c r="U194" s="140"/>
      <c r="V194" s="140"/>
    </row>
    <row r="195" spans="1:22" ht="15.75" customHeight="1" x14ac:dyDescent="0.25">
      <c r="A195" s="140"/>
      <c r="B195" s="140"/>
      <c r="C195" s="140"/>
      <c r="D195" s="140"/>
      <c r="E195" s="140"/>
      <c r="F195" s="140"/>
      <c r="G195" s="140"/>
      <c r="H195" s="140"/>
      <c r="I195" s="140"/>
      <c r="J195" s="140"/>
      <c r="K195" s="140"/>
      <c r="L195" s="140"/>
      <c r="M195" s="140"/>
      <c r="N195" s="140"/>
      <c r="O195" s="140"/>
      <c r="P195" s="140"/>
      <c r="Q195" s="140"/>
      <c r="R195" s="140"/>
      <c r="S195" s="140"/>
      <c r="T195" s="140"/>
      <c r="U195" s="140"/>
      <c r="V195" s="140"/>
    </row>
    <row r="196" spans="1:22" ht="15.75" customHeight="1" x14ac:dyDescent="0.25">
      <c r="A196" s="140"/>
      <c r="B196" s="140"/>
      <c r="C196" s="140"/>
      <c r="D196" s="140"/>
      <c r="E196" s="140"/>
      <c r="F196" s="140"/>
      <c r="G196" s="140"/>
      <c r="H196" s="140"/>
      <c r="I196" s="140"/>
      <c r="J196" s="140"/>
      <c r="K196" s="140"/>
      <c r="L196" s="140"/>
      <c r="M196" s="140"/>
      <c r="N196" s="140"/>
      <c r="O196" s="140"/>
      <c r="P196" s="140"/>
      <c r="Q196" s="140"/>
      <c r="R196" s="140"/>
      <c r="S196" s="140"/>
      <c r="T196" s="140"/>
      <c r="U196" s="140"/>
      <c r="V196" s="140"/>
    </row>
    <row r="197" spans="1:22" ht="15.75" customHeight="1" x14ac:dyDescent="0.25">
      <c r="A197" s="140"/>
      <c r="B197" s="140"/>
      <c r="C197" s="140"/>
      <c r="D197" s="140"/>
      <c r="E197" s="140"/>
      <c r="F197" s="140"/>
      <c r="G197" s="140"/>
      <c r="H197" s="140"/>
      <c r="I197" s="140"/>
      <c r="J197" s="140"/>
      <c r="K197" s="140"/>
      <c r="L197" s="140"/>
      <c r="M197" s="140"/>
      <c r="N197" s="140"/>
      <c r="O197" s="140"/>
      <c r="P197" s="140"/>
      <c r="Q197" s="140"/>
      <c r="R197" s="140"/>
      <c r="S197" s="140"/>
      <c r="T197" s="140"/>
      <c r="U197" s="140"/>
      <c r="V197" s="140"/>
    </row>
    <row r="198" spans="1:22" ht="15.75" customHeight="1" x14ac:dyDescent="0.25">
      <c r="A198" s="140"/>
      <c r="B198" s="140"/>
      <c r="C198" s="140"/>
      <c r="D198" s="140"/>
      <c r="E198" s="140"/>
      <c r="F198" s="140"/>
      <c r="G198" s="140"/>
      <c r="H198" s="140"/>
      <c r="I198" s="140"/>
      <c r="J198" s="140"/>
      <c r="K198" s="140"/>
      <c r="L198" s="140"/>
      <c r="M198" s="140"/>
      <c r="N198" s="140"/>
      <c r="O198" s="140"/>
      <c r="P198" s="140"/>
      <c r="Q198" s="140"/>
      <c r="R198" s="140"/>
      <c r="S198" s="140"/>
      <c r="T198" s="140"/>
      <c r="U198" s="140"/>
      <c r="V198" s="140"/>
    </row>
    <row r="199" spans="1:22" ht="15.75" customHeight="1" x14ac:dyDescent="0.25">
      <c r="A199" s="140"/>
      <c r="B199" s="140"/>
      <c r="C199" s="140"/>
      <c r="D199" s="140"/>
      <c r="E199" s="140"/>
      <c r="F199" s="140"/>
      <c r="G199" s="140"/>
      <c r="H199" s="140"/>
      <c r="I199" s="140"/>
      <c r="J199" s="140"/>
      <c r="K199" s="140"/>
      <c r="L199" s="140"/>
      <c r="M199" s="140"/>
      <c r="N199" s="140"/>
      <c r="O199" s="140"/>
      <c r="P199" s="140"/>
      <c r="Q199" s="140"/>
      <c r="R199" s="140"/>
      <c r="S199" s="140"/>
      <c r="T199" s="140"/>
      <c r="U199" s="140"/>
      <c r="V199" s="140"/>
    </row>
    <row r="200" spans="1:22" ht="15.75" customHeight="1" x14ac:dyDescent="0.25">
      <c r="A200" s="140"/>
      <c r="B200" s="140"/>
      <c r="C200" s="140"/>
      <c r="D200" s="140"/>
      <c r="E200" s="140"/>
      <c r="F200" s="140"/>
      <c r="G200" s="140"/>
      <c r="H200" s="140"/>
      <c r="I200" s="140"/>
      <c r="J200" s="140"/>
      <c r="K200" s="140"/>
      <c r="L200" s="140"/>
      <c r="M200" s="140"/>
      <c r="N200" s="140"/>
      <c r="O200" s="140"/>
      <c r="P200" s="140"/>
      <c r="Q200" s="140"/>
      <c r="R200" s="140"/>
      <c r="S200" s="140"/>
      <c r="T200" s="140"/>
      <c r="U200" s="140"/>
      <c r="V200" s="140"/>
    </row>
    <row r="201" spans="1:22" ht="15.75" customHeight="1" x14ac:dyDescent="0.25">
      <c r="A201" s="140"/>
      <c r="B201" s="140"/>
      <c r="C201" s="140"/>
      <c r="D201" s="140"/>
      <c r="E201" s="140"/>
      <c r="F201" s="140"/>
      <c r="G201" s="140"/>
      <c r="H201" s="140"/>
      <c r="I201" s="140"/>
      <c r="J201" s="140"/>
      <c r="K201" s="140"/>
      <c r="L201" s="140"/>
      <c r="M201" s="140"/>
      <c r="N201" s="140"/>
      <c r="O201" s="140"/>
      <c r="P201" s="140"/>
      <c r="Q201" s="140"/>
      <c r="R201" s="140"/>
      <c r="S201" s="140"/>
      <c r="T201" s="140"/>
      <c r="U201" s="140"/>
      <c r="V201" s="140"/>
    </row>
    <row r="202" spans="1:22" ht="15.75" customHeight="1" x14ac:dyDescent="0.25">
      <c r="A202" s="140"/>
      <c r="B202" s="140"/>
      <c r="C202" s="140"/>
      <c r="D202" s="140"/>
      <c r="E202" s="140"/>
      <c r="F202" s="140"/>
      <c r="G202" s="140"/>
      <c r="H202" s="140"/>
      <c r="I202" s="140"/>
      <c r="J202" s="140"/>
      <c r="K202" s="140"/>
      <c r="L202" s="140"/>
      <c r="M202" s="140"/>
      <c r="N202" s="140"/>
      <c r="O202" s="140"/>
      <c r="P202" s="140"/>
      <c r="Q202" s="140"/>
      <c r="R202" s="140"/>
      <c r="S202" s="140"/>
      <c r="T202" s="140"/>
      <c r="U202" s="140"/>
      <c r="V202" s="140"/>
    </row>
    <row r="203" spans="1:22" ht="15.75" customHeight="1" x14ac:dyDescent="0.25">
      <c r="A203" s="140"/>
      <c r="B203" s="140"/>
      <c r="C203" s="140"/>
      <c r="D203" s="140"/>
      <c r="E203" s="140"/>
      <c r="F203" s="140"/>
      <c r="G203" s="140"/>
      <c r="H203" s="140"/>
      <c r="I203" s="140"/>
      <c r="J203" s="140"/>
      <c r="K203" s="140"/>
      <c r="L203" s="140"/>
      <c r="M203" s="140"/>
      <c r="N203" s="140"/>
      <c r="O203" s="140"/>
      <c r="P203" s="140"/>
      <c r="Q203" s="140"/>
      <c r="R203" s="140"/>
      <c r="S203" s="140"/>
      <c r="T203" s="140"/>
      <c r="U203" s="140"/>
      <c r="V203" s="140"/>
    </row>
    <row r="204" spans="1:22" ht="15.75" customHeight="1" x14ac:dyDescent="0.25">
      <c r="A204" s="140"/>
      <c r="B204" s="140"/>
      <c r="C204" s="140"/>
      <c r="D204" s="140"/>
      <c r="E204" s="140"/>
      <c r="F204" s="140"/>
      <c r="G204" s="140"/>
      <c r="H204" s="140"/>
      <c r="I204" s="140"/>
      <c r="J204" s="140"/>
      <c r="K204" s="140"/>
      <c r="L204" s="140"/>
      <c r="M204" s="140"/>
      <c r="N204" s="140"/>
      <c r="O204" s="140"/>
      <c r="P204" s="140"/>
      <c r="Q204" s="140"/>
      <c r="R204" s="140"/>
      <c r="S204" s="140"/>
      <c r="T204" s="140"/>
      <c r="U204" s="140"/>
      <c r="V204" s="140"/>
    </row>
    <row r="205" spans="1:22" ht="15.75" customHeight="1" x14ac:dyDescent="0.25">
      <c r="A205" s="140"/>
      <c r="B205" s="140"/>
      <c r="C205" s="140"/>
      <c r="D205" s="140"/>
      <c r="E205" s="140"/>
      <c r="F205" s="140"/>
      <c r="G205" s="140"/>
      <c r="H205" s="140"/>
      <c r="I205" s="140"/>
      <c r="J205" s="140"/>
      <c r="K205" s="140"/>
      <c r="L205" s="140"/>
      <c r="M205" s="140"/>
      <c r="N205" s="140"/>
      <c r="O205" s="140"/>
      <c r="P205" s="140"/>
      <c r="Q205" s="140"/>
      <c r="R205" s="140"/>
      <c r="S205" s="140"/>
      <c r="T205" s="140"/>
      <c r="U205" s="140"/>
      <c r="V205" s="140"/>
    </row>
    <row r="206" spans="1:22" ht="15.75" customHeight="1" x14ac:dyDescent="0.25">
      <c r="A206" s="140"/>
      <c r="B206" s="140"/>
      <c r="C206" s="140"/>
      <c r="D206" s="140"/>
      <c r="E206" s="140"/>
      <c r="F206" s="140"/>
      <c r="G206" s="140"/>
      <c r="H206" s="140"/>
      <c r="I206" s="140"/>
      <c r="J206" s="140"/>
      <c r="K206" s="140"/>
      <c r="L206" s="140"/>
      <c r="M206" s="140"/>
      <c r="N206" s="140"/>
      <c r="O206" s="140"/>
      <c r="P206" s="140"/>
      <c r="Q206" s="140"/>
      <c r="R206" s="140"/>
      <c r="S206" s="140"/>
      <c r="T206" s="140"/>
      <c r="U206" s="140"/>
      <c r="V206" s="140"/>
    </row>
    <row r="207" spans="1:22" ht="15.75" customHeight="1" x14ac:dyDescent="0.25">
      <c r="A207" s="140"/>
      <c r="B207" s="140"/>
      <c r="C207" s="140"/>
      <c r="D207" s="140"/>
      <c r="E207" s="140"/>
      <c r="F207" s="140"/>
      <c r="G207" s="140"/>
      <c r="H207" s="140"/>
      <c r="I207" s="140"/>
      <c r="J207" s="140"/>
      <c r="K207" s="140"/>
      <c r="L207" s="140"/>
      <c r="M207" s="140"/>
      <c r="N207" s="140"/>
      <c r="O207" s="140"/>
      <c r="P207" s="140"/>
      <c r="Q207" s="140"/>
      <c r="R207" s="140"/>
      <c r="S207" s="140"/>
      <c r="T207" s="140"/>
      <c r="U207" s="140"/>
      <c r="V207" s="140"/>
    </row>
    <row r="208" spans="1:22" ht="15.75" customHeight="1" x14ac:dyDescent="0.25">
      <c r="A208" s="140"/>
      <c r="B208" s="140"/>
      <c r="C208" s="140"/>
      <c r="D208" s="140"/>
      <c r="E208" s="140"/>
      <c r="F208" s="140"/>
      <c r="G208" s="140"/>
      <c r="H208" s="140"/>
      <c r="I208" s="140"/>
      <c r="J208" s="140"/>
      <c r="K208" s="140"/>
      <c r="L208" s="140"/>
      <c r="M208" s="140"/>
      <c r="N208" s="140"/>
      <c r="O208" s="140"/>
      <c r="P208" s="140"/>
      <c r="Q208" s="140"/>
      <c r="R208" s="140"/>
      <c r="S208" s="140"/>
      <c r="T208" s="140"/>
      <c r="U208" s="140"/>
      <c r="V208" s="140"/>
    </row>
    <row r="209" spans="1:22" ht="15.75" customHeight="1" x14ac:dyDescent="0.25">
      <c r="A209" s="140"/>
      <c r="B209" s="140"/>
      <c r="C209" s="140"/>
      <c r="D209" s="140"/>
      <c r="E209" s="140"/>
      <c r="F209" s="140"/>
      <c r="G209" s="140"/>
      <c r="H209" s="140"/>
      <c r="I209" s="140"/>
      <c r="J209" s="140"/>
      <c r="K209" s="140"/>
      <c r="L209" s="140"/>
      <c r="M209" s="140"/>
      <c r="N209" s="140"/>
      <c r="O209" s="140"/>
      <c r="P209" s="140"/>
      <c r="Q209" s="140"/>
      <c r="R209" s="140"/>
      <c r="S209" s="140"/>
      <c r="T209" s="140"/>
      <c r="U209" s="140"/>
      <c r="V209" s="140"/>
    </row>
    <row r="210" spans="1:22" ht="15.75" customHeight="1" x14ac:dyDescent="0.25">
      <c r="A210" s="140"/>
      <c r="B210" s="140"/>
      <c r="C210" s="140"/>
      <c r="D210" s="140"/>
      <c r="E210" s="140"/>
      <c r="F210" s="140"/>
      <c r="G210" s="140"/>
      <c r="H210" s="140"/>
      <c r="I210" s="140"/>
      <c r="J210" s="140"/>
      <c r="K210" s="140"/>
      <c r="L210" s="140"/>
      <c r="M210" s="140"/>
      <c r="N210" s="140"/>
      <c r="O210" s="140"/>
      <c r="P210" s="140"/>
      <c r="Q210" s="140"/>
      <c r="R210" s="140"/>
      <c r="S210" s="140"/>
      <c r="T210" s="140"/>
      <c r="U210" s="140"/>
      <c r="V210" s="140"/>
    </row>
    <row r="211" spans="1:22" ht="15.75" customHeight="1" x14ac:dyDescent="0.25">
      <c r="A211" s="140"/>
      <c r="B211" s="140"/>
      <c r="C211" s="140"/>
      <c r="D211" s="140"/>
      <c r="E211" s="140"/>
      <c r="F211" s="140"/>
      <c r="G211" s="140"/>
      <c r="H211" s="140"/>
      <c r="I211" s="140"/>
      <c r="J211" s="140"/>
      <c r="K211" s="140"/>
      <c r="L211" s="140"/>
      <c r="M211" s="140"/>
      <c r="N211" s="140"/>
      <c r="O211" s="140"/>
      <c r="P211" s="140"/>
      <c r="Q211" s="140"/>
      <c r="R211" s="140"/>
      <c r="S211" s="140"/>
      <c r="T211" s="140"/>
      <c r="U211" s="140"/>
      <c r="V211" s="140"/>
    </row>
    <row r="212" spans="1:22" ht="15.75" customHeight="1" x14ac:dyDescent="0.25">
      <c r="A212" s="140"/>
      <c r="B212" s="140"/>
      <c r="C212" s="140"/>
      <c r="D212" s="140"/>
      <c r="E212" s="140"/>
      <c r="F212" s="140"/>
      <c r="G212" s="140"/>
      <c r="H212" s="140"/>
      <c r="I212" s="140"/>
      <c r="J212" s="140"/>
      <c r="K212" s="140"/>
      <c r="L212" s="140"/>
      <c r="M212" s="140"/>
      <c r="N212" s="140"/>
      <c r="O212" s="140"/>
      <c r="P212" s="140"/>
      <c r="Q212" s="140"/>
      <c r="R212" s="140"/>
      <c r="S212" s="140"/>
      <c r="T212" s="140"/>
      <c r="U212" s="140"/>
      <c r="V212" s="140"/>
    </row>
    <row r="213" spans="1:22" ht="15.75" customHeight="1" x14ac:dyDescent="0.25">
      <c r="A213" s="140"/>
      <c r="B213" s="140"/>
      <c r="C213" s="140"/>
      <c r="D213" s="140"/>
      <c r="E213" s="140"/>
      <c r="F213" s="140"/>
      <c r="G213" s="140"/>
      <c r="H213" s="140"/>
      <c r="I213" s="140"/>
      <c r="J213" s="140"/>
      <c r="K213" s="140"/>
      <c r="L213" s="140"/>
      <c r="M213" s="140"/>
      <c r="N213" s="140"/>
      <c r="O213" s="140"/>
      <c r="P213" s="140"/>
      <c r="Q213" s="140"/>
      <c r="R213" s="140"/>
      <c r="S213" s="140"/>
      <c r="T213" s="140"/>
      <c r="U213" s="140"/>
      <c r="V213" s="140"/>
    </row>
    <row r="214" spans="1:22" ht="15.75" customHeight="1" x14ac:dyDescent="0.25">
      <c r="A214" s="140"/>
      <c r="B214" s="140"/>
      <c r="C214" s="140"/>
      <c r="D214" s="140"/>
      <c r="E214" s="140"/>
      <c r="F214" s="140"/>
      <c r="G214" s="140"/>
      <c r="H214" s="140"/>
      <c r="I214" s="140"/>
      <c r="J214" s="140"/>
      <c r="K214" s="140"/>
      <c r="L214" s="140"/>
      <c r="M214" s="140"/>
      <c r="N214" s="140"/>
      <c r="O214" s="140"/>
      <c r="P214" s="140"/>
      <c r="Q214" s="140"/>
      <c r="R214" s="140"/>
      <c r="S214" s="140"/>
      <c r="T214" s="140"/>
      <c r="U214" s="140"/>
      <c r="V214" s="140"/>
    </row>
    <row r="215" spans="1:22" ht="15.75" customHeight="1" x14ac:dyDescent="0.25">
      <c r="A215" s="140"/>
      <c r="B215" s="140"/>
      <c r="C215" s="140"/>
      <c r="D215" s="140"/>
      <c r="E215" s="140"/>
      <c r="F215" s="140"/>
      <c r="G215" s="140"/>
      <c r="H215" s="140"/>
      <c r="I215" s="140"/>
      <c r="J215" s="140"/>
      <c r="K215" s="140"/>
      <c r="L215" s="140"/>
      <c r="M215" s="140"/>
      <c r="N215" s="140"/>
      <c r="O215" s="140"/>
      <c r="P215" s="140"/>
      <c r="Q215" s="140"/>
      <c r="R215" s="140"/>
      <c r="S215" s="140"/>
      <c r="T215" s="140"/>
      <c r="U215" s="140"/>
      <c r="V215" s="140"/>
    </row>
    <row r="216" spans="1:22" ht="15.75" customHeight="1" x14ac:dyDescent="0.25">
      <c r="A216" s="140"/>
      <c r="B216" s="140"/>
      <c r="C216" s="140"/>
      <c r="D216" s="140"/>
      <c r="E216" s="140"/>
      <c r="F216" s="140"/>
      <c r="G216" s="140"/>
      <c r="H216" s="140"/>
      <c r="I216" s="140"/>
      <c r="J216" s="140"/>
      <c r="K216" s="140"/>
      <c r="L216" s="140"/>
      <c r="M216" s="140"/>
      <c r="N216" s="140"/>
      <c r="O216" s="140"/>
      <c r="P216" s="140"/>
      <c r="Q216" s="140"/>
      <c r="R216" s="140"/>
      <c r="S216" s="140"/>
      <c r="T216" s="140"/>
      <c r="U216" s="140"/>
      <c r="V216" s="140"/>
    </row>
    <row r="217" spans="1:22"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row>
    <row r="218" spans="1:22"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row>
    <row r="219" spans="1:22"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row>
    <row r="220" spans="1:22"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row>
    <row r="221" spans="1:22"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row>
    <row r="222" spans="1:22"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row>
    <row r="223" spans="1:22"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row>
    <row r="224" spans="1:22"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row>
    <row r="225" spans="1:22"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row>
    <row r="226" spans="1:22"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row>
    <row r="227" spans="1:22"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row>
    <row r="228" spans="1:22"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row>
    <row r="229" spans="1:22"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row>
    <row r="230" spans="1:22"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row>
    <row r="231" spans="1:22"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row>
    <row r="232" spans="1:22"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row>
    <row r="233" spans="1:22"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row>
    <row r="234" spans="1:22"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row>
    <row r="235" spans="1:22"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row>
    <row r="236" spans="1:22"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row>
    <row r="237" spans="1:22"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row>
    <row r="238" spans="1:22"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row>
    <row r="239" spans="1:22"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row>
    <row r="240" spans="1:22"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row>
    <row r="241" spans="1:22"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row>
    <row r="242" spans="1:22"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row>
    <row r="243" spans="1:22"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row>
    <row r="244" spans="1:22"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row>
    <row r="245" spans="1:22"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row>
    <row r="246" spans="1:22"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row>
    <row r="247" spans="1:22"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row>
    <row r="248" spans="1:22"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row>
    <row r="249" spans="1:22"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row>
    <row r="250" spans="1:22"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row>
    <row r="251" spans="1:22"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row>
    <row r="252" spans="1:22"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row>
    <row r="253" spans="1:22"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row>
    <row r="254" spans="1:22"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row>
    <row r="255" spans="1:22"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row>
    <row r="256" spans="1:22"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row>
    <row r="257" spans="1:22"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row>
    <row r="258" spans="1:22"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row>
    <row r="259" spans="1:22"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row>
    <row r="260" spans="1:22"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row>
    <row r="261" spans="1:22"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row>
    <row r="262" spans="1:22"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row>
    <row r="263" spans="1:22"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row>
    <row r="264" spans="1:22"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row>
    <row r="265" spans="1:22"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row>
    <row r="266" spans="1:22"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row>
    <row r="267" spans="1:22"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row>
    <row r="268" spans="1:22"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row>
    <row r="269" spans="1:22"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row>
    <row r="270" spans="1:22"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row>
    <row r="271" spans="1:22"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row>
    <row r="272" spans="1:22"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row>
    <row r="273" spans="1:22"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row>
    <row r="274" spans="1:22"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row>
    <row r="275" spans="1:22"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row>
    <row r="276" spans="1:22"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row>
    <row r="277" spans="1:22"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row>
    <row r="278" spans="1:22"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row>
    <row r="279" spans="1:22"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row>
    <row r="280" spans="1:22"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row>
    <row r="281" spans="1:22"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row>
    <row r="282" spans="1:22"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row>
    <row r="283" spans="1:22"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row>
    <row r="284" spans="1:22"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row>
    <row r="285" spans="1:22"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row>
    <row r="286" spans="1:22"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row>
    <row r="287" spans="1:22"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row>
    <row r="288" spans="1:22"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row>
    <row r="289" spans="1:22"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row>
    <row r="290" spans="1:22"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row>
    <row r="291" spans="1:22"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row>
    <row r="292" spans="1:22"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row>
    <row r="293" spans="1:22"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row>
    <row r="294" spans="1:22"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row>
    <row r="295" spans="1:22"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row>
    <row r="296" spans="1:22"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row>
    <row r="297" spans="1:22"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row>
    <row r="298" spans="1:22"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row>
    <row r="299" spans="1:22"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row>
    <row r="300" spans="1:22"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row>
    <row r="301" spans="1:22"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row>
    <row r="302" spans="1:22"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row>
    <row r="303" spans="1:22"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row>
    <row r="304" spans="1:22"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row>
    <row r="305" spans="1:22"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row>
    <row r="306" spans="1:22"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row>
    <row r="307" spans="1:22"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row>
    <row r="308" spans="1:22"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row>
    <row r="309" spans="1:22"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row>
    <row r="310" spans="1:22"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row>
    <row r="311" spans="1:22"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row>
    <row r="312" spans="1:22"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row>
    <row r="313" spans="1:22"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row>
    <row r="314" spans="1:22"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row>
    <row r="315" spans="1:22"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row>
    <row r="316" spans="1:22"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row>
    <row r="317" spans="1:22"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row>
    <row r="318" spans="1:22"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row>
    <row r="319" spans="1:22"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row>
    <row r="320" spans="1:22"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row>
    <row r="321" spans="1:22"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row>
    <row r="322" spans="1:22"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row>
    <row r="323" spans="1:22"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row>
    <row r="324" spans="1:22"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row>
    <row r="325" spans="1:22"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row>
    <row r="326" spans="1:22"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row>
    <row r="327" spans="1:22"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row>
    <row r="328" spans="1:22"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row>
    <row r="329" spans="1:22"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row>
    <row r="330" spans="1:22"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row>
    <row r="331" spans="1:22"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row>
    <row r="332" spans="1:22"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row>
    <row r="333" spans="1:22"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row>
    <row r="334" spans="1:22"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row>
    <row r="335" spans="1:22"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row>
    <row r="336" spans="1:22"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row>
    <row r="337" spans="1:22"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row>
    <row r="338" spans="1:22"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row>
    <row r="339" spans="1:22"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row>
    <row r="340" spans="1:22"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row>
    <row r="341" spans="1:22"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row>
    <row r="342" spans="1:22"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row>
    <row r="343" spans="1:22"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row>
    <row r="344" spans="1:22"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row>
    <row r="345" spans="1:22"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row>
    <row r="346" spans="1:22"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row>
    <row r="347" spans="1:22"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row>
    <row r="348" spans="1:22"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row>
    <row r="349" spans="1:22"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row>
    <row r="350" spans="1:22"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row>
    <row r="351" spans="1:22"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row>
    <row r="352" spans="1:22"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row>
    <row r="353" spans="1:22"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row>
    <row r="354" spans="1:22"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row>
    <row r="355" spans="1:22"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row>
    <row r="356" spans="1:22"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row>
    <row r="357" spans="1:22"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row>
    <row r="358" spans="1:22"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row>
    <row r="359" spans="1:22"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row>
    <row r="360" spans="1:22"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row>
    <row r="361" spans="1:22"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row>
    <row r="362" spans="1:22"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row>
    <row r="363" spans="1:22"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row>
    <row r="364" spans="1:22"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row>
    <row r="365" spans="1:22"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row>
    <row r="366" spans="1:22"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row>
    <row r="367" spans="1:22"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row>
    <row r="368" spans="1:22"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row>
    <row r="369" spans="1:22"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row>
    <row r="370" spans="1:22"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row>
    <row r="371" spans="1:22"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row>
    <row r="372" spans="1:22"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row>
    <row r="373" spans="1:22"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row>
    <row r="374" spans="1:22"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row>
    <row r="375" spans="1:22"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row>
    <row r="376" spans="1:22"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row>
    <row r="377" spans="1:22"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row>
    <row r="378" spans="1:22"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row>
    <row r="379" spans="1:22"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row>
    <row r="380" spans="1:22"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row>
    <row r="381" spans="1:22"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row>
    <row r="382" spans="1:22"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row>
    <row r="383" spans="1:22"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row>
    <row r="384" spans="1:22"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row>
    <row r="385" spans="1:22"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row>
    <row r="386" spans="1:22"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row>
    <row r="387" spans="1:22"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row>
    <row r="388" spans="1:22"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row>
    <row r="389" spans="1:22"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row>
    <row r="390" spans="1:22"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row>
    <row r="391" spans="1:22"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row>
    <row r="392" spans="1:22"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row>
    <row r="393" spans="1:22"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row>
    <row r="394" spans="1:22"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row>
    <row r="395" spans="1:22"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row>
    <row r="396" spans="1:22"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row>
    <row r="397" spans="1:22"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row>
    <row r="398" spans="1:22"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row>
    <row r="399" spans="1:22"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row>
    <row r="400" spans="1:22"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row>
    <row r="401" spans="1:22"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row>
    <row r="402" spans="1:22"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row>
    <row r="403" spans="1:22"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row>
    <row r="404" spans="1:22"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row>
    <row r="405" spans="1:22"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row>
    <row r="406" spans="1:22"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row>
    <row r="407" spans="1:22"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row>
    <row r="408" spans="1:22"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row>
    <row r="409" spans="1:22"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row>
    <row r="410" spans="1:22"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row>
    <row r="411" spans="1:22"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row>
    <row r="412" spans="1:22"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row>
    <row r="413" spans="1:22"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row>
    <row r="414" spans="1:22"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row>
    <row r="415" spans="1:22"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row>
    <row r="416" spans="1:22"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row>
    <row r="417" spans="1:22"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row>
    <row r="418" spans="1:22"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row>
    <row r="419" spans="1:22"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row>
    <row r="420" spans="1:22"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row>
    <row r="421" spans="1:22"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row>
    <row r="422" spans="1:22"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row>
    <row r="423" spans="1:22"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row>
    <row r="424" spans="1:22"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row>
    <row r="425" spans="1:22"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row>
    <row r="426" spans="1:22"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row>
    <row r="427" spans="1:22"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row>
    <row r="428" spans="1:22"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row>
    <row r="429" spans="1:22"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row>
    <row r="430" spans="1:22"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row>
    <row r="431" spans="1:22"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row>
    <row r="432" spans="1:22"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row>
    <row r="433" spans="1:22"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row>
    <row r="434" spans="1:22"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row>
    <row r="435" spans="1:22"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row>
    <row r="436" spans="1:22"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row>
    <row r="437" spans="1:22"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row>
    <row r="438" spans="1:22"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row>
    <row r="439" spans="1:22"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row>
    <row r="440" spans="1:22"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row>
    <row r="441" spans="1:22"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row>
    <row r="442" spans="1:22"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row>
    <row r="443" spans="1:22"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row>
    <row r="444" spans="1:22"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row>
    <row r="445" spans="1:22"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row>
    <row r="446" spans="1:22"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row>
    <row r="447" spans="1:22"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row>
    <row r="448" spans="1:22"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row>
    <row r="449" spans="1:22"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row>
    <row r="450" spans="1:22"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row>
    <row r="451" spans="1:22"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row>
    <row r="452" spans="1:22"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row>
    <row r="453" spans="1:22"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row>
    <row r="454" spans="1:22"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row>
    <row r="455" spans="1:22"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row>
    <row r="456" spans="1:22"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row>
    <row r="457" spans="1:22"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row>
    <row r="458" spans="1:22"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row>
    <row r="459" spans="1:22"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row>
    <row r="460" spans="1:22"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row>
    <row r="461" spans="1:22"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row>
    <row r="462" spans="1:22"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row>
    <row r="463" spans="1:22"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row>
    <row r="464" spans="1:22"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row>
    <row r="465" spans="1:22"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row>
    <row r="466" spans="1:22"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row>
    <row r="467" spans="1:22"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row>
    <row r="468" spans="1:22"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row>
    <row r="469" spans="1:22"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row>
    <row r="470" spans="1:22"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row>
    <row r="471" spans="1:22"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row>
    <row r="472" spans="1:22"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row>
    <row r="473" spans="1:22"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row>
    <row r="474" spans="1:22"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row>
    <row r="475" spans="1:22"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row>
    <row r="476" spans="1:22"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row>
    <row r="477" spans="1:22"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row>
    <row r="478" spans="1:22"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row>
    <row r="479" spans="1:22"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row>
    <row r="480" spans="1:22"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row>
    <row r="481" spans="1:22"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row>
    <row r="482" spans="1:22"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row>
    <row r="483" spans="1:22"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row>
    <row r="484" spans="1:22"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row>
    <row r="485" spans="1:22"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row>
    <row r="486" spans="1:22"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row>
    <row r="487" spans="1:22"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row>
    <row r="488" spans="1:22"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row>
    <row r="489" spans="1:22"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row>
    <row r="490" spans="1:22"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row>
    <row r="491" spans="1:22"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row>
    <row r="492" spans="1:22"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row>
    <row r="493" spans="1:22"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row>
    <row r="494" spans="1:22"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row>
    <row r="495" spans="1:22"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row>
    <row r="496" spans="1:22"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row>
    <row r="497" spans="1:22"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row>
    <row r="498" spans="1:22"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row>
    <row r="499" spans="1:22"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row>
    <row r="500" spans="1:22"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row>
    <row r="501" spans="1:22"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row>
    <row r="502" spans="1:22"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row>
    <row r="503" spans="1:22"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row>
    <row r="504" spans="1:22"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row>
    <row r="505" spans="1:22"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row>
    <row r="506" spans="1:22"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row>
    <row r="507" spans="1:22"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row>
    <row r="508" spans="1:22"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row>
    <row r="509" spans="1:22"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row>
    <row r="510" spans="1:22"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row>
    <row r="511" spans="1:22"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row>
    <row r="512" spans="1:22"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row>
    <row r="513" spans="1:22"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row>
    <row r="514" spans="1:22"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row>
    <row r="515" spans="1:22"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row>
    <row r="516" spans="1:22"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row>
    <row r="517" spans="1:22"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row>
    <row r="518" spans="1:22"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row>
    <row r="519" spans="1:22"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row>
    <row r="520" spans="1:22"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row>
    <row r="521" spans="1:22"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row>
    <row r="522" spans="1:22"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row>
    <row r="523" spans="1:22"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row>
    <row r="524" spans="1:22"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row>
    <row r="525" spans="1:22"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row>
    <row r="526" spans="1:22"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row>
    <row r="527" spans="1:22"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row>
    <row r="528" spans="1:22"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row>
    <row r="529" spans="1:22"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row>
    <row r="530" spans="1:22"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row>
    <row r="531" spans="1:22"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row>
    <row r="532" spans="1:22"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row>
    <row r="533" spans="1:22"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row>
    <row r="534" spans="1:22"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row>
    <row r="535" spans="1:22"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row>
    <row r="536" spans="1:22"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row>
    <row r="537" spans="1:22"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row>
    <row r="538" spans="1:22"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row>
    <row r="539" spans="1:22"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row>
    <row r="540" spans="1:22"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row>
    <row r="541" spans="1:22"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row>
    <row r="542" spans="1:22"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row>
    <row r="543" spans="1:22"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row>
    <row r="544" spans="1:22"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row>
    <row r="545" spans="1:22"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row>
    <row r="546" spans="1:22"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row>
    <row r="547" spans="1:22"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row>
    <row r="548" spans="1:22"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row>
    <row r="549" spans="1:22"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row>
    <row r="550" spans="1:22"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row>
    <row r="551" spans="1:22"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row>
    <row r="552" spans="1:22"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row>
    <row r="553" spans="1:22"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row>
    <row r="554" spans="1:22"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row>
    <row r="555" spans="1:22"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row>
    <row r="556" spans="1:22"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row>
    <row r="557" spans="1:22"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row>
    <row r="558" spans="1:22"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row>
    <row r="559" spans="1:22"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row>
    <row r="560" spans="1:22"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row>
    <row r="561" spans="1:22"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row>
    <row r="562" spans="1:22"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row>
    <row r="563" spans="1:22"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row>
    <row r="564" spans="1:22"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row>
    <row r="565" spans="1:22"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row>
    <row r="566" spans="1:22"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row>
    <row r="567" spans="1:22"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row>
    <row r="568" spans="1:22"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row>
    <row r="569" spans="1:22"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row>
    <row r="570" spans="1:22"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row>
    <row r="571" spans="1:22"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row>
    <row r="572" spans="1:22"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row>
    <row r="573" spans="1:22"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row>
    <row r="574" spans="1:22"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row>
    <row r="575" spans="1:22"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row>
    <row r="576" spans="1:22"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row>
    <row r="577" spans="1:22"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row>
    <row r="578" spans="1:22"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row>
    <row r="579" spans="1:22"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row>
    <row r="580" spans="1:22"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row>
    <row r="581" spans="1:22"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row>
    <row r="582" spans="1:22"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row>
    <row r="583" spans="1:22"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row>
    <row r="584" spans="1:22"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row>
    <row r="585" spans="1:22"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row>
    <row r="586" spans="1:22"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row>
    <row r="587" spans="1:22"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row>
    <row r="588" spans="1:22"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row>
    <row r="589" spans="1:22"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row>
    <row r="590" spans="1:22"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row>
    <row r="591" spans="1:22"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row>
    <row r="592" spans="1:22"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row>
    <row r="593" spans="1:22"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row>
    <row r="594" spans="1:22"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row>
    <row r="595" spans="1:22"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row>
    <row r="596" spans="1:22"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row>
    <row r="597" spans="1:22"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row>
    <row r="598" spans="1:22"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row>
    <row r="599" spans="1:22"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row>
    <row r="600" spans="1:22"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row>
    <row r="601" spans="1:22"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row>
    <row r="602" spans="1:22"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row>
    <row r="603" spans="1:22"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row>
    <row r="604" spans="1:22"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row>
    <row r="605" spans="1:22"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row>
    <row r="606" spans="1:22"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row>
    <row r="607" spans="1:22"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row>
    <row r="608" spans="1:22"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row>
    <row r="609" spans="1:22"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row>
    <row r="610" spans="1:22"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row>
    <row r="611" spans="1:22"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row>
    <row r="612" spans="1:22"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row>
    <row r="613" spans="1:22"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row>
    <row r="614" spans="1:22"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row>
    <row r="615" spans="1:22"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row>
    <row r="616" spans="1:22"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row>
    <row r="617" spans="1:22"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row>
    <row r="618" spans="1:22"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row>
    <row r="619" spans="1:22"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row>
    <row r="620" spans="1:22"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row>
    <row r="621" spans="1:22"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row>
    <row r="622" spans="1:22"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row>
    <row r="623" spans="1:22"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row>
    <row r="624" spans="1:22"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row>
    <row r="625" spans="1:22"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row>
    <row r="626" spans="1:22"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row>
    <row r="627" spans="1:22"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row>
    <row r="628" spans="1:22"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row>
    <row r="629" spans="1:22"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row>
    <row r="630" spans="1:22"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row>
    <row r="631" spans="1:22"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row>
    <row r="632" spans="1:22"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row>
    <row r="633" spans="1:22"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row>
    <row r="634" spans="1:22"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row>
    <row r="635" spans="1:22"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row>
    <row r="636" spans="1:22"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row>
    <row r="637" spans="1:22"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row>
    <row r="638" spans="1:22"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row>
    <row r="639" spans="1:22"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row>
    <row r="640" spans="1:22"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row>
    <row r="641" spans="1:22"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row>
    <row r="642" spans="1:22"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row>
    <row r="643" spans="1:22"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row>
    <row r="644" spans="1:22"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row>
    <row r="645" spans="1:22"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row>
    <row r="646" spans="1:22"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row>
    <row r="647" spans="1:22"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row>
    <row r="648" spans="1:22"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row>
    <row r="649" spans="1:22"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row>
    <row r="650" spans="1:22"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row>
    <row r="651" spans="1:22"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row>
    <row r="652" spans="1:22"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row>
    <row r="653" spans="1:22"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row>
    <row r="654" spans="1:22"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row>
    <row r="655" spans="1:22"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row>
    <row r="656" spans="1:22"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row>
    <row r="657" spans="1:22"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row>
    <row r="658" spans="1:22"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row>
    <row r="659" spans="1:22"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row>
    <row r="660" spans="1:22"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row>
    <row r="661" spans="1:22"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row>
    <row r="662" spans="1:22"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row>
    <row r="663" spans="1:22"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row>
    <row r="664" spans="1:22"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row>
    <row r="665" spans="1:22"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row>
    <row r="666" spans="1:22"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row>
    <row r="667" spans="1:22"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row>
    <row r="668" spans="1:22"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row>
    <row r="669" spans="1:22"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row>
    <row r="670" spans="1:22"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row>
    <row r="671" spans="1:22"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row>
    <row r="672" spans="1:22"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row>
    <row r="673" spans="1:22"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row>
    <row r="674" spans="1:22"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row>
    <row r="675" spans="1:22"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row>
    <row r="676" spans="1:22"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row>
    <row r="677" spans="1:22"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row>
    <row r="678" spans="1:22"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row>
    <row r="679" spans="1:22"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row>
    <row r="680" spans="1:22"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row>
    <row r="681" spans="1:22"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row>
    <row r="682" spans="1:22"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row>
    <row r="683" spans="1:22"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row>
    <row r="684" spans="1:22"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row>
    <row r="685" spans="1:22"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row>
    <row r="686" spans="1:22"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row>
    <row r="687" spans="1:22"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row>
    <row r="688" spans="1:22"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row>
    <row r="689" spans="1:22"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row>
    <row r="690" spans="1:22"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row>
    <row r="691" spans="1:22"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row>
    <row r="692" spans="1:22"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row>
    <row r="693" spans="1:22"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row>
    <row r="694" spans="1:22"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row>
    <row r="695" spans="1:22"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row>
    <row r="696" spans="1:22"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row>
    <row r="697" spans="1:22"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row>
    <row r="698" spans="1:22"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row>
    <row r="699" spans="1:22"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row>
    <row r="700" spans="1:22"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row>
    <row r="701" spans="1:22"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row>
    <row r="702" spans="1:22"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row>
    <row r="703" spans="1:22"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row>
    <row r="704" spans="1:22"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row>
    <row r="705" spans="1:22"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row>
    <row r="706" spans="1:22"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row>
    <row r="707" spans="1:22"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row>
    <row r="708" spans="1:22"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row>
    <row r="709" spans="1:22"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row>
    <row r="710" spans="1:22"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row>
    <row r="711" spans="1:22"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row>
    <row r="712" spans="1:22"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row>
    <row r="713" spans="1:22"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row>
    <row r="714" spans="1:22"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row>
    <row r="715" spans="1:22"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row>
    <row r="716" spans="1:22"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row>
    <row r="717" spans="1:22"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row>
    <row r="718" spans="1:22"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row>
    <row r="719" spans="1:22"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row>
    <row r="720" spans="1:22"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row>
    <row r="721" spans="1:22"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row>
    <row r="722" spans="1:22"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row>
    <row r="723" spans="1:22"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row>
    <row r="724" spans="1:22"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row>
    <row r="725" spans="1:22"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row>
    <row r="726" spans="1:22"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row>
    <row r="727" spans="1:22"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row>
    <row r="728" spans="1:22"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row>
    <row r="729" spans="1:22"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row>
    <row r="730" spans="1:22"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row>
    <row r="731" spans="1:22"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row>
    <row r="732" spans="1:22"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row>
    <row r="733" spans="1:22"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row>
    <row r="734" spans="1:22"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row>
    <row r="735" spans="1:22"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row>
    <row r="736" spans="1:22"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row>
    <row r="737" spans="1:22"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row>
    <row r="738" spans="1:22"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row>
    <row r="739" spans="1:22"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row>
    <row r="740" spans="1:22"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row>
    <row r="741" spans="1:22"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row>
    <row r="742" spans="1:22"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row>
    <row r="743" spans="1:22"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row>
    <row r="744" spans="1:22"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row>
    <row r="745" spans="1:22"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row>
    <row r="746" spans="1:22"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row>
    <row r="747" spans="1:22"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row>
    <row r="748" spans="1:22"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row>
    <row r="749" spans="1:22"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row>
    <row r="750" spans="1:22"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row>
    <row r="751" spans="1:22"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row>
    <row r="752" spans="1:22"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row>
    <row r="753" spans="1:22"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row>
    <row r="754" spans="1:22"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row>
    <row r="755" spans="1:22"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row>
    <row r="756" spans="1:22"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row>
    <row r="757" spans="1:22"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row>
    <row r="758" spans="1:22"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row>
    <row r="759" spans="1:22"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row>
    <row r="760" spans="1:22"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row>
    <row r="761" spans="1:22"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row>
    <row r="762" spans="1:22"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row>
    <row r="763" spans="1:22"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row>
    <row r="764" spans="1:22"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row>
    <row r="765" spans="1:22"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row>
    <row r="766" spans="1:22"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row>
    <row r="767" spans="1:22"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row>
    <row r="768" spans="1:22"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row>
    <row r="769" spans="1:22"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row>
    <row r="770" spans="1:22"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row>
    <row r="771" spans="1:22"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row>
    <row r="772" spans="1:22"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row>
    <row r="773" spans="1:22"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row>
    <row r="774" spans="1:22"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row>
    <row r="775" spans="1:22"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row>
    <row r="776" spans="1:22"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row>
    <row r="777" spans="1:22"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row>
    <row r="778" spans="1:22"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row>
    <row r="779" spans="1:22"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row>
    <row r="780" spans="1:22"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row>
    <row r="781" spans="1:22"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row>
    <row r="782" spans="1:22"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row>
    <row r="783" spans="1:22"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row>
    <row r="784" spans="1:22"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row>
    <row r="785" spans="1:22"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row>
    <row r="786" spans="1:22"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row>
    <row r="787" spans="1:22"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row>
    <row r="788" spans="1:22"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row>
    <row r="789" spans="1:22"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row>
    <row r="790" spans="1:22"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row>
    <row r="791" spans="1:22"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row>
    <row r="792" spans="1:22"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row>
    <row r="793" spans="1:22"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row>
    <row r="794" spans="1:22"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row>
    <row r="795" spans="1:22"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row>
    <row r="796" spans="1:22"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row>
    <row r="797" spans="1:22"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row>
    <row r="798" spans="1:22"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row>
    <row r="799" spans="1:22"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row>
    <row r="800" spans="1:22"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row>
    <row r="801" spans="1:22"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row>
    <row r="802" spans="1:22"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row>
    <row r="803" spans="1:22"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row>
    <row r="804" spans="1:22"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row>
    <row r="805" spans="1:22"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row>
    <row r="806" spans="1:22"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row>
    <row r="807" spans="1:22"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row>
    <row r="808" spans="1:22"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row>
    <row r="809" spans="1:22"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row>
    <row r="810" spans="1:22"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row>
    <row r="811" spans="1:22"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row>
    <row r="812" spans="1:22"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row>
    <row r="813" spans="1:22"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row>
    <row r="814" spans="1:22"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row>
    <row r="815" spans="1:22"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row>
    <row r="816" spans="1:22"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row>
    <row r="817" spans="1:22"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row>
    <row r="818" spans="1:22"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row>
    <row r="819" spans="1:22"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row>
    <row r="820" spans="1:22"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row>
    <row r="821" spans="1:22"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row>
    <row r="822" spans="1:22"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row>
    <row r="823" spans="1:22"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row>
    <row r="824" spans="1:22"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row>
    <row r="825" spans="1:22"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row>
    <row r="826" spans="1:22"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row>
    <row r="827" spans="1:22"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row>
    <row r="828" spans="1:22"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row>
    <row r="829" spans="1:22"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row>
    <row r="830" spans="1:22"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row>
    <row r="831" spans="1:22"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row>
    <row r="832" spans="1:22"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row>
    <row r="833" spans="1:22"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row>
    <row r="834" spans="1:22"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row>
    <row r="835" spans="1:22"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row>
    <row r="836" spans="1:22"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row>
    <row r="837" spans="1:22"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row>
    <row r="838" spans="1:22"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row>
    <row r="839" spans="1:22"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row>
    <row r="840" spans="1:22"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row>
    <row r="841" spans="1:22"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row>
    <row r="842" spans="1:22"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row>
    <row r="843" spans="1:22"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row>
    <row r="844" spans="1:22"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row>
    <row r="845" spans="1:22"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row>
    <row r="846" spans="1:22"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row>
    <row r="847" spans="1:22"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row>
    <row r="848" spans="1:22"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row>
    <row r="849" spans="1:22"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row>
    <row r="850" spans="1:22"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row>
    <row r="851" spans="1:22"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row>
    <row r="852" spans="1:22"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row>
    <row r="853" spans="1:22"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row>
    <row r="854" spans="1:22"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row>
    <row r="855" spans="1:22"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row>
    <row r="856" spans="1:22"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row>
    <row r="857" spans="1:22"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row>
    <row r="858" spans="1:22"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row>
    <row r="859" spans="1:22"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row>
    <row r="860" spans="1:22"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row>
    <row r="861" spans="1:22"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row>
    <row r="862" spans="1:22"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row>
    <row r="863" spans="1:22"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row>
    <row r="864" spans="1:22"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row>
    <row r="865" spans="1:22"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row>
    <row r="866" spans="1:22"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row>
    <row r="867" spans="1:22"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row>
    <row r="868" spans="1:22"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row>
    <row r="869" spans="1:22"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row>
    <row r="870" spans="1:22"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row>
    <row r="871" spans="1:22"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row>
    <row r="872" spans="1:22"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row>
    <row r="873" spans="1:22"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row>
    <row r="874" spans="1:22"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row>
    <row r="875" spans="1:22"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row>
    <row r="876" spans="1:22"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row>
    <row r="877" spans="1:22"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row>
    <row r="878" spans="1:22"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row>
    <row r="879" spans="1:22"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row>
    <row r="880" spans="1:22"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row>
    <row r="881" spans="1:22"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row>
    <row r="882" spans="1:22"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row>
    <row r="883" spans="1:22"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row>
    <row r="884" spans="1:22"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row>
    <row r="885" spans="1:22"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row>
    <row r="886" spans="1:22"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row>
    <row r="887" spans="1:22"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row>
    <row r="888" spans="1:22"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row>
    <row r="889" spans="1:22"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row>
    <row r="890" spans="1:22"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row>
    <row r="891" spans="1:22"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row>
    <row r="892" spans="1:22"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row>
    <row r="893" spans="1:22"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row>
    <row r="894" spans="1:22"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row>
    <row r="895" spans="1:22"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row>
    <row r="896" spans="1:22"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row>
    <row r="897" spans="1:22"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row>
    <row r="898" spans="1:22"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row>
    <row r="899" spans="1:22"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row>
    <row r="900" spans="1:22"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row>
    <row r="901" spans="1:22"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row>
    <row r="902" spans="1:22"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row>
    <row r="903" spans="1:22"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row>
    <row r="904" spans="1:22"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row>
    <row r="905" spans="1:22"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row>
    <row r="906" spans="1:22"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row>
    <row r="907" spans="1:22"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row>
    <row r="908" spans="1:22"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row>
    <row r="909" spans="1:22"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row>
    <row r="910" spans="1:22"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row>
    <row r="911" spans="1:22"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row>
    <row r="912" spans="1:22"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row>
    <row r="913" spans="1:22"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row>
    <row r="914" spans="1:22"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row>
    <row r="915" spans="1:22"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row>
    <row r="916" spans="1:22"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row>
    <row r="917" spans="1:22"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row>
    <row r="918" spans="1:22"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row>
    <row r="919" spans="1:22"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row>
    <row r="920" spans="1:22"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row>
    <row r="921" spans="1:22"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row>
    <row r="922" spans="1:22"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row>
    <row r="923" spans="1:22"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row>
    <row r="924" spans="1:22"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row>
    <row r="925" spans="1:22"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row>
    <row r="926" spans="1:22"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row>
    <row r="927" spans="1:22"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row>
    <row r="928" spans="1:22"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row>
    <row r="929" spans="1:22"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row>
    <row r="930" spans="1:22"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row>
    <row r="931" spans="1:22"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row>
    <row r="932" spans="1:22"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row>
    <row r="933" spans="1:22"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row>
    <row r="934" spans="1:22"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row>
    <row r="935" spans="1:22"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row>
    <row r="936" spans="1:22"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row>
    <row r="937" spans="1:22"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row>
    <row r="938" spans="1:22"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row>
    <row r="939" spans="1:22"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row>
    <row r="940" spans="1:22"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row>
    <row r="941" spans="1:22"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row>
    <row r="942" spans="1:22"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row>
    <row r="943" spans="1:22"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row>
    <row r="944" spans="1:22"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row>
    <row r="945" spans="1:22"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row>
    <row r="946" spans="1:22"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row>
    <row r="947" spans="1:22"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row>
    <row r="948" spans="1:22"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row>
    <row r="949" spans="1:22"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row>
    <row r="950" spans="1:22"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row>
    <row r="951" spans="1:22"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row>
    <row r="952" spans="1:22"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row>
    <row r="953" spans="1:22"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row>
    <row r="954" spans="1:22"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row>
    <row r="955" spans="1:22"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row>
    <row r="956" spans="1:22"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row>
    <row r="957" spans="1:22"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row>
    <row r="958" spans="1:22"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row>
    <row r="959" spans="1:22"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row>
    <row r="960" spans="1:22"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row>
    <row r="961" spans="1:22"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row>
    <row r="962" spans="1:22"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row>
    <row r="963" spans="1:22"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row>
    <row r="964" spans="1:22"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row>
    <row r="965" spans="1:22"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row>
    <row r="966" spans="1:22"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row>
    <row r="967" spans="1:22"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row>
    <row r="968" spans="1:22"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row>
    <row r="969" spans="1:22"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row>
    <row r="970" spans="1:22"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row>
    <row r="971" spans="1:22"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row>
    <row r="972" spans="1:22"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row>
    <row r="973" spans="1:22"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row>
    <row r="974" spans="1:22"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row>
    <row r="975" spans="1:22"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row>
    <row r="976" spans="1:22"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row>
    <row r="977" spans="1:22"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row>
    <row r="978" spans="1:22"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row>
    <row r="979" spans="1:22"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row>
    <row r="980" spans="1:22"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row>
    <row r="981" spans="1:22"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row>
    <row r="982" spans="1:22"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row>
    <row r="983" spans="1:22"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row>
    <row r="984" spans="1:22"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row>
    <row r="985" spans="1:22"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row>
    <row r="986" spans="1:22"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row>
  </sheetData>
  <mergeCells count="10">
    <mergeCell ref="U2:U3"/>
    <mergeCell ref="A1:D1"/>
    <mergeCell ref="A2:A3"/>
    <mergeCell ref="B2:B3"/>
    <mergeCell ref="C2:C3"/>
    <mergeCell ref="D2:D3"/>
    <mergeCell ref="E2:Q2"/>
    <mergeCell ref="R2:R3"/>
    <mergeCell ref="S2:S3"/>
    <mergeCell ref="T2:T3"/>
  </mergeCells>
  <conditionalFormatting sqref="E5:T5 E6:E9">
    <cfRule type="cellIs" dxfId="10" priority="2" operator="lessThan">
      <formula>0</formula>
    </cfRule>
  </conditionalFormatting>
  <conditionalFormatting sqref="F5:F6">
    <cfRule type="cellIs" dxfId="9" priority="3" operator="lessThan">
      <formula>0</formula>
    </cfRule>
  </conditionalFormatting>
  <pageMargins left="0.7" right="0.7" top="0.75" bottom="0.75" header="0" footer="0"/>
  <pageSetup paperSize="9" orientation="landscape"/>
  <colBreaks count="1" manualBreakCount="1">
    <brk id="21" man="1"/>
  </colBreak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AA1001"/>
  <sheetViews>
    <sheetView showGridLines="0" tabSelected="1" topLeftCell="D6" workbookViewId="0">
      <pane ySplit="6" topLeftCell="A12" activePane="bottomLeft" state="frozen"/>
      <selection activeCell="C6" sqref="C6"/>
      <selection pane="bottomLeft" activeCell="N16" sqref="N16"/>
    </sheetView>
  </sheetViews>
  <sheetFormatPr defaultColWidth="12.6640625" defaultRowHeight="15" customHeight="1" x14ac:dyDescent="0.25"/>
  <cols>
    <col min="1" max="1" width="5.6640625" customWidth="1"/>
    <col min="2" max="3" width="20.6640625" customWidth="1"/>
    <col min="4" max="4" width="10.33203125" customWidth="1"/>
    <col min="5" max="5" width="22" bestFit="1" customWidth="1"/>
    <col min="6" max="6" width="6.33203125" hidden="1" customWidth="1"/>
    <col min="7" max="7" width="15.109375" style="450" customWidth="1"/>
    <col min="8" max="8" width="14.6640625" style="450" customWidth="1"/>
    <col min="9" max="11" width="14.6640625" customWidth="1"/>
    <col min="12" max="13" width="13.33203125" customWidth="1"/>
    <col min="14" max="14" width="16.5546875" bestFit="1" customWidth="1"/>
    <col min="15" max="15" width="14.21875" customWidth="1"/>
    <col min="16" max="16" width="19.21875" hidden="1" customWidth="1"/>
    <col min="17" max="17" width="9.33203125" hidden="1" customWidth="1"/>
    <col min="18" max="19" width="13.88671875" hidden="1" customWidth="1"/>
    <col min="20" max="20" width="14.6640625" customWidth="1"/>
    <col min="21" max="22" width="14" customWidth="1"/>
  </cols>
  <sheetData>
    <row r="1" spans="1:27" ht="15.75" customHeight="1" x14ac:dyDescent="0.25">
      <c r="A1" s="153"/>
      <c r="B1" s="154"/>
      <c r="C1" s="154"/>
      <c r="D1" s="154"/>
      <c r="E1" s="155"/>
      <c r="F1" s="154"/>
      <c r="G1" s="442"/>
      <c r="H1" s="442"/>
      <c r="I1" s="153"/>
      <c r="J1" s="153"/>
      <c r="K1" s="153"/>
      <c r="L1" s="153"/>
      <c r="M1" s="153"/>
      <c r="N1" s="153"/>
      <c r="O1" s="153"/>
      <c r="P1" s="153"/>
      <c r="Q1" s="153"/>
      <c r="R1" s="153"/>
      <c r="S1" s="153"/>
      <c r="T1" s="153"/>
      <c r="V1" s="42"/>
    </row>
    <row r="2" spans="1:27" ht="15.75" customHeight="1" x14ac:dyDescent="0.25">
      <c r="A2" s="156"/>
      <c r="B2" s="157"/>
      <c r="C2" s="157"/>
      <c r="D2" s="157"/>
      <c r="E2" s="158"/>
      <c r="F2" s="157"/>
      <c r="G2" s="442"/>
      <c r="H2" s="442"/>
      <c r="I2" s="156"/>
      <c r="J2" s="156"/>
      <c r="K2" s="156"/>
      <c r="L2" s="156"/>
      <c r="M2" s="156"/>
      <c r="N2" s="156"/>
      <c r="O2" s="156"/>
      <c r="P2" s="156"/>
      <c r="Q2" s="156"/>
      <c r="R2" s="156"/>
      <c r="S2" s="767"/>
      <c r="T2" s="156"/>
      <c r="V2" s="42"/>
    </row>
    <row r="3" spans="1:27" ht="17.25" customHeight="1" x14ac:dyDescent="0.25">
      <c r="A3" s="609" t="s">
        <v>126</v>
      </c>
      <c r="B3" s="582"/>
      <c r="C3" s="582"/>
      <c r="D3" s="582"/>
      <c r="E3" s="582"/>
      <c r="F3" s="582"/>
      <c r="G3" s="582"/>
      <c r="H3" s="582"/>
      <c r="I3" s="582"/>
      <c r="J3" s="582"/>
      <c r="K3" s="582"/>
      <c r="L3" s="582"/>
      <c r="M3" s="582"/>
      <c r="N3" s="582"/>
      <c r="O3" s="582"/>
      <c r="P3" s="582"/>
      <c r="Q3" s="582"/>
      <c r="R3" s="582"/>
      <c r="S3" s="588"/>
      <c r="T3" s="583"/>
      <c r="V3" s="42"/>
    </row>
    <row r="4" spans="1:27" ht="17.25" customHeight="1" x14ac:dyDescent="0.25">
      <c r="A4" s="586"/>
      <c r="B4" s="587"/>
      <c r="C4" s="587"/>
      <c r="D4" s="587"/>
      <c r="E4" s="587"/>
      <c r="F4" s="587"/>
      <c r="G4" s="587"/>
      <c r="H4" s="587"/>
      <c r="I4" s="587"/>
      <c r="J4" s="587"/>
      <c r="K4" s="587"/>
      <c r="L4" s="587"/>
      <c r="M4" s="587"/>
      <c r="N4" s="587"/>
      <c r="O4" s="587"/>
      <c r="P4" s="587"/>
      <c r="Q4" s="587"/>
      <c r="R4" s="587"/>
      <c r="S4" s="588"/>
      <c r="T4" s="588"/>
      <c r="V4" s="42"/>
    </row>
    <row r="5" spans="1:27" ht="15.75" customHeight="1" x14ac:dyDescent="0.3">
      <c r="A5" s="159" t="s">
        <v>127</v>
      </c>
      <c r="B5" s="160"/>
      <c r="C5" s="160"/>
      <c r="D5" s="160"/>
      <c r="E5" s="160"/>
      <c r="F5" s="161"/>
      <c r="G5" s="443"/>
      <c r="H5" s="443"/>
      <c r="I5" s="162"/>
      <c r="J5" s="162"/>
      <c r="K5" s="162"/>
      <c r="L5" s="162"/>
      <c r="M5" s="162"/>
      <c r="N5" s="162"/>
      <c r="O5" s="163"/>
      <c r="P5" s="160"/>
      <c r="Q5" s="160"/>
      <c r="R5" s="162"/>
      <c r="S5" s="768"/>
      <c r="T5" s="162"/>
      <c r="V5" s="42"/>
    </row>
    <row r="6" spans="1:27" ht="15.75" customHeight="1" x14ac:dyDescent="0.3">
      <c r="A6" s="160"/>
      <c r="B6" s="160"/>
      <c r="C6" s="160"/>
      <c r="D6" s="160"/>
      <c r="E6" s="160"/>
      <c r="F6" s="161"/>
      <c r="G6" s="443"/>
      <c r="H6" s="443"/>
      <c r="I6" s="162"/>
      <c r="J6" s="162"/>
      <c r="K6" s="162"/>
      <c r="L6" s="162"/>
      <c r="M6" s="162"/>
      <c r="N6" s="162"/>
      <c r="O6" s="163"/>
      <c r="P6" s="160"/>
      <c r="Q6" s="160"/>
      <c r="R6" s="162"/>
      <c r="S6" s="768"/>
      <c r="T6" s="162"/>
      <c r="V6" s="42"/>
    </row>
    <row r="7" spans="1:27" ht="15.75" customHeight="1" x14ac:dyDescent="0.3">
      <c r="A7" s="160"/>
      <c r="B7" s="160"/>
      <c r="C7" s="160"/>
      <c r="D7" s="160"/>
      <c r="E7" s="160"/>
      <c r="F7" s="161"/>
      <c r="G7" s="443"/>
      <c r="H7" s="443"/>
      <c r="I7" s="162"/>
      <c r="J7" s="162"/>
      <c r="K7" s="162"/>
      <c r="L7" s="162"/>
      <c r="M7" s="162"/>
      <c r="N7" s="162"/>
      <c r="O7" s="163"/>
      <c r="P7" s="160"/>
      <c r="Q7" s="160"/>
      <c r="R7" s="162"/>
      <c r="S7" s="768"/>
      <c r="T7" s="162"/>
      <c r="V7" s="42"/>
    </row>
    <row r="8" spans="1:27" ht="15.75" customHeight="1" x14ac:dyDescent="0.3">
      <c r="A8" s="159" t="s">
        <v>128</v>
      </c>
      <c r="B8" s="160"/>
      <c r="C8" s="160"/>
      <c r="D8" s="160"/>
      <c r="E8" s="160"/>
      <c r="F8" s="161"/>
      <c r="G8" s="443"/>
      <c r="H8" s="443"/>
      <c r="I8" s="162"/>
      <c r="J8" s="162"/>
      <c r="K8" s="162"/>
      <c r="L8" s="162"/>
      <c r="M8" s="162"/>
      <c r="N8" s="162"/>
      <c r="O8" s="163"/>
      <c r="P8" s="160"/>
      <c r="Q8" s="160"/>
      <c r="R8" s="162"/>
      <c r="S8" s="768"/>
      <c r="T8" s="162"/>
      <c r="V8" s="42"/>
    </row>
    <row r="9" spans="1:27" ht="38.25" customHeight="1" x14ac:dyDescent="0.25">
      <c r="A9" s="613" t="s">
        <v>1</v>
      </c>
      <c r="B9" s="613" t="s">
        <v>129</v>
      </c>
      <c r="C9" s="613" t="s">
        <v>95</v>
      </c>
      <c r="D9" s="613" t="s">
        <v>130</v>
      </c>
      <c r="E9" s="613" t="s">
        <v>41</v>
      </c>
      <c r="F9" s="164" t="s">
        <v>131</v>
      </c>
      <c r="G9" s="616" t="s">
        <v>132</v>
      </c>
      <c r="H9" s="616" t="s">
        <v>133</v>
      </c>
      <c r="I9" s="610" t="s">
        <v>134</v>
      </c>
      <c r="J9" s="531"/>
      <c r="K9" s="531"/>
      <c r="L9" s="531"/>
      <c r="M9" s="531"/>
      <c r="N9" s="532"/>
      <c r="O9" s="621" t="s">
        <v>406</v>
      </c>
      <c r="P9" s="611" t="s">
        <v>135</v>
      </c>
      <c r="Q9" s="531"/>
      <c r="R9" s="532"/>
      <c r="S9" s="500"/>
      <c r="T9" s="624" t="s">
        <v>136</v>
      </c>
      <c r="V9" s="42"/>
    </row>
    <row r="10" spans="1:27" ht="33.75" customHeight="1" x14ac:dyDescent="0.25">
      <c r="A10" s="614"/>
      <c r="B10" s="614"/>
      <c r="C10" s="614"/>
      <c r="D10" s="614"/>
      <c r="E10" s="614"/>
      <c r="F10" s="166"/>
      <c r="G10" s="617"/>
      <c r="H10" s="617"/>
      <c r="I10" s="610" t="s">
        <v>137</v>
      </c>
      <c r="J10" s="531"/>
      <c r="K10" s="532"/>
      <c r="L10" s="612" t="s">
        <v>138</v>
      </c>
      <c r="M10" s="608"/>
      <c r="N10" s="619" t="s">
        <v>139</v>
      </c>
      <c r="O10" s="622"/>
      <c r="P10" s="167" t="s">
        <v>140</v>
      </c>
      <c r="Q10" s="167" t="s">
        <v>141</v>
      </c>
      <c r="R10" s="168" t="s">
        <v>142</v>
      </c>
      <c r="S10" s="769"/>
      <c r="T10" s="625"/>
      <c r="V10" s="42"/>
    </row>
    <row r="11" spans="1:27" ht="27" customHeight="1" x14ac:dyDescent="0.25">
      <c r="A11" s="614"/>
      <c r="B11" s="615"/>
      <c r="C11" s="615"/>
      <c r="D11" s="615"/>
      <c r="E11" s="615"/>
      <c r="F11" s="166"/>
      <c r="G11" s="618"/>
      <c r="H11" s="618"/>
      <c r="I11" s="165" t="s">
        <v>143</v>
      </c>
      <c r="J11" s="165" t="s">
        <v>144</v>
      </c>
      <c r="K11" s="165" t="s">
        <v>145</v>
      </c>
      <c r="L11" s="170" t="s">
        <v>146</v>
      </c>
      <c r="M11" s="165" t="s">
        <v>147</v>
      </c>
      <c r="N11" s="620"/>
      <c r="O11" s="623"/>
      <c r="P11" s="171"/>
      <c r="Q11" s="171"/>
      <c r="R11" s="171"/>
      <c r="S11" s="171"/>
      <c r="T11" s="626"/>
      <c r="V11" s="42"/>
    </row>
    <row r="12" spans="1:27" ht="32.4" customHeight="1" x14ac:dyDescent="0.25">
      <c r="A12" s="456">
        <f>SUBTOTAL(3,$C$12:C12)</f>
        <v>1</v>
      </c>
      <c r="B12" s="453" t="s">
        <v>319</v>
      </c>
      <c r="C12" s="102" t="s">
        <v>322</v>
      </c>
      <c r="D12" s="182" t="s">
        <v>323</v>
      </c>
      <c r="E12" s="38" t="s">
        <v>318</v>
      </c>
      <c r="F12" s="174"/>
      <c r="G12" s="444">
        <v>7500000</v>
      </c>
      <c r="H12" s="444">
        <v>4880000</v>
      </c>
      <c r="I12" s="175">
        <v>720000</v>
      </c>
      <c r="J12" s="175">
        <v>400000</v>
      </c>
      <c r="K12" s="175">
        <v>2500000</v>
      </c>
      <c r="L12" s="176"/>
      <c r="M12" s="176"/>
      <c r="N12" s="175">
        <f t="shared" ref="N12:N17" si="0">SUM(I12:M12)</f>
        <v>3620000</v>
      </c>
      <c r="O12" s="177">
        <f t="shared" ref="O12" si="1">G12+H12+N12</f>
        <v>16000000</v>
      </c>
      <c r="P12" s="178"/>
      <c r="Q12" s="178"/>
      <c r="R12" s="178"/>
      <c r="S12" s="178"/>
      <c r="T12" s="179">
        <f>O12+R12</f>
        <v>16000000</v>
      </c>
      <c r="U12" s="180"/>
      <c r="V12" s="181"/>
      <c r="W12" s="181"/>
      <c r="X12" s="180"/>
      <c r="Y12" s="180"/>
      <c r="Z12" s="180"/>
      <c r="AA12" s="180"/>
    </row>
    <row r="13" spans="1:27" ht="27" customHeight="1" x14ac:dyDescent="0.25">
      <c r="A13" s="456">
        <f>SUBTOTAL(3,$C$12:C13)</f>
        <v>2</v>
      </c>
      <c r="B13" s="454" t="s">
        <v>348</v>
      </c>
      <c r="C13" s="381" t="s">
        <v>325</v>
      </c>
      <c r="D13" s="382" t="s">
        <v>324</v>
      </c>
      <c r="E13" s="373" t="s">
        <v>326</v>
      </c>
      <c r="F13" s="383"/>
      <c r="G13" s="445">
        <v>7500000</v>
      </c>
      <c r="H13" s="445">
        <v>7480000</v>
      </c>
      <c r="I13" s="384">
        <v>720000</v>
      </c>
      <c r="J13" s="384">
        <v>400000</v>
      </c>
      <c r="K13" s="384">
        <v>900000</v>
      </c>
      <c r="L13" s="384"/>
      <c r="M13" s="385"/>
      <c r="N13" s="384">
        <f>SUM(I13:M13)</f>
        <v>2020000</v>
      </c>
      <c r="O13" s="386">
        <f t="shared" ref="O13:O17" si="2">G13+H13+N13</f>
        <v>17000000</v>
      </c>
      <c r="P13" s="387"/>
      <c r="Q13" s="387"/>
      <c r="R13" s="387"/>
      <c r="S13" s="387"/>
      <c r="T13" s="388">
        <f t="shared" ref="T13:T20" si="3">O13+R13</f>
        <v>17000000</v>
      </c>
      <c r="U13" s="180"/>
      <c r="V13" s="181"/>
      <c r="W13" s="181"/>
      <c r="X13" s="180"/>
      <c r="Y13" s="180"/>
      <c r="Z13" s="180"/>
      <c r="AA13" s="180"/>
    </row>
    <row r="14" spans="1:27" ht="27" customHeight="1" x14ac:dyDescent="0.25">
      <c r="A14" s="456">
        <f>SUBTOTAL(3,$C$12:C14)</f>
        <v>3</v>
      </c>
      <c r="B14" s="455" t="s">
        <v>348</v>
      </c>
      <c r="C14" s="389" t="s">
        <v>342</v>
      </c>
      <c r="D14" s="390" t="s">
        <v>340</v>
      </c>
      <c r="E14" s="374" t="s">
        <v>341</v>
      </c>
      <c r="F14" s="391"/>
      <c r="G14" s="446"/>
      <c r="H14" s="446">
        <v>13046667</v>
      </c>
      <c r="I14" s="392">
        <v>720000</v>
      </c>
      <c r="J14" s="392">
        <v>400000</v>
      </c>
      <c r="K14" s="392">
        <v>2500000</v>
      </c>
      <c r="L14" s="392"/>
      <c r="M14" s="392"/>
      <c r="N14" s="392">
        <f t="shared" si="0"/>
        <v>3620000</v>
      </c>
      <c r="O14" s="393">
        <f t="shared" ref="O14" si="4">G14+H14+N14</f>
        <v>16666667</v>
      </c>
      <c r="P14" s="391"/>
      <c r="Q14" s="391"/>
      <c r="R14" s="391"/>
      <c r="S14" s="770"/>
      <c r="T14" s="388">
        <f t="shared" si="3"/>
        <v>16666667</v>
      </c>
      <c r="U14" s="180"/>
      <c r="V14" s="181"/>
      <c r="W14" s="181"/>
      <c r="X14" s="180"/>
      <c r="Y14" s="180"/>
      <c r="Z14" s="180"/>
      <c r="AA14" s="180"/>
    </row>
    <row r="15" spans="1:27" ht="27" customHeight="1" x14ac:dyDescent="0.25">
      <c r="A15" s="456">
        <f>SUBTOTAL(3,$C$12:C15)</f>
        <v>4</v>
      </c>
      <c r="B15" s="455" t="s">
        <v>348</v>
      </c>
      <c r="C15" s="389" t="s">
        <v>325</v>
      </c>
      <c r="D15" s="390" t="s">
        <v>334</v>
      </c>
      <c r="E15" s="374" t="s">
        <v>335</v>
      </c>
      <c r="F15" s="391"/>
      <c r="G15" s="446">
        <v>8000000</v>
      </c>
      <c r="H15" s="446">
        <v>10180000</v>
      </c>
      <c r="I15" s="392">
        <v>720000</v>
      </c>
      <c r="J15" s="392">
        <v>400000</v>
      </c>
      <c r="K15" s="392">
        <v>1924000</v>
      </c>
      <c r="L15" s="392"/>
      <c r="M15" s="392"/>
      <c r="N15" s="392">
        <f t="shared" si="0"/>
        <v>3044000</v>
      </c>
      <c r="O15" s="393">
        <f t="shared" si="2"/>
        <v>21224000</v>
      </c>
      <c r="P15" s="391"/>
      <c r="Q15" s="391"/>
      <c r="R15" s="391"/>
      <c r="S15" s="391"/>
      <c r="T15" s="394">
        <f t="shared" si="3"/>
        <v>21224000</v>
      </c>
      <c r="U15" s="180"/>
      <c r="V15" s="181"/>
      <c r="W15" s="181"/>
      <c r="X15" s="180"/>
      <c r="Y15" s="180"/>
      <c r="Z15" s="180"/>
      <c r="AA15" s="180"/>
    </row>
    <row r="16" spans="1:27" ht="27" customHeight="1" x14ac:dyDescent="0.25">
      <c r="A16" s="456">
        <f>SUBTOTAL(3,$C$12:C16)</f>
        <v>5</v>
      </c>
      <c r="B16" s="455" t="s">
        <v>339</v>
      </c>
      <c r="C16" s="389" t="s">
        <v>337</v>
      </c>
      <c r="D16" s="390" t="s">
        <v>336</v>
      </c>
      <c r="E16" s="374" t="s">
        <v>338</v>
      </c>
      <c r="F16" s="391"/>
      <c r="G16" s="446">
        <v>5500000</v>
      </c>
      <c r="H16" s="446">
        <v>42306650</v>
      </c>
      <c r="I16" s="392">
        <v>720000</v>
      </c>
      <c r="J16" s="392">
        <v>400000</v>
      </c>
      <c r="K16" s="392">
        <v>900000</v>
      </c>
      <c r="L16" s="392"/>
      <c r="M16" s="392"/>
      <c r="N16" s="392">
        <f t="shared" si="0"/>
        <v>2020000</v>
      </c>
      <c r="O16" s="393">
        <f t="shared" si="2"/>
        <v>49826650</v>
      </c>
      <c r="P16" s="391"/>
      <c r="Q16" s="391"/>
      <c r="R16" s="391"/>
      <c r="S16" s="391"/>
      <c r="T16" s="394">
        <f t="shared" si="3"/>
        <v>49826650</v>
      </c>
      <c r="U16" s="180"/>
      <c r="V16" s="181"/>
      <c r="W16" s="181"/>
      <c r="X16" s="180"/>
      <c r="Y16" s="180"/>
      <c r="Z16" s="180"/>
      <c r="AA16" s="180"/>
    </row>
    <row r="17" spans="1:27" ht="27" customHeight="1" x14ac:dyDescent="0.25">
      <c r="A17" s="456">
        <f>SUBTOTAL(3,$C$12:C17)</f>
        <v>6</v>
      </c>
      <c r="B17" s="455" t="s">
        <v>339</v>
      </c>
      <c r="C17" s="389" t="s">
        <v>350</v>
      </c>
      <c r="D17" s="390" t="s">
        <v>349</v>
      </c>
      <c r="E17" s="374" t="s">
        <v>379</v>
      </c>
      <c r="F17" s="391"/>
      <c r="G17" s="446">
        <v>5500000</v>
      </c>
      <c r="H17" s="446">
        <v>1880000</v>
      </c>
      <c r="I17" s="392">
        <v>720000</v>
      </c>
      <c r="J17" s="392">
        <v>400000</v>
      </c>
      <c r="K17" s="392">
        <v>500000</v>
      </c>
      <c r="L17" s="392"/>
      <c r="M17" s="392"/>
      <c r="N17" s="392">
        <f t="shared" si="0"/>
        <v>1620000</v>
      </c>
      <c r="O17" s="393">
        <f t="shared" si="2"/>
        <v>9000000</v>
      </c>
      <c r="P17" s="391"/>
      <c r="Q17" s="391"/>
      <c r="R17" s="391"/>
      <c r="S17" s="391"/>
      <c r="T17" s="394">
        <f t="shared" si="3"/>
        <v>9000000</v>
      </c>
      <c r="U17" s="180"/>
      <c r="V17" s="181"/>
      <c r="W17" s="181"/>
      <c r="X17" s="180"/>
      <c r="Y17" s="180"/>
      <c r="Z17" s="180"/>
      <c r="AA17" s="180"/>
    </row>
    <row r="18" spans="1:27" ht="27" customHeight="1" x14ac:dyDescent="0.25">
      <c r="A18" s="456">
        <f>SUBTOTAL(3,$C$12:C18)</f>
        <v>7</v>
      </c>
      <c r="B18" s="455" t="s">
        <v>339</v>
      </c>
      <c r="C18" s="389" t="s">
        <v>350</v>
      </c>
      <c r="D18" s="390" t="s">
        <v>351</v>
      </c>
      <c r="E18" s="374" t="s">
        <v>352</v>
      </c>
      <c r="F18" s="391"/>
      <c r="G18" s="446">
        <v>5500000</v>
      </c>
      <c r="H18" s="446">
        <v>1880000</v>
      </c>
      <c r="I18" s="392">
        <v>720000</v>
      </c>
      <c r="J18" s="392">
        <v>400000</v>
      </c>
      <c r="K18" s="392">
        <v>500000</v>
      </c>
      <c r="L18" s="392"/>
      <c r="M18" s="392"/>
      <c r="N18" s="392">
        <f t="shared" ref="N18:N23" si="5">SUM(I18:M18)</f>
        <v>1620000</v>
      </c>
      <c r="O18" s="393">
        <f t="shared" ref="O18:O20" si="6">G18+H18+N18</f>
        <v>9000000</v>
      </c>
      <c r="P18" s="391"/>
      <c r="Q18" s="391"/>
      <c r="R18" s="391"/>
      <c r="S18" s="391"/>
      <c r="T18" s="394">
        <f t="shared" si="3"/>
        <v>9000000</v>
      </c>
      <c r="U18" s="180"/>
      <c r="V18" s="181"/>
      <c r="W18" s="181"/>
      <c r="X18" s="180"/>
      <c r="Y18" s="180"/>
      <c r="Z18" s="180"/>
      <c r="AA18" s="180"/>
    </row>
    <row r="19" spans="1:27" ht="27" customHeight="1" x14ac:dyDescent="0.25">
      <c r="A19" s="456">
        <f>SUBTOTAL(3,$C$12:C19)</f>
        <v>8</v>
      </c>
      <c r="B19" s="455" t="s">
        <v>348</v>
      </c>
      <c r="C19" s="389" t="s">
        <v>353</v>
      </c>
      <c r="D19" s="390" t="s">
        <v>354</v>
      </c>
      <c r="E19" s="374" t="s">
        <v>355</v>
      </c>
      <c r="F19" s="391"/>
      <c r="G19" s="446"/>
      <c r="H19" s="446">
        <v>5768889</v>
      </c>
      <c r="I19" s="392">
        <v>720000</v>
      </c>
      <c r="J19" s="392">
        <v>400000</v>
      </c>
      <c r="K19" s="392">
        <v>2000000</v>
      </c>
      <c r="L19" s="392"/>
      <c r="M19" s="392"/>
      <c r="N19" s="392">
        <f t="shared" si="5"/>
        <v>3120000</v>
      </c>
      <c r="O19" s="393">
        <f t="shared" si="6"/>
        <v>8888889</v>
      </c>
      <c r="P19" s="391"/>
      <c r="Q19" s="391"/>
      <c r="R19" s="391"/>
      <c r="S19" s="391"/>
      <c r="T19" s="394">
        <f t="shared" si="3"/>
        <v>8888889</v>
      </c>
      <c r="U19" s="180"/>
      <c r="V19" s="181"/>
      <c r="W19" s="181"/>
      <c r="X19" s="180"/>
      <c r="Y19" s="180"/>
      <c r="Z19" s="180"/>
      <c r="AA19" s="180"/>
    </row>
    <row r="20" spans="1:27" ht="27" customHeight="1" x14ac:dyDescent="0.25">
      <c r="A20" s="456">
        <f>SUBTOTAL(3,$C$12:C20)</f>
        <v>9</v>
      </c>
      <c r="B20" s="455" t="s">
        <v>339</v>
      </c>
      <c r="C20" s="389" t="s">
        <v>360</v>
      </c>
      <c r="D20" s="390" t="s">
        <v>359</v>
      </c>
      <c r="E20" s="374" t="s">
        <v>361</v>
      </c>
      <c r="F20" s="391"/>
      <c r="G20" s="446">
        <v>5500000</v>
      </c>
      <c r="H20" s="446">
        <v>5880000</v>
      </c>
      <c r="I20" s="392">
        <v>720000</v>
      </c>
      <c r="J20" s="392">
        <v>400000</v>
      </c>
      <c r="K20" s="392">
        <v>500000</v>
      </c>
      <c r="L20" s="392"/>
      <c r="M20" s="392"/>
      <c r="N20" s="392">
        <f t="shared" si="5"/>
        <v>1620000</v>
      </c>
      <c r="O20" s="393">
        <f t="shared" si="6"/>
        <v>13000000</v>
      </c>
      <c r="P20" s="391"/>
      <c r="Q20" s="391"/>
      <c r="R20" s="391"/>
      <c r="S20" s="391"/>
      <c r="T20" s="394">
        <f t="shared" si="3"/>
        <v>13000000</v>
      </c>
      <c r="U20" s="180"/>
      <c r="V20" s="181"/>
      <c r="W20" s="181"/>
      <c r="X20" s="180"/>
      <c r="Y20" s="180"/>
      <c r="Z20" s="180"/>
      <c r="AA20" s="180"/>
    </row>
    <row r="21" spans="1:27" ht="27" customHeight="1" x14ac:dyDescent="0.25">
      <c r="A21" s="456">
        <f>SUBTOTAL(3,$C$12:C21)</f>
        <v>10</v>
      </c>
      <c r="B21" s="455" t="s">
        <v>339</v>
      </c>
      <c r="C21" s="389" t="s">
        <v>350</v>
      </c>
      <c r="D21" s="390" t="s">
        <v>363</v>
      </c>
      <c r="E21" s="374" t="s">
        <v>362</v>
      </c>
      <c r="F21" s="391"/>
      <c r="G21" s="446">
        <v>5500000</v>
      </c>
      <c r="H21" s="446">
        <v>2457500</v>
      </c>
      <c r="I21" s="392">
        <v>720000</v>
      </c>
      <c r="J21" s="392">
        <v>400000</v>
      </c>
      <c r="K21" s="392">
        <v>500000</v>
      </c>
      <c r="L21" s="392"/>
      <c r="M21" s="392"/>
      <c r="N21" s="392">
        <f t="shared" si="5"/>
        <v>1620000</v>
      </c>
      <c r="O21" s="393">
        <f t="shared" ref="O21:O22" si="7">G21+H21+N21</f>
        <v>9577500</v>
      </c>
      <c r="P21" s="391"/>
      <c r="Q21" s="391"/>
      <c r="R21" s="391"/>
      <c r="S21" s="391"/>
      <c r="T21" s="394">
        <f t="shared" ref="T21:T22" si="8">O21+R21</f>
        <v>9577500</v>
      </c>
      <c r="U21" s="180"/>
      <c r="V21" s="181"/>
      <c r="W21" s="181"/>
      <c r="X21" s="180"/>
      <c r="Y21" s="180"/>
      <c r="Z21" s="180"/>
      <c r="AA21" s="180"/>
    </row>
    <row r="22" spans="1:27" ht="27" customHeight="1" x14ac:dyDescent="0.25">
      <c r="A22" s="456">
        <f>SUBTOTAL(3,$C$12:C22)</f>
        <v>11</v>
      </c>
      <c r="B22" s="455" t="s">
        <v>319</v>
      </c>
      <c r="C22" s="389" t="s">
        <v>364</v>
      </c>
      <c r="D22" s="390" t="s">
        <v>365</v>
      </c>
      <c r="E22" s="374" t="s">
        <v>366</v>
      </c>
      <c r="F22" s="391"/>
      <c r="G22" s="446">
        <v>4960000</v>
      </c>
      <c r="H22" s="446">
        <v>1040800</v>
      </c>
      <c r="I22" s="392">
        <v>720000</v>
      </c>
      <c r="J22" s="392">
        <v>400000</v>
      </c>
      <c r="K22" s="392">
        <v>400000</v>
      </c>
      <c r="L22" s="392"/>
      <c r="M22" s="392"/>
      <c r="N22" s="392">
        <f t="shared" si="5"/>
        <v>1520000</v>
      </c>
      <c r="O22" s="393">
        <f t="shared" si="7"/>
        <v>7520800</v>
      </c>
      <c r="P22" s="391"/>
      <c r="Q22" s="391"/>
      <c r="R22" s="391"/>
      <c r="S22" s="391"/>
      <c r="T22" s="394">
        <f t="shared" si="8"/>
        <v>7520800</v>
      </c>
      <c r="U22" s="180"/>
      <c r="V22" s="181"/>
      <c r="W22" s="181"/>
      <c r="X22" s="180"/>
      <c r="Y22" s="180"/>
      <c r="Z22" s="180"/>
      <c r="AA22" s="180"/>
    </row>
    <row r="23" spans="1:27" ht="27" customHeight="1" x14ac:dyDescent="0.25">
      <c r="A23" s="456">
        <f>SUBTOTAL(3,$C$12:C23)</f>
        <v>12</v>
      </c>
      <c r="B23" s="455" t="s">
        <v>319</v>
      </c>
      <c r="C23" s="389" t="s">
        <v>373</v>
      </c>
      <c r="D23" s="390" t="s">
        <v>367</v>
      </c>
      <c r="E23" s="374" t="s">
        <v>368</v>
      </c>
      <c r="F23" s="391"/>
      <c r="G23" s="446">
        <v>4960000</v>
      </c>
      <c r="H23" s="446">
        <v>4040800</v>
      </c>
      <c r="I23" s="392">
        <v>720000</v>
      </c>
      <c r="J23" s="392">
        <v>400000</v>
      </c>
      <c r="K23" s="392">
        <v>400000</v>
      </c>
      <c r="L23" s="392"/>
      <c r="M23" s="392"/>
      <c r="N23" s="392">
        <f t="shared" si="5"/>
        <v>1520000</v>
      </c>
      <c r="O23" s="393">
        <f t="shared" ref="O23" si="9">G23+H23+N23</f>
        <v>10520800</v>
      </c>
      <c r="P23" s="391"/>
      <c r="Q23" s="391"/>
      <c r="R23" s="391"/>
      <c r="S23" s="391"/>
      <c r="T23" s="394">
        <f t="shared" ref="T23" si="10">O23+R23</f>
        <v>10520800</v>
      </c>
      <c r="U23" s="180"/>
      <c r="V23" s="181"/>
      <c r="W23" s="181"/>
      <c r="X23" s="180"/>
      <c r="Y23" s="180"/>
      <c r="Z23" s="180"/>
      <c r="AA23" s="180"/>
    </row>
    <row r="24" spans="1:27" ht="27" customHeight="1" x14ac:dyDescent="0.25">
      <c r="A24" s="456">
        <f>SUBTOTAL(3,$C$12:C24)</f>
        <v>13</v>
      </c>
      <c r="B24" s="455" t="s">
        <v>319</v>
      </c>
      <c r="C24" s="389" t="s">
        <v>374</v>
      </c>
      <c r="D24" s="390" t="s">
        <v>369</v>
      </c>
      <c r="E24" s="374" t="s">
        <v>370</v>
      </c>
      <c r="F24" s="391"/>
      <c r="G24" s="446">
        <v>5500000</v>
      </c>
      <c r="H24" s="446">
        <v>3457500</v>
      </c>
      <c r="I24" s="392">
        <v>720000</v>
      </c>
      <c r="J24" s="392">
        <v>400000</v>
      </c>
      <c r="K24" s="392">
        <v>500000</v>
      </c>
      <c r="L24" s="392"/>
      <c r="M24" s="392"/>
      <c r="N24" s="392">
        <f t="shared" ref="N24" si="11">SUM(I24:M24)</f>
        <v>1620000</v>
      </c>
      <c r="O24" s="393">
        <f t="shared" ref="O24" si="12">G24+H24+N24</f>
        <v>10577500</v>
      </c>
      <c r="P24" s="391"/>
      <c r="Q24" s="391"/>
      <c r="R24" s="391"/>
      <c r="S24" s="391"/>
      <c r="T24" s="394">
        <f t="shared" ref="T24" si="13">O24+R24</f>
        <v>10577500</v>
      </c>
      <c r="U24" s="180"/>
      <c r="V24" s="181"/>
      <c r="W24" s="181"/>
      <c r="X24" s="180"/>
      <c r="Y24" s="180"/>
      <c r="Z24" s="180"/>
      <c r="AA24" s="180"/>
    </row>
    <row r="25" spans="1:27" ht="27" customHeight="1" x14ac:dyDescent="0.25">
      <c r="A25" s="456">
        <f>SUBTOTAL(3,$C$12:C25)</f>
        <v>14</v>
      </c>
      <c r="B25" s="455" t="s">
        <v>319</v>
      </c>
      <c r="C25" s="389" t="s">
        <v>319</v>
      </c>
      <c r="D25" s="390" t="s">
        <v>371</v>
      </c>
      <c r="E25" s="374" t="s">
        <v>372</v>
      </c>
      <c r="F25" s="391"/>
      <c r="G25" s="446">
        <v>5500000</v>
      </c>
      <c r="H25" s="446">
        <v>2457500</v>
      </c>
      <c r="I25" s="392">
        <v>720000</v>
      </c>
      <c r="J25" s="392">
        <v>400000</v>
      </c>
      <c r="K25" s="392">
        <v>500000</v>
      </c>
      <c r="L25" s="392"/>
      <c r="M25" s="392"/>
      <c r="N25" s="392">
        <f t="shared" ref="N25:N28" si="14">SUM(I25:M25)</f>
        <v>1620000</v>
      </c>
      <c r="O25" s="393">
        <f t="shared" ref="O25:O28" si="15">G25+H25+N25</f>
        <v>9577500</v>
      </c>
      <c r="P25" s="391"/>
      <c r="Q25" s="391"/>
      <c r="R25" s="391"/>
      <c r="S25" s="391"/>
      <c r="T25" s="394">
        <f t="shared" ref="T25:T28" si="16">O25+R25</f>
        <v>9577500</v>
      </c>
      <c r="U25" s="180"/>
      <c r="V25" s="181"/>
      <c r="W25" s="181"/>
      <c r="X25" s="180"/>
      <c r="Y25" s="180"/>
      <c r="Z25" s="180"/>
      <c r="AA25" s="180"/>
    </row>
    <row r="26" spans="1:27" ht="27" customHeight="1" x14ac:dyDescent="0.25">
      <c r="A26" s="456">
        <f>SUBTOTAL(3,$C$12:C26)</f>
        <v>15</v>
      </c>
      <c r="B26" s="455" t="s">
        <v>319</v>
      </c>
      <c r="C26" s="389" t="s">
        <v>380</v>
      </c>
      <c r="D26" s="390" t="s">
        <v>381</v>
      </c>
      <c r="E26" s="374" t="s">
        <v>382</v>
      </c>
      <c r="F26" s="391"/>
      <c r="G26" s="446">
        <v>5500000</v>
      </c>
      <c r="H26" s="446">
        <v>5880000</v>
      </c>
      <c r="I26" s="392">
        <v>720000</v>
      </c>
      <c r="J26" s="392">
        <v>400000</v>
      </c>
      <c r="K26" s="392">
        <v>500000</v>
      </c>
      <c r="L26" s="392"/>
      <c r="M26" s="392"/>
      <c r="N26" s="392">
        <f t="shared" si="14"/>
        <v>1620000</v>
      </c>
      <c r="O26" s="393">
        <f t="shared" si="15"/>
        <v>13000000</v>
      </c>
      <c r="P26" s="391"/>
      <c r="Q26" s="391"/>
      <c r="R26" s="391"/>
      <c r="S26" s="391"/>
      <c r="T26" s="394">
        <f t="shared" si="16"/>
        <v>13000000</v>
      </c>
      <c r="U26" s="180"/>
      <c r="V26" s="181"/>
      <c r="W26" s="181"/>
      <c r="X26" s="180"/>
      <c r="Y26" s="180"/>
      <c r="Z26" s="180"/>
      <c r="AA26" s="180"/>
    </row>
    <row r="27" spans="1:27" ht="27" customHeight="1" x14ac:dyDescent="0.25">
      <c r="A27" s="456">
        <f>SUBTOTAL(3,$C$12:C27)</f>
        <v>16</v>
      </c>
      <c r="B27" s="455" t="s">
        <v>339</v>
      </c>
      <c r="C27" s="389" t="s">
        <v>350</v>
      </c>
      <c r="D27" s="390" t="s">
        <v>383</v>
      </c>
      <c r="E27" s="374" t="s">
        <v>384</v>
      </c>
      <c r="F27" s="391"/>
      <c r="G27" s="446">
        <v>5500000</v>
      </c>
      <c r="H27" s="446">
        <v>1957500</v>
      </c>
      <c r="I27" s="392">
        <v>720000</v>
      </c>
      <c r="J27" s="392">
        <v>400000</v>
      </c>
      <c r="K27" s="392">
        <v>500000</v>
      </c>
      <c r="L27" s="392"/>
      <c r="M27" s="392"/>
      <c r="N27" s="392">
        <f t="shared" si="14"/>
        <v>1620000</v>
      </c>
      <c r="O27" s="393">
        <f t="shared" si="15"/>
        <v>9077500</v>
      </c>
      <c r="P27" s="391"/>
      <c r="Q27" s="391"/>
      <c r="R27" s="391"/>
      <c r="S27" s="391"/>
      <c r="T27" s="394">
        <f t="shared" si="16"/>
        <v>9077500</v>
      </c>
      <c r="U27" s="180"/>
      <c r="V27" s="181"/>
      <c r="W27" s="181"/>
      <c r="X27" s="180"/>
      <c r="Y27" s="180"/>
      <c r="Z27" s="180"/>
      <c r="AA27" s="180"/>
    </row>
    <row r="28" spans="1:27" ht="27" customHeight="1" x14ac:dyDescent="0.25">
      <c r="A28" s="456">
        <f>SUBTOTAL(3,$C$12:C28)</f>
        <v>17</v>
      </c>
      <c r="B28" s="455" t="s">
        <v>339</v>
      </c>
      <c r="C28" s="389" t="s">
        <v>350</v>
      </c>
      <c r="D28" s="390" t="s">
        <v>387</v>
      </c>
      <c r="E28" s="374" t="s">
        <v>388</v>
      </c>
      <c r="F28" s="391"/>
      <c r="G28" s="446">
        <v>5500000</v>
      </c>
      <c r="H28" s="446">
        <v>2457500</v>
      </c>
      <c r="I28" s="392">
        <v>720000</v>
      </c>
      <c r="J28" s="392">
        <v>400000</v>
      </c>
      <c r="K28" s="392">
        <v>500000</v>
      </c>
      <c r="L28" s="392"/>
      <c r="M28" s="392"/>
      <c r="N28" s="392">
        <f t="shared" si="14"/>
        <v>1620000</v>
      </c>
      <c r="O28" s="393">
        <f t="shared" si="15"/>
        <v>9577500</v>
      </c>
      <c r="P28" s="391"/>
      <c r="Q28" s="391"/>
      <c r="R28" s="391"/>
      <c r="S28" s="391"/>
      <c r="T28" s="394">
        <f t="shared" si="16"/>
        <v>9577500</v>
      </c>
      <c r="U28" s="180"/>
      <c r="V28" s="181"/>
      <c r="W28" s="181"/>
      <c r="X28" s="180"/>
      <c r="Y28" s="180"/>
      <c r="Z28" s="180"/>
      <c r="AA28" s="180"/>
    </row>
    <row r="29" spans="1:27" ht="27" customHeight="1" x14ac:dyDescent="0.25">
      <c r="A29" s="456">
        <v>18</v>
      </c>
      <c r="B29" s="455" t="s">
        <v>319</v>
      </c>
      <c r="C29" s="389" t="s">
        <v>319</v>
      </c>
      <c r="D29" s="390" t="s">
        <v>402</v>
      </c>
      <c r="E29" s="374" t="s">
        <v>403</v>
      </c>
      <c r="F29" s="391"/>
      <c r="G29" s="446">
        <v>5300000</v>
      </c>
      <c r="H29" s="446">
        <v>2757500</v>
      </c>
      <c r="I29" s="392">
        <v>720000</v>
      </c>
      <c r="J29" s="392">
        <v>400000</v>
      </c>
      <c r="K29" s="392">
        <v>400000</v>
      </c>
      <c r="L29" s="392"/>
      <c r="M29" s="392"/>
      <c r="N29" s="392">
        <f t="shared" ref="N29" si="17">SUM(I29:M29)</f>
        <v>1520000</v>
      </c>
      <c r="O29" s="393">
        <f t="shared" ref="O29" si="18">G29+H29+N29</f>
        <v>9577500</v>
      </c>
      <c r="P29" s="391"/>
      <c r="Q29" s="391"/>
      <c r="R29" s="391"/>
      <c r="S29" s="391"/>
      <c r="T29" s="394">
        <f t="shared" ref="T29" si="19">O29+R29</f>
        <v>9577500</v>
      </c>
      <c r="U29" s="180"/>
      <c r="V29" s="181"/>
      <c r="W29" s="181"/>
      <c r="X29" s="180"/>
      <c r="Y29" s="180"/>
      <c r="Z29" s="180"/>
      <c r="AA29" s="180"/>
    </row>
    <row r="30" spans="1:27" ht="30" customHeight="1" x14ac:dyDescent="0.25">
      <c r="A30" s="627" t="s">
        <v>51</v>
      </c>
      <c r="B30" s="628"/>
      <c r="C30" s="628"/>
      <c r="D30" s="628"/>
      <c r="E30" s="628"/>
      <c r="F30" s="395"/>
      <c r="G30" s="447">
        <f>SUM(G12:G17)</f>
        <v>34000000</v>
      </c>
      <c r="H30" s="447">
        <f>SUM(H12:H17)</f>
        <v>79773317</v>
      </c>
      <c r="I30" s="396">
        <f>SUM(I12:I16)</f>
        <v>3600000</v>
      </c>
      <c r="J30" s="396">
        <f>SUM(J12:J16)</f>
        <v>2000000</v>
      </c>
      <c r="K30" s="396">
        <f>SUM(K12:K17)</f>
        <v>9224000</v>
      </c>
      <c r="L30" s="396">
        <f>SUM(L12:L13)</f>
        <v>0</v>
      </c>
      <c r="M30" s="396">
        <f>SUM(M12:M13)</f>
        <v>0</v>
      </c>
      <c r="N30" s="396">
        <f>SUM(N12:N17)</f>
        <v>15944000</v>
      </c>
      <c r="O30" s="396">
        <f>SUM(O12:O16)</f>
        <v>120717317</v>
      </c>
      <c r="P30" s="396">
        <f>SUM(P12:P13)</f>
        <v>0</v>
      </c>
      <c r="Q30" s="396">
        <f>SUM(Q12:Q13)</f>
        <v>0</v>
      </c>
      <c r="R30" s="396">
        <f>SUM(R12:R13)</f>
        <v>0</v>
      </c>
      <c r="S30" s="396"/>
      <c r="T30" s="396">
        <f>SUM(T12:T16)</f>
        <v>120717317</v>
      </c>
      <c r="U30" s="42"/>
      <c r="V30" s="42"/>
      <c r="W30" s="42"/>
    </row>
    <row r="31" spans="1:27" ht="15.75" customHeight="1" x14ac:dyDescent="0.3">
      <c r="A31" s="40"/>
      <c r="B31" s="40"/>
      <c r="C31" s="40"/>
      <c r="D31" s="40">
        <v>1</v>
      </c>
      <c r="E31" s="40">
        <f>1+D31</f>
        <v>2</v>
      </c>
      <c r="F31" s="40">
        <f t="shared" ref="F31:M31" si="20">1+E31</f>
        <v>3</v>
      </c>
      <c r="G31" s="448">
        <f t="shared" si="20"/>
        <v>4</v>
      </c>
      <c r="H31" s="448">
        <f t="shared" si="20"/>
        <v>5</v>
      </c>
      <c r="I31" s="40">
        <f t="shared" si="20"/>
        <v>6</v>
      </c>
      <c r="J31" s="40">
        <f t="shared" si="20"/>
        <v>7</v>
      </c>
      <c r="K31" s="40">
        <f t="shared" si="20"/>
        <v>8</v>
      </c>
      <c r="L31" s="40">
        <f t="shared" si="20"/>
        <v>9</v>
      </c>
      <c r="M31" s="40">
        <f t="shared" si="20"/>
        <v>10</v>
      </c>
      <c r="N31" s="184"/>
      <c r="O31" s="185"/>
      <c r="P31" s="186"/>
      <c r="Q31" s="187" t="e">
        <f>+#REF!/R31</f>
        <v>#REF!</v>
      </c>
      <c r="R31" s="188">
        <v>2500000000</v>
      </c>
      <c r="S31" s="188"/>
      <c r="T31" s="189"/>
      <c r="V31" s="42"/>
    </row>
    <row r="32" spans="1:27" ht="15.75" customHeight="1" x14ac:dyDescent="0.3">
      <c r="A32" s="47" t="s">
        <v>148</v>
      </c>
      <c r="B32" s="40"/>
      <c r="C32" s="40"/>
      <c r="D32" s="40"/>
      <c r="E32" s="40"/>
      <c r="F32" s="39"/>
      <c r="G32" s="448"/>
      <c r="H32" s="448"/>
      <c r="I32" s="184"/>
      <c r="J32" s="184"/>
      <c r="K32" s="184"/>
      <c r="L32" s="184"/>
      <c r="M32" s="184"/>
      <c r="N32" s="184"/>
      <c r="O32" s="184"/>
      <c r="P32" s="186"/>
      <c r="Q32" s="186" t="s">
        <v>149</v>
      </c>
      <c r="R32" s="188" t="s">
        <v>150</v>
      </c>
      <c r="S32" s="188"/>
      <c r="T32" s="184"/>
      <c r="U32" s="190"/>
      <c r="V32" s="42"/>
    </row>
    <row r="33" spans="1:22" ht="15.75" customHeight="1" x14ac:dyDescent="0.3">
      <c r="A33" s="629" t="s">
        <v>151</v>
      </c>
      <c r="B33" s="502"/>
      <c r="C33" s="502"/>
      <c r="D33" s="502"/>
      <c r="E33" s="502"/>
      <c r="F33" s="502"/>
      <c r="G33" s="502"/>
      <c r="H33" s="502"/>
      <c r="I33" s="502"/>
      <c r="J33" s="502"/>
      <c r="K33" s="502"/>
      <c r="L33" s="502"/>
      <c r="M33" s="502"/>
      <c r="N33" s="502"/>
      <c r="O33" s="502"/>
      <c r="P33" s="502"/>
      <c r="Q33" s="502"/>
      <c r="R33" s="502"/>
      <c r="S33" s="502"/>
      <c r="T33" s="502"/>
      <c r="V33" s="42"/>
    </row>
    <row r="34" spans="1:22" ht="15.75" customHeight="1" x14ac:dyDescent="0.3">
      <c r="A34" s="629" t="s">
        <v>152</v>
      </c>
      <c r="B34" s="502"/>
      <c r="C34" s="502"/>
      <c r="D34" s="502"/>
      <c r="E34" s="502"/>
      <c r="F34" s="502"/>
      <c r="G34" s="502"/>
      <c r="H34" s="502"/>
      <c r="I34" s="502"/>
      <c r="J34" s="502"/>
      <c r="K34" s="502"/>
      <c r="L34" s="502"/>
      <c r="M34" s="502"/>
      <c r="N34" s="502"/>
      <c r="O34" s="502"/>
      <c r="P34" s="502"/>
      <c r="Q34" s="502"/>
      <c r="R34" s="502"/>
      <c r="S34" s="502"/>
      <c r="T34" s="502"/>
      <c r="V34" s="42"/>
    </row>
    <row r="35" spans="1:22" ht="15.75" customHeight="1" x14ac:dyDescent="0.3">
      <c r="A35" s="629" t="s">
        <v>153</v>
      </c>
      <c r="B35" s="502"/>
      <c r="C35" s="502"/>
      <c r="D35" s="502"/>
      <c r="E35" s="502"/>
      <c r="F35" s="502"/>
      <c r="G35" s="502"/>
      <c r="H35" s="502"/>
      <c r="I35" s="502"/>
      <c r="J35" s="502"/>
      <c r="K35" s="502"/>
      <c r="L35" s="502"/>
      <c r="M35" s="502"/>
      <c r="N35" s="502"/>
      <c r="O35" s="502"/>
      <c r="P35" s="502"/>
      <c r="Q35" s="502"/>
      <c r="R35" s="502"/>
      <c r="S35" s="502"/>
      <c r="T35" s="502"/>
      <c r="V35" s="42"/>
    </row>
    <row r="36" spans="1:22" ht="15.75" customHeight="1" x14ac:dyDescent="0.3">
      <c r="A36" s="630" t="s">
        <v>330</v>
      </c>
      <c r="B36" s="502"/>
      <c r="C36" s="502"/>
      <c r="D36" s="502"/>
      <c r="E36" s="502"/>
      <c r="F36" s="502"/>
      <c r="G36" s="502"/>
      <c r="H36" s="502"/>
      <c r="I36" s="502"/>
      <c r="J36" s="502"/>
      <c r="K36" s="502"/>
      <c r="L36" s="502"/>
      <c r="M36" s="502"/>
      <c r="N36" s="502"/>
      <c r="O36" s="502"/>
      <c r="P36" s="502"/>
      <c r="Q36" s="502"/>
      <c r="R36" s="502"/>
      <c r="S36" s="502"/>
      <c r="T36" s="502"/>
      <c r="V36" s="42"/>
    </row>
    <row r="37" spans="1:22" ht="15.75" customHeight="1" x14ac:dyDescent="0.3">
      <c r="A37" s="40"/>
      <c r="B37" s="40"/>
      <c r="C37" s="40"/>
      <c r="D37" s="40"/>
      <c r="E37" s="40"/>
      <c r="F37" s="39"/>
      <c r="G37" s="443"/>
      <c r="H37" s="443"/>
      <c r="I37" s="184"/>
      <c r="J37" s="184"/>
      <c r="K37" s="184"/>
      <c r="L37" s="184"/>
      <c r="M37" s="184"/>
      <c r="N37" s="184"/>
      <c r="O37" s="189"/>
      <c r="P37" s="40"/>
      <c r="Q37" s="40"/>
      <c r="R37" s="184"/>
      <c r="S37" s="184"/>
      <c r="T37" s="184"/>
      <c r="V37" s="42"/>
    </row>
    <row r="38" spans="1:22" ht="15.75" customHeight="1" x14ac:dyDescent="0.3">
      <c r="A38" s="191" t="s">
        <v>154</v>
      </c>
      <c r="B38" s="192"/>
      <c r="C38" s="192"/>
      <c r="D38" s="192"/>
      <c r="E38" s="192"/>
      <c r="F38" s="192"/>
      <c r="G38" s="631" t="s">
        <v>329</v>
      </c>
      <c r="H38" s="502"/>
      <c r="I38" s="502"/>
      <c r="J38" s="502"/>
      <c r="K38" s="185"/>
      <c r="L38" s="185"/>
      <c r="M38" s="185"/>
      <c r="N38" s="632"/>
      <c r="O38" s="502"/>
      <c r="P38" s="502"/>
      <c r="Q38" s="502"/>
      <c r="R38" s="193"/>
      <c r="S38" s="193"/>
      <c r="T38" s="193"/>
      <c r="V38" s="42"/>
    </row>
    <row r="39" spans="1:22" ht="15.75" customHeight="1" x14ac:dyDescent="0.3">
      <c r="A39" s="636" t="s">
        <v>155</v>
      </c>
      <c r="B39" s="502"/>
      <c r="C39" s="633"/>
      <c r="D39" s="502"/>
      <c r="E39" s="502"/>
      <c r="G39" s="634" t="s">
        <v>38</v>
      </c>
      <c r="H39" s="502"/>
      <c r="I39" s="502"/>
      <c r="J39" s="502"/>
      <c r="K39" s="194"/>
      <c r="L39" s="194"/>
      <c r="M39" s="194"/>
      <c r="N39" s="184"/>
      <c r="O39" s="189"/>
      <c r="P39" s="40"/>
      <c r="Q39" s="40"/>
      <c r="R39" s="184"/>
      <c r="S39" s="184"/>
      <c r="T39" s="184"/>
      <c r="V39" s="42"/>
    </row>
    <row r="40" spans="1:22" ht="15.75" customHeight="1" x14ac:dyDescent="0.3">
      <c r="A40" s="636" t="s">
        <v>156</v>
      </c>
      <c r="B40" s="502"/>
      <c r="C40" s="192"/>
      <c r="D40" s="192"/>
      <c r="E40" s="192"/>
      <c r="F40" s="192"/>
      <c r="G40" s="449"/>
      <c r="H40" s="449"/>
      <c r="I40" s="185"/>
      <c r="J40" s="185"/>
      <c r="K40" s="185"/>
      <c r="L40" s="185"/>
      <c r="M40" s="185"/>
      <c r="N40" s="184"/>
      <c r="O40" s="189"/>
      <c r="P40" s="40"/>
      <c r="Q40" s="40"/>
      <c r="R40" s="184"/>
      <c r="S40" s="184"/>
      <c r="T40" s="184"/>
      <c r="V40" s="42"/>
    </row>
    <row r="41" spans="1:22" ht="15.75" customHeight="1" x14ac:dyDescent="0.3">
      <c r="A41" s="636" t="s">
        <v>157</v>
      </c>
      <c r="B41" s="502"/>
      <c r="C41" s="192"/>
      <c r="D41" s="192"/>
      <c r="E41" s="192"/>
      <c r="F41" s="192"/>
      <c r="G41" s="449"/>
      <c r="H41" s="449"/>
      <c r="I41" s="185"/>
      <c r="J41" s="185"/>
      <c r="K41" s="185"/>
      <c r="L41" s="185"/>
      <c r="M41" s="185"/>
      <c r="N41" s="184"/>
      <c r="O41" s="189"/>
      <c r="P41" s="40"/>
      <c r="Q41" s="40"/>
      <c r="R41" s="184"/>
      <c r="S41" s="184"/>
      <c r="T41" s="184"/>
      <c r="V41" s="42"/>
    </row>
    <row r="42" spans="1:22" ht="15.75" customHeight="1" x14ac:dyDescent="0.3">
      <c r="A42" s="636" t="s">
        <v>158</v>
      </c>
      <c r="B42" s="502"/>
      <c r="C42" s="192"/>
      <c r="D42" s="192"/>
      <c r="E42" s="192"/>
      <c r="F42" s="192"/>
      <c r="G42" s="449"/>
      <c r="H42" s="449"/>
      <c r="I42" s="185"/>
      <c r="J42" s="185"/>
      <c r="K42" s="185"/>
      <c r="L42" s="185"/>
      <c r="M42" s="185"/>
      <c r="N42" s="184"/>
      <c r="O42" s="189"/>
      <c r="P42" s="40"/>
      <c r="Q42" s="40"/>
      <c r="R42" s="184"/>
      <c r="S42" s="184"/>
      <c r="T42" s="184"/>
      <c r="V42" s="42"/>
    </row>
    <row r="43" spans="1:22" ht="15.75" customHeight="1" x14ac:dyDescent="0.3">
      <c r="A43" s="192"/>
      <c r="B43" s="192"/>
      <c r="C43" s="192"/>
      <c r="D43" s="192"/>
      <c r="E43" s="192"/>
      <c r="F43" s="192"/>
      <c r="G43" s="449"/>
      <c r="H43" s="449"/>
      <c r="I43" s="185"/>
      <c r="J43" s="185"/>
      <c r="K43" s="185"/>
      <c r="L43" s="185"/>
      <c r="M43" s="185"/>
      <c r="N43" s="184"/>
      <c r="O43" s="189"/>
      <c r="P43" s="40"/>
      <c r="Q43" s="40"/>
      <c r="R43" s="184"/>
      <c r="S43" s="184"/>
      <c r="T43" s="184"/>
      <c r="V43" s="42"/>
    </row>
    <row r="44" spans="1:22" ht="15.75" customHeight="1" x14ac:dyDescent="0.3">
      <c r="A44" s="140"/>
      <c r="B44" s="192"/>
      <c r="C44" s="633"/>
      <c r="D44" s="502"/>
      <c r="E44" s="502"/>
      <c r="G44" s="634"/>
      <c r="H44" s="502"/>
      <c r="I44" s="502"/>
      <c r="J44" s="502"/>
      <c r="K44" s="185"/>
      <c r="L44" s="185"/>
      <c r="M44" s="185"/>
      <c r="N44" s="184"/>
      <c r="O44" s="189"/>
      <c r="P44" s="40"/>
      <c r="Q44" s="40"/>
      <c r="R44" s="184"/>
      <c r="S44" s="184"/>
      <c r="T44" s="184"/>
      <c r="V44" s="42"/>
    </row>
    <row r="45" spans="1:22" ht="15.75" customHeight="1" x14ac:dyDescent="0.3">
      <c r="A45" s="47"/>
      <c r="B45" s="635"/>
      <c r="C45" s="502"/>
      <c r="E45" s="635"/>
      <c r="F45" s="502"/>
      <c r="G45" s="502"/>
      <c r="H45" s="451"/>
      <c r="I45" s="193"/>
      <c r="J45" s="193"/>
      <c r="K45" s="193"/>
      <c r="L45" s="193"/>
      <c r="M45" s="193"/>
      <c r="N45" s="632"/>
      <c r="O45" s="502"/>
      <c r="P45" s="502"/>
      <c r="Q45" s="502"/>
      <c r="R45" s="193"/>
      <c r="S45" s="193"/>
      <c r="T45" s="193"/>
      <c r="V45" s="42"/>
    </row>
    <row r="46" spans="1:22" ht="15.75" customHeight="1" x14ac:dyDescent="0.25">
      <c r="V46" s="42"/>
    </row>
    <row r="47" spans="1:22" ht="15.75" customHeight="1" x14ac:dyDescent="0.25">
      <c r="V47" s="42"/>
    </row>
    <row r="48" spans="1:22" ht="15.75" customHeight="1" x14ac:dyDescent="0.25">
      <c r="V48" s="42"/>
    </row>
    <row r="49" spans="22:22" ht="15.75" customHeight="1" x14ac:dyDescent="0.25">
      <c r="V49" s="42"/>
    </row>
    <row r="50" spans="22:22" ht="15.75" customHeight="1" x14ac:dyDescent="0.25">
      <c r="V50" s="42"/>
    </row>
    <row r="51" spans="22:22" ht="15.75" customHeight="1" x14ac:dyDescent="0.25">
      <c r="V51" s="42"/>
    </row>
    <row r="52" spans="22:22" ht="15.75" customHeight="1" x14ac:dyDescent="0.25">
      <c r="V52" s="42"/>
    </row>
    <row r="53" spans="22:22" ht="15.75" customHeight="1" x14ac:dyDescent="0.25">
      <c r="V53" s="42"/>
    </row>
    <row r="54" spans="22:22" ht="15.75" customHeight="1" x14ac:dyDescent="0.25">
      <c r="V54" s="42"/>
    </row>
    <row r="55" spans="22:22" ht="15.75" customHeight="1" x14ac:dyDescent="0.25">
      <c r="V55" s="42"/>
    </row>
    <row r="56" spans="22:22" ht="15.75" customHeight="1" x14ac:dyDescent="0.25">
      <c r="V56" s="42"/>
    </row>
    <row r="57" spans="22:22" ht="15.75" customHeight="1" x14ac:dyDescent="0.25">
      <c r="V57" s="42"/>
    </row>
    <row r="58" spans="22:22" ht="15.75" customHeight="1" x14ac:dyDescent="0.25">
      <c r="V58" s="42"/>
    </row>
    <row r="59" spans="22:22" ht="15.75" customHeight="1" x14ac:dyDescent="0.25">
      <c r="V59" s="42"/>
    </row>
    <row r="60" spans="22:22" ht="15.75" customHeight="1" x14ac:dyDescent="0.25">
      <c r="V60" s="42"/>
    </row>
    <row r="61" spans="22:22" ht="15.75" customHeight="1" x14ac:dyDescent="0.25">
      <c r="V61" s="42"/>
    </row>
    <row r="62" spans="22:22" ht="15.75" customHeight="1" x14ac:dyDescent="0.25">
      <c r="V62" s="42"/>
    </row>
    <row r="63" spans="22:22" ht="15.75" customHeight="1" x14ac:dyDescent="0.25">
      <c r="V63" s="42"/>
    </row>
    <row r="64" spans="22:22" ht="15.75" customHeight="1" x14ac:dyDescent="0.25">
      <c r="V64" s="42"/>
    </row>
    <row r="65" spans="22:22" ht="15.75" customHeight="1" x14ac:dyDescent="0.25">
      <c r="V65" s="42"/>
    </row>
    <row r="66" spans="22:22" ht="15.75" customHeight="1" x14ac:dyDescent="0.25">
      <c r="V66" s="42"/>
    </row>
    <row r="67" spans="22:22" ht="15.75" customHeight="1" x14ac:dyDescent="0.25">
      <c r="V67" s="42"/>
    </row>
    <row r="68" spans="22:22" ht="15.75" customHeight="1" x14ac:dyDescent="0.25">
      <c r="V68" s="42"/>
    </row>
    <row r="69" spans="22:22" ht="15.75" customHeight="1" x14ac:dyDescent="0.25">
      <c r="V69" s="42"/>
    </row>
    <row r="70" spans="22:22" ht="15.75" customHeight="1" x14ac:dyDescent="0.25">
      <c r="V70" s="42"/>
    </row>
    <row r="71" spans="22:22" ht="15.75" customHeight="1" x14ac:dyDescent="0.25">
      <c r="V71" s="42"/>
    </row>
    <row r="72" spans="22:22" ht="15.75" customHeight="1" x14ac:dyDescent="0.25">
      <c r="V72" s="42"/>
    </row>
    <row r="73" spans="22:22" ht="15.75" customHeight="1" x14ac:dyDescent="0.25">
      <c r="V73" s="42"/>
    </row>
    <row r="74" spans="22:22" ht="15.75" customHeight="1" x14ac:dyDescent="0.25">
      <c r="V74" s="42"/>
    </row>
    <row r="75" spans="22:22" ht="15.75" customHeight="1" x14ac:dyDescent="0.25">
      <c r="V75" s="42"/>
    </row>
    <row r="76" spans="22:22" ht="15.75" customHeight="1" x14ac:dyDescent="0.25">
      <c r="V76" s="42"/>
    </row>
    <row r="77" spans="22:22" ht="15.75" customHeight="1" x14ac:dyDescent="0.25">
      <c r="V77" s="42"/>
    </row>
    <row r="78" spans="22:22" ht="15.75" customHeight="1" x14ac:dyDescent="0.25">
      <c r="V78" s="42"/>
    </row>
    <row r="79" spans="22:22" ht="15.75" customHeight="1" x14ac:dyDescent="0.25">
      <c r="V79" s="42"/>
    </row>
    <row r="80" spans="22:22" ht="15.75" customHeight="1" x14ac:dyDescent="0.25">
      <c r="V80" s="42"/>
    </row>
    <row r="81" spans="22:22" ht="15.75" customHeight="1" x14ac:dyDescent="0.25">
      <c r="V81" s="42"/>
    </row>
    <row r="82" spans="22:22" ht="15.75" customHeight="1" x14ac:dyDescent="0.25">
      <c r="V82" s="42"/>
    </row>
    <row r="83" spans="22:22" ht="15.75" customHeight="1" x14ac:dyDescent="0.25">
      <c r="V83" s="42"/>
    </row>
    <row r="84" spans="22:22" ht="15.75" customHeight="1" x14ac:dyDescent="0.25">
      <c r="V84" s="42"/>
    </row>
    <row r="85" spans="22:22" ht="15.75" customHeight="1" x14ac:dyDescent="0.25">
      <c r="V85" s="42"/>
    </row>
    <row r="86" spans="22:22" ht="15.75" customHeight="1" x14ac:dyDescent="0.25">
      <c r="V86" s="42"/>
    </row>
    <row r="87" spans="22:22" ht="15.75" customHeight="1" x14ac:dyDescent="0.25">
      <c r="V87" s="42"/>
    </row>
    <row r="88" spans="22:22" ht="15.75" customHeight="1" x14ac:dyDescent="0.25">
      <c r="V88" s="42"/>
    </row>
    <row r="89" spans="22:22" ht="15.75" customHeight="1" x14ac:dyDescent="0.25">
      <c r="V89" s="42"/>
    </row>
    <row r="90" spans="22:22" ht="15.75" customHeight="1" x14ac:dyDescent="0.25">
      <c r="V90" s="42"/>
    </row>
    <row r="91" spans="22:22" ht="15.75" customHeight="1" x14ac:dyDescent="0.25">
      <c r="V91" s="42"/>
    </row>
    <row r="92" spans="22:22" ht="15.75" customHeight="1" x14ac:dyDescent="0.25">
      <c r="V92" s="42"/>
    </row>
    <row r="93" spans="22:22" ht="15.75" customHeight="1" x14ac:dyDescent="0.25">
      <c r="V93" s="42"/>
    </row>
    <row r="94" spans="22:22" ht="15.75" customHeight="1" x14ac:dyDescent="0.25">
      <c r="V94" s="42"/>
    </row>
    <row r="95" spans="22:22" ht="15.75" customHeight="1" x14ac:dyDescent="0.25">
      <c r="V95" s="42"/>
    </row>
    <row r="96" spans="22:22" ht="15.75" customHeight="1" x14ac:dyDescent="0.25">
      <c r="V96" s="42"/>
    </row>
    <row r="97" spans="22:22" ht="15.75" customHeight="1" x14ac:dyDescent="0.25">
      <c r="V97" s="42"/>
    </row>
    <row r="98" spans="22:22" ht="15.75" customHeight="1" x14ac:dyDescent="0.25">
      <c r="V98" s="42"/>
    </row>
    <row r="99" spans="22:22" ht="15.75" customHeight="1" x14ac:dyDescent="0.25">
      <c r="V99" s="42"/>
    </row>
    <row r="100" spans="22:22" ht="15.75" customHeight="1" x14ac:dyDescent="0.25">
      <c r="V100" s="42"/>
    </row>
    <row r="101" spans="22:22" ht="15.75" customHeight="1" x14ac:dyDescent="0.25">
      <c r="V101" s="42"/>
    </row>
    <row r="102" spans="22:22" ht="15.75" customHeight="1" x14ac:dyDescent="0.25">
      <c r="V102" s="42"/>
    </row>
    <row r="103" spans="22:22" ht="15.75" customHeight="1" x14ac:dyDescent="0.25">
      <c r="V103" s="42"/>
    </row>
    <row r="104" spans="22:22" ht="15.75" customHeight="1" x14ac:dyDescent="0.25">
      <c r="V104" s="42"/>
    </row>
    <row r="105" spans="22:22" ht="15.75" customHeight="1" x14ac:dyDescent="0.25">
      <c r="V105" s="42"/>
    </row>
    <row r="106" spans="22:22" ht="15.75" customHeight="1" x14ac:dyDescent="0.25">
      <c r="V106" s="42"/>
    </row>
    <row r="107" spans="22:22" ht="15.75" customHeight="1" x14ac:dyDescent="0.25">
      <c r="V107" s="42"/>
    </row>
    <row r="108" spans="22:22" ht="15.75" customHeight="1" x14ac:dyDescent="0.25">
      <c r="V108" s="42"/>
    </row>
    <row r="109" spans="22:22" ht="15.75" customHeight="1" x14ac:dyDescent="0.25">
      <c r="V109" s="42"/>
    </row>
    <row r="110" spans="22:22" ht="15.75" customHeight="1" x14ac:dyDescent="0.25">
      <c r="V110" s="42"/>
    </row>
    <row r="111" spans="22:22" ht="15.75" customHeight="1" x14ac:dyDescent="0.25">
      <c r="V111" s="42"/>
    </row>
    <row r="112" spans="22:22" ht="15.75" customHeight="1" x14ac:dyDescent="0.25">
      <c r="V112" s="42"/>
    </row>
    <row r="113" spans="22:22" ht="15.75" customHeight="1" x14ac:dyDescent="0.25">
      <c r="V113" s="42"/>
    </row>
    <row r="114" spans="22:22" ht="15.75" customHeight="1" x14ac:dyDescent="0.25">
      <c r="V114" s="42"/>
    </row>
    <row r="115" spans="22:22" ht="15.75" customHeight="1" x14ac:dyDescent="0.25">
      <c r="V115" s="42"/>
    </row>
    <row r="116" spans="22:22" ht="15.75" customHeight="1" x14ac:dyDescent="0.25">
      <c r="V116" s="42"/>
    </row>
    <row r="117" spans="22:22" ht="15.75" customHeight="1" x14ac:dyDescent="0.25">
      <c r="V117" s="42"/>
    </row>
    <row r="118" spans="22:22" ht="15.75" customHeight="1" x14ac:dyDescent="0.25">
      <c r="V118" s="42"/>
    </row>
    <row r="119" spans="22:22" ht="15.75" customHeight="1" x14ac:dyDescent="0.25">
      <c r="V119" s="42"/>
    </row>
    <row r="120" spans="22:22" ht="15.75" customHeight="1" x14ac:dyDescent="0.25">
      <c r="V120" s="42"/>
    </row>
    <row r="121" spans="22:22" ht="15.75" customHeight="1" x14ac:dyDescent="0.25">
      <c r="V121" s="42"/>
    </row>
    <row r="122" spans="22:22" ht="15.75" customHeight="1" x14ac:dyDescent="0.25">
      <c r="V122" s="42"/>
    </row>
    <row r="123" spans="22:22" ht="15.75" customHeight="1" x14ac:dyDescent="0.25">
      <c r="V123" s="42"/>
    </row>
    <row r="124" spans="22:22" ht="15.75" customHeight="1" x14ac:dyDescent="0.25">
      <c r="V124" s="42"/>
    </row>
    <row r="125" spans="22:22" ht="15.75" customHeight="1" x14ac:dyDescent="0.25">
      <c r="V125" s="42"/>
    </row>
    <row r="126" spans="22:22" ht="15.75" customHeight="1" x14ac:dyDescent="0.25">
      <c r="V126" s="42"/>
    </row>
    <row r="127" spans="22:22" ht="15.75" customHeight="1" x14ac:dyDescent="0.25">
      <c r="V127" s="42"/>
    </row>
    <row r="128" spans="22:22" ht="15.75" customHeight="1" x14ac:dyDescent="0.25">
      <c r="V128" s="42"/>
    </row>
    <row r="129" spans="22:22" ht="15.75" customHeight="1" x14ac:dyDescent="0.25">
      <c r="V129" s="42"/>
    </row>
    <row r="130" spans="22:22" ht="15.75" customHeight="1" x14ac:dyDescent="0.25">
      <c r="V130" s="42"/>
    </row>
    <row r="131" spans="22:22" ht="15.75" customHeight="1" x14ac:dyDescent="0.25">
      <c r="V131" s="42"/>
    </row>
    <row r="132" spans="22:22" ht="15.75" customHeight="1" x14ac:dyDescent="0.25">
      <c r="V132" s="42"/>
    </row>
    <row r="133" spans="22:22" ht="15.75" customHeight="1" x14ac:dyDescent="0.25">
      <c r="V133" s="42"/>
    </row>
    <row r="134" spans="22:22" ht="15.75" customHeight="1" x14ac:dyDescent="0.25">
      <c r="V134" s="42"/>
    </row>
    <row r="135" spans="22:22" ht="15.75" customHeight="1" x14ac:dyDescent="0.25">
      <c r="V135" s="42"/>
    </row>
    <row r="136" spans="22:22" ht="15.75" customHeight="1" x14ac:dyDescent="0.25">
      <c r="V136" s="42"/>
    </row>
    <row r="137" spans="22:22" ht="15.75" customHeight="1" x14ac:dyDescent="0.25">
      <c r="V137" s="42"/>
    </row>
    <row r="138" spans="22:22" ht="15.75" customHeight="1" x14ac:dyDescent="0.25">
      <c r="V138" s="42"/>
    </row>
    <row r="139" spans="22:22" ht="15.75" customHeight="1" x14ac:dyDescent="0.25">
      <c r="V139" s="42"/>
    </row>
    <row r="140" spans="22:22" ht="15.75" customHeight="1" x14ac:dyDescent="0.25">
      <c r="V140" s="42"/>
    </row>
    <row r="141" spans="22:22" ht="15.75" customHeight="1" x14ac:dyDescent="0.25">
      <c r="V141" s="42"/>
    </row>
    <row r="142" spans="22:22" ht="15.75" customHeight="1" x14ac:dyDescent="0.25">
      <c r="V142" s="42"/>
    </row>
    <row r="143" spans="22:22" ht="15.75" customHeight="1" x14ac:dyDescent="0.25">
      <c r="V143" s="42"/>
    </row>
    <row r="144" spans="22:22" ht="15.75" customHeight="1" x14ac:dyDescent="0.25">
      <c r="V144" s="42"/>
    </row>
    <row r="145" spans="22:22" ht="15.75" customHeight="1" x14ac:dyDescent="0.25">
      <c r="V145" s="42"/>
    </row>
    <row r="146" spans="22:22" ht="15.75" customHeight="1" x14ac:dyDescent="0.25">
      <c r="V146" s="42"/>
    </row>
    <row r="147" spans="22:22" ht="15.75" customHeight="1" x14ac:dyDescent="0.25">
      <c r="V147" s="42"/>
    </row>
    <row r="148" spans="22:22" ht="15.75" customHeight="1" x14ac:dyDescent="0.25">
      <c r="V148" s="42"/>
    </row>
    <row r="149" spans="22:22" ht="15.75" customHeight="1" x14ac:dyDescent="0.25">
      <c r="V149" s="42"/>
    </row>
    <row r="150" spans="22:22" ht="15.75" customHeight="1" x14ac:dyDescent="0.25">
      <c r="V150" s="42"/>
    </row>
    <row r="151" spans="22:22" ht="15.75" customHeight="1" x14ac:dyDescent="0.25">
      <c r="V151" s="42"/>
    </row>
    <row r="152" spans="22:22" ht="15.75" customHeight="1" x14ac:dyDescent="0.25">
      <c r="V152" s="42"/>
    </row>
    <row r="153" spans="22:22" ht="15.75" customHeight="1" x14ac:dyDescent="0.25">
      <c r="V153" s="42"/>
    </row>
    <row r="154" spans="22:22" ht="15.75" customHeight="1" x14ac:dyDescent="0.25">
      <c r="V154" s="42"/>
    </row>
    <row r="155" spans="22:22" ht="15.75" customHeight="1" x14ac:dyDescent="0.25">
      <c r="V155" s="42"/>
    </row>
    <row r="156" spans="22:22" ht="15.75" customHeight="1" x14ac:dyDescent="0.25">
      <c r="V156" s="42"/>
    </row>
    <row r="157" spans="22:22" ht="15.75" customHeight="1" x14ac:dyDescent="0.25">
      <c r="V157" s="42"/>
    </row>
    <row r="158" spans="22:22" ht="15.75" customHeight="1" x14ac:dyDescent="0.25">
      <c r="V158" s="42"/>
    </row>
    <row r="159" spans="22:22" ht="15.75" customHeight="1" x14ac:dyDescent="0.25">
      <c r="V159" s="42"/>
    </row>
    <row r="160" spans="22:22" ht="15.75" customHeight="1" x14ac:dyDescent="0.25">
      <c r="V160" s="42"/>
    </row>
    <row r="161" spans="22:22" ht="15.75" customHeight="1" x14ac:dyDescent="0.25">
      <c r="V161" s="42"/>
    </row>
    <row r="162" spans="22:22" ht="15.75" customHeight="1" x14ac:dyDescent="0.25">
      <c r="V162" s="42"/>
    </row>
    <row r="163" spans="22:22" ht="15.75" customHeight="1" x14ac:dyDescent="0.25">
      <c r="V163" s="42"/>
    </row>
    <row r="164" spans="22:22" ht="15.75" customHeight="1" x14ac:dyDescent="0.25">
      <c r="V164" s="42"/>
    </row>
    <row r="165" spans="22:22" ht="15.75" customHeight="1" x14ac:dyDescent="0.25">
      <c r="V165" s="42"/>
    </row>
    <row r="166" spans="22:22" ht="15.75" customHeight="1" x14ac:dyDescent="0.25">
      <c r="V166" s="42"/>
    </row>
    <row r="167" spans="22:22" ht="15.75" customHeight="1" x14ac:dyDescent="0.25">
      <c r="V167" s="42"/>
    </row>
    <row r="168" spans="22:22" ht="15.75" customHeight="1" x14ac:dyDescent="0.25">
      <c r="V168" s="42"/>
    </row>
    <row r="169" spans="22:22" ht="15.75" customHeight="1" x14ac:dyDescent="0.25">
      <c r="V169" s="42"/>
    </row>
    <row r="170" spans="22:22" ht="15.75" customHeight="1" x14ac:dyDescent="0.25">
      <c r="V170" s="42"/>
    </row>
    <row r="171" spans="22:22" ht="15.75" customHeight="1" x14ac:dyDescent="0.25">
      <c r="V171" s="42"/>
    </row>
    <row r="172" spans="22:22" ht="15.75" customHeight="1" x14ac:dyDescent="0.25">
      <c r="V172" s="42"/>
    </row>
    <row r="173" spans="22:22" ht="15.75" customHeight="1" x14ac:dyDescent="0.25">
      <c r="V173" s="42"/>
    </row>
    <row r="174" spans="22:22" ht="15.75" customHeight="1" x14ac:dyDescent="0.25">
      <c r="V174" s="42"/>
    </row>
    <row r="175" spans="22:22" ht="15.75" customHeight="1" x14ac:dyDescent="0.25">
      <c r="V175" s="42"/>
    </row>
    <row r="176" spans="22:22" ht="15.75" customHeight="1" x14ac:dyDescent="0.25">
      <c r="V176" s="42"/>
    </row>
    <row r="177" spans="22:22" ht="15.75" customHeight="1" x14ac:dyDescent="0.25">
      <c r="V177" s="42"/>
    </row>
    <row r="178" spans="22:22" ht="15.75" customHeight="1" x14ac:dyDescent="0.25">
      <c r="V178" s="42"/>
    </row>
    <row r="179" spans="22:22" ht="15.75" customHeight="1" x14ac:dyDescent="0.25">
      <c r="V179" s="42"/>
    </row>
    <row r="180" spans="22:22" ht="15.75" customHeight="1" x14ac:dyDescent="0.25">
      <c r="V180" s="42"/>
    </row>
    <row r="181" spans="22:22" ht="15.75" customHeight="1" x14ac:dyDescent="0.25">
      <c r="V181" s="42"/>
    </row>
    <row r="182" spans="22:22" ht="15.75" customHeight="1" x14ac:dyDescent="0.25">
      <c r="V182" s="42"/>
    </row>
    <row r="183" spans="22:22" ht="15.75" customHeight="1" x14ac:dyDescent="0.25">
      <c r="V183" s="42"/>
    </row>
    <row r="184" spans="22:22" ht="15.75" customHeight="1" x14ac:dyDescent="0.25">
      <c r="V184" s="42"/>
    </row>
    <row r="185" spans="22:22" ht="15.75" customHeight="1" x14ac:dyDescent="0.25">
      <c r="V185" s="42"/>
    </row>
    <row r="186" spans="22:22" ht="15.75" customHeight="1" x14ac:dyDescent="0.25">
      <c r="V186" s="42"/>
    </row>
    <row r="187" spans="22:22" ht="15.75" customHeight="1" x14ac:dyDescent="0.25">
      <c r="V187" s="42"/>
    </row>
    <row r="188" spans="22:22" ht="15.75" customHeight="1" x14ac:dyDescent="0.25">
      <c r="V188" s="42"/>
    </row>
    <row r="189" spans="22:22" ht="15.75" customHeight="1" x14ac:dyDescent="0.25">
      <c r="V189" s="42"/>
    </row>
    <row r="190" spans="22:22" ht="15.75" customHeight="1" x14ac:dyDescent="0.25">
      <c r="V190" s="42"/>
    </row>
    <row r="191" spans="22:22" ht="15.75" customHeight="1" x14ac:dyDescent="0.25">
      <c r="V191" s="42"/>
    </row>
    <row r="192" spans="22:22" ht="15.75" customHeight="1" x14ac:dyDescent="0.25">
      <c r="V192" s="42"/>
    </row>
    <row r="193" spans="22:22" ht="15.75" customHeight="1" x14ac:dyDescent="0.25">
      <c r="V193" s="42"/>
    </row>
    <row r="194" spans="22:22" ht="15.75" customHeight="1" x14ac:dyDescent="0.25">
      <c r="V194" s="42"/>
    </row>
    <row r="195" spans="22:22" ht="15.75" customHeight="1" x14ac:dyDescent="0.25">
      <c r="V195" s="42"/>
    </row>
    <row r="196" spans="22:22" ht="15.75" customHeight="1" x14ac:dyDescent="0.25">
      <c r="V196" s="42"/>
    </row>
    <row r="197" spans="22:22" ht="15.75" customHeight="1" x14ac:dyDescent="0.25">
      <c r="V197" s="42"/>
    </row>
    <row r="198" spans="22:22" ht="15.75" customHeight="1" x14ac:dyDescent="0.25">
      <c r="V198" s="42"/>
    </row>
    <row r="199" spans="22:22" ht="15.75" customHeight="1" x14ac:dyDescent="0.25">
      <c r="V199" s="42"/>
    </row>
    <row r="200" spans="22:22" ht="15.75" customHeight="1" x14ac:dyDescent="0.25">
      <c r="V200" s="42"/>
    </row>
    <row r="201" spans="22:22" ht="15.75" customHeight="1" x14ac:dyDescent="0.25">
      <c r="V201" s="42"/>
    </row>
    <row r="202" spans="22:22" ht="15.75" customHeight="1" x14ac:dyDescent="0.25">
      <c r="V202" s="42"/>
    </row>
    <row r="203" spans="22:22" ht="15.75" customHeight="1" x14ac:dyDescent="0.25">
      <c r="V203" s="42"/>
    </row>
    <row r="204" spans="22:22" ht="15.75" customHeight="1" x14ac:dyDescent="0.25">
      <c r="V204" s="42"/>
    </row>
    <row r="205" spans="22:22" ht="15.75" customHeight="1" x14ac:dyDescent="0.25">
      <c r="V205" s="42"/>
    </row>
    <row r="206" spans="22:22" ht="15.75" customHeight="1" x14ac:dyDescent="0.25">
      <c r="V206" s="42"/>
    </row>
    <row r="207" spans="22:22" ht="15.75" customHeight="1" x14ac:dyDescent="0.25">
      <c r="V207" s="42"/>
    </row>
    <row r="208" spans="22:22" ht="15.75" customHeight="1" x14ac:dyDescent="0.25">
      <c r="V208" s="42"/>
    </row>
    <row r="209" spans="22:22" ht="15.75" customHeight="1" x14ac:dyDescent="0.25">
      <c r="V209" s="42"/>
    </row>
    <row r="210" spans="22:22" ht="15.75" customHeight="1" x14ac:dyDescent="0.25">
      <c r="V210" s="42"/>
    </row>
    <row r="211" spans="22:22" ht="15.75" customHeight="1" x14ac:dyDescent="0.25">
      <c r="V211" s="42"/>
    </row>
    <row r="212" spans="22:22" ht="15.75" customHeight="1" x14ac:dyDescent="0.25">
      <c r="V212" s="42"/>
    </row>
    <row r="213" spans="22:22" ht="15.75" customHeight="1" x14ac:dyDescent="0.25">
      <c r="V213" s="42"/>
    </row>
    <row r="214" spans="22:22" ht="15.75" customHeight="1" x14ac:dyDescent="0.25">
      <c r="V214" s="42"/>
    </row>
    <row r="215" spans="22:22" ht="15.75" customHeight="1" x14ac:dyDescent="0.25">
      <c r="V215" s="42"/>
    </row>
    <row r="216" spans="22:22" ht="15.75" customHeight="1" x14ac:dyDescent="0.25">
      <c r="V216" s="42"/>
    </row>
    <row r="217" spans="22:22" ht="15.75" customHeight="1" x14ac:dyDescent="0.25">
      <c r="V217" s="42"/>
    </row>
    <row r="218" spans="22:22" ht="15.75" customHeight="1" x14ac:dyDescent="0.25">
      <c r="V218" s="42"/>
    </row>
    <row r="219" spans="22:22" ht="15.75" customHeight="1" x14ac:dyDescent="0.25">
      <c r="V219" s="42"/>
    </row>
    <row r="220" spans="22:22" ht="15.75" customHeight="1" x14ac:dyDescent="0.25">
      <c r="V220" s="42"/>
    </row>
    <row r="221" spans="22:22" ht="15.75" customHeight="1" x14ac:dyDescent="0.25">
      <c r="V221" s="42"/>
    </row>
    <row r="222" spans="22:22" ht="15.75" customHeight="1" x14ac:dyDescent="0.25">
      <c r="V222" s="42"/>
    </row>
    <row r="223" spans="22:22" ht="15.75" customHeight="1" x14ac:dyDescent="0.25">
      <c r="V223" s="42"/>
    </row>
    <row r="224" spans="22:22" ht="15.75" customHeight="1" x14ac:dyDescent="0.25">
      <c r="V224" s="42"/>
    </row>
    <row r="225" spans="22:22" ht="15.75" customHeight="1" x14ac:dyDescent="0.25">
      <c r="V225" s="42"/>
    </row>
    <row r="226" spans="22:22" ht="15.75" customHeight="1" x14ac:dyDescent="0.25">
      <c r="V226" s="42"/>
    </row>
    <row r="227" spans="22:22" ht="15.75" customHeight="1" x14ac:dyDescent="0.25">
      <c r="V227" s="42"/>
    </row>
    <row r="228" spans="22:22" ht="15.75" customHeight="1" x14ac:dyDescent="0.25">
      <c r="V228" s="42"/>
    </row>
    <row r="229" spans="22:22" ht="15.75" customHeight="1" x14ac:dyDescent="0.25">
      <c r="V229" s="42"/>
    </row>
    <row r="230" spans="22:22" ht="15.75" customHeight="1" x14ac:dyDescent="0.25">
      <c r="V230" s="42"/>
    </row>
    <row r="231" spans="22:22" ht="15.75" customHeight="1" x14ac:dyDescent="0.25">
      <c r="V231" s="42"/>
    </row>
    <row r="232" spans="22:22" ht="15.75" customHeight="1" x14ac:dyDescent="0.25">
      <c r="V232" s="42"/>
    </row>
    <row r="233" spans="22:22" ht="15.75" customHeight="1" x14ac:dyDescent="0.25">
      <c r="V233" s="42"/>
    </row>
    <row r="234" spans="22:22" ht="15.75" customHeight="1" x14ac:dyDescent="0.25">
      <c r="V234" s="42"/>
    </row>
    <row r="235" spans="22:22" ht="15.75" customHeight="1" x14ac:dyDescent="0.25">
      <c r="V235" s="42"/>
    </row>
    <row r="236" spans="22:22" ht="15.75" customHeight="1" x14ac:dyDescent="0.25">
      <c r="V236" s="42"/>
    </row>
    <row r="237" spans="22:22" ht="15.75" customHeight="1" x14ac:dyDescent="0.25">
      <c r="V237" s="42"/>
    </row>
    <row r="238" spans="22:22" ht="15.75" customHeight="1" x14ac:dyDescent="0.25">
      <c r="V238" s="42"/>
    </row>
    <row r="239" spans="22:22" ht="15.75" customHeight="1" x14ac:dyDescent="0.25">
      <c r="V239" s="42"/>
    </row>
    <row r="240" spans="22:22" ht="15.75" customHeight="1" x14ac:dyDescent="0.25">
      <c r="V240" s="42"/>
    </row>
    <row r="241" spans="22:22" ht="15.75" customHeight="1" x14ac:dyDescent="0.25">
      <c r="V241" s="42"/>
    </row>
    <row r="242" spans="22:22" ht="15.75" customHeight="1" x14ac:dyDescent="0.25">
      <c r="V242" s="42"/>
    </row>
    <row r="243" spans="22:22" ht="15.75" customHeight="1" x14ac:dyDescent="0.25">
      <c r="V243" s="42"/>
    </row>
    <row r="244" spans="22:22" ht="15.75" customHeight="1" x14ac:dyDescent="0.25">
      <c r="V244" s="42"/>
    </row>
    <row r="245" spans="22:22" ht="15.75" customHeight="1" x14ac:dyDescent="0.25">
      <c r="V245" s="42"/>
    </row>
    <row r="246" spans="22:22" ht="15.75" customHeight="1" x14ac:dyDescent="0.25">
      <c r="V246" s="42"/>
    </row>
    <row r="247" spans="22:22" ht="15.75" customHeight="1" x14ac:dyDescent="0.25">
      <c r="V247" s="42"/>
    </row>
    <row r="248" spans="22:22" ht="15.75" customHeight="1" x14ac:dyDescent="0.25">
      <c r="V248" s="42"/>
    </row>
    <row r="249" spans="22:22" ht="15.75" customHeight="1" x14ac:dyDescent="0.25">
      <c r="V249" s="42"/>
    </row>
    <row r="250" spans="22:22" ht="15.75" customHeight="1" x14ac:dyDescent="0.25">
      <c r="V250" s="42"/>
    </row>
    <row r="251" spans="22:22" ht="15.75" customHeight="1" x14ac:dyDescent="0.25">
      <c r="V251" s="42"/>
    </row>
    <row r="252" spans="22:22" ht="15.75" customHeight="1" x14ac:dyDescent="0.25">
      <c r="V252" s="42"/>
    </row>
    <row r="253" spans="22:22" ht="15.75" customHeight="1" x14ac:dyDescent="0.25">
      <c r="V253" s="42"/>
    </row>
    <row r="254" spans="22:22" ht="15.75" customHeight="1" x14ac:dyDescent="0.25">
      <c r="V254" s="42"/>
    </row>
    <row r="255" spans="22:22" ht="15.75" customHeight="1" x14ac:dyDescent="0.25">
      <c r="V255" s="42"/>
    </row>
    <row r="256" spans="22:22" ht="15.75" customHeight="1" x14ac:dyDescent="0.25">
      <c r="V256" s="42"/>
    </row>
    <row r="257" spans="22:22" ht="15.75" customHeight="1" x14ac:dyDescent="0.25">
      <c r="V257" s="42"/>
    </row>
    <row r="258" spans="22:22" ht="15.75" customHeight="1" x14ac:dyDescent="0.25">
      <c r="V258" s="42"/>
    </row>
    <row r="259" spans="22:22" ht="15.75" customHeight="1" x14ac:dyDescent="0.25">
      <c r="V259" s="42"/>
    </row>
    <row r="260" spans="22:22" ht="15.75" customHeight="1" x14ac:dyDescent="0.25">
      <c r="V260" s="42"/>
    </row>
    <row r="261" spans="22:22" ht="15.75" customHeight="1" x14ac:dyDescent="0.25">
      <c r="V261" s="42"/>
    </row>
    <row r="262" spans="22:22" ht="15.75" customHeight="1" x14ac:dyDescent="0.25">
      <c r="V262" s="42"/>
    </row>
    <row r="263" spans="22:22" ht="15.75" customHeight="1" x14ac:dyDescent="0.25">
      <c r="V263" s="42"/>
    </row>
    <row r="264" spans="22:22" ht="15.75" customHeight="1" x14ac:dyDescent="0.25">
      <c r="V264" s="42"/>
    </row>
    <row r="265" spans="22:22" ht="15.75" customHeight="1" x14ac:dyDescent="0.25">
      <c r="V265" s="42"/>
    </row>
    <row r="266" spans="22:22" ht="15.75" customHeight="1" x14ac:dyDescent="0.25">
      <c r="V266" s="42"/>
    </row>
    <row r="267" spans="22:22" ht="15.75" customHeight="1" x14ac:dyDescent="0.25">
      <c r="V267" s="42"/>
    </row>
    <row r="268" spans="22:22" ht="15.75" customHeight="1" x14ac:dyDescent="0.25">
      <c r="V268" s="42"/>
    </row>
    <row r="269" spans="22:22" ht="15.75" customHeight="1" x14ac:dyDescent="0.25">
      <c r="V269" s="42"/>
    </row>
    <row r="270" spans="22:22" ht="15.75" customHeight="1" x14ac:dyDescent="0.25">
      <c r="V270" s="42"/>
    </row>
    <row r="271" spans="22:22" ht="15.75" customHeight="1" x14ac:dyDescent="0.25">
      <c r="V271" s="42"/>
    </row>
    <row r="272" spans="22:22" ht="15.75" customHeight="1" x14ac:dyDescent="0.25">
      <c r="V272" s="42"/>
    </row>
    <row r="273" spans="22:22" ht="15.75" customHeight="1" x14ac:dyDescent="0.25">
      <c r="V273" s="42"/>
    </row>
    <row r="274" spans="22:22" ht="15.75" customHeight="1" x14ac:dyDescent="0.25">
      <c r="V274" s="42"/>
    </row>
    <row r="275" spans="22:22" ht="15.75" customHeight="1" x14ac:dyDescent="0.25">
      <c r="V275" s="42"/>
    </row>
    <row r="276" spans="22:22" ht="15.75" customHeight="1" x14ac:dyDescent="0.25">
      <c r="V276" s="42"/>
    </row>
    <row r="277" spans="22:22" ht="15.75" customHeight="1" x14ac:dyDescent="0.25">
      <c r="V277" s="42"/>
    </row>
    <row r="278" spans="22:22" ht="15.75" customHeight="1" x14ac:dyDescent="0.25">
      <c r="V278" s="42"/>
    </row>
    <row r="279" spans="22:22" ht="15.75" customHeight="1" x14ac:dyDescent="0.25">
      <c r="V279" s="42"/>
    </row>
    <row r="280" spans="22:22" ht="15.75" customHeight="1" x14ac:dyDescent="0.25">
      <c r="V280" s="42"/>
    </row>
    <row r="281" spans="22:22" ht="15.75" customHeight="1" x14ac:dyDescent="0.25">
      <c r="V281" s="42"/>
    </row>
    <row r="282" spans="22:22" ht="15.75" customHeight="1" x14ac:dyDescent="0.25">
      <c r="V282" s="42"/>
    </row>
    <row r="283" spans="22:22" ht="15.75" customHeight="1" x14ac:dyDescent="0.25">
      <c r="V283" s="42"/>
    </row>
    <row r="284" spans="22:22" ht="15.75" customHeight="1" x14ac:dyDescent="0.25">
      <c r="V284" s="42"/>
    </row>
    <row r="285" spans="22:22" ht="15.75" customHeight="1" x14ac:dyDescent="0.25">
      <c r="V285" s="42"/>
    </row>
    <row r="286" spans="22:22" ht="15.75" customHeight="1" x14ac:dyDescent="0.25">
      <c r="V286" s="42"/>
    </row>
    <row r="287" spans="22:22" ht="15.75" customHeight="1" x14ac:dyDescent="0.25">
      <c r="V287" s="42"/>
    </row>
    <row r="288" spans="22:22" ht="15.75" customHeight="1" x14ac:dyDescent="0.25">
      <c r="V288" s="42"/>
    </row>
    <row r="289" spans="22:22" ht="15.75" customHeight="1" x14ac:dyDescent="0.25">
      <c r="V289" s="42"/>
    </row>
    <row r="290" spans="22:22" ht="15.75" customHeight="1" x14ac:dyDescent="0.25">
      <c r="V290" s="42"/>
    </row>
    <row r="291" spans="22:22" ht="15.75" customHeight="1" x14ac:dyDescent="0.25">
      <c r="V291" s="42"/>
    </row>
    <row r="292" spans="22:22" ht="15.75" customHeight="1" x14ac:dyDescent="0.25">
      <c r="V292" s="42"/>
    </row>
    <row r="293" spans="22:22" ht="15.75" customHeight="1" x14ac:dyDescent="0.25">
      <c r="V293" s="42"/>
    </row>
    <row r="294" spans="22:22" ht="15.75" customHeight="1" x14ac:dyDescent="0.25">
      <c r="V294" s="42"/>
    </row>
    <row r="295" spans="22:22" ht="15.75" customHeight="1" x14ac:dyDescent="0.25">
      <c r="V295" s="42"/>
    </row>
    <row r="296" spans="22:22" ht="15.75" customHeight="1" x14ac:dyDescent="0.25">
      <c r="V296" s="42"/>
    </row>
    <row r="297" spans="22:22" ht="15.75" customHeight="1" x14ac:dyDescent="0.25">
      <c r="V297" s="42"/>
    </row>
    <row r="298" spans="22:22" ht="15.75" customHeight="1" x14ac:dyDescent="0.25">
      <c r="V298" s="42"/>
    </row>
    <row r="299" spans="22:22" ht="15.75" customHeight="1" x14ac:dyDescent="0.25">
      <c r="V299" s="42"/>
    </row>
    <row r="300" spans="22:22" ht="15.75" customHeight="1" x14ac:dyDescent="0.25">
      <c r="V300" s="42"/>
    </row>
    <row r="301" spans="22:22" ht="15.75" customHeight="1" x14ac:dyDescent="0.25">
      <c r="V301" s="42"/>
    </row>
    <row r="302" spans="22:22" ht="15.75" customHeight="1" x14ac:dyDescent="0.25">
      <c r="V302" s="42"/>
    </row>
    <row r="303" spans="22:22" ht="15.75" customHeight="1" x14ac:dyDescent="0.25">
      <c r="V303" s="42"/>
    </row>
    <row r="304" spans="22:22" ht="15.75" customHeight="1" x14ac:dyDescent="0.25">
      <c r="V304" s="42"/>
    </row>
    <row r="305" spans="22:22" ht="15.75" customHeight="1" x14ac:dyDescent="0.25">
      <c r="V305" s="42"/>
    </row>
    <row r="306" spans="22:22" ht="15.75" customHeight="1" x14ac:dyDescent="0.25">
      <c r="V306" s="42"/>
    </row>
    <row r="307" spans="22:22" ht="15.75" customHeight="1" x14ac:dyDescent="0.25">
      <c r="V307" s="42"/>
    </row>
    <row r="308" spans="22:22" ht="15.75" customHeight="1" x14ac:dyDescent="0.25">
      <c r="V308" s="42"/>
    </row>
    <row r="309" spans="22:22" ht="15.75" customHeight="1" x14ac:dyDescent="0.25">
      <c r="V309" s="42"/>
    </row>
    <row r="310" spans="22:22" ht="15.75" customHeight="1" x14ac:dyDescent="0.25">
      <c r="V310" s="42"/>
    </row>
    <row r="311" spans="22:22" ht="15.75" customHeight="1" x14ac:dyDescent="0.25">
      <c r="V311" s="42"/>
    </row>
    <row r="312" spans="22:22" ht="15.75" customHeight="1" x14ac:dyDescent="0.25">
      <c r="V312" s="42"/>
    </row>
    <row r="313" spans="22:22" ht="15.75" customHeight="1" x14ac:dyDescent="0.25">
      <c r="V313" s="42"/>
    </row>
    <row r="314" spans="22:22" ht="15.75" customHeight="1" x14ac:dyDescent="0.25">
      <c r="V314" s="42"/>
    </row>
    <row r="315" spans="22:22" ht="15.75" customHeight="1" x14ac:dyDescent="0.25">
      <c r="V315" s="42"/>
    </row>
    <row r="316" spans="22:22" ht="15.75" customHeight="1" x14ac:dyDescent="0.25">
      <c r="V316" s="42"/>
    </row>
    <row r="317" spans="22:22" ht="15.75" customHeight="1" x14ac:dyDescent="0.25">
      <c r="V317" s="42"/>
    </row>
    <row r="318" spans="22:22" ht="15.75" customHeight="1" x14ac:dyDescent="0.25">
      <c r="V318" s="42"/>
    </row>
    <row r="319" spans="22:22" ht="15.75" customHeight="1" x14ac:dyDescent="0.25">
      <c r="V319" s="42"/>
    </row>
    <row r="320" spans="22:22" ht="15.75" customHeight="1" x14ac:dyDescent="0.25">
      <c r="V320" s="42"/>
    </row>
    <row r="321" spans="22:22" ht="15.75" customHeight="1" x14ac:dyDescent="0.25">
      <c r="V321" s="42"/>
    </row>
    <row r="322" spans="22:22" ht="15.75" customHeight="1" x14ac:dyDescent="0.25">
      <c r="V322" s="42"/>
    </row>
    <row r="323" spans="22:22" ht="15.75" customHeight="1" x14ac:dyDescent="0.25">
      <c r="V323" s="42"/>
    </row>
    <row r="324" spans="22:22" ht="15.75" customHeight="1" x14ac:dyDescent="0.25">
      <c r="V324" s="42"/>
    </row>
    <row r="325" spans="22:22" ht="15.75" customHeight="1" x14ac:dyDescent="0.25">
      <c r="V325" s="42"/>
    </row>
    <row r="326" spans="22:22" ht="15.75" customHeight="1" x14ac:dyDescent="0.25">
      <c r="V326" s="42"/>
    </row>
    <row r="327" spans="22:22" ht="15.75" customHeight="1" x14ac:dyDescent="0.25">
      <c r="V327" s="42"/>
    </row>
    <row r="328" spans="22:22" ht="15.75" customHeight="1" x14ac:dyDescent="0.25">
      <c r="V328" s="42"/>
    </row>
    <row r="329" spans="22:22" ht="15.75" customHeight="1" x14ac:dyDescent="0.25">
      <c r="V329" s="42"/>
    </row>
    <row r="330" spans="22:22" ht="15.75" customHeight="1" x14ac:dyDescent="0.25">
      <c r="V330" s="42"/>
    </row>
    <row r="331" spans="22:22" ht="15.75" customHeight="1" x14ac:dyDescent="0.25">
      <c r="V331" s="42"/>
    </row>
    <row r="332" spans="22:22" ht="15.75" customHeight="1" x14ac:dyDescent="0.25">
      <c r="V332" s="42"/>
    </row>
    <row r="333" spans="22:22" ht="15.75" customHeight="1" x14ac:dyDescent="0.25">
      <c r="V333" s="42"/>
    </row>
    <row r="334" spans="22:22" ht="15.75" customHeight="1" x14ac:dyDescent="0.25">
      <c r="V334" s="42"/>
    </row>
    <row r="335" spans="22:22" ht="15.75" customHeight="1" x14ac:dyDescent="0.25">
      <c r="V335" s="42"/>
    </row>
    <row r="336" spans="22:22" ht="15.75" customHeight="1" x14ac:dyDescent="0.25">
      <c r="V336" s="42"/>
    </row>
    <row r="337" spans="22:22" ht="15.75" customHeight="1" x14ac:dyDescent="0.25">
      <c r="V337" s="42"/>
    </row>
    <row r="338" spans="22:22" ht="15.75" customHeight="1" x14ac:dyDescent="0.25">
      <c r="V338" s="42"/>
    </row>
    <row r="339" spans="22:22" ht="15.75" customHeight="1" x14ac:dyDescent="0.25">
      <c r="V339" s="42"/>
    </row>
    <row r="340" spans="22:22" ht="15.75" customHeight="1" x14ac:dyDescent="0.25">
      <c r="V340" s="42"/>
    </row>
    <row r="341" spans="22:22" ht="15.75" customHeight="1" x14ac:dyDescent="0.25">
      <c r="V341" s="42"/>
    </row>
    <row r="342" spans="22:22" ht="15.75" customHeight="1" x14ac:dyDescent="0.25">
      <c r="V342" s="42"/>
    </row>
    <row r="343" spans="22:22" ht="15.75" customHeight="1" x14ac:dyDescent="0.25">
      <c r="V343" s="42"/>
    </row>
    <row r="344" spans="22:22" ht="15.75" customHeight="1" x14ac:dyDescent="0.25">
      <c r="V344" s="42"/>
    </row>
    <row r="345" spans="22:22" ht="15.75" customHeight="1" x14ac:dyDescent="0.25">
      <c r="V345" s="42"/>
    </row>
    <row r="346" spans="22:22" ht="15.75" customHeight="1" x14ac:dyDescent="0.25">
      <c r="V346" s="42"/>
    </row>
    <row r="347" spans="22:22" ht="15.75" customHeight="1" x14ac:dyDescent="0.25">
      <c r="V347" s="42"/>
    </row>
    <row r="348" spans="22:22" ht="15.75" customHeight="1" x14ac:dyDescent="0.25">
      <c r="V348" s="42"/>
    </row>
    <row r="349" spans="22:22" ht="15.75" customHeight="1" x14ac:dyDescent="0.25">
      <c r="V349" s="42"/>
    </row>
    <row r="350" spans="22:22" ht="15.75" customHeight="1" x14ac:dyDescent="0.25">
      <c r="V350" s="42"/>
    </row>
    <row r="351" spans="22:22" ht="15.75" customHeight="1" x14ac:dyDescent="0.25">
      <c r="V351" s="42"/>
    </row>
    <row r="352" spans="22:22" ht="15.75" customHeight="1" x14ac:dyDescent="0.25">
      <c r="V352" s="42"/>
    </row>
    <row r="353" spans="22:22" ht="15.75" customHeight="1" x14ac:dyDescent="0.25">
      <c r="V353" s="42"/>
    </row>
    <row r="354" spans="22:22" ht="15.75" customHeight="1" x14ac:dyDescent="0.25">
      <c r="V354" s="42"/>
    </row>
    <row r="355" spans="22:22" ht="15.75" customHeight="1" x14ac:dyDescent="0.25">
      <c r="V355" s="42"/>
    </row>
    <row r="356" spans="22:22" ht="15.75" customHeight="1" x14ac:dyDescent="0.25">
      <c r="V356" s="42"/>
    </row>
    <row r="357" spans="22:22" ht="15.75" customHeight="1" x14ac:dyDescent="0.25">
      <c r="V357" s="42"/>
    </row>
    <row r="358" spans="22:22" ht="15.75" customHeight="1" x14ac:dyDescent="0.25">
      <c r="V358" s="42"/>
    </row>
    <row r="359" spans="22:22" ht="15.75" customHeight="1" x14ac:dyDescent="0.25">
      <c r="V359" s="42"/>
    </row>
    <row r="360" spans="22:22" ht="15.75" customHeight="1" x14ac:dyDescent="0.25">
      <c r="V360" s="42"/>
    </row>
    <row r="361" spans="22:22" ht="15.75" customHeight="1" x14ac:dyDescent="0.25">
      <c r="V361" s="42"/>
    </row>
    <row r="362" spans="22:22" ht="15.75" customHeight="1" x14ac:dyDescent="0.25">
      <c r="V362" s="42"/>
    </row>
    <row r="363" spans="22:22" ht="15.75" customHeight="1" x14ac:dyDescent="0.25">
      <c r="V363" s="42"/>
    </row>
    <row r="364" spans="22:22" ht="15.75" customHeight="1" x14ac:dyDescent="0.25">
      <c r="V364" s="42"/>
    </row>
    <row r="365" spans="22:22" ht="15.75" customHeight="1" x14ac:dyDescent="0.25">
      <c r="V365" s="42"/>
    </row>
    <row r="366" spans="22:22" ht="15.75" customHeight="1" x14ac:dyDescent="0.25">
      <c r="V366" s="42"/>
    </row>
    <row r="367" spans="22:22" ht="15.75" customHeight="1" x14ac:dyDescent="0.25">
      <c r="V367" s="42"/>
    </row>
    <row r="368" spans="22:22" ht="15.75" customHeight="1" x14ac:dyDescent="0.25">
      <c r="V368" s="42"/>
    </row>
    <row r="369" spans="22:22" ht="15.75" customHeight="1" x14ac:dyDescent="0.25">
      <c r="V369" s="42"/>
    </row>
    <row r="370" spans="22:22" ht="15.75" customHeight="1" x14ac:dyDescent="0.25">
      <c r="V370" s="42"/>
    </row>
    <row r="371" spans="22:22" ht="15.75" customHeight="1" x14ac:dyDescent="0.25">
      <c r="V371" s="42"/>
    </row>
    <row r="372" spans="22:22" ht="15.75" customHeight="1" x14ac:dyDescent="0.25">
      <c r="V372" s="42"/>
    </row>
    <row r="373" spans="22:22" ht="15.75" customHeight="1" x14ac:dyDescent="0.25">
      <c r="V373" s="42"/>
    </row>
    <row r="374" spans="22:22" ht="15.75" customHeight="1" x14ac:dyDescent="0.25">
      <c r="V374" s="42"/>
    </row>
    <row r="375" spans="22:22" ht="15.75" customHeight="1" x14ac:dyDescent="0.25">
      <c r="V375" s="42"/>
    </row>
    <row r="376" spans="22:22" ht="15.75" customHeight="1" x14ac:dyDescent="0.25">
      <c r="V376" s="42"/>
    </row>
    <row r="377" spans="22:22" ht="15.75" customHeight="1" x14ac:dyDescent="0.25">
      <c r="V377" s="42"/>
    </row>
    <row r="378" spans="22:22" ht="15.75" customHeight="1" x14ac:dyDescent="0.25">
      <c r="V378" s="42"/>
    </row>
    <row r="379" spans="22:22" ht="15.75" customHeight="1" x14ac:dyDescent="0.25">
      <c r="V379" s="42"/>
    </row>
    <row r="380" spans="22:22" ht="15.75" customHeight="1" x14ac:dyDescent="0.25">
      <c r="V380" s="42"/>
    </row>
    <row r="381" spans="22:22" ht="15.75" customHeight="1" x14ac:dyDescent="0.25">
      <c r="V381" s="42"/>
    </row>
    <row r="382" spans="22:22" ht="15.75" customHeight="1" x14ac:dyDescent="0.25">
      <c r="V382" s="42"/>
    </row>
    <row r="383" spans="22:22" ht="15.75" customHeight="1" x14ac:dyDescent="0.25">
      <c r="V383" s="42"/>
    </row>
    <row r="384" spans="22:22" ht="15.75" customHeight="1" x14ac:dyDescent="0.25">
      <c r="V384" s="42"/>
    </row>
    <row r="385" spans="22:22" ht="15.75" customHeight="1" x14ac:dyDescent="0.25">
      <c r="V385" s="42"/>
    </row>
    <row r="386" spans="22:22" ht="15.75" customHeight="1" x14ac:dyDescent="0.25">
      <c r="V386" s="42"/>
    </row>
    <row r="387" spans="22:22" ht="15.75" customHeight="1" x14ac:dyDescent="0.25">
      <c r="V387" s="42"/>
    </row>
    <row r="388" spans="22:22" ht="15.75" customHeight="1" x14ac:dyDescent="0.25">
      <c r="V388" s="42"/>
    </row>
    <row r="389" spans="22:22" ht="15.75" customHeight="1" x14ac:dyDescent="0.25">
      <c r="V389" s="42"/>
    </row>
    <row r="390" spans="22:22" ht="15.75" customHeight="1" x14ac:dyDescent="0.25">
      <c r="V390" s="42"/>
    </row>
    <row r="391" spans="22:22" ht="15.75" customHeight="1" x14ac:dyDescent="0.25">
      <c r="V391" s="42"/>
    </row>
    <row r="392" spans="22:22" ht="15.75" customHeight="1" x14ac:dyDescent="0.25">
      <c r="V392" s="42"/>
    </row>
    <row r="393" spans="22:22" ht="15.75" customHeight="1" x14ac:dyDescent="0.25">
      <c r="V393" s="42"/>
    </row>
    <row r="394" spans="22:22" ht="15.75" customHeight="1" x14ac:dyDescent="0.25">
      <c r="V394" s="42"/>
    </row>
    <row r="395" spans="22:22" ht="15.75" customHeight="1" x14ac:dyDescent="0.25">
      <c r="V395" s="42"/>
    </row>
    <row r="396" spans="22:22" ht="15.75" customHeight="1" x14ac:dyDescent="0.25">
      <c r="V396" s="42"/>
    </row>
    <row r="397" spans="22:22" ht="15.75" customHeight="1" x14ac:dyDescent="0.25">
      <c r="V397" s="42"/>
    </row>
    <row r="398" spans="22:22" ht="15.75" customHeight="1" x14ac:dyDescent="0.25">
      <c r="V398" s="42"/>
    </row>
    <row r="399" spans="22:22" ht="15.75" customHeight="1" x14ac:dyDescent="0.25">
      <c r="V399" s="42"/>
    </row>
    <row r="400" spans="22:22" ht="15.75" customHeight="1" x14ac:dyDescent="0.25">
      <c r="V400" s="42"/>
    </row>
    <row r="401" spans="22:22" ht="15.75" customHeight="1" x14ac:dyDescent="0.25">
      <c r="V401" s="42"/>
    </row>
    <row r="402" spans="22:22" ht="15.75" customHeight="1" x14ac:dyDescent="0.25">
      <c r="V402" s="42"/>
    </row>
    <row r="403" spans="22:22" ht="15.75" customHeight="1" x14ac:dyDescent="0.25">
      <c r="V403" s="42"/>
    </row>
    <row r="404" spans="22:22" ht="15.75" customHeight="1" x14ac:dyDescent="0.25">
      <c r="V404" s="42"/>
    </row>
    <row r="405" spans="22:22" ht="15.75" customHeight="1" x14ac:dyDescent="0.25">
      <c r="V405" s="42"/>
    </row>
    <row r="406" spans="22:22" ht="15.75" customHeight="1" x14ac:dyDescent="0.25">
      <c r="V406" s="42"/>
    </row>
    <row r="407" spans="22:22" ht="15.75" customHeight="1" x14ac:dyDescent="0.25">
      <c r="V407" s="42"/>
    </row>
    <row r="408" spans="22:22" ht="15.75" customHeight="1" x14ac:dyDescent="0.25">
      <c r="V408" s="42"/>
    </row>
    <row r="409" spans="22:22" ht="15.75" customHeight="1" x14ac:dyDescent="0.25">
      <c r="V409" s="42"/>
    </row>
    <row r="410" spans="22:22" ht="15.75" customHeight="1" x14ac:dyDescent="0.25">
      <c r="V410" s="42"/>
    </row>
    <row r="411" spans="22:22" ht="15.75" customHeight="1" x14ac:dyDescent="0.25">
      <c r="V411" s="42"/>
    </row>
    <row r="412" spans="22:22" ht="15.75" customHeight="1" x14ac:dyDescent="0.25">
      <c r="V412" s="42"/>
    </row>
    <row r="413" spans="22:22" ht="15.75" customHeight="1" x14ac:dyDescent="0.25">
      <c r="V413" s="42"/>
    </row>
    <row r="414" spans="22:22" ht="15.75" customHeight="1" x14ac:dyDescent="0.25">
      <c r="V414" s="42"/>
    </row>
    <row r="415" spans="22:22" ht="15.75" customHeight="1" x14ac:dyDescent="0.25">
      <c r="V415" s="42"/>
    </row>
    <row r="416" spans="22:22" ht="15.75" customHeight="1" x14ac:dyDescent="0.25">
      <c r="V416" s="42"/>
    </row>
    <row r="417" spans="22:22" ht="15.75" customHeight="1" x14ac:dyDescent="0.25">
      <c r="V417" s="42"/>
    </row>
    <row r="418" spans="22:22" ht="15.75" customHeight="1" x14ac:dyDescent="0.25">
      <c r="V418" s="42"/>
    </row>
    <row r="419" spans="22:22" ht="15.75" customHeight="1" x14ac:dyDescent="0.25">
      <c r="V419" s="42"/>
    </row>
    <row r="420" spans="22:22" ht="15.75" customHeight="1" x14ac:dyDescent="0.25">
      <c r="V420" s="42"/>
    </row>
    <row r="421" spans="22:22" ht="15.75" customHeight="1" x14ac:dyDescent="0.25">
      <c r="V421" s="42"/>
    </row>
    <row r="422" spans="22:22" ht="15.75" customHeight="1" x14ac:dyDescent="0.25">
      <c r="V422" s="42"/>
    </row>
    <row r="423" spans="22:22" ht="15.75" customHeight="1" x14ac:dyDescent="0.25">
      <c r="V423" s="42"/>
    </row>
    <row r="424" spans="22:22" ht="15.75" customHeight="1" x14ac:dyDescent="0.25">
      <c r="V424" s="42"/>
    </row>
    <row r="425" spans="22:22" ht="15.75" customHeight="1" x14ac:dyDescent="0.25">
      <c r="V425" s="42"/>
    </row>
    <row r="426" spans="22:22" ht="15.75" customHeight="1" x14ac:dyDescent="0.25">
      <c r="V426" s="42"/>
    </row>
    <row r="427" spans="22:22" ht="15.75" customHeight="1" x14ac:dyDescent="0.25">
      <c r="V427" s="42"/>
    </row>
    <row r="428" spans="22:22" ht="15.75" customHeight="1" x14ac:dyDescent="0.25">
      <c r="V428" s="42"/>
    </row>
    <row r="429" spans="22:22" ht="15.75" customHeight="1" x14ac:dyDescent="0.25">
      <c r="V429" s="42"/>
    </row>
    <row r="430" spans="22:22" ht="15.75" customHeight="1" x14ac:dyDescent="0.25">
      <c r="V430" s="42"/>
    </row>
    <row r="431" spans="22:22" ht="15.75" customHeight="1" x14ac:dyDescent="0.25">
      <c r="V431" s="42"/>
    </row>
    <row r="432" spans="22:22" ht="15.75" customHeight="1" x14ac:dyDescent="0.25">
      <c r="V432" s="42"/>
    </row>
    <row r="433" spans="22:22" ht="15.75" customHeight="1" x14ac:dyDescent="0.25">
      <c r="V433" s="42"/>
    </row>
    <row r="434" spans="22:22" ht="15.75" customHeight="1" x14ac:dyDescent="0.25">
      <c r="V434" s="42"/>
    </row>
    <row r="435" spans="22:22" ht="15.75" customHeight="1" x14ac:dyDescent="0.25">
      <c r="V435" s="42"/>
    </row>
    <row r="436" spans="22:22" ht="15.75" customHeight="1" x14ac:dyDescent="0.25">
      <c r="V436" s="42"/>
    </row>
    <row r="437" spans="22:22" ht="15.75" customHeight="1" x14ac:dyDescent="0.25">
      <c r="V437" s="42"/>
    </row>
    <row r="438" spans="22:22" ht="15.75" customHeight="1" x14ac:dyDescent="0.25">
      <c r="V438" s="42"/>
    </row>
    <row r="439" spans="22:22" ht="15.75" customHeight="1" x14ac:dyDescent="0.25">
      <c r="V439" s="42"/>
    </row>
    <row r="440" spans="22:22" ht="15.75" customHeight="1" x14ac:dyDescent="0.25">
      <c r="V440" s="42"/>
    </row>
    <row r="441" spans="22:22" ht="15.75" customHeight="1" x14ac:dyDescent="0.25">
      <c r="V441" s="42"/>
    </row>
    <row r="442" spans="22:22" ht="15.75" customHeight="1" x14ac:dyDescent="0.25">
      <c r="V442" s="42"/>
    </row>
    <row r="443" spans="22:22" ht="15.75" customHeight="1" x14ac:dyDescent="0.25">
      <c r="V443" s="42"/>
    </row>
    <row r="444" spans="22:22" ht="15.75" customHeight="1" x14ac:dyDescent="0.25">
      <c r="V444" s="42"/>
    </row>
    <row r="445" spans="22:22" ht="15.75" customHeight="1" x14ac:dyDescent="0.25">
      <c r="V445" s="42"/>
    </row>
    <row r="446" spans="22:22" ht="15.75" customHeight="1" x14ac:dyDescent="0.25">
      <c r="V446" s="42"/>
    </row>
    <row r="447" spans="22:22" ht="15.75" customHeight="1" x14ac:dyDescent="0.25">
      <c r="V447" s="42"/>
    </row>
    <row r="448" spans="22:22" ht="15.75" customHeight="1" x14ac:dyDescent="0.25">
      <c r="V448" s="42"/>
    </row>
    <row r="449" spans="22:22" ht="15.75" customHeight="1" x14ac:dyDescent="0.25">
      <c r="V449" s="42"/>
    </row>
    <row r="450" spans="22:22" ht="15.75" customHeight="1" x14ac:dyDescent="0.25">
      <c r="V450" s="42"/>
    </row>
    <row r="451" spans="22:22" ht="15.75" customHeight="1" x14ac:dyDescent="0.25">
      <c r="V451" s="42"/>
    </row>
    <row r="452" spans="22:22" ht="15.75" customHeight="1" x14ac:dyDescent="0.25">
      <c r="V452" s="42"/>
    </row>
    <row r="453" spans="22:22" ht="15.75" customHeight="1" x14ac:dyDescent="0.25">
      <c r="V453" s="42"/>
    </row>
    <row r="454" spans="22:22" ht="15.75" customHeight="1" x14ac:dyDescent="0.25">
      <c r="V454" s="42"/>
    </row>
    <row r="455" spans="22:22" ht="15.75" customHeight="1" x14ac:dyDescent="0.25">
      <c r="V455" s="42"/>
    </row>
    <row r="456" spans="22:22" ht="15.75" customHeight="1" x14ac:dyDescent="0.25">
      <c r="V456" s="42"/>
    </row>
    <row r="457" spans="22:22" ht="15.75" customHeight="1" x14ac:dyDescent="0.25">
      <c r="V457" s="42"/>
    </row>
    <row r="458" spans="22:22" ht="15.75" customHeight="1" x14ac:dyDescent="0.25">
      <c r="V458" s="42"/>
    </row>
    <row r="459" spans="22:22" ht="15.75" customHeight="1" x14ac:dyDescent="0.25">
      <c r="V459" s="42"/>
    </row>
    <row r="460" spans="22:22" ht="15.75" customHeight="1" x14ac:dyDescent="0.25">
      <c r="V460" s="42"/>
    </row>
    <row r="461" spans="22:22" ht="15.75" customHeight="1" x14ac:dyDescent="0.25">
      <c r="V461" s="42"/>
    </row>
    <row r="462" spans="22:22" ht="15.75" customHeight="1" x14ac:dyDescent="0.25">
      <c r="V462" s="42"/>
    </row>
    <row r="463" spans="22:22" ht="15.75" customHeight="1" x14ac:dyDescent="0.25">
      <c r="V463" s="42"/>
    </row>
    <row r="464" spans="22:22" ht="15.75" customHeight="1" x14ac:dyDescent="0.25">
      <c r="V464" s="42"/>
    </row>
    <row r="465" spans="22:22" ht="15.75" customHeight="1" x14ac:dyDescent="0.25">
      <c r="V465" s="42"/>
    </row>
    <row r="466" spans="22:22" ht="15.75" customHeight="1" x14ac:dyDescent="0.25">
      <c r="V466" s="42"/>
    </row>
    <row r="467" spans="22:22" ht="15.75" customHeight="1" x14ac:dyDescent="0.25">
      <c r="V467" s="42"/>
    </row>
    <row r="468" spans="22:22" ht="15.75" customHeight="1" x14ac:dyDescent="0.25">
      <c r="V468" s="42"/>
    </row>
    <row r="469" spans="22:22" ht="15.75" customHeight="1" x14ac:dyDescent="0.25">
      <c r="V469" s="42"/>
    </row>
    <row r="470" spans="22:22" ht="15.75" customHeight="1" x14ac:dyDescent="0.25">
      <c r="V470" s="42"/>
    </row>
    <row r="471" spans="22:22" ht="15.75" customHeight="1" x14ac:dyDescent="0.25">
      <c r="V471" s="42"/>
    </row>
    <row r="472" spans="22:22" ht="15.75" customHeight="1" x14ac:dyDescent="0.25">
      <c r="V472" s="42"/>
    </row>
    <row r="473" spans="22:22" ht="15.75" customHeight="1" x14ac:dyDescent="0.25">
      <c r="V473" s="42"/>
    </row>
    <row r="474" spans="22:22" ht="15.75" customHeight="1" x14ac:dyDescent="0.25">
      <c r="V474" s="42"/>
    </row>
    <row r="475" spans="22:22" ht="15.75" customHeight="1" x14ac:dyDescent="0.25">
      <c r="V475" s="42"/>
    </row>
    <row r="476" spans="22:22" ht="15.75" customHeight="1" x14ac:dyDescent="0.25">
      <c r="V476" s="42"/>
    </row>
    <row r="477" spans="22:22" ht="15.75" customHeight="1" x14ac:dyDescent="0.25">
      <c r="V477" s="42"/>
    </row>
    <row r="478" spans="22:22" ht="15.75" customHeight="1" x14ac:dyDescent="0.25">
      <c r="V478" s="42"/>
    </row>
    <row r="479" spans="22:22" ht="15.75" customHeight="1" x14ac:dyDescent="0.25">
      <c r="V479" s="42"/>
    </row>
    <row r="480" spans="22:22" ht="15.75" customHeight="1" x14ac:dyDescent="0.25">
      <c r="V480" s="42"/>
    </row>
    <row r="481" spans="22:22" ht="15.75" customHeight="1" x14ac:dyDescent="0.25">
      <c r="V481" s="42"/>
    </row>
    <row r="482" spans="22:22" ht="15.75" customHeight="1" x14ac:dyDescent="0.25">
      <c r="V482" s="42"/>
    </row>
    <row r="483" spans="22:22" ht="15.75" customHeight="1" x14ac:dyDescent="0.25">
      <c r="V483" s="42"/>
    </row>
    <row r="484" spans="22:22" ht="15.75" customHeight="1" x14ac:dyDescent="0.25">
      <c r="V484" s="42"/>
    </row>
    <row r="485" spans="22:22" ht="15.75" customHeight="1" x14ac:dyDescent="0.25">
      <c r="V485" s="42"/>
    </row>
    <row r="486" spans="22:22" ht="15.75" customHeight="1" x14ac:dyDescent="0.25">
      <c r="V486" s="42"/>
    </row>
    <row r="487" spans="22:22" ht="15.75" customHeight="1" x14ac:dyDescent="0.25">
      <c r="V487" s="42"/>
    </row>
    <row r="488" spans="22:22" ht="15.75" customHeight="1" x14ac:dyDescent="0.25">
      <c r="V488" s="42"/>
    </row>
    <row r="489" spans="22:22" ht="15.75" customHeight="1" x14ac:dyDescent="0.25">
      <c r="V489" s="42"/>
    </row>
    <row r="490" spans="22:22" ht="15.75" customHeight="1" x14ac:dyDescent="0.25">
      <c r="V490" s="42"/>
    </row>
    <row r="491" spans="22:22" ht="15.75" customHeight="1" x14ac:dyDescent="0.25">
      <c r="V491" s="42"/>
    </row>
    <row r="492" spans="22:22" ht="15.75" customHeight="1" x14ac:dyDescent="0.25">
      <c r="V492" s="42"/>
    </row>
    <row r="493" spans="22:22" ht="15.75" customHeight="1" x14ac:dyDescent="0.25">
      <c r="V493" s="42"/>
    </row>
    <row r="494" spans="22:22" ht="15.75" customHeight="1" x14ac:dyDescent="0.25">
      <c r="V494" s="42"/>
    </row>
    <row r="495" spans="22:22" ht="15.75" customHeight="1" x14ac:dyDescent="0.25">
      <c r="V495" s="42"/>
    </row>
    <row r="496" spans="22:22" ht="15.75" customHeight="1" x14ac:dyDescent="0.25">
      <c r="V496" s="42"/>
    </row>
    <row r="497" spans="22:22" ht="15.75" customHeight="1" x14ac:dyDescent="0.25">
      <c r="V497" s="42"/>
    </row>
    <row r="498" spans="22:22" ht="15.75" customHeight="1" x14ac:dyDescent="0.25">
      <c r="V498" s="42"/>
    </row>
    <row r="499" spans="22:22" ht="15.75" customHeight="1" x14ac:dyDescent="0.25">
      <c r="V499" s="42"/>
    </row>
    <row r="500" spans="22:22" ht="15.75" customHeight="1" x14ac:dyDescent="0.25">
      <c r="V500" s="42"/>
    </row>
    <row r="501" spans="22:22" ht="15.75" customHeight="1" x14ac:dyDescent="0.25">
      <c r="V501" s="42"/>
    </row>
    <row r="502" spans="22:22" ht="15.75" customHeight="1" x14ac:dyDescent="0.25">
      <c r="V502" s="42"/>
    </row>
    <row r="503" spans="22:22" ht="15.75" customHeight="1" x14ac:dyDescent="0.25">
      <c r="V503" s="42"/>
    </row>
    <row r="504" spans="22:22" ht="15.75" customHeight="1" x14ac:dyDescent="0.25">
      <c r="V504" s="42"/>
    </row>
    <row r="505" spans="22:22" ht="15.75" customHeight="1" x14ac:dyDescent="0.25">
      <c r="V505" s="42"/>
    </row>
    <row r="506" spans="22:22" ht="15.75" customHeight="1" x14ac:dyDescent="0.25">
      <c r="V506" s="42"/>
    </row>
    <row r="507" spans="22:22" ht="15.75" customHeight="1" x14ac:dyDescent="0.25">
      <c r="V507" s="42"/>
    </row>
    <row r="508" spans="22:22" ht="15.75" customHeight="1" x14ac:dyDescent="0.25">
      <c r="V508" s="42"/>
    </row>
    <row r="509" spans="22:22" ht="15.75" customHeight="1" x14ac:dyDescent="0.25">
      <c r="V509" s="42"/>
    </row>
    <row r="510" spans="22:22" ht="15.75" customHeight="1" x14ac:dyDescent="0.25">
      <c r="V510" s="42"/>
    </row>
    <row r="511" spans="22:22" ht="15.75" customHeight="1" x14ac:dyDescent="0.25">
      <c r="V511" s="42"/>
    </row>
    <row r="512" spans="22:22" ht="15.75" customHeight="1" x14ac:dyDescent="0.25">
      <c r="V512" s="42"/>
    </row>
    <row r="513" spans="22:22" ht="15.75" customHeight="1" x14ac:dyDescent="0.25">
      <c r="V513" s="42"/>
    </row>
    <row r="514" spans="22:22" ht="15.75" customHeight="1" x14ac:dyDescent="0.25">
      <c r="V514" s="42"/>
    </row>
    <row r="515" spans="22:22" ht="15.75" customHeight="1" x14ac:dyDescent="0.25">
      <c r="V515" s="42"/>
    </row>
    <row r="516" spans="22:22" ht="15.75" customHeight="1" x14ac:dyDescent="0.25">
      <c r="V516" s="42"/>
    </row>
    <row r="517" spans="22:22" ht="15.75" customHeight="1" x14ac:dyDescent="0.25">
      <c r="V517" s="42"/>
    </row>
    <row r="518" spans="22:22" ht="15.75" customHeight="1" x14ac:dyDescent="0.25">
      <c r="V518" s="42"/>
    </row>
    <row r="519" spans="22:22" ht="15.75" customHeight="1" x14ac:dyDescent="0.25">
      <c r="V519" s="42"/>
    </row>
    <row r="520" spans="22:22" ht="15.75" customHeight="1" x14ac:dyDescent="0.25">
      <c r="V520" s="42"/>
    </row>
    <row r="521" spans="22:22" ht="15.75" customHeight="1" x14ac:dyDescent="0.25">
      <c r="V521" s="42"/>
    </row>
    <row r="522" spans="22:22" ht="15.75" customHeight="1" x14ac:dyDescent="0.25">
      <c r="V522" s="42"/>
    </row>
    <row r="523" spans="22:22" ht="15.75" customHeight="1" x14ac:dyDescent="0.25">
      <c r="V523" s="42"/>
    </row>
    <row r="524" spans="22:22" ht="15.75" customHeight="1" x14ac:dyDescent="0.25">
      <c r="V524" s="42"/>
    </row>
    <row r="525" spans="22:22" ht="15.75" customHeight="1" x14ac:dyDescent="0.25">
      <c r="V525" s="42"/>
    </row>
    <row r="526" spans="22:22" ht="15.75" customHeight="1" x14ac:dyDescent="0.25">
      <c r="V526" s="42"/>
    </row>
    <row r="527" spans="22:22" ht="15.75" customHeight="1" x14ac:dyDescent="0.25">
      <c r="V527" s="42"/>
    </row>
    <row r="528" spans="22:22" ht="15.75" customHeight="1" x14ac:dyDescent="0.25">
      <c r="V528" s="42"/>
    </row>
    <row r="529" spans="22:22" ht="15.75" customHeight="1" x14ac:dyDescent="0.25">
      <c r="V529" s="42"/>
    </row>
    <row r="530" spans="22:22" ht="15.75" customHeight="1" x14ac:dyDescent="0.25">
      <c r="V530" s="42"/>
    </row>
    <row r="531" spans="22:22" ht="15.75" customHeight="1" x14ac:dyDescent="0.25">
      <c r="V531" s="42"/>
    </row>
    <row r="532" spans="22:22" ht="15.75" customHeight="1" x14ac:dyDescent="0.25">
      <c r="V532" s="42"/>
    </row>
    <row r="533" spans="22:22" ht="15.75" customHeight="1" x14ac:dyDescent="0.25">
      <c r="V533" s="42"/>
    </row>
    <row r="534" spans="22:22" ht="15.75" customHeight="1" x14ac:dyDescent="0.25">
      <c r="V534" s="42"/>
    </row>
    <row r="535" spans="22:22" ht="15.75" customHeight="1" x14ac:dyDescent="0.25">
      <c r="V535" s="42"/>
    </row>
    <row r="536" spans="22:22" ht="15.75" customHeight="1" x14ac:dyDescent="0.25">
      <c r="V536" s="42"/>
    </row>
    <row r="537" spans="22:22" ht="15.75" customHeight="1" x14ac:dyDescent="0.25">
      <c r="V537" s="42"/>
    </row>
    <row r="538" spans="22:22" ht="15.75" customHeight="1" x14ac:dyDescent="0.25">
      <c r="V538" s="42"/>
    </row>
    <row r="539" spans="22:22" ht="15.75" customHeight="1" x14ac:dyDescent="0.25">
      <c r="V539" s="42"/>
    </row>
    <row r="540" spans="22:22" ht="15.75" customHeight="1" x14ac:dyDescent="0.25">
      <c r="V540" s="42"/>
    </row>
    <row r="541" spans="22:22" ht="15.75" customHeight="1" x14ac:dyDescent="0.25">
      <c r="V541" s="42"/>
    </row>
    <row r="542" spans="22:22" ht="15.75" customHeight="1" x14ac:dyDescent="0.25">
      <c r="V542" s="42"/>
    </row>
    <row r="543" spans="22:22" ht="15.75" customHeight="1" x14ac:dyDescent="0.25">
      <c r="V543" s="42"/>
    </row>
    <row r="544" spans="22:22" ht="15.75" customHeight="1" x14ac:dyDescent="0.25">
      <c r="V544" s="42"/>
    </row>
    <row r="545" spans="22:22" ht="15.75" customHeight="1" x14ac:dyDescent="0.25">
      <c r="V545" s="42"/>
    </row>
    <row r="546" spans="22:22" ht="15.75" customHeight="1" x14ac:dyDescent="0.25">
      <c r="V546" s="42"/>
    </row>
    <row r="547" spans="22:22" ht="15.75" customHeight="1" x14ac:dyDescent="0.25">
      <c r="V547" s="42"/>
    </row>
    <row r="548" spans="22:22" ht="15.75" customHeight="1" x14ac:dyDescent="0.25">
      <c r="V548" s="42"/>
    </row>
    <row r="549" spans="22:22" ht="15.75" customHeight="1" x14ac:dyDescent="0.25">
      <c r="V549" s="42"/>
    </row>
    <row r="550" spans="22:22" ht="15.75" customHeight="1" x14ac:dyDescent="0.25">
      <c r="V550" s="42"/>
    </row>
    <row r="551" spans="22:22" ht="15.75" customHeight="1" x14ac:dyDescent="0.25">
      <c r="V551" s="42"/>
    </row>
    <row r="552" spans="22:22" ht="15.75" customHeight="1" x14ac:dyDescent="0.25">
      <c r="V552" s="42"/>
    </row>
    <row r="553" spans="22:22" ht="15.75" customHeight="1" x14ac:dyDescent="0.25">
      <c r="V553" s="42"/>
    </row>
    <row r="554" spans="22:22" ht="15.75" customHeight="1" x14ac:dyDescent="0.25">
      <c r="V554" s="42"/>
    </row>
    <row r="555" spans="22:22" ht="15.75" customHeight="1" x14ac:dyDescent="0.25">
      <c r="V555" s="42"/>
    </row>
    <row r="556" spans="22:22" ht="15.75" customHeight="1" x14ac:dyDescent="0.25">
      <c r="V556" s="42"/>
    </row>
    <row r="557" spans="22:22" ht="15.75" customHeight="1" x14ac:dyDescent="0.25">
      <c r="V557" s="42"/>
    </row>
    <row r="558" spans="22:22" ht="15.75" customHeight="1" x14ac:dyDescent="0.25">
      <c r="V558" s="42"/>
    </row>
    <row r="559" spans="22:22" ht="15.75" customHeight="1" x14ac:dyDescent="0.25">
      <c r="V559" s="42"/>
    </row>
    <row r="560" spans="22:22" ht="15.75" customHeight="1" x14ac:dyDescent="0.25">
      <c r="V560" s="42"/>
    </row>
    <row r="561" spans="22:22" ht="15.75" customHeight="1" x14ac:dyDescent="0.25">
      <c r="V561" s="42"/>
    </row>
    <row r="562" spans="22:22" ht="15.75" customHeight="1" x14ac:dyDescent="0.25">
      <c r="V562" s="42"/>
    </row>
    <row r="563" spans="22:22" ht="15.75" customHeight="1" x14ac:dyDescent="0.25">
      <c r="V563" s="42"/>
    </row>
    <row r="564" spans="22:22" ht="15.75" customHeight="1" x14ac:dyDescent="0.25">
      <c r="V564" s="42"/>
    </row>
    <row r="565" spans="22:22" ht="15.75" customHeight="1" x14ac:dyDescent="0.25">
      <c r="V565" s="42"/>
    </row>
    <row r="566" spans="22:22" ht="15.75" customHeight="1" x14ac:dyDescent="0.25">
      <c r="V566" s="42"/>
    </row>
    <row r="567" spans="22:22" ht="15.75" customHeight="1" x14ac:dyDescent="0.25">
      <c r="V567" s="42"/>
    </row>
    <row r="568" spans="22:22" ht="15.75" customHeight="1" x14ac:dyDescent="0.25">
      <c r="V568" s="42"/>
    </row>
    <row r="569" spans="22:22" ht="15.75" customHeight="1" x14ac:dyDescent="0.25">
      <c r="V569" s="42"/>
    </row>
    <row r="570" spans="22:22" ht="15.75" customHeight="1" x14ac:dyDescent="0.25">
      <c r="V570" s="42"/>
    </row>
    <row r="571" spans="22:22" ht="15.75" customHeight="1" x14ac:dyDescent="0.25">
      <c r="V571" s="42"/>
    </row>
    <row r="572" spans="22:22" ht="15.75" customHeight="1" x14ac:dyDescent="0.25">
      <c r="V572" s="42"/>
    </row>
    <row r="573" spans="22:22" ht="15.75" customHeight="1" x14ac:dyDescent="0.25">
      <c r="V573" s="42"/>
    </row>
    <row r="574" spans="22:22" ht="15.75" customHeight="1" x14ac:dyDescent="0.25">
      <c r="V574" s="42"/>
    </row>
    <row r="575" spans="22:22" ht="15.75" customHeight="1" x14ac:dyDescent="0.25">
      <c r="V575" s="42"/>
    </row>
    <row r="576" spans="22:22" ht="15.75" customHeight="1" x14ac:dyDescent="0.25">
      <c r="V576" s="42"/>
    </row>
    <row r="577" spans="22:22" ht="15.75" customHeight="1" x14ac:dyDescent="0.25">
      <c r="V577" s="42"/>
    </row>
    <row r="578" spans="22:22" ht="15.75" customHeight="1" x14ac:dyDescent="0.25">
      <c r="V578" s="42"/>
    </row>
    <row r="579" spans="22:22" ht="15.75" customHeight="1" x14ac:dyDescent="0.25">
      <c r="V579" s="42"/>
    </row>
    <row r="580" spans="22:22" ht="15.75" customHeight="1" x14ac:dyDescent="0.25">
      <c r="V580" s="42"/>
    </row>
    <row r="581" spans="22:22" ht="15.75" customHeight="1" x14ac:dyDescent="0.25">
      <c r="V581" s="42"/>
    </row>
    <row r="582" spans="22:22" ht="15.75" customHeight="1" x14ac:dyDescent="0.25">
      <c r="V582" s="42"/>
    </row>
    <row r="583" spans="22:22" ht="15.75" customHeight="1" x14ac:dyDescent="0.25">
      <c r="V583" s="42"/>
    </row>
    <row r="584" spans="22:22" ht="15.75" customHeight="1" x14ac:dyDescent="0.25">
      <c r="V584" s="42"/>
    </row>
    <row r="585" spans="22:22" ht="15.75" customHeight="1" x14ac:dyDescent="0.25">
      <c r="V585" s="42"/>
    </row>
    <row r="586" spans="22:22" ht="15.75" customHeight="1" x14ac:dyDescent="0.25">
      <c r="V586" s="42"/>
    </row>
    <row r="587" spans="22:22" ht="15.75" customHeight="1" x14ac:dyDescent="0.25">
      <c r="V587" s="42"/>
    </row>
    <row r="588" spans="22:22" ht="15.75" customHeight="1" x14ac:dyDescent="0.25">
      <c r="V588" s="42"/>
    </row>
    <row r="589" spans="22:22" ht="15.75" customHeight="1" x14ac:dyDescent="0.25">
      <c r="V589" s="42"/>
    </row>
    <row r="590" spans="22:22" ht="15.75" customHeight="1" x14ac:dyDescent="0.25">
      <c r="V590" s="42"/>
    </row>
    <row r="591" spans="22:22" ht="15.75" customHeight="1" x14ac:dyDescent="0.25">
      <c r="V591" s="42"/>
    </row>
    <row r="592" spans="22:22" ht="15.75" customHeight="1" x14ac:dyDescent="0.25">
      <c r="V592" s="42"/>
    </row>
    <row r="593" spans="22:22" ht="15.75" customHeight="1" x14ac:dyDescent="0.25">
      <c r="V593" s="42"/>
    </row>
    <row r="594" spans="22:22" ht="15.75" customHeight="1" x14ac:dyDescent="0.25">
      <c r="V594" s="42"/>
    </row>
    <row r="595" spans="22:22" ht="15.75" customHeight="1" x14ac:dyDescent="0.25">
      <c r="V595" s="42"/>
    </row>
    <row r="596" spans="22:22" ht="15.75" customHeight="1" x14ac:dyDescent="0.25">
      <c r="V596" s="42"/>
    </row>
    <row r="597" spans="22:22" ht="15.75" customHeight="1" x14ac:dyDescent="0.25">
      <c r="V597" s="42"/>
    </row>
    <row r="598" spans="22:22" ht="15.75" customHeight="1" x14ac:dyDescent="0.25">
      <c r="V598" s="42"/>
    </row>
    <row r="599" spans="22:22" ht="15.75" customHeight="1" x14ac:dyDescent="0.25">
      <c r="V599" s="42"/>
    </row>
    <row r="600" spans="22:22" ht="15.75" customHeight="1" x14ac:dyDescent="0.25">
      <c r="V600" s="42"/>
    </row>
    <row r="601" spans="22:22" ht="15.75" customHeight="1" x14ac:dyDescent="0.25">
      <c r="V601" s="42"/>
    </row>
    <row r="602" spans="22:22" ht="15.75" customHeight="1" x14ac:dyDescent="0.25">
      <c r="V602" s="42"/>
    </row>
    <row r="603" spans="22:22" ht="15.75" customHeight="1" x14ac:dyDescent="0.25">
      <c r="V603" s="42"/>
    </row>
    <row r="604" spans="22:22" ht="15.75" customHeight="1" x14ac:dyDescent="0.25">
      <c r="V604" s="42"/>
    </row>
    <row r="605" spans="22:22" ht="15.75" customHeight="1" x14ac:dyDescent="0.25">
      <c r="V605" s="42"/>
    </row>
    <row r="606" spans="22:22" ht="15.75" customHeight="1" x14ac:dyDescent="0.25">
      <c r="V606" s="42"/>
    </row>
    <row r="607" spans="22:22" ht="15.75" customHeight="1" x14ac:dyDescent="0.25">
      <c r="V607" s="42"/>
    </row>
    <row r="608" spans="22:22" ht="15.75" customHeight="1" x14ac:dyDescent="0.25">
      <c r="V608" s="42"/>
    </row>
    <row r="609" spans="22:22" ht="15.75" customHeight="1" x14ac:dyDescent="0.25">
      <c r="V609" s="42"/>
    </row>
    <row r="610" spans="22:22" ht="15.75" customHeight="1" x14ac:dyDescent="0.25">
      <c r="V610" s="42"/>
    </row>
    <row r="611" spans="22:22" ht="15.75" customHeight="1" x14ac:dyDescent="0.25">
      <c r="V611" s="42"/>
    </row>
    <row r="612" spans="22:22" ht="15.75" customHeight="1" x14ac:dyDescent="0.25">
      <c r="V612" s="42"/>
    </row>
    <row r="613" spans="22:22" ht="15.75" customHeight="1" x14ac:dyDescent="0.25">
      <c r="V613" s="42"/>
    </row>
    <row r="614" spans="22:22" ht="15.75" customHeight="1" x14ac:dyDescent="0.25">
      <c r="V614" s="42"/>
    </row>
    <row r="615" spans="22:22" ht="15.75" customHeight="1" x14ac:dyDescent="0.25">
      <c r="V615" s="42"/>
    </row>
    <row r="616" spans="22:22" ht="15.75" customHeight="1" x14ac:dyDescent="0.25">
      <c r="V616" s="42"/>
    </row>
    <row r="617" spans="22:22" ht="15.75" customHeight="1" x14ac:dyDescent="0.25">
      <c r="V617" s="42"/>
    </row>
    <row r="618" spans="22:22" ht="15.75" customHeight="1" x14ac:dyDescent="0.25">
      <c r="V618" s="42"/>
    </row>
    <row r="619" spans="22:22" ht="15.75" customHeight="1" x14ac:dyDescent="0.25">
      <c r="V619" s="42"/>
    </row>
    <row r="620" spans="22:22" ht="15.75" customHeight="1" x14ac:dyDescent="0.25">
      <c r="V620" s="42"/>
    </row>
    <row r="621" spans="22:22" ht="15.75" customHeight="1" x14ac:dyDescent="0.25">
      <c r="V621" s="42"/>
    </row>
    <row r="622" spans="22:22" ht="15.75" customHeight="1" x14ac:dyDescent="0.25">
      <c r="V622" s="42"/>
    </row>
    <row r="623" spans="22:22" ht="15.75" customHeight="1" x14ac:dyDescent="0.25">
      <c r="V623" s="42"/>
    </row>
    <row r="624" spans="22:22" ht="15.75" customHeight="1" x14ac:dyDescent="0.25">
      <c r="V624" s="42"/>
    </row>
    <row r="625" spans="22:22" ht="15.75" customHeight="1" x14ac:dyDescent="0.25">
      <c r="V625" s="42"/>
    </row>
    <row r="626" spans="22:22" ht="15.75" customHeight="1" x14ac:dyDescent="0.25">
      <c r="V626" s="42"/>
    </row>
    <row r="627" spans="22:22" ht="15.75" customHeight="1" x14ac:dyDescent="0.25">
      <c r="V627" s="42"/>
    </row>
    <row r="628" spans="22:22" ht="15.75" customHeight="1" x14ac:dyDescent="0.25">
      <c r="V628" s="42"/>
    </row>
    <row r="629" spans="22:22" ht="15.75" customHeight="1" x14ac:dyDescent="0.25">
      <c r="V629" s="42"/>
    </row>
    <row r="630" spans="22:22" ht="15.75" customHeight="1" x14ac:dyDescent="0.25">
      <c r="V630" s="42"/>
    </row>
    <row r="631" spans="22:22" ht="15.75" customHeight="1" x14ac:dyDescent="0.25">
      <c r="V631" s="42"/>
    </row>
    <row r="632" spans="22:22" ht="15.75" customHeight="1" x14ac:dyDescent="0.25">
      <c r="V632" s="42"/>
    </row>
    <row r="633" spans="22:22" ht="15.75" customHeight="1" x14ac:dyDescent="0.25">
      <c r="V633" s="42"/>
    </row>
    <row r="634" spans="22:22" ht="15.75" customHeight="1" x14ac:dyDescent="0.25">
      <c r="V634" s="42"/>
    </row>
    <row r="635" spans="22:22" ht="15.75" customHeight="1" x14ac:dyDescent="0.25">
      <c r="V635" s="42"/>
    </row>
    <row r="636" spans="22:22" ht="15.75" customHeight="1" x14ac:dyDescent="0.25">
      <c r="V636" s="42"/>
    </row>
    <row r="637" spans="22:22" ht="15.75" customHeight="1" x14ac:dyDescent="0.25">
      <c r="V637" s="42"/>
    </row>
    <row r="638" spans="22:22" ht="15.75" customHeight="1" x14ac:dyDescent="0.25">
      <c r="V638" s="42"/>
    </row>
    <row r="639" spans="22:22" ht="15.75" customHeight="1" x14ac:dyDescent="0.25">
      <c r="V639" s="42"/>
    </row>
    <row r="640" spans="22:22" ht="15.75" customHeight="1" x14ac:dyDescent="0.25">
      <c r="V640" s="42"/>
    </row>
    <row r="641" spans="22:22" ht="15.75" customHeight="1" x14ac:dyDescent="0.25">
      <c r="V641" s="42"/>
    </row>
    <row r="642" spans="22:22" ht="15.75" customHeight="1" x14ac:dyDescent="0.25">
      <c r="V642" s="42"/>
    </row>
    <row r="643" spans="22:22" ht="15.75" customHeight="1" x14ac:dyDescent="0.25">
      <c r="V643" s="42"/>
    </row>
    <row r="644" spans="22:22" ht="15.75" customHeight="1" x14ac:dyDescent="0.25">
      <c r="V644" s="42"/>
    </row>
    <row r="645" spans="22:22" ht="15.75" customHeight="1" x14ac:dyDescent="0.25">
      <c r="V645" s="42"/>
    </row>
    <row r="646" spans="22:22" ht="15.75" customHeight="1" x14ac:dyDescent="0.25">
      <c r="V646" s="42"/>
    </row>
    <row r="647" spans="22:22" ht="15.75" customHeight="1" x14ac:dyDescent="0.25">
      <c r="V647" s="42"/>
    </row>
    <row r="648" spans="22:22" ht="15.75" customHeight="1" x14ac:dyDescent="0.25">
      <c r="V648" s="42"/>
    </row>
    <row r="649" spans="22:22" ht="15.75" customHeight="1" x14ac:dyDescent="0.25">
      <c r="V649" s="42"/>
    </row>
    <row r="650" spans="22:22" ht="15.75" customHeight="1" x14ac:dyDescent="0.25">
      <c r="V650" s="42"/>
    </row>
    <row r="651" spans="22:22" ht="15.75" customHeight="1" x14ac:dyDescent="0.25">
      <c r="V651" s="42"/>
    </row>
    <row r="652" spans="22:22" ht="15.75" customHeight="1" x14ac:dyDescent="0.25">
      <c r="V652" s="42"/>
    </row>
    <row r="653" spans="22:22" ht="15.75" customHeight="1" x14ac:dyDescent="0.25">
      <c r="V653" s="42"/>
    </row>
    <row r="654" spans="22:22" ht="15.75" customHeight="1" x14ac:dyDescent="0.25">
      <c r="V654" s="42"/>
    </row>
    <row r="655" spans="22:22" ht="15.75" customHeight="1" x14ac:dyDescent="0.25">
      <c r="V655" s="42"/>
    </row>
    <row r="656" spans="22:22" ht="15.75" customHeight="1" x14ac:dyDescent="0.25">
      <c r="V656" s="42"/>
    </row>
    <row r="657" spans="22:22" ht="15.75" customHeight="1" x14ac:dyDescent="0.25">
      <c r="V657" s="42"/>
    </row>
    <row r="658" spans="22:22" ht="15.75" customHeight="1" x14ac:dyDescent="0.25">
      <c r="V658" s="42"/>
    </row>
    <row r="659" spans="22:22" ht="15.75" customHeight="1" x14ac:dyDescent="0.25">
      <c r="V659" s="42"/>
    </row>
    <row r="660" spans="22:22" ht="15.75" customHeight="1" x14ac:dyDescent="0.25">
      <c r="V660" s="42"/>
    </row>
    <row r="661" spans="22:22" ht="15.75" customHeight="1" x14ac:dyDescent="0.25">
      <c r="V661" s="42"/>
    </row>
    <row r="662" spans="22:22" ht="15.75" customHeight="1" x14ac:dyDescent="0.25">
      <c r="V662" s="42"/>
    </row>
    <row r="663" spans="22:22" ht="15.75" customHeight="1" x14ac:dyDescent="0.25">
      <c r="V663" s="42"/>
    </row>
    <row r="664" spans="22:22" ht="15.75" customHeight="1" x14ac:dyDescent="0.25">
      <c r="V664" s="42"/>
    </row>
    <row r="665" spans="22:22" ht="15.75" customHeight="1" x14ac:dyDescent="0.25">
      <c r="V665" s="42"/>
    </row>
    <row r="666" spans="22:22" ht="15.75" customHeight="1" x14ac:dyDescent="0.25">
      <c r="V666" s="42"/>
    </row>
    <row r="667" spans="22:22" ht="15.75" customHeight="1" x14ac:dyDescent="0.25">
      <c r="V667" s="42"/>
    </row>
    <row r="668" spans="22:22" ht="15.75" customHeight="1" x14ac:dyDescent="0.25">
      <c r="V668" s="42"/>
    </row>
    <row r="669" spans="22:22" ht="15.75" customHeight="1" x14ac:dyDescent="0.25">
      <c r="V669" s="42"/>
    </row>
    <row r="670" spans="22:22" ht="15.75" customHeight="1" x14ac:dyDescent="0.25">
      <c r="V670" s="42"/>
    </row>
    <row r="671" spans="22:22" ht="15.75" customHeight="1" x14ac:dyDescent="0.25">
      <c r="V671" s="42"/>
    </row>
    <row r="672" spans="22:22" ht="15.75" customHeight="1" x14ac:dyDescent="0.25">
      <c r="V672" s="42"/>
    </row>
    <row r="673" spans="22:22" ht="15.75" customHeight="1" x14ac:dyDescent="0.25">
      <c r="V673" s="42"/>
    </row>
    <row r="674" spans="22:22" ht="15.75" customHeight="1" x14ac:dyDescent="0.25">
      <c r="V674" s="42"/>
    </row>
    <row r="675" spans="22:22" ht="15.75" customHeight="1" x14ac:dyDescent="0.25">
      <c r="V675" s="42"/>
    </row>
    <row r="676" spans="22:22" ht="15.75" customHeight="1" x14ac:dyDescent="0.25">
      <c r="V676" s="42"/>
    </row>
    <row r="677" spans="22:22" ht="15.75" customHeight="1" x14ac:dyDescent="0.25">
      <c r="V677" s="42"/>
    </row>
    <row r="678" spans="22:22" ht="15.75" customHeight="1" x14ac:dyDescent="0.25">
      <c r="V678" s="42"/>
    </row>
    <row r="679" spans="22:22" ht="15.75" customHeight="1" x14ac:dyDescent="0.25">
      <c r="V679" s="42"/>
    </row>
    <row r="680" spans="22:22" ht="15.75" customHeight="1" x14ac:dyDescent="0.25">
      <c r="V680" s="42"/>
    </row>
    <row r="681" spans="22:22" ht="15.75" customHeight="1" x14ac:dyDescent="0.25">
      <c r="V681" s="42"/>
    </row>
    <row r="682" spans="22:22" ht="15.75" customHeight="1" x14ac:dyDescent="0.25">
      <c r="V682" s="42"/>
    </row>
    <row r="683" spans="22:22" ht="15.75" customHeight="1" x14ac:dyDescent="0.25">
      <c r="V683" s="42"/>
    </row>
    <row r="684" spans="22:22" ht="15.75" customHeight="1" x14ac:dyDescent="0.25">
      <c r="V684" s="42"/>
    </row>
    <row r="685" spans="22:22" ht="15.75" customHeight="1" x14ac:dyDescent="0.25">
      <c r="V685" s="42"/>
    </row>
    <row r="686" spans="22:22" ht="15.75" customHeight="1" x14ac:dyDescent="0.25">
      <c r="V686" s="42"/>
    </row>
    <row r="687" spans="22:22" ht="15.75" customHeight="1" x14ac:dyDescent="0.25">
      <c r="V687" s="42"/>
    </row>
    <row r="688" spans="22:22" ht="15.75" customHeight="1" x14ac:dyDescent="0.25">
      <c r="V688" s="42"/>
    </row>
    <row r="689" spans="22:22" ht="15.75" customHeight="1" x14ac:dyDescent="0.25">
      <c r="V689" s="42"/>
    </row>
    <row r="690" spans="22:22" ht="15.75" customHeight="1" x14ac:dyDescent="0.25">
      <c r="V690" s="42"/>
    </row>
    <row r="691" spans="22:22" ht="15.75" customHeight="1" x14ac:dyDescent="0.25">
      <c r="V691" s="42"/>
    </row>
    <row r="692" spans="22:22" ht="15.75" customHeight="1" x14ac:dyDescent="0.25">
      <c r="V692" s="42"/>
    </row>
    <row r="693" spans="22:22" ht="15.75" customHeight="1" x14ac:dyDescent="0.25">
      <c r="V693" s="42"/>
    </row>
    <row r="694" spans="22:22" ht="15.75" customHeight="1" x14ac:dyDescent="0.25">
      <c r="V694" s="42"/>
    </row>
    <row r="695" spans="22:22" ht="15.75" customHeight="1" x14ac:dyDescent="0.25">
      <c r="V695" s="42"/>
    </row>
    <row r="696" spans="22:22" ht="15.75" customHeight="1" x14ac:dyDescent="0.25">
      <c r="V696" s="42"/>
    </row>
    <row r="697" spans="22:22" ht="15.75" customHeight="1" x14ac:dyDescent="0.25">
      <c r="V697" s="42"/>
    </row>
    <row r="698" spans="22:22" ht="15.75" customHeight="1" x14ac:dyDescent="0.25">
      <c r="V698" s="42"/>
    </row>
    <row r="699" spans="22:22" ht="15.75" customHeight="1" x14ac:dyDescent="0.25">
      <c r="V699" s="42"/>
    </row>
    <row r="700" spans="22:22" ht="15.75" customHeight="1" x14ac:dyDescent="0.25">
      <c r="V700" s="42"/>
    </row>
    <row r="701" spans="22:22" ht="15.75" customHeight="1" x14ac:dyDescent="0.25">
      <c r="V701" s="42"/>
    </row>
    <row r="702" spans="22:22" ht="15.75" customHeight="1" x14ac:dyDescent="0.25">
      <c r="V702" s="42"/>
    </row>
    <row r="703" spans="22:22" ht="15.75" customHeight="1" x14ac:dyDescent="0.25">
      <c r="V703" s="42"/>
    </row>
    <row r="704" spans="22:22" ht="15.75" customHeight="1" x14ac:dyDescent="0.25">
      <c r="V704" s="42"/>
    </row>
    <row r="705" spans="22:22" ht="15.75" customHeight="1" x14ac:dyDescent="0.25">
      <c r="V705" s="42"/>
    </row>
    <row r="706" spans="22:22" ht="15.75" customHeight="1" x14ac:dyDescent="0.25">
      <c r="V706" s="42"/>
    </row>
    <row r="707" spans="22:22" ht="15.75" customHeight="1" x14ac:dyDescent="0.25">
      <c r="V707" s="42"/>
    </row>
    <row r="708" spans="22:22" ht="15.75" customHeight="1" x14ac:dyDescent="0.25">
      <c r="V708" s="42"/>
    </row>
    <row r="709" spans="22:22" ht="15.75" customHeight="1" x14ac:dyDescent="0.25">
      <c r="V709" s="42"/>
    </row>
    <row r="710" spans="22:22" ht="15.75" customHeight="1" x14ac:dyDescent="0.25">
      <c r="V710" s="42"/>
    </row>
    <row r="711" spans="22:22" ht="15.75" customHeight="1" x14ac:dyDescent="0.25">
      <c r="V711" s="42"/>
    </row>
    <row r="712" spans="22:22" ht="15.75" customHeight="1" x14ac:dyDescent="0.25">
      <c r="V712" s="42"/>
    </row>
    <row r="713" spans="22:22" ht="15.75" customHeight="1" x14ac:dyDescent="0.25">
      <c r="V713" s="42"/>
    </row>
    <row r="714" spans="22:22" ht="15.75" customHeight="1" x14ac:dyDescent="0.25">
      <c r="V714" s="42"/>
    </row>
    <row r="715" spans="22:22" ht="15.75" customHeight="1" x14ac:dyDescent="0.25">
      <c r="V715" s="42"/>
    </row>
    <row r="716" spans="22:22" ht="15.75" customHeight="1" x14ac:dyDescent="0.25">
      <c r="V716" s="42"/>
    </row>
    <row r="717" spans="22:22" ht="15.75" customHeight="1" x14ac:dyDescent="0.25">
      <c r="V717" s="42"/>
    </row>
    <row r="718" spans="22:22" ht="15.75" customHeight="1" x14ac:dyDescent="0.25">
      <c r="V718" s="42"/>
    </row>
    <row r="719" spans="22:22" ht="15.75" customHeight="1" x14ac:dyDescent="0.25">
      <c r="V719" s="42"/>
    </row>
    <row r="720" spans="22:22" ht="15.75" customHeight="1" x14ac:dyDescent="0.25">
      <c r="V720" s="42"/>
    </row>
    <row r="721" spans="22:22" ht="15.75" customHeight="1" x14ac:dyDescent="0.25">
      <c r="V721" s="42"/>
    </row>
    <row r="722" spans="22:22" ht="15.75" customHeight="1" x14ac:dyDescent="0.25">
      <c r="V722" s="42"/>
    </row>
    <row r="723" spans="22:22" ht="15.75" customHeight="1" x14ac:dyDescent="0.25">
      <c r="V723" s="42"/>
    </row>
    <row r="724" spans="22:22" ht="15.75" customHeight="1" x14ac:dyDescent="0.25">
      <c r="V724" s="42"/>
    </row>
    <row r="725" spans="22:22" ht="15.75" customHeight="1" x14ac:dyDescent="0.25">
      <c r="V725" s="42"/>
    </row>
    <row r="726" spans="22:22" ht="15.75" customHeight="1" x14ac:dyDescent="0.25">
      <c r="V726" s="42"/>
    </row>
    <row r="727" spans="22:22" ht="15.75" customHeight="1" x14ac:dyDescent="0.25">
      <c r="V727" s="42"/>
    </row>
    <row r="728" spans="22:22" ht="15.75" customHeight="1" x14ac:dyDescent="0.25">
      <c r="V728" s="42"/>
    </row>
    <row r="729" spans="22:22" ht="15.75" customHeight="1" x14ac:dyDescent="0.25">
      <c r="V729" s="42"/>
    </row>
    <row r="730" spans="22:22" ht="15.75" customHeight="1" x14ac:dyDescent="0.25">
      <c r="V730" s="42"/>
    </row>
    <row r="731" spans="22:22" ht="15.75" customHeight="1" x14ac:dyDescent="0.25">
      <c r="V731" s="42"/>
    </row>
    <row r="732" spans="22:22" ht="15.75" customHeight="1" x14ac:dyDescent="0.25">
      <c r="V732" s="42"/>
    </row>
    <row r="733" spans="22:22" ht="15.75" customHeight="1" x14ac:dyDescent="0.25">
      <c r="V733" s="42"/>
    </row>
    <row r="734" spans="22:22" ht="15.75" customHeight="1" x14ac:dyDescent="0.25">
      <c r="V734" s="42"/>
    </row>
    <row r="735" spans="22:22" ht="15.75" customHeight="1" x14ac:dyDescent="0.25">
      <c r="V735" s="42"/>
    </row>
    <row r="736" spans="22:22" ht="15.75" customHeight="1" x14ac:dyDescent="0.25">
      <c r="V736" s="42"/>
    </row>
    <row r="737" spans="22:22" ht="15.75" customHeight="1" x14ac:dyDescent="0.25">
      <c r="V737" s="42"/>
    </row>
    <row r="738" spans="22:22" ht="15.75" customHeight="1" x14ac:dyDescent="0.25">
      <c r="V738" s="42"/>
    </row>
    <row r="739" spans="22:22" ht="15.75" customHeight="1" x14ac:dyDescent="0.25">
      <c r="V739" s="42"/>
    </row>
    <row r="740" spans="22:22" ht="15.75" customHeight="1" x14ac:dyDescent="0.25">
      <c r="V740" s="42"/>
    </row>
    <row r="741" spans="22:22" ht="15.75" customHeight="1" x14ac:dyDescent="0.25">
      <c r="V741" s="42"/>
    </row>
    <row r="742" spans="22:22" ht="15.75" customHeight="1" x14ac:dyDescent="0.25">
      <c r="V742" s="42"/>
    </row>
    <row r="743" spans="22:22" ht="15.75" customHeight="1" x14ac:dyDescent="0.25">
      <c r="V743" s="42"/>
    </row>
    <row r="744" spans="22:22" ht="15.75" customHeight="1" x14ac:dyDescent="0.25">
      <c r="V744" s="42"/>
    </row>
    <row r="745" spans="22:22" ht="15.75" customHeight="1" x14ac:dyDescent="0.25">
      <c r="V745" s="42"/>
    </row>
    <row r="746" spans="22:22" ht="15.75" customHeight="1" x14ac:dyDescent="0.25">
      <c r="V746" s="42"/>
    </row>
    <row r="747" spans="22:22" ht="15.75" customHeight="1" x14ac:dyDescent="0.25">
      <c r="V747" s="42"/>
    </row>
    <row r="748" spans="22:22" ht="15.75" customHeight="1" x14ac:dyDescent="0.25">
      <c r="V748" s="42"/>
    </row>
    <row r="749" spans="22:22" ht="15.75" customHeight="1" x14ac:dyDescent="0.25">
      <c r="V749" s="42"/>
    </row>
    <row r="750" spans="22:22" ht="15.75" customHeight="1" x14ac:dyDescent="0.25">
      <c r="V750" s="42"/>
    </row>
    <row r="751" spans="22:22" ht="15.75" customHeight="1" x14ac:dyDescent="0.25">
      <c r="V751" s="42"/>
    </row>
    <row r="752" spans="22:22" ht="15.75" customHeight="1" x14ac:dyDescent="0.25">
      <c r="V752" s="42"/>
    </row>
    <row r="753" spans="22:22" ht="15.75" customHeight="1" x14ac:dyDescent="0.25">
      <c r="V753" s="42"/>
    </row>
    <row r="754" spans="22:22" ht="15.75" customHeight="1" x14ac:dyDescent="0.25">
      <c r="V754" s="42"/>
    </row>
    <row r="755" spans="22:22" ht="15.75" customHeight="1" x14ac:dyDescent="0.25">
      <c r="V755" s="42"/>
    </row>
    <row r="756" spans="22:22" ht="15.75" customHeight="1" x14ac:dyDescent="0.25">
      <c r="V756" s="42"/>
    </row>
    <row r="757" spans="22:22" ht="15.75" customHeight="1" x14ac:dyDescent="0.25">
      <c r="V757" s="42"/>
    </row>
    <row r="758" spans="22:22" ht="15.75" customHeight="1" x14ac:dyDescent="0.25">
      <c r="V758" s="42"/>
    </row>
    <row r="759" spans="22:22" ht="15.75" customHeight="1" x14ac:dyDescent="0.25">
      <c r="V759" s="42"/>
    </row>
    <row r="760" spans="22:22" ht="15.75" customHeight="1" x14ac:dyDescent="0.25">
      <c r="V760" s="42"/>
    </row>
    <row r="761" spans="22:22" ht="15.75" customHeight="1" x14ac:dyDescent="0.25">
      <c r="V761" s="42"/>
    </row>
    <row r="762" spans="22:22" ht="15.75" customHeight="1" x14ac:dyDescent="0.25">
      <c r="V762" s="42"/>
    </row>
    <row r="763" spans="22:22" ht="15.75" customHeight="1" x14ac:dyDescent="0.25">
      <c r="V763" s="42"/>
    </row>
    <row r="764" spans="22:22" ht="15.75" customHeight="1" x14ac:dyDescent="0.25">
      <c r="V764" s="42"/>
    </row>
    <row r="765" spans="22:22" ht="15.75" customHeight="1" x14ac:dyDescent="0.25">
      <c r="V765" s="42"/>
    </row>
    <row r="766" spans="22:22" ht="15.75" customHeight="1" x14ac:dyDescent="0.25">
      <c r="V766" s="42"/>
    </row>
    <row r="767" spans="22:22" ht="15.75" customHeight="1" x14ac:dyDescent="0.25">
      <c r="V767" s="42"/>
    </row>
    <row r="768" spans="22:22" ht="15.75" customHeight="1" x14ac:dyDescent="0.25">
      <c r="V768" s="42"/>
    </row>
    <row r="769" spans="22:22" ht="15.75" customHeight="1" x14ac:dyDescent="0.25">
      <c r="V769" s="42"/>
    </row>
    <row r="770" spans="22:22" ht="15.75" customHeight="1" x14ac:dyDescent="0.25">
      <c r="V770" s="42"/>
    </row>
    <row r="771" spans="22:22" ht="15.75" customHeight="1" x14ac:dyDescent="0.25">
      <c r="V771" s="42"/>
    </row>
    <row r="772" spans="22:22" ht="15.75" customHeight="1" x14ac:dyDescent="0.25">
      <c r="V772" s="42"/>
    </row>
    <row r="773" spans="22:22" ht="15.75" customHeight="1" x14ac:dyDescent="0.25">
      <c r="V773" s="42"/>
    </row>
    <row r="774" spans="22:22" ht="15.75" customHeight="1" x14ac:dyDescent="0.25">
      <c r="V774" s="42"/>
    </row>
    <row r="775" spans="22:22" ht="15.75" customHeight="1" x14ac:dyDescent="0.25">
      <c r="V775" s="42"/>
    </row>
    <row r="776" spans="22:22" ht="15.75" customHeight="1" x14ac:dyDescent="0.25">
      <c r="V776" s="42"/>
    </row>
    <row r="777" spans="22:22" ht="15.75" customHeight="1" x14ac:dyDescent="0.25">
      <c r="V777" s="42"/>
    </row>
    <row r="778" spans="22:22" ht="15.75" customHeight="1" x14ac:dyDescent="0.25">
      <c r="V778" s="42"/>
    </row>
    <row r="779" spans="22:22" ht="15.75" customHeight="1" x14ac:dyDescent="0.25">
      <c r="V779" s="42"/>
    </row>
    <row r="780" spans="22:22" ht="15.75" customHeight="1" x14ac:dyDescent="0.25">
      <c r="V780" s="42"/>
    </row>
    <row r="781" spans="22:22" ht="15.75" customHeight="1" x14ac:dyDescent="0.25">
      <c r="V781" s="42"/>
    </row>
    <row r="782" spans="22:22" ht="15.75" customHeight="1" x14ac:dyDescent="0.25">
      <c r="V782" s="42"/>
    </row>
    <row r="783" spans="22:22" ht="15.75" customHeight="1" x14ac:dyDescent="0.25">
      <c r="V783" s="42"/>
    </row>
    <row r="784" spans="22:22" ht="15.75" customHeight="1" x14ac:dyDescent="0.25">
      <c r="V784" s="42"/>
    </row>
    <row r="785" spans="22:22" ht="15.75" customHeight="1" x14ac:dyDescent="0.25">
      <c r="V785" s="42"/>
    </row>
    <row r="786" spans="22:22" ht="15.75" customHeight="1" x14ac:dyDescent="0.25">
      <c r="V786" s="42"/>
    </row>
    <row r="787" spans="22:22" ht="15.75" customHeight="1" x14ac:dyDescent="0.25">
      <c r="V787" s="42"/>
    </row>
    <row r="788" spans="22:22" ht="15.75" customHeight="1" x14ac:dyDescent="0.25">
      <c r="V788" s="42"/>
    </row>
    <row r="789" spans="22:22" ht="15.75" customHeight="1" x14ac:dyDescent="0.25">
      <c r="V789" s="42"/>
    </row>
    <row r="790" spans="22:22" ht="15.75" customHeight="1" x14ac:dyDescent="0.25">
      <c r="V790" s="42"/>
    </row>
    <row r="791" spans="22:22" ht="15.75" customHeight="1" x14ac:dyDescent="0.25">
      <c r="V791" s="42"/>
    </row>
    <row r="792" spans="22:22" ht="15.75" customHeight="1" x14ac:dyDescent="0.25">
      <c r="V792" s="42"/>
    </row>
    <row r="793" spans="22:22" ht="15.75" customHeight="1" x14ac:dyDescent="0.25">
      <c r="V793" s="42"/>
    </row>
    <row r="794" spans="22:22" ht="15.75" customHeight="1" x14ac:dyDescent="0.25">
      <c r="V794" s="42"/>
    </row>
    <row r="795" spans="22:22" ht="15.75" customHeight="1" x14ac:dyDescent="0.25">
      <c r="V795" s="42"/>
    </row>
    <row r="796" spans="22:22" ht="15.75" customHeight="1" x14ac:dyDescent="0.25">
      <c r="V796" s="42"/>
    </row>
    <row r="797" spans="22:22" ht="15.75" customHeight="1" x14ac:dyDescent="0.25">
      <c r="V797" s="42"/>
    </row>
    <row r="798" spans="22:22" ht="15.75" customHeight="1" x14ac:dyDescent="0.25">
      <c r="V798" s="42"/>
    </row>
    <row r="799" spans="22:22" ht="15.75" customHeight="1" x14ac:dyDescent="0.25">
      <c r="V799" s="42"/>
    </row>
    <row r="800" spans="22:22" ht="15.75" customHeight="1" x14ac:dyDescent="0.25">
      <c r="V800" s="42"/>
    </row>
    <row r="801" spans="22:22" ht="15.75" customHeight="1" x14ac:dyDescent="0.25">
      <c r="V801" s="42"/>
    </row>
    <row r="802" spans="22:22" ht="15.75" customHeight="1" x14ac:dyDescent="0.25">
      <c r="V802" s="42"/>
    </row>
    <row r="803" spans="22:22" ht="15.75" customHeight="1" x14ac:dyDescent="0.25">
      <c r="V803" s="42"/>
    </row>
    <row r="804" spans="22:22" ht="15.75" customHeight="1" x14ac:dyDescent="0.25">
      <c r="V804" s="42"/>
    </row>
    <row r="805" spans="22:22" ht="15.75" customHeight="1" x14ac:dyDescent="0.25">
      <c r="V805" s="42"/>
    </row>
    <row r="806" spans="22:22" ht="15.75" customHeight="1" x14ac:dyDescent="0.25">
      <c r="V806" s="42"/>
    </row>
    <row r="807" spans="22:22" ht="15.75" customHeight="1" x14ac:dyDescent="0.25">
      <c r="V807" s="42"/>
    </row>
    <row r="808" spans="22:22" ht="15.75" customHeight="1" x14ac:dyDescent="0.25">
      <c r="V808" s="42"/>
    </row>
    <row r="809" spans="22:22" ht="15.75" customHeight="1" x14ac:dyDescent="0.25">
      <c r="V809" s="42"/>
    </row>
    <row r="810" spans="22:22" ht="15.75" customHeight="1" x14ac:dyDescent="0.25">
      <c r="V810" s="42"/>
    </row>
    <row r="811" spans="22:22" ht="15.75" customHeight="1" x14ac:dyDescent="0.25">
      <c r="V811" s="42"/>
    </row>
    <row r="812" spans="22:22" ht="15.75" customHeight="1" x14ac:dyDescent="0.25">
      <c r="V812" s="42"/>
    </row>
    <row r="813" spans="22:22" ht="15.75" customHeight="1" x14ac:dyDescent="0.25">
      <c r="V813" s="42"/>
    </row>
    <row r="814" spans="22:22" ht="15.75" customHeight="1" x14ac:dyDescent="0.25">
      <c r="V814" s="42"/>
    </row>
    <row r="815" spans="22:22" ht="15.75" customHeight="1" x14ac:dyDescent="0.25">
      <c r="V815" s="42"/>
    </row>
    <row r="816" spans="22:22" ht="15.75" customHeight="1" x14ac:dyDescent="0.25">
      <c r="V816" s="42"/>
    </row>
    <row r="817" spans="22:22" ht="15.75" customHeight="1" x14ac:dyDescent="0.25">
      <c r="V817" s="42"/>
    </row>
    <row r="818" spans="22:22" ht="15.75" customHeight="1" x14ac:dyDescent="0.25">
      <c r="V818" s="42"/>
    </row>
    <row r="819" spans="22:22" ht="15.75" customHeight="1" x14ac:dyDescent="0.25">
      <c r="V819" s="42"/>
    </row>
    <row r="820" spans="22:22" ht="15.75" customHeight="1" x14ac:dyDescent="0.25">
      <c r="V820" s="42"/>
    </row>
    <row r="821" spans="22:22" ht="15.75" customHeight="1" x14ac:dyDescent="0.25">
      <c r="V821" s="42"/>
    </row>
    <row r="822" spans="22:22" ht="15.75" customHeight="1" x14ac:dyDescent="0.25">
      <c r="V822" s="42"/>
    </row>
    <row r="823" spans="22:22" ht="15.75" customHeight="1" x14ac:dyDescent="0.25">
      <c r="V823" s="42"/>
    </row>
    <row r="824" spans="22:22" ht="15.75" customHeight="1" x14ac:dyDescent="0.25">
      <c r="V824" s="42"/>
    </row>
    <row r="825" spans="22:22" ht="15.75" customHeight="1" x14ac:dyDescent="0.25">
      <c r="V825" s="42"/>
    </row>
    <row r="826" spans="22:22" ht="15.75" customHeight="1" x14ac:dyDescent="0.25">
      <c r="V826" s="42"/>
    </row>
    <row r="827" spans="22:22" ht="15.75" customHeight="1" x14ac:dyDescent="0.25">
      <c r="V827" s="42"/>
    </row>
    <row r="828" spans="22:22" ht="15.75" customHeight="1" x14ac:dyDescent="0.25">
      <c r="V828" s="42"/>
    </row>
    <row r="829" spans="22:22" ht="15.75" customHeight="1" x14ac:dyDescent="0.25">
      <c r="V829" s="42"/>
    </row>
    <row r="830" spans="22:22" ht="15.75" customHeight="1" x14ac:dyDescent="0.25">
      <c r="V830" s="42"/>
    </row>
    <row r="831" spans="22:22" ht="15.75" customHeight="1" x14ac:dyDescent="0.25">
      <c r="V831" s="42"/>
    </row>
    <row r="832" spans="22:22" ht="15.75" customHeight="1" x14ac:dyDescent="0.25">
      <c r="V832" s="42"/>
    </row>
    <row r="833" spans="22:22" ht="15.75" customHeight="1" x14ac:dyDescent="0.25">
      <c r="V833" s="42"/>
    </row>
    <row r="834" spans="22:22" ht="15.75" customHeight="1" x14ac:dyDescent="0.25">
      <c r="V834" s="42"/>
    </row>
    <row r="835" spans="22:22" ht="15.75" customHeight="1" x14ac:dyDescent="0.25">
      <c r="V835" s="42"/>
    </row>
    <row r="836" spans="22:22" ht="15.75" customHeight="1" x14ac:dyDescent="0.25">
      <c r="V836" s="42"/>
    </row>
    <row r="837" spans="22:22" ht="15.75" customHeight="1" x14ac:dyDescent="0.25">
      <c r="V837" s="42"/>
    </row>
    <row r="838" spans="22:22" ht="15.75" customHeight="1" x14ac:dyDescent="0.25">
      <c r="V838" s="42"/>
    </row>
    <row r="839" spans="22:22" ht="15.75" customHeight="1" x14ac:dyDescent="0.25">
      <c r="V839" s="42"/>
    </row>
    <row r="840" spans="22:22" ht="15.75" customHeight="1" x14ac:dyDescent="0.25">
      <c r="V840" s="42"/>
    </row>
    <row r="841" spans="22:22" ht="15.75" customHeight="1" x14ac:dyDescent="0.25">
      <c r="V841" s="42"/>
    </row>
    <row r="842" spans="22:22" ht="15.75" customHeight="1" x14ac:dyDescent="0.25">
      <c r="V842" s="42"/>
    </row>
    <row r="843" spans="22:22" ht="15.75" customHeight="1" x14ac:dyDescent="0.25">
      <c r="V843" s="42"/>
    </row>
    <row r="844" spans="22:22" ht="15.75" customHeight="1" x14ac:dyDescent="0.25">
      <c r="V844" s="42"/>
    </row>
    <row r="845" spans="22:22" ht="15.75" customHeight="1" x14ac:dyDescent="0.25">
      <c r="V845" s="42"/>
    </row>
    <row r="846" spans="22:22" ht="15.75" customHeight="1" x14ac:dyDescent="0.25">
      <c r="V846" s="42"/>
    </row>
    <row r="847" spans="22:22" ht="15.75" customHeight="1" x14ac:dyDescent="0.25">
      <c r="V847" s="42"/>
    </row>
    <row r="848" spans="22:22" ht="15.75" customHeight="1" x14ac:dyDescent="0.25">
      <c r="V848" s="42"/>
    </row>
    <row r="849" spans="22:22" ht="15.75" customHeight="1" x14ac:dyDescent="0.25">
      <c r="V849" s="42"/>
    </row>
    <row r="850" spans="22:22" ht="15.75" customHeight="1" x14ac:dyDescent="0.25">
      <c r="V850" s="42"/>
    </row>
    <row r="851" spans="22:22" ht="15.75" customHeight="1" x14ac:dyDescent="0.25">
      <c r="V851" s="42"/>
    </row>
    <row r="852" spans="22:22" ht="15.75" customHeight="1" x14ac:dyDescent="0.25">
      <c r="V852" s="42"/>
    </row>
    <row r="853" spans="22:22" ht="15.75" customHeight="1" x14ac:dyDescent="0.25">
      <c r="V853" s="42"/>
    </row>
    <row r="854" spans="22:22" ht="15.75" customHeight="1" x14ac:dyDescent="0.25">
      <c r="V854" s="42"/>
    </row>
    <row r="855" spans="22:22" ht="15.75" customHeight="1" x14ac:dyDescent="0.25">
      <c r="V855" s="42"/>
    </row>
    <row r="856" spans="22:22" ht="15.75" customHeight="1" x14ac:dyDescent="0.25">
      <c r="V856" s="42"/>
    </row>
    <row r="857" spans="22:22" ht="15.75" customHeight="1" x14ac:dyDescent="0.25">
      <c r="V857" s="42"/>
    </row>
    <row r="858" spans="22:22" ht="15.75" customHeight="1" x14ac:dyDescent="0.25">
      <c r="V858" s="42"/>
    </row>
    <row r="859" spans="22:22" ht="15.75" customHeight="1" x14ac:dyDescent="0.25">
      <c r="V859" s="42"/>
    </row>
    <row r="860" spans="22:22" ht="15.75" customHeight="1" x14ac:dyDescent="0.25">
      <c r="V860" s="42"/>
    </row>
    <row r="861" spans="22:22" ht="15.75" customHeight="1" x14ac:dyDescent="0.25">
      <c r="V861" s="42"/>
    </row>
    <row r="862" spans="22:22" ht="15.75" customHeight="1" x14ac:dyDescent="0.25">
      <c r="V862" s="42"/>
    </row>
    <row r="863" spans="22:22" ht="15.75" customHeight="1" x14ac:dyDescent="0.25">
      <c r="V863" s="42"/>
    </row>
    <row r="864" spans="22:22" ht="15.75" customHeight="1" x14ac:dyDescent="0.25">
      <c r="V864" s="42"/>
    </row>
    <row r="865" spans="22:22" ht="15.75" customHeight="1" x14ac:dyDescent="0.25">
      <c r="V865" s="42"/>
    </row>
    <row r="866" spans="22:22" ht="15.75" customHeight="1" x14ac:dyDescent="0.25">
      <c r="V866" s="42"/>
    </row>
    <row r="867" spans="22:22" ht="15.75" customHeight="1" x14ac:dyDescent="0.25">
      <c r="V867" s="42"/>
    </row>
    <row r="868" spans="22:22" ht="15.75" customHeight="1" x14ac:dyDescent="0.25">
      <c r="V868" s="42"/>
    </row>
    <row r="869" spans="22:22" ht="15.75" customHeight="1" x14ac:dyDescent="0.25">
      <c r="V869" s="42"/>
    </row>
    <row r="870" spans="22:22" ht="15.75" customHeight="1" x14ac:dyDescent="0.25">
      <c r="V870" s="42"/>
    </row>
    <row r="871" spans="22:22" ht="15.75" customHeight="1" x14ac:dyDescent="0.25">
      <c r="V871" s="42"/>
    </row>
    <row r="872" spans="22:22" ht="15.75" customHeight="1" x14ac:dyDescent="0.25">
      <c r="V872" s="42"/>
    </row>
    <row r="873" spans="22:22" ht="15.75" customHeight="1" x14ac:dyDescent="0.25">
      <c r="V873" s="42"/>
    </row>
    <row r="874" spans="22:22" ht="15.75" customHeight="1" x14ac:dyDescent="0.25">
      <c r="V874" s="42"/>
    </row>
    <row r="875" spans="22:22" ht="15.75" customHeight="1" x14ac:dyDescent="0.25">
      <c r="V875" s="42"/>
    </row>
    <row r="876" spans="22:22" ht="15.75" customHeight="1" x14ac:dyDescent="0.25">
      <c r="V876" s="42"/>
    </row>
    <row r="877" spans="22:22" ht="15.75" customHeight="1" x14ac:dyDescent="0.25">
      <c r="V877" s="42"/>
    </row>
    <row r="878" spans="22:22" ht="15.75" customHeight="1" x14ac:dyDescent="0.25">
      <c r="V878" s="42"/>
    </row>
    <row r="879" spans="22:22" ht="15.75" customHeight="1" x14ac:dyDescent="0.25">
      <c r="V879" s="42"/>
    </row>
    <row r="880" spans="22:22" ht="15.75" customHeight="1" x14ac:dyDescent="0.25">
      <c r="V880" s="42"/>
    </row>
    <row r="881" spans="22:22" ht="15.75" customHeight="1" x14ac:dyDescent="0.25">
      <c r="V881" s="42"/>
    </row>
    <row r="882" spans="22:22" ht="15.75" customHeight="1" x14ac:dyDescent="0.25">
      <c r="V882" s="42"/>
    </row>
    <row r="883" spans="22:22" ht="15.75" customHeight="1" x14ac:dyDescent="0.25">
      <c r="V883" s="42"/>
    </row>
    <row r="884" spans="22:22" ht="15.75" customHeight="1" x14ac:dyDescent="0.25">
      <c r="V884" s="42"/>
    </row>
    <row r="885" spans="22:22" ht="15.75" customHeight="1" x14ac:dyDescent="0.25">
      <c r="V885" s="42"/>
    </row>
    <row r="886" spans="22:22" ht="15.75" customHeight="1" x14ac:dyDescent="0.25">
      <c r="V886" s="42"/>
    </row>
    <row r="887" spans="22:22" ht="15.75" customHeight="1" x14ac:dyDescent="0.25">
      <c r="V887" s="42"/>
    </row>
    <row r="888" spans="22:22" ht="15.75" customHeight="1" x14ac:dyDescent="0.25">
      <c r="V888" s="42"/>
    </row>
    <row r="889" spans="22:22" ht="15.75" customHeight="1" x14ac:dyDescent="0.25">
      <c r="V889" s="42"/>
    </row>
    <row r="890" spans="22:22" ht="15.75" customHeight="1" x14ac:dyDescent="0.25">
      <c r="V890" s="42"/>
    </row>
    <row r="891" spans="22:22" ht="15.75" customHeight="1" x14ac:dyDescent="0.25">
      <c r="V891" s="42"/>
    </row>
    <row r="892" spans="22:22" ht="15.75" customHeight="1" x14ac:dyDescent="0.25">
      <c r="V892" s="42"/>
    </row>
    <row r="893" spans="22:22" ht="15.75" customHeight="1" x14ac:dyDescent="0.25">
      <c r="V893" s="42"/>
    </row>
    <row r="894" spans="22:22" ht="15.75" customHeight="1" x14ac:dyDescent="0.25">
      <c r="V894" s="42"/>
    </row>
    <row r="895" spans="22:22" ht="15.75" customHeight="1" x14ac:dyDescent="0.25">
      <c r="V895" s="42"/>
    </row>
    <row r="896" spans="22:22" ht="15.75" customHeight="1" x14ac:dyDescent="0.25">
      <c r="V896" s="42"/>
    </row>
    <row r="897" spans="22:22" ht="15.75" customHeight="1" x14ac:dyDescent="0.25">
      <c r="V897" s="42"/>
    </row>
    <row r="898" spans="22:22" ht="15.75" customHeight="1" x14ac:dyDescent="0.25">
      <c r="V898" s="42"/>
    </row>
    <row r="899" spans="22:22" ht="15.75" customHeight="1" x14ac:dyDescent="0.25">
      <c r="V899" s="42"/>
    </row>
    <row r="900" spans="22:22" ht="15.75" customHeight="1" x14ac:dyDescent="0.25">
      <c r="V900" s="42"/>
    </row>
    <row r="901" spans="22:22" ht="15.75" customHeight="1" x14ac:dyDescent="0.25">
      <c r="V901" s="42"/>
    </row>
    <row r="902" spans="22:22" ht="15.75" customHeight="1" x14ac:dyDescent="0.25">
      <c r="V902" s="42"/>
    </row>
    <row r="903" spans="22:22" ht="15.75" customHeight="1" x14ac:dyDescent="0.25">
      <c r="V903" s="42"/>
    </row>
    <row r="904" spans="22:22" ht="15.75" customHeight="1" x14ac:dyDescent="0.25">
      <c r="V904" s="42"/>
    </row>
    <row r="905" spans="22:22" ht="15.75" customHeight="1" x14ac:dyDescent="0.25">
      <c r="V905" s="42"/>
    </row>
    <row r="906" spans="22:22" ht="15.75" customHeight="1" x14ac:dyDescent="0.25">
      <c r="V906" s="42"/>
    </row>
    <row r="907" spans="22:22" ht="15.75" customHeight="1" x14ac:dyDescent="0.25">
      <c r="V907" s="42"/>
    </row>
    <row r="908" spans="22:22" ht="15.75" customHeight="1" x14ac:dyDescent="0.25">
      <c r="V908" s="42"/>
    </row>
    <row r="909" spans="22:22" ht="15.75" customHeight="1" x14ac:dyDescent="0.25">
      <c r="V909" s="42"/>
    </row>
    <row r="910" spans="22:22" ht="15.75" customHeight="1" x14ac:dyDescent="0.25">
      <c r="V910" s="42"/>
    </row>
    <row r="911" spans="22:22" ht="15.75" customHeight="1" x14ac:dyDescent="0.25">
      <c r="V911" s="42"/>
    </row>
    <row r="912" spans="22:22" ht="15.75" customHeight="1" x14ac:dyDescent="0.25">
      <c r="V912" s="42"/>
    </row>
    <row r="913" spans="22:22" ht="15.75" customHeight="1" x14ac:dyDescent="0.25">
      <c r="V913" s="42"/>
    </row>
    <row r="914" spans="22:22" ht="15.75" customHeight="1" x14ac:dyDescent="0.25">
      <c r="V914" s="42"/>
    </row>
    <row r="915" spans="22:22" ht="15.75" customHeight="1" x14ac:dyDescent="0.25">
      <c r="V915" s="42"/>
    </row>
    <row r="916" spans="22:22" ht="15.75" customHeight="1" x14ac:dyDescent="0.25">
      <c r="V916" s="42"/>
    </row>
    <row r="917" spans="22:22" ht="15.75" customHeight="1" x14ac:dyDescent="0.25">
      <c r="V917" s="42"/>
    </row>
    <row r="918" spans="22:22" ht="15.75" customHeight="1" x14ac:dyDescent="0.25">
      <c r="V918" s="42"/>
    </row>
    <row r="919" spans="22:22" ht="15.75" customHeight="1" x14ac:dyDescent="0.25">
      <c r="V919" s="42"/>
    </row>
    <row r="920" spans="22:22" ht="15.75" customHeight="1" x14ac:dyDescent="0.25">
      <c r="V920" s="42"/>
    </row>
    <row r="921" spans="22:22" ht="15.75" customHeight="1" x14ac:dyDescent="0.25">
      <c r="V921" s="42"/>
    </row>
    <row r="922" spans="22:22" ht="15.75" customHeight="1" x14ac:dyDescent="0.25">
      <c r="V922" s="42"/>
    </row>
    <row r="923" spans="22:22" ht="15.75" customHeight="1" x14ac:dyDescent="0.25">
      <c r="V923" s="42"/>
    </row>
    <row r="924" spans="22:22" ht="15.75" customHeight="1" x14ac:dyDescent="0.25">
      <c r="V924" s="42"/>
    </row>
    <row r="925" spans="22:22" ht="15.75" customHeight="1" x14ac:dyDescent="0.25">
      <c r="V925" s="42"/>
    </row>
    <row r="926" spans="22:22" ht="15.75" customHeight="1" x14ac:dyDescent="0.25">
      <c r="V926" s="42"/>
    </row>
    <row r="927" spans="22:22" ht="15.75" customHeight="1" x14ac:dyDescent="0.25">
      <c r="V927" s="42"/>
    </row>
    <row r="928" spans="22:22" ht="15.75" customHeight="1" x14ac:dyDescent="0.25">
      <c r="V928" s="42"/>
    </row>
    <row r="929" spans="22:22" ht="15.75" customHeight="1" x14ac:dyDescent="0.25">
      <c r="V929" s="42"/>
    </row>
    <row r="930" spans="22:22" ht="15.75" customHeight="1" x14ac:dyDescent="0.25">
      <c r="V930" s="42"/>
    </row>
    <row r="931" spans="22:22" ht="15.75" customHeight="1" x14ac:dyDescent="0.25">
      <c r="V931" s="42"/>
    </row>
    <row r="932" spans="22:22" ht="15.75" customHeight="1" x14ac:dyDescent="0.25">
      <c r="V932" s="42"/>
    </row>
    <row r="933" spans="22:22" ht="15.75" customHeight="1" x14ac:dyDescent="0.25">
      <c r="V933" s="42"/>
    </row>
    <row r="934" spans="22:22" ht="15.75" customHeight="1" x14ac:dyDescent="0.25">
      <c r="V934" s="42"/>
    </row>
    <row r="935" spans="22:22" ht="15.75" customHeight="1" x14ac:dyDescent="0.25">
      <c r="V935" s="42"/>
    </row>
    <row r="936" spans="22:22" ht="15.75" customHeight="1" x14ac:dyDescent="0.25">
      <c r="V936" s="42"/>
    </row>
    <row r="937" spans="22:22" ht="15.75" customHeight="1" x14ac:dyDescent="0.25">
      <c r="V937" s="42"/>
    </row>
    <row r="938" spans="22:22" ht="15.75" customHeight="1" x14ac:dyDescent="0.25">
      <c r="V938" s="42"/>
    </row>
    <row r="939" spans="22:22" ht="15.75" customHeight="1" x14ac:dyDescent="0.25">
      <c r="V939" s="42"/>
    </row>
    <row r="940" spans="22:22" ht="15.75" customHeight="1" x14ac:dyDescent="0.25">
      <c r="V940" s="42"/>
    </row>
    <row r="941" spans="22:22" ht="15.75" customHeight="1" x14ac:dyDescent="0.25">
      <c r="V941" s="42"/>
    </row>
    <row r="942" spans="22:22" ht="15.75" customHeight="1" x14ac:dyDescent="0.25">
      <c r="V942" s="42"/>
    </row>
    <row r="943" spans="22:22" ht="15.75" customHeight="1" x14ac:dyDescent="0.25">
      <c r="V943" s="42"/>
    </row>
    <row r="944" spans="22:22" ht="15.75" customHeight="1" x14ac:dyDescent="0.25">
      <c r="V944" s="42"/>
    </row>
    <row r="945" spans="22:22" ht="15.75" customHeight="1" x14ac:dyDescent="0.25">
      <c r="V945" s="42"/>
    </row>
    <row r="946" spans="22:22" ht="15.75" customHeight="1" x14ac:dyDescent="0.25">
      <c r="V946" s="42"/>
    </row>
    <row r="947" spans="22:22" ht="15.75" customHeight="1" x14ac:dyDescent="0.25">
      <c r="V947" s="42"/>
    </row>
    <row r="948" spans="22:22" ht="15.75" customHeight="1" x14ac:dyDescent="0.25">
      <c r="V948" s="42"/>
    </row>
    <row r="949" spans="22:22" ht="15.75" customHeight="1" x14ac:dyDescent="0.25">
      <c r="V949" s="42"/>
    </row>
    <row r="950" spans="22:22" ht="15.75" customHeight="1" x14ac:dyDescent="0.25">
      <c r="V950" s="42"/>
    </row>
    <row r="951" spans="22:22" ht="15.75" customHeight="1" x14ac:dyDescent="0.25">
      <c r="V951" s="42"/>
    </row>
    <row r="952" spans="22:22" ht="15.75" customHeight="1" x14ac:dyDescent="0.25">
      <c r="V952" s="42"/>
    </row>
    <row r="953" spans="22:22" ht="15.75" customHeight="1" x14ac:dyDescent="0.25">
      <c r="V953" s="42"/>
    </row>
    <row r="954" spans="22:22" ht="15.75" customHeight="1" x14ac:dyDescent="0.25">
      <c r="V954" s="42"/>
    </row>
    <row r="955" spans="22:22" ht="15.75" customHeight="1" x14ac:dyDescent="0.25">
      <c r="V955" s="42"/>
    </row>
    <row r="956" spans="22:22" ht="15.75" customHeight="1" x14ac:dyDescent="0.25">
      <c r="V956" s="42"/>
    </row>
    <row r="957" spans="22:22" ht="15.75" customHeight="1" x14ac:dyDescent="0.25">
      <c r="V957" s="42"/>
    </row>
    <row r="958" spans="22:22" ht="15.75" customHeight="1" x14ac:dyDescent="0.25">
      <c r="V958" s="42"/>
    </row>
    <row r="959" spans="22:22" ht="15.75" customHeight="1" x14ac:dyDescent="0.25">
      <c r="V959" s="42"/>
    </row>
    <row r="960" spans="22:22" ht="15.75" customHeight="1" x14ac:dyDescent="0.25">
      <c r="V960" s="42"/>
    </row>
    <row r="961" spans="22:22" ht="15.75" customHeight="1" x14ac:dyDescent="0.25">
      <c r="V961" s="42"/>
    </row>
    <row r="962" spans="22:22" ht="15.75" customHeight="1" x14ac:dyDescent="0.25">
      <c r="V962" s="42"/>
    </row>
    <row r="963" spans="22:22" ht="15.75" customHeight="1" x14ac:dyDescent="0.25">
      <c r="V963" s="42"/>
    </row>
    <row r="964" spans="22:22" ht="15.75" customHeight="1" x14ac:dyDescent="0.25">
      <c r="V964" s="42"/>
    </row>
    <row r="965" spans="22:22" ht="15.75" customHeight="1" x14ac:dyDescent="0.25">
      <c r="V965" s="42"/>
    </row>
    <row r="966" spans="22:22" ht="15.75" customHeight="1" x14ac:dyDescent="0.25">
      <c r="V966" s="42"/>
    </row>
    <row r="967" spans="22:22" ht="15.75" customHeight="1" x14ac:dyDescent="0.25">
      <c r="V967" s="42"/>
    </row>
    <row r="968" spans="22:22" ht="15.75" customHeight="1" x14ac:dyDescent="0.25">
      <c r="V968" s="42"/>
    </row>
    <row r="969" spans="22:22" ht="15.75" customHeight="1" x14ac:dyDescent="0.25">
      <c r="V969" s="42"/>
    </row>
    <row r="970" spans="22:22" ht="15.75" customHeight="1" x14ac:dyDescent="0.25">
      <c r="V970" s="42"/>
    </row>
    <row r="971" spans="22:22" ht="15.75" customHeight="1" x14ac:dyDescent="0.25">
      <c r="V971" s="42"/>
    </row>
    <row r="972" spans="22:22" ht="15.75" customHeight="1" x14ac:dyDescent="0.25">
      <c r="V972" s="42"/>
    </row>
    <row r="973" spans="22:22" ht="15.75" customHeight="1" x14ac:dyDescent="0.25">
      <c r="V973" s="42"/>
    </row>
    <row r="974" spans="22:22" ht="15.75" customHeight="1" x14ac:dyDescent="0.25">
      <c r="V974" s="42"/>
    </row>
    <row r="975" spans="22:22" ht="15.75" customHeight="1" x14ac:dyDescent="0.25">
      <c r="V975" s="42"/>
    </row>
    <row r="976" spans="22:22" ht="15.75" customHeight="1" x14ac:dyDescent="0.25">
      <c r="V976" s="42"/>
    </row>
    <row r="977" spans="22:22" ht="15.75" customHeight="1" x14ac:dyDescent="0.25">
      <c r="V977" s="42"/>
    </row>
    <row r="978" spans="22:22" ht="15.75" customHeight="1" x14ac:dyDescent="0.25">
      <c r="V978" s="42"/>
    </row>
    <row r="979" spans="22:22" ht="15.75" customHeight="1" x14ac:dyDescent="0.25">
      <c r="V979" s="42"/>
    </row>
    <row r="980" spans="22:22" ht="15.75" customHeight="1" x14ac:dyDescent="0.25">
      <c r="V980" s="42"/>
    </row>
    <row r="981" spans="22:22" ht="15.75" customHeight="1" x14ac:dyDescent="0.25">
      <c r="V981" s="42"/>
    </row>
    <row r="982" spans="22:22" ht="15.75" customHeight="1" x14ac:dyDescent="0.25">
      <c r="V982" s="42"/>
    </row>
    <row r="983" spans="22:22" ht="15.75" customHeight="1" x14ac:dyDescent="0.25">
      <c r="V983" s="42"/>
    </row>
    <row r="984" spans="22:22" ht="15.75" customHeight="1" x14ac:dyDescent="0.25">
      <c r="V984" s="42"/>
    </row>
    <row r="985" spans="22:22" ht="15.75" customHeight="1" x14ac:dyDescent="0.25">
      <c r="V985" s="42"/>
    </row>
    <row r="986" spans="22:22" ht="15.75" customHeight="1" x14ac:dyDescent="0.25">
      <c r="V986" s="42"/>
    </row>
    <row r="987" spans="22:22" ht="15.75" customHeight="1" x14ac:dyDescent="0.25">
      <c r="V987" s="42"/>
    </row>
    <row r="988" spans="22:22" ht="15.75" customHeight="1" x14ac:dyDescent="0.25">
      <c r="V988" s="42"/>
    </row>
    <row r="989" spans="22:22" ht="15.75" customHeight="1" x14ac:dyDescent="0.25">
      <c r="V989" s="42"/>
    </row>
    <row r="990" spans="22:22" ht="15.75" customHeight="1" x14ac:dyDescent="0.25">
      <c r="V990" s="42"/>
    </row>
    <row r="991" spans="22:22" ht="15.75" customHeight="1" x14ac:dyDescent="0.25">
      <c r="V991" s="42"/>
    </row>
    <row r="992" spans="22:22" ht="15.75" customHeight="1" x14ac:dyDescent="0.25">
      <c r="V992" s="42"/>
    </row>
    <row r="993" spans="22:22" ht="15.75" customHeight="1" x14ac:dyDescent="0.25">
      <c r="V993" s="42"/>
    </row>
    <row r="994" spans="22:22" ht="15.75" customHeight="1" x14ac:dyDescent="0.25">
      <c r="V994" s="42"/>
    </row>
    <row r="995" spans="22:22" ht="15.75" customHeight="1" x14ac:dyDescent="0.25">
      <c r="V995" s="42"/>
    </row>
    <row r="996" spans="22:22" ht="15.75" customHeight="1" x14ac:dyDescent="0.25">
      <c r="V996" s="42"/>
    </row>
    <row r="997" spans="22:22" ht="15.75" customHeight="1" x14ac:dyDescent="0.25">
      <c r="V997" s="42"/>
    </row>
    <row r="998" spans="22:22" ht="15.75" customHeight="1" x14ac:dyDescent="0.25">
      <c r="V998" s="42"/>
    </row>
    <row r="999" spans="22:22" ht="15.75" customHeight="1" x14ac:dyDescent="0.25">
      <c r="V999" s="42"/>
    </row>
    <row r="1000" spans="22:22" ht="15.75" customHeight="1" x14ac:dyDescent="0.25">
      <c r="V1000" s="42"/>
    </row>
    <row r="1001" spans="22:22" ht="15.75" customHeight="1" x14ac:dyDescent="0.25">
      <c r="V1001" s="42"/>
    </row>
  </sheetData>
  <autoFilter ref="A11:W36" xr:uid="{00000000-0009-0000-0000-000005000000}"/>
  <mergeCells count="33">
    <mergeCell ref="G38:J38"/>
    <mergeCell ref="N38:Q38"/>
    <mergeCell ref="C39:E39"/>
    <mergeCell ref="G39:J39"/>
    <mergeCell ref="E45:G45"/>
    <mergeCell ref="N45:Q45"/>
    <mergeCell ref="G44:J44"/>
    <mergeCell ref="B45:C45"/>
    <mergeCell ref="A39:B39"/>
    <mergeCell ref="A40:B40"/>
    <mergeCell ref="A41:B41"/>
    <mergeCell ref="A42:B42"/>
    <mergeCell ref="C44:E44"/>
    <mergeCell ref="A30:E30"/>
    <mergeCell ref="A33:T33"/>
    <mergeCell ref="A34:T34"/>
    <mergeCell ref="A35:T35"/>
    <mergeCell ref="A36:T36"/>
    <mergeCell ref="A3:T4"/>
    <mergeCell ref="I9:N9"/>
    <mergeCell ref="P9:R9"/>
    <mergeCell ref="I10:K10"/>
    <mergeCell ref="L10:M10"/>
    <mergeCell ref="E9:E11"/>
    <mergeCell ref="G9:G11"/>
    <mergeCell ref="H9:H11"/>
    <mergeCell ref="D9:D11"/>
    <mergeCell ref="C9:C11"/>
    <mergeCell ref="B9:B11"/>
    <mergeCell ref="A9:A11"/>
    <mergeCell ref="N10:N11"/>
    <mergeCell ref="O9:O11"/>
    <mergeCell ref="T9:T11"/>
  </mergeCells>
  <pageMargins left="0.2" right="0.2" top="0.25" bottom="0.25"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1:Z1000"/>
  <sheetViews>
    <sheetView showGridLines="0" workbookViewId="0"/>
  </sheetViews>
  <sheetFormatPr defaultColWidth="12.6640625" defaultRowHeight="15" customHeight="1" x14ac:dyDescent="0.25"/>
  <cols>
    <col min="1" max="1" width="5.6640625" customWidth="1"/>
    <col min="2" max="3" width="20.6640625" customWidth="1"/>
    <col min="4" max="4" width="10.33203125" customWidth="1"/>
    <col min="5" max="5" width="25.109375" customWidth="1"/>
    <col min="6" max="6" width="7.33203125" customWidth="1"/>
    <col min="7" max="7" width="14.109375" customWidth="1"/>
    <col min="8" max="11" width="14.6640625" customWidth="1"/>
    <col min="12" max="12" width="13.33203125" customWidth="1"/>
    <col min="13" max="13" width="14.6640625" customWidth="1"/>
    <col min="14" max="14" width="13.33203125" customWidth="1"/>
    <col min="15" max="15" width="19.21875" customWidth="1"/>
    <col min="16" max="16" width="9.33203125" customWidth="1"/>
    <col min="17" max="17" width="13.88671875" customWidth="1"/>
    <col min="18" max="18" width="14.6640625" customWidth="1"/>
    <col min="20" max="20" width="14" customWidth="1"/>
  </cols>
  <sheetData>
    <row r="1" spans="1:26" ht="15.75" customHeight="1" x14ac:dyDescent="0.25">
      <c r="A1" s="156"/>
      <c r="B1" s="157"/>
      <c r="C1" s="157"/>
      <c r="D1" s="157"/>
      <c r="E1" s="158"/>
      <c r="F1" s="157"/>
      <c r="G1" s="156"/>
      <c r="H1" s="156"/>
      <c r="I1" s="156"/>
      <c r="J1" s="156"/>
      <c r="K1" s="156"/>
      <c r="L1" s="156"/>
      <c r="M1" s="156"/>
      <c r="N1" s="156"/>
      <c r="O1" s="156"/>
      <c r="P1" s="156"/>
      <c r="Q1" s="156"/>
      <c r="R1" s="156"/>
      <c r="S1" s="140"/>
      <c r="T1" s="196"/>
      <c r="U1" s="140"/>
      <c r="V1" s="140"/>
      <c r="W1" s="140"/>
      <c r="X1" s="140"/>
      <c r="Y1" s="140"/>
      <c r="Z1" s="140"/>
    </row>
    <row r="2" spans="1:26" ht="17.25" customHeight="1" x14ac:dyDescent="0.25">
      <c r="A2" s="609" t="s">
        <v>126</v>
      </c>
      <c r="B2" s="582"/>
      <c r="C2" s="582"/>
      <c r="D2" s="582"/>
      <c r="E2" s="582"/>
      <c r="F2" s="582"/>
      <c r="G2" s="582"/>
      <c r="H2" s="582"/>
      <c r="I2" s="582"/>
      <c r="J2" s="582"/>
      <c r="K2" s="582"/>
      <c r="L2" s="582"/>
      <c r="M2" s="582"/>
      <c r="N2" s="582"/>
      <c r="O2" s="582"/>
      <c r="P2" s="582"/>
      <c r="Q2" s="582"/>
      <c r="R2" s="583"/>
      <c r="S2" s="140"/>
      <c r="T2" s="196"/>
      <c r="U2" s="140"/>
      <c r="V2" s="140"/>
      <c r="W2" s="140"/>
      <c r="X2" s="140"/>
      <c r="Y2" s="140"/>
      <c r="Z2" s="140"/>
    </row>
    <row r="3" spans="1:26" ht="17.25" customHeight="1" x14ac:dyDescent="0.25">
      <c r="A3" s="586"/>
      <c r="B3" s="587"/>
      <c r="C3" s="587"/>
      <c r="D3" s="587"/>
      <c r="E3" s="587"/>
      <c r="F3" s="587"/>
      <c r="G3" s="587"/>
      <c r="H3" s="587"/>
      <c r="I3" s="587"/>
      <c r="J3" s="587"/>
      <c r="K3" s="587"/>
      <c r="L3" s="587"/>
      <c r="M3" s="587"/>
      <c r="N3" s="587"/>
      <c r="O3" s="587"/>
      <c r="P3" s="587"/>
      <c r="Q3" s="587"/>
      <c r="R3" s="588"/>
      <c r="S3" s="140"/>
      <c r="T3" s="196"/>
      <c r="U3" s="140"/>
      <c r="V3" s="140"/>
      <c r="W3" s="140"/>
      <c r="X3" s="140"/>
      <c r="Y3" s="140"/>
      <c r="Z3" s="140"/>
    </row>
    <row r="4" spans="1:26" ht="21.75" customHeight="1" x14ac:dyDescent="0.25">
      <c r="A4" s="613" t="s">
        <v>1</v>
      </c>
      <c r="B4" s="613" t="s">
        <v>129</v>
      </c>
      <c r="C4" s="613" t="s">
        <v>95</v>
      </c>
      <c r="D4" s="613" t="s">
        <v>130</v>
      </c>
      <c r="E4" s="613" t="s">
        <v>41</v>
      </c>
      <c r="F4" s="613" t="s">
        <v>131</v>
      </c>
      <c r="G4" s="639" t="s">
        <v>159</v>
      </c>
      <c r="H4" s="640" t="s">
        <v>160</v>
      </c>
      <c r="I4" s="638" t="s">
        <v>159</v>
      </c>
      <c r="J4" s="140"/>
      <c r="K4" s="140"/>
      <c r="L4" s="140"/>
      <c r="M4" s="140"/>
      <c r="N4" s="140"/>
      <c r="O4" s="140"/>
      <c r="P4" s="140"/>
      <c r="Q4" s="140"/>
      <c r="R4" s="140"/>
      <c r="S4" s="140"/>
      <c r="T4" s="140"/>
      <c r="U4" s="140"/>
      <c r="V4" s="140"/>
      <c r="W4" s="140"/>
      <c r="X4" s="140"/>
      <c r="Y4" s="140"/>
      <c r="Z4" s="140"/>
    </row>
    <row r="5" spans="1:26" ht="33.75" customHeight="1" x14ac:dyDescent="0.25">
      <c r="A5" s="637"/>
      <c r="B5" s="637"/>
      <c r="C5" s="637"/>
      <c r="D5" s="637"/>
      <c r="E5" s="637"/>
      <c r="F5" s="637"/>
      <c r="G5" s="637"/>
      <c r="H5" s="637"/>
      <c r="I5" s="637"/>
      <c r="J5" s="140"/>
      <c r="K5" s="140"/>
      <c r="L5" s="140"/>
      <c r="M5" s="140"/>
      <c r="N5" s="140"/>
      <c r="O5" s="140"/>
      <c r="P5" s="140"/>
      <c r="Q5" s="140"/>
      <c r="R5" s="140"/>
      <c r="S5" s="140"/>
      <c r="T5" s="140"/>
      <c r="U5" s="140"/>
      <c r="V5" s="140"/>
      <c r="W5" s="140"/>
      <c r="X5" s="140"/>
      <c r="Y5" s="140"/>
      <c r="Z5" s="140"/>
    </row>
    <row r="6" spans="1:26" ht="27" customHeight="1" x14ac:dyDescent="0.25">
      <c r="A6" s="604"/>
      <c r="B6" s="604"/>
      <c r="C6" s="604"/>
      <c r="D6" s="604"/>
      <c r="E6" s="604"/>
      <c r="F6" s="604"/>
      <c r="G6" s="604"/>
      <c r="H6" s="604"/>
      <c r="I6" s="604"/>
      <c r="J6" s="140"/>
      <c r="K6" s="140"/>
      <c r="L6" s="140"/>
      <c r="M6" s="140"/>
      <c r="N6" s="140"/>
      <c r="O6" s="140"/>
      <c r="P6" s="140"/>
      <c r="Q6" s="140"/>
      <c r="R6" s="140"/>
      <c r="S6" s="140"/>
      <c r="T6" s="140"/>
      <c r="U6" s="140"/>
      <c r="V6" s="140"/>
      <c r="W6" s="140"/>
      <c r="X6" s="140"/>
      <c r="Y6" s="140"/>
      <c r="Z6" s="140"/>
    </row>
    <row r="7" spans="1:26" ht="37.5" customHeight="1" x14ac:dyDescent="0.25">
      <c r="A7" s="172">
        <f t="shared" ref="A7:A8" si="0">SUBTOTAL(3,$C$7:C7)</f>
        <v>1</v>
      </c>
      <c r="B7" s="117" t="s">
        <v>103</v>
      </c>
      <c r="C7" s="117" t="s">
        <v>161</v>
      </c>
      <c r="D7" s="37" t="s">
        <v>49</v>
      </c>
      <c r="E7" s="38" t="s">
        <v>50</v>
      </c>
      <c r="F7" s="183"/>
      <c r="G7" s="175">
        <f>I7/90%</f>
        <v>3333333.333333333</v>
      </c>
      <c r="H7" s="197">
        <f t="shared" ref="H7:H8" si="1">G7*10%</f>
        <v>333333.33333333331</v>
      </c>
      <c r="I7" s="175">
        <v>3000000</v>
      </c>
      <c r="J7" s="198"/>
      <c r="K7" s="151"/>
      <c r="L7" s="151"/>
      <c r="M7" s="151"/>
      <c r="N7" s="151"/>
      <c r="O7" s="151"/>
      <c r="P7" s="151"/>
      <c r="Q7" s="151"/>
      <c r="R7" s="151"/>
      <c r="S7" s="151"/>
      <c r="T7" s="151"/>
      <c r="U7" s="151"/>
      <c r="V7" s="151"/>
      <c r="W7" s="151"/>
      <c r="X7" s="151"/>
      <c r="Y7" s="151"/>
      <c r="Z7" s="151"/>
    </row>
    <row r="8" spans="1:26" ht="37.5" customHeight="1" x14ac:dyDescent="0.25">
      <c r="A8" s="172">
        <f t="shared" si="0"/>
        <v>2</v>
      </c>
      <c r="B8" s="117" t="s">
        <v>103</v>
      </c>
      <c r="C8" s="117" t="s">
        <v>161</v>
      </c>
      <c r="D8" s="37" t="s">
        <v>162</v>
      </c>
      <c r="E8" s="38" t="s">
        <v>163</v>
      </c>
      <c r="F8" s="183"/>
      <c r="G8" s="175">
        <v>13333333</v>
      </c>
      <c r="H8" s="197">
        <f t="shared" si="1"/>
        <v>1333333.3</v>
      </c>
      <c r="I8" s="175">
        <v>12000000</v>
      </c>
      <c r="J8" s="198"/>
      <c r="K8" s="151"/>
      <c r="L8" s="151"/>
      <c r="M8" s="151"/>
      <c r="N8" s="151"/>
      <c r="O8" s="151"/>
      <c r="P8" s="151"/>
      <c r="Q8" s="151"/>
      <c r="R8" s="151"/>
      <c r="S8" s="151"/>
      <c r="T8" s="151"/>
      <c r="U8" s="151"/>
      <c r="V8" s="151"/>
      <c r="W8" s="151"/>
      <c r="X8" s="151"/>
      <c r="Y8" s="151"/>
      <c r="Z8" s="151"/>
    </row>
    <row r="9" spans="1:26" ht="30" customHeight="1" x14ac:dyDescent="0.25">
      <c r="A9" s="641" t="s">
        <v>51</v>
      </c>
      <c r="B9" s="531"/>
      <c r="C9" s="531"/>
      <c r="D9" s="531"/>
      <c r="E9" s="532"/>
      <c r="F9" s="2"/>
      <c r="G9" s="199">
        <f t="shared" ref="G9:I9" si="2">SUM(G7)</f>
        <v>3333333.333333333</v>
      </c>
      <c r="H9" s="199">
        <f t="shared" si="2"/>
        <v>333333.33333333331</v>
      </c>
      <c r="I9" s="199">
        <f t="shared" si="2"/>
        <v>3000000</v>
      </c>
      <c r="J9" s="196"/>
      <c r="K9" s="140"/>
      <c r="L9" s="140"/>
      <c r="M9" s="140"/>
      <c r="N9" s="140"/>
      <c r="O9" s="140"/>
      <c r="P9" s="140"/>
      <c r="Q9" s="140"/>
      <c r="R9" s="140"/>
      <c r="S9" s="140"/>
      <c r="T9" s="140"/>
      <c r="U9" s="140"/>
      <c r="V9" s="140"/>
      <c r="W9" s="140"/>
      <c r="X9" s="140"/>
      <c r="Y9" s="140"/>
      <c r="Z9" s="140"/>
    </row>
    <row r="10" spans="1:26" ht="15.75" customHeight="1" x14ac:dyDescent="0.3">
      <c r="A10" s="40"/>
      <c r="B10" s="40"/>
      <c r="C10" s="40"/>
      <c r="D10" s="40"/>
      <c r="E10" s="40"/>
      <c r="F10" s="39"/>
      <c r="G10" s="162"/>
      <c r="H10" s="162"/>
      <c r="I10" s="184"/>
      <c r="J10" s="184"/>
      <c r="K10" s="184"/>
      <c r="L10" s="184"/>
      <c r="M10" s="184"/>
      <c r="N10" s="185"/>
      <c r="O10" s="186"/>
      <c r="P10" s="187" t="e">
        <f>+#REF!/Q10</f>
        <v>#REF!</v>
      </c>
      <c r="Q10" s="188">
        <v>2500000000</v>
      </c>
      <c r="R10" s="188"/>
      <c r="S10" s="140"/>
      <c r="T10" s="196"/>
      <c r="U10" s="140"/>
      <c r="V10" s="140"/>
      <c r="W10" s="140"/>
      <c r="X10" s="140"/>
      <c r="Y10" s="140"/>
      <c r="Z10" s="140"/>
    </row>
    <row r="11" spans="1:26" ht="15.75" customHeight="1" x14ac:dyDescent="0.3">
      <c r="A11" s="40"/>
      <c r="B11" s="40"/>
      <c r="C11" s="40"/>
      <c r="D11" s="40"/>
      <c r="E11" s="40"/>
      <c r="F11" s="39"/>
      <c r="G11" s="162"/>
      <c r="H11" s="162"/>
      <c r="I11" s="184"/>
      <c r="J11" s="184"/>
      <c r="K11" s="184"/>
      <c r="L11" s="184"/>
      <c r="M11" s="184"/>
      <c r="N11" s="189"/>
      <c r="O11" s="40"/>
      <c r="P11" s="40"/>
      <c r="Q11" s="184"/>
      <c r="R11" s="184"/>
      <c r="S11" s="140"/>
      <c r="T11" s="196"/>
      <c r="U11" s="140"/>
      <c r="V11" s="140"/>
      <c r="W11" s="140"/>
      <c r="X11" s="140"/>
      <c r="Y11" s="140"/>
      <c r="Z11" s="140"/>
    </row>
    <row r="12" spans="1:26" ht="15.75" customHeight="1" x14ac:dyDescent="0.3">
      <c r="A12" s="191"/>
      <c r="B12" s="192"/>
      <c r="C12" s="192"/>
      <c r="D12" s="192"/>
      <c r="E12" s="192"/>
      <c r="F12" s="192"/>
      <c r="G12" s="631" t="s">
        <v>164</v>
      </c>
      <c r="H12" s="502"/>
      <c r="I12" s="502"/>
      <c r="J12" s="502"/>
      <c r="K12" s="185"/>
      <c r="L12" s="185"/>
      <c r="M12" s="632"/>
      <c r="N12" s="502"/>
      <c r="O12" s="502"/>
      <c r="P12" s="502"/>
      <c r="Q12" s="193"/>
      <c r="R12" s="193"/>
      <c r="S12" s="140"/>
      <c r="T12" s="196"/>
      <c r="U12" s="140"/>
      <c r="V12" s="140"/>
      <c r="W12" s="140"/>
      <c r="X12" s="140"/>
      <c r="Y12" s="140"/>
      <c r="Z12" s="140"/>
    </row>
    <row r="13" spans="1:26" ht="15.75" customHeight="1" x14ac:dyDescent="0.3">
      <c r="A13" s="636"/>
      <c r="B13" s="502"/>
      <c r="C13" s="633"/>
      <c r="D13" s="502"/>
      <c r="E13" s="502"/>
      <c r="F13" s="140"/>
      <c r="G13" s="634" t="s">
        <v>38</v>
      </c>
      <c r="H13" s="502"/>
      <c r="I13" s="502"/>
      <c r="J13" s="502"/>
      <c r="K13" s="194"/>
      <c r="L13" s="194"/>
      <c r="M13" s="184"/>
      <c r="N13" s="189"/>
      <c r="O13" s="40"/>
      <c r="P13" s="40"/>
      <c r="Q13" s="184"/>
      <c r="R13" s="184"/>
      <c r="S13" s="140"/>
      <c r="T13" s="196"/>
      <c r="U13" s="140"/>
      <c r="V13" s="140"/>
      <c r="W13" s="140"/>
      <c r="X13" s="140"/>
      <c r="Y13" s="140"/>
      <c r="Z13" s="140"/>
    </row>
    <row r="14" spans="1:26" ht="15.75" customHeight="1" x14ac:dyDescent="0.3">
      <c r="A14" s="636"/>
      <c r="B14" s="502"/>
      <c r="C14" s="192"/>
      <c r="D14" s="192"/>
      <c r="E14" s="200">
        <f>G8*90%</f>
        <v>11999999.700000001</v>
      </c>
      <c r="F14" s="192"/>
      <c r="G14" s="185"/>
      <c r="H14" s="185"/>
      <c r="I14" s="185"/>
      <c r="J14" s="185"/>
      <c r="K14" s="185"/>
      <c r="L14" s="185"/>
      <c r="M14" s="184"/>
      <c r="N14" s="189"/>
      <c r="O14" s="40"/>
      <c r="P14" s="40"/>
      <c r="Q14" s="184"/>
      <c r="R14" s="184"/>
      <c r="S14" s="140"/>
      <c r="T14" s="196"/>
      <c r="U14" s="140"/>
      <c r="V14" s="140"/>
      <c r="W14" s="140"/>
      <c r="X14" s="140"/>
      <c r="Y14" s="140"/>
      <c r="Z14" s="140"/>
    </row>
    <row r="15" spans="1:26" ht="15.75" customHeight="1" x14ac:dyDescent="0.3">
      <c r="A15" s="636"/>
      <c r="B15" s="502"/>
      <c r="C15" s="192"/>
      <c r="D15" s="192"/>
      <c r="E15" s="192"/>
      <c r="F15" s="192"/>
      <c r="G15" s="185"/>
      <c r="H15" s="185"/>
      <c r="I15" s="185"/>
      <c r="J15" s="185"/>
      <c r="K15" s="185"/>
      <c r="L15" s="185"/>
      <c r="M15" s="184"/>
      <c r="N15" s="189"/>
      <c r="O15" s="40"/>
      <c r="P15" s="40"/>
      <c r="Q15" s="184"/>
      <c r="R15" s="184"/>
      <c r="S15" s="140"/>
      <c r="T15" s="196"/>
      <c r="U15" s="140"/>
      <c r="V15" s="140"/>
      <c r="W15" s="140"/>
      <c r="X15" s="140"/>
      <c r="Y15" s="140"/>
      <c r="Z15" s="140"/>
    </row>
    <row r="16" spans="1:26" ht="15.75" customHeight="1" x14ac:dyDescent="0.3">
      <c r="A16" s="636"/>
      <c r="B16" s="502"/>
      <c r="C16" s="192"/>
      <c r="D16" s="192"/>
      <c r="E16" s="192"/>
      <c r="F16" s="192"/>
      <c r="G16" s="185"/>
      <c r="H16" s="185"/>
      <c r="I16" s="185"/>
      <c r="J16" s="185"/>
      <c r="K16" s="185"/>
      <c r="L16" s="185"/>
      <c r="M16" s="184"/>
      <c r="N16" s="189"/>
      <c r="O16" s="40"/>
      <c r="P16" s="40"/>
      <c r="Q16" s="184"/>
      <c r="R16" s="184"/>
      <c r="S16" s="140"/>
      <c r="T16" s="196"/>
      <c r="U16" s="140"/>
      <c r="V16" s="140"/>
      <c r="W16" s="140"/>
      <c r="X16" s="140"/>
      <c r="Y16" s="140"/>
      <c r="Z16" s="140"/>
    </row>
    <row r="17" spans="1:26" ht="15.75" customHeight="1" x14ac:dyDescent="0.3">
      <c r="A17" s="192"/>
      <c r="B17" s="192"/>
      <c r="C17" s="192"/>
      <c r="D17" s="192"/>
      <c r="E17" s="192"/>
      <c r="F17" s="192"/>
      <c r="G17" s="185"/>
      <c r="H17" s="185"/>
      <c r="I17" s="185"/>
      <c r="J17" s="185"/>
      <c r="K17" s="185"/>
      <c r="L17" s="185"/>
      <c r="M17" s="184"/>
      <c r="N17" s="189"/>
      <c r="O17" s="40"/>
      <c r="P17" s="40"/>
      <c r="Q17" s="184"/>
      <c r="R17" s="184"/>
      <c r="S17" s="140"/>
      <c r="T17" s="196"/>
      <c r="U17" s="140"/>
      <c r="V17" s="140"/>
      <c r="W17" s="140"/>
      <c r="X17" s="140"/>
      <c r="Y17" s="140"/>
      <c r="Z17" s="140"/>
    </row>
    <row r="18" spans="1:26" ht="15.75" customHeight="1" x14ac:dyDescent="0.3">
      <c r="A18" s="140"/>
      <c r="B18" s="192"/>
      <c r="C18" s="633"/>
      <c r="D18" s="502"/>
      <c r="E18" s="502"/>
      <c r="F18" s="140"/>
      <c r="G18" s="634" t="s">
        <v>39</v>
      </c>
      <c r="H18" s="502"/>
      <c r="I18" s="502"/>
      <c r="J18" s="502"/>
      <c r="K18" s="185"/>
      <c r="L18" s="185"/>
      <c r="M18" s="184"/>
      <c r="N18" s="189"/>
      <c r="O18" s="40"/>
      <c r="P18" s="40"/>
      <c r="Q18" s="184"/>
      <c r="R18" s="184"/>
      <c r="S18" s="140"/>
      <c r="T18" s="196"/>
      <c r="U18" s="140"/>
      <c r="V18" s="140"/>
      <c r="W18" s="140"/>
      <c r="X18" s="140"/>
      <c r="Y18" s="140"/>
      <c r="Z18" s="140"/>
    </row>
    <row r="19" spans="1:26" ht="15.75" customHeight="1" x14ac:dyDescent="0.3">
      <c r="A19" s="47"/>
      <c r="B19" s="635"/>
      <c r="C19" s="502"/>
      <c r="D19" s="140"/>
      <c r="E19" s="635"/>
      <c r="F19" s="502"/>
      <c r="G19" s="502"/>
      <c r="H19" s="195"/>
      <c r="I19" s="193"/>
      <c r="J19" s="193"/>
      <c r="K19" s="193"/>
      <c r="L19" s="193"/>
      <c r="M19" s="632"/>
      <c r="N19" s="502"/>
      <c r="O19" s="502"/>
      <c r="P19" s="502"/>
      <c r="Q19" s="193"/>
      <c r="R19" s="193"/>
      <c r="S19" s="140"/>
      <c r="T19" s="196"/>
      <c r="U19" s="140"/>
      <c r="V19" s="140"/>
      <c r="W19" s="140"/>
      <c r="X19" s="140"/>
      <c r="Y19" s="140"/>
      <c r="Z19" s="140"/>
    </row>
    <row r="20" spans="1:26" ht="13.2" x14ac:dyDescent="0.25">
      <c r="A20" s="140"/>
      <c r="B20" s="140"/>
      <c r="C20" s="140"/>
      <c r="D20" s="140"/>
      <c r="E20" s="140"/>
      <c r="F20" s="140"/>
      <c r="G20" s="140"/>
      <c r="H20" s="140"/>
      <c r="I20" s="140"/>
      <c r="J20" s="140"/>
      <c r="K20" s="140"/>
      <c r="L20" s="140"/>
      <c r="M20" s="140"/>
      <c r="N20" s="140"/>
      <c r="O20" s="140"/>
      <c r="P20" s="140"/>
      <c r="Q20" s="140"/>
      <c r="R20" s="140"/>
      <c r="S20" s="140"/>
      <c r="T20" s="196"/>
      <c r="U20" s="140"/>
      <c r="V20" s="140"/>
      <c r="W20" s="140"/>
      <c r="X20" s="140"/>
      <c r="Y20" s="140"/>
      <c r="Z20" s="140"/>
    </row>
    <row r="21" spans="1:26" ht="15.75" customHeight="1" x14ac:dyDescent="0.25">
      <c r="A21" s="140"/>
      <c r="B21" s="140"/>
      <c r="C21" s="140"/>
      <c r="D21" s="140"/>
      <c r="E21" s="140"/>
      <c r="F21" s="140"/>
      <c r="G21" s="140"/>
      <c r="H21" s="140"/>
      <c r="I21" s="140"/>
      <c r="J21" s="140"/>
      <c r="K21" s="140"/>
      <c r="L21" s="140"/>
      <c r="M21" s="140"/>
      <c r="N21" s="140"/>
      <c r="O21" s="140"/>
      <c r="P21" s="140"/>
      <c r="Q21" s="140"/>
      <c r="R21" s="140"/>
      <c r="S21" s="140"/>
      <c r="T21" s="196"/>
      <c r="U21" s="140"/>
      <c r="V21" s="140"/>
      <c r="W21" s="140"/>
      <c r="X21" s="140"/>
      <c r="Y21" s="140"/>
      <c r="Z21" s="140"/>
    </row>
    <row r="22" spans="1:26" ht="15.75" customHeight="1" x14ac:dyDescent="0.25">
      <c r="A22" s="140"/>
      <c r="B22" s="140"/>
      <c r="C22" s="140"/>
      <c r="D22" s="140"/>
      <c r="E22" s="140"/>
      <c r="F22" s="140"/>
      <c r="G22" s="140"/>
      <c r="H22" s="140"/>
      <c r="I22" s="140"/>
      <c r="J22" s="140"/>
      <c r="K22" s="140"/>
      <c r="L22" s="140"/>
      <c r="M22" s="140"/>
      <c r="N22" s="140"/>
      <c r="O22" s="140"/>
      <c r="P22" s="140"/>
      <c r="Q22" s="140"/>
      <c r="R22" s="140"/>
      <c r="S22" s="140"/>
      <c r="T22" s="196"/>
      <c r="U22" s="140"/>
      <c r="V22" s="140"/>
      <c r="W22" s="140"/>
      <c r="X22" s="140"/>
      <c r="Y22" s="140"/>
      <c r="Z22" s="140"/>
    </row>
    <row r="23" spans="1:26" ht="15.75" customHeight="1" x14ac:dyDescent="0.25">
      <c r="A23" s="140"/>
      <c r="B23" s="140"/>
      <c r="C23" s="140"/>
      <c r="D23" s="140"/>
      <c r="E23" s="140"/>
      <c r="F23" s="140"/>
      <c r="G23" s="140"/>
      <c r="H23" s="140"/>
      <c r="I23" s="140"/>
      <c r="J23" s="140"/>
      <c r="K23" s="140"/>
      <c r="L23" s="140"/>
      <c r="M23" s="140"/>
      <c r="N23" s="140"/>
      <c r="O23" s="140"/>
      <c r="P23" s="140"/>
      <c r="Q23" s="140"/>
      <c r="R23" s="140"/>
      <c r="S23" s="140"/>
      <c r="T23" s="196"/>
      <c r="U23" s="140"/>
      <c r="V23" s="140"/>
      <c r="W23" s="140"/>
      <c r="X23" s="140"/>
      <c r="Y23" s="140"/>
      <c r="Z23" s="140"/>
    </row>
    <row r="24" spans="1:26" ht="15.75" customHeight="1" x14ac:dyDescent="0.25">
      <c r="A24" s="140"/>
      <c r="B24" s="140"/>
      <c r="C24" s="140"/>
      <c r="D24" s="140"/>
      <c r="E24" s="140"/>
      <c r="F24" s="140"/>
      <c r="G24" s="140"/>
      <c r="H24" s="140"/>
      <c r="I24" s="140"/>
      <c r="J24" s="140"/>
      <c r="K24" s="140"/>
      <c r="L24" s="140"/>
      <c r="M24" s="140"/>
      <c r="N24" s="140"/>
      <c r="O24" s="140"/>
      <c r="P24" s="140"/>
      <c r="Q24" s="140"/>
      <c r="R24" s="140"/>
      <c r="S24" s="140"/>
      <c r="T24" s="196"/>
      <c r="U24" s="140"/>
      <c r="V24" s="140"/>
      <c r="W24" s="140"/>
      <c r="X24" s="140"/>
      <c r="Y24" s="140"/>
      <c r="Z24" s="140"/>
    </row>
    <row r="25" spans="1:26" ht="15.75" customHeight="1" x14ac:dyDescent="0.25">
      <c r="A25" s="140"/>
      <c r="B25" s="140"/>
      <c r="C25" s="140"/>
      <c r="D25" s="140"/>
      <c r="E25" s="140"/>
      <c r="F25" s="140"/>
      <c r="G25" s="140"/>
      <c r="H25" s="140"/>
      <c r="I25" s="140"/>
      <c r="J25" s="140"/>
      <c r="K25" s="140"/>
      <c r="L25" s="140"/>
      <c r="M25" s="140"/>
      <c r="N25" s="140"/>
      <c r="O25" s="140"/>
      <c r="P25" s="140"/>
      <c r="Q25" s="140"/>
      <c r="R25" s="140"/>
      <c r="S25" s="140"/>
      <c r="T25" s="196"/>
      <c r="U25" s="140"/>
      <c r="V25" s="140"/>
      <c r="W25" s="140"/>
      <c r="X25" s="140"/>
      <c r="Y25" s="140"/>
      <c r="Z25" s="140"/>
    </row>
    <row r="26" spans="1:26" ht="15.75" customHeight="1" x14ac:dyDescent="0.25">
      <c r="A26" s="140"/>
      <c r="B26" s="140"/>
      <c r="C26" s="140"/>
      <c r="D26" s="140"/>
      <c r="E26" s="140"/>
      <c r="F26" s="140"/>
      <c r="G26" s="140"/>
      <c r="H26" s="140"/>
      <c r="I26" s="140"/>
      <c r="J26" s="140"/>
      <c r="K26" s="140"/>
      <c r="L26" s="140"/>
      <c r="M26" s="140"/>
      <c r="N26" s="140"/>
      <c r="O26" s="140"/>
      <c r="P26" s="140"/>
      <c r="Q26" s="140"/>
      <c r="R26" s="140"/>
      <c r="S26" s="140"/>
      <c r="T26" s="196"/>
      <c r="U26" s="140"/>
      <c r="V26" s="140"/>
      <c r="W26" s="140"/>
      <c r="X26" s="140"/>
      <c r="Y26" s="140"/>
      <c r="Z26" s="140"/>
    </row>
    <row r="27" spans="1:26" ht="15.75" customHeight="1" x14ac:dyDescent="0.25">
      <c r="A27" s="140"/>
      <c r="B27" s="140"/>
      <c r="C27" s="140"/>
      <c r="D27" s="140"/>
      <c r="E27" s="140"/>
      <c r="F27" s="140"/>
      <c r="G27" s="140"/>
      <c r="H27" s="140"/>
      <c r="I27" s="140"/>
      <c r="J27" s="140"/>
      <c r="K27" s="140"/>
      <c r="L27" s="140"/>
      <c r="M27" s="140"/>
      <c r="N27" s="140"/>
      <c r="O27" s="140"/>
      <c r="P27" s="140"/>
      <c r="Q27" s="140"/>
      <c r="R27" s="140"/>
      <c r="S27" s="140"/>
      <c r="T27" s="196"/>
      <c r="U27" s="140"/>
      <c r="V27" s="140"/>
      <c r="W27" s="140"/>
      <c r="X27" s="140"/>
      <c r="Y27" s="140"/>
      <c r="Z27" s="140"/>
    </row>
    <row r="28" spans="1:26" ht="15.75" customHeight="1" x14ac:dyDescent="0.25">
      <c r="A28" s="140"/>
      <c r="B28" s="140"/>
      <c r="C28" s="140"/>
      <c r="D28" s="140"/>
      <c r="E28" s="140"/>
      <c r="F28" s="140"/>
      <c r="G28" s="140"/>
      <c r="H28" s="140"/>
      <c r="I28" s="140"/>
      <c r="J28" s="140"/>
      <c r="K28" s="140"/>
      <c r="L28" s="140"/>
      <c r="M28" s="140"/>
      <c r="N28" s="140"/>
      <c r="O28" s="140"/>
      <c r="P28" s="140"/>
      <c r="Q28" s="140"/>
      <c r="R28" s="140"/>
      <c r="S28" s="140"/>
      <c r="T28" s="196"/>
      <c r="U28" s="140"/>
      <c r="V28" s="140"/>
      <c r="W28" s="140"/>
      <c r="X28" s="140"/>
      <c r="Y28" s="140"/>
      <c r="Z28" s="140"/>
    </row>
    <row r="29" spans="1:26" ht="15.75" customHeight="1" x14ac:dyDescent="0.25">
      <c r="A29" s="140"/>
      <c r="B29" s="140"/>
      <c r="C29" s="140"/>
      <c r="D29" s="140"/>
      <c r="E29" s="140"/>
      <c r="F29" s="140"/>
      <c r="G29" s="140"/>
      <c r="H29" s="140"/>
      <c r="I29" s="140"/>
      <c r="J29" s="140"/>
      <c r="K29" s="140"/>
      <c r="L29" s="140"/>
      <c r="M29" s="140"/>
      <c r="N29" s="140"/>
      <c r="O29" s="140"/>
      <c r="P29" s="140"/>
      <c r="Q29" s="140"/>
      <c r="R29" s="140"/>
      <c r="S29" s="140"/>
      <c r="T29" s="196"/>
      <c r="U29" s="140"/>
      <c r="V29" s="140"/>
      <c r="W29" s="140"/>
      <c r="X29" s="140"/>
      <c r="Y29" s="140"/>
      <c r="Z29" s="140"/>
    </row>
    <row r="30" spans="1:26" ht="15.75" customHeight="1" x14ac:dyDescent="0.25">
      <c r="A30" s="140"/>
      <c r="B30" s="140"/>
      <c r="C30" s="140"/>
      <c r="D30" s="140"/>
      <c r="E30" s="140"/>
      <c r="F30" s="140"/>
      <c r="G30" s="140"/>
      <c r="H30" s="140"/>
      <c r="I30" s="140"/>
      <c r="J30" s="140"/>
      <c r="K30" s="140"/>
      <c r="L30" s="140"/>
      <c r="M30" s="140"/>
      <c r="N30" s="140"/>
      <c r="O30" s="140"/>
      <c r="P30" s="140"/>
      <c r="Q30" s="140"/>
      <c r="R30" s="140"/>
      <c r="S30" s="140"/>
      <c r="T30" s="196"/>
      <c r="U30" s="140"/>
      <c r="V30" s="140"/>
      <c r="W30" s="140"/>
      <c r="X30" s="140"/>
      <c r="Y30" s="140"/>
      <c r="Z30" s="140"/>
    </row>
    <row r="31" spans="1:26" ht="15.75" customHeight="1" x14ac:dyDescent="0.25">
      <c r="A31" s="140"/>
      <c r="B31" s="140"/>
      <c r="C31" s="140"/>
      <c r="D31" s="140"/>
      <c r="E31" s="140"/>
      <c r="F31" s="140"/>
      <c r="G31" s="140"/>
      <c r="H31" s="140"/>
      <c r="I31" s="140"/>
      <c r="J31" s="140"/>
      <c r="K31" s="140"/>
      <c r="L31" s="140"/>
      <c r="M31" s="140"/>
      <c r="N31" s="140"/>
      <c r="O31" s="140"/>
      <c r="P31" s="140"/>
      <c r="Q31" s="140"/>
      <c r="R31" s="140"/>
      <c r="S31" s="140"/>
      <c r="T31" s="196"/>
      <c r="U31" s="140"/>
      <c r="V31" s="140"/>
      <c r="W31" s="140"/>
      <c r="X31" s="140"/>
      <c r="Y31" s="140"/>
      <c r="Z31" s="140"/>
    </row>
    <row r="32" spans="1:26" ht="15.75" customHeight="1" x14ac:dyDescent="0.25">
      <c r="A32" s="140"/>
      <c r="B32" s="140"/>
      <c r="C32" s="140"/>
      <c r="D32" s="140"/>
      <c r="E32" s="140"/>
      <c r="F32" s="140"/>
      <c r="G32" s="140"/>
      <c r="H32" s="140"/>
      <c r="I32" s="140"/>
      <c r="J32" s="140"/>
      <c r="K32" s="140"/>
      <c r="L32" s="140"/>
      <c r="M32" s="140"/>
      <c r="N32" s="140"/>
      <c r="O32" s="140"/>
      <c r="P32" s="140"/>
      <c r="Q32" s="140"/>
      <c r="R32" s="140"/>
      <c r="S32" s="140"/>
      <c r="T32" s="196"/>
      <c r="U32" s="140"/>
      <c r="V32" s="140"/>
      <c r="W32" s="140"/>
      <c r="X32" s="140"/>
      <c r="Y32" s="140"/>
      <c r="Z32" s="140"/>
    </row>
    <row r="33" spans="1:26" ht="15.75" customHeight="1" x14ac:dyDescent="0.25">
      <c r="A33" s="140"/>
      <c r="B33" s="140"/>
      <c r="C33" s="140"/>
      <c r="D33" s="140"/>
      <c r="E33" s="140"/>
      <c r="F33" s="140"/>
      <c r="G33" s="140"/>
      <c r="H33" s="140"/>
      <c r="I33" s="140"/>
      <c r="J33" s="140"/>
      <c r="K33" s="140"/>
      <c r="L33" s="140"/>
      <c r="M33" s="140"/>
      <c r="N33" s="140"/>
      <c r="O33" s="140"/>
      <c r="P33" s="140"/>
      <c r="Q33" s="140"/>
      <c r="R33" s="140"/>
      <c r="S33" s="140"/>
      <c r="T33" s="196"/>
      <c r="U33" s="140"/>
      <c r="V33" s="140"/>
      <c r="W33" s="140"/>
      <c r="X33" s="140"/>
      <c r="Y33" s="140"/>
      <c r="Z33" s="140"/>
    </row>
    <row r="34" spans="1:26" ht="15.75" customHeight="1" x14ac:dyDescent="0.25">
      <c r="A34" s="140"/>
      <c r="B34" s="140"/>
      <c r="C34" s="140"/>
      <c r="D34" s="140"/>
      <c r="E34" s="140"/>
      <c r="F34" s="140"/>
      <c r="G34" s="140"/>
      <c r="H34" s="140"/>
      <c r="I34" s="140"/>
      <c r="J34" s="140"/>
      <c r="K34" s="140"/>
      <c r="L34" s="140"/>
      <c r="M34" s="140"/>
      <c r="N34" s="140"/>
      <c r="O34" s="140"/>
      <c r="P34" s="140"/>
      <c r="Q34" s="140"/>
      <c r="R34" s="140"/>
      <c r="S34" s="140"/>
      <c r="T34" s="196"/>
      <c r="U34" s="140"/>
      <c r="V34" s="140"/>
      <c r="W34" s="140"/>
      <c r="X34" s="140"/>
      <c r="Y34" s="140"/>
      <c r="Z34" s="140"/>
    </row>
    <row r="35" spans="1:26" ht="15.75" customHeight="1" x14ac:dyDescent="0.25">
      <c r="A35" s="140"/>
      <c r="B35" s="140"/>
      <c r="C35" s="140"/>
      <c r="D35" s="140"/>
      <c r="E35" s="140"/>
      <c r="F35" s="140"/>
      <c r="G35" s="140"/>
      <c r="H35" s="140"/>
      <c r="I35" s="140"/>
      <c r="J35" s="140"/>
      <c r="K35" s="140"/>
      <c r="L35" s="140"/>
      <c r="M35" s="140"/>
      <c r="N35" s="140"/>
      <c r="O35" s="140"/>
      <c r="P35" s="140"/>
      <c r="Q35" s="140"/>
      <c r="R35" s="140"/>
      <c r="S35" s="140"/>
      <c r="T35" s="196"/>
      <c r="U35" s="140"/>
      <c r="V35" s="140"/>
      <c r="W35" s="140"/>
      <c r="X35" s="140"/>
      <c r="Y35" s="140"/>
      <c r="Z35" s="140"/>
    </row>
    <row r="36" spans="1:26" ht="15.75" customHeight="1" x14ac:dyDescent="0.25">
      <c r="A36" s="140"/>
      <c r="B36" s="140"/>
      <c r="C36" s="140"/>
      <c r="D36" s="140"/>
      <c r="E36" s="140"/>
      <c r="F36" s="140"/>
      <c r="G36" s="140"/>
      <c r="H36" s="140"/>
      <c r="I36" s="140"/>
      <c r="J36" s="140"/>
      <c r="K36" s="140"/>
      <c r="L36" s="140"/>
      <c r="M36" s="140"/>
      <c r="N36" s="140"/>
      <c r="O36" s="140"/>
      <c r="P36" s="140"/>
      <c r="Q36" s="140"/>
      <c r="R36" s="140"/>
      <c r="S36" s="140"/>
      <c r="T36" s="196"/>
      <c r="U36" s="140"/>
      <c r="V36" s="140"/>
      <c r="W36" s="140"/>
      <c r="X36" s="140"/>
      <c r="Y36" s="140"/>
      <c r="Z36" s="140"/>
    </row>
    <row r="37" spans="1:26" ht="15.75" customHeight="1" x14ac:dyDescent="0.25">
      <c r="A37" s="140"/>
      <c r="B37" s="140"/>
      <c r="C37" s="140"/>
      <c r="D37" s="140"/>
      <c r="E37" s="140"/>
      <c r="F37" s="140"/>
      <c r="G37" s="140"/>
      <c r="H37" s="140"/>
      <c r="I37" s="140"/>
      <c r="J37" s="140"/>
      <c r="K37" s="140"/>
      <c r="L37" s="140"/>
      <c r="M37" s="140"/>
      <c r="N37" s="140"/>
      <c r="O37" s="140"/>
      <c r="P37" s="140"/>
      <c r="Q37" s="140"/>
      <c r="R37" s="140"/>
      <c r="S37" s="140"/>
      <c r="T37" s="196"/>
      <c r="U37" s="140"/>
      <c r="V37" s="140"/>
      <c r="W37" s="140"/>
      <c r="X37" s="140"/>
      <c r="Y37" s="140"/>
      <c r="Z37" s="140"/>
    </row>
    <row r="38" spans="1:26" ht="15.75" customHeight="1" x14ac:dyDescent="0.25">
      <c r="A38" s="140"/>
      <c r="B38" s="140"/>
      <c r="C38" s="140"/>
      <c r="D38" s="140"/>
      <c r="E38" s="140"/>
      <c r="F38" s="140"/>
      <c r="G38" s="140"/>
      <c r="H38" s="140"/>
      <c r="I38" s="140"/>
      <c r="J38" s="140"/>
      <c r="K38" s="140"/>
      <c r="L38" s="140"/>
      <c r="M38" s="140"/>
      <c r="N38" s="140"/>
      <c r="O38" s="140"/>
      <c r="P38" s="140"/>
      <c r="Q38" s="140"/>
      <c r="R38" s="140"/>
      <c r="S38" s="140"/>
      <c r="T38" s="196"/>
      <c r="U38" s="140"/>
      <c r="V38" s="140"/>
      <c r="W38" s="140"/>
      <c r="X38" s="140"/>
      <c r="Y38" s="140"/>
      <c r="Z38" s="140"/>
    </row>
    <row r="39" spans="1:26" ht="15.75" customHeight="1" x14ac:dyDescent="0.25">
      <c r="A39" s="140"/>
      <c r="B39" s="140"/>
      <c r="C39" s="140"/>
      <c r="D39" s="140"/>
      <c r="E39" s="140"/>
      <c r="F39" s="140"/>
      <c r="G39" s="140"/>
      <c r="H39" s="140"/>
      <c r="I39" s="140"/>
      <c r="J39" s="140"/>
      <c r="K39" s="140"/>
      <c r="L39" s="140"/>
      <c r="M39" s="140"/>
      <c r="N39" s="140"/>
      <c r="O39" s="140"/>
      <c r="P39" s="140"/>
      <c r="Q39" s="140"/>
      <c r="R39" s="140"/>
      <c r="S39" s="140"/>
      <c r="T39" s="196"/>
      <c r="U39" s="140"/>
      <c r="V39" s="140"/>
      <c r="W39" s="140"/>
      <c r="X39" s="140"/>
      <c r="Y39" s="140"/>
      <c r="Z39" s="140"/>
    </row>
    <row r="40" spans="1:26" ht="15.75" customHeight="1" x14ac:dyDescent="0.25">
      <c r="A40" s="140"/>
      <c r="B40" s="140"/>
      <c r="C40" s="140"/>
      <c r="D40" s="140"/>
      <c r="E40" s="140"/>
      <c r="F40" s="140"/>
      <c r="G40" s="140"/>
      <c r="H40" s="140"/>
      <c r="I40" s="140"/>
      <c r="J40" s="140"/>
      <c r="K40" s="140"/>
      <c r="L40" s="140"/>
      <c r="M40" s="140"/>
      <c r="N40" s="140"/>
      <c r="O40" s="140"/>
      <c r="P40" s="140"/>
      <c r="Q40" s="140"/>
      <c r="R40" s="140"/>
      <c r="S40" s="140"/>
      <c r="T40" s="196"/>
      <c r="U40" s="140"/>
      <c r="V40" s="140"/>
      <c r="W40" s="140"/>
      <c r="X40" s="140"/>
      <c r="Y40" s="140"/>
      <c r="Z40" s="140"/>
    </row>
    <row r="41" spans="1:26" ht="15.75" customHeight="1" x14ac:dyDescent="0.25">
      <c r="A41" s="140"/>
      <c r="B41" s="140"/>
      <c r="C41" s="140"/>
      <c r="D41" s="140"/>
      <c r="E41" s="140"/>
      <c r="F41" s="140"/>
      <c r="G41" s="140"/>
      <c r="H41" s="140"/>
      <c r="I41" s="140"/>
      <c r="J41" s="140"/>
      <c r="K41" s="140"/>
      <c r="L41" s="140"/>
      <c r="M41" s="140"/>
      <c r="N41" s="140"/>
      <c r="O41" s="140"/>
      <c r="P41" s="140"/>
      <c r="Q41" s="140"/>
      <c r="R41" s="140"/>
      <c r="S41" s="140"/>
      <c r="T41" s="196"/>
      <c r="U41" s="140"/>
      <c r="V41" s="140"/>
      <c r="W41" s="140"/>
      <c r="X41" s="140"/>
      <c r="Y41" s="140"/>
      <c r="Z41" s="140"/>
    </row>
    <row r="42" spans="1:26" ht="15.75" customHeight="1" x14ac:dyDescent="0.25">
      <c r="A42" s="140"/>
      <c r="B42" s="140"/>
      <c r="C42" s="140"/>
      <c r="D42" s="140"/>
      <c r="E42" s="140"/>
      <c r="F42" s="140"/>
      <c r="G42" s="140"/>
      <c r="H42" s="140"/>
      <c r="I42" s="140"/>
      <c r="J42" s="140"/>
      <c r="K42" s="140"/>
      <c r="L42" s="140"/>
      <c r="M42" s="140"/>
      <c r="N42" s="140"/>
      <c r="O42" s="140"/>
      <c r="P42" s="140"/>
      <c r="Q42" s="140"/>
      <c r="R42" s="140"/>
      <c r="S42" s="140"/>
      <c r="T42" s="196"/>
      <c r="U42" s="140"/>
      <c r="V42" s="140"/>
      <c r="W42" s="140"/>
      <c r="X42" s="140"/>
      <c r="Y42" s="140"/>
      <c r="Z42" s="140"/>
    </row>
    <row r="43" spans="1:26" ht="15.75" customHeight="1" x14ac:dyDescent="0.25">
      <c r="A43" s="140"/>
      <c r="B43" s="140"/>
      <c r="C43" s="140"/>
      <c r="D43" s="140"/>
      <c r="E43" s="140"/>
      <c r="F43" s="140"/>
      <c r="G43" s="140"/>
      <c r="H43" s="140"/>
      <c r="I43" s="140"/>
      <c r="J43" s="140"/>
      <c r="K43" s="140"/>
      <c r="L43" s="140"/>
      <c r="M43" s="140"/>
      <c r="N43" s="140"/>
      <c r="O43" s="140"/>
      <c r="P43" s="140"/>
      <c r="Q43" s="140"/>
      <c r="R43" s="140"/>
      <c r="S43" s="140"/>
      <c r="T43" s="196"/>
      <c r="U43" s="140"/>
      <c r="V43" s="140"/>
      <c r="W43" s="140"/>
      <c r="X43" s="140"/>
      <c r="Y43" s="140"/>
      <c r="Z43" s="140"/>
    </row>
    <row r="44" spans="1:26" ht="15.75" customHeight="1" x14ac:dyDescent="0.25">
      <c r="A44" s="140"/>
      <c r="B44" s="140"/>
      <c r="C44" s="140"/>
      <c r="D44" s="140"/>
      <c r="E44" s="140"/>
      <c r="F44" s="140"/>
      <c r="G44" s="140"/>
      <c r="H44" s="140"/>
      <c r="I44" s="140"/>
      <c r="J44" s="140"/>
      <c r="K44" s="140"/>
      <c r="L44" s="140"/>
      <c r="M44" s="140"/>
      <c r="N44" s="140"/>
      <c r="O44" s="140"/>
      <c r="P44" s="140"/>
      <c r="Q44" s="140"/>
      <c r="R44" s="140"/>
      <c r="S44" s="140"/>
      <c r="T44" s="196"/>
      <c r="U44" s="140"/>
      <c r="V44" s="140"/>
      <c r="W44" s="140"/>
      <c r="X44" s="140"/>
      <c r="Y44" s="140"/>
      <c r="Z44" s="140"/>
    </row>
    <row r="45" spans="1:26" ht="15.75" customHeight="1" x14ac:dyDescent="0.25">
      <c r="A45" s="140"/>
      <c r="B45" s="140"/>
      <c r="C45" s="140"/>
      <c r="D45" s="140"/>
      <c r="E45" s="140"/>
      <c r="F45" s="140"/>
      <c r="G45" s="140"/>
      <c r="H45" s="140"/>
      <c r="I45" s="140"/>
      <c r="J45" s="140"/>
      <c r="K45" s="140"/>
      <c r="L45" s="140"/>
      <c r="M45" s="140"/>
      <c r="N45" s="140"/>
      <c r="O45" s="140"/>
      <c r="P45" s="140"/>
      <c r="Q45" s="140"/>
      <c r="R45" s="140"/>
      <c r="S45" s="140"/>
      <c r="T45" s="196"/>
      <c r="U45" s="140"/>
      <c r="V45" s="140"/>
      <c r="W45" s="140"/>
      <c r="X45" s="140"/>
      <c r="Y45" s="140"/>
      <c r="Z45" s="140"/>
    </row>
    <row r="46" spans="1:26" ht="15.75" customHeight="1" x14ac:dyDescent="0.25">
      <c r="A46" s="140"/>
      <c r="B46" s="140"/>
      <c r="C46" s="140"/>
      <c r="D46" s="140"/>
      <c r="E46" s="140"/>
      <c r="F46" s="140"/>
      <c r="G46" s="140"/>
      <c r="H46" s="140"/>
      <c r="I46" s="140"/>
      <c r="J46" s="140"/>
      <c r="K46" s="140"/>
      <c r="L46" s="140"/>
      <c r="M46" s="140"/>
      <c r="N46" s="140"/>
      <c r="O46" s="140"/>
      <c r="P46" s="140"/>
      <c r="Q46" s="140"/>
      <c r="R46" s="140"/>
      <c r="S46" s="140"/>
      <c r="T46" s="196"/>
      <c r="U46" s="140"/>
      <c r="V46" s="140"/>
      <c r="W46" s="140"/>
      <c r="X46" s="140"/>
      <c r="Y46" s="140"/>
      <c r="Z46" s="140"/>
    </row>
    <row r="47" spans="1:26" ht="15.75" customHeight="1" x14ac:dyDescent="0.25">
      <c r="A47" s="140"/>
      <c r="B47" s="140"/>
      <c r="C47" s="140"/>
      <c r="D47" s="140"/>
      <c r="E47" s="140"/>
      <c r="F47" s="140"/>
      <c r="G47" s="140"/>
      <c r="H47" s="140"/>
      <c r="I47" s="140"/>
      <c r="J47" s="140"/>
      <c r="K47" s="140"/>
      <c r="L47" s="140"/>
      <c r="M47" s="140"/>
      <c r="N47" s="140"/>
      <c r="O47" s="140"/>
      <c r="P47" s="140"/>
      <c r="Q47" s="140"/>
      <c r="R47" s="140"/>
      <c r="S47" s="140"/>
      <c r="T47" s="196"/>
      <c r="U47" s="140"/>
      <c r="V47" s="140"/>
      <c r="W47" s="140"/>
      <c r="X47" s="140"/>
      <c r="Y47" s="140"/>
      <c r="Z47" s="140"/>
    </row>
    <row r="48" spans="1:26" ht="15.75" customHeight="1" x14ac:dyDescent="0.25">
      <c r="A48" s="140"/>
      <c r="B48" s="140"/>
      <c r="C48" s="140"/>
      <c r="D48" s="140"/>
      <c r="E48" s="140"/>
      <c r="F48" s="140"/>
      <c r="G48" s="140"/>
      <c r="H48" s="140"/>
      <c r="I48" s="140"/>
      <c r="J48" s="140"/>
      <c r="K48" s="140"/>
      <c r="L48" s="140"/>
      <c r="M48" s="140"/>
      <c r="N48" s="140"/>
      <c r="O48" s="140"/>
      <c r="P48" s="140"/>
      <c r="Q48" s="140"/>
      <c r="R48" s="140"/>
      <c r="S48" s="140"/>
      <c r="T48" s="196"/>
      <c r="U48" s="140"/>
      <c r="V48" s="140"/>
      <c r="W48" s="140"/>
      <c r="X48" s="140"/>
      <c r="Y48" s="140"/>
      <c r="Z48" s="140"/>
    </row>
    <row r="49" spans="1:26" ht="15.75" customHeight="1" x14ac:dyDescent="0.25">
      <c r="A49" s="140"/>
      <c r="B49" s="140"/>
      <c r="C49" s="140"/>
      <c r="D49" s="140"/>
      <c r="E49" s="140"/>
      <c r="F49" s="140"/>
      <c r="G49" s="140"/>
      <c r="H49" s="140"/>
      <c r="I49" s="140"/>
      <c r="J49" s="140"/>
      <c r="K49" s="140"/>
      <c r="L49" s="140"/>
      <c r="M49" s="140"/>
      <c r="N49" s="140"/>
      <c r="O49" s="140"/>
      <c r="P49" s="140"/>
      <c r="Q49" s="140"/>
      <c r="R49" s="140"/>
      <c r="S49" s="140"/>
      <c r="T49" s="196"/>
      <c r="U49" s="140"/>
      <c r="V49" s="140"/>
      <c r="W49" s="140"/>
      <c r="X49" s="140"/>
      <c r="Y49" s="140"/>
      <c r="Z49" s="140"/>
    </row>
    <row r="50" spans="1:26" ht="15.75" customHeight="1" x14ac:dyDescent="0.25">
      <c r="A50" s="140"/>
      <c r="B50" s="140"/>
      <c r="C50" s="140"/>
      <c r="D50" s="140"/>
      <c r="E50" s="140"/>
      <c r="F50" s="140"/>
      <c r="G50" s="140"/>
      <c r="H50" s="140"/>
      <c r="I50" s="140"/>
      <c r="J50" s="140"/>
      <c r="K50" s="140"/>
      <c r="L50" s="140"/>
      <c r="M50" s="140"/>
      <c r="N50" s="140"/>
      <c r="O50" s="140"/>
      <c r="P50" s="140"/>
      <c r="Q50" s="140"/>
      <c r="R50" s="140"/>
      <c r="S50" s="140"/>
      <c r="T50" s="196"/>
      <c r="U50" s="140"/>
      <c r="V50" s="140"/>
      <c r="W50" s="140"/>
      <c r="X50" s="140"/>
      <c r="Y50" s="140"/>
      <c r="Z50" s="140"/>
    </row>
    <row r="51" spans="1:26" ht="15.75" customHeight="1" x14ac:dyDescent="0.25">
      <c r="A51" s="140"/>
      <c r="B51" s="140"/>
      <c r="C51" s="140"/>
      <c r="D51" s="140"/>
      <c r="E51" s="140"/>
      <c r="F51" s="140"/>
      <c r="G51" s="140"/>
      <c r="H51" s="140"/>
      <c r="I51" s="140"/>
      <c r="J51" s="140"/>
      <c r="K51" s="140"/>
      <c r="L51" s="140"/>
      <c r="M51" s="140"/>
      <c r="N51" s="140"/>
      <c r="O51" s="140"/>
      <c r="P51" s="140"/>
      <c r="Q51" s="140"/>
      <c r="R51" s="140"/>
      <c r="S51" s="140"/>
      <c r="T51" s="196"/>
      <c r="U51" s="140"/>
      <c r="V51" s="140"/>
      <c r="W51" s="140"/>
      <c r="X51" s="140"/>
      <c r="Y51" s="140"/>
      <c r="Z51" s="140"/>
    </row>
    <row r="52" spans="1:26" ht="15.75" customHeight="1" x14ac:dyDescent="0.25">
      <c r="A52" s="140"/>
      <c r="B52" s="140"/>
      <c r="C52" s="140"/>
      <c r="D52" s="140"/>
      <c r="E52" s="140"/>
      <c r="F52" s="140"/>
      <c r="G52" s="140"/>
      <c r="H52" s="140"/>
      <c r="I52" s="140"/>
      <c r="J52" s="140"/>
      <c r="K52" s="140"/>
      <c r="L52" s="140"/>
      <c r="M52" s="140"/>
      <c r="N52" s="140"/>
      <c r="O52" s="140"/>
      <c r="P52" s="140"/>
      <c r="Q52" s="140"/>
      <c r="R52" s="140"/>
      <c r="S52" s="140"/>
      <c r="T52" s="196"/>
      <c r="U52" s="140"/>
      <c r="V52" s="140"/>
      <c r="W52" s="140"/>
      <c r="X52" s="140"/>
      <c r="Y52" s="140"/>
      <c r="Z52" s="140"/>
    </row>
    <row r="53" spans="1:26" ht="15.75" customHeight="1" x14ac:dyDescent="0.25">
      <c r="A53" s="140"/>
      <c r="B53" s="140"/>
      <c r="C53" s="140"/>
      <c r="D53" s="140"/>
      <c r="E53" s="140"/>
      <c r="F53" s="140"/>
      <c r="G53" s="140"/>
      <c r="H53" s="140"/>
      <c r="I53" s="140"/>
      <c r="J53" s="140"/>
      <c r="K53" s="140"/>
      <c r="L53" s="140"/>
      <c r="M53" s="140"/>
      <c r="N53" s="140"/>
      <c r="O53" s="140"/>
      <c r="P53" s="140"/>
      <c r="Q53" s="140"/>
      <c r="R53" s="140"/>
      <c r="S53" s="140"/>
      <c r="T53" s="196"/>
      <c r="U53" s="140"/>
      <c r="V53" s="140"/>
      <c r="W53" s="140"/>
      <c r="X53" s="140"/>
      <c r="Y53" s="140"/>
      <c r="Z53" s="140"/>
    </row>
    <row r="54" spans="1:26" ht="15.75" customHeight="1" x14ac:dyDescent="0.25">
      <c r="A54" s="140"/>
      <c r="B54" s="140"/>
      <c r="C54" s="140"/>
      <c r="D54" s="140"/>
      <c r="E54" s="140"/>
      <c r="F54" s="140"/>
      <c r="G54" s="140"/>
      <c r="H54" s="140"/>
      <c r="I54" s="140"/>
      <c r="J54" s="140"/>
      <c r="K54" s="140"/>
      <c r="L54" s="140"/>
      <c r="M54" s="140"/>
      <c r="N54" s="140"/>
      <c r="O54" s="140"/>
      <c r="P54" s="140"/>
      <c r="Q54" s="140"/>
      <c r="R54" s="140"/>
      <c r="S54" s="140"/>
      <c r="T54" s="196"/>
      <c r="U54" s="140"/>
      <c r="V54" s="140"/>
      <c r="W54" s="140"/>
      <c r="X54" s="140"/>
      <c r="Y54" s="140"/>
      <c r="Z54" s="140"/>
    </row>
    <row r="55" spans="1:26" ht="15.75" customHeight="1" x14ac:dyDescent="0.25">
      <c r="A55" s="140"/>
      <c r="B55" s="140"/>
      <c r="C55" s="140"/>
      <c r="D55" s="140"/>
      <c r="E55" s="140"/>
      <c r="F55" s="140"/>
      <c r="G55" s="140"/>
      <c r="H55" s="140"/>
      <c r="I55" s="140"/>
      <c r="J55" s="140"/>
      <c r="K55" s="140"/>
      <c r="L55" s="140"/>
      <c r="M55" s="140"/>
      <c r="N55" s="140"/>
      <c r="O55" s="140"/>
      <c r="P55" s="140"/>
      <c r="Q55" s="140"/>
      <c r="R55" s="140"/>
      <c r="S55" s="140"/>
      <c r="T55" s="196"/>
      <c r="U55" s="140"/>
      <c r="V55" s="140"/>
      <c r="W55" s="140"/>
      <c r="X55" s="140"/>
      <c r="Y55" s="140"/>
      <c r="Z55" s="140"/>
    </row>
    <row r="56" spans="1:26" ht="15.75" customHeight="1" x14ac:dyDescent="0.25">
      <c r="A56" s="140"/>
      <c r="B56" s="140"/>
      <c r="C56" s="140"/>
      <c r="D56" s="140"/>
      <c r="E56" s="140"/>
      <c r="F56" s="140"/>
      <c r="G56" s="140"/>
      <c r="H56" s="140"/>
      <c r="I56" s="140"/>
      <c r="J56" s="140"/>
      <c r="K56" s="140"/>
      <c r="L56" s="140"/>
      <c r="M56" s="140"/>
      <c r="N56" s="140"/>
      <c r="O56" s="140"/>
      <c r="P56" s="140"/>
      <c r="Q56" s="140"/>
      <c r="R56" s="140"/>
      <c r="S56" s="140"/>
      <c r="T56" s="196"/>
      <c r="U56" s="140"/>
      <c r="V56" s="140"/>
      <c r="W56" s="140"/>
      <c r="X56" s="140"/>
      <c r="Y56" s="140"/>
      <c r="Z56" s="140"/>
    </row>
    <row r="57" spans="1:26" ht="15.75" customHeight="1" x14ac:dyDescent="0.25">
      <c r="A57" s="140"/>
      <c r="B57" s="140"/>
      <c r="C57" s="140"/>
      <c r="D57" s="140"/>
      <c r="E57" s="140"/>
      <c r="F57" s="140"/>
      <c r="G57" s="140"/>
      <c r="H57" s="140"/>
      <c r="I57" s="140"/>
      <c r="J57" s="140"/>
      <c r="K57" s="140"/>
      <c r="L57" s="140"/>
      <c r="M57" s="140"/>
      <c r="N57" s="140"/>
      <c r="O57" s="140"/>
      <c r="P57" s="140"/>
      <c r="Q57" s="140"/>
      <c r="R57" s="140"/>
      <c r="S57" s="140"/>
      <c r="T57" s="196"/>
      <c r="U57" s="140"/>
      <c r="V57" s="140"/>
      <c r="W57" s="140"/>
      <c r="X57" s="140"/>
      <c r="Y57" s="140"/>
      <c r="Z57" s="140"/>
    </row>
    <row r="58" spans="1:26" ht="15.75" customHeight="1" x14ac:dyDescent="0.25">
      <c r="A58" s="140"/>
      <c r="B58" s="140"/>
      <c r="C58" s="140"/>
      <c r="D58" s="140"/>
      <c r="E58" s="140"/>
      <c r="F58" s="140"/>
      <c r="G58" s="140"/>
      <c r="H58" s="140"/>
      <c r="I58" s="140"/>
      <c r="J58" s="140"/>
      <c r="K58" s="140"/>
      <c r="L58" s="140"/>
      <c r="M58" s="140"/>
      <c r="N58" s="140"/>
      <c r="O58" s="140"/>
      <c r="P58" s="140"/>
      <c r="Q58" s="140"/>
      <c r="R58" s="140"/>
      <c r="S58" s="140"/>
      <c r="T58" s="196"/>
      <c r="U58" s="140"/>
      <c r="V58" s="140"/>
      <c r="W58" s="140"/>
      <c r="X58" s="140"/>
      <c r="Y58" s="140"/>
      <c r="Z58" s="140"/>
    </row>
    <row r="59" spans="1:26" ht="15.75" customHeight="1" x14ac:dyDescent="0.25">
      <c r="A59" s="140"/>
      <c r="B59" s="140"/>
      <c r="C59" s="140"/>
      <c r="D59" s="140"/>
      <c r="E59" s="140"/>
      <c r="F59" s="140"/>
      <c r="G59" s="140"/>
      <c r="H59" s="140"/>
      <c r="I59" s="140"/>
      <c r="J59" s="140"/>
      <c r="K59" s="140"/>
      <c r="L59" s="140"/>
      <c r="M59" s="140"/>
      <c r="N59" s="140"/>
      <c r="O59" s="140"/>
      <c r="P59" s="140"/>
      <c r="Q59" s="140"/>
      <c r="R59" s="140"/>
      <c r="S59" s="140"/>
      <c r="T59" s="196"/>
      <c r="U59" s="140"/>
      <c r="V59" s="140"/>
      <c r="W59" s="140"/>
      <c r="X59" s="140"/>
      <c r="Y59" s="140"/>
      <c r="Z59" s="140"/>
    </row>
    <row r="60" spans="1:26" ht="15.75" customHeight="1" x14ac:dyDescent="0.25">
      <c r="A60" s="140"/>
      <c r="B60" s="140"/>
      <c r="C60" s="140"/>
      <c r="D60" s="140"/>
      <c r="E60" s="140"/>
      <c r="F60" s="140"/>
      <c r="G60" s="140"/>
      <c r="H60" s="140"/>
      <c r="I60" s="140"/>
      <c r="J60" s="140"/>
      <c r="K60" s="140"/>
      <c r="L60" s="140"/>
      <c r="M60" s="140"/>
      <c r="N60" s="140"/>
      <c r="O60" s="140"/>
      <c r="P60" s="140"/>
      <c r="Q60" s="140"/>
      <c r="R60" s="140"/>
      <c r="S60" s="140"/>
      <c r="T60" s="196"/>
      <c r="U60" s="140"/>
      <c r="V60" s="140"/>
      <c r="W60" s="140"/>
      <c r="X60" s="140"/>
      <c r="Y60" s="140"/>
      <c r="Z60" s="140"/>
    </row>
    <row r="61" spans="1:26" ht="15.75" customHeight="1" x14ac:dyDescent="0.25">
      <c r="A61" s="140"/>
      <c r="B61" s="140"/>
      <c r="C61" s="140"/>
      <c r="D61" s="140"/>
      <c r="E61" s="140"/>
      <c r="F61" s="140"/>
      <c r="G61" s="140"/>
      <c r="H61" s="140"/>
      <c r="I61" s="140"/>
      <c r="J61" s="140"/>
      <c r="K61" s="140"/>
      <c r="L61" s="140"/>
      <c r="M61" s="140"/>
      <c r="N61" s="140"/>
      <c r="O61" s="140"/>
      <c r="P61" s="140"/>
      <c r="Q61" s="140"/>
      <c r="R61" s="140"/>
      <c r="S61" s="140"/>
      <c r="T61" s="196"/>
      <c r="U61" s="140"/>
      <c r="V61" s="140"/>
      <c r="W61" s="140"/>
      <c r="X61" s="140"/>
      <c r="Y61" s="140"/>
      <c r="Z61" s="140"/>
    </row>
    <row r="62" spans="1:26" ht="15.75" customHeight="1" x14ac:dyDescent="0.25">
      <c r="A62" s="140"/>
      <c r="B62" s="140"/>
      <c r="C62" s="140"/>
      <c r="D62" s="140"/>
      <c r="E62" s="140"/>
      <c r="F62" s="140"/>
      <c r="G62" s="140"/>
      <c r="H62" s="140"/>
      <c r="I62" s="140"/>
      <c r="J62" s="140"/>
      <c r="K62" s="140"/>
      <c r="L62" s="140"/>
      <c r="M62" s="140"/>
      <c r="N62" s="140"/>
      <c r="O62" s="140"/>
      <c r="P62" s="140"/>
      <c r="Q62" s="140"/>
      <c r="R62" s="140"/>
      <c r="S62" s="140"/>
      <c r="T62" s="196"/>
      <c r="U62" s="140"/>
      <c r="V62" s="140"/>
      <c r="W62" s="140"/>
      <c r="X62" s="140"/>
      <c r="Y62" s="140"/>
      <c r="Z62" s="140"/>
    </row>
    <row r="63" spans="1:26" ht="15.75" customHeight="1" x14ac:dyDescent="0.25">
      <c r="A63" s="140"/>
      <c r="B63" s="140"/>
      <c r="C63" s="140"/>
      <c r="D63" s="140"/>
      <c r="E63" s="140"/>
      <c r="F63" s="140"/>
      <c r="G63" s="140"/>
      <c r="H63" s="140"/>
      <c r="I63" s="140"/>
      <c r="J63" s="140"/>
      <c r="K63" s="140"/>
      <c r="L63" s="140"/>
      <c r="M63" s="140"/>
      <c r="N63" s="140"/>
      <c r="O63" s="140"/>
      <c r="P63" s="140"/>
      <c r="Q63" s="140"/>
      <c r="R63" s="140"/>
      <c r="S63" s="140"/>
      <c r="T63" s="196"/>
      <c r="U63" s="140"/>
      <c r="V63" s="140"/>
      <c r="W63" s="140"/>
      <c r="X63" s="140"/>
      <c r="Y63" s="140"/>
      <c r="Z63" s="140"/>
    </row>
    <row r="64" spans="1:26" ht="15.75" customHeight="1" x14ac:dyDescent="0.25">
      <c r="A64" s="140"/>
      <c r="B64" s="140"/>
      <c r="C64" s="140"/>
      <c r="D64" s="140"/>
      <c r="E64" s="140"/>
      <c r="F64" s="140"/>
      <c r="G64" s="140"/>
      <c r="H64" s="140"/>
      <c r="I64" s="140"/>
      <c r="J64" s="140"/>
      <c r="K64" s="140"/>
      <c r="L64" s="140"/>
      <c r="M64" s="140"/>
      <c r="N64" s="140"/>
      <c r="O64" s="140"/>
      <c r="P64" s="140"/>
      <c r="Q64" s="140"/>
      <c r="R64" s="140"/>
      <c r="S64" s="140"/>
      <c r="T64" s="196"/>
      <c r="U64" s="140"/>
      <c r="V64" s="140"/>
      <c r="W64" s="140"/>
      <c r="X64" s="140"/>
      <c r="Y64" s="140"/>
      <c r="Z64" s="140"/>
    </row>
    <row r="65" spans="1:26" ht="15.75" customHeight="1" x14ac:dyDescent="0.25">
      <c r="A65" s="140"/>
      <c r="B65" s="140"/>
      <c r="C65" s="140"/>
      <c r="D65" s="140"/>
      <c r="E65" s="140"/>
      <c r="F65" s="140"/>
      <c r="G65" s="140"/>
      <c r="H65" s="140"/>
      <c r="I65" s="140"/>
      <c r="J65" s="140"/>
      <c r="K65" s="140"/>
      <c r="L65" s="140"/>
      <c r="M65" s="140"/>
      <c r="N65" s="140"/>
      <c r="O65" s="140"/>
      <c r="P65" s="140"/>
      <c r="Q65" s="140"/>
      <c r="R65" s="140"/>
      <c r="S65" s="140"/>
      <c r="T65" s="196"/>
      <c r="U65" s="140"/>
      <c r="V65" s="140"/>
      <c r="W65" s="140"/>
      <c r="X65" s="140"/>
      <c r="Y65" s="140"/>
      <c r="Z65" s="140"/>
    </row>
    <row r="66" spans="1:26" ht="15.75" customHeight="1" x14ac:dyDescent="0.25">
      <c r="A66" s="140"/>
      <c r="B66" s="140"/>
      <c r="C66" s="140"/>
      <c r="D66" s="140"/>
      <c r="E66" s="140"/>
      <c r="F66" s="140"/>
      <c r="G66" s="140"/>
      <c r="H66" s="140"/>
      <c r="I66" s="140"/>
      <c r="J66" s="140"/>
      <c r="K66" s="140"/>
      <c r="L66" s="140"/>
      <c r="M66" s="140"/>
      <c r="N66" s="140"/>
      <c r="O66" s="140"/>
      <c r="P66" s="140"/>
      <c r="Q66" s="140"/>
      <c r="R66" s="140"/>
      <c r="S66" s="140"/>
      <c r="T66" s="196"/>
      <c r="U66" s="140"/>
      <c r="V66" s="140"/>
      <c r="W66" s="140"/>
      <c r="X66" s="140"/>
      <c r="Y66" s="140"/>
      <c r="Z66" s="140"/>
    </row>
    <row r="67" spans="1:26" ht="15.75" customHeight="1" x14ac:dyDescent="0.25">
      <c r="A67" s="140"/>
      <c r="B67" s="140"/>
      <c r="C67" s="140"/>
      <c r="D67" s="140"/>
      <c r="E67" s="140"/>
      <c r="F67" s="140"/>
      <c r="G67" s="140"/>
      <c r="H67" s="140"/>
      <c r="I67" s="140"/>
      <c r="J67" s="140"/>
      <c r="K67" s="140"/>
      <c r="L67" s="140"/>
      <c r="M67" s="140"/>
      <c r="N67" s="140"/>
      <c r="O67" s="140"/>
      <c r="P67" s="140"/>
      <c r="Q67" s="140"/>
      <c r="R67" s="140"/>
      <c r="S67" s="140"/>
      <c r="T67" s="196"/>
      <c r="U67" s="140"/>
      <c r="V67" s="140"/>
      <c r="W67" s="140"/>
      <c r="X67" s="140"/>
      <c r="Y67" s="140"/>
      <c r="Z67" s="140"/>
    </row>
    <row r="68" spans="1:26" ht="15.75" customHeight="1" x14ac:dyDescent="0.25">
      <c r="A68" s="140"/>
      <c r="B68" s="140"/>
      <c r="C68" s="140"/>
      <c r="D68" s="140"/>
      <c r="E68" s="140"/>
      <c r="F68" s="140"/>
      <c r="G68" s="140"/>
      <c r="H68" s="140"/>
      <c r="I68" s="140"/>
      <c r="J68" s="140"/>
      <c r="K68" s="140"/>
      <c r="L68" s="140"/>
      <c r="M68" s="140"/>
      <c r="N68" s="140"/>
      <c r="O68" s="140"/>
      <c r="P68" s="140"/>
      <c r="Q68" s="140"/>
      <c r="R68" s="140"/>
      <c r="S68" s="140"/>
      <c r="T68" s="196"/>
      <c r="U68" s="140"/>
      <c r="V68" s="140"/>
      <c r="W68" s="140"/>
      <c r="X68" s="140"/>
      <c r="Y68" s="140"/>
      <c r="Z68" s="140"/>
    </row>
    <row r="69" spans="1:26" ht="15.75" customHeight="1" x14ac:dyDescent="0.25">
      <c r="A69" s="140"/>
      <c r="B69" s="140"/>
      <c r="C69" s="140"/>
      <c r="D69" s="140"/>
      <c r="E69" s="140"/>
      <c r="F69" s="140"/>
      <c r="G69" s="140"/>
      <c r="H69" s="140"/>
      <c r="I69" s="140"/>
      <c r="J69" s="140"/>
      <c r="K69" s="140"/>
      <c r="L69" s="140"/>
      <c r="M69" s="140"/>
      <c r="N69" s="140"/>
      <c r="O69" s="140"/>
      <c r="P69" s="140"/>
      <c r="Q69" s="140"/>
      <c r="R69" s="140"/>
      <c r="S69" s="140"/>
      <c r="T69" s="196"/>
      <c r="U69" s="140"/>
      <c r="V69" s="140"/>
      <c r="W69" s="140"/>
      <c r="X69" s="140"/>
      <c r="Y69" s="140"/>
      <c r="Z69" s="140"/>
    </row>
    <row r="70" spans="1:26" ht="15.75" customHeight="1" x14ac:dyDescent="0.25">
      <c r="A70" s="140"/>
      <c r="B70" s="140"/>
      <c r="C70" s="140"/>
      <c r="D70" s="140"/>
      <c r="E70" s="140"/>
      <c r="F70" s="140"/>
      <c r="G70" s="140"/>
      <c r="H70" s="140"/>
      <c r="I70" s="140"/>
      <c r="J70" s="140"/>
      <c r="K70" s="140"/>
      <c r="L70" s="140"/>
      <c r="M70" s="140"/>
      <c r="N70" s="140"/>
      <c r="O70" s="140"/>
      <c r="P70" s="140"/>
      <c r="Q70" s="140"/>
      <c r="R70" s="140"/>
      <c r="S70" s="140"/>
      <c r="T70" s="196"/>
      <c r="U70" s="140"/>
      <c r="V70" s="140"/>
      <c r="W70" s="140"/>
      <c r="X70" s="140"/>
      <c r="Y70" s="140"/>
      <c r="Z70" s="140"/>
    </row>
    <row r="71" spans="1:26" ht="15.75" customHeight="1" x14ac:dyDescent="0.25">
      <c r="A71" s="140"/>
      <c r="B71" s="140"/>
      <c r="C71" s="140"/>
      <c r="D71" s="140"/>
      <c r="E71" s="140"/>
      <c r="F71" s="140"/>
      <c r="G71" s="140"/>
      <c r="H71" s="140"/>
      <c r="I71" s="140"/>
      <c r="J71" s="140"/>
      <c r="K71" s="140"/>
      <c r="L71" s="140"/>
      <c r="M71" s="140"/>
      <c r="N71" s="140"/>
      <c r="O71" s="140"/>
      <c r="P71" s="140"/>
      <c r="Q71" s="140"/>
      <c r="R71" s="140"/>
      <c r="S71" s="140"/>
      <c r="T71" s="196"/>
      <c r="U71" s="140"/>
      <c r="V71" s="140"/>
      <c r="W71" s="140"/>
      <c r="X71" s="140"/>
      <c r="Y71" s="140"/>
      <c r="Z71" s="140"/>
    </row>
    <row r="72" spans="1:26" ht="15.75" customHeight="1" x14ac:dyDescent="0.25">
      <c r="A72" s="140"/>
      <c r="B72" s="140"/>
      <c r="C72" s="140"/>
      <c r="D72" s="140"/>
      <c r="E72" s="140"/>
      <c r="F72" s="140"/>
      <c r="G72" s="140"/>
      <c r="H72" s="140"/>
      <c r="I72" s="140"/>
      <c r="J72" s="140"/>
      <c r="K72" s="140"/>
      <c r="L72" s="140"/>
      <c r="M72" s="140"/>
      <c r="N72" s="140"/>
      <c r="O72" s="140"/>
      <c r="P72" s="140"/>
      <c r="Q72" s="140"/>
      <c r="R72" s="140"/>
      <c r="S72" s="140"/>
      <c r="T72" s="196"/>
      <c r="U72" s="140"/>
      <c r="V72" s="140"/>
      <c r="W72" s="140"/>
      <c r="X72" s="140"/>
      <c r="Y72" s="140"/>
      <c r="Z72" s="140"/>
    </row>
    <row r="73" spans="1:26" ht="15.75" customHeight="1" x14ac:dyDescent="0.25">
      <c r="A73" s="140"/>
      <c r="B73" s="140"/>
      <c r="C73" s="140"/>
      <c r="D73" s="140"/>
      <c r="E73" s="140"/>
      <c r="F73" s="140"/>
      <c r="G73" s="140"/>
      <c r="H73" s="140"/>
      <c r="I73" s="140"/>
      <c r="J73" s="140"/>
      <c r="K73" s="140"/>
      <c r="L73" s="140"/>
      <c r="M73" s="140"/>
      <c r="N73" s="140"/>
      <c r="O73" s="140"/>
      <c r="P73" s="140"/>
      <c r="Q73" s="140"/>
      <c r="R73" s="140"/>
      <c r="S73" s="140"/>
      <c r="T73" s="196"/>
      <c r="U73" s="140"/>
      <c r="V73" s="140"/>
      <c r="W73" s="140"/>
      <c r="X73" s="140"/>
      <c r="Y73" s="140"/>
      <c r="Z73" s="140"/>
    </row>
    <row r="74" spans="1:26" ht="15.75" customHeight="1" x14ac:dyDescent="0.25">
      <c r="A74" s="140"/>
      <c r="B74" s="140"/>
      <c r="C74" s="140"/>
      <c r="D74" s="140"/>
      <c r="E74" s="140"/>
      <c r="F74" s="140"/>
      <c r="G74" s="140"/>
      <c r="H74" s="140"/>
      <c r="I74" s="140"/>
      <c r="J74" s="140"/>
      <c r="K74" s="140"/>
      <c r="L74" s="140"/>
      <c r="M74" s="140"/>
      <c r="N74" s="140"/>
      <c r="O74" s="140"/>
      <c r="P74" s="140"/>
      <c r="Q74" s="140"/>
      <c r="R74" s="140"/>
      <c r="S74" s="140"/>
      <c r="T74" s="196"/>
      <c r="U74" s="140"/>
      <c r="V74" s="140"/>
      <c r="W74" s="140"/>
      <c r="X74" s="140"/>
      <c r="Y74" s="140"/>
      <c r="Z74" s="140"/>
    </row>
    <row r="75" spans="1:26" ht="15.75" customHeight="1" x14ac:dyDescent="0.25">
      <c r="A75" s="140"/>
      <c r="B75" s="140"/>
      <c r="C75" s="140"/>
      <c r="D75" s="140"/>
      <c r="E75" s="140"/>
      <c r="F75" s="140"/>
      <c r="G75" s="140"/>
      <c r="H75" s="140"/>
      <c r="I75" s="140"/>
      <c r="J75" s="140"/>
      <c r="K75" s="140"/>
      <c r="L75" s="140"/>
      <c r="M75" s="140"/>
      <c r="N75" s="140"/>
      <c r="O75" s="140"/>
      <c r="P75" s="140"/>
      <c r="Q75" s="140"/>
      <c r="R75" s="140"/>
      <c r="S75" s="140"/>
      <c r="T75" s="196"/>
      <c r="U75" s="140"/>
      <c r="V75" s="140"/>
      <c r="W75" s="140"/>
      <c r="X75" s="140"/>
      <c r="Y75" s="140"/>
      <c r="Z75" s="140"/>
    </row>
    <row r="76" spans="1:26" ht="15.75" customHeight="1" x14ac:dyDescent="0.25">
      <c r="A76" s="140"/>
      <c r="B76" s="140"/>
      <c r="C76" s="140"/>
      <c r="D76" s="140"/>
      <c r="E76" s="140"/>
      <c r="F76" s="140"/>
      <c r="G76" s="140"/>
      <c r="H76" s="140"/>
      <c r="I76" s="140"/>
      <c r="J76" s="140"/>
      <c r="K76" s="140"/>
      <c r="L76" s="140"/>
      <c r="M76" s="140"/>
      <c r="N76" s="140"/>
      <c r="O76" s="140"/>
      <c r="P76" s="140"/>
      <c r="Q76" s="140"/>
      <c r="R76" s="140"/>
      <c r="S76" s="140"/>
      <c r="T76" s="196"/>
      <c r="U76" s="140"/>
      <c r="V76" s="140"/>
      <c r="W76" s="140"/>
      <c r="X76" s="140"/>
      <c r="Y76" s="140"/>
      <c r="Z76" s="140"/>
    </row>
    <row r="77" spans="1:26" ht="15.75" customHeight="1" x14ac:dyDescent="0.25">
      <c r="A77" s="140"/>
      <c r="B77" s="140"/>
      <c r="C77" s="140"/>
      <c r="D77" s="140"/>
      <c r="E77" s="140"/>
      <c r="F77" s="140"/>
      <c r="G77" s="140"/>
      <c r="H77" s="140"/>
      <c r="I77" s="140"/>
      <c r="J77" s="140"/>
      <c r="K77" s="140"/>
      <c r="L77" s="140"/>
      <c r="M77" s="140"/>
      <c r="N77" s="140"/>
      <c r="O77" s="140"/>
      <c r="P77" s="140"/>
      <c r="Q77" s="140"/>
      <c r="R77" s="140"/>
      <c r="S77" s="140"/>
      <c r="T77" s="196"/>
      <c r="U77" s="140"/>
      <c r="V77" s="140"/>
      <c r="W77" s="140"/>
      <c r="X77" s="140"/>
      <c r="Y77" s="140"/>
      <c r="Z77" s="140"/>
    </row>
    <row r="78" spans="1:26" ht="15.75" customHeight="1" x14ac:dyDescent="0.25">
      <c r="A78" s="140"/>
      <c r="B78" s="140"/>
      <c r="C78" s="140"/>
      <c r="D78" s="140"/>
      <c r="E78" s="140"/>
      <c r="F78" s="140"/>
      <c r="G78" s="140"/>
      <c r="H78" s="140"/>
      <c r="I78" s="140"/>
      <c r="J78" s="140"/>
      <c r="K78" s="140"/>
      <c r="L78" s="140"/>
      <c r="M78" s="140"/>
      <c r="N78" s="140"/>
      <c r="O78" s="140"/>
      <c r="P78" s="140"/>
      <c r="Q78" s="140"/>
      <c r="R78" s="140"/>
      <c r="S78" s="140"/>
      <c r="T78" s="196"/>
      <c r="U78" s="140"/>
      <c r="V78" s="140"/>
      <c r="W78" s="140"/>
      <c r="X78" s="140"/>
      <c r="Y78" s="140"/>
      <c r="Z78" s="140"/>
    </row>
    <row r="79" spans="1:26" ht="15.75" customHeight="1" x14ac:dyDescent="0.25">
      <c r="A79" s="140"/>
      <c r="B79" s="140"/>
      <c r="C79" s="140"/>
      <c r="D79" s="140"/>
      <c r="E79" s="140"/>
      <c r="F79" s="140"/>
      <c r="G79" s="140"/>
      <c r="H79" s="140"/>
      <c r="I79" s="140"/>
      <c r="J79" s="140"/>
      <c r="K79" s="140"/>
      <c r="L79" s="140"/>
      <c r="M79" s="140"/>
      <c r="N79" s="140"/>
      <c r="O79" s="140"/>
      <c r="P79" s="140"/>
      <c r="Q79" s="140"/>
      <c r="R79" s="140"/>
      <c r="S79" s="140"/>
      <c r="T79" s="196"/>
      <c r="U79" s="140"/>
      <c r="V79" s="140"/>
      <c r="W79" s="140"/>
      <c r="X79" s="140"/>
      <c r="Y79" s="140"/>
      <c r="Z79" s="140"/>
    </row>
    <row r="80" spans="1:26" ht="15.75" customHeight="1" x14ac:dyDescent="0.25">
      <c r="A80" s="140"/>
      <c r="B80" s="140"/>
      <c r="C80" s="140"/>
      <c r="D80" s="140"/>
      <c r="E80" s="140"/>
      <c r="F80" s="140"/>
      <c r="G80" s="140"/>
      <c r="H80" s="140"/>
      <c r="I80" s="140"/>
      <c r="J80" s="140"/>
      <c r="K80" s="140"/>
      <c r="L80" s="140"/>
      <c r="M80" s="140"/>
      <c r="N80" s="140"/>
      <c r="O80" s="140"/>
      <c r="P80" s="140"/>
      <c r="Q80" s="140"/>
      <c r="R80" s="140"/>
      <c r="S80" s="140"/>
      <c r="T80" s="196"/>
      <c r="U80" s="140"/>
      <c r="V80" s="140"/>
      <c r="W80" s="140"/>
      <c r="X80" s="140"/>
      <c r="Y80" s="140"/>
      <c r="Z80" s="140"/>
    </row>
    <row r="81" spans="1:26" ht="15.75" customHeight="1" x14ac:dyDescent="0.25">
      <c r="A81" s="140"/>
      <c r="B81" s="140"/>
      <c r="C81" s="140"/>
      <c r="D81" s="140"/>
      <c r="E81" s="140"/>
      <c r="F81" s="140"/>
      <c r="G81" s="140"/>
      <c r="H81" s="140"/>
      <c r="I81" s="140"/>
      <c r="J81" s="140"/>
      <c r="K81" s="140"/>
      <c r="L81" s="140"/>
      <c r="M81" s="140"/>
      <c r="N81" s="140"/>
      <c r="O81" s="140"/>
      <c r="P81" s="140"/>
      <c r="Q81" s="140"/>
      <c r="R81" s="140"/>
      <c r="S81" s="140"/>
      <c r="T81" s="196"/>
      <c r="U81" s="140"/>
      <c r="V81" s="140"/>
      <c r="W81" s="140"/>
      <c r="X81" s="140"/>
      <c r="Y81" s="140"/>
      <c r="Z81" s="140"/>
    </row>
    <row r="82" spans="1:26" ht="15.75" customHeight="1" x14ac:dyDescent="0.25">
      <c r="A82" s="140"/>
      <c r="B82" s="140"/>
      <c r="C82" s="140"/>
      <c r="D82" s="140"/>
      <c r="E82" s="140"/>
      <c r="F82" s="140"/>
      <c r="G82" s="140"/>
      <c r="H82" s="140"/>
      <c r="I82" s="140"/>
      <c r="J82" s="140"/>
      <c r="K82" s="140"/>
      <c r="L82" s="140"/>
      <c r="M82" s="140"/>
      <c r="N82" s="140"/>
      <c r="O82" s="140"/>
      <c r="P82" s="140"/>
      <c r="Q82" s="140"/>
      <c r="R82" s="140"/>
      <c r="S82" s="140"/>
      <c r="T82" s="196"/>
      <c r="U82" s="140"/>
      <c r="V82" s="140"/>
      <c r="W82" s="140"/>
      <c r="X82" s="140"/>
      <c r="Y82" s="140"/>
      <c r="Z82" s="140"/>
    </row>
    <row r="83" spans="1:26" ht="15.75" customHeight="1" x14ac:dyDescent="0.25">
      <c r="A83" s="140"/>
      <c r="B83" s="140"/>
      <c r="C83" s="140"/>
      <c r="D83" s="140"/>
      <c r="E83" s="140"/>
      <c r="F83" s="140"/>
      <c r="G83" s="140"/>
      <c r="H83" s="140"/>
      <c r="I83" s="140"/>
      <c r="J83" s="140"/>
      <c r="K83" s="140"/>
      <c r="L83" s="140"/>
      <c r="M83" s="140"/>
      <c r="N83" s="140"/>
      <c r="O83" s="140"/>
      <c r="P83" s="140"/>
      <c r="Q83" s="140"/>
      <c r="R83" s="140"/>
      <c r="S83" s="140"/>
      <c r="T83" s="196"/>
      <c r="U83" s="140"/>
      <c r="V83" s="140"/>
      <c r="W83" s="140"/>
      <c r="X83" s="140"/>
      <c r="Y83" s="140"/>
      <c r="Z83" s="140"/>
    </row>
    <row r="84" spans="1:26" ht="15.75" customHeight="1" x14ac:dyDescent="0.25">
      <c r="A84" s="140"/>
      <c r="B84" s="140"/>
      <c r="C84" s="140"/>
      <c r="D84" s="140"/>
      <c r="E84" s="140"/>
      <c r="F84" s="140"/>
      <c r="G84" s="140"/>
      <c r="H84" s="140"/>
      <c r="I84" s="140"/>
      <c r="J84" s="140"/>
      <c r="K84" s="140"/>
      <c r="L84" s="140"/>
      <c r="M84" s="140"/>
      <c r="N84" s="140"/>
      <c r="O84" s="140"/>
      <c r="P84" s="140"/>
      <c r="Q84" s="140"/>
      <c r="R84" s="140"/>
      <c r="S84" s="140"/>
      <c r="T84" s="196"/>
      <c r="U84" s="140"/>
      <c r="V84" s="140"/>
      <c r="W84" s="140"/>
      <c r="X84" s="140"/>
      <c r="Y84" s="140"/>
      <c r="Z84" s="140"/>
    </row>
    <row r="85" spans="1:26" ht="15.75" customHeight="1" x14ac:dyDescent="0.25">
      <c r="A85" s="140"/>
      <c r="B85" s="140"/>
      <c r="C85" s="140"/>
      <c r="D85" s="140"/>
      <c r="E85" s="140"/>
      <c r="F85" s="140"/>
      <c r="G85" s="140"/>
      <c r="H85" s="140"/>
      <c r="I85" s="140"/>
      <c r="J85" s="140"/>
      <c r="K85" s="140"/>
      <c r="L85" s="140"/>
      <c r="M85" s="140"/>
      <c r="N85" s="140"/>
      <c r="O85" s="140"/>
      <c r="P85" s="140"/>
      <c r="Q85" s="140"/>
      <c r="R85" s="140"/>
      <c r="S85" s="140"/>
      <c r="T85" s="196"/>
      <c r="U85" s="140"/>
      <c r="V85" s="140"/>
      <c r="W85" s="140"/>
      <c r="X85" s="140"/>
      <c r="Y85" s="140"/>
      <c r="Z85" s="140"/>
    </row>
    <row r="86" spans="1:26" ht="15.75" customHeight="1" x14ac:dyDescent="0.25">
      <c r="A86" s="140"/>
      <c r="B86" s="140"/>
      <c r="C86" s="140"/>
      <c r="D86" s="140"/>
      <c r="E86" s="140"/>
      <c r="F86" s="140"/>
      <c r="G86" s="140"/>
      <c r="H86" s="140"/>
      <c r="I86" s="140"/>
      <c r="J86" s="140"/>
      <c r="K86" s="140"/>
      <c r="L86" s="140"/>
      <c r="M86" s="140"/>
      <c r="N86" s="140"/>
      <c r="O86" s="140"/>
      <c r="P86" s="140"/>
      <c r="Q86" s="140"/>
      <c r="R86" s="140"/>
      <c r="S86" s="140"/>
      <c r="T86" s="196"/>
      <c r="U86" s="140"/>
      <c r="V86" s="140"/>
      <c r="W86" s="140"/>
      <c r="X86" s="140"/>
      <c r="Y86" s="140"/>
      <c r="Z86" s="140"/>
    </row>
    <row r="87" spans="1:26" ht="15.75" customHeight="1" x14ac:dyDescent="0.25">
      <c r="A87" s="140"/>
      <c r="B87" s="140"/>
      <c r="C87" s="140"/>
      <c r="D87" s="140"/>
      <c r="E87" s="140"/>
      <c r="F87" s="140"/>
      <c r="G87" s="140"/>
      <c r="H87" s="140"/>
      <c r="I87" s="140"/>
      <c r="J87" s="140"/>
      <c r="K87" s="140"/>
      <c r="L87" s="140"/>
      <c r="M87" s="140"/>
      <c r="N87" s="140"/>
      <c r="O87" s="140"/>
      <c r="P87" s="140"/>
      <c r="Q87" s="140"/>
      <c r="R87" s="140"/>
      <c r="S87" s="140"/>
      <c r="T87" s="196"/>
      <c r="U87" s="140"/>
      <c r="V87" s="140"/>
      <c r="W87" s="140"/>
      <c r="X87" s="140"/>
      <c r="Y87" s="140"/>
      <c r="Z87" s="140"/>
    </row>
    <row r="88" spans="1:26" ht="15.75" customHeight="1" x14ac:dyDescent="0.25">
      <c r="A88" s="140"/>
      <c r="B88" s="140"/>
      <c r="C88" s="140"/>
      <c r="D88" s="140"/>
      <c r="E88" s="140"/>
      <c r="F88" s="140"/>
      <c r="G88" s="140"/>
      <c r="H88" s="140"/>
      <c r="I88" s="140"/>
      <c r="J88" s="140"/>
      <c r="K88" s="140"/>
      <c r="L88" s="140"/>
      <c r="M88" s="140"/>
      <c r="N88" s="140"/>
      <c r="O88" s="140"/>
      <c r="P88" s="140"/>
      <c r="Q88" s="140"/>
      <c r="R88" s="140"/>
      <c r="S88" s="140"/>
      <c r="T88" s="196"/>
      <c r="U88" s="140"/>
      <c r="V88" s="140"/>
      <c r="W88" s="140"/>
      <c r="X88" s="140"/>
      <c r="Y88" s="140"/>
      <c r="Z88" s="140"/>
    </row>
    <row r="89" spans="1:26" ht="15.75" customHeight="1" x14ac:dyDescent="0.25">
      <c r="A89" s="140"/>
      <c r="B89" s="140"/>
      <c r="C89" s="140"/>
      <c r="D89" s="140"/>
      <c r="E89" s="140"/>
      <c r="F89" s="140"/>
      <c r="G89" s="140"/>
      <c r="H89" s="140"/>
      <c r="I89" s="140"/>
      <c r="J89" s="140"/>
      <c r="K89" s="140"/>
      <c r="L89" s="140"/>
      <c r="M89" s="140"/>
      <c r="N89" s="140"/>
      <c r="O89" s="140"/>
      <c r="P89" s="140"/>
      <c r="Q89" s="140"/>
      <c r="R89" s="140"/>
      <c r="S89" s="140"/>
      <c r="T89" s="196"/>
      <c r="U89" s="140"/>
      <c r="V89" s="140"/>
      <c r="W89" s="140"/>
      <c r="X89" s="140"/>
      <c r="Y89" s="140"/>
      <c r="Z89" s="140"/>
    </row>
    <row r="90" spans="1:26" ht="15.75" customHeight="1" x14ac:dyDescent="0.25">
      <c r="A90" s="140"/>
      <c r="B90" s="140"/>
      <c r="C90" s="140"/>
      <c r="D90" s="140"/>
      <c r="E90" s="140"/>
      <c r="F90" s="140"/>
      <c r="G90" s="140"/>
      <c r="H90" s="140"/>
      <c r="I90" s="140"/>
      <c r="J90" s="140"/>
      <c r="K90" s="140"/>
      <c r="L90" s="140"/>
      <c r="M90" s="140"/>
      <c r="N90" s="140"/>
      <c r="O90" s="140"/>
      <c r="P90" s="140"/>
      <c r="Q90" s="140"/>
      <c r="R90" s="140"/>
      <c r="S90" s="140"/>
      <c r="T90" s="196"/>
      <c r="U90" s="140"/>
      <c r="V90" s="140"/>
      <c r="W90" s="140"/>
      <c r="X90" s="140"/>
      <c r="Y90" s="140"/>
      <c r="Z90" s="140"/>
    </row>
    <row r="91" spans="1:26" ht="15.75" customHeight="1" x14ac:dyDescent="0.25">
      <c r="A91" s="140"/>
      <c r="B91" s="140"/>
      <c r="C91" s="140"/>
      <c r="D91" s="140"/>
      <c r="E91" s="140"/>
      <c r="F91" s="140"/>
      <c r="G91" s="140"/>
      <c r="H91" s="140"/>
      <c r="I91" s="140"/>
      <c r="J91" s="140"/>
      <c r="K91" s="140"/>
      <c r="L91" s="140"/>
      <c r="M91" s="140"/>
      <c r="N91" s="140"/>
      <c r="O91" s="140"/>
      <c r="P91" s="140"/>
      <c r="Q91" s="140"/>
      <c r="R91" s="140"/>
      <c r="S91" s="140"/>
      <c r="T91" s="196"/>
      <c r="U91" s="140"/>
      <c r="V91" s="140"/>
      <c r="W91" s="140"/>
      <c r="X91" s="140"/>
      <c r="Y91" s="140"/>
      <c r="Z91" s="140"/>
    </row>
    <row r="92" spans="1:26" ht="15.75" customHeight="1" x14ac:dyDescent="0.25">
      <c r="A92" s="140"/>
      <c r="B92" s="140"/>
      <c r="C92" s="140"/>
      <c r="D92" s="140"/>
      <c r="E92" s="140"/>
      <c r="F92" s="140"/>
      <c r="G92" s="140"/>
      <c r="H92" s="140"/>
      <c r="I92" s="140"/>
      <c r="J92" s="140"/>
      <c r="K92" s="140"/>
      <c r="L92" s="140"/>
      <c r="M92" s="140"/>
      <c r="N92" s="140"/>
      <c r="O92" s="140"/>
      <c r="P92" s="140"/>
      <c r="Q92" s="140"/>
      <c r="R92" s="140"/>
      <c r="S92" s="140"/>
      <c r="T92" s="196"/>
      <c r="U92" s="140"/>
      <c r="V92" s="140"/>
      <c r="W92" s="140"/>
      <c r="X92" s="140"/>
      <c r="Y92" s="140"/>
      <c r="Z92" s="140"/>
    </row>
    <row r="93" spans="1:26" ht="15.75" customHeight="1" x14ac:dyDescent="0.25">
      <c r="A93" s="140"/>
      <c r="B93" s="140"/>
      <c r="C93" s="140"/>
      <c r="D93" s="140"/>
      <c r="E93" s="140"/>
      <c r="F93" s="140"/>
      <c r="G93" s="140"/>
      <c r="H93" s="140"/>
      <c r="I93" s="140"/>
      <c r="J93" s="140"/>
      <c r="K93" s="140"/>
      <c r="L93" s="140"/>
      <c r="M93" s="140"/>
      <c r="N93" s="140"/>
      <c r="O93" s="140"/>
      <c r="P93" s="140"/>
      <c r="Q93" s="140"/>
      <c r="R93" s="140"/>
      <c r="S93" s="140"/>
      <c r="T93" s="196"/>
      <c r="U93" s="140"/>
      <c r="V93" s="140"/>
      <c r="W93" s="140"/>
      <c r="X93" s="140"/>
      <c r="Y93" s="140"/>
      <c r="Z93" s="140"/>
    </row>
    <row r="94" spans="1:26" ht="15.75" customHeight="1" x14ac:dyDescent="0.25">
      <c r="A94" s="140"/>
      <c r="B94" s="140"/>
      <c r="C94" s="140"/>
      <c r="D94" s="140"/>
      <c r="E94" s="140"/>
      <c r="F94" s="140"/>
      <c r="G94" s="140"/>
      <c r="H94" s="140"/>
      <c r="I94" s="140"/>
      <c r="J94" s="140"/>
      <c r="K94" s="140"/>
      <c r="L94" s="140"/>
      <c r="M94" s="140"/>
      <c r="N94" s="140"/>
      <c r="O94" s="140"/>
      <c r="P94" s="140"/>
      <c r="Q94" s="140"/>
      <c r="R94" s="140"/>
      <c r="S94" s="140"/>
      <c r="T94" s="196"/>
      <c r="U94" s="140"/>
      <c r="V94" s="140"/>
      <c r="W94" s="140"/>
      <c r="X94" s="140"/>
      <c r="Y94" s="140"/>
      <c r="Z94" s="140"/>
    </row>
    <row r="95" spans="1:26" ht="15.75" customHeight="1" x14ac:dyDescent="0.25">
      <c r="A95" s="140"/>
      <c r="B95" s="140"/>
      <c r="C95" s="140"/>
      <c r="D95" s="140"/>
      <c r="E95" s="140"/>
      <c r="F95" s="140"/>
      <c r="G95" s="140"/>
      <c r="H95" s="140"/>
      <c r="I95" s="140"/>
      <c r="J95" s="140"/>
      <c r="K95" s="140"/>
      <c r="L95" s="140"/>
      <c r="M95" s="140"/>
      <c r="N95" s="140"/>
      <c r="O95" s="140"/>
      <c r="P95" s="140"/>
      <c r="Q95" s="140"/>
      <c r="R95" s="140"/>
      <c r="S95" s="140"/>
      <c r="T95" s="196"/>
      <c r="U95" s="140"/>
      <c r="V95" s="140"/>
      <c r="W95" s="140"/>
      <c r="X95" s="140"/>
      <c r="Y95" s="140"/>
      <c r="Z95" s="140"/>
    </row>
    <row r="96" spans="1:26" ht="15.75" customHeight="1" x14ac:dyDescent="0.25">
      <c r="A96" s="140"/>
      <c r="B96" s="140"/>
      <c r="C96" s="140"/>
      <c r="D96" s="140"/>
      <c r="E96" s="140"/>
      <c r="F96" s="140"/>
      <c r="G96" s="140"/>
      <c r="H96" s="140"/>
      <c r="I96" s="140"/>
      <c r="J96" s="140"/>
      <c r="K96" s="140"/>
      <c r="L96" s="140"/>
      <c r="M96" s="140"/>
      <c r="N96" s="140"/>
      <c r="O96" s="140"/>
      <c r="P96" s="140"/>
      <c r="Q96" s="140"/>
      <c r="R96" s="140"/>
      <c r="S96" s="140"/>
      <c r="T96" s="196"/>
      <c r="U96" s="140"/>
      <c r="V96" s="140"/>
      <c r="W96" s="140"/>
      <c r="X96" s="140"/>
      <c r="Y96" s="140"/>
      <c r="Z96" s="140"/>
    </row>
    <row r="97" spans="1:26" ht="15.75" customHeight="1" x14ac:dyDescent="0.25">
      <c r="A97" s="140"/>
      <c r="B97" s="140"/>
      <c r="C97" s="140"/>
      <c r="D97" s="140"/>
      <c r="E97" s="140"/>
      <c r="F97" s="140"/>
      <c r="G97" s="140"/>
      <c r="H97" s="140"/>
      <c r="I97" s="140"/>
      <c r="J97" s="140"/>
      <c r="K97" s="140"/>
      <c r="L97" s="140"/>
      <c r="M97" s="140"/>
      <c r="N97" s="140"/>
      <c r="O97" s="140"/>
      <c r="P97" s="140"/>
      <c r="Q97" s="140"/>
      <c r="R97" s="140"/>
      <c r="S97" s="140"/>
      <c r="T97" s="196"/>
      <c r="U97" s="140"/>
      <c r="V97" s="140"/>
      <c r="W97" s="140"/>
      <c r="X97" s="140"/>
      <c r="Y97" s="140"/>
      <c r="Z97" s="140"/>
    </row>
    <row r="98" spans="1:26" ht="15.75" customHeight="1" x14ac:dyDescent="0.25">
      <c r="A98" s="140"/>
      <c r="B98" s="140"/>
      <c r="C98" s="140"/>
      <c r="D98" s="140"/>
      <c r="E98" s="140"/>
      <c r="F98" s="140"/>
      <c r="G98" s="140"/>
      <c r="H98" s="140"/>
      <c r="I98" s="140"/>
      <c r="J98" s="140"/>
      <c r="K98" s="140"/>
      <c r="L98" s="140"/>
      <c r="M98" s="140"/>
      <c r="N98" s="140"/>
      <c r="O98" s="140"/>
      <c r="P98" s="140"/>
      <c r="Q98" s="140"/>
      <c r="R98" s="140"/>
      <c r="S98" s="140"/>
      <c r="T98" s="196"/>
      <c r="U98" s="140"/>
      <c r="V98" s="140"/>
      <c r="W98" s="140"/>
      <c r="X98" s="140"/>
      <c r="Y98" s="140"/>
      <c r="Z98" s="140"/>
    </row>
    <row r="99" spans="1:26" ht="15.75" customHeight="1" x14ac:dyDescent="0.25">
      <c r="A99" s="140"/>
      <c r="B99" s="140"/>
      <c r="C99" s="140"/>
      <c r="D99" s="140"/>
      <c r="E99" s="140"/>
      <c r="F99" s="140"/>
      <c r="G99" s="140"/>
      <c r="H99" s="140"/>
      <c r="I99" s="140"/>
      <c r="J99" s="140"/>
      <c r="K99" s="140"/>
      <c r="L99" s="140"/>
      <c r="M99" s="140"/>
      <c r="N99" s="140"/>
      <c r="O99" s="140"/>
      <c r="P99" s="140"/>
      <c r="Q99" s="140"/>
      <c r="R99" s="140"/>
      <c r="S99" s="140"/>
      <c r="T99" s="196"/>
      <c r="U99" s="140"/>
      <c r="V99" s="140"/>
      <c r="W99" s="140"/>
      <c r="X99" s="140"/>
      <c r="Y99" s="140"/>
      <c r="Z99" s="140"/>
    </row>
    <row r="100" spans="1:26" ht="15.75" customHeight="1" x14ac:dyDescent="0.25">
      <c r="A100" s="140"/>
      <c r="B100" s="140"/>
      <c r="C100" s="140"/>
      <c r="D100" s="140"/>
      <c r="E100" s="140"/>
      <c r="F100" s="140"/>
      <c r="G100" s="140"/>
      <c r="H100" s="140"/>
      <c r="I100" s="140"/>
      <c r="J100" s="140"/>
      <c r="K100" s="140"/>
      <c r="L100" s="140"/>
      <c r="M100" s="140"/>
      <c r="N100" s="140"/>
      <c r="O100" s="140"/>
      <c r="P100" s="140"/>
      <c r="Q100" s="140"/>
      <c r="R100" s="140"/>
      <c r="S100" s="140"/>
      <c r="T100" s="196"/>
      <c r="U100" s="140"/>
      <c r="V100" s="140"/>
      <c r="W100" s="140"/>
      <c r="X100" s="140"/>
      <c r="Y100" s="140"/>
      <c r="Z100" s="140"/>
    </row>
    <row r="101" spans="1:26" ht="15.75" customHeight="1" x14ac:dyDescent="0.25">
      <c r="A101" s="140"/>
      <c r="B101" s="140"/>
      <c r="C101" s="140"/>
      <c r="D101" s="140"/>
      <c r="E101" s="140"/>
      <c r="F101" s="140"/>
      <c r="G101" s="140"/>
      <c r="H101" s="140"/>
      <c r="I101" s="140"/>
      <c r="J101" s="140"/>
      <c r="K101" s="140"/>
      <c r="L101" s="140"/>
      <c r="M101" s="140"/>
      <c r="N101" s="140"/>
      <c r="O101" s="140"/>
      <c r="P101" s="140"/>
      <c r="Q101" s="140"/>
      <c r="R101" s="140"/>
      <c r="S101" s="140"/>
      <c r="T101" s="196"/>
      <c r="U101" s="140"/>
      <c r="V101" s="140"/>
      <c r="W101" s="140"/>
      <c r="X101" s="140"/>
      <c r="Y101" s="140"/>
      <c r="Z101" s="140"/>
    </row>
    <row r="102" spans="1:26" ht="15.75" customHeight="1" x14ac:dyDescent="0.25">
      <c r="A102" s="140"/>
      <c r="B102" s="140"/>
      <c r="C102" s="140"/>
      <c r="D102" s="140"/>
      <c r="E102" s="140"/>
      <c r="F102" s="140"/>
      <c r="G102" s="140"/>
      <c r="H102" s="140"/>
      <c r="I102" s="140"/>
      <c r="J102" s="140"/>
      <c r="K102" s="140"/>
      <c r="L102" s="140"/>
      <c r="M102" s="140"/>
      <c r="N102" s="140"/>
      <c r="O102" s="140"/>
      <c r="P102" s="140"/>
      <c r="Q102" s="140"/>
      <c r="R102" s="140"/>
      <c r="S102" s="140"/>
      <c r="T102" s="196"/>
      <c r="U102" s="140"/>
      <c r="V102" s="140"/>
      <c r="W102" s="140"/>
      <c r="X102" s="140"/>
      <c r="Y102" s="140"/>
      <c r="Z102" s="140"/>
    </row>
    <row r="103" spans="1:26" ht="15.75" customHeight="1" x14ac:dyDescent="0.25">
      <c r="A103" s="140"/>
      <c r="B103" s="140"/>
      <c r="C103" s="140"/>
      <c r="D103" s="140"/>
      <c r="E103" s="140"/>
      <c r="F103" s="140"/>
      <c r="G103" s="140"/>
      <c r="H103" s="140"/>
      <c r="I103" s="140"/>
      <c r="J103" s="140"/>
      <c r="K103" s="140"/>
      <c r="L103" s="140"/>
      <c r="M103" s="140"/>
      <c r="N103" s="140"/>
      <c r="O103" s="140"/>
      <c r="P103" s="140"/>
      <c r="Q103" s="140"/>
      <c r="R103" s="140"/>
      <c r="S103" s="140"/>
      <c r="T103" s="196"/>
      <c r="U103" s="140"/>
      <c r="V103" s="140"/>
      <c r="W103" s="140"/>
      <c r="X103" s="140"/>
      <c r="Y103" s="140"/>
      <c r="Z103" s="140"/>
    </row>
    <row r="104" spans="1:26" ht="15.75" customHeight="1" x14ac:dyDescent="0.25">
      <c r="A104" s="140"/>
      <c r="B104" s="140"/>
      <c r="C104" s="140"/>
      <c r="D104" s="140"/>
      <c r="E104" s="140"/>
      <c r="F104" s="140"/>
      <c r="G104" s="140"/>
      <c r="H104" s="140"/>
      <c r="I104" s="140"/>
      <c r="J104" s="140"/>
      <c r="K104" s="140"/>
      <c r="L104" s="140"/>
      <c r="M104" s="140"/>
      <c r="N104" s="140"/>
      <c r="O104" s="140"/>
      <c r="P104" s="140"/>
      <c r="Q104" s="140"/>
      <c r="R104" s="140"/>
      <c r="S104" s="140"/>
      <c r="T104" s="196"/>
      <c r="U104" s="140"/>
      <c r="V104" s="140"/>
      <c r="W104" s="140"/>
      <c r="X104" s="140"/>
      <c r="Y104" s="140"/>
      <c r="Z104" s="140"/>
    </row>
    <row r="105" spans="1:26" ht="15.75" customHeight="1" x14ac:dyDescent="0.25">
      <c r="A105" s="140"/>
      <c r="B105" s="140"/>
      <c r="C105" s="140"/>
      <c r="D105" s="140"/>
      <c r="E105" s="140"/>
      <c r="F105" s="140"/>
      <c r="G105" s="140"/>
      <c r="H105" s="140"/>
      <c r="I105" s="140"/>
      <c r="J105" s="140"/>
      <c r="K105" s="140"/>
      <c r="L105" s="140"/>
      <c r="M105" s="140"/>
      <c r="N105" s="140"/>
      <c r="O105" s="140"/>
      <c r="P105" s="140"/>
      <c r="Q105" s="140"/>
      <c r="R105" s="140"/>
      <c r="S105" s="140"/>
      <c r="T105" s="196"/>
      <c r="U105" s="140"/>
      <c r="V105" s="140"/>
      <c r="W105" s="140"/>
      <c r="X105" s="140"/>
      <c r="Y105" s="140"/>
      <c r="Z105" s="140"/>
    </row>
    <row r="106" spans="1:26" ht="15.75" customHeight="1" x14ac:dyDescent="0.25">
      <c r="A106" s="140"/>
      <c r="B106" s="140"/>
      <c r="C106" s="140"/>
      <c r="D106" s="140"/>
      <c r="E106" s="140"/>
      <c r="F106" s="140"/>
      <c r="G106" s="140"/>
      <c r="H106" s="140"/>
      <c r="I106" s="140"/>
      <c r="J106" s="140"/>
      <c r="K106" s="140"/>
      <c r="L106" s="140"/>
      <c r="M106" s="140"/>
      <c r="N106" s="140"/>
      <c r="O106" s="140"/>
      <c r="P106" s="140"/>
      <c r="Q106" s="140"/>
      <c r="R106" s="140"/>
      <c r="S106" s="140"/>
      <c r="T106" s="196"/>
      <c r="U106" s="140"/>
      <c r="V106" s="140"/>
      <c r="W106" s="140"/>
      <c r="X106" s="140"/>
      <c r="Y106" s="140"/>
      <c r="Z106" s="140"/>
    </row>
    <row r="107" spans="1:26" ht="15.75" customHeight="1" x14ac:dyDescent="0.25">
      <c r="A107" s="140"/>
      <c r="B107" s="140"/>
      <c r="C107" s="140"/>
      <c r="D107" s="140"/>
      <c r="E107" s="140"/>
      <c r="F107" s="140"/>
      <c r="G107" s="140"/>
      <c r="H107" s="140"/>
      <c r="I107" s="140"/>
      <c r="J107" s="140"/>
      <c r="K107" s="140"/>
      <c r="L107" s="140"/>
      <c r="M107" s="140"/>
      <c r="N107" s="140"/>
      <c r="O107" s="140"/>
      <c r="P107" s="140"/>
      <c r="Q107" s="140"/>
      <c r="R107" s="140"/>
      <c r="S107" s="140"/>
      <c r="T107" s="196"/>
      <c r="U107" s="140"/>
      <c r="V107" s="140"/>
      <c r="W107" s="140"/>
      <c r="X107" s="140"/>
      <c r="Y107" s="140"/>
      <c r="Z107" s="140"/>
    </row>
    <row r="108" spans="1:26" ht="15.75" customHeight="1" x14ac:dyDescent="0.25">
      <c r="A108" s="140"/>
      <c r="B108" s="140"/>
      <c r="C108" s="140"/>
      <c r="D108" s="140"/>
      <c r="E108" s="140"/>
      <c r="F108" s="140"/>
      <c r="G108" s="140"/>
      <c r="H108" s="140"/>
      <c r="I108" s="140"/>
      <c r="J108" s="140"/>
      <c r="K108" s="140"/>
      <c r="L108" s="140"/>
      <c r="M108" s="140"/>
      <c r="N108" s="140"/>
      <c r="O108" s="140"/>
      <c r="P108" s="140"/>
      <c r="Q108" s="140"/>
      <c r="R108" s="140"/>
      <c r="S108" s="140"/>
      <c r="T108" s="196"/>
      <c r="U108" s="140"/>
      <c r="V108" s="140"/>
      <c r="W108" s="140"/>
      <c r="X108" s="140"/>
      <c r="Y108" s="140"/>
      <c r="Z108" s="140"/>
    </row>
    <row r="109" spans="1:26" ht="15.75" customHeight="1" x14ac:dyDescent="0.25">
      <c r="A109" s="140"/>
      <c r="B109" s="140"/>
      <c r="C109" s="140"/>
      <c r="D109" s="140"/>
      <c r="E109" s="140"/>
      <c r="F109" s="140"/>
      <c r="G109" s="140"/>
      <c r="H109" s="140"/>
      <c r="I109" s="140"/>
      <c r="J109" s="140"/>
      <c r="K109" s="140"/>
      <c r="L109" s="140"/>
      <c r="M109" s="140"/>
      <c r="N109" s="140"/>
      <c r="O109" s="140"/>
      <c r="P109" s="140"/>
      <c r="Q109" s="140"/>
      <c r="R109" s="140"/>
      <c r="S109" s="140"/>
      <c r="T109" s="196"/>
      <c r="U109" s="140"/>
      <c r="V109" s="140"/>
      <c r="W109" s="140"/>
      <c r="X109" s="140"/>
      <c r="Y109" s="140"/>
      <c r="Z109" s="140"/>
    </row>
    <row r="110" spans="1:26" ht="15.75" customHeight="1" x14ac:dyDescent="0.25">
      <c r="A110" s="140"/>
      <c r="B110" s="140"/>
      <c r="C110" s="140"/>
      <c r="D110" s="140"/>
      <c r="E110" s="140"/>
      <c r="F110" s="140"/>
      <c r="G110" s="140"/>
      <c r="H110" s="140"/>
      <c r="I110" s="140"/>
      <c r="J110" s="140"/>
      <c r="K110" s="140"/>
      <c r="L110" s="140"/>
      <c r="M110" s="140"/>
      <c r="N110" s="140"/>
      <c r="O110" s="140"/>
      <c r="P110" s="140"/>
      <c r="Q110" s="140"/>
      <c r="R110" s="140"/>
      <c r="S110" s="140"/>
      <c r="T110" s="196"/>
      <c r="U110" s="140"/>
      <c r="V110" s="140"/>
      <c r="W110" s="140"/>
      <c r="X110" s="140"/>
      <c r="Y110" s="140"/>
      <c r="Z110" s="140"/>
    </row>
    <row r="111" spans="1:26" ht="15.75" customHeight="1" x14ac:dyDescent="0.25">
      <c r="A111" s="140"/>
      <c r="B111" s="140"/>
      <c r="C111" s="140"/>
      <c r="D111" s="140"/>
      <c r="E111" s="140"/>
      <c r="F111" s="140"/>
      <c r="G111" s="140"/>
      <c r="H111" s="140"/>
      <c r="I111" s="140"/>
      <c r="J111" s="140"/>
      <c r="K111" s="140"/>
      <c r="L111" s="140"/>
      <c r="M111" s="140"/>
      <c r="N111" s="140"/>
      <c r="O111" s="140"/>
      <c r="P111" s="140"/>
      <c r="Q111" s="140"/>
      <c r="R111" s="140"/>
      <c r="S111" s="140"/>
      <c r="T111" s="196"/>
      <c r="U111" s="140"/>
      <c r="V111" s="140"/>
      <c r="W111" s="140"/>
      <c r="X111" s="140"/>
      <c r="Y111" s="140"/>
      <c r="Z111" s="140"/>
    </row>
    <row r="112" spans="1:26" ht="15.75" customHeight="1" x14ac:dyDescent="0.25">
      <c r="A112" s="140"/>
      <c r="B112" s="140"/>
      <c r="C112" s="140"/>
      <c r="D112" s="140"/>
      <c r="E112" s="140"/>
      <c r="F112" s="140"/>
      <c r="G112" s="140"/>
      <c r="H112" s="140"/>
      <c r="I112" s="140"/>
      <c r="J112" s="140"/>
      <c r="K112" s="140"/>
      <c r="L112" s="140"/>
      <c r="M112" s="140"/>
      <c r="N112" s="140"/>
      <c r="O112" s="140"/>
      <c r="P112" s="140"/>
      <c r="Q112" s="140"/>
      <c r="R112" s="140"/>
      <c r="S112" s="140"/>
      <c r="T112" s="196"/>
      <c r="U112" s="140"/>
      <c r="V112" s="140"/>
      <c r="W112" s="140"/>
      <c r="X112" s="140"/>
      <c r="Y112" s="140"/>
      <c r="Z112" s="140"/>
    </row>
    <row r="113" spans="1:26" ht="15.75" customHeight="1" x14ac:dyDescent="0.25">
      <c r="A113" s="140"/>
      <c r="B113" s="140"/>
      <c r="C113" s="140"/>
      <c r="D113" s="140"/>
      <c r="E113" s="140"/>
      <c r="F113" s="140"/>
      <c r="G113" s="140"/>
      <c r="H113" s="140"/>
      <c r="I113" s="140"/>
      <c r="J113" s="140"/>
      <c r="K113" s="140"/>
      <c r="L113" s="140"/>
      <c r="M113" s="140"/>
      <c r="N113" s="140"/>
      <c r="O113" s="140"/>
      <c r="P113" s="140"/>
      <c r="Q113" s="140"/>
      <c r="R113" s="140"/>
      <c r="S113" s="140"/>
      <c r="T113" s="196"/>
      <c r="U113" s="140"/>
      <c r="V113" s="140"/>
      <c r="W113" s="140"/>
      <c r="X113" s="140"/>
      <c r="Y113" s="140"/>
      <c r="Z113" s="140"/>
    </row>
    <row r="114" spans="1:26" ht="15.75" customHeight="1" x14ac:dyDescent="0.25">
      <c r="A114" s="140"/>
      <c r="B114" s="140"/>
      <c r="C114" s="140"/>
      <c r="D114" s="140"/>
      <c r="E114" s="140"/>
      <c r="F114" s="140"/>
      <c r="G114" s="140"/>
      <c r="H114" s="140"/>
      <c r="I114" s="140"/>
      <c r="J114" s="140"/>
      <c r="K114" s="140"/>
      <c r="L114" s="140"/>
      <c r="M114" s="140"/>
      <c r="N114" s="140"/>
      <c r="O114" s="140"/>
      <c r="P114" s="140"/>
      <c r="Q114" s="140"/>
      <c r="R114" s="140"/>
      <c r="S114" s="140"/>
      <c r="T114" s="196"/>
      <c r="U114" s="140"/>
      <c r="V114" s="140"/>
      <c r="W114" s="140"/>
      <c r="X114" s="140"/>
      <c r="Y114" s="140"/>
      <c r="Z114" s="140"/>
    </row>
    <row r="115" spans="1:26" ht="15.75" customHeight="1" x14ac:dyDescent="0.25">
      <c r="A115" s="140"/>
      <c r="B115" s="140"/>
      <c r="C115" s="140"/>
      <c r="D115" s="140"/>
      <c r="E115" s="140"/>
      <c r="F115" s="140"/>
      <c r="G115" s="140"/>
      <c r="H115" s="140"/>
      <c r="I115" s="140"/>
      <c r="J115" s="140"/>
      <c r="K115" s="140"/>
      <c r="L115" s="140"/>
      <c r="M115" s="140"/>
      <c r="N115" s="140"/>
      <c r="O115" s="140"/>
      <c r="P115" s="140"/>
      <c r="Q115" s="140"/>
      <c r="R115" s="140"/>
      <c r="S115" s="140"/>
      <c r="T115" s="196"/>
      <c r="U115" s="140"/>
      <c r="V115" s="140"/>
      <c r="W115" s="140"/>
      <c r="X115" s="140"/>
      <c r="Y115" s="140"/>
      <c r="Z115" s="140"/>
    </row>
    <row r="116" spans="1:26" ht="15.75" customHeight="1" x14ac:dyDescent="0.25">
      <c r="A116" s="140"/>
      <c r="B116" s="140"/>
      <c r="C116" s="140"/>
      <c r="D116" s="140"/>
      <c r="E116" s="140"/>
      <c r="F116" s="140"/>
      <c r="G116" s="140"/>
      <c r="H116" s="140"/>
      <c r="I116" s="140"/>
      <c r="J116" s="140"/>
      <c r="K116" s="140"/>
      <c r="L116" s="140"/>
      <c r="M116" s="140"/>
      <c r="N116" s="140"/>
      <c r="O116" s="140"/>
      <c r="P116" s="140"/>
      <c r="Q116" s="140"/>
      <c r="R116" s="140"/>
      <c r="S116" s="140"/>
      <c r="T116" s="196"/>
      <c r="U116" s="140"/>
      <c r="V116" s="140"/>
      <c r="W116" s="140"/>
      <c r="X116" s="140"/>
      <c r="Y116" s="140"/>
      <c r="Z116" s="140"/>
    </row>
    <row r="117" spans="1:26" ht="15.75" customHeight="1" x14ac:dyDescent="0.25">
      <c r="A117" s="140"/>
      <c r="B117" s="140"/>
      <c r="C117" s="140"/>
      <c r="D117" s="140"/>
      <c r="E117" s="140"/>
      <c r="F117" s="140"/>
      <c r="G117" s="140"/>
      <c r="H117" s="140"/>
      <c r="I117" s="140"/>
      <c r="J117" s="140"/>
      <c r="K117" s="140"/>
      <c r="L117" s="140"/>
      <c r="M117" s="140"/>
      <c r="N117" s="140"/>
      <c r="O117" s="140"/>
      <c r="P117" s="140"/>
      <c r="Q117" s="140"/>
      <c r="R117" s="140"/>
      <c r="S117" s="140"/>
      <c r="T117" s="196"/>
      <c r="U117" s="140"/>
      <c r="V117" s="140"/>
      <c r="W117" s="140"/>
      <c r="X117" s="140"/>
      <c r="Y117" s="140"/>
      <c r="Z117" s="140"/>
    </row>
    <row r="118" spans="1:26" ht="15.75" customHeight="1" x14ac:dyDescent="0.25">
      <c r="A118" s="140"/>
      <c r="B118" s="140"/>
      <c r="C118" s="140"/>
      <c r="D118" s="140"/>
      <c r="E118" s="140"/>
      <c r="F118" s="140"/>
      <c r="G118" s="140"/>
      <c r="H118" s="140"/>
      <c r="I118" s="140"/>
      <c r="J118" s="140"/>
      <c r="K118" s="140"/>
      <c r="L118" s="140"/>
      <c r="M118" s="140"/>
      <c r="N118" s="140"/>
      <c r="O118" s="140"/>
      <c r="P118" s="140"/>
      <c r="Q118" s="140"/>
      <c r="R118" s="140"/>
      <c r="S118" s="140"/>
      <c r="T118" s="196"/>
      <c r="U118" s="140"/>
      <c r="V118" s="140"/>
      <c r="W118" s="140"/>
      <c r="X118" s="140"/>
      <c r="Y118" s="140"/>
      <c r="Z118" s="140"/>
    </row>
    <row r="119" spans="1:26" ht="15.75" customHeight="1" x14ac:dyDescent="0.25">
      <c r="A119" s="140"/>
      <c r="B119" s="140"/>
      <c r="C119" s="140"/>
      <c r="D119" s="140"/>
      <c r="E119" s="140"/>
      <c r="F119" s="140"/>
      <c r="G119" s="140"/>
      <c r="H119" s="140"/>
      <c r="I119" s="140"/>
      <c r="J119" s="140"/>
      <c r="K119" s="140"/>
      <c r="L119" s="140"/>
      <c r="M119" s="140"/>
      <c r="N119" s="140"/>
      <c r="O119" s="140"/>
      <c r="P119" s="140"/>
      <c r="Q119" s="140"/>
      <c r="R119" s="140"/>
      <c r="S119" s="140"/>
      <c r="T119" s="196"/>
      <c r="U119" s="140"/>
      <c r="V119" s="140"/>
      <c r="W119" s="140"/>
      <c r="X119" s="140"/>
      <c r="Y119" s="140"/>
      <c r="Z119" s="140"/>
    </row>
    <row r="120" spans="1:26" ht="15.75" customHeight="1" x14ac:dyDescent="0.25">
      <c r="A120" s="140"/>
      <c r="B120" s="140"/>
      <c r="C120" s="140"/>
      <c r="D120" s="140"/>
      <c r="E120" s="140"/>
      <c r="F120" s="140"/>
      <c r="G120" s="140"/>
      <c r="H120" s="140"/>
      <c r="I120" s="140"/>
      <c r="J120" s="140"/>
      <c r="K120" s="140"/>
      <c r="L120" s="140"/>
      <c r="M120" s="140"/>
      <c r="N120" s="140"/>
      <c r="O120" s="140"/>
      <c r="P120" s="140"/>
      <c r="Q120" s="140"/>
      <c r="R120" s="140"/>
      <c r="S120" s="140"/>
      <c r="T120" s="196"/>
      <c r="U120" s="140"/>
      <c r="V120" s="140"/>
      <c r="W120" s="140"/>
      <c r="X120" s="140"/>
      <c r="Y120" s="140"/>
      <c r="Z120" s="140"/>
    </row>
    <row r="121" spans="1:26" ht="15.75" customHeight="1" x14ac:dyDescent="0.25">
      <c r="A121" s="140"/>
      <c r="B121" s="140"/>
      <c r="C121" s="140"/>
      <c r="D121" s="140"/>
      <c r="E121" s="140"/>
      <c r="F121" s="140"/>
      <c r="G121" s="140"/>
      <c r="H121" s="140"/>
      <c r="I121" s="140"/>
      <c r="J121" s="140"/>
      <c r="K121" s="140"/>
      <c r="L121" s="140"/>
      <c r="M121" s="140"/>
      <c r="N121" s="140"/>
      <c r="O121" s="140"/>
      <c r="P121" s="140"/>
      <c r="Q121" s="140"/>
      <c r="R121" s="140"/>
      <c r="S121" s="140"/>
      <c r="T121" s="196"/>
      <c r="U121" s="140"/>
      <c r="V121" s="140"/>
      <c r="W121" s="140"/>
      <c r="X121" s="140"/>
      <c r="Y121" s="140"/>
      <c r="Z121" s="140"/>
    </row>
    <row r="122" spans="1:26" ht="15.75" customHeight="1" x14ac:dyDescent="0.25">
      <c r="A122" s="140"/>
      <c r="B122" s="140"/>
      <c r="C122" s="140"/>
      <c r="D122" s="140"/>
      <c r="E122" s="140"/>
      <c r="F122" s="140"/>
      <c r="G122" s="140"/>
      <c r="H122" s="140"/>
      <c r="I122" s="140"/>
      <c r="J122" s="140"/>
      <c r="K122" s="140"/>
      <c r="L122" s="140"/>
      <c r="M122" s="140"/>
      <c r="N122" s="140"/>
      <c r="O122" s="140"/>
      <c r="P122" s="140"/>
      <c r="Q122" s="140"/>
      <c r="R122" s="140"/>
      <c r="S122" s="140"/>
      <c r="T122" s="196"/>
      <c r="U122" s="140"/>
      <c r="V122" s="140"/>
      <c r="W122" s="140"/>
      <c r="X122" s="140"/>
      <c r="Y122" s="140"/>
      <c r="Z122" s="140"/>
    </row>
    <row r="123" spans="1:26" ht="15.75" customHeight="1" x14ac:dyDescent="0.25">
      <c r="A123" s="140"/>
      <c r="B123" s="140"/>
      <c r="C123" s="140"/>
      <c r="D123" s="140"/>
      <c r="E123" s="140"/>
      <c r="F123" s="140"/>
      <c r="G123" s="140"/>
      <c r="H123" s="140"/>
      <c r="I123" s="140"/>
      <c r="J123" s="140"/>
      <c r="K123" s="140"/>
      <c r="L123" s="140"/>
      <c r="M123" s="140"/>
      <c r="N123" s="140"/>
      <c r="O123" s="140"/>
      <c r="P123" s="140"/>
      <c r="Q123" s="140"/>
      <c r="R123" s="140"/>
      <c r="S123" s="140"/>
      <c r="T123" s="196"/>
      <c r="U123" s="140"/>
      <c r="V123" s="140"/>
      <c r="W123" s="140"/>
      <c r="X123" s="140"/>
      <c r="Y123" s="140"/>
      <c r="Z123" s="140"/>
    </row>
    <row r="124" spans="1:26" ht="15.75" customHeight="1" x14ac:dyDescent="0.25">
      <c r="A124" s="140"/>
      <c r="B124" s="140"/>
      <c r="C124" s="140"/>
      <c r="D124" s="140"/>
      <c r="E124" s="140"/>
      <c r="F124" s="140"/>
      <c r="G124" s="140"/>
      <c r="H124" s="140"/>
      <c r="I124" s="140"/>
      <c r="J124" s="140"/>
      <c r="K124" s="140"/>
      <c r="L124" s="140"/>
      <c r="M124" s="140"/>
      <c r="N124" s="140"/>
      <c r="O124" s="140"/>
      <c r="P124" s="140"/>
      <c r="Q124" s="140"/>
      <c r="R124" s="140"/>
      <c r="S124" s="140"/>
      <c r="T124" s="196"/>
      <c r="U124" s="140"/>
      <c r="V124" s="140"/>
      <c r="W124" s="140"/>
      <c r="X124" s="140"/>
      <c r="Y124" s="140"/>
      <c r="Z124" s="140"/>
    </row>
    <row r="125" spans="1:26" ht="15.75" customHeight="1" x14ac:dyDescent="0.25">
      <c r="A125" s="140"/>
      <c r="B125" s="140"/>
      <c r="C125" s="140"/>
      <c r="D125" s="140"/>
      <c r="E125" s="140"/>
      <c r="F125" s="140"/>
      <c r="G125" s="140"/>
      <c r="H125" s="140"/>
      <c r="I125" s="140"/>
      <c r="J125" s="140"/>
      <c r="K125" s="140"/>
      <c r="L125" s="140"/>
      <c r="M125" s="140"/>
      <c r="N125" s="140"/>
      <c r="O125" s="140"/>
      <c r="P125" s="140"/>
      <c r="Q125" s="140"/>
      <c r="R125" s="140"/>
      <c r="S125" s="140"/>
      <c r="T125" s="196"/>
      <c r="U125" s="140"/>
      <c r="V125" s="140"/>
      <c r="W125" s="140"/>
      <c r="X125" s="140"/>
      <c r="Y125" s="140"/>
      <c r="Z125" s="140"/>
    </row>
    <row r="126" spans="1:26" ht="15.75" customHeight="1" x14ac:dyDescent="0.25">
      <c r="A126" s="140"/>
      <c r="B126" s="140"/>
      <c r="C126" s="140"/>
      <c r="D126" s="140"/>
      <c r="E126" s="140"/>
      <c r="F126" s="140"/>
      <c r="G126" s="140"/>
      <c r="H126" s="140"/>
      <c r="I126" s="140"/>
      <c r="J126" s="140"/>
      <c r="K126" s="140"/>
      <c r="L126" s="140"/>
      <c r="M126" s="140"/>
      <c r="N126" s="140"/>
      <c r="O126" s="140"/>
      <c r="P126" s="140"/>
      <c r="Q126" s="140"/>
      <c r="R126" s="140"/>
      <c r="S126" s="140"/>
      <c r="T126" s="196"/>
      <c r="U126" s="140"/>
      <c r="V126" s="140"/>
      <c r="W126" s="140"/>
      <c r="X126" s="140"/>
      <c r="Y126" s="140"/>
      <c r="Z126" s="140"/>
    </row>
    <row r="127" spans="1:26" ht="15.75" customHeight="1" x14ac:dyDescent="0.25">
      <c r="A127" s="140"/>
      <c r="B127" s="140"/>
      <c r="C127" s="140"/>
      <c r="D127" s="140"/>
      <c r="E127" s="140"/>
      <c r="F127" s="140"/>
      <c r="G127" s="140"/>
      <c r="H127" s="140"/>
      <c r="I127" s="140"/>
      <c r="J127" s="140"/>
      <c r="K127" s="140"/>
      <c r="L127" s="140"/>
      <c r="M127" s="140"/>
      <c r="N127" s="140"/>
      <c r="O127" s="140"/>
      <c r="P127" s="140"/>
      <c r="Q127" s="140"/>
      <c r="R127" s="140"/>
      <c r="S127" s="140"/>
      <c r="T127" s="196"/>
      <c r="U127" s="140"/>
      <c r="V127" s="140"/>
      <c r="W127" s="140"/>
      <c r="X127" s="140"/>
      <c r="Y127" s="140"/>
      <c r="Z127" s="140"/>
    </row>
    <row r="128" spans="1:26" ht="15.75" customHeight="1" x14ac:dyDescent="0.25">
      <c r="A128" s="140"/>
      <c r="B128" s="140"/>
      <c r="C128" s="140"/>
      <c r="D128" s="140"/>
      <c r="E128" s="140"/>
      <c r="F128" s="140"/>
      <c r="G128" s="140"/>
      <c r="H128" s="140"/>
      <c r="I128" s="140"/>
      <c r="J128" s="140"/>
      <c r="K128" s="140"/>
      <c r="L128" s="140"/>
      <c r="M128" s="140"/>
      <c r="N128" s="140"/>
      <c r="O128" s="140"/>
      <c r="P128" s="140"/>
      <c r="Q128" s="140"/>
      <c r="R128" s="140"/>
      <c r="S128" s="140"/>
      <c r="T128" s="196"/>
      <c r="U128" s="140"/>
      <c r="V128" s="140"/>
      <c r="W128" s="140"/>
      <c r="X128" s="140"/>
      <c r="Y128" s="140"/>
      <c r="Z128" s="140"/>
    </row>
    <row r="129" spans="1:26" ht="15.75" customHeight="1" x14ac:dyDescent="0.25">
      <c r="A129" s="140"/>
      <c r="B129" s="140"/>
      <c r="C129" s="140"/>
      <c r="D129" s="140"/>
      <c r="E129" s="140"/>
      <c r="F129" s="140"/>
      <c r="G129" s="140"/>
      <c r="H129" s="140"/>
      <c r="I129" s="140"/>
      <c r="J129" s="140"/>
      <c r="K129" s="140"/>
      <c r="L129" s="140"/>
      <c r="M129" s="140"/>
      <c r="N129" s="140"/>
      <c r="O129" s="140"/>
      <c r="P129" s="140"/>
      <c r="Q129" s="140"/>
      <c r="R129" s="140"/>
      <c r="S129" s="140"/>
      <c r="T129" s="196"/>
      <c r="U129" s="140"/>
      <c r="V129" s="140"/>
      <c r="W129" s="140"/>
      <c r="X129" s="140"/>
      <c r="Y129" s="140"/>
      <c r="Z129" s="140"/>
    </row>
    <row r="130" spans="1:26" ht="15.75" customHeight="1" x14ac:dyDescent="0.25">
      <c r="A130" s="140"/>
      <c r="B130" s="140"/>
      <c r="C130" s="140"/>
      <c r="D130" s="140"/>
      <c r="E130" s="140"/>
      <c r="F130" s="140"/>
      <c r="G130" s="140"/>
      <c r="H130" s="140"/>
      <c r="I130" s="140"/>
      <c r="J130" s="140"/>
      <c r="K130" s="140"/>
      <c r="L130" s="140"/>
      <c r="M130" s="140"/>
      <c r="N130" s="140"/>
      <c r="O130" s="140"/>
      <c r="P130" s="140"/>
      <c r="Q130" s="140"/>
      <c r="R130" s="140"/>
      <c r="S130" s="140"/>
      <c r="T130" s="196"/>
      <c r="U130" s="140"/>
      <c r="V130" s="140"/>
      <c r="W130" s="140"/>
      <c r="X130" s="140"/>
      <c r="Y130" s="140"/>
      <c r="Z130" s="140"/>
    </row>
    <row r="131" spans="1:26" ht="15.75" customHeight="1" x14ac:dyDescent="0.25">
      <c r="A131" s="140"/>
      <c r="B131" s="140"/>
      <c r="C131" s="140"/>
      <c r="D131" s="140"/>
      <c r="E131" s="140"/>
      <c r="F131" s="140"/>
      <c r="G131" s="140"/>
      <c r="H131" s="140"/>
      <c r="I131" s="140"/>
      <c r="J131" s="140"/>
      <c r="K131" s="140"/>
      <c r="L131" s="140"/>
      <c r="M131" s="140"/>
      <c r="N131" s="140"/>
      <c r="O131" s="140"/>
      <c r="P131" s="140"/>
      <c r="Q131" s="140"/>
      <c r="R131" s="140"/>
      <c r="S131" s="140"/>
      <c r="T131" s="196"/>
      <c r="U131" s="140"/>
      <c r="V131" s="140"/>
      <c r="W131" s="140"/>
      <c r="X131" s="140"/>
      <c r="Y131" s="140"/>
      <c r="Z131" s="140"/>
    </row>
    <row r="132" spans="1:26" ht="15.75" customHeight="1" x14ac:dyDescent="0.25">
      <c r="A132" s="140"/>
      <c r="B132" s="140"/>
      <c r="C132" s="140"/>
      <c r="D132" s="140"/>
      <c r="E132" s="140"/>
      <c r="F132" s="140"/>
      <c r="G132" s="140"/>
      <c r="H132" s="140"/>
      <c r="I132" s="140"/>
      <c r="J132" s="140"/>
      <c r="K132" s="140"/>
      <c r="L132" s="140"/>
      <c r="M132" s="140"/>
      <c r="N132" s="140"/>
      <c r="O132" s="140"/>
      <c r="P132" s="140"/>
      <c r="Q132" s="140"/>
      <c r="R132" s="140"/>
      <c r="S132" s="140"/>
      <c r="T132" s="196"/>
      <c r="U132" s="140"/>
      <c r="V132" s="140"/>
      <c r="W132" s="140"/>
      <c r="X132" s="140"/>
      <c r="Y132" s="140"/>
      <c r="Z132" s="140"/>
    </row>
    <row r="133" spans="1:26" ht="15.75" customHeight="1" x14ac:dyDescent="0.25">
      <c r="A133" s="140"/>
      <c r="B133" s="140"/>
      <c r="C133" s="140"/>
      <c r="D133" s="140"/>
      <c r="E133" s="140"/>
      <c r="F133" s="140"/>
      <c r="G133" s="140"/>
      <c r="H133" s="140"/>
      <c r="I133" s="140"/>
      <c r="J133" s="140"/>
      <c r="K133" s="140"/>
      <c r="L133" s="140"/>
      <c r="M133" s="140"/>
      <c r="N133" s="140"/>
      <c r="O133" s="140"/>
      <c r="P133" s="140"/>
      <c r="Q133" s="140"/>
      <c r="R133" s="140"/>
      <c r="S133" s="140"/>
      <c r="T133" s="196"/>
      <c r="U133" s="140"/>
      <c r="V133" s="140"/>
      <c r="W133" s="140"/>
      <c r="X133" s="140"/>
      <c r="Y133" s="140"/>
      <c r="Z133" s="140"/>
    </row>
    <row r="134" spans="1:26" ht="15.75" customHeight="1" x14ac:dyDescent="0.25">
      <c r="A134" s="140"/>
      <c r="B134" s="140"/>
      <c r="C134" s="140"/>
      <c r="D134" s="140"/>
      <c r="E134" s="140"/>
      <c r="F134" s="140"/>
      <c r="G134" s="140"/>
      <c r="H134" s="140"/>
      <c r="I134" s="140"/>
      <c r="J134" s="140"/>
      <c r="K134" s="140"/>
      <c r="L134" s="140"/>
      <c r="M134" s="140"/>
      <c r="N134" s="140"/>
      <c r="O134" s="140"/>
      <c r="P134" s="140"/>
      <c r="Q134" s="140"/>
      <c r="R134" s="140"/>
      <c r="S134" s="140"/>
      <c r="T134" s="196"/>
      <c r="U134" s="140"/>
      <c r="V134" s="140"/>
      <c r="W134" s="140"/>
      <c r="X134" s="140"/>
      <c r="Y134" s="140"/>
      <c r="Z134" s="140"/>
    </row>
    <row r="135" spans="1:26" ht="15.75" customHeight="1" x14ac:dyDescent="0.25">
      <c r="A135" s="140"/>
      <c r="B135" s="140"/>
      <c r="C135" s="140"/>
      <c r="D135" s="140"/>
      <c r="E135" s="140"/>
      <c r="F135" s="140"/>
      <c r="G135" s="140"/>
      <c r="H135" s="140"/>
      <c r="I135" s="140"/>
      <c r="J135" s="140"/>
      <c r="K135" s="140"/>
      <c r="L135" s="140"/>
      <c r="M135" s="140"/>
      <c r="N135" s="140"/>
      <c r="O135" s="140"/>
      <c r="P135" s="140"/>
      <c r="Q135" s="140"/>
      <c r="R135" s="140"/>
      <c r="S135" s="140"/>
      <c r="T135" s="196"/>
      <c r="U135" s="140"/>
      <c r="V135" s="140"/>
      <c r="W135" s="140"/>
      <c r="X135" s="140"/>
      <c r="Y135" s="140"/>
      <c r="Z135" s="140"/>
    </row>
    <row r="136" spans="1:26" ht="15.75" customHeight="1" x14ac:dyDescent="0.25">
      <c r="A136" s="140"/>
      <c r="B136" s="140"/>
      <c r="C136" s="140"/>
      <c r="D136" s="140"/>
      <c r="E136" s="140"/>
      <c r="F136" s="140"/>
      <c r="G136" s="140"/>
      <c r="H136" s="140"/>
      <c r="I136" s="140"/>
      <c r="J136" s="140"/>
      <c r="K136" s="140"/>
      <c r="L136" s="140"/>
      <c r="M136" s="140"/>
      <c r="N136" s="140"/>
      <c r="O136" s="140"/>
      <c r="P136" s="140"/>
      <c r="Q136" s="140"/>
      <c r="R136" s="140"/>
      <c r="S136" s="140"/>
      <c r="T136" s="196"/>
      <c r="U136" s="140"/>
      <c r="V136" s="140"/>
      <c r="W136" s="140"/>
      <c r="X136" s="140"/>
      <c r="Y136" s="140"/>
      <c r="Z136" s="140"/>
    </row>
    <row r="137" spans="1:26" ht="15.75" customHeight="1" x14ac:dyDescent="0.25">
      <c r="A137" s="140"/>
      <c r="B137" s="140"/>
      <c r="C137" s="140"/>
      <c r="D137" s="140"/>
      <c r="E137" s="140"/>
      <c r="F137" s="140"/>
      <c r="G137" s="140"/>
      <c r="H137" s="140"/>
      <c r="I137" s="140"/>
      <c r="J137" s="140"/>
      <c r="K137" s="140"/>
      <c r="L137" s="140"/>
      <c r="M137" s="140"/>
      <c r="N137" s="140"/>
      <c r="O137" s="140"/>
      <c r="P137" s="140"/>
      <c r="Q137" s="140"/>
      <c r="R137" s="140"/>
      <c r="S137" s="140"/>
      <c r="T137" s="196"/>
      <c r="U137" s="140"/>
      <c r="V137" s="140"/>
      <c r="W137" s="140"/>
      <c r="X137" s="140"/>
      <c r="Y137" s="140"/>
      <c r="Z137" s="140"/>
    </row>
    <row r="138" spans="1:26" ht="15.75" customHeight="1" x14ac:dyDescent="0.25">
      <c r="A138" s="140"/>
      <c r="B138" s="140"/>
      <c r="C138" s="140"/>
      <c r="D138" s="140"/>
      <c r="E138" s="140"/>
      <c r="F138" s="140"/>
      <c r="G138" s="140"/>
      <c r="H138" s="140"/>
      <c r="I138" s="140"/>
      <c r="J138" s="140"/>
      <c r="K138" s="140"/>
      <c r="L138" s="140"/>
      <c r="M138" s="140"/>
      <c r="N138" s="140"/>
      <c r="O138" s="140"/>
      <c r="P138" s="140"/>
      <c r="Q138" s="140"/>
      <c r="R138" s="140"/>
      <c r="S138" s="140"/>
      <c r="T138" s="196"/>
      <c r="U138" s="140"/>
      <c r="V138" s="140"/>
      <c r="W138" s="140"/>
      <c r="X138" s="140"/>
      <c r="Y138" s="140"/>
      <c r="Z138" s="140"/>
    </row>
    <row r="139" spans="1:26" ht="15.75" customHeight="1" x14ac:dyDescent="0.25">
      <c r="A139" s="140"/>
      <c r="B139" s="140"/>
      <c r="C139" s="140"/>
      <c r="D139" s="140"/>
      <c r="E139" s="140"/>
      <c r="F139" s="140"/>
      <c r="G139" s="140"/>
      <c r="H139" s="140"/>
      <c r="I139" s="140"/>
      <c r="J139" s="140"/>
      <c r="K139" s="140"/>
      <c r="L139" s="140"/>
      <c r="M139" s="140"/>
      <c r="N139" s="140"/>
      <c r="O139" s="140"/>
      <c r="P139" s="140"/>
      <c r="Q139" s="140"/>
      <c r="R139" s="140"/>
      <c r="S139" s="140"/>
      <c r="T139" s="196"/>
      <c r="U139" s="140"/>
      <c r="V139" s="140"/>
      <c r="W139" s="140"/>
      <c r="X139" s="140"/>
      <c r="Y139" s="140"/>
      <c r="Z139" s="140"/>
    </row>
    <row r="140" spans="1:26" ht="15.75" customHeight="1" x14ac:dyDescent="0.25">
      <c r="A140" s="140"/>
      <c r="B140" s="140"/>
      <c r="C140" s="140"/>
      <c r="D140" s="140"/>
      <c r="E140" s="140"/>
      <c r="F140" s="140"/>
      <c r="G140" s="140"/>
      <c r="H140" s="140"/>
      <c r="I140" s="140"/>
      <c r="J140" s="140"/>
      <c r="K140" s="140"/>
      <c r="L140" s="140"/>
      <c r="M140" s="140"/>
      <c r="N140" s="140"/>
      <c r="O140" s="140"/>
      <c r="P140" s="140"/>
      <c r="Q140" s="140"/>
      <c r="R140" s="140"/>
      <c r="S140" s="140"/>
      <c r="T140" s="196"/>
      <c r="U140" s="140"/>
      <c r="V140" s="140"/>
      <c r="W140" s="140"/>
      <c r="X140" s="140"/>
      <c r="Y140" s="140"/>
      <c r="Z140" s="140"/>
    </row>
    <row r="141" spans="1:26" ht="15.75" customHeight="1" x14ac:dyDescent="0.25">
      <c r="A141" s="140"/>
      <c r="B141" s="140"/>
      <c r="C141" s="140"/>
      <c r="D141" s="140"/>
      <c r="E141" s="140"/>
      <c r="F141" s="140"/>
      <c r="G141" s="140"/>
      <c r="H141" s="140"/>
      <c r="I141" s="140"/>
      <c r="J141" s="140"/>
      <c r="K141" s="140"/>
      <c r="L141" s="140"/>
      <c r="M141" s="140"/>
      <c r="N141" s="140"/>
      <c r="O141" s="140"/>
      <c r="P141" s="140"/>
      <c r="Q141" s="140"/>
      <c r="R141" s="140"/>
      <c r="S141" s="140"/>
      <c r="T141" s="196"/>
      <c r="U141" s="140"/>
      <c r="V141" s="140"/>
      <c r="W141" s="140"/>
      <c r="X141" s="140"/>
      <c r="Y141" s="140"/>
      <c r="Z141" s="140"/>
    </row>
    <row r="142" spans="1:26" ht="15.75" customHeight="1" x14ac:dyDescent="0.25">
      <c r="A142" s="140"/>
      <c r="B142" s="140"/>
      <c r="C142" s="140"/>
      <c r="D142" s="140"/>
      <c r="E142" s="140"/>
      <c r="F142" s="140"/>
      <c r="G142" s="140"/>
      <c r="H142" s="140"/>
      <c r="I142" s="140"/>
      <c r="J142" s="140"/>
      <c r="K142" s="140"/>
      <c r="L142" s="140"/>
      <c r="M142" s="140"/>
      <c r="N142" s="140"/>
      <c r="O142" s="140"/>
      <c r="P142" s="140"/>
      <c r="Q142" s="140"/>
      <c r="R142" s="140"/>
      <c r="S142" s="140"/>
      <c r="T142" s="196"/>
      <c r="U142" s="140"/>
      <c r="V142" s="140"/>
      <c r="W142" s="140"/>
      <c r="X142" s="140"/>
      <c r="Y142" s="140"/>
      <c r="Z142" s="140"/>
    </row>
    <row r="143" spans="1:26" ht="15.75" customHeight="1" x14ac:dyDescent="0.25">
      <c r="A143" s="140"/>
      <c r="B143" s="140"/>
      <c r="C143" s="140"/>
      <c r="D143" s="140"/>
      <c r="E143" s="140"/>
      <c r="F143" s="140"/>
      <c r="G143" s="140"/>
      <c r="H143" s="140"/>
      <c r="I143" s="140"/>
      <c r="J143" s="140"/>
      <c r="K143" s="140"/>
      <c r="L143" s="140"/>
      <c r="M143" s="140"/>
      <c r="N143" s="140"/>
      <c r="O143" s="140"/>
      <c r="P143" s="140"/>
      <c r="Q143" s="140"/>
      <c r="R143" s="140"/>
      <c r="S143" s="140"/>
      <c r="T143" s="196"/>
      <c r="U143" s="140"/>
      <c r="V143" s="140"/>
      <c r="W143" s="140"/>
      <c r="X143" s="140"/>
      <c r="Y143" s="140"/>
      <c r="Z143" s="140"/>
    </row>
    <row r="144" spans="1:26" ht="15.75" customHeight="1" x14ac:dyDescent="0.25">
      <c r="A144" s="140"/>
      <c r="B144" s="140"/>
      <c r="C144" s="140"/>
      <c r="D144" s="140"/>
      <c r="E144" s="140"/>
      <c r="F144" s="140"/>
      <c r="G144" s="140"/>
      <c r="H144" s="140"/>
      <c r="I144" s="140"/>
      <c r="J144" s="140"/>
      <c r="K144" s="140"/>
      <c r="L144" s="140"/>
      <c r="M144" s="140"/>
      <c r="N144" s="140"/>
      <c r="O144" s="140"/>
      <c r="P144" s="140"/>
      <c r="Q144" s="140"/>
      <c r="R144" s="140"/>
      <c r="S144" s="140"/>
      <c r="T144" s="196"/>
      <c r="U144" s="140"/>
      <c r="V144" s="140"/>
      <c r="W144" s="140"/>
      <c r="X144" s="140"/>
      <c r="Y144" s="140"/>
      <c r="Z144" s="140"/>
    </row>
    <row r="145" spans="1:26" ht="15.75" customHeight="1" x14ac:dyDescent="0.25">
      <c r="A145" s="140"/>
      <c r="B145" s="140"/>
      <c r="C145" s="140"/>
      <c r="D145" s="140"/>
      <c r="E145" s="140"/>
      <c r="F145" s="140"/>
      <c r="G145" s="140"/>
      <c r="H145" s="140"/>
      <c r="I145" s="140"/>
      <c r="J145" s="140"/>
      <c r="K145" s="140"/>
      <c r="L145" s="140"/>
      <c r="M145" s="140"/>
      <c r="N145" s="140"/>
      <c r="O145" s="140"/>
      <c r="P145" s="140"/>
      <c r="Q145" s="140"/>
      <c r="R145" s="140"/>
      <c r="S145" s="140"/>
      <c r="T145" s="196"/>
      <c r="U145" s="140"/>
      <c r="V145" s="140"/>
      <c r="W145" s="140"/>
      <c r="X145" s="140"/>
      <c r="Y145" s="140"/>
      <c r="Z145" s="140"/>
    </row>
    <row r="146" spans="1:26" ht="15.75" customHeight="1" x14ac:dyDescent="0.25">
      <c r="A146" s="140"/>
      <c r="B146" s="140"/>
      <c r="C146" s="140"/>
      <c r="D146" s="140"/>
      <c r="E146" s="140"/>
      <c r="F146" s="140"/>
      <c r="G146" s="140"/>
      <c r="H146" s="140"/>
      <c r="I146" s="140"/>
      <c r="J146" s="140"/>
      <c r="K146" s="140"/>
      <c r="L146" s="140"/>
      <c r="M146" s="140"/>
      <c r="N146" s="140"/>
      <c r="O146" s="140"/>
      <c r="P146" s="140"/>
      <c r="Q146" s="140"/>
      <c r="R146" s="140"/>
      <c r="S146" s="140"/>
      <c r="T146" s="196"/>
      <c r="U146" s="140"/>
      <c r="V146" s="140"/>
      <c r="W146" s="140"/>
      <c r="X146" s="140"/>
      <c r="Y146" s="140"/>
      <c r="Z146" s="140"/>
    </row>
    <row r="147" spans="1:26" ht="15.75" customHeight="1" x14ac:dyDescent="0.25">
      <c r="A147" s="140"/>
      <c r="B147" s="140"/>
      <c r="C147" s="140"/>
      <c r="D147" s="140"/>
      <c r="E147" s="140"/>
      <c r="F147" s="140"/>
      <c r="G147" s="140"/>
      <c r="H147" s="140"/>
      <c r="I147" s="140"/>
      <c r="J147" s="140"/>
      <c r="K147" s="140"/>
      <c r="L147" s="140"/>
      <c r="M147" s="140"/>
      <c r="N147" s="140"/>
      <c r="O147" s="140"/>
      <c r="P147" s="140"/>
      <c r="Q147" s="140"/>
      <c r="R147" s="140"/>
      <c r="S147" s="140"/>
      <c r="T147" s="196"/>
      <c r="U147" s="140"/>
      <c r="V147" s="140"/>
      <c r="W147" s="140"/>
      <c r="X147" s="140"/>
      <c r="Y147" s="140"/>
      <c r="Z147" s="140"/>
    </row>
    <row r="148" spans="1:26" ht="15.75" customHeight="1" x14ac:dyDescent="0.25">
      <c r="A148" s="140"/>
      <c r="B148" s="140"/>
      <c r="C148" s="140"/>
      <c r="D148" s="140"/>
      <c r="E148" s="140"/>
      <c r="F148" s="140"/>
      <c r="G148" s="140"/>
      <c r="H148" s="140"/>
      <c r="I148" s="140"/>
      <c r="J148" s="140"/>
      <c r="K148" s="140"/>
      <c r="L148" s="140"/>
      <c r="M148" s="140"/>
      <c r="N148" s="140"/>
      <c r="O148" s="140"/>
      <c r="P148" s="140"/>
      <c r="Q148" s="140"/>
      <c r="R148" s="140"/>
      <c r="S148" s="140"/>
      <c r="T148" s="196"/>
      <c r="U148" s="140"/>
      <c r="V148" s="140"/>
      <c r="W148" s="140"/>
      <c r="X148" s="140"/>
      <c r="Y148" s="140"/>
      <c r="Z148" s="140"/>
    </row>
    <row r="149" spans="1:26" ht="15.75" customHeight="1" x14ac:dyDescent="0.25">
      <c r="A149" s="140"/>
      <c r="B149" s="140"/>
      <c r="C149" s="140"/>
      <c r="D149" s="140"/>
      <c r="E149" s="140"/>
      <c r="F149" s="140"/>
      <c r="G149" s="140"/>
      <c r="H149" s="140"/>
      <c r="I149" s="140"/>
      <c r="J149" s="140"/>
      <c r="K149" s="140"/>
      <c r="L149" s="140"/>
      <c r="M149" s="140"/>
      <c r="N149" s="140"/>
      <c r="O149" s="140"/>
      <c r="P149" s="140"/>
      <c r="Q149" s="140"/>
      <c r="R149" s="140"/>
      <c r="S149" s="140"/>
      <c r="T149" s="196"/>
      <c r="U149" s="140"/>
      <c r="V149" s="140"/>
      <c r="W149" s="140"/>
      <c r="X149" s="140"/>
      <c r="Y149" s="140"/>
      <c r="Z149" s="140"/>
    </row>
    <row r="150" spans="1:26" ht="15.75" customHeight="1" x14ac:dyDescent="0.25">
      <c r="A150" s="140"/>
      <c r="B150" s="140"/>
      <c r="C150" s="140"/>
      <c r="D150" s="140"/>
      <c r="E150" s="140"/>
      <c r="F150" s="140"/>
      <c r="G150" s="140"/>
      <c r="H150" s="140"/>
      <c r="I150" s="140"/>
      <c r="J150" s="140"/>
      <c r="K150" s="140"/>
      <c r="L150" s="140"/>
      <c r="M150" s="140"/>
      <c r="N150" s="140"/>
      <c r="O150" s="140"/>
      <c r="P150" s="140"/>
      <c r="Q150" s="140"/>
      <c r="R150" s="140"/>
      <c r="S150" s="140"/>
      <c r="T150" s="196"/>
      <c r="U150" s="140"/>
      <c r="V150" s="140"/>
      <c r="W150" s="140"/>
      <c r="X150" s="140"/>
      <c r="Y150" s="140"/>
      <c r="Z150" s="140"/>
    </row>
    <row r="151" spans="1:26" ht="15.75" customHeight="1" x14ac:dyDescent="0.25">
      <c r="A151" s="140"/>
      <c r="B151" s="140"/>
      <c r="C151" s="140"/>
      <c r="D151" s="140"/>
      <c r="E151" s="140"/>
      <c r="F151" s="140"/>
      <c r="G151" s="140"/>
      <c r="H151" s="140"/>
      <c r="I151" s="140"/>
      <c r="J151" s="140"/>
      <c r="K151" s="140"/>
      <c r="L151" s="140"/>
      <c r="M151" s="140"/>
      <c r="N151" s="140"/>
      <c r="O151" s="140"/>
      <c r="P151" s="140"/>
      <c r="Q151" s="140"/>
      <c r="R151" s="140"/>
      <c r="S151" s="140"/>
      <c r="T151" s="196"/>
      <c r="U151" s="140"/>
      <c r="V151" s="140"/>
      <c r="W151" s="140"/>
      <c r="X151" s="140"/>
      <c r="Y151" s="140"/>
      <c r="Z151" s="140"/>
    </row>
    <row r="152" spans="1:26" ht="15.75" customHeight="1" x14ac:dyDescent="0.25">
      <c r="A152" s="140"/>
      <c r="B152" s="140"/>
      <c r="C152" s="140"/>
      <c r="D152" s="140"/>
      <c r="E152" s="140"/>
      <c r="F152" s="140"/>
      <c r="G152" s="140"/>
      <c r="H152" s="140"/>
      <c r="I152" s="140"/>
      <c r="J152" s="140"/>
      <c r="K152" s="140"/>
      <c r="L152" s="140"/>
      <c r="M152" s="140"/>
      <c r="N152" s="140"/>
      <c r="O152" s="140"/>
      <c r="P152" s="140"/>
      <c r="Q152" s="140"/>
      <c r="R152" s="140"/>
      <c r="S152" s="140"/>
      <c r="T152" s="196"/>
      <c r="U152" s="140"/>
      <c r="V152" s="140"/>
      <c r="W152" s="140"/>
      <c r="X152" s="140"/>
      <c r="Y152" s="140"/>
      <c r="Z152" s="140"/>
    </row>
    <row r="153" spans="1:26" ht="15.75" customHeight="1" x14ac:dyDescent="0.25">
      <c r="A153" s="140"/>
      <c r="B153" s="140"/>
      <c r="C153" s="140"/>
      <c r="D153" s="140"/>
      <c r="E153" s="140"/>
      <c r="F153" s="140"/>
      <c r="G153" s="140"/>
      <c r="H153" s="140"/>
      <c r="I153" s="140"/>
      <c r="J153" s="140"/>
      <c r="K153" s="140"/>
      <c r="L153" s="140"/>
      <c r="M153" s="140"/>
      <c r="N153" s="140"/>
      <c r="O153" s="140"/>
      <c r="P153" s="140"/>
      <c r="Q153" s="140"/>
      <c r="R153" s="140"/>
      <c r="S153" s="140"/>
      <c r="T153" s="196"/>
      <c r="U153" s="140"/>
      <c r="V153" s="140"/>
      <c r="W153" s="140"/>
      <c r="X153" s="140"/>
      <c r="Y153" s="140"/>
      <c r="Z153" s="140"/>
    </row>
    <row r="154" spans="1:26" ht="15.75" customHeight="1" x14ac:dyDescent="0.25">
      <c r="A154" s="140"/>
      <c r="B154" s="140"/>
      <c r="C154" s="140"/>
      <c r="D154" s="140"/>
      <c r="E154" s="140"/>
      <c r="F154" s="140"/>
      <c r="G154" s="140"/>
      <c r="H154" s="140"/>
      <c r="I154" s="140"/>
      <c r="J154" s="140"/>
      <c r="K154" s="140"/>
      <c r="L154" s="140"/>
      <c r="M154" s="140"/>
      <c r="N154" s="140"/>
      <c r="O154" s="140"/>
      <c r="P154" s="140"/>
      <c r="Q154" s="140"/>
      <c r="R154" s="140"/>
      <c r="S154" s="140"/>
      <c r="T154" s="196"/>
      <c r="U154" s="140"/>
      <c r="V154" s="140"/>
      <c r="W154" s="140"/>
      <c r="X154" s="140"/>
      <c r="Y154" s="140"/>
      <c r="Z154" s="140"/>
    </row>
    <row r="155" spans="1:26" ht="15.75" customHeight="1" x14ac:dyDescent="0.25">
      <c r="A155" s="140"/>
      <c r="B155" s="140"/>
      <c r="C155" s="140"/>
      <c r="D155" s="140"/>
      <c r="E155" s="140"/>
      <c r="F155" s="140"/>
      <c r="G155" s="140"/>
      <c r="H155" s="140"/>
      <c r="I155" s="140"/>
      <c r="J155" s="140"/>
      <c r="K155" s="140"/>
      <c r="L155" s="140"/>
      <c r="M155" s="140"/>
      <c r="N155" s="140"/>
      <c r="O155" s="140"/>
      <c r="P155" s="140"/>
      <c r="Q155" s="140"/>
      <c r="R155" s="140"/>
      <c r="S155" s="140"/>
      <c r="T155" s="196"/>
      <c r="U155" s="140"/>
      <c r="V155" s="140"/>
      <c r="W155" s="140"/>
      <c r="X155" s="140"/>
      <c r="Y155" s="140"/>
      <c r="Z155" s="140"/>
    </row>
    <row r="156" spans="1:26" ht="15.75" customHeight="1" x14ac:dyDescent="0.25">
      <c r="A156" s="140"/>
      <c r="B156" s="140"/>
      <c r="C156" s="140"/>
      <c r="D156" s="140"/>
      <c r="E156" s="140"/>
      <c r="F156" s="140"/>
      <c r="G156" s="140"/>
      <c r="H156" s="140"/>
      <c r="I156" s="140"/>
      <c r="J156" s="140"/>
      <c r="K156" s="140"/>
      <c r="L156" s="140"/>
      <c r="M156" s="140"/>
      <c r="N156" s="140"/>
      <c r="O156" s="140"/>
      <c r="P156" s="140"/>
      <c r="Q156" s="140"/>
      <c r="R156" s="140"/>
      <c r="S156" s="140"/>
      <c r="T156" s="196"/>
      <c r="U156" s="140"/>
      <c r="V156" s="140"/>
      <c r="W156" s="140"/>
      <c r="X156" s="140"/>
      <c r="Y156" s="140"/>
      <c r="Z156" s="140"/>
    </row>
    <row r="157" spans="1:26" ht="15.75" customHeight="1" x14ac:dyDescent="0.25">
      <c r="A157" s="140"/>
      <c r="B157" s="140"/>
      <c r="C157" s="140"/>
      <c r="D157" s="140"/>
      <c r="E157" s="140"/>
      <c r="F157" s="140"/>
      <c r="G157" s="140"/>
      <c r="H157" s="140"/>
      <c r="I157" s="140"/>
      <c r="J157" s="140"/>
      <c r="K157" s="140"/>
      <c r="L157" s="140"/>
      <c r="M157" s="140"/>
      <c r="N157" s="140"/>
      <c r="O157" s="140"/>
      <c r="P157" s="140"/>
      <c r="Q157" s="140"/>
      <c r="R157" s="140"/>
      <c r="S157" s="140"/>
      <c r="T157" s="196"/>
      <c r="U157" s="140"/>
      <c r="V157" s="140"/>
      <c r="W157" s="140"/>
      <c r="X157" s="140"/>
      <c r="Y157" s="140"/>
      <c r="Z157" s="140"/>
    </row>
    <row r="158" spans="1:26" ht="15.75" customHeight="1" x14ac:dyDescent="0.25">
      <c r="A158" s="140"/>
      <c r="B158" s="140"/>
      <c r="C158" s="140"/>
      <c r="D158" s="140"/>
      <c r="E158" s="140"/>
      <c r="F158" s="140"/>
      <c r="G158" s="140"/>
      <c r="H158" s="140"/>
      <c r="I158" s="140"/>
      <c r="J158" s="140"/>
      <c r="K158" s="140"/>
      <c r="L158" s="140"/>
      <c r="M158" s="140"/>
      <c r="N158" s="140"/>
      <c r="O158" s="140"/>
      <c r="P158" s="140"/>
      <c r="Q158" s="140"/>
      <c r="R158" s="140"/>
      <c r="S158" s="140"/>
      <c r="T158" s="196"/>
      <c r="U158" s="140"/>
      <c r="V158" s="140"/>
      <c r="W158" s="140"/>
      <c r="X158" s="140"/>
      <c r="Y158" s="140"/>
      <c r="Z158" s="140"/>
    </row>
    <row r="159" spans="1:26" ht="15.75" customHeight="1" x14ac:dyDescent="0.25">
      <c r="A159" s="140"/>
      <c r="B159" s="140"/>
      <c r="C159" s="140"/>
      <c r="D159" s="140"/>
      <c r="E159" s="140"/>
      <c r="F159" s="140"/>
      <c r="G159" s="140"/>
      <c r="H159" s="140"/>
      <c r="I159" s="140"/>
      <c r="J159" s="140"/>
      <c r="K159" s="140"/>
      <c r="L159" s="140"/>
      <c r="M159" s="140"/>
      <c r="N159" s="140"/>
      <c r="O159" s="140"/>
      <c r="P159" s="140"/>
      <c r="Q159" s="140"/>
      <c r="R159" s="140"/>
      <c r="S159" s="140"/>
      <c r="T159" s="196"/>
      <c r="U159" s="140"/>
      <c r="V159" s="140"/>
      <c r="W159" s="140"/>
      <c r="X159" s="140"/>
      <c r="Y159" s="140"/>
      <c r="Z159" s="140"/>
    </row>
    <row r="160" spans="1:26" ht="15.75" customHeight="1" x14ac:dyDescent="0.25">
      <c r="A160" s="140"/>
      <c r="B160" s="140"/>
      <c r="C160" s="140"/>
      <c r="D160" s="140"/>
      <c r="E160" s="140"/>
      <c r="F160" s="140"/>
      <c r="G160" s="140"/>
      <c r="H160" s="140"/>
      <c r="I160" s="140"/>
      <c r="J160" s="140"/>
      <c r="K160" s="140"/>
      <c r="L160" s="140"/>
      <c r="M160" s="140"/>
      <c r="N160" s="140"/>
      <c r="O160" s="140"/>
      <c r="P160" s="140"/>
      <c r="Q160" s="140"/>
      <c r="R160" s="140"/>
      <c r="S160" s="140"/>
      <c r="T160" s="196"/>
      <c r="U160" s="140"/>
      <c r="V160" s="140"/>
      <c r="W160" s="140"/>
      <c r="X160" s="140"/>
      <c r="Y160" s="140"/>
      <c r="Z160" s="140"/>
    </row>
    <row r="161" spans="1:26" ht="15.75" customHeight="1" x14ac:dyDescent="0.25">
      <c r="A161" s="140"/>
      <c r="B161" s="140"/>
      <c r="C161" s="140"/>
      <c r="D161" s="140"/>
      <c r="E161" s="140"/>
      <c r="F161" s="140"/>
      <c r="G161" s="140"/>
      <c r="H161" s="140"/>
      <c r="I161" s="140"/>
      <c r="J161" s="140"/>
      <c r="K161" s="140"/>
      <c r="L161" s="140"/>
      <c r="M161" s="140"/>
      <c r="N161" s="140"/>
      <c r="O161" s="140"/>
      <c r="P161" s="140"/>
      <c r="Q161" s="140"/>
      <c r="R161" s="140"/>
      <c r="S161" s="140"/>
      <c r="T161" s="196"/>
      <c r="U161" s="140"/>
      <c r="V161" s="140"/>
      <c r="W161" s="140"/>
      <c r="X161" s="140"/>
      <c r="Y161" s="140"/>
      <c r="Z161" s="140"/>
    </row>
    <row r="162" spans="1:26" ht="15.75" customHeight="1" x14ac:dyDescent="0.25">
      <c r="A162" s="140"/>
      <c r="B162" s="140"/>
      <c r="C162" s="140"/>
      <c r="D162" s="140"/>
      <c r="E162" s="140"/>
      <c r="F162" s="140"/>
      <c r="G162" s="140"/>
      <c r="H162" s="140"/>
      <c r="I162" s="140"/>
      <c r="J162" s="140"/>
      <c r="K162" s="140"/>
      <c r="L162" s="140"/>
      <c r="M162" s="140"/>
      <c r="N162" s="140"/>
      <c r="O162" s="140"/>
      <c r="P162" s="140"/>
      <c r="Q162" s="140"/>
      <c r="R162" s="140"/>
      <c r="S162" s="140"/>
      <c r="T162" s="196"/>
      <c r="U162" s="140"/>
      <c r="V162" s="140"/>
      <c r="W162" s="140"/>
      <c r="X162" s="140"/>
      <c r="Y162" s="140"/>
      <c r="Z162" s="140"/>
    </row>
    <row r="163" spans="1:26" ht="15.75" customHeight="1" x14ac:dyDescent="0.25">
      <c r="A163" s="140"/>
      <c r="B163" s="140"/>
      <c r="C163" s="140"/>
      <c r="D163" s="140"/>
      <c r="E163" s="140"/>
      <c r="F163" s="140"/>
      <c r="G163" s="140"/>
      <c r="H163" s="140"/>
      <c r="I163" s="140"/>
      <c r="J163" s="140"/>
      <c r="K163" s="140"/>
      <c r="L163" s="140"/>
      <c r="M163" s="140"/>
      <c r="N163" s="140"/>
      <c r="O163" s="140"/>
      <c r="P163" s="140"/>
      <c r="Q163" s="140"/>
      <c r="R163" s="140"/>
      <c r="S163" s="140"/>
      <c r="T163" s="196"/>
      <c r="U163" s="140"/>
      <c r="V163" s="140"/>
      <c r="W163" s="140"/>
      <c r="X163" s="140"/>
      <c r="Y163" s="140"/>
      <c r="Z163" s="140"/>
    </row>
    <row r="164" spans="1:26" ht="15.75" customHeight="1" x14ac:dyDescent="0.25">
      <c r="A164" s="140"/>
      <c r="B164" s="140"/>
      <c r="C164" s="140"/>
      <c r="D164" s="140"/>
      <c r="E164" s="140"/>
      <c r="F164" s="140"/>
      <c r="G164" s="140"/>
      <c r="H164" s="140"/>
      <c r="I164" s="140"/>
      <c r="J164" s="140"/>
      <c r="K164" s="140"/>
      <c r="L164" s="140"/>
      <c r="M164" s="140"/>
      <c r="N164" s="140"/>
      <c r="O164" s="140"/>
      <c r="P164" s="140"/>
      <c r="Q164" s="140"/>
      <c r="R164" s="140"/>
      <c r="S164" s="140"/>
      <c r="T164" s="196"/>
      <c r="U164" s="140"/>
      <c r="V164" s="140"/>
      <c r="W164" s="140"/>
      <c r="X164" s="140"/>
      <c r="Y164" s="140"/>
      <c r="Z164" s="140"/>
    </row>
    <row r="165" spans="1:26" ht="15.75" customHeight="1" x14ac:dyDescent="0.25">
      <c r="A165" s="140"/>
      <c r="B165" s="140"/>
      <c r="C165" s="140"/>
      <c r="D165" s="140"/>
      <c r="E165" s="140"/>
      <c r="F165" s="140"/>
      <c r="G165" s="140"/>
      <c r="H165" s="140"/>
      <c r="I165" s="140"/>
      <c r="J165" s="140"/>
      <c r="K165" s="140"/>
      <c r="L165" s="140"/>
      <c r="M165" s="140"/>
      <c r="N165" s="140"/>
      <c r="O165" s="140"/>
      <c r="P165" s="140"/>
      <c r="Q165" s="140"/>
      <c r="R165" s="140"/>
      <c r="S165" s="140"/>
      <c r="T165" s="196"/>
      <c r="U165" s="140"/>
      <c r="V165" s="140"/>
      <c r="W165" s="140"/>
      <c r="X165" s="140"/>
      <c r="Y165" s="140"/>
      <c r="Z165" s="140"/>
    </row>
    <row r="166" spans="1:26" ht="15.75" customHeight="1" x14ac:dyDescent="0.25">
      <c r="A166" s="140"/>
      <c r="B166" s="140"/>
      <c r="C166" s="140"/>
      <c r="D166" s="140"/>
      <c r="E166" s="140"/>
      <c r="F166" s="140"/>
      <c r="G166" s="140"/>
      <c r="H166" s="140"/>
      <c r="I166" s="140"/>
      <c r="J166" s="140"/>
      <c r="K166" s="140"/>
      <c r="L166" s="140"/>
      <c r="M166" s="140"/>
      <c r="N166" s="140"/>
      <c r="O166" s="140"/>
      <c r="P166" s="140"/>
      <c r="Q166" s="140"/>
      <c r="R166" s="140"/>
      <c r="S166" s="140"/>
      <c r="T166" s="196"/>
      <c r="U166" s="140"/>
      <c r="V166" s="140"/>
      <c r="W166" s="140"/>
      <c r="X166" s="140"/>
      <c r="Y166" s="140"/>
      <c r="Z166" s="140"/>
    </row>
    <row r="167" spans="1:26" ht="15.75" customHeight="1" x14ac:dyDescent="0.25">
      <c r="A167" s="140"/>
      <c r="B167" s="140"/>
      <c r="C167" s="140"/>
      <c r="D167" s="140"/>
      <c r="E167" s="140"/>
      <c r="F167" s="140"/>
      <c r="G167" s="140"/>
      <c r="H167" s="140"/>
      <c r="I167" s="140"/>
      <c r="J167" s="140"/>
      <c r="K167" s="140"/>
      <c r="L167" s="140"/>
      <c r="M167" s="140"/>
      <c r="N167" s="140"/>
      <c r="O167" s="140"/>
      <c r="P167" s="140"/>
      <c r="Q167" s="140"/>
      <c r="R167" s="140"/>
      <c r="S167" s="140"/>
      <c r="T167" s="196"/>
      <c r="U167" s="140"/>
      <c r="V167" s="140"/>
      <c r="W167" s="140"/>
      <c r="X167" s="140"/>
      <c r="Y167" s="140"/>
      <c r="Z167" s="140"/>
    </row>
    <row r="168" spans="1:26" ht="15.75" customHeight="1" x14ac:dyDescent="0.25">
      <c r="A168" s="140"/>
      <c r="B168" s="140"/>
      <c r="C168" s="140"/>
      <c r="D168" s="140"/>
      <c r="E168" s="140"/>
      <c r="F168" s="140"/>
      <c r="G168" s="140"/>
      <c r="H168" s="140"/>
      <c r="I168" s="140"/>
      <c r="J168" s="140"/>
      <c r="K168" s="140"/>
      <c r="L168" s="140"/>
      <c r="M168" s="140"/>
      <c r="N168" s="140"/>
      <c r="O168" s="140"/>
      <c r="P168" s="140"/>
      <c r="Q168" s="140"/>
      <c r="R168" s="140"/>
      <c r="S168" s="140"/>
      <c r="T168" s="196"/>
      <c r="U168" s="140"/>
      <c r="V168" s="140"/>
      <c r="W168" s="140"/>
      <c r="X168" s="140"/>
      <c r="Y168" s="140"/>
      <c r="Z168" s="140"/>
    </row>
    <row r="169" spans="1:26" ht="15.75" customHeight="1" x14ac:dyDescent="0.25">
      <c r="A169" s="140"/>
      <c r="B169" s="140"/>
      <c r="C169" s="140"/>
      <c r="D169" s="140"/>
      <c r="E169" s="140"/>
      <c r="F169" s="140"/>
      <c r="G169" s="140"/>
      <c r="H169" s="140"/>
      <c r="I169" s="140"/>
      <c r="J169" s="140"/>
      <c r="K169" s="140"/>
      <c r="L169" s="140"/>
      <c r="M169" s="140"/>
      <c r="N169" s="140"/>
      <c r="O169" s="140"/>
      <c r="P169" s="140"/>
      <c r="Q169" s="140"/>
      <c r="R169" s="140"/>
      <c r="S169" s="140"/>
      <c r="T169" s="196"/>
      <c r="U169" s="140"/>
      <c r="V169" s="140"/>
      <c r="W169" s="140"/>
      <c r="X169" s="140"/>
      <c r="Y169" s="140"/>
      <c r="Z169" s="140"/>
    </row>
    <row r="170" spans="1:26" ht="15.75" customHeight="1" x14ac:dyDescent="0.25">
      <c r="A170" s="140"/>
      <c r="B170" s="140"/>
      <c r="C170" s="140"/>
      <c r="D170" s="140"/>
      <c r="E170" s="140"/>
      <c r="F170" s="140"/>
      <c r="G170" s="140"/>
      <c r="H170" s="140"/>
      <c r="I170" s="140"/>
      <c r="J170" s="140"/>
      <c r="K170" s="140"/>
      <c r="L170" s="140"/>
      <c r="M170" s="140"/>
      <c r="N170" s="140"/>
      <c r="O170" s="140"/>
      <c r="P170" s="140"/>
      <c r="Q170" s="140"/>
      <c r="R170" s="140"/>
      <c r="S170" s="140"/>
      <c r="T170" s="196"/>
      <c r="U170" s="140"/>
      <c r="V170" s="140"/>
      <c r="W170" s="140"/>
      <c r="X170" s="140"/>
      <c r="Y170" s="140"/>
      <c r="Z170" s="140"/>
    </row>
    <row r="171" spans="1:26" ht="15.75" customHeight="1" x14ac:dyDescent="0.25">
      <c r="A171" s="140"/>
      <c r="B171" s="140"/>
      <c r="C171" s="140"/>
      <c r="D171" s="140"/>
      <c r="E171" s="140"/>
      <c r="F171" s="140"/>
      <c r="G171" s="140"/>
      <c r="H171" s="140"/>
      <c r="I171" s="140"/>
      <c r="J171" s="140"/>
      <c r="K171" s="140"/>
      <c r="L171" s="140"/>
      <c r="M171" s="140"/>
      <c r="N171" s="140"/>
      <c r="O171" s="140"/>
      <c r="P171" s="140"/>
      <c r="Q171" s="140"/>
      <c r="R171" s="140"/>
      <c r="S171" s="140"/>
      <c r="T171" s="196"/>
      <c r="U171" s="140"/>
      <c r="V171" s="140"/>
      <c r="W171" s="140"/>
      <c r="X171" s="140"/>
      <c r="Y171" s="140"/>
      <c r="Z171" s="140"/>
    </row>
    <row r="172" spans="1:26" ht="15.75" customHeight="1" x14ac:dyDescent="0.25">
      <c r="A172" s="140"/>
      <c r="B172" s="140"/>
      <c r="C172" s="140"/>
      <c r="D172" s="140"/>
      <c r="E172" s="140"/>
      <c r="F172" s="140"/>
      <c r="G172" s="140"/>
      <c r="H172" s="140"/>
      <c r="I172" s="140"/>
      <c r="J172" s="140"/>
      <c r="K172" s="140"/>
      <c r="L172" s="140"/>
      <c r="M172" s="140"/>
      <c r="N172" s="140"/>
      <c r="O172" s="140"/>
      <c r="P172" s="140"/>
      <c r="Q172" s="140"/>
      <c r="R172" s="140"/>
      <c r="S172" s="140"/>
      <c r="T172" s="196"/>
      <c r="U172" s="140"/>
      <c r="V172" s="140"/>
      <c r="W172" s="140"/>
      <c r="X172" s="140"/>
      <c r="Y172" s="140"/>
      <c r="Z172" s="140"/>
    </row>
    <row r="173" spans="1:26" ht="15.75" customHeight="1" x14ac:dyDescent="0.25">
      <c r="A173" s="140"/>
      <c r="B173" s="140"/>
      <c r="C173" s="140"/>
      <c r="D173" s="140"/>
      <c r="E173" s="140"/>
      <c r="F173" s="140"/>
      <c r="G173" s="140"/>
      <c r="H173" s="140"/>
      <c r="I173" s="140"/>
      <c r="J173" s="140"/>
      <c r="K173" s="140"/>
      <c r="L173" s="140"/>
      <c r="M173" s="140"/>
      <c r="N173" s="140"/>
      <c r="O173" s="140"/>
      <c r="P173" s="140"/>
      <c r="Q173" s="140"/>
      <c r="R173" s="140"/>
      <c r="S173" s="140"/>
      <c r="T173" s="196"/>
      <c r="U173" s="140"/>
      <c r="V173" s="140"/>
      <c r="W173" s="140"/>
      <c r="X173" s="140"/>
      <c r="Y173" s="140"/>
      <c r="Z173" s="140"/>
    </row>
    <row r="174" spans="1:26" ht="15.75" customHeight="1" x14ac:dyDescent="0.25">
      <c r="A174" s="140"/>
      <c r="B174" s="140"/>
      <c r="C174" s="140"/>
      <c r="D174" s="140"/>
      <c r="E174" s="140"/>
      <c r="F174" s="140"/>
      <c r="G174" s="140"/>
      <c r="H174" s="140"/>
      <c r="I174" s="140"/>
      <c r="J174" s="140"/>
      <c r="K174" s="140"/>
      <c r="L174" s="140"/>
      <c r="M174" s="140"/>
      <c r="N174" s="140"/>
      <c r="O174" s="140"/>
      <c r="P174" s="140"/>
      <c r="Q174" s="140"/>
      <c r="R174" s="140"/>
      <c r="S174" s="140"/>
      <c r="T174" s="196"/>
      <c r="U174" s="140"/>
      <c r="V174" s="140"/>
      <c r="W174" s="140"/>
      <c r="X174" s="140"/>
      <c r="Y174" s="140"/>
      <c r="Z174" s="140"/>
    </row>
    <row r="175" spans="1:26" ht="15.75" customHeight="1" x14ac:dyDescent="0.25">
      <c r="A175" s="140"/>
      <c r="B175" s="140"/>
      <c r="C175" s="140"/>
      <c r="D175" s="140"/>
      <c r="E175" s="140"/>
      <c r="F175" s="140"/>
      <c r="G175" s="140"/>
      <c r="H175" s="140"/>
      <c r="I175" s="140"/>
      <c r="J175" s="140"/>
      <c r="K175" s="140"/>
      <c r="L175" s="140"/>
      <c r="M175" s="140"/>
      <c r="N175" s="140"/>
      <c r="O175" s="140"/>
      <c r="P175" s="140"/>
      <c r="Q175" s="140"/>
      <c r="R175" s="140"/>
      <c r="S175" s="140"/>
      <c r="T175" s="196"/>
      <c r="U175" s="140"/>
      <c r="V175" s="140"/>
      <c r="W175" s="140"/>
      <c r="X175" s="140"/>
      <c r="Y175" s="140"/>
      <c r="Z175" s="140"/>
    </row>
    <row r="176" spans="1:26" ht="15.75" customHeight="1" x14ac:dyDescent="0.25">
      <c r="A176" s="140"/>
      <c r="B176" s="140"/>
      <c r="C176" s="140"/>
      <c r="D176" s="140"/>
      <c r="E176" s="140"/>
      <c r="F176" s="140"/>
      <c r="G176" s="140"/>
      <c r="H176" s="140"/>
      <c r="I176" s="140"/>
      <c r="J176" s="140"/>
      <c r="K176" s="140"/>
      <c r="L176" s="140"/>
      <c r="M176" s="140"/>
      <c r="N176" s="140"/>
      <c r="O176" s="140"/>
      <c r="P176" s="140"/>
      <c r="Q176" s="140"/>
      <c r="R176" s="140"/>
      <c r="S176" s="140"/>
      <c r="T176" s="196"/>
      <c r="U176" s="140"/>
      <c r="V176" s="140"/>
      <c r="W176" s="140"/>
      <c r="X176" s="140"/>
      <c r="Y176" s="140"/>
      <c r="Z176" s="140"/>
    </row>
    <row r="177" spans="1:26" ht="15.75" customHeight="1" x14ac:dyDescent="0.25">
      <c r="A177" s="140"/>
      <c r="B177" s="140"/>
      <c r="C177" s="140"/>
      <c r="D177" s="140"/>
      <c r="E177" s="140"/>
      <c r="F177" s="140"/>
      <c r="G177" s="140"/>
      <c r="H177" s="140"/>
      <c r="I177" s="140"/>
      <c r="J177" s="140"/>
      <c r="K177" s="140"/>
      <c r="L177" s="140"/>
      <c r="M177" s="140"/>
      <c r="N177" s="140"/>
      <c r="O177" s="140"/>
      <c r="P177" s="140"/>
      <c r="Q177" s="140"/>
      <c r="R177" s="140"/>
      <c r="S177" s="140"/>
      <c r="T177" s="196"/>
      <c r="U177" s="140"/>
      <c r="V177" s="140"/>
      <c r="W177" s="140"/>
      <c r="X177" s="140"/>
      <c r="Y177" s="140"/>
      <c r="Z177" s="140"/>
    </row>
    <row r="178" spans="1:26" ht="15.75" customHeight="1" x14ac:dyDescent="0.25">
      <c r="A178" s="140"/>
      <c r="B178" s="140"/>
      <c r="C178" s="140"/>
      <c r="D178" s="140"/>
      <c r="E178" s="140"/>
      <c r="F178" s="140"/>
      <c r="G178" s="140"/>
      <c r="H178" s="140"/>
      <c r="I178" s="140"/>
      <c r="J178" s="140"/>
      <c r="K178" s="140"/>
      <c r="L178" s="140"/>
      <c r="M178" s="140"/>
      <c r="N178" s="140"/>
      <c r="O178" s="140"/>
      <c r="P178" s="140"/>
      <c r="Q178" s="140"/>
      <c r="R178" s="140"/>
      <c r="S178" s="140"/>
      <c r="T178" s="196"/>
      <c r="U178" s="140"/>
      <c r="V178" s="140"/>
      <c r="W178" s="140"/>
      <c r="X178" s="140"/>
      <c r="Y178" s="140"/>
      <c r="Z178" s="140"/>
    </row>
    <row r="179" spans="1:26" ht="15.75" customHeight="1" x14ac:dyDescent="0.25">
      <c r="A179" s="140"/>
      <c r="B179" s="140"/>
      <c r="C179" s="140"/>
      <c r="D179" s="140"/>
      <c r="E179" s="140"/>
      <c r="F179" s="140"/>
      <c r="G179" s="140"/>
      <c r="H179" s="140"/>
      <c r="I179" s="140"/>
      <c r="J179" s="140"/>
      <c r="K179" s="140"/>
      <c r="L179" s="140"/>
      <c r="M179" s="140"/>
      <c r="N179" s="140"/>
      <c r="O179" s="140"/>
      <c r="P179" s="140"/>
      <c r="Q179" s="140"/>
      <c r="R179" s="140"/>
      <c r="S179" s="140"/>
      <c r="T179" s="196"/>
      <c r="U179" s="140"/>
      <c r="V179" s="140"/>
      <c r="W179" s="140"/>
      <c r="X179" s="140"/>
      <c r="Y179" s="140"/>
      <c r="Z179" s="140"/>
    </row>
    <row r="180" spans="1:26" ht="15.75" customHeight="1" x14ac:dyDescent="0.25">
      <c r="A180" s="140"/>
      <c r="B180" s="140"/>
      <c r="C180" s="140"/>
      <c r="D180" s="140"/>
      <c r="E180" s="140"/>
      <c r="F180" s="140"/>
      <c r="G180" s="140"/>
      <c r="H180" s="140"/>
      <c r="I180" s="140"/>
      <c r="J180" s="140"/>
      <c r="K180" s="140"/>
      <c r="L180" s="140"/>
      <c r="M180" s="140"/>
      <c r="N180" s="140"/>
      <c r="O180" s="140"/>
      <c r="P180" s="140"/>
      <c r="Q180" s="140"/>
      <c r="R180" s="140"/>
      <c r="S180" s="140"/>
      <c r="T180" s="196"/>
      <c r="U180" s="140"/>
      <c r="V180" s="140"/>
      <c r="W180" s="140"/>
      <c r="X180" s="140"/>
      <c r="Y180" s="140"/>
      <c r="Z180" s="140"/>
    </row>
    <row r="181" spans="1:26" ht="15.75" customHeight="1" x14ac:dyDescent="0.25">
      <c r="A181" s="140"/>
      <c r="B181" s="140"/>
      <c r="C181" s="140"/>
      <c r="D181" s="140"/>
      <c r="E181" s="140"/>
      <c r="F181" s="140"/>
      <c r="G181" s="140"/>
      <c r="H181" s="140"/>
      <c r="I181" s="140"/>
      <c r="J181" s="140"/>
      <c r="K181" s="140"/>
      <c r="L181" s="140"/>
      <c r="M181" s="140"/>
      <c r="N181" s="140"/>
      <c r="O181" s="140"/>
      <c r="P181" s="140"/>
      <c r="Q181" s="140"/>
      <c r="R181" s="140"/>
      <c r="S181" s="140"/>
      <c r="T181" s="196"/>
      <c r="U181" s="140"/>
      <c r="V181" s="140"/>
      <c r="W181" s="140"/>
      <c r="X181" s="140"/>
      <c r="Y181" s="140"/>
      <c r="Z181" s="140"/>
    </row>
    <row r="182" spans="1:26" ht="15.75" customHeight="1" x14ac:dyDescent="0.25">
      <c r="A182" s="140"/>
      <c r="B182" s="140"/>
      <c r="C182" s="140"/>
      <c r="D182" s="140"/>
      <c r="E182" s="140"/>
      <c r="F182" s="140"/>
      <c r="G182" s="140"/>
      <c r="H182" s="140"/>
      <c r="I182" s="140"/>
      <c r="J182" s="140"/>
      <c r="K182" s="140"/>
      <c r="L182" s="140"/>
      <c r="M182" s="140"/>
      <c r="N182" s="140"/>
      <c r="O182" s="140"/>
      <c r="P182" s="140"/>
      <c r="Q182" s="140"/>
      <c r="R182" s="140"/>
      <c r="S182" s="140"/>
      <c r="T182" s="196"/>
      <c r="U182" s="140"/>
      <c r="V182" s="140"/>
      <c r="W182" s="140"/>
      <c r="X182" s="140"/>
      <c r="Y182" s="140"/>
      <c r="Z182" s="140"/>
    </row>
    <row r="183" spans="1:26" ht="15.75" customHeight="1" x14ac:dyDescent="0.25">
      <c r="A183" s="140"/>
      <c r="B183" s="140"/>
      <c r="C183" s="140"/>
      <c r="D183" s="140"/>
      <c r="E183" s="140"/>
      <c r="F183" s="140"/>
      <c r="G183" s="140"/>
      <c r="H183" s="140"/>
      <c r="I183" s="140"/>
      <c r="J183" s="140"/>
      <c r="K183" s="140"/>
      <c r="L183" s="140"/>
      <c r="M183" s="140"/>
      <c r="N183" s="140"/>
      <c r="O183" s="140"/>
      <c r="P183" s="140"/>
      <c r="Q183" s="140"/>
      <c r="R183" s="140"/>
      <c r="S183" s="140"/>
      <c r="T183" s="196"/>
      <c r="U183" s="140"/>
      <c r="V183" s="140"/>
      <c r="W183" s="140"/>
      <c r="X183" s="140"/>
      <c r="Y183" s="140"/>
      <c r="Z183" s="140"/>
    </row>
    <row r="184" spans="1:26" ht="15.75" customHeight="1" x14ac:dyDescent="0.25">
      <c r="A184" s="140"/>
      <c r="B184" s="140"/>
      <c r="C184" s="140"/>
      <c r="D184" s="140"/>
      <c r="E184" s="140"/>
      <c r="F184" s="140"/>
      <c r="G184" s="140"/>
      <c r="H184" s="140"/>
      <c r="I184" s="140"/>
      <c r="J184" s="140"/>
      <c r="K184" s="140"/>
      <c r="L184" s="140"/>
      <c r="M184" s="140"/>
      <c r="N184" s="140"/>
      <c r="O184" s="140"/>
      <c r="P184" s="140"/>
      <c r="Q184" s="140"/>
      <c r="R184" s="140"/>
      <c r="S184" s="140"/>
      <c r="T184" s="196"/>
      <c r="U184" s="140"/>
      <c r="V184" s="140"/>
      <c r="W184" s="140"/>
      <c r="X184" s="140"/>
      <c r="Y184" s="140"/>
      <c r="Z184" s="140"/>
    </row>
    <row r="185" spans="1:26" ht="15.75" customHeight="1" x14ac:dyDescent="0.25">
      <c r="A185" s="140"/>
      <c r="B185" s="140"/>
      <c r="C185" s="140"/>
      <c r="D185" s="140"/>
      <c r="E185" s="140"/>
      <c r="F185" s="140"/>
      <c r="G185" s="140"/>
      <c r="H185" s="140"/>
      <c r="I185" s="140"/>
      <c r="J185" s="140"/>
      <c r="K185" s="140"/>
      <c r="L185" s="140"/>
      <c r="M185" s="140"/>
      <c r="N185" s="140"/>
      <c r="O185" s="140"/>
      <c r="P185" s="140"/>
      <c r="Q185" s="140"/>
      <c r="R185" s="140"/>
      <c r="S185" s="140"/>
      <c r="T185" s="196"/>
      <c r="U185" s="140"/>
      <c r="V185" s="140"/>
      <c r="W185" s="140"/>
      <c r="X185" s="140"/>
      <c r="Y185" s="140"/>
      <c r="Z185" s="140"/>
    </row>
    <row r="186" spans="1:26" ht="15.75" customHeight="1" x14ac:dyDescent="0.25">
      <c r="A186" s="140"/>
      <c r="B186" s="140"/>
      <c r="C186" s="140"/>
      <c r="D186" s="140"/>
      <c r="E186" s="140"/>
      <c r="F186" s="140"/>
      <c r="G186" s="140"/>
      <c r="H186" s="140"/>
      <c r="I186" s="140"/>
      <c r="J186" s="140"/>
      <c r="K186" s="140"/>
      <c r="L186" s="140"/>
      <c r="M186" s="140"/>
      <c r="N186" s="140"/>
      <c r="O186" s="140"/>
      <c r="P186" s="140"/>
      <c r="Q186" s="140"/>
      <c r="R186" s="140"/>
      <c r="S186" s="140"/>
      <c r="T186" s="196"/>
      <c r="U186" s="140"/>
      <c r="V186" s="140"/>
      <c r="W186" s="140"/>
      <c r="X186" s="140"/>
      <c r="Y186" s="140"/>
      <c r="Z186" s="140"/>
    </row>
    <row r="187" spans="1:26" ht="15.75" customHeight="1" x14ac:dyDescent="0.25">
      <c r="A187" s="140"/>
      <c r="B187" s="140"/>
      <c r="C187" s="140"/>
      <c r="D187" s="140"/>
      <c r="E187" s="140"/>
      <c r="F187" s="140"/>
      <c r="G187" s="140"/>
      <c r="H187" s="140"/>
      <c r="I187" s="140"/>
      <c r="J187" s="140"/>
      <c r="K187" s="140"/>
      <c r="L187" s="140"/>
      <c r="M187" s="140"/>
      <c r="N187" s="140"/>
      <c r="O187" s="140"/>
      <c r="P187" s="140"/>
      <c r="Q187" s="140"/>
      <c r="R187" s="140"/>
      <c r="S187" s="140"/>
      <c r="T187" s="196"/>
      <c r="U187" s="140"/>
      <c r="V187" s="140"/>
      <c r="W187" s="140"/>
      <c r="X187" s="140"/>
      <c r="Y187" s="140"/>
      <c r="Z187" s="140"/>
    </row>
    <row r="188" spans="1:26" ht="15.75" customHeight="1" x14ac:dyDescent="0.25">
      <c r="A188" s="140"/>
      <c r="B188" s="140"/>
      <c r="C188" s="140"/>
      <c r="D188" s="140"/>
      <c r="E188" s="140"/>
      <c r="F188" s="140"/>
      <c r="G188" s="140"/>
      <c r="H188" s="140"/>
      <c r="I188" s="140"/>
      <c r="J188" s="140"/>
      <c r="K188" s="140"/>
      <c r="L188" s="140"/>
      <c r="M188" s="140"/>
      <c r="N188" s="140"/>
      <c r="O188" s="140"/>
      <c r="P188" s="140"/>
      <c r="Q188" s="140"/>
      <c r="R188" s="140"/>
      <c r="S188" s="140"/>
      <c r="T188" s="196"/>
      <c r="U188" s="140"/>
      <c r="V188" s="140"/>
      <c r="W188" s="140"/>
      <c r="X188" s="140"/>
      <c r="Y188" s="140"/>
      <c r="Z188" s="140"/>
    </row>
    <row r="189" spans="1:26" ht="15.75" customHeight="1" x14ac:dyDescent="0.25">
      <c r="A189" s="140"/>
      <c r="B189" s="140"/>
      <c r="C189" s="140"/>
      <c r="D189" s="140"/>
      <c r="E189" s="140"/>
      <c r="F189" s="140"/>
      <c r="G189" s="140"/>
      <c r="H189" s="140"/>
      <c r="I189" s="140"/>
      <c r="J189" s="140"/>
      <c r="K189" s="140"/>
      <c r="L189" s="140"/>
      <c r="M189" s="140"/>
      <c r="N189" s="140"/>
      <c r="O189" s="140"/>
      <c r="P189" s="140"/>
      <c r="Q189" s="140"/>
      <c r="R189" s="140"/>
      <c r="S189" s="140"/>
      <c r="T189" s="196"/>
      <c r="U189" s="140"/>
      <c r="V189" s="140"/>
      <c r="W189" s="140"/>
      <c r="X189" s="140"/>
      <c r="Y189" s="140"/>
      <c r="Z189" s="140"/>
    </row>
    <row r="190" spans="1:26" ht="15.75" customHeight="1" x14ac:dyDescent="0.25">
      <c r="A190" s="140"/>
      <c r="B190" s="140"/>
      <c r="C190" s="140"/>
      <c r="D190" s="140"/>
      <c r="E190" s="140"/>
      <c r="F190" s="140"/>
      <c r="G190" s="140"/>
      <c r="H190" s="140"/>
      <c r="I190" s="140"/>
      <c r="J190" s="140"/>
      <c r="K190" s="140"/>
      <c r="L190" s="140"/>
      <c r="M190" s="140"/>
      <c r="N190" s="140"/>
      <c r="O190" s="140"/>
      <c r="P190" s="140"/>
      <c r="Q190" s="140"/>
      <c r="R190" s="140"/>
      <c r="S190" s="140"/>
      <c r="T190" s="196"/>
      <c r="U190" s="140"/>
      <c r="V190" s="140"/>
      <c r="W190" s="140"/>
      <c r="X190" s="140"/>
      <c r="Y190" s="140"/>
      <c r="Z190" s="140"/>
    </row>
    <row r="191" spans="1:26" ht="15.75" customHeight="1" x14ac:dyDescent="0.25">
      <c r="A191" s="140"/>
      <c r="B191" s="140"/>
      <c r="C191" s="140"/>
      <c r="D191" s="140"/>
      <c r="E191" s="140"/>
      <c r="F191" s="140"/>
      <c r="G191" s="140"/>
      <c r="H191" s="140"/>
      <c r="I191" s="140"/>
      <c r="J191" s="140"/>
      <c r="K191" s="140"/>
      <c r="L191" s="140"/>
      <c r="M191" s="140"/>
      <c r="N191" s="140"/>
      <c r="O191" s="140"/>
      <c r="P191" s="140"/>
      <c r="Q191" s="140"/>
      <c r="R191" s="140"/>
      <c r="S191" s="140"/>
      <c r="T191" s="196"/>
      <c r="U191" s="140"/>
      <c r="V191" s="140"/>
      <c r="W191" s="140"/>
      <c r="X191" s="140"/>
      <c r="Y191" s="140"/>
      <c r="Z191" s="140"/>
    </row>
    <row r="192" spans="1:26" ht="15.75" customHeight="1" x14ac:dyDescent="0.25">
      <c r="A192" s="140"/>
      <c r="B192" s="140"/>
      <c r="C192" s="140"/>
      <c r="D192" s="140"/>
      <c r="E192" s="140"/>
      <c r="F192" s="140"/>
      <c r="G192" s="140"/>
      <c r="H192" s="140"/>
      <c r="I192" s="140"/>
      <c r="J192" s="140"/>
      <c r="K192" s="140"/>
      <c r="L192" s="140"/>
      <c r="M192" s="140"/>
      <c r="N192" s="140"/>
      <c r="O192" s="140"/>
      <c r="P192" s="140"/>
      <c r="Q192" s="140"/>
      <c r="R192" s="140"/>
      <c r="S192" s="140"/>
      <c r="T192" s="196"/>
      <c r="U192" s="140"/>
      <c r="V192" s="140"/>
      <c r="W192" s="140"/>
      <c r="X192" s="140"/>
      <c r="Y192" s="140"/>
      <c r="Z192" s="140"/>
    </row>
    <row r="193" spans="1:26" ht="15.75" customHeight="1" x14ac:dyDescent="0.25">
      <c r="A193" s="140"/>
      <c r="B193" s="140"/>
      <c r="C193" s="140"/>
      <c r="D193" s="140"/>
      <c r="E193" s="140"/>
      <c r="F193" s="140"/>
      <c r="G193" s="140"/>
      <c r="H193" s="140"/>
      <c r="I193" s="140"/>
      <c r="J193" s="140"/>
      <c r="K193" s="140"/>
      <c r="L193" s="140"/>
      <c r="M193" s="140"/>
      <c r="N193" s="140"/>
      <c r="O193" s="140"/>
      <c r="P193" s="140"/>
      <c r="Q193" s="140"/>
      <c r="R193" s="140"/>
      <c r="S193" s="140"/>
      <c r="T193" s="196"/>
      <c r="U193" s="140"/>
      <c r="V193" s="140"/>
      <c r="W193" s="140"/>
      <c r="X193" s="140"/>
      <c r="Y193" s="140"/>
      <c r="Z193" s="140"/>
    </row>
    <row r="194" spans="1:26" ht="15.75" customHeight="1" x14ac:dyDescent="0.25">
      <c r="A194" s="140"/>
      <c r="B194" s="140"/>
      <c r="C194" s="140"/>
      <c r="D194" s="140"/>
      <c r="E194" s="140"/>
      <c r="F194" s="140"/>
      <c r="G194" s="140"/>
      <c r="H194" s="140"/>
      <c r="I194" s="140"/>
      <c r="J194" s="140"/>
      <c r="K194" s="140"/>
      <c r="L194" s="140"/>
      <c r="M194" s="140"/>
      <c r="N194" s="140"/>
      <c r="O194" s="140"/>
      <c r="P194" s="140"/>
      <c r="Q194" s="140"/>
      <c r="R194" s="140"/>
      <c r="S194" s="140"/>
      <c r="T194" s="196"/>
      <c r="U194" s="140"/>
      <c r="V194" s="140"/>
      <c r="W194" s="140"/>
      <c r="X194" s="140"/>
      <c r="Y194" s="140"/>
      <c r="Z194" s="140"/>
    </row>
    <row r="195" spans="1:26" ht="15.75" customHeight="1" x14ac:dyDescent="0.25">
      <c r="A195" s="140"/>
      <c r="B195" s="140"/>
      <c r="C195" s="140"/>
      <c r="D195" s="140"/>
      <c r="E195" s="140"/>
      <c r="F195" s="140"/>
      <c r="G195" s="140"/>
      <c r="H195" s="140"/>
      <c r="I195" s="140"/>
      <c r="J195" s="140"/>
      <c r="K195" s="140"/>
      <c r="L195" s="140"/>
      <c r="M195" s="140"/>
      <c r="N195" s="140"/>
      <c r="O195" s="140"/>
      <c r="P195" s="140"/>
      <c r="Q195" s="140"/>
      <c r="R195" s="140"/>
      <c r="S195" s="140"/>
      <c r="T195" s="196"/>
      <c r="U195" s="140"/>
      <c r="V195" s="140"/>
      <c r="W195" s="140"/>
      <c r="X195" s="140"/>
      <c r="Y195" s="140"/>
      <c r="Z195" s="140"/>
    </row>
    <row r="196" spans="1:26" ht="15.75" customHeight="1" x14ac:dyDescent="0.25">
      <c r="A196" s="140"/>
      <c r="B196" s="140"/>
      <c r="C196" s="140"/>
      <c r="D196" s="140"/>
      <c r="E196" s="140"/>
      <c r="F196" s="140"/>
      <c r="G196" s="140"/>
      <c r="H196" s="140"/>
      <c r="I196" s="140"/>
      <c r="J196" s="140"/>
      <c r="K196" s="140"/>
      <c r="L196" s="140"/>
      <c r="M196" s="140"/>
      <c r="N196" s="140"/>
      <c r="O196" s="140"/>
      <c r="P196" s="140"/>
      <c r="Q196" s="140"/>
      <c r="R196" s="140"/>
      <c r="S196" s="140"/>
      <c r="T196" s="196"/>
      <c r="U196" s="140"/>
      <c r="V196" s="140"/>
      <c r="W196" s="140"/>
      <c r="X196" s="140"/>
      <c r="Y196" s="140"/>
      <c r="Z196" s="140"/>
    </row>
    <row r="197" spans="1:26" ht="15.75" customHeight="1" x14ac:dyDescent="0.25">
      <c r="A197" s="140"/>
      <c r="B197" s="140"/>
      <c r="C197" s="140"/>
      <c r="D197" s="140"/>
      <c r="E197" s="140"/>
      <c r="F197" s="140"/>
      <c r="G197" s="140"/>
      <c r="H197" s="140"/>
      <c r="I197" s="140"/>
      <c r="J197" s="140"/>
      <c r="K197" s="140"/>
      <c r="L197" s="140"/>
      <c r="M197" s="140"/>
      <c r="N197" s="140"/>
      <c r="O197" s="140"/>
      <c r="P197" s="140"/>
      <c r="Q197" s="140"/>
      <c r="R197" s="140"/>
      <c r="S197" s="140"/>
      <c r="T197" s="196"/>
      <c r="U197" s="140"/>
      <c r="V197" s="140"/>
      <c r="W197" s="140"/>
      <c r="X197" s="140"/>
      <c r="Y197" s="140"/>
      <c r="Z197" s="140"/>
    </row>
    <row r="198" spans="1:26" ht="15.75" customHeight="1" x14ac:dyDescent="0.25">
      <c r="A198" s="140"/>
      <c r="B198" s="140"/>
      <c r="C198" s="140"/>
      <c r="D198" s="140"/>
      <c r="E198" s="140"/>
      <c r="F198" s="140"/>
      <c r="G198" s="140"/>
      <c r="H198" s="140"/>
      <c r="I198" s="140"/>
      <c r="J198" s="140"/>
      <c r="K198" s="140"/>
      <c r="L198" s="140"/>
      <c r="M198" s="140"/>
      <c r="N198" s="140"/>
      <c r="O198" s="140"/>
      <c r="P198" s="140"/>
      <c r="Q198" s="140"/>
      <c r="R198" s="140"/>
      <c r="S198" s="140"/>
      <c r="T198" s="196"/>
      <c r="U198" s="140"/>
      <c r="V198" s="140"/>
      <c r="W198" s="140"/>
      <c r="X198" s="140"/>
      <c r="Y198" s="140"/>
      <c r="Z198" s="140"/>
    </row>
    <row r="199" spans="1:26" ht="15.75" customHeight="1" x14ac:dyDescent="0.25">
      <c r="A199" s="140"/>
      <c r="B199" s="140"/>
      <c r="C199" s="140"/>
      <c r="D199" s="140"/>
      <c r="E199" s="140"/>
      <c r="F199" s="140"/>
      <c r="G199" s="140"/>
      <c r="H199" s="140"/>
      <c r="I199" s="140"/>
      <c r="J199" s="140"/>
      <c r="K199" s="140"/>
      <c r="L199" s="140"/>
      <c r="M199" s="140"/>
      <c r="N199" s="140"/>
      <c r="O199" s="140"/>
      <c r="P199" s="140"/>
      <c r="Q199" s="140"/>
      <c r="R199" s="140"/>
      <c r="S199" s="140"/>
      <c r="T199" s="196"/>
      <c r="U199" s="140"/>
      <c r="V199" s="140"/>
      <c r="W199" s="140"/>
      <c r="X199" s="140"/>
      <c r="Y199" s="140"/>
      <c r="Z199" s="140"/>
    </row>
    <row r="200" spans="1:26" ht="15.75" customHeight="1" x14ac:dyDescent="0.25">
      <c r="A200" s="140"/>
      <c r="B200" s="140"/>
      <c r="C200" s="140"/>
      <c r="D200" s="140"/>
      <c r="E200" s="140"/>
      <c r="F200" s="140"/>
      <c r="G200" s="140"/>
      <c r="H200" s="140"/>
      <c r="I200" s="140"/>
      <c r="J200" s="140"/>
      <c r="K200" s="140"/>
      <c r="L200" s="140"/>
      <c r="M200" s="140"/>
      <c r="N200" s="140"/>
      <c r="O200" s="140"/>
      <c r="P200" s="140"/>
      <c r="Q200" s="140"/>
      <c r="R200" s="140"/>
      <c r="S200" s="140"/>
      <c r="T200" s="196"/>
      <c r="U200" s="140"/>
      <c r="V200" s="140"/>
      <c r="W200" s="140"/>
      <c r="X200" s="140"/>
      <c r="Y200" s="140"/>
      <c r="Z200" s="140"/>
    </row>
    <row r="201" spans="1:26" ht="15.75" customHeight="1" x14ac:dyDescent="0.25">
      <c r="A201" s="140"/>
      <c r="B201" s="140"/>
      <c r="C201" s="140"/>
      <c r="D201" s="140"/>
      <c r="E201" s="140"/>
      <c r="F201" s="140"/>
      <c r="G201" s="140"/>
      <c r="H201" s="140"/>
      <c r="I201" s="140"/>
      <c r="J201" s="140"/>
      <c r="K201" s="140"/>
      <c r="L201" s="140"/>
      <c r="M201" s="140"/>
      <c r="N201" s="140"/>
      <c r="O201" s="140"/>
      <c r="P201" s="140"/>
      <c r="Q201" s="140"/>
      <c r="R201" s="140"/>
      <c r="S201" s="140"/>
      <c r="T201" s="196"/>
      <c r="U201" s="140"/>
      <c r="V201" s="140"/>
      <c r="W201" s="140"/>
      <c r="X201" s="140"/>
      <c r="Y201" s="140"/>
      <c r="Z201" s="140"/>
    </row>
    <row r="202" spans="1:26" ht="15.75" customHeight="1" x14ac:dyDescent="0.25">
      <c r="A202" s="140"/>
      <c r="B202" s="140"/>
      <c r="C202" s="140"/>
      <c r="D202" s="140"/>
      <c r="E202" s="140"/>
      <c r="F202" s="140"/>
      <c r="G202" s="140"/>
      <c r="H202" s="140"/>
      <c r="I202" s="140"/>
      <c r="J202" s="140"/>
      <c r="K202" s="140"/>
      <c r="L202" s="140"/>
      <c r="M202" s="140"/>
      <c r="N202" s="140"/>
      <c r="O202" s="140"/>
      <c r="P202" s="140"/>
      <c r="Q202" s="140"/>
      <c r="R202" s="140"/>
      <c r="S202" s="140"/>
      <c r="T202" s="196"/>
      <c r="U202" s="140"/>
      <c r="V202" s="140"/>
      <c r="W202" s="140"/>
      <c r="X202" s="140"/>
      <c r="Y202" s="140"/>
      <c r="Z202" s="140"/>
    </row>
    <row r="203" spans="1:26" ht="15.75" customHeight="1" x14ac:dyDescent="0.25">
      <c r="A203" s="140"/>
      <c r="B203" s="140"/>
      <c r="C203" s="140"/>
      <c r="D203" s="140"/>
      <c r="E203" s="140"/>
      <c r="F203" s="140"/>
      <c r="G203" s="140"/>
      <c r="H203" s="140"/>
      <c r="I203" s="140"/>
      <c r="J203" s="140"/>
      <c r="K203" s="140"/>
      <c r="L203" s="140"/>
      <c r="M203" s="140"/>
      <c r="N203" s="140"/>
      <c r="O203" s="140"/>
      <c r="P203" s="140"/>
      <c r="Q203" s="140"/>
      <c r="R203" s="140"/>
      <c r="S203" s="140"/>
      <c r="T203" s="196"/>
      <c r="U203" s="140"/>
      <c r="V203" s="140"/>
      <c r="W203" s="140"/>
      <c r="X203" s="140"/>
      <c r="Y203" s="140"/>
      <c r="Z203" s="140"/>
    </row>
    <row r="204" spans="1:26" ht="15.75" customHeight="1" x14ac:dyDescent="0.25">
      <c r="A204" s="140"/>
      <c r="B204" s="140"/>
      <c r="C204" s="140"/>
      <c r="D204" s="140"/>
      <c r="E204" s="140"/>
      <c r="F204" s="140"/>
      <c r="G204" s="140"/>
      <c r="H204" s="140"/>
      <c r="I204" s="140"/>
      <c r="J204" s="140"/>
      <c r="K204" s="140"/>
      <c r="L204" s="140"/>
      <c r="M204" s="140"/>
      <c r="N204" s="140"/>
      <c r="O204" s="140"/>
      <c r="P204" s="140"/>
      <c r="Q204" s="140"/>
      <c r="R204" s="140"/>
      <c r="S204" s="140"/>
      <c r="T204" s="196"/>
      <c r="U204" s="140"/>
      <c r="V204" s="140"/>
      <c r="W204" s="140"/>
      <c r="X204" s="140"/>
      <c r="Y204" s="140"/>
      <c r="Z204" s="140"/>
    </row>
    <row r="205" spans="1:26" ht="15.75" customHeight="1" x14ac:dyDescent="0.25">
      <c r="A205" s="140"/>
      <c r="B205" s="140"/>
      <c r="C205" s="140"/>
      <c r="D205" s="140"/>
      <c r="E205" s="140"/>
      <c r="F205" s="140"/>
      <c r="G205" s="140"/>
      <c r="H205" s="140"/>
      <c r="I205" s="140"/>
      <c r="J205" s="140"/>
      <c r="K205" s="140"/>
      <c r="L205" s="140"/>
      <c r="M205" s="140"/>
      <c r="N205" s="140"/>
      <c r="O205" s="140"/>
      <c r="P205" s="140"/>
      <c r="Q205" s="140"/>
      <c r="R205" s="140"/>
      <c r="S205" s="140"/>
      <c r="T205" s="196"/>
      <c r="U205" s="140"/>
      <c r="V205" s="140"/>
      <c r="W205" s="140"/>
      <c r="X205" s="140"/>
      <c r="Y205" s="140"/>
      <c r="Z205" s="140"/>
    </row>
    <row r="206" spans="1:26" ht="15.75" customHeight="1" x14ac:dyDescent="0.25">
      <c r="A206" s="140"/>
      <c r="B206" s="140"/>
      <c r="C206" s="140"/>
      <c r="D206" s="140"/>
      <c r="E206" s="140"/>
      <c r="F206" s="140"/>
      <c r="G206" s="140"/>
      <c r="H206" s="140"/>
      <c r="I206" s="140"/>
      <c r="J206" s="140"/>
      <c r="K206" s="140"/>
      <c r="L206" s="140"/>
      <c r="M206" s="140"/>
      <c r="N206" s="140"/>
      <c r="O206" s="140"/>
      <c r="P206" s="140"/>
      <c r="Q206" s="140"/>
      <c r="R206" s="140"/>
      <c r="S206" s="140"/>
      <c r="T206" s="196"/>
      <c r="U206" s="140"/>
      <c r="V206" s="140"/>
      <c r="W206" s="140"/>
      <c r="X206" s="140"/>
      <c r="Y206" s="140"/>
      <c r="Z206" s="140"/>
    </row>
    <row r="207" spans="1:26" ht="15.75" customHeight="1" x14ac:dyDescent="0.25">
      <c r="A207" s="140"/>
      <c r="B207" s="140"/>
      <c r="C207" s="140"/>
      <c r="D207" s="140"/>
      <c r="E207" s="140"/>
      <c r="F207" s="140"/>
      <c r="G207" s="140"/>
      <c r="H207" s="140"/>
      <c r="I207" s="140"/>
      <c r="J207" s="140"/>
      <c r="K207" s="140"/>
      <c r="L207" s="140"/>
      <c r="M207" s="140"/>
      <c r="N207" s="140"/>
      <c r="O207" s="140"/>
      <c r="P207" s="140"/>
      <c r="Q207" s="140"/>
      <c r="R207" s="140"/>
      <c r="S207" s="140"/>
      <c r="T207" s="196"/>
      <c r="U207" s="140"/>
      <c r="V207" s="140"/>
      <c r="W207" s="140"/>
      <c r="X207" s="140"/>
      <c r="Y207" s="140"/>
      <c r="Z207" s="140"/>
    </row>
    <row r="208" spans="1:26" ht="15.75" customHeight="1" x14ac:dyDescent="0.25">
      <c r="A208" s="140"/>
      <c r="B208" s="140"/>
      <c r="C208" s="140"/>
      <c r="D208" s="140"/>
      <c r="E208" s="140"/>
      <c r="F208" s="140"/>
      <c r="G208" s="140"/>
      <c r="H208" s="140"/>
      <c r="I208" s="140"/>
      <c r="J208" s="140"/>
      <c r="K208" s="140"/>
      <c r="L208" s="140"/>
      <c r="M208" s="140"/>
      <c r="N208" s="140"/>
      <c r="O208" s="140"/>
      <c r="P208" s="140"/>
      <c r="Q208" s="140"/>
      <c r="R208" s="140"/>
      <c r="S208" s="140"/>
      <c r="T208" s="196"/>
      <c r="U208" s="140"/>
      <c r="V208" s="140"/>
      <c r="W208" s="140"/>
      <c r="X208" s="140"/>
      <c r="Y208" s="140"/>
      <c r="Z208" s="140"/>
    </row>
    <row r="209" spans="1:26" ht="15.75" customHeight="1" x14ac:dyDescent="0.25">
      <c r="A209" s="140"/>
      <c r="B209" s="140"/>
      <c r="C209" s="140"/>
      <c r="D209" s="140"/>
      <c r="E209" s="140"/>
      <c r="F209" s="140"/>
      <c r="G209" s="140"/>
      <c r="H209" s="140"/>
      <c r="I209" s="140"/>
      <c r="J209" s="140"/>
      <c r="K209" s="140"/>
      <c r="L209" s="140"/>
      <c r="M209" s="140"/>
      <c r="N209" s="140"/>
      <c r="O209" s="140"/>
      <c r="P209" s="140"/>
      <c r="Q209" s="140"/>
      <c r="R209" s="140"/>
      <c r="S209" s="140"/>
      <c r="T209" s="196"/>
      <c r="U209" s="140"/>
      <c r="V209" s="140"/>
      <c r="W209" s="140"/>
      <c r="X209" s="140"/>
      <c r="Y209" s="140"/>
      <c r="Z209" s="140"/>
    </row>
    <row r="210" spans="1:26" ht="15.75" customHeight="1" x14ac:dyDescent="0.25">
      <c r="A210" s="140"/>
      <c r="B210" s="140"/>
      <c r="C210" s="140"/>
      <c r="D210" s="140"/>
      <c r="E210" s="140"/>
      <c r="F210" s="140"/>
      <c r="G210" s="140"/>
      <c r="H210" s="140"/>
      <c r="I210" s="140"/>
      <c r="J210" s="140"/>
      <c r="K210" s="140"/>
      <c r="L210" s="140"/>
      <c r="M210" s="140"/>
      <c r="N210" s="140"/>
      <c r="O210" s="140"/>
      <c r="P210" s="140"/>
      <c r="Q210" s="140"/>
      <c r="R210" s="140"/>
      <c r="S210" s="140"/>
      <c r="T210" s="196"/>
      <c r="U210" s="140"/>
      <c r="V210" s="140"/>
      <c r="W210" s="140"/>
      <c r="X210" s="140"/>
      <c r="Y210" s="140"/>
      <c r="Z210" s="140"/>
    </row>
    <row r="211" spans="1:26" ht="15.75" customHeight="1" x14ac:dyDescent="0.25">
      <c r="A211" s="140"/>
      <c r="B211" s="140"/>
      <c r="C211" s="140"/>
      <c r="D211" s="140"/>
      <c r="E211" s="140"/>
      <c r="F211" s="140"/>
      <c r="G211" s="140"/>
      <c r="H211" s="140"/>
      <c r="I211" s="140"/>
      <c r="J211" s="140"/>
      <c r="K211" s="140"/>
      <c r="L211" s="140"/>
      <c r="M211" s="140"/>
      <c r="N211" s="140"/>
      <c r="O211" s="140"/>
      <c r="P211" s="140"/>
      <c r="Q211" s="140"/>
      <c r="R211" s="140"/>
      <c r="S211" s="140"/>
      <c r="T211" s="196"/>
      <c r="U211" s="140"/>
      <c r="V211" s="140"/>
      <c r="W211" s="140"/>
      <c r="X211" s="140"/>
      <c r="Y211" s="140"/>
      <c r="Z211" s="140"/>
    </row>
    <row r="212" spans="1:26" ht="15.75" customHeight="1" x14ac:dyDescent="0.25">
      <c r="A212" s="140"/>
      <c r="B212" s="140"/>
      <c r="C212" s="140"/>
      <c r="D212" s="140"/>
      <c r="E212" s="140"/>
      <c r="F212" s="140"/>
      <c r="G212" s="140"/>
      <c r="H212" s="140"/>
      <c r="I212" s="140"/>
      <c r="J212" s="140"/>
      <c r="K212" s="140"/>
      <c r="L212" s="140"/>
      <c r="M212" s="140"/>
      <c r="N212" s="140"/>
      <c r="O212" s="140"/>
      <c r="P212" s="140"/>
      <c r="Q212" s="140"/>
      <c r="R212" s="140"/>
      <c r="S212" s="140"/>
      <c r="T212" s="196"/>
      <c r="U212" s="140"/>
      <c r="V212" s="140"/>
      <c r="W212" s="140"/>
      <c r="X212" s="140"/>
      <c r="Y212" s="140"/>
      <c r="Z212" s="140"/>
    </row>
    <row r="213" spans="1:26" ht="15.75" customHeight="1" x14ac:dyDescent="0.25">
      <c r="A213" s="140"/>
      <c r="B213" s="140"/>
      <c r="C213" s="140"/>
      <c r="D213" s="140"/>
      <c r="E213" s="140"/>
      <c r="F213" s="140"/>
      <c r="G213" s="140"/>
      <c r="H213" s="140"/>
      <c r="I213" s="140"/>
      <c r="J213" s="140"/>
      <c r="K213" s="140"/>
      <c r="L213" s="140"/>
      <c r="M213" s="140"/>
      <c r="N213" s="140"/>
      <c r="O213" s="140"/>
      <c r="P213" s="140"/>
      <c r="Q213" s="140"/>
      <c r="R213" s="140"/>
      <c r="S213" s="140"/>
      <c r="T213" s="196"/>
      <c r="U213" s="140"/>
      <c r="V213" s="140"/>
      <c r="W213" s="140"/>
      <c r="X213" s="140"/>
      <c r="Y213" s="140"/>
      <c r="Z213" s="140"/>
    </row>
    <row r="214" spans="1:26" ht="15.75" customHeight="1" x14ac:dyDescent="0.25">
      <c r="A214" s="140"/>
      <c r="B214" s="140"/>
      <c r="C214" s="140"/>
      <c r="D214" s="140"/>
      <c r="E214" s="140"/>
      <c r="F214" s="140"/>
      <c r="G214" s="140"/>
      <c r="H214" s="140"/>
      <c r="I214" s="140"/>
      <c r="J214" s="140"/>
      <c r="K214" s="140"/>
      <c r="L214" s="140"/>
      <c r="M214" s="140"/>
      <c r="N214" s="140"/>
      <c r="O214" s="140"/>
      <c r="P214" s="140"/>
      <c r="Q214" s="140"/>
      <c r="R214" s="140"/>
      <c r="S214" s="140"/>
      <c r="T214" s="196"/>
      <c r="U214" s="140"/>
      <c r="V214" s="140"/>
      <c r="W214" s="140"/>
      <c r="X214" s="140"/>
      <c r="Y214" s="140"/>
      <c r="Z214" s="140"/>
    </row>
    <row r="215" spans="1:26" ht="15.75" customHeight="1" x14ac:dyDescent="0.25">
      <c r="A215" s="140"/>
      <c r="B215" s="140"/>
      <c r="C215" s="140"/>
      <c r="D215" s="140"/>
      <c r="E215" s="140"/>
      <c r="F215" s="140"/>
      <c r="G215" s="140"/>
      <c r="H215" s="140"/>
      <c r="I215" s="140"/>
      <c r="J215" s="140"/>
      <c r="K215" s="140"/>
      <c r="L215" s="140"/>
      <c r="M215" s="140"/>
      <c r="N215" s="140"/>
      <c r="O215" s="140"/>
      <c r="P215" s="140"/>
      <c r="Q215" s="140"/>
      <c r="R215" s="140"/>
      <c r="S215" s="140"/>
      <c r="T215" s="196"/>
      <c r="U215" s="140"/>
      <c r="V215" s="140"/>
      <c r="W215" s="140"/>
      <c r="X215" s="140"/>
      <c r="Y215" s="140"/>
      <c r="Z215" s="140"/>
    </row>
    <row r="216" spans="1:26" ht="15.75" customHeight="1" x14ac:dyDescent="0.25">
      <c r="A216" s="140"/>
      <c r="B216" s="140"/>
      <c r="C216" s="140"/>
      <c r="D216" s="140"/>
      <c r="E216" s="140"/>
      <c r="F216" s="140"/>
      <c r="G216" s="140"/>
      <c r="H216" s="140"/>
      <c r="I216" s="140"/>
      <c r="J216" s="140"/>
      <c r="K216" s="140"/>
      <c r="L216" s="140"/>
      <c r="M216" s="140"/>
      <c r="N216" s="140"/>
      <c r="O216" s="140"/>
      <c r="P216" s="140"/>
      <c r="Q216" s="140"/>
      <c r="R216" s="140"/>
      <c r="S216" s="140"/>
      <c r="T216" s="196"/>
      <c r="U216" s="140"/>
      <c r="V216" s="140"/>
      <c r="W216" s="140"/>
      <c r="X216" s="140"/>
      <c r="Y216" s="140"/>
      <c r="Z216" s="140"/>
    </row>
    <row r="217" spans="1:26"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96"/>
      <c r="U217" s="140"/>
      <c r="V217" s="140"/>
      <c r="W217" s="140"/>
      <c r="X217" s="140"/>
      <c r="Y217" s="140"/>
      <c r="Z217" s="140"/>
    </row>
    <row r="218" spans="1:26"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96"/>
      <c r="U218" s="140"/>
      <c r="V218" s="140"/>
      <c r="W218" s="140"/>
      <c r="X218" s="140"/>
      <c r="Y218" s="140"/>
      <c r="Z218" s="140"/>
    </row>
    <row r="219" spans="1:26"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96"/>
      <c r="U219" s="140"/>
      <c r="V219" s="140"/>
      <c r="W219" s="140"/>
      <c r="X219" s="140"/>
      <c r="Y219" s="140"/>
      <c r="Z219" s="140"/>
    </row>
    <row r="220" spans="1:26"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96"/>
      <c r="U220" s="140"/>
      <c r="V220" s="140"/>
      <c r="W220" s="140"/>
      <c r="X220" s="140"/>
      <c r="Y220" s="140"/>
      <c r="Z220" s="140"/>
    </row>
    <row r="221" spans="1:26"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96"/>
      <c r="U221" s="140"/>
      <c r="V221" s="140"/>
      <c r="W221" s="140"/>
      <c r="X221" s="140"/>
      <c r="Y221" s="140"/>
      <c r="Z221" s="140"/>
    </row>
    <row r="222" spans="1:26"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96"/>
      <c r="U222" s="140"/>
      <c r="V222" s="140"/>
      <c r="W222" s="140"/>
      <c r="X222" s="140"/>
      <c r="Y222" s="140"/>
      <c r="Z222" s="140"/>
    </row>
    <row r="223" spans="1:26"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96"/>
      <c r="U223" s="140"/>
      <c r="V223" s="140"/>
      <c r="W223" s="140"/>
      <c r="X223" s="140"/>
      <c r="Y223" s="140"/>
      <c r="Z223" s="140"/>
    </row>
    <row r="224" spans="1:26"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96"/>
      <c r="U224" s="140"/>
      <c r="V224" s="140"/>
      <c r="W224" s="140"/>
      <c r="X224" s="140"/>
      <c r="Y224" s="140"/>
      <c r="Z224" s="140"/>
    </row>
    <row r="225" spans="1:26"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96"/>
      <c r="U225" s="140"/>
      <c r="V225" s="140"/>
      <c r="W225" s="140"/>
      <c r="X225" s="140"/>
      <c r="Y225" s="140"/>
      <c r="Z225" s="140"/>
    </row>
    <row r="226" spans="1:26"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96"/>
      <c r="U226" s="140"/>
      <c r="V226" s="140"/>
      <c r="W226" s="140"/>
      <c r="X226" s="140"/>
      <c r="Y226" s="140"/>
      <c r="Z226" s="140"/>
    </row>
    <row r="227" spans="1:26"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96"/>
      <c r="U227" s="140"/>
      <c r="V227" s="140"/>
      <c r="W227" s="140"/>
      <c r="X227" s="140"/>
      <c r="Y227" s="140"/>
      <c r="Z227" s="140"/>
    </row>
    <row r="228" spans="1:26"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96"/>
      <c r="U228" s="140"/>
      <c r="V228" s="140"/>
      <c r="W228" s="140"/>
      <c r="X228" s="140"/>
      <c r="Y228" s="140"/>
      <c r="Z228" s="140"/>
    </row>
    <row r="229" spans="1:26"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96"/>
      <c r="U229" s="140"/>
      <c r="V229" s="140"/>
      <c r="W229" s="140"/>
      <c r="X229" s="140"/>
      <c r="Y229" s="140"/>
      <c r="Z229" s="140"/>
    </row>
    <row r="230" spans="1:26"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96"/>
      <c r="U230" s="140"/>
      <c r="V230" s="140"/>
      <c r="W230" s="140"/>
      <c r="X230" s="140"/>
      <c r="Y230" s="140"/>
      <c r="Z230" s="140"/>
    </row>
    <row r="231" spans="1:26"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96"/>
      <c r="U231" s="140"/>
      <c r="V231" s="140"/>
      <c r="W231" s="140"/>
      <c r="X231" s="140"/>
      <c r="Y231" s="140"/>
      <c r="Z231" s="140"/>
    </row>
    <row r="232" spans="1:26"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96"/>
      <c r="U232" s="140"/>
      <c r="V232" s="140"/>
      <c r="W232" s="140"/>
      <c r="X232" s="140"/>
      <c r="Y232" s="140"/>
      <c r="Z232" s="140"/>
    </row>
    <row r="233" spans="1:26"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96"/>
      <c r="U233" s="140"/>
      <c r="V233" s="140"/>
      <c r="W233" s="140"/>
      <c r="X233" s="140"/>
      <c r="Y233" s="140"/>
      <c r="Z233" s="140"/>
    </row>
    <row r="234" spans="1:26"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96"/>
      <c r="U234" s="140"/>
      <c r="V234" s="140"/>
      <c r="W234" s="140"/>
      <c r="X234" s="140"/>
      <c r="Y234" s="140"/>
      <c r="Z234" s="140"/>
    </row>
    <row r="235" spans="1:26"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96"/>
      <c r="U235" s="140"/>
      <c r="V235" s="140"/>
      <c r="W235" s="140"/>
      <c r="X235" s="140"/>
      <c r="Y235" s="140"/>
      <c r="Z235" s="140"/>
    </row>
    <row r="236" spans="1:26"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96"/>
      <c r="U236" s="140"/>
      <c r="V236" s="140"/>
      <c r="W236" s="140"/>
      <c r="X236" s="140"/>
      <c r="Y236" s="140"/>
      <c r="Z236" s="140"/>
    </row>
    <row r="237" spans="1:26"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96"/>
      <c r="U237" s="140"/>
      <c r="V237" s="140"/>
      <c r="W237" s="140"/>
      <c r="X237" s="140"/>
      <c r="Y237" s="140"/>
      <c r="Z237" s="140"/>
    </row>
    <row r="238" spans="1:26"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96"/>
      <c r="U238" s="140"/>
      <c r="V238" s="140"/>
      <c r="W238" s="140"/>
      <c r="X238" s="140"/>
      <c r="Y238" s="140"/>
      <c r="Z238" s="140"/>
    </row>
    <row r="239" spans="1:26"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96"/>
      <c r="U239" s="140"/>
      <c r="V239" s="140"/>
      <c r="W239" s="140"/>
      <c r="X239" s="140"/>
      <c r="Y239" s="140"/>
      <c r="Z239" s="140"/>
    </row>
    <row r="240" spans="1:26"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96"/>
      <c r="U240" s="140"/>
      <c r="V240" s="140"/>
      <c r="W240" s="140"/>
      <c r="X240" s="140"/>
      <c r="Y240" s="140"/>
      <c r="Z240" s="140"/>
    </row>
    <row r="241" spans="1:26"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96"/>
      <c r="U241" s="140"/>
      <c r="V241" s="140"/>
      <c r="W241" s="140"/>
      <c r="X241" s="140"/>
      <c r="Y241" s="140"/>
      <c r="Z241" s="140"/>
    </row>
    <row r="242" spans="1:26"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96"/>
      <c r="U242" s="140"/>
      <c r="V242" s="140"/>
      <c r="W242" s="140"/>
      <c r="X242" s="140"/>
      <c r="Y242" s="140"/>
      <c r="Z242" s="140"/>
    </row>
    <row r="243" spans="1:26"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96"/>
      <c r="U243" s="140"/>
      <c r="V243" s="140"/>
      <c r="W243" s="140"/>
      <c r="X243" s="140"/>
      <c r="Y243" s="140"/>
      <c r="Z243" s="140"/>
    </row>
    <row r="244" spans="1:26"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96"/>
      <c r="U244" s="140"/>
      <c r="V244" s="140"/>
      <c r="W244" s="140"/>
      <c r="X244" s="140"/>
      <c r="Y244" s="140"/>
      <c r="Z244" s="140"/>
    </row>
    <row r="245" spans="1:26"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96"/>
      <c r="U245" s="140"/>
      <c r="V245" s="140"/>
      <c r="W245" s="140"/>
      <c r="X245" s="140"/>
      <c r="Y245" s="140"/>
      <c r="Z245" s="140"/>
    </row>
    <row r="246" spans="1:26"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96"/>
      <c r="U246" s="140"/>
      <c r="V246" s="140"/>
      <c r="W246" s="140"/>
      <c r="X246" s="140"/>
      <c r="Y246" s="140"/>
      <c r="Z246" s="140"/>
    </row>
    <row r="247" spans="1:26"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96"/>
      <c r="U247" s="140"/>
      <c r="V247" s="140"/>
      <c r="W247" s="140"/>
      <c r="X247" s="140"/>
      <c r="Y247" s="140"/>
      <c r="Z247" s="140"/>
    </row>
    <row r="248" spans="1:26"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96"/>
      <c r="U248" s="140"/>
      <c r="V248" s="140"/>
      <c r="W248" s="140"/>
      <c r="X248" s="140"/>
      <c r="Y248" s="140"/>
      <c r="Z248" s="140"/>
    </row>
    <row r="249" spans="1:26"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96"/>
      <c r="U249" s="140"/>
      <c r="V249" s="140"/>
      <c r="W249" s="140"/>
      <c r="X249" s="140"/>
      <c r="Y249" s="140"/>
      <c r="Z249" s="140"/>
    </row>
    <row r="250" spans="1:26"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96"/>
      <c r="U250" s="140"/>
      <c r="V250" s="140"/>
      <c r="W250" s="140"/>
      <c r="X250" s="140"/>
      <c r="Y250" s="140"/>
      <c r="Z250" s="140"/>
    </row>
    <row r="251" spans="1:26"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96"/>
      <c r="U251" s="140"/>
      <c r="V251" s="140"/>
      <c r="W251" s="140"/>
      <c r="X251" s="140"/>
      <c r="Y251" s="140"/>
      <c r="Z251" s="140"/>
    </row>
    <row r="252" spans="1:26"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96"/>
      <c r="U252" s="140"/>
      <c r="V252" s="140"/>
      <c r="W252" s="140"/>
      <c r="X252" s="140"/>
      <c r="Y252" s="140"/>
      <c r="Z252" s="140"/>
    </row>
    <row r="253" spans="1:26"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96"/>
      <c r="U253" s="140"/>
      <c r="V253" s="140"/>
      <c r="W253" s="140"/>
      <c r="X253" s="140"/>
      <c r="Y253" s="140"/>
      <c r="Z253" s="140"/>
    </row>
    <row r="254" spans="1:26"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96"/>
      <c r="U254" s="140"/>
      <c r="V254" s="140"/>
      <c r="W254" s="140"/>
      <c r="X254" s="140"/>
      <c r="Y254" s="140"/>
      <c r="Z254" s="140"/>
    </row>
    <row r="255" spans="1:26"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96"/>
      <c r="U255" s="140"/>
      <c r="V255" s="140"/>
      <c r="W255" s="140"/>
      <c r="X255" s="140"/>
      <c r="Y255" s="140"/>
      <c r="Z255" s="140"/>
    </row>
    <row r="256" spans="1:26"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96"/>
      <c r="U256" s="140"/>
      <c r="V256" s="140"/>
      <c r="W256" s="140"/>
      <c r="X256" s="140"/>
      <c r="Y256" s="140"/>
      <c r="Z256" s="140"/>
    </row>
    <row r="257" spans="1:26"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96"/>
      <c r="U257" s="140"/>
      <c r="V257" s="140"/>
      <c r="W257" s="140"/>
      <c r="X257" s="140"/>
      <c r="Y257" s="140"/>
      <c r="Z257" s="140"/>
    </row>
    <row r="258" spans="1:26"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96"/>
      <c r="U258" s="140"/>
      <c r="V258" s="140"/>
      <c r="W258" s="140"/>
      <c r="X258" s="140"/>
      <c r="Y258" s="140"/>
      <c r="Z258" s="140"/>
    </row>
    <row r="259" spans="1:26"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96"/>
      <c r="U259" s="140"/>
      <c r="V259" s="140"/>
      <c r="W259" s="140"/>
      <c r="X259" s="140"/>
      <c r="Y259" s="140"/>
      <c r="Z259" s="140"/>
    </row>
    <row r="260" spans="1:26"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96"/>
      <c r="U260" s="140"/>
      <c r="V260" s="140"/>
      <c r="W260" s="140"/>
      <c r="X260" s="140"/>
      <c r="Y260" s="140"/>
      <c r="Z260" s="140"/>
    </row>
    <row r="261" spans="1:26"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96"/>
      <c r="U261" s="140"/>
      <c r="V261" s="140"/>
      <c r="W261" s="140"/>
      <c r="X261" s="140"/>
      <c r="Y261" s="140"/>
      <c r="Z261" s="140"/>
    </row>
    <row r="262" spans="1:26"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96"/>
      <c r="U262" s="140"/>
      <c r="V262" s="140"/>
      <c r="W262" s="140"/>
      <c r="X262" s="140"/>
      <c r="Y262" s="140"/>
      <c r="Z262" s="140"/>
    </row>
    <row r="263" spans="1:26"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96"/>
      <c r="U263" s="140"/>
      <c r="V263" s="140"/>
      <c r="W263" s="140"/>
      <c r="X263" s="140"/>
      <c r="Y263" s="140"/>
      <c r="Z263" s="140"/>
    </row>
    <row r="264" spans="1:26"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96"/>
      <c r="U264" s="140"/>
      <c r="V264" s="140"/>
      <c r="W264" s="140"/>
      <c r="X264" s="140"/>
      <c r="Y264" s="140"/>
      <c r="Z264" s="140"/>
    </row>
    <row r="265" spans="1:26"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96"/>
      <c r="U265" s="140"/>
      <c r="V265" s="140"/>
      <c r="W265" s="140"/>
      <c r="X265" s="140"/>
      <c r="Y265" s="140"/>
      <c r="Z265" s="140"/>
    </row>
    <row r="266" spans="1:26"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96"/>
      <c r="U266" s="140"/>
      <c r="V266" s="140"/>
      <c r="W266" s="140"/>
      <c r="X266" s="140"/>
      <c r="Y266" s="140"/>
      <c r="Z266" s="140"/>
    </row>
    <row r="267" spans="1:26"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96"/>
      <c r="U267" s="140"/>
      <c r="V267" s="140"/>
      <c r="W267" s="140"/>
      <c r="X267" s="140"/>
      <c r="Y267" s="140"/>
      <c r="Z267" s="140"/>
    </row>
    <row r="268" spans="1:26"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96"/>
      <c r="U268" s="140"/>
      <c r="V268" s="140"/>
      <c r="W268" s="140"/>
      <c r="X268" s="140"/>
      <c r="Y268" s="140"/>
      <c r="Z268" s="140"/>
    </row>
    <row r="269" spans="1:26"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96"/>
      <c r="U269" s="140"/>
      <c r="V269" s="140"/>
      <c r="W269" s="140"/>
      <c r="X269" s="140"/>
      <c r="Y269" s="140"/>
      <c r="Z269" s="140"/>
    </row>
    <row r="270" spans="1:26"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96"/>
      <c r="U270" s="140"/>
      <c r="V270" s="140"/>
      <c r="W270" s="140"/>
      <c r="X270" s="140"/>
      <c r="Y270" s="140"/>
      <c r="Z270" s="140"/>
    </row>
    <row r="271" spans="1:26"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96"/>
      <c r="U271" s="140"/>
      <c r="V271" s="140"/>
      <c r="W271" s="140"/>
      <c r="X271" s="140"/>
      <c r="Y271" s="140"/>
      <c r="Z271" s="140"/>
    </row>
    <row r="272" spans="1:26"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96"/>
      <c r="U272" s="140"/>
      <c r="V272" s="140"/>
      <c r="W272" s="140"/>
      <c r="X272" s="140"/>
      <c r="Y272" s="140"/>
      <c r="Z272" s="140"/>
    </row>
    <row r="273" spans="1:26"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96"/>
      <c r="U273" s="140"/>
      <c r="V273" s="140"/>
      <c r="W273" s="140"/>
      <c r="X273" s="140"/>
      <c r="Y273" s="140"/>
      <c r="Z273" s="140"/>
    </row>
    <row r="274" spans="1:26"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96"/>
      <c r="U274" s="140"/>
      <c r="V274" s="140"/>
      <c r="W274" s="140"/>
      <c r="X274" s="140"/>
      <c r="Y274" s="140"/>
      <c r="Z274" s="140"/>
    </row>
    <row r="275" spans="1:26"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96"/>
      <c r="U275" s="140"/>
      <c r="V275" s="140"/>
      <c r="W275" s="140"/>
      <c r="X275" s="140"/>
      <c r="Y275" s="140"/>
      <c r="Z275" s="140"/>
    </row>
    <row r="276" spans="1:26"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96"/>
      <c r="U276" s="140"/>
      <c r="V276" s="140"/>
      <c r="W276" s="140"/>
      <c r="X276" s="140"/>
      <c r="Y276" s="140"/>
      <c r="Z276" s="140"/>
    </row>
    <row r="277" spans="1:26"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96"/>
      <c r="U277" s="140"/>
      <c r="V277" s="140"/>
      <c r="W277" s="140"/>
      <c r="X277" s="140"/>
      <c r="Y277" s="140"/>
      <c r="Z277" s="140"/>
    </row>
    <row r="278" spans="1:26"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96"/>
      <c r="U278" s="140"/>
      <c r="V278" s="140"/>
      <c r="W278" s="140"/>
      <c r="X278" s="140"/>
      <c r="Y278" s="140"/>
      <c r="Z278" s="140"/>
    </row>
    <row r="279" spans="1:26"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96"/>
      <c r="U279" s="140"/>
      <c r="V279" s="140"/>
      <c r="W279" s="140"/>
      <c r="X279" s="140"/>
      <c r="Y279" s="140"/>
      <c r="Z279" s="140"/>
    </row>
    <row r="280" spans="1:26"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96"/>
      <c r="U280" s="140"/>
      <c r="V280" s="140"/>
      <c r="W280" s="140"/>
      <c r="X280" s="140"/>
      <c r="Y280" s="140"/>
      <c r="Z280" s="140"/>
    </row>
    <row r="281" spans="1:26"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96"/>
      <c r="U281" s="140"/>
      <c r="V281" s="140"/>
      <c r="W281" s="140"/>
      <c r="X281" s="140"/>
      <c r="Y281" s="140"/>
      <c r="Z281" s="140"/>
    </row>
    <row r="282" spans="1:26"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96"/>
      <c r="U282" s="140"/>
      <c r="V282" s="140"/>
      <c r="W282" s="140"/>
      <c r="X282" s="140"/>
      <c r="Y282" s="140"/>
      <c r="Z282" s="140"/>
    </row>
    <row r="283" spans="1:26"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96"/>
      <c r="U283" s="140"/>
      <c r="V283" s="140"/>
      <c r="W283" s="140"/>
      <c r="X283" s="140"/>
      <c r="Y283" s="140"/>
      <c r="Z283" s="140"/>
    </row>
    <row r="284" spans="1:26"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96"/>
      <c r="U284" s="140"/>
      <c r="V284" s="140"/>
      <c r="W284" s="140"/>
      <c r="X284" s="140"/>
      <c r="Y284" s="140"/>
      <c r="Z284" s="140"/>
    </row>
    <row r="285" spans="1:26"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96"/>
      <c r="U285" s="140"/>
      <c r="V285" s="140"/>
      <c r="W285" s="140"/>
      <c r="X285" s="140"/>
      <c r="Y285" s="140"/>
      <c r="Z285" s="140"/>
    </row>
    <row r="286" spans="1:26"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96"/>
      <c r="U286" s="140"/>
      <c r="V286" s="140"/>
      <c r="W286" s="140"/>
      <c r="X286" s="140"/>
      <c r="Y286" s="140"/>
      <c r="Z286" s="140"/>
    </row>
    <row r="287" spans="1:26"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96"/>
      <c r="U287" s="140"/>
      <c r="V287" s="140"/>
      <c r="W287" s="140"/>
      <c r="X287" s="140"/>
      <c r="Y287" s="140"/>
      <c r="Z287" s="140"/>
    </row>
    <row r="288" spans="1:26"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96"/>
      <c r="U288" s="140"/>
      <c r="V288" s="140"/>
      <c r="W288" s="140"/>
      <c r="X288" s="140"/>
      <c r="Y288" s="140"/>
      <c r="Z288" s="140"/>
    </row>
    <row r="289" spans="1:26"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96"/>
      <c r="U289" s="140"/>
      <c r="V289" s="140"/>
      <c r="W289" s="140"/>
      <c r="X289" s="140"/>
      <c r="Y289" s="140"/>
      <c r="Z289" s="140"/>
    </row>
    <row r="290" spans="1:26"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96"/>
      <c r="U290" s="140"/>
      <c r="V290" s="140"/>
      <c r="W290" s="140"/>
      <c r="X290" s="140"/>
      <c r="Y290" s="140"/>
      <c r="Z290" s="140"/>
    </row>
    <row r="291" spans="1:26"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96"/>
      <c r="U291" s="140"/>
      <c r="V291" s="140"/>
      <c r="W291" s="140"/>
      <c r="X291" s="140"/>
      <c r="Y291" s="140"/>
      <c r="Z291" s="140"/>
    </row>
    <row r="292" spans="1:26"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96"/>
      <c r="U292" s="140"/>
      <c r="V292" s="140"/>
      <c r="W292" s="140"/>
      <c r="X292" s="140"/>
      <c r="Y292" s="140"/>
      <c r="Z292" s="140"/>
    </row>
    <row r="293" spans="1:26"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96"/>
      <c r="U293" s="140"/>
      <c r="V293" s="140"/>
      <c r="W293" s="140"/>
      <c r="X293" s="140"/>
      <c r="Y293" s="140"/>
      <c r="Z293" s="140"/>
    </row>
    <row r="294" spans="1:26"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96"/>
      <c r="U294" s="140"/>
      <c r="V294" s="140"/>
      <c r="W294" s="140"/>
      <c r="X294" s="140"/>
      <c r="Y294" s="140"/>
      <c r="Z294" s="140"/>
    </row>
    <row r="295" spans="1:26"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96"/>
      <c r="U295" s="140"/>
      <c r="V295" s="140"/>
      <c r="W295" s="140"/>
      <c r="X295" s="140"/>
      <c r="Y295" s="140"/>
      <c r="Z295" s="140"/>
    </row>
    <row r="296" spans="1:26"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96"/>
      <c r="U296" s="140"/>
      <c r="V296" s="140"/>
      <c r="W296" s="140"/>
      <c r="X296" s="140"/>
      <c r="Y296" s="140"/>
      <c r="Z296" s="140"/>
    </row>
    <row r="297" spans="1:26"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96"/>
      <c r="U297" s="140"/>
      <c r="V297" s="140"/>
      <c r="W297" s="140"/>
      <c r="X297" s="140"/>
      <c r="Y297" s="140"/>
      <c r="Z297" s="140"/>
    </row>
    <row r="298" spans="1:26"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96"/>
      <c r="U298" s="140"/>
      <c r="V298" s="140"/>
      <c r="W298" s="140"/>
      <c r="X298" s="140"/>
      <c r="Y298" s="140"/>
      <c r="Z298" s="140"/>
    </row>
    <row r="299" spans="1:26"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96"/>
      <c r="U299" s="140"/>
      <c r="V299" s="140"/>
      <c r="W299" s="140"/>
      <c r="X299" s="140"/>
      <c r="Y299" s="140"/>
      <c r="Z299" s="140"/>
    </row>
    <row r="300" spans="1:26"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96"/>
      <c r="U300" s="140"/>
      <c r="V300" s="140"/>
      <c r="W300" s="140"/>
      <c r="X300" s="140"/>
      <c r="Y300" s="140"/>
      <c r="Z300" s="140"/>
    </row>
    <row r="301" spans="1:26"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96"/>
      <c r="U301" s="140"/>
      <c r="V301" s="140"/>
      <c r="W301" s="140"/>
      <c r="X301" s="140"/>
      <c r="Y301" s="140"/>
      <c r="Z301" s="140"/>
    </row>
    <row r="302" spans="1:26"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96"/>
      <c r="U302" s="140"/>
      <c r="V302" s="140"/>
      <c r="W302" s="140"/>
      <c r="X302" s="140"/>
      <c r="Y302" s="140"/>
      <c r="Z302" s="140"/>
    </row>
    <row r="303" spans="1:26"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96"/>
      <c r="U303" s="140"/>
      <c r="V303" s="140"/>
      <c r="W303" s="140"/>
      <c r="X303" s="140"/>
      <c r="Y303" s="140"/>
      <c r="Z303" s="140"/>
    </row>
    <row r="304" spans="1:26"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96"/>
      <c r="U304" s="140"/>
      <c r="V304" s="140"/>
      <c r="W304" s="140"/>
      <c r="X304" s="140"/>
      <c r="Y304" s="140"/>
      <c r="Z304" s="140"/>
    </row>
    <row r="305" spans="1:26"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96"/>
      <c r="U305" s="140"/>
      <c r="V305" s="140"/>
      <c r="W305" s="140"/>
      <c r="X305" s="140"/>
      <c r="Y305" s="140"/>
      <c r="Z305" s="140"/>
    </row>
    <row r="306" spans="1:26"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96"/>
      <c r="U306" s="140"/>
      <c r="V306" s="140"/>
      <c r="W306" s="140"/>
      <c r="X306" s="140"/>
      <c r="Y306" s="140"/>
      <c r="Z306" s="140"/>
    </row>
    <row r="307" spans="1:26"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96"/>
      <c r="U307" s="140"/>
      <c r="V307" s="140"/>
      <c r="W307" s="140"/>
      <c r="X307" s="140"/>
      <c r="Y307" s="140"/>
      <c r="Z307" s="140"/>
    </row>
    <row r="308" spans="1:26"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96"/>
      <c r="U308" s="140"/>
      <c r="V308" s="140"/>
      <c r="W308" s="140"/>
      <c r="X308" s="140"/>
      <c r="Y308" s="140"/>
      <c r="Z308" s="140"/>
    </row>
    <row r="309" spans="1:26"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96"/>
      <c r="U309" s="140"/>
      <c r="V309" s="140"/>
      <c r="W309" s="140"/>
      <c r="X309" s="140"/>
      <c r="Y309" s="140"/>
      <c r="Z309" s="140"/>
    </row>
    <row r="310" spans="1:26"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96"/>
      <c r="U310" s="140"/>
      <c r="V310" s="140"/>
      <c r="W310" s="140"/>
      <c r="X310" s="140"/>
      <c r="Y310" s="140"/>
      <c r="Z310" s="140"/>
    </row>
    <row r="311" spans="1:26"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96"/>
      <c r="U311" s="140"/>
      <c r="V311" s="140"/>
      <c r="W311" s="140"/>
      <c r="X311" s="140"/>
      <c r="Y311" s="140"/>
      <c r="Z311" s="140"/>
    </row>
    <row r="312" spans="1:26"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96"/>
      <c r="U312" s="140"/>
      <c r="V312" s="140"/>
      <c r="W312" s="140"/>
      <c r="X312" s="140"/>
      <c r="Y312" s="140"/>
      <c r="Z312" s="140"/>
    </row>
    <row r="313" spans="1:26"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96"/>
      <c r="U313" s="140"/>
      <c r="V313" s="140"/>
      <c r="W313" s="140"/>
      <c r="X313" s="140"/>
      <c r="Y313" s="140"/>
      <c r="Z313" s="140"/>
    </row>
    <row r="314" spans="1:26"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96"/>
      <c r="U314" s="140"/>
      <c r="V314" s="140"/>
      <c r="W314" s="140"/>
      <c r="X314" s="140"/>
      <c r="Y314" s="140"/>
      <c r="Z314" s="140"/>
    </row>
    <row r="315" spans="1:26"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96"/>
      <c r="U315" s="140"/>
      <c r="V315" s="140"/>
      <c r="W315" s="140"/>
      <c r="X315" s="140"/>
      <c r="Y315" s="140"/>
      <c r="Z315" s="140"/>
    </row>
    <row r="316" spans="1:26"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96"/>
      <c r="U316" s="140"/>
      <c r="V316" s="140"/>
      <c r="W316" s="140"/>
      <c r="X316" s="140"/>
      <c r="Y316" s="140"/>
      <c r="Z316" s="140"/>
    </row>
    <row r="317" spans="1:26"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96"/>
      <c r="U317" s="140"/>
      <c r="V317" s="140"/>
      <c r="W317" s="140"/>
      <c r="X317" s="140"/>
      <c r="Y317" s="140"/>
      <c r="Z317" s="140"/>
    </row>
    <row r="318" spans="1:26"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96"/>
      <c r="U318" s="140"/>
      <c r="V318" s="140"/>
      <c r="W318" s="140"/>
      <c r="X318" s="140"/>
      <c r="Y318" s="140"/>
      <c r="Z318" s="140"/>
    </row>
    <row r="319" spans="1:26"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96"/>
      <c r="U319" s="140"/>
      <c r="V319" s="140"/>
      <c r="W319" s="140"/>
      <c r="X319" s="140"/>
      <c r="Y319" s="140"/>
      <c r="Z319" s="140"/>
    </row>
    <row r="320" spans="1:26"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96"/>
      <c r="U320" s="140"/>
      <c r="V320" s="140"/>
      <c r="W320" s="140"/>
      <c r="X320" s="140"/>
      <c r="Y320" s="140"/>
      <c r="Z320" s="140"/>
    </row>
    <row r="321" spans="1:26"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96"/>
      <c r="U321" s="140"/>
      <c r="V321" s="140"/>
      <c r="W321" s="140"/>
      <c r="X321" s="140"/>
      <c r="Y321" s="140"/>
      <c r="Z321" s="140"/>
    </row>
    <row r="322" spans="1:26"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96"/>
      <c r="U322" s="140"/>
      <c r="V322" s="140"/>
      <c r="W322" s="140"/>
      <c r="X322" s="140"/>
      <c r="Y322" s="140"/>
      <c r="Z322" s="140"/>
    </row>
    <row r="323" spans="1:26"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96"/>
      <c r="U323" s="140"/>
      <c r="V323" s="140"/>
      <c r="W323" s="140"/>
      <c r="X323" s="140"/>
      <c r="Y323" s="140"/>
      <c r="Z323" s="140"/>
    </row>
    <row r="324" spans="1:26"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96"/>
      <c r="U324" s="140"/>
      <c r="V324" s="140"/>
      <c r="W324" s="140"/>
      <c r="X324" s="140"/>
      <c r="Y324" s="140"/>
      <c r="Z324" s="140"/>
    </row>
    <row r="325" spans="1:26"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96"/>
      <c r="U325" s="140"/>
      <c r="V325" s="140"/>
      <c r="W325" s="140"/>
      <c r="X325" s="140"/>
      <c r="Y325" s="140"/>
      <c r="Z325" s="140"/>
    </row>
    <row r="326" spans="1:26"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96"/>
      <c r="U326" s="140"/>
      <c r="V326" s="140"/>
      <c r="W326" s="140"/>
      <c r="X326" s="140"/>
      <c r="Y326" s="140"/>
      <c r="Z326" s="140"/>
    </row>
    <row r="327" spans="1:26"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96"/>
      <c r="U327" s="140"/>
      <c r="V327" s="140"/>
      <c r="W327" s="140"/>
      <c r="X327" s="140"/>
      <c r="Y327" s="140"/>
      <c r="Z327" s="140"/>
    </row>
    <row r="328" spans="1:26"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96"/>
      <c r="U328" s="140"/>
      <c r="V328" s="140"/>
      <c r="W328" s="140"/>
      <c r="X328" s="140"/>
      <c r="Y328" s="140"/>
      <c r="Z328" s="140"/>
    </row>
    <row r="329" spans="1:26"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96"/>
      <c r="U329" s="140"/>
      <c r="V329" s="140"/>
      <c r="W329" s="140"/>
      <c r="X329" s="140"/>
      <c r="Y329" s="140"/>
      <c r="Z329" s="140"/>
    </row>
    <row r="330" spans="1:26"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96"/>
      <c r="U330" s="140"/>
      <c r="V330" s="140"/>
      <c r="W330" s="140"/>
      <c r="X330" s="140"/>
      <c r="Y330" s="140"/>
      <c r="Z330" s="140"/>
    </row>
    <row r="331" spans="1:26"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96"/>
      <c r="U331" s="140"/>
      <c r="V331" s="140"/>
      <c r="W331" s="140"/>
      <c r="X331" s="140"/>
      <c r="Y331" s="140"/>
      <c r="Z331" s="140"/>
    </row>
    <row r="332" spans="1:26"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96"/>
      <c r="U332" s="140"/>
      <c r="V332" s="140"/>
      <c r="W332" s="140"/>
      <c r="X332" s="140"/>
      <c r="Y332" s="140"/>
      <c r="Z332" s="140"/>
    </row>
    <row r="333" spans="1:26"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96"/>
      <c r="U333" s="140"/>
      <c r="V333" s="140"/>
      <c r="W333" s="140"/>
      <c r="X333" s="140"/>
      <c r="Y333" s="140"/>
      <c r="Z333" s="140"/>
    </row>
    <row r="334" spans="1:26"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96"/>
      <c r="U334" s="140"/>
      <c r="V334" s="140"/>
      <c r="W334" s="140"/>
      <c r="X334" s="140"/>
      <c r="Y334" s="140"/>
      <c r="Z334" s="140"/>
    </row>
    <row r="335" spans="1:26"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96"/>
      <c r="U335" s="140"/>
      <c r="V335" s="140"/>
      <c r="W335" s="140"/>
      <c r="X335" s="140"/>
      <c r="Y335" s="140"/>
      <c r="Z335" s="140"/>
    </row>
    <row r="336" spans="1:26"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96"/>
      <c r="U336" s="140"/>
      <c r="V336" s="140"/>
      <c r="W336" s="140"/>
      <c r="X336" s="140"/>
      <c r="Y336" s="140"/>
      <c r="Z336" s="140"/>
    </row>
    <row r="337" spans="1:26"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96"/>
      <c r="U337" s="140"/>
      <c r="V337" s="140"/>
      <c r="W337" s="140"/>
      <c r="X337" s="140"/>
      <c r="Y337" s="140"/>
      <c r="Z337" s="140"/>
    </row>
    <row r="338" spans="1:26"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96"/>
      <c r="U338" s="140"/>
      <c r="V338" s="140"/>
      <c r="W338" s="140"/>
      <c r="X338" s="140"/>
      <c r="Y338" s="140"/>
      <c r="Z338" s="140"/>
    </row>
    <row r="339" spans="1:26"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96"/>
      <c r="U339" s="140"/>
      <c r="V339" s="140"/>
      <c r="W339" s="140"/>
      <c r="X339" s="140"/>
      <c r="Y339" s="140"/>
      <c r="Z339" s="140"/>
    </row>
    <row r="340" spans="1:26"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96"/>
      <c r="U340" s="140"/>
      <c r="V340" s="140"/>
      <c r="W340" s="140"/>
      <c r="X340" s="140"/>
      <c r="Y340" s="140"/>
      <c r="Z340" s="140"/>
    </row>
    <row r="341" spans="1:26"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96"/>
      <c r="U341" s="140"/>
      <c r="V341" s="140"/>
      <c r="W341" s="140"/>
      <c r="X341" s="140"/>
      <c r="Y341" s="140"/>
      <c r="Z341" s="140"/>
    </row>
    <row r="342" spans="1:26"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96"/>
      <c r="U342" s="140"/>
      <c r="V342" s="140"/>
      <c r="W342" s="140"/>
      <c r="X342" s="140"/>
      <c r="Y342" s="140"/>
      <c r="Z342" s="140"/>
    </row>
    <row r="343" spans="1:26"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96"/>
      <c r="U343" s="140"/>
      <c r="V343" s="140"/>
      <c r="W343" s="140"/>
      <c r="X343" s="140"/>
      <c r="Y343" s="140"/>
      <c r="Z343" s="140"/>
    </row>
    <row r="344" spans="1:26"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96"/>
      <c r="U344" s="140"/>
      <c r="V344" s="140"/>
      <c r="W344" s="140"/>
      <c r="X344" s="140"/>
      <c r="Y344" s="140"/>
      <c r="Z344" s="140"/>
    </row>
    <row r="345" spans="1:26"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96"/>
      <c r="U345" s="140"/>
      <c r="V345" s="140"/>
      <c r="W345" s="140"/>
      <c r="X345" s="140"/>
      <c r="Y345" s="140"/>
      <c r="Z345" s="140"/>
    </row>
    <row r="346" spans="1:26"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96"/>
      <c r="U346" s="140"/>
      <c r="V346" s="140"/>
      <c r="W346" s="140"/>
      <c r="X346" s="140"/>
      <c r="Y346" s="140"/>
      <c r="Z346" s="140"/>
    </row>
    <row r="347" spans="1:26"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96"/>
      <c r="U347" s="140"/>
      <c r="V347" s="140"/>
      <c r="W347" s="140"/>
      <c r="X347" s="140"/>
      <c r="Y347" s="140"/>
      <c r="Z347" s="140"/>
    </row>
    <row r="348" spans="1:26"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96"/>
      <c r="U348" s="140"/>
      <c r="V348" s="140"/>
      <c r="W348" s="140"/>
      <c r="X348" s="140"/>
      <c r="Y348" s="140"/>
      <c r="Z348" s="140"/>
    </row>
    <row r="349" spans="1:26"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96"/>
      <c r="U349" s="140"/>
      <c r="V349" s="140"/>
      <c r="W349" s="140"/>
      <c r="X349" s="140"/>
      <c r="Y349" s="140"/>
      <c r="Z349" s="140"/>
    </row>
    <row r="350" spans="1:26"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96"/>
      <c r="U350" s="140"/>
      <c r="V350" s="140"/>
      <c r="W350" s="140"/>
      <c r="X350" s="140"/>
      <c r="Y350" s="140"/>
      <c r="Z350" s="140"/>
    </row>
    <row r="351" spans="1:26"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96"/>
      <c r="U351" s="140"/>
      <c r="V351" s="140"/>
      <c r="W351" s="140"/>
      <c r="X351" s="140"/>
      <c r="Y351" s="140"/>
      <c r="Z351" s="140"/>
    </row>
    <row r="352" spans="1:26"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96"/>
      <c r="U352" s="140"/>
      <c r="V352" s="140"/>
      <c r="W352" s="140"/>
      <c r="X352" s="140"/>
      <c r="Y352" s="140"/>
      <c r="Z352" s="140"/>
    </row>
    <row r="353" spans="1:26"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96"/>
      <c r="U353" s="140"/>
      <c r="V353" s="140"/>
      <c r="W353" s="140"/>
      <c r="X353" s="140"/>
      <c r="Y353" s="140"/>
      <c r="Z353" s="140"/>
    </row>
    <row r="354" spans="1:26"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96"/>
      <c r="U354" s="140"/>
      <c r="V354" s="140"/>
      <c r="W354" s="140"/>
      <c r="X354" s="140"/>
      <c r="Y354" s="140"/>
      <c r="Z354" s="140"/>
    </row>
    <row r="355" spans="1:26"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96"/>
      <c r="U355" s="140"/>
      <c r="V355" s="140"/>
      <c r="W355" s="140"/>
      <c r="X355" s="140"/>
      <c r="Y355" s="140"/>
      <c r="Z355" s="140"/>
    </row>
    <row r="356" spans="1:26"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96"/>
      <c r="U356" s="140"/>
      <c r="V356" s="140"/>
      <c r="W356" s="140"/>
      <c r="X356" s="140"/>
      <c r="Y356" s="140"/>
      <c r="Z356" s="140"/>
    </row>
    <row r="357" spans="1:26"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96"/>
      <c r="U357" s="140"/>
      <c r="V357" s="140"/>
      <c r="W357" s="140"/>
      <c r="X357" s="140"/>
      <c r="Y357" s="140"/>
      <c r="Z357" s="140"/>
    </row>
    <row r="358" spans="1:26"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96"/>
      <c r="U358" s="140"/>
      <c r="V358" s="140"/>
      <c r="W358" s="140"/>
      <c r="X358" s="140"/>
      <c r="Y358" s="140"/>
      <c r="Z358" s="140"/>
    </row>
    <row r="359" spans="1:26"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96"/>
      <c r="U359" s="140"/>
      <c r="V359" s="140"/>
      <c r="W359" s="140"/>
      <c r="X359" s="140"/>
      <c r="Y359" s="140"/>
      <c r="Z359" s="140"/>
    </row>
    <row r="360" spans="1:26"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96"/>
      <c r="U360" s="140"/>
      <c r="V360" s="140"/>
      <c r="W360" s="140"/>
      <c r="X360" s="140"/>
      <c r="Y360" s="140"/>
      <c r="Z360" s="140"/>
    </row>
    <row r="361" spans="1:26"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96"/>
      <c r="U361" s="140"/>
      <c r="V361" s="140"/>
      <c r="W361" s="140"/>
      <c r="X361" s="140"/>
      <c r="Y361" s="140"/>
      <c r="Z361" s="140"/>
    </row>
    <row r="362" spans="1:26"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96"/>
      <c r="U362" s="140"/>
      <c r="V362" s="140"/>
      <c r="W362" s="140"/>
      <c r="X362" s="140"/>
      <c r="Y362" s="140"/>
      <c r="Z362" s="140"/>
    </row>
    <row r="363" spans="1:26"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96"/>
      <c r="U363" s="140"/>
      <c r="V363" s="140"/>
      <c r="W363" s="140"/>
      <c r="X363" s="140"/>
      <c r="Y363" s="140"/>
      <c r="Z363" s="140"/>
    </row>
    <row r="364" spans="1:26"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96"/>
      <c r="U364" s="140"/>
      <c r="V364" s="140"/>
      <c r="W364" s="140"/>
      <c r="X364" s="140"/>
      <c r="Y364" s="140"/>
      <c r="Z364" s="140"/>
    </row>
    <row r="365" spans="1:26"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96"/>
      <c r="U365" s="140"/>
      <c r="V365" s="140"/>
      <c r="W365" s="140"/>
      <c r="X365" s="140"/>
      <c r="Y365" s="140"/>
      <c r="Z365" s="140"/>
    </row>
    <row r="366" spans="1:26"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96"/>
      <c r="U366" s="140"/>
      <c r="V366" s="140"/>
      <c r="W366" s="140"/>
      <c r="X366" s="140"/>
      <c r="Y366" s="140"/>
      <c r="Z366" s="140"/>
    </row>
    <row r="367" spans="1:26"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96"/>
      <c r="U367" s="140"/>
      <c r="V367" s="140"/>
      <c r="W367" s="140"/>
      <c r="X367" s="140"/>
      <c r="Y367" s="140"/>
      <c r="Z367" s="140"/>
    </row>
    <row r="368" spans="1:26"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96"/>
      <c r="U368" s="140"/>
      <c r="V368" s="140"/>
      <c r="W368" s="140"/>
      <c r="X368" s="140"/>
      <c r="Y368" s="140"/>
      <c r="Z368" s="140"/>
    </row>
    <row r="369" spans="1:26"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96"/>
      <c r="U369" s="140"/>
      <c r="V369" s="140"/>
      <c r="W369" s="140"/>
      <c r="X369" s="140"/>
      <c r="Y369" s="140"/>
      <c r="Z369" s="140"/>
    </row>
    <row r="370" spans="1:26"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96"/>
      <c r="U370" s="140"/>
      <c r="V370" s="140"/>
      <c r="W370" s="140"/>
      <c r="X370" s="140"/>
      <c r="Y370" s="140"/>
      <c r="Z370" s="140"/>
    </row>
    <row r="371" spans="1:26"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96"/>
      <c r="U371" s="140"/>
      <c r="V371" s="140"/>
      <c r="W371" s="140"/>
      <c r="X371" s="140"/>
      <c r="Y371" s="140"/>
      <c r="Z371" s="140"/>
    </row>
    <row r="372" spans="1:26"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96"/>
      <c r="U372" s="140"/>
      <c r="V372" s="140"/>
      <c r="W372" s="140"/>
      <c r="X372" s="140"/>
      <c r="Y372" s="140"/>
      <c r="Z372" s="140"/>
    </row>
    <row r="373" spans="1:26"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96"/>
      <c r="U373" s="140"/>
      <c r="V373" s="140"/>
      <c r="W373" s="140"/>
      <c r="X373" s="140"/>
      <c r="Y373" s="140"/>
      <c r="Z373" s="140"/>
    </row>
    <row r="374" spans="1:26"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96"/>
      <c r="U374" s="140"/>
      <c r="V374" s="140"/>
      <c r="W374" s="140"/>
      <c r="X374" s="140"/>
      <c r="Y374" s="140"/>
      <c r="Z374" s="140"/>
    </row>
    <row r="375" spans="1:26"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96"/>
      <c r="U375" s="140"/>
      <c r="V375" s="140"/>
      <c r="W375" s="140"/>
      <c r="X375" s="140"/>
      <c r="Y375" s="140"/>
      <c r="Z375" s="140"/>
    </row>
    <row r="376" spans="1:26"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96"/>
      <c r="U376" s="140"/>
      <c r="V376" s="140"/>
      <c r="W376" s="140"/>
      <c r="X376" s="140"/>
      <c r="Y376" s="140"/>
      <c r="Z376" s="140"/>
    </row>
    <row r="377" spans="1:26"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96"/>
      <c r="U377" s="140"/>
      <c r="V377" s="140"/>
      <c r="W377" s="140"/>
      <c r="X377" s="140"/>
      <c r="Y377" s="140"/>
      <c r="Z377" s="140"/>
    </row>
    <row r="378" spans="1:26"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96"/>
      <c r="U378" s="140"/>
      <c r="V378" s="140"/>
      <c r="W378" s="140"/>
      <c r="X378" s="140"/>
      <c r="Y378" s="140"/>
      <c r="Z378" s="140"/>
    </row>
    <row r="379" spans="1:26"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96"/>
      <c r="U379" s="140"/>
      <c r="V379" s="140"/>
      <c r="W379" s="140"/>
      <c r="X379" s="140"/>
      <c r="Y379" s="140"/>
      <c r="Z379" s="140"/>
    </row>
    <row r="380" spans="1:26"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96"/>
      <c r="U380" s="140"/>
      <c r="V380" s="140"/>
      <c r="W380" s="140"/>
      <c r="X380" s="140"/>
      <c r="Y380" s="140"/>
      <c r="Z380" s="140"/>
    </row>
    <row r="381" spans="1:26"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96"/>
      <c r="U381" s="140"/>
      <c r="V381" s="140"/>
      <c r="W381" s="140"/>
      <c r="X381" s="140"/>
      <c r="Y381" s="140"/>
      <c r="Z381" s="140"/>
    </row>
    <row r="382" spans="1:26"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96"/>
      <c r="U382" s="140"/>
      <c r="V382" s="140"/>
      <c r="W382" s="140"/>
      <c r="X382" s="140"/>
      <c r="Y382" s="140"/>
      <c r="Z382" s="140"/>
    </row>
    <row r="383" spans="1:26"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96"/>
      <c r="U383" s="140"/>
      <c r="V383" s="140"/>
      <c r="W383" s="140"/>
      <c r="X383" s="140"/>
      <c r="Y383" s="140"/>
      <c r="Z383" s="140"/>
    </row>
    <row r="384" spans="1:26"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96"/>
      <c r="U384" s="140"/>
      <c r="V384" s="140"/>
      <c r="W384" s="140"/>
      <c r="X384" s="140"/>
      <c r="Y384" s="140"/>
      <c r="Z384" s="140"/>
    </row>
    <row r="385" spans="1:26"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96"/>
      <c r="U385" s="140"/>
      <c r="V385" s="140"/>
      <c r="W385" s="140"/>
      <c r="X385" s="140"/>
      <c r="Y385" s="140"/>
      <c r="Z385" s="140"/>
    </row>
    <row r="386" spans="1:26"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96"/>
      <c r="U386" s="140"/>
      <c r="V386" s="140"/>
      <c r="W386" s="140"/>
      <c r="X386" s="140"/>
      <c r="Y386" s="140"/>
      <c r="Z386" s="140"/>
    </row>
    <row r="387" spans="1:26"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96"/>
      <c r="U387" s="140"/>
      <c r="V387" s="140"/>
      <c r="W387" s="140"/>
      <c r="X387" s="140"/>
      <c r="Y387" s="140"/>
      <c r="Z387" s="140"/>
    </row>
    <row r="388" spans="1:26"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96"/>
      <c r="U388" s="140"/>
      <c r="V388" s="140"/>
      <c r="W388" s="140"/>
      <c r="X388" s="140"/>
      <c r="Y388" s="140"/>
      <c r="Z388" s="140"/>
    </row>
    <row r="389" spans="1:26"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96"/>
      <c r="U389" s="140"/>
      <c r="V389" s="140"/>
      <c r="W389" s="140"/>
      <c r="X389" s="140"/>
      <c r="Y389" s="140"/>
      <c r="Z389" s="140"/>
    </row>
    <row r="390" spans="1:26"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96"/>
      <c r="U390" s="140"/>
      <c r="V390" s="140"/>
      <c r="W390" s="140"/>
      <c r="X390" s="140"/>
      <c r="Y390" s="140"/>
      <c r="Z390" s="140"/>
    </row>
    <row r="391" spans="1:26"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96"/>
      <c r="U391" s="140"/>
      <c r="V391" s="140"/>
      <c r="W391" s="140"/>
      <c r="X391" s="140"/>
      <c r="Y391" s="140"/>
      <c r="Z391" s="140"/>
    </row>
    <row r="392" spans="1:26"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96"/>
      <c r="U392" s="140"/>
      <c r="V392" s="140"/>
      <c r="W392" s="140"/>
      <c r="X392" s="140"/>
      <c r="Y392" s="140"/>
      <c r="Z392" s="140"/>
    </row>
    <row r="393" spans="1:26"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96"/>
      <c r="U393" s="140"/>
      <c r="V393" s="140"/>
      <c r="W393" s="140"/>
      <c r="X393" s="140"/>
      <c r="Y393" s="140"/>
      <c r="Z393" s="140"/>
    </row>
    <row r="394" spans="1:26"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96"/>
      <c r="U394" s="140"/>
      <c r="V394" s="140"/>
      <c r="W394" s="140"/>
      <c r="X394" s="140"/>
      <c r="Y394" s="140"/>
      <c r="Z394" s="140"/>
    </row>
    <row r="395" spans="1:26"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96"/>
      <c r="U395" s="140"/>
      <c r="V395" s="140"/>
      <c r="W395" s="140"/>
      <c r="X395" s="140"/>
      <c r="Y395" s="140"/>
      <c r="Z395" s="140"/>
    </row>
    <row r="396" spans="1:26"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96"/>
      <c r="U396" s="140"/>
      <c r="V396" s="140"/>
      <c r="W396" s="140"/>
      <c r="X396" s="140"/>
      <c r="Y396" s="140"/>
      <c r="Z396" s="140"/>
    </row>
    <row r="397" spans="1:26"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96"/>
      <c r="U397" s="140"/>
      <c r="V397" s="140"/>
      <c r="W397" s="140"/>
      <c r="X397" s="140"/>
      <c r="Y397" s="140"/>
      <c r="Z397" s="140"/>
    </row>
    <row r="398" spans="1:26"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96"/>
      <c r="U398" s="140"/>
      <c r="V398" s="140"/>
      <c r="W398" s="140"/>
      <c r="X398" s="140"/>
      <c r="Y398" s="140"/>
      <c r="Z398" s="140"/>
    </row>
    <row r="399" spans="1:26"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96"/>
      <c r="U399" s="140"/>
      <c r="V399" s="140"/>
      <c r="W399" s="140"/>
      <c r="X399" s="140"/>
      <c r="Y399" s="140"/>
      <c r="Z399" s="140"/>
    </row>
    <row r="400" spans="1:26"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96"/>
      <c r="U400" s="140"/>
      <c r="V400" s="140"/>
      <c r="W400" s="140"/>
      <c r="X400" s="140"/>
      <c r="Y400" s="140"/>
      <c r="Z400" s="140"/>
    </row>
    <row r="401" spans="1:26"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96"/>
      <c r="U401" s="140"/>
      <c r="V401" s="140"/>
      <c r="W401" s="140"/>
      <c r="X401" s="140"/>
      <c r="Y401" s="140"/>
      <c r="Z401" s="140"/>
    </row>
    <row r="402" spans="1:26"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96"/>
      <c r="U402" s="140"/>
      <c r="V402" s="140"/>
      <c r="W402" s="140"/>
      <c r="X402" s="140"/>
      <c r="Y402" s="140"/>
      <c r="Z402" s="140"/>
    </row>
    <row r="403" spans="1:26"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96"/>
      <c r="U403" s="140"/>
      <c r="V403" s="140"/>
      <c r="W403" s="140"/>
      <c r="X403" s="140"/>
      <c r="Y403" s="140"/>
      <c r="Z403" s="140"/>
    </row>
    <row r="404" spans="1:26"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96"/>
      <c r="U404" s="140"/>
      <c r="V404" s="140"/>
      <c r="W404" s="140"/>
      <c r="X404" s="140"/>
      <c r="Y404" s="140"/>
      <c r="Z404" s="140"/>
    </row>
    <row r="405" spans="1:26"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96"/>
      <c r="U405" s="140"/>
      <c r="V405" s="140"/>
      <c r="W405" s="140"/>
      <c r="X405" s="140"/>
      <c r="Y405" s="140"/>
      <c r="Z405" s="140"/>
    </row>
    <row r="406" spans="1:26"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96"/>
      <c r="U406" s="140"/>
      <c r="V406" s="140"/>
      <c r="W406" s="140"/>
      <c r="X406" s="140"/>
      <c r="Y406" s="140"/>
      <c r="Z406" s="140"/>
    </row>
    <row r="407" spans="1:26"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96"/>
      <c r="U407" s="140"/>
      <c r="V407" s="140"/>
      <c r="W407" s="140"/>
      <c r="X407" s="140"/>
      <c r="Y407" s="140"/>
      <c r="Z407" s="140"/>
    </row>
    <row r="408" spans="1:26"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96"/>
      <c r="U408" s="140"/>
      <c r="V408" s="140"/>
      <c r="W408" s="140"/>
      <c r="X408" s="140"/>
      <c r="Y408" s="140"/>
      <c r="Z408" s="140"/>
    </row>
    <row r="409" spans="1:26"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96"/>
      <c r="U409" s="140"/>
      <c r="V409" s="140"/>
      <c r="W409" s="140"/>
      <c r="X409" s="140"/>
      <c r="Y409" s="140"/>
      <c r="Z409" s="140"/>
    </row>
    <row r="410" spans="1:26"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96"/>
      <c r="U410" s="140"/>
      <c r="V410" s="140"/>
      <c r="W410" s="140"/>
      <c r="X410" s="140"/>
      <c r="Y410" s="140"/>
      <c r="Z410" s="140"/>
    </row>
    <row r="411" spans="1:26"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96"/>
      <c r="U411" s="140"/>
      <c r="V411" s="140"/>
      <c r="W411" s="140"/>
      <c r="X411" s="140"/>
      <c r="Y411" s="140"/>
      <c r="Z411" s="140"/>
    </row>
    <row r="412" spans="1:26"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96"/>
      <c r="U412" s="140"/>
      <c r="V412" s="140"/>
      <c r="W412" s="140"/>
      <c r="X412" s="140"/>
      <c r="Y412" s="140"/>
      <c r="Z412" s="140"/>
    </row>
    <row r="413" spans="1:26"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96"/>
      <c r="U413" s="140"/>
      <c r="V413" s="140"/>
      <c r="W413" s="140"/>
      <c r="X413" s="140"/>
      <c r="Y413" s="140"/>
      <c r="Z413" s="140"/>
    </row>
    <row r="414" spans="1:26"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96"/>
      <c r="U414" s="140"/>
      <c r="V414" s="140"/>
      <c r="W414" s="140"/>
      <c r="X414" s="140"/>
      <c r="Y414" s="140"/>
      <c r="Z414" s="140"/>
    </row>
    <row r="415" spans="1:26"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96"/>
      <c r="U415" s="140"/>
      <c r="V415" s="140"/>
      <c r="W415" s="140"/>
      <c r="X415" s="140"/>
      <c r="Y415" s="140"/>
      <c r="Z415" s="140"/>
    </row>
    <row r="416" spans="1:26"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96"/>
      <c r="U416" s="140"/>
      <c r="V416" s="140"/>
      <c r="W416" s="140"/>
      <c r="X416" s="140"/>
      <c r="Y416" s="140"/>
      <c r="Z416" s="140"/>
    </row>
    <row r="417" spans="1:26"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96"/>
      <c r="U417" s="140"/>
      <c r="V417" s="140"/>
      <c r="W417" s="140"/>
      <c r="X417" s="140"/>
      <c r="Y417" s="140"/>
      <c r="Z417" s="140"/>
    </row>
    <row r="418" spans="1:26"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96"/>
      <c r="U418" s="140"/>
      <c r="V418" s="140"/>
      <c r="W418" s="140"/>
      <c r="X418" s="140"/>
      <c r="Y418" s="140"/>
      <c r="Z418" s="140"/>
    </row>
    <row r="419" spans="1:26"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96"/>
      <c r="U419" s="140"/>
      <c r="V419" s="140"/>
      <c r="W419" s="140"/>
      <c r="X419" s="140"/>
      <c r="Y419" s="140"/>
      <c r="Z419" s="140"/>
    </row>
    <row r="420" spans="1:26"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96"/>
      <c r="U420" s="140"/>
      <c r="V420" s="140"/>
      <c r="W420" s="140"/>
      <c r="X420" s="140"/>
      <c r="Y420" s="140"/>
      <c r="Z420" s="140"/>
    </row>
    <row r="421" spans="1:26"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96"/>
      <c r="U421" s="140"/>
      <c r="V421" s="140"/>
      <c r="W421" s="140"/>
      <c r="X421" s="140"/>
      <c r="Y421" s="140"/>
      <c r="Z421" s="140"/>
    </row>
    <row r="422" spans="1:26"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96"/>
      <c r="U422" s="140"/>
      <c r="V422" s="140"/>
      <c r="W422" s="140"/>
      <c r="X422" s="140"/>
      <c r="Y422" s="140"/>
      <c r="Z422" s="140"/>
    </row>
    <row r="423" spans="1:26"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96"/>
      <c r="U423" s="140"/>
      <c r="V423" s="140"/>
      <c r="W423" s="140"/>
      <c r="X423" s="140"/>
      <c r="Y423" s="140"/>
      <c r="Z423" s="140"/>
    </row>
    <row r="424" spans="1:26"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96"/>
      <c r="U424" s="140"/>
      <c r="V424" s="140"/>
      <c r="W424" s="140"/>
      <c r="X424" s="140"/>
      <c r="Y424" s="140"/>
      <c r="Z424" s="140"/>
    </row>
    <row r="425" spans="1:26"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96"/>
      <c r="U425" s="140"/>
      <c r="V425" s="140"/>
      <c r="W425" s="140"/>
      <c r="X425" s="140"/>
      <c r="Y425" s="140"/>
      <c r="Z425" s="140"/>
    </row>
    <row r="426" spans="1:26"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96"/>
      <c r="U426" s="140"/>
      <c r="V426" s="140"/>
      <c r="W426" s="140"/>
      <c r="X426" s="140"/>
      <c r="Y426" s="140"/>
      <c r="Z426" s="140"/>
    </row>
    <row r="427" spans="1:26"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96"/>
      <c r="U427" s="140"/>
      <c r="V427" s="140"/>
      <c r="W427" s="140"/>
      <c r="X427" s="140"/>
      <c r="Y427" s="140"/>
      <c r="Z427" s="140"/>
    </row>
    <row r="428" spans="1:26"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96"/>
      <c r="U428" s="140"/>
      <c r="V428" s="140"/>
      <c r="W428" s="140"/>
      <c r="X428" s="140"/>
      <c r="Y428" s="140"/>
      <c r="Z428" s="140"/>
    </row>
    <row r="429" spans="1:26"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96"/>
      <c r="U429" s="140"/>
      <c r="V429" s="140"/>
      <c r="W429" s="140"/>
      <c r="X429" s="140"/>
      <c r="Y429" s="140"/>
      <c r="Z429" s="140"/>
    </row>
    <row r="430" spans="1:26"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96"/>
      <c r="U430" s="140"/>
      <c r="V430" s="140"/>
      <c r="W430" s="140"/>
      <c r="X430" s="140"/>
      <c r="Y430" s="140"/>
      <c r="Z430" s="140"/>
    </row>
    <row r="431" spans="1:26"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96"/>
      <c r="U431" s="140"/>
      <c r="V431" s="140"/>
      <c r="W431" s="140"/>
      <c r="X431" s="140"/>
      <c r="Y431" s="140"/>
      <c r="Z431" s="140"/>
    </row>
    <row r="432" spans="1:26"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96"/>
      <c r="U432" s="140"/>
      <c r="V432" s="140"/>
      <c r="W432" s="140"/>
      <c r="X432" s="140"/>
      <c r="Y432" s="140"/>
      <c r="Z432" s="140"/>
    </row>
    <row r="433" spans="1:26"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96"/>
      <c r="U433" s="140"/>
      <c r="V433" s="140"/>
      <c r="W433" s="140"/>
      <c r="X433" s="140"/>
      <c r="Y433" s="140"/>
      <c r="Z433" s="140"/>
    </row>
    <row r="434" spans="1:26"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96"/>
      <c r="U434" s="140"/>
      <c r="V434" s="140"/>
      <c r="W434" s="140"/>
      <c r="X434" s="140"/>
      <c r="Y434" s="140"/>
      <c r="Z434" s="140"/>
    </row>
    <row r="435" spans="1:26"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96"/>
      <c r="U435" s="140"/>
      <c r="V435" s="140"/>
      <c r="W435" s="140"/>
      <c r="X435" s="140"/>
      <c r="Y435" s="140"/>
      <c r="Z435" s="140"/>
    </row>
    <row r="436" spans="1:26"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96"/>
      <c r="U436" s="140"/>
      <c r="V436" s="140"/>
      <c r="W436" s="140"/>
      <c r="X436" s="140"/>
      <c r="Y436" s="140"/>
      <c r="Z436" s="140"/>
    </row>
    <row r="437" spans="1:26"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96"/>
      <c r="U437" s="140"/>
      <c r="V437" s="140"/>
      <c r="W437" s="140"/>
      <c r="X437" s="140"/>
      <c r="Y437" s="140"/>
      <c r="Z437" s="140"/>
    </row>
    <row r="438" spans="1:26"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96"/>
      <c r="U438" s="140"/>
      <c r="V438" s="140"/>
      <c r="W438" s="140"/>
      <c r="X438" s="140"/>
      <c r="Y438" s="140"/>
      <c r="Z438" s="140"/>
    </row>
    <row r="439" spans="1:26"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96"/>
      <c r="U439" s="140"/>
      <c r="V439" s="140"/>
      <c r="W439" s="140"/>
      <c r="X439" s="140"/>
      <c r="Y439" s="140"/>
      <c r="Z439" s="140"/>
    </row>
    <row r="440" spans="1:26"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96"/>
      <c r="U440" s="140"/>
      <c r="V440" s="140"/>
      <c r="W440" s="140"/>
      <c r="X440" s="140"/>
      <c r="Y440" s="140"/>
      <c r="Z440" s="140"/>
    </row>
    <row r="441" spans="1:26"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96"/>
      <c r="U441" s="140"/>
      <c r="V441" s="140"/>
      <c r="W441" s="140"/>
      <c r="X441" s="140"/>
      <c r="Y441" s="140"/>
      <c r="Z441" s="140"/>
    </row>
    <row r="442" spans="1:26"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96"/>
      <c r="U442" s="140"/>
      <c r="V442" s="140"/>
      <c r="W442" s="140"/>
      <c r="X442" s="140"/>
      <c r="Y442" s="140"/>
      <c r="Z442" s="140"/>
    </row>
    <row r="443" spans="1:26"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96"/>
      <c r="U443" s="140"/>
      <c r="V443" s="140"/>
      <c r="W443" s="140"/>
      <c r="X443" s="140"/>
      <c r="Y443" s="140"/>
      <c r="Z443" s="140"/>
    </row>
    <row r="444" spans="1:26"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96"/>
      <c r="U444" s="140"/>
      <c r="V444" s="140"/>
      <c r="W444" s="140"/>
      <c r="X444" s="140"/>
      <c r="Y444" s="140"/>
      <c r="Z444" s="140"/>
    </row>
    <row r="445" spans="1:26"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96"/>
      <c r="U445" s="140"/>
      <c r="V445" s="140"/>
      <c r="W445" s="140"/>
      <c r="X445" s="140"/>
      <c r="Y445" s="140"/>
      <c r="Z445" s="140"/>
    </row>
    <row r="446" spans="1:26"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96"/>
      <c r="U446" s="140"/>
      <c r="V446" s="140"/>
      <c r="W446" s="140"/>
      <c r="X446" s="140"/>
      <c r="Y446" s="140"/>
      <c r="Z446" s="140"/>
    </row>
    <row r="447" spans="1:26"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96"/>
      <c r="U447" s="140"/>
      <c r="V447" s="140"/>
      <c r="W447" s="140"/>
      <c r="X447" s="140"/>
      <c r="Y447" s="140"/>
      <c r="Z447" s="140"/>
    </row>
    <row r="448" spans="1:26"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96"/>
      <c r="U448" s="140"/>
      <c r="V448" s="140"/>
      <c r="W448" s="140"/>
      <c r="X448" s="140"/>
      <c r="Y448" s="140"/>
      <c r="Z448" s="140"/>
    </row>
    <row r="449" spans="1:26"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96"/>
      <c r="U449" s="140"/>
      <c r="V449" s="140"/>
      <c r="W449" s="140"/>
      <c r="X449" s="140"/>
      <c r="Y449" s="140"/>
      <c r="Z449" s="140"/>
    </row>
    <row r="450" spans="1:26"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96"/>
      <c r="U450" s="140"/>
      <c r="V450" s="140"/>
      <c r="W450" s="140"/>
      <c r="X450" s="140"/>
      <c r="Y450" s="140"/>
      <c r="Z450" s="140"/>
    </row>
    <row r="451" spans="1:26"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96"/>
      <c r="U451" s="140"/>
      <c r="V451" s="140"/>
      <c r="W451" s="140"/>
      <c r="X451" s="140"/>
      <c r="Y451" s="140"/>
      <c r="Z451" s="140"/>
    </row>
    <row r="452" spans="1:26"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96"/>
      <c r="U452" s="140"/>
      <c r="V452" s="140"/>
      <c r="W452" s="140"/>
      <c r="X452" s="140"/>
      <c r="Y452" s="140"/>
      <c r="Z452" s="140"/>
    </row>
    <row r="453" spans="1:26"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96"/>
      <c r="U453" s="140"/>
      <c r="V453" s="140"/>
      <c r="W453" s="140"/>
      <c r="X453" s="140"/>
      <c r="Y453" s="140"/>
      <c r="Z453" s="140"/>
    </row>
    <row r="454" spans="1:26"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96"/>
      <c r="U454" s="140"/>
      <c r="V454" s="140"/>
      <c r="W454" s="140"/>
      <c r="X454" s="140"/>
      <c r="Y454" s="140"/>
      <c r="Z454" s="140"/>
    </row>
    <row r="455" spans="1:26"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96"/>
      <c r="U455" s="140"/>
      <c r="V455" s="140"/>
      <c r="W455" s="140"/>
      <c r="X455" s="140"/>
      <c r="Y455" s="140"/>
      <c r="Z455" s="140"/>
    </row>
    <row r="456" spans="1:26"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96"/>
      <c r="U456" s="140"/>
      <c r="V456" s="140"/>
      <c r="W456" s="140"/>
      <c r="X456" s="140"/>
      <c r="Y456" s="140"/>
      <c r="Z456" s="140"/>
    </row>
    <row r="457" spans="1:26"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96"/>
      <c r="U457" s="140"/>
      <c r="V457" s="140"/>
      <c r="W457" s="140"/>
      <c r="X457" s="140"/>
      <c r="Y457" s="140"/>
      <c r="Z457" s="140"/>
    </row>
    <row r="458" spans="1:26"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96"/>
      <c r="U458" s="140"/>
      <c r="V458" s="140"/>
      <c r="W458" s="140"/>
      <c r="X458" s="140"/>
      <c r="Y458" s="140"/>
      <c r="Z458" s="140"/>
    </row>
    <row r="459" spans="1:26"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96"/>
      <c r="U459" s="140"/>
      <c r="V459" s="140"/>
      <c r="W459" s="140"/>
      <c r="X459" s="140"/>
      <c r="Y459" s="140"/>
      <c r="Z459" s="140"/>
    </row>
    <row r="460" spans="1:26"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96"/>
      <c r="U460" s="140"/>
      <c r="V460" s="140"/>
      <c r="W460" s="140"/>
      <c r="X460" s="140"/>
      <c r="Y460" s="140"/>
      <c r="Z460" s="140"/>
    </row>
    <row r="461" spans="1:26"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96"/>
      <c r="U461" s="140"/>
      <c r="V461" s="140"/>
      <c r="W461" s="140"/>
      <c r="X461" s="140"/>
      <c r="Y461" s="140"/>
      <c r="Z461" s="140"/>
    </row>
    <row r="462" spans="1:26"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96"/>
      <c r="U462" s="140"/>
      <c r="V462" s="140"/>
      <c r="W462" s="140"/>
      <c r="X462" s="140"/>
      <c r="Y462" s="140"/>
      <c r="Z462" s="140"/>
    </row>
    <row r="463" spans="1:26"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96"/>
      <c r="U463" s="140"/>
      <c r="V463" s="140"/>
      <c r="W463" s="140"/>
      <c r="X463" s="140"/>
      <c r="Y463" s="140"/>
      <c r="Z463" s="140"/>
    </row>
    <row r="464" spans="1:26"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96"/>
      <c r="U464" s="140"/>
      <c r="V464" s="140"/>
      <c r="W464" s="140"/>
      <c r="X464" s="140"/>
      <c r="Y464" s="140"/>
      <c r="Z464" s="140"/>
    </row>
    <row r="465" spans="1:26"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96"/>
      <c r="U465" s="140"/>
      <c r="V465" s="140"/>
      <c r="W465" s="140"/>
      <c r="X465" s="140"/>
      <c r="Y465" s="140"/>
      <c r="Z465" s="140"/>
    </row>
    <row r="466" spans="1:26"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96"/>
      <c r="U466" s="140"/>
      <c r="V466" s="140"/>
      <c r="W466" s="140"/>
      <c r="X466" s="140"/>
      <c r="Y466" s="140"/>
      <c r="Z466" s="140"/>
    </row>
    <row r="467" spans="1:26"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96"/>
      <c r="U467" s="140"/>
      <c r="V467" s="140"/>
      <c r="W467" s="140"/>
      <c r="X467" s="140"/>
      <c r="Y467" s="140"/>
      <c r="Z467" s="140"/>
    </row>
    <row r="468" spans="1:26"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96"/>
      <c r="U468" s="140"/>
      <c r="V468" s="140"/>
      <c r="W468" s="140"/>
      <c r="X468" s="140"/>
      <c r="Y468" s="140"/>
      <c r="Z468" s="140"/>
    </row>
    <row r="469" spans="1:26"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96"/>
      <c r="U469" s="140"/>
      <c r="V469" s="140"/>
      <c r="W469" s="140"/>
      <c r="X469" s="140"/>
      <c r="Y469" s="140"/>
      <c r="Z469" s="140"/>
    </row>
    <row r="470" spans="1:26"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96"/>
      <c r="U470" s="140"/>
      <c r="V470" s="140"/>
      <c r="W470" s="140"/>
      <c r="X470" s="140"/>
      <c r="Y470" s="140"/>
      <c r="Z470" s="140"/>
    </row>
    <row r="471" spans="1:26"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96"/>
      <c r="U471" s="140"/>
      <c r="V471" s="140"/>
      <c r="W471" s="140"/>
      <c r="X471" s="140"/>
      <c r="Y471" s="140"/>
      <c r="Z471" s="140"/>
    </row>
    <row r="472" spans="1:26"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96"/>
      <c r="U472" s="140"/>
      <c r="V472" s="140"/>
      <c r="W472" s="140"/>
      <c r="X472" s="140"/>
      <c r="Y472" s="140"/>
      <c r="Z472" s="140"/>
    </row>
    <row r="473" spans="1:26"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96"/>
      <c r="U473" s="140"/>
      <c r="V473" s="140"/>
      <c r="W473" s="140"/>
      <c r="X473" s="140"/>
      <c r="Y473" s="140"/>
      <c r="Z473" s="140"/>
    </row>
    <row r="474" spans="1:26"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96"/>
      <c r="U474" s="140"/>
      <c r="V474" s="140"/>
      <c r="W474" s="140"/>
      <c r="X474" s="140"/>
      <c r="Y474" s="140"/>
      <c r="Z474" s="140"/>
    </row>
    <row r="475" spans="1:26"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96"/>
      <c r="U475" s="140"/>
      <c r="V475" s="140"/>
      <c r="W475" s="140"/>
      <c r="X475" s="140"/>
      <c r="Y475" s="140"/>
      <c r="Z475" s="140"/>
    </row>
    <row r="476" spans="1:26"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96"/>
      <c r="U476" s="140"/>
      <c r="V476" s="140"/>
      <c r="W476" s="140"/>
      <c r="X476" s="140"/>
      <c r="Y476" s="140"/>
      <c r="Z476" s="140"/>
    </row>
    <row r="477" spans="1:26"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96"/>
      <c r="U477" s="140"/>
      <c r="V477" s="140"/>
      <c r="W477" s="140"/>
      <c r="X477" s="140"/>
      <c r="Y477" s="140"/>
      <c r="Z477" s="140"/>
    </row>
    <row r="478" spans="1:26"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96"/>
      <c r="U478" s="140"/>
      <c r="V478" s="140"/>
      <c r="W478" s="140"/>
      <c r="X478" s="140"/>
      <c r="Y478" s="140"/>
      <c r="Z478" s="140"/>
    </row>
    <row r="479" spans="1:26"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96"/>
      <c r="U479" s="140"/>
      <c r="V479" s="140"/>
      <c r="W479" s="140"/>
      <c r="X479" s="140"/>
      <c r="Y479" s="140"/>
      <c r="Z479" s="140"/>
    </row>
    <row r="480" spans="1:26"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96"/>
      <c r="U480" s="140"/>
      <c r="V480" s="140"/>
      <c r="W480" s="140"/>
      <c r="X480" s="140"/>
      <c r="Y480" s="140"/>
      <c r="Z480" s="140"/>
    </row>
    <row r="481" spans="1:26"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96"/>
      <c r="U481" s="140"/>
      <c r="V481" s="140"/>
      <c r="W481" s="140"/>
      <c r="X481" s="140"/>
      <c r="Y481" s="140"/>
      <c r="Z481" s="140"/>
    </row>
    <row r="482" spans="1:26"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96"/>
      <c r="U482" s="140"/>
      <c r="V482" s="140"/>
      <c r="W482" s="140"/>
      <c r="X482" s="140"/>
      <c r="Y482" s="140"/>
      <c r="Z482" s="140"/>
    </row>
    <row r="483" spans="1:26"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96"/>
      <c r="U483" s="140"/>
      <c r="V483" s="140"/>
      <c r="W483" s="140"/>
      <c r="X483" s="140"/>
      <c r="Y483" s="140"/>
      <c r="Z483" s="140"/>
    </row>
    <row r="484" spans="1:26"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96"/>
      <c r="U484" s="140"/>
      <c r="V484" s="140"/>
      <c r="W484" s="140"/>
      <c r="X484" s="140"/>
      <c r="Y484" s="140"/>
      <c r="Z484" s="140"/>
    </row>
    <row r="485" spans="1:26"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96"/>
      <c r="U485" s="140"/>
      <c r="V485" s="140"/>
      <c r="W485" s="140"/>
      <c r="X485" s="140"/>
      <c r="Y485" s="140"/>
      <c r="Z485" s="140"/>
    </row>
    <row r="486" spans="1:26"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96"/>
      <c r="U486" s="140"/>
      <c r="V486" s="140"/>
      <c r="W486" s="140"/>
      <c r="X486" s="140"/>
      <c r="Y486" s="140"/>
      <c r="Z486" s="140"/>
    </row>
    <row r="487" spans="1:26"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96"/>
      <c r="U487" s="140"/>
      <c r="V487" s="140"/>
      <c r="W487" s="140"/>
      <c r="X487" s="140"/>
      <c r="Y487" s="140"/>
      <c r="Z487" s="140"/>
    </row>
    <row r="488" spans="1:26"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96"/>
      <c r="U488" s="140"/>
      <c r="V488" s="140"/>
      <c r="W488" s="140"/>
      <c r="X488" s="140"/>
      <c r="Y488" s="140"/>
      <c r="Z488" s="140"/>
    </row>
    <row r="489" spans="1:26"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96"/>
      <c r="U489" s="140"/>
      <c r="V489" s="140"/>
      <c r="W489" s="140"/>
      <c r="X489" s="140"/>
      <c r="Y489" s="140"/>
      <c r="Z489" s="140"/>
    </row>
    <row r="490" spans="1:26"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96"/>
      <c r="U490" s="140"/>
      <c r="V490" s="140"/>
      <c r="W490" s="140"/>
      <c r="X490" s="140"/>
      <c r="Y490" s="140"/>
      <c r="Z490" s="140"/>
    </row>
    <row r="491" spans="1:26"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96"/>
      <c r="U491" s="140"/>
      <c r="V491" s="140"/>
      <c r="W491" s="140"/>
      <c r="X491" s="140"/>
      <c r="Y491" s="140"/>
      <c r="Z491" s="140"/>
    </row>
    <row r="492" spans="1:26"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96"/>
      <c r="U492" s="140"/>
      <c r="V492" s="140"/>
      <c r="W492" s="140"/>
      <c r="X492" s="140"/>
      <c r="Y492" s="140"/>
      <c r="Z492" s="140"/>
    </row>
    <row r="493" spans="1:26"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96"/>
      <c r="U493" s="140"/>
      <c r="V493" s="140"/>
      <c r="W493" s="140"/>
      <c r="X493" s="140"/>
      <c r="Y493" s="140"/>
      <c r="Z493" s="140"/>
    </row>
    <row r="494" spans="1:26"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96"/>
      <c r="U494" s="140"/>
      <c r="V494" s="140"/>
      <c r="W494" s="140"/>
      <c r="X494" s="140"/>
      <c r="Y494" s="140"/>
      <c r="Z494" s="140"/>
    </row>
    <row r="495" spans="1:26"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96"/>
      <c r="U495" s="140"/>
      <c r="V495" s="140"/>
      <c r="W495" s="140"/>
      <c r="X495" s="140"/>
      <c r="Y495" s="140"/>
      <c r="Z495" s="140"/>
    </row>
    <row r="496" spans="1:26"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96"/>
      <c r="U496" s="140"/>
      <c r="V496" s="140"/>
      <c r="W496" s="140"/>
      <c r="X496" s="140"/>
      <c r="Y496" s="140"/>
      <c r="Z496" s="140"/>
    </row>
    <row r="497" spans="1:26"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96"/>
      <c r="U497" s="140"/>
      <c r="V497" s="140"/>
      <c r="W497" s="140"/>
      <c r="X497" s="140"/>
      <c r="Y497" s="140"/>
      <c r="Z497" s="140"/>
    </row>
    <row r="498" spans="1:26"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96"/>
      <c r="U498" s="140"/>
      <c r="V498" s="140"/>
      <c r="W498" s="140"/>
      <c r="X498" s="140"/>
      <c r="Y498" s="140"/>
      <c r="Z498" s="140"/>
    </row>
    <row r="499" spans="1:26"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96"/>
      <c r="U499" s="140"/>
      <c r="V499" s="140"/>
      <c r="W499" s="140"/>
      <c r="X499" s="140"/>
      <c r="Y499" s="140"/>
      <c r="Z499" s="140"/>
    </row>
    <row r="500" spans="1:26"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96"/>
      <c r="U500" s="140"/>
      <c r="V500" s="140"/>
      <c r="W500" s="140"/>
      <c r="X500" s="140"/>
      <c r="Y500" s="140"/>
      <c r="Z500" s="140"/>
    </row>
    <row r="501" spans="1:26"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96"/>
      <c r="U501" s="140"/>
      <c r="V501" s="140"/>
      <c r="W501" s="140"/>
      <c r="X501" s="140"/>
      <c r="Y501" s="140"/>
      <c r="Z501" s="140"/>
    </row>
    <row r="502" spans="1:26"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96"/>
      <c r="U502" s="140"/>
      <c r="V502" s="140"/>
      <c r="W502" s="140"/>
      <c r="X502" s="140"/>
      <c r="Y502" s="140"/>
      <c r="Z502" s="140"/>
    </row>
    <row r="503" spans="1:26"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96"/>
      <c r="U503" s="140"/>
      <c r="V503" s="140"/>
      <c r="W503" s="140"/>
      <c r="X503" s="140"/>
      <c r="Y503" s="140"/>
      <c r="Z503" s="140"/>
    </row>
    <row r="504" spans="1:26"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96"/>
      <c r="U504" s="140"/>
      <c r="V504" s="140"/>
      <c r="W504" s="140"/>
      <c r="X504" s="140"/>
      <c r="Y504" s="140"/>
      <c r="Z504" s="140"/>
    </row>
    <row r="505" spans="1:26"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96"/>
      <c r="U505" s="140"/>
      <c r="V505" s="140"/>
      <c r="W505" s="140"/>
      <c r="X505" s="140"/>
      <c r="Y505" s="140"/>
      <c r="Z505" s="140"/>
    </row>
    <row r="506" spans="1:26"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96"/>
      <c r="U506" s="140"/>
      <c r="V506" s="140"/>
      <c r="W506" s="140"/>
      <c r="X506" s="140"/>
      <c r="Y506" s="140"/>
      <c r="Z506" s="140"/>
    </row>
    <row r="507" spans="1:26"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96"/>
      <c r="U507" s="140"/>
      <c r="V507" s="140"/>
      <c r="W507" s="140"/>
      <c r="X507" s="140"/>
      <c r="Y507" s="140"/>
      <c r="Z507" s="140"/>
    </row>
    <row r="508" spans="1:26"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96"/>
      <c r="U508" s="140"/>
      <c r="V508" s="140"/>
      <c r="W508" s="140"/>
      <c r="X508" s="140"/>
      <c r="Y508" s="140"/>
      <c r="Z508" s="140"/>
    </row>
    <row r="509" spans="1:26"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96"/>
      <c r="U509" s="140"/>
      <c r="V509" s="140"/>
      <c r="W509" s="140"/>
      <c r="X509" s="140"/>
      <c r="Y509" s="140"/>
      <c r="Z509" s="140"/>
    </row>
    <row r="510" spans="1:26"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96"/>
      <c r="U510" s="140"/>
      <c r="V510" s="140"/>
      <c r="W510" s="140"/>
      <c r="X510" s="140"/>
      <c r="Y510" s="140"/>
      <c r="Z510" s="140"/>
    </row>
    <row r="511" spans="1:26"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96"/>
      <c r="U511" s="140"/>
      <c r="V511" s="140"/>
      <c r="W511" s="140"/>
      <c r="X511" s="140"/>
      <c r="Y511" s="140"/>
      <c r="Z511" s="140"/>
    </row>
    <row r="512" spans="1:26"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96"/>
      <c r="U512" s="140"/>
      <c r="V512" s="140"/>
      <c r="W512" s="140"/>
      <c r="X512" s="140"/>
      <c r="Y512" s="140"/>
      <c r="Z512" s="140"/>
    </row>
    <row r="513" spans="1:26"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96"/>
      <c r="U513" s="140"/>
      <c r="V513" s="140"/>
      <c r="W513" s="140"/>
      <c r="X513" s="140"/>
      <c r="Y513" s="140"/>
      <c r="Z513" s="140"/>
    </row>
    <row r="514" spans="1:26"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96"/>
      <c r="U514" s="140"/>
      <c r="V514" s="140"/>
      <c r="W514" s="140"/>
      <c r="X514" s="140"/>
      <c r="Y514" s="140"/>
      <c r="Z514" s="140"/>
    </row>
    <row r="515" spans="1:26"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96"/>
      <c r="U515" s="140"/>
      <c r="V515" s="140"/>
      <c r="W515" s="140"/>
      <c r="X515" s="140"/>
      <c r="Y515" s="140"/>
      <c r="Z515" s="140"/>
    </row>
    <row r="516" spans="1:26"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96"/>
      <c r="U516" s="140"/>
      <c r="V516" s="140"/>
      <c r="W516" s="140"/>
      <c r="X516" s="140"/>
      <c r="Y516" s="140"/>
      <c r="Z516" s="140"/>
    </row>
    <row r="517" spans="1:26"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96"/>
      <c r="U517" s="140"/>
      <c r="V517" s="140"/>
      <c r="W517" s="140"/>
      <c r="X517" s="140"/>
      <c r="Y517" s="140"/>
      <c r="Z517" s="140"/>
    </row>
    <row r="518" spans="1:26"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96"/>
      <c r="U518" s="140"/>
      <c r="V518" s="140"/>
      <c r="W518" s="140"/>
      <c r="X518" s="140"/>
      <c r="Y518" s="140"/>
      <c r="Z518" s="140"/>
    </row>
    <row r="519" spans="1:26"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96"/>
      <c r="U519" s="140"/>
      <c r="V519" s="140"/>
      <c r="W519" s="140"/>
      <c r="X519" s="140"/>
      <c r="Y519" s="140"/>
      <c r="Z519" s="140"/>
    </row>
    <row r="520" spans="1:26"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96"/>
      <c r="U520" s="140"/>
      <c r="V520" s="140"/>
      <c r="W520" s="140"/>
      <c r="X520" s="140"/>
      <c r="Y520" s="140"/>
      <c r="Z520" s="140"/>
    </row>
    <row r="521" spans="1:26"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96"/>
      <c r="U521" s="140"/>
      <c r="V521" s="140"/>
      <c r="W521" s="140"/>
      <c r="X521" s="140"/>
      <c r="Y521" s="140"/>
      <c r="Z521" s="140"/>
    </row>
    <row r="522" spans="1:26"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96"/>
      <c r="U522" s="140"/>
      <c r="V522" s="140"/>
      <c r="W522" s="140"/>
      <c r="X522" s="140"/>
      <c r="Y522" s="140"/>
      <c r="Z522" s="140"/>
    </row>
    <row r="523" spans="1:26"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96"/>
      <c r="U523" s="140"/>
      <c r="V523" s="140"/>
      <c r="W523" s="140"/>
      <c r="X523" s="140"/>
      <c r="Y523" s="140"/>
      <c r="Z523" s="140"/>
    </row>
    <row r="524" spans="1:26"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96"/>
      <c r="U524" s="140"/>
      <c r="V524" s="140"/>
      <c r="W524" s="140"/>
      <c r="X524" s="140"/>
      <c r="Y524" s="140"/>
      <c r="Z524" s="140"/>
    </row>
    <row r="525" spans="1:26"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96"/>
      <c r="U525" s="140"/>
      <c r="V525" s="140"/>
      <c r="W525" s="140"/>
      <c r="X525" s="140"/>
      <c r="Y525" s="140"/>
      <c r="Z525" s="140"/>
    </row>
    <row r="526" spans="1:26"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96"/>
      <c r="U526" s="140"/>
      <c r="V526" s="140"/>
      <c r="W526" s="140"/>
      <c r="X526" s="140"/>
      <c r="Y526" s="140"/>
      <c r="Z526" s="140"/>
    </row>
    <row r="527" spans="1:26"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96"/>
      <c r="U527" s="140"/>
      <c r="V527" s="140"/>
      <c r="W527" s="140"/>
      <c r="X527" s="140"/>
      <c r="Y527" s="140"/>
      <c r="Z527" s="140"/>
    </row>
    <row r="528" spans="1:26"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96"/>
      <c r="U528" s="140"/>
      <c r="V528" s="140"/>
      <c r="W528" s="140"/>
      <c r="X528" s="140"/>
      <c r="Y528" s="140"/>
      <c r="Z528" s="140"/>
    </row>
    <row r="529" spans="1:26"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96"/>
      <c r="U529" s="140"/>
      <c r="V529" s="140"/>
      <c r="W529" s="140"/>
      <c r="X529" s="140"/>
      <c r="Y529" s="140"/>
      <c r="Z529" s="140"/>
    </row>
    <row r="530" spans="1:26"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96"/>
      <c r="U530" s="140"/>
      <c r="V530" s="140"/>
      <c r="W530" s="140"/>
      <c r="X530" s="140"/>
      <c r="Y530" s="140"/>
      <c r="Z530" s="140"/>
    </row>
    <row r="531" spans="1:26"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96"/>
      <c r="U531" s="140"/>
      <c r="V531" s="140"/>
      <c r="W531" s="140"/>
      <c r="X531" s="140"/>
      <c r="Y531" s="140"/>
      <c r="Z531" s="140"/>
    </row>
    <row r="532" spans="1:26"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96"/>
      <c r="U532" s="140"/>
      <c r="V532" s="140"/>
      <c r="W532" s="140"/>
      <c r="X532" s="140"/>
      <c r="Y532" s="140"/>
      <c r="Z532" s="140"/>
    </row>
    <row r="533" spans="1:26"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96"/>
      <c r="U533" s="140"/>
      <c r="V533" s="140"/>
      <c r="W533" s="140"/>
      <c r="X533" s="140"/>
      <c r="Y533" s="140"/>
      <c r="Z533" s="140"/>
    </row>
    <row r="534" spans="1:26"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96"/>
      <c r="U534" s="140"/>
      <c r="V534" s="140"/>
      <c r="W534" s="140"/>
      <c r="X534" s="140"/>
      <c r="Y534" s="140"/>
      <c r="Z534" s="140"/>
    </row>
    <row r="535" spans="1:26"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96"/>
      <c r="U535" s="140"/>
      <c r="V535" s="140"/>
      <c r="W535" s="140"/>
      <c r="X535" s="140"/>
      <c r="Y535" s="140"/>
      <c r="Z535" s="140"/>
    </row>
    <row r="536" spans="1:26"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96"/>
      <c r="U536" s="140"/>
      <c r="V536" s="140"/>
      <c r="W536" s="140"/>
      <c r="X536" s="140"/>
      <c r="Y536" s="140"/>
      <c r="Z536" s="140"/>
    </row>
    <row r="537" spans="1:26"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96"/>
      <c r="U537" s="140"/>
      <c r="V537" s="140"/>
      <c r="W537" s="140"/>
      <c r="X537" s="140"/>
      <c r="Y537" s="140"/>
      <c r="Z537" s="140"/>
    </row>
    <row r="538" spans="1:26"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96"/>
      <c r="U538" s="140"/>
      <c r="V538" s="140"/>
      <c r="W538" s="140"/>
      <c r="X538" s="140"/>
      <c r="Y538" s="140"/>
      <c r="Z538" s="140"/>
    </row>
    <row r="539" spans="1:26"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96"/>
      <c r="U539" s="140"/>
      <c r="V539" s="140"/>
      <c r="W539" s="140"/>
      <c r="X539" s="140"/>
      <c r="Y539" s="140"/>
      <c r="Z539" s="140"/>
    </row>
    <row r="540" spans="1:26"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96"/>
      <c r="U540" s="140"/>
      <c r="V540" s="140"/>
      <c r="W540" s="140"/>
      <c r="X540" s="140"/>
      <c r="Y540" s="140"/>
      <c r="Z540" s="140"/>
    </row>
    <row r="541" spans="1:26"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96"/>
      <c r="U541" s="140"/>
      <c r="V541" s="140"/>
      <c r="W541" s="140"/>
      <c r="X541" s="140"/>
      <c r="Y541" s="140"/>
      <c r="Z541" s="140"/>
    </row>
    <row r="542" spans="1:26"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96"/>
      <c r="U542" s="140"/>
      <c r="V542" s="140"/>
      <c r="W542" s="140"/>
      <c r="X542" s="140"/>
      <c r="Y542" s="140"/>
      <c r="Z542" s="140"/>
    </row>
    <row r="543" spans="1:26"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96"/>
      <c r="U543" s="140"/>
      <c r="V543" s="140"/>
      <c r="W543" s="140"/>
      <c r="X543" s="140"/>
      <c r="Y543" s="140"/>
      <c r="Z543" s="140"/>
    </row>
    <row r="544" spans="1:26"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96"/>
      <c r="U544" s="140"/>
      <c r="V544" s="140"/>
      <c r="W544" s="140"/>
      <c r="X544" s="140"/>
      <c r="Y544" s="140"/>
      <c r="Z544" s="140"/>
    </row>
    <row r="545" spans="1:26"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96"/>
      <c r="U545" s="140"/>
      <c r="V545" s="140"/>
      <c r="W545" s="140"/>
      <c r="X545" s="140"/>
      <c r="Y545" s="140"/>
      <c r="Z545" s="140"/>
    </row>
    <row r="546" spans="1:26"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96"/>
      <c r="U546" s="140"/>
      <c r="V546" s="140"/>
      <c r="W546" s="140"/>
      <c r="X546" s="140"/>
      <c r="Y546" s="140"/>
      <c r="Z546" s="140"/>
    </row>
    <row r="547" spans="1:26"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96"/>
      <c r="U547" s="140"/>
      <c r="V547" s="140"/>
      <c r="W547" s="140"/>
      <c r="X547" s="140"/>
      <c r="Y547" s="140"/>
      <c r="Z547" s="140"/>
    </row>
    <row r="548" spans="1:26"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96"/>
      <c r="U548" s="140"/>
      <c r="V548" s="140"/>
      <c r="W548" s="140"/>
      <c r="X548" s="140"/>
      <c r="Y548" s="140"/>
      <c r="Z548" s="140"/>
    </row>
    <row r="549" spans="1:26"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96"/>
      <c r="U549" s="140"/>
      <c r="V549" s="140"/>
      <c r="W549" s="140"/>
      <c r="X549" s="140"/>
      <c r="Y549" s="140"/>
      <c r="Z549" s="140"/>
    </row>
    <row r="550" spans="1:26"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96"/>
      <c r="U550" s="140"/>
      <c r="V550" s="140"/>
      <c r="W550" s="140"/>
      <c r="X550" s="140"/>
      <c r="Y550" s="140"/>
      <c r="Z550" s="140"/>
    </row>
    <row r="551" spans="1:26"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96"/>
      <c r="U551" s="140"/>
      <c r="V551" s="140"/>
      <c r="W551" s="140"/>
      <c r="X551" s="140"/>
      <c r="Y551" s="140"/>
      <c r="Z551" s="140"/>
    </row>
    <row r="552" spans="1:26"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96"/>
      <c r="U552" s="140"/>
      <c r="V552" s="140"/>
      <c r="W552" s="140"/>
      <c r="X552" s="140"/>
      <c r="Y552" s="140"/>
      <c r="Z552" s="140"/>
    </row>
    <row r="553" spans="1:26"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96"/>
      <c r="U553" s="140"/>
      <c r="V553" s="140"/>
      <c r="W553" s="140"/>
      <c r="X553" s="140"/>
      <c r="Y553" s="140"/>
      <c r="Z553" s="140"/>
    </row>
    <row r="554" spans="1:26"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96"/>
      <c r="U554" s="140"/>
      <c r="V554" s="140"/>
      <c r="W554" s="140"/>
      <c r="X554" s="140"/>
      <c r="Y554" s="140"/>
      <c r="Z554" s="140"/>
    </row>
    <row r="555" spans="1:26"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96"/>
      <c r="U555" s="140"/>
      <c r="V555" s="140"/>
      <c r="W555" s="140"/>
      <c r="X555" s="140"/>
      <c r="Y555" s="140"/>
      <c r="Z555" s="140"/>
    </row>
    <row r="556" spans="1:26"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96"/>
      <c r="U556" s="140"/>
      <c r="V556" s="140"/>
      <c r="W556" s="140"/>
      <c r="X556" s="140"/>
      <c r="Y556" s="140"/>
      <c r="Z556" s="140"/>
    </row>
    <row r="557" spans="1:26"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96"/>
      <c r="U557" s="140"/>
      <c r="V557" s="140"/>
      <c r="W557" s="140"/>
      <c r="X557" s="140"/>
      <c r="Y557" s="140"/>
      <c r="Z557" s="140"/>
    </row>
    <row r="558" spans="1:26"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96"/>
      <c r="U558" s="140"/>
      <c r="V558" s="140"/>
      <c r="W558" s="140"/>
      <c r="X558" s="140"/>
      <c r="Y558" s="140"/>
      <c r="Z558" s="140"/>
    </row>
    <row r="559" spans="1:26"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96"/>
      <c r="U559" s="140"/>
      <c r="V559" s="140"/>
      <c r="W559" s="140"/>
      <c r="X559" s="140"/>
      <c r="Y559" s="140"/>
      <c r="Z559" s="140"/>
    </row>
    <row r="560" spans="1:26"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96"/>
      <c r="U560" s="140"/>
      <c r="V560" s="140"/>
      <c r="W560" s="140"/>
      <c r="X560" s="140"/>
      <c r="Y560" s="140"/>
      <c r="Z560" s="140"/>
    </row>
    <row r="561" spans="1:26"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96"/>
      <c r="U561" s="140"/>
      <c r="V561" s="140"/>
      <c r="W561" s="140"/>
      <c r="X561" s="140"/>
      <c r="Y561" s="140"/>
      <c r="Z561" s="140"/>
    </row>
    <row r="562" spans="1:26"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96"/>
      <c r="U562" s="140"/>
      <c r="V562" s="140"/>
      <c r="W562" s="140"/>
      <c r="X562" s="140"/>
      <c r="Y562" s="140"/>
      <c r="Z562" s="140"/>
    </row>
    <row r="563" spans="1:26"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96"/>
      <c r="U563" s="140"/>
      <c r="V563" s="140"/>
      <c r="W563" s="140"/>
      <c r="X563" s="140"/>
      <c r="Y563" s="140"/>
      <c r="Z563" s="140"/>
    </row>
    <row r="564" spans="1:26"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96"/>
      <c r="U564" s="140"/>
      <c r="V564" s="140"/>
      <c r="W564" s="140"/>
      <c r="X564" s="140"/>
      <c r="Y564" s="140"/>
      <c r="Z564" s="140"/>
    </row>
    <row r="565" spans="1:26"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96"/>
      <c r="U565" s="140"/>
      <c r="V565" s="140"/>
      <c r="W565" s="140"/>
      <c r="X565" s="140"/>
      <c r="Y565" s="140"/>
      <c r="Z565" s="140"/>
    </row>
    <row r="566" spans="1:26"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96"/>
      <c r="U566" s="140"/>
      <c r="V566" s="140"/>
      <c r="W566" s="140"/>
      <c r="X566" s="140"/>
      <c r="Y566" s="140"/>
      <c r="Z566" s="140"/>
    </row>
    <row r="567" spans="1:26"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96"/>
      <c r="U567" s="140"/>
      <c r="V567" s="140"/>
      <c r="W567" s="140"/>
      <c r="X567" s="140"/>
      <c r="Y567" s="140"/>
      <c r="Z567" s="140"/>
    </row>
    <row r="568" spans="1:26"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96"/>
      <c r="U568" s="140"/>
      <c r="V568" s="140"/>
      <c r="W568" s="140"/>
      <c r="X568" s="140"/>
      <c r="Y568" s="140"/>
      <c r="Z568" s="140"/>
    </row>
    <row r="569" spans="1:26"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96"/>
      <c r="U569" s="140"/>
      <c r="V569" s="140"/>
      <c r="W569" s="140"/>
      <c r="X569" s="140"/>
      <c r="Y569" s="140"/>
      <c r="Z569" s="140"/>
    </row>
    <row r="570" spans="1:26"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96"/>
      <c r="U570" s="140"/>
      <c r="V570" s="140"/>
      <c r="W570" s="140"/>
      <c r="X570" s="140"/>
      <c r="Y570" s="140"/>
      <c r="Z570" s="140"/>
    </row>
    <row r="571" spans="1:26"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96"/>
      <c r="U571" s="140"/>
      <c r="V571" s="140"/>
      <c r="W571" s="140"/>
      <c r="X571" s="140"/>
      <c r="Y571" s="140"/>
      <c r="Z571" s="140"/>
    </row>
    <row r="572" spans="1:26"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96"/>
      <c r="U572" s="140"/>
      <c r="V572" s="140"/>
      <c r="W572" s="140"/>
      <c r="X572" s="140"/>
      <c r="Y572" s="140"/>
      <c r="Z572" s="140"/>
    </row>
    <row r="573" spans="1:26"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96"/>
      <c r="U573" s="140"/>
      <c r="V573" s="140"/>
      <c r="W573" s="140"/>
      <c r="X573" s="140"/>
      <c r="Y573" s="140"/>
      <c r="Z573" s="140"/>
    </row>
    <row r="574" spans="1:26"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96"/>
      <c r="U574" s="140"/>
      <c r="V574" s="140"/>
      <c r="W574" s="140"/>
      <c r="X574" s="140"/>
      <c r="Y574" s="140"/>
      <c r="Z574" s="140"/>
    </row>
    <row r="575" spans="1:26"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96"/>
      <c r="U575" s="140"/>
      <c r="V575" s="140"/>
      <c r="W575" s="140"/>
      <c r="X575" s="140"/>
      <c r="Y575" s="140"/>
      <c r="Z575" s="140"/>
    </row>
    <row r="576" spans="1:26"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96"/>
      <c r="U576" s="140"/>
      <c r="V576" s="140"/>
      <c r="W576" s="140"/>
      <c r="X576" s="140"/>
      <c r="Y576" s="140"/>
      <c r="Z576" s="140"/>
    </row>
    <row r="577" spans="1:26"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96"/>
      <c r="U577" s="140"/>
      <c r="V577" s="140"/>
      <c r="W577" s="140"/>
      <c r="X577" s="140"/>
      <c r="Y577" s="140"/>
      <c r="Z577" s="140"/>
    </row>
    <row r="578" spans="1:26"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96"/>
      <c r="U578" s="140"/>
      <c r="V578" s="140"/>
      <c r="W578" s="140"/>
      <c r="X578" s="140"/>
      <c r="Y578" s="140"/>
      <c r="Z578" s="140"/>
    </row>
    <row r="579" spans="1:26"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96"/>
      <c r="U579" s="140"/>
      <c r="V579" s="140"/>
      <c r="W579" s="140"/>
      <c r="X579" s="140"/>
      <c r="Y579" s="140"/>
      <c r="Z579" s="140"/>
    </row>
    <row r="580" spans="1:26"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96"/>
      <c r="U580" s="140"/>
      <c r="V580" s="140"/>
      <c r="W580" s="140"/>
      <c r="X580" s="140"/>
      <c r="Y580" s="140"/>
      <c r="Z580" s="140"/>
    </row>
    <row r="581" spans="1:26"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96"/>
      <c r="U581" s="140"/>
      <c r="V581" s="140"/>
      <c r="W581" s="140"/>
      <c r="X581" s="140"/>
      <c r="Y581" s="140"/>
      <c r="Z581" s="140"/>
    </row>
    <row r="582" spans="1:26"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96"/>
      <c r="U582" s="140"/>
      <c r="V582" s="140"/>
      <c r="W582" s="140"/>
      <c r="X582" s="140"/>
      <c r="Y582" s="140"/>
      <c r="Z582" s="140"/>
    </row>
    <row r="583" spans="1:26"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96"/>
      <c r="U583" s="140"/>
      <c r="V583" s="140"/>
      <c r="W583" s="140"/>
      <c r="X583" s="140"/>
      <c r="Y583" s="140"/>
      <c r="Z583" s="140"/>
    </row>
    <row r="584" spans="1:26"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96"/>
      <c r="U584" s="140"/>
      <c r="V584" s="140"/>
      <c r="W584" s="140"/>
      <c r="X584" s="140"/>
      <c r="Y584" s="140"/>
      <c r="Z584" s="140"/>
    </row>
    <row r="585" spans="1:26"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96"/>
      <c r="U585" s="140"/>
      <c r="V585" s="140"/>
      <c r="W585" s="140"/>
      <c r="X585" s="140"/>
      <c r="Y585" s="140"/>
      <c r="Z585" s="140"/>
    </row>
    <row r="586" spans="1:26"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96"/>
      <c r="U586" s="140"/>
      <c r="V586" s="140"/>
      <c r="W586" s="140"/>
      <c r="X586" s="140"/>
      <c r="Y586" s="140"/>
      <c r="Z586" s="140"/>
    </row>
    <row r="587" spans="1:26"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96"/>
      <c r="U587" s="140"/>
      <c r="V587" s="140"/>
      <c r="W587" s="140"/>
      <c r="X587" s="140"/>
      <c r="Y587" s="140"/>
      <c r="Z587" s="140"/>
    </row>
    <row r="588" spans="1:26"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96"/>
      <c r="U588" s="140"/>
      <c r="V588" s="140"/>
      <c r="W588" s="140"/>
      <c r="X588" s="140"/>
      <c r="Y588" s="140"/>
      <c r="Z588" s="140"/>
    </row>
    <row r="589" spans="1:26"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96"/>
      <c r="U589" s="140"/>
      <c r="V589" s="140"/>
      <c r="W589" s="140"/>
      <c r="X589" s="140"/>
      <c r="Y589" s="140"/>
      <c r="Z589" s="140"/>
    </row>
    <row r="590" spans="1:26"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96"/>
      <c r="U590" s="140"/>
      <c r="V590" s="140"/>
      <c r="W590" s="140"/>
      <c r="X590" s="140"/>
      <c r="Y590" s="140"/>
      <c r="Z590" s="140"/>
    </row>
    <row r="591" spans="1:26"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96"/>
      <c r="U591" s="140"/>
      <c r="V591" s="140"/>
      <c r="W591" s="140"/>
      <c r="X591" s="140"/>
      <c r="Y591" s="140"/>
      <c r="Z591" s="140"/>
    </row>
    <row r="592" spans="1:26"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96"/>
      <c r="U592" s="140"/>
      <c r="V592" s="140"/>
      <c r="W592" s="140"/>
      <c r="X592" s="140"/>
      <c r="Y592" s="140"/>
      <c r="Z592" s="140"/>
    </row>
    <row r="593" spans="1:26"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96"/>
      <c r="U593" s="140"/>
      <c r="V593" s="140"/>
      <c r="W593" s="140"/>
      <c r="X593" s="140"/>
      <c r="Y593" s="140"/>
      <c r="Z593" s="140"/>
    </row>
    <row r="594" spans="1:26"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96"/>
      <c r="U594" s="140"/>
      <c r="V594" s="140"/>
      <c r="W594" s="140"/>
      <c r="X594" s="140"/>
      <c r="Y594" s="140"/>
      <c r="Z594" s="140"/>
    </row>
    <row r="595" spans="1:26"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96"/>
      <c r="U595" s="140"/>
      <c r="V595" s="140"/>
      <c r="W595" s="140"/>
      <c r="X595" s="140"/>
      <c r="Y595" s="140"/>
      <c r="Z595" s="140"/>
    </row>
    <row r="596" spans="1:26"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96"/>
      <c r="U596" s="140"/>
      <c r="V596" s="140"/>
      <c r="W596" s="140"/>
      <c r="X596" s="140"/>
      <c r="Y596" s="140"/>
      <c r="Z596" s="140"/>
    </row>
    <row r="597" spans="1:26"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96"/>
      <c r="U597" s="140"/>
      <c r="V597" s="140"/>
      <c r="W597" s="140"/>
      <c r="X597" s="140"/>
      <c r="Y597" s="140"/>
      <c r="Z597" s="140"/>
    </row>
    <row r="598" spans="1:26"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96"/>
      <c r="U598" s="140"/>
      <c r="V598" s="140"/>
      <c r="W598" s="140"/>
      <c r="X598" s="140"/>
      <c r="Y598" s="140"/>
      <c r="Z598" s="140"/>
    </row>
    <row r="599" spans="1:26"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96"/>
      <c r="U599" s="140"/>
      <c r="V599" s="140"/>
      <c r="W599" s="140"/>
      <c r="X599" s="140"/>
      <c r="Y599" s="140"/>
      <c r="Z599" s="140"/>
    </row>
    <row r="600" spans="1:26"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96"/>
      <c r="U600" s="140"/>
      <c r="V600" s="140"/>
      <c r="W600" s="140"/>
      <c r="X600" s="140"/>
      <c r="Y600" s="140"/>
      <c r="Z600" s="140"/>
    </row>
    <row r="601" spans="1:26"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96"/>
      <c r="U601" s="140"/>
      <c r="V601" s="140"/>
      <c r="W601" s="140"/>
      <c r="X601" s="140"/>
      <c r="Y601" s="140"/>
      <c r="Z601" s="140"/>
    </row>
    <row r="602" spans="1:26"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96"/>
      <c r="U602" s="140"/>
      <c r="V602" s="140"/>
      <c r="W602" s="140"/>
      <c r="X602" s="140"/>
      <c r="Y602" s="140"/>
      <c r="Z602" s="140"/>
    </row>
    <row r="603" spans="1:26"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96"/>
      <c r="U603" s="140"/>
      <c r="V603" s="140"/>
      <c r="W603" s="140"/>
      <c r="X603" s="140"/>
      <c r="Y603" s="140"/>
      <c r="Z603" s="140"/>
    </row>
    <row r="604" spans="1:26"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96"/>
      <c r="U604" s="140"/>
      <c r="V604" s="140"/>
      <c r="W604" s="140"/>
      <c r="X604" s="140"/>
      <c r="Y604" s="140"/>
      <c r="Z604" s="140"/>
    </row>
    <row r="605" spans="1:26"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96"/>
      <c r="U605" s="140"/>
      <c r="V605" s="140"/>
      <c r="W605" s="140"/>
      <c r="X605" s="140"/>
      <c r="Y605" s="140"/>
      <c r="Z605" s="140"/>
    </row>
    <row r="606" spans="1:26"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96"/>
      <c r="U606" s="140"/>
      <c r="V606" s="140"/>
      <c r="W606" s="140"/>
      <c r="X606" s="140"/>
      <c r="Y606" s="140"/>
      <c r="Z606" s="140"/>
    </row>
    <row r="607" spans="1:26"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96"/>
      <c r="U607" s="140"/>
      <c r="V607" s="140"/>
      <c r="W607" s="140"/>
      <c r="X607" s="140"/>
      <c r="Y607" s="140"/>
      <c r="Z607" s="140"/>
    </row>
    <row r="608" spans="1:26"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96"/>
      <c r="U608" s="140"/>
      <c r="V608" s="140"/>
      <c r="W608" s="140"/>
      <c r="X608" s="140"/>
      <c r="Y608" s="140"/>
      <c r="Z608" s="140"/>
    </row>
    <row r="609" spans="1:26"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96"/>
      <c r="U609" s="140"/>
      <c r="V609" s="140"/>
      <c r="W609" s="140"/>
      <c r="X609" s="140"/>
      <c r="Y609" s="140"/>
      <c r="Z609" s="140"/>
    </row>
    <row r="610" spans="1:26"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96"/>
      <c r="U610" s="140"/>
      <c r="V610" s="140"/>
      <c r="W610" s="140"/>
      <c r="X610" s="140"/>
      <c r="Y610" s="140"/>
      <c r="Z610" s="140"/>
    </row>
    <row r="611" spans="1:26"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96"/>
      <c r="U611" s="140"/>
      <c r="V611" s="140"/>
      <c r="W611" s="140"/>
      <c r="X611" s="140"/>
      <c r="Y611" s="140"/>
      <c r="Z611" s="140"/>
    </row>
    <row r="612" spans="1:26"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96"/>
      <c r="U612" s="140"/>
      <c r="V612" s="140"/>
      <c r="W612" s="140"/>
      <c r="X612" s="140"/>
      <c r="Y612" s="140"/>
      <c r="Z612" s="140"/>
    </row>
    <row r="613" spans="1:26"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96"/>
      <c r="U613" s="140"/>
      <c r="V613" s="140"/>
      <c r="W613" s="140"/>
      <c r="X613" s="140"/>
      <c r="Y613" s="140"/>
      <c r="Z613" s="140"/>
    </row>
    <row r="614" spans="1:26"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96"/>
      <c r="U614" s="140"/>
      <c r="V614" s="140"/>
      <c r="W614" s="140"/>
      <c r="X614" s="140"/>
      <c r="Y614" s="140"/>
      <c r="Z614" s="140"/>
    </row>
    <row r="615" spans="1:26"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96"/>
      <c r="U615" s="140"/>
      <c r="V615" s="140"/>
      <c r="W615" s="140"/>
      <c r="X615" s="140"/>
      <c r="Y615" s="140"/>
      <c r="Z615" s="140"/>
    </row>
    <row r="616" spans="1:26"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96"/>
      <c r="U616" s="140"/>
      <c r="V616" s="140"/>
      <c r="W616" s="140"/>
      <c r="X616" s="140"/>
      <c r="Y616" s="140"/>
      <c r="Z616" s="140"/>
    </row>
    <row r="617" spans="1:26"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96"/>
      <c r="U617" s="140"/>
      <c r="V617" s="140"/>
      <c r="W617" s="140"/>
      <c r="X617" s="140"/>
      <c r="Y617" s="140"/>
      <c r="Z617" s="140"/>
    </row>
    <row r="618" spans="1:26"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96"/>
      <c r="U618" s="140"/>
      <c r="V618" s="140"/>
      <c r="W618" s="140"/>
      <c r="X618" s="140"/>
      <c r="Y618" s="140"/>
      <c r="Z618" s="140"/>
    </row>
    <row r="619" spans="1:26"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96"/>
      <c r="U619" s="140"/>
      <c r="V619" s="140"/>
      <c r="W619" s="140"/>
      <c r="X619" s="140"/>
      <c r="Y619" s="140"/>
      <c r="Z619" s="140"/>
    </row>
    <row r="620" spans="1:26"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96"/>
      <c r="U620" s="140"/>
      <c r="V620" s="140"/>
      <c r="W620" s="140"/>
      <c r="X620" s="140"/>
      <c r="Y620" s="140"/>
      <c r="Z620" s="140"/>
    </row>
    <row r="621" spans="1:26"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96"/>
      <c r="U621" s="140"/>
      <c r="V621" s="140"/>
      <c r="W621" s="140"/>
      <c r="X621" s="140"/>
      <c r="Y621" s="140"/>
      <c r="Z621" s="140"/>
    </row>
    <row r="622" spans="1:26"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96"/>
      <c r="U622" s="140"/>
      <c r="V622" s="140"/>
      <c r="W622" s="140"/>
      <c r="X622" s="140"/>
      <c r="Y622" s="140"/>
      <c r="Z622" s="140"/>
    </row>
    <row r="623" spans="1:26"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96"/>
      <c r="U623" s="140"/>
      <c r="V623" s="140"/>
      <c r="W623" s="140"/>
      <c r="X623" s="140"/>
      <c r="Y623" s="140"/>
      <c r="Z623" s="140"/>
    </row>
    <row r="624" spans="1:26"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96"/>
      <c r="U624" s="140"/>
      <c r="V624" s="140"/>
      <c r="W624" s="140"/>
      <c r="X624" s="140"/>
      <c r="Y624" s="140"/>
      <c r="Z624" s="140"/>
    </row>
    <row r="625" spans="1:26"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96"/>
      <c r="U625" s="140"/>
      <c r="V625" s="140"/>
      <c r="W625" s="140"/>
      <c r="X625" s="140"/>
      <c r="Y625" s="140"/>
      <c r="Z625" s="140"/>
    </row>
    <row r="626" spans="1:26"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96"/>
      <c r="U626" s="140"/>
      <c r="V626" s="140"/>
      <c r="W626" s="140"/>
      <c r="X626" s="140"/>
      <c r="Y626" s="140"/>
      <c r="Z626" s="140"/>
    </row>
    <row r="627" spans="1:26"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96"/>
      <c r="U627" s="140"/>
      <c r="V627" s="140"/>
      <c r="W627" s="140"/>
      <c r="X627" s="140"/>
      <c r="Y627" s="140"/>
      <c r="Z627" s="140"/>
    </row>
    <row r="628" spans="1:26"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96"/>
      <c r="U628" s="140"/>
      <c r="V628" s="140"/>
      <c r="W628" s="140"/>
      <c r="X628" s="140"/>
      <c r="Y628" s="140"/>
      <c r="Z628" s="140"/>
    </row>
    <row r="629" spans="1:26"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96"/>
      <c r="U629" s="140"/>
      <c r="V629" s="140"/>
      <c r="W629" s="140"/>
      <c r="X629" s="140"/>
      <c r="Y629" s="140"/>
      <c r="Z629" s="140"/>
    </row>
    <row r="630" spans="1:26"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96"/>
      <c r="U630" s="140"/>
      <c r="V630" s="140"/>
      <c r="W630" s="140"/>
      <c r="X630" s="140"/>
      <c r="Y630" s="140"/>
      <c r="Z630" s="140"/>
    </row>
    <row r="631" spans="1:26"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96"/>
      <c r="U631" s="140"/>
      <c r="V631" s="140"/>
      <c r="W631" s="140"/>
      <c r="X631" s="140"/>
      <c r="Y631" s="140"/>
      <c r="Z631" s="140"/>
    </row>
    <row r="632" spans="1:26"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96"/>
      <c r="U632" s="140"/>
      <c r="V632" s="140"/>
      <c r="W632" s="140"/>
      <c r="X632" s="140"/>
      <c r="Y632" s="140"/>
      <c r="Z632" s="140"/>
    </row>
    <row r="633" spans="1:26"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96"/>
      <c r="U633" s="140"/>
      <c r="V633" s="140"/>
      <c r="W633" s="140"/>
      <c r="X633" s="140"/>
      <c r="Y633" s="140"/>
      <c r="Z633" s="140"/>
    </row>
    <row r="634" spans="1:26"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96"/>
      <c r="U634" s="140"/>
      <c r="V634" s="140"/>
      <c r="W634" s="140"/>
      <c r="X634" s="140"/>
      <c r="Y634" s="140"/>
      <c r="Z634" s="140"/>
    </row>
    <row r="635" spans="1:26"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96"/>
      <c r="U635" s="140"/>
      <c r="V635" s="140"/>
      <c r="W635" s="140"/>
      <c r="X635" s="140"/>
      <c r="Y635" s="140"/>
      <c r="Z635" s="140"/>
    </row>
    <row r="636" spans="1:26"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96"/>
      <c r="U636" s="140"/>
      <c r="V636" s="140"/>
      <c r="W636" s="140"/>
      <c r="X636" s="140"/>
      <c r="Y636" s="140"/>
      <c r="Z636" s="140"/>
    </row>
    <row r="637" spans="1:26"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96"/>
      <c r="U637" s="140"/>
      <c r="V637" s="140"/>
      <c r="W637" s="140"/>
      <c r="X637" s="140"/>
      <c r="Y637" s="140"/>
      <c r="Z637" s="140"/>
    </row>
    <row r="638" spans="1:26"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96"/>
      <c r="U638" s="140"/>
      <c r="V638" s="140"/>
      <c r="W638" s="140"/>
      <c r="X638" s="140"/>
      <c r="Y638" s="140"/>
      <c r="Z638" s="140"/>
    </row>
    <row r="639" spans="1:26"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96"/>
      <c r="U639" s="140"/>
      <c r="V639" s="140"/>
      <c r="W639" s="140"/>
      <c r="X639" s="140"/>
      <c r="Y639" s="140"/>
      <c r="Z639" s="140"/>
    </row>
    <row r="640" spans="1:26"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96"/>
      <c r="U640" s="140"/>
      <c r="V640" s="140"/>
      <c r="W640" s="140"/>
      <c r="X640" s="140"/>
      <c r="Y640" s="140"/>
      <c r="Z640" s="140"/>
    </row>
    <row r="641" spans="1:26"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96"/>
      <c r="U641" s="140"/>
      <c r="V641" s="140"/>
      <c r="W641" s="140"/>
      <c r="X641" s="140"/>
      <c r="Y641" s="140"/>
      <c r="Z641" s="140"/>
    </row>
    <row r="642" spans="1:26"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96"/>
      <c r="U642" s="140"/>
      <c r="V642" s="140"/>
      <c r="W642" s="140"/>
      <c r="X642" s="140"/>
      <c r="Y642" s="140"/>
      <c r="Z642" s="140"/>
    </row>
    <row r="643" spans="1:26"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96"/>
      <c r="U643" s="140"/>
      <c r="V643" s="140"/>
      <c r="W643" s="140"/>
      <c r="X643" s="140"/>
      <c r="Y643" s="140"/>
      <c r="Z643" s="140"/>
    </row>
    <row r="644" spans="1:26"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96"/>
      <c r="U644" s="140"/>
      <c r="V644" s="140"/>
      <c r="W644" s="140"/>
      <c r="X644" s="140"/>
      <c r="Y644" s="140"/>
      <c r="Z644" s="140"/>
    </row>
    <row r="645" spans="1:26"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96"/>
      <c r="U645" s="140"/>
      <c r="V645" s="140"/>
      <c r="W645" s="140"/>
      <c r="X645" s="140"/>
      <c r="Y645" s="140"/>
      <c r="Z645" s="140"/>
    </row>
    <row r="646" spans="1:26"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96"/>
      <c r="U646" s="140"/>
      <c r="V646" s="140"/>
      <c r="W646" s="140"/>
      <c r="X646" s="140"/>
      <c r="Y646" s="140"/>
      <c r="Z646" s="140"/>
    </row>
    <row r="647" spans="1:26"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96"/>
      <c r="U647" s="140"/>
      <c r="V647" s="140"/>
      <c r="W647" s="140"/>
      <c r="X647" s="140"/>
      <c r="Y647" s="140"/>
      <c r="Z647" s="140"/>
    </row>
    <row r="648" spans="1:26"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96"/>
      <c r="U648" s="140"/>
      <c r="V648" s="140"/>
      <c r="W648" s="140"/>
      <c r="X648" s="140"/>
      <c r="Y648" s="140"/>
      <c r="Z648" s="140"/>
    </row>
    <row r="649" spans="1:26"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96"/>
      <c r="U649" s="140"/>
      <c r="V649" s="140"/>
      <c r="W649" s="140"/>
      <c r="X649" s="140"/>
      <c r="Y649" s="140"/>
      <c r="Z649" s="140"/>
    </row>
    <row r="650" spans="1:26"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96"/>
      <c r="U650" s="140"/>
      <c r="V650" s="140"/>
      <c r="W650" s="140"/>
      <c r="X650" s="140"/>
      <c r="Y650" s="140"/>
      <c r="Z650" s="140"/>
    </row>
    <row r="651" spans="1:26"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96"/>
      <c r="U651" s="140"/>
      <c r="V651" s="140"/>
      <c r="W651" s="140"/>
      <c r="X651" s="140"/>
      <c r="Y651" s="140"/>
      <c r="Z651" s="140"/>
    </row>
    <row r="652" spans="1:26"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96"/>
      <c r="U652" s="140"/>
      <c r="V652" s="140"/>
      <c r="W652" s="140"/>
      <c r="X652" s="140"/>
      <c r="Y652" s="140"/>
      <c r="Z652" s="140"/>
    </row>
    <row r="653" spans="1:26"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96"/>
      <c r="U653" s="140"/>
      <c r="V653" s="140"/>
      <c r="W653" s="140"/>
      <c r="X653" s="140"/>
      <c r="Y653" s="140"/>
      <c r="Z653" s="140"/>
    </row>
    <row r="654" spans="1:26"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96"/>
      <c r="U654" s="140"/>
      <c r="V654" s="140"/>
      <c r="W654" s="140"/>
      <c r="X654" s="140"/>
      <c r="Y654" s="140"/>
      <c r="Z654" s="140"/>
    </row>
    <row r="655" spans="1:26"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96"/>
      <c r="U655" s="140"/>
      <c r="V655" s="140"/>
      <c r="W655" s="140"/>
      <c r="X655" s="140"/>
      <c r="Y655" s="140"/>
      <c r="Z655" s="140"/>
    </row>
    <row r="656" spans="1:26"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96"/>
      <c r="U656" s="140"/>
      <c r="V656" s="140"/>
      <c r="W656" s="140"/>
      <c r="X656" s="140"/>
      <c r="Y656" s="140"/>
      <c r="Z656" s="140"/>
    </row>
    <row r="657" spans="1:26"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96"/>
      <c r="U657" s="140"/>
      <c r="V657" s="140"/>
      <c r="W657" s="140"/>
      <c r="X657" s="140"/>
      <c r="Y657" s="140"/>
      <c r="Z657" s="140"/>
    </row>
    <row r="658" spans="1:26"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96"/>
      <c r="U658" s="140"/>
      <c r="V658" s="140"/>
      <c r="W658" s="140"/>
      <c r="X658" s="140"/>
      <c r="Y658" s="140"/>
      <c r="Z658" s="140"/>
    </row>
    <row r="659" spans="1:26"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96"/>
      <c r="U659" s="140"/>
      <c r="V659" s="140"/>
      <c r="W659" s="140"/>
      <c r="X659" s="140"/>
      <c r="Y659" s="140"/>
      <c r="Z659" s="140"/>
    </row>
    <row r="660" spans="1:26"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96"/>
      <c r="U660" s="140"/>
      <c r="V660" s="140"/>
      <c r="W660" s="140"/>
      <c r="X660" s="140"/>
      <c r="Y660" s="140"/>
      <c r="Z660" s="140"/>
    </row>
    <row r="661" spans="1:26"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96"/>
      <c r="U661" s="140"/>
      <c r="V661" s="140"/>
      <c r="W661" s="140"/>
      <c r="X661" s="140"/>
      <c r="Y661" s="140"/>
      <c r="Z661" s="140"/>
    </row>
    <row r="662" spans="1:26"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96"/>
      <c r="U662" s="140"/>
      <c r="V662" s="140"/>
      <c r="W662" s="140"/>
      <c r="X662" s="140"/>
      <c r="Y662" s="140"/>
      <c r="Z662" s="140"/>
    </row>
    <row r="663" spans="1:26"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96"/>
      <c r="U663" s="140"/>
      <c r="V663" s="140"/>
      <c r="W663" s="140"/>
      <c r="X663" s="140"/>
      <c r="Y663" s="140"/>
      <c r="Z663" s="140"/>
    </row>
    <row r="664" spans="1:26"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96"/>
      <c r="U664" s="140"/>
      <c r="V664" s="140"/>
      <c r="W664" s="140"/>
      <c r="X664" s="140"/>
      <c r="Y664" s="140"/>
      <c r="Z664" s="140"/>
    </row>
    <row r="665" spans="1:26"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96"/>
      <c r="U665" s="140"/>
      <c r="V665" s="140"/>
      <c r="W665" s="140"/>
      <c r="X665" s="140"/>
      <c r="Y665" s="140"/>
      <c r="Z665" s="140"/>
    </row>
    <row r="666" spans="1:26"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96"/>
      <c r="U666" s="140"/>
      <c r="V666" s="140"/>
      <c r="W666" s="140"/>
      <c r="X666" s="140"/>
      <c r="Y666" s="140"/>
      <c r="Z666" s="140"/>
    </row>
    <row r="667" spans="1:26"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96"/>
      <c r="U667" s="140"/>
      <c r="V667" s="140"/>
      <c r="W667" s="140"/>
      <c r="X667" s="140"/>
      <c r="Y667" s="140"/>
      <c r="Z667" s="140"/>
    </row>
    <row r="668" spans="1:26"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96"/>
      <c r="U668" s="140"/>
      <c r="V668" s="140"/>
      <c r="W668" s="140"/>
      <c r="X668" s="140"/>
      <c r="Y668" s="140"/>
      <c r="Z668" s="140"/>
    </row>
    <row r="669" spans="1:26"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96"/>
      <c r="U669" s="140"/>
      <c r="V669" s="140"/>
      <c r="W669" s="140"/>
      <c r="X669" s="140"/>
      <c r="Y669" s="140"/>
      <c r="Z669" s="140"/>
    </row>
    <row r="670" spans="1:26"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96"/>
      <c r="U670" s="140"/>
      <c r="V670" s="140"/>
      <c r="W670" s="140"/>
      <c r="X670" s="140"/>
      <c r="Y670" s="140"/>
      <c r="Z670" s="140"/>
    </row>
    <row r="671" spans="1:26"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96"/>
      <c r="U671" s="140"/>
      <c r="V671" s="140"/>
      <c r="W671" s="140"/>
      <c r="X671" s="140"/>
      <c r="Y671" s="140"/>
      <c r="Z671" s="140"/>
    </row>
    <row r="672" spans="1:26"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96"/>
      <c r="U672" s="140"/>
      <c r="V672" s="140"/>
      <c r="W672" s="140"/>
      <c r="X672" s="140"/>
      <c r="Y672" s="140"/>
      <c r="Z672" s="140"/>
    </row>
    <row r="673" spans="1:26"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96"/>
      <c r="U673" s="140"/>
      <c r="V673" s="140"/>
      <c r="W673" s="140"/>
      <c r="X673" s="140"/>
      <c r="Y673" s="140"/>
      <c r="Z673" s="140"/>
    </row>
    <row r="674" spans="1:26"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96"/>
      <c r="U674" s="140"/>
      <c r="V674" s="140"/>
      <c r="W674" s="140"/>
      <c r="X674" s="140"/>
      <c r="Y674" s="140"/>
      <c r="Z674" s="140"/>
    </row>
    <row r="675" spans="1:26"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96"/>
      <c r="U675" s="140"/>
      <c r="V675" s="140"/>
      <c r="W675" s="140"/>
      <c r="X675" s="140"/>
      <c r="Y675" s="140"/>
      <c r="Z675" s="140"/>
    </row>
    <row r="676" spans="1:26"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96"/>
      <c r="U676" s="140"/>
      <c r="V676" s="140"/>
      <c r="W676" s="140"/>
      <c r="X676" s="140"/>
      <c r="Y676" s="140"/>
      <c r="Z676" s="140"/>
    </row>
    <row r="677" spans="1:26"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96"/>
      <c r="U677" s="140"/>
      <c r="V677" s="140"/>
      <c r="W677" s="140"/>
      <c r="X677" s="140"/>
      <c r="Y677" s="140"/>
      <c r="Z677" s="140"/>
    </row>
    <row r="678" spans="1:26"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96"/>
      <c r="U678" s="140"/>
      <c r="V678" s="140"/>
      <c r="W678" s="140"/>
      <c r="X678" s="140"/>
      <c r="Y678" s="140"/>
      <c r="Z678" s="140"/>
    </row>
    <row r="679" spans="1:26"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96"/>
      <c r="U679" s="140"/>
      <c r="V679" s="140"/>
      <c r="W679" s="140"/>
      <c r="X679" s="140"/>
      <c r="Y679" s="140"/>
      <c r="Z679" s="140"/>
    </row>
    <row r="680" spans="1:26"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96"/>
      <c r="U680" s="140"/>
      <c r="V680" s="140"/>
      <c r="W680" s="140"/>
      <c r="X680" s="140"/>
      <c r="Y680" s="140"/>
      <c r="Z680" s="140"/>
    </row>
    <row r="681" spans="1:26"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96"/>
      <c r="U681" s="140"/>
      <c r="V681" s="140"/>
      <c r="W681" s="140"/>
      <c r="X681" s="140"/>
      <c r="Y681" s="140"/>
      <c r="Z681" s="140"/>
    </row>
    <row r="682" spans="1:26"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96"/>
      <c r="U682" s="140"/>
      <c r="V682" s="140"/>
      <c r="W682" s="140"/>
      <c r="X682" s="140"/>
      <c r="Y682" s="140"/>
      <c r="Z682" s="140"/>
    </row>
    <row r="683" spans="1:26"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96"/>
      <c r="U683" s="140"/>
      <c r="V683" s="140"/>
      <c r="W683" s="140"/>
      <c r="X683" s="140"/>
      <c r="Y683" s="140"/>
      <c r="Z683" s="140"/>
    </row>
    <row r="684" spans="1:26"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96"/>
      <c r="U684" s="140"/>
      <c r="V684" s="140"/>
      <c r="W684" s="140"/>
      <c r="X684" s="140"/>
      <c r="Y684" s="140"/>
      <c r="Z684" s="140"/>
    </row>
    <row r="685" spans="1:26"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96"/>
      <c r="U685" s="140"/>
      <c r="V685" s="140"/>
      <c r="W685" s="140"/>
      <c r="X685" s="140"/>
      <c r="Y685" s="140"/>
      <c r="Z685" s="140"/>
    </row>
    <row r="686" spans="1:26"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96"/>
      <c r="U686" s="140"/>
      <c r="V686" s="140"/>
      <c r="W686" s="140"/>
      <c r="X686" s="140"/>
      <c r="Y686" s="140"/>
      <c r="Z686" s="140"/>
    </row>
    <row r="687" spans="1:26"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96"/>
      <c r="U687" s="140"/>
      <c r="V687" s="140"/>
      <c r="W687" s="140"/>
      <c r="X687" s="140"/>
      <c r="Y687" s="140"/>
      <c r="Z687" s="140"/>
    </row>
    <row r="688" spans="1:26"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96"/>
      <c r="U688" s="140"/>
      <c r="V688" s="140"/>
      <c r="W688" s="140"/>
      <c r="X688" s="140"/>
      <c r="Y688" s="140"/>
      <c r="Z688" s="140"/>
    </row>
    <row r="689" spans="1:26"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96"/>
      <c r="U689" s="140"/>
      <c r="V689" s="140"/>
      <c r="W689" s="140"/>
      <c r="X689" s="140"/>
      <c r="Y689" s="140"/>
      <c r="Z689" s="140"/>
    </row>
    <row r="690" spans="1:26"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96"/>
      <c r="U690" s="140"/>
      <c r="V690" s="140"/>
      <c r="W690" s="140"/>
      <c r="X690" s="140"/>
      <c r="Y690" s="140"/>
      <c r="Z690" s="140"/>
    </row>
    <row r="691" spans="1:26"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96"/>
      <c r="U691" s="140"/>
      <c r="V691" s="140"/>
      <c r="W691" s="140"/>
      <c r="X691" s="140"/>
      <c r="Y691" s="140"/>
      <c r="Z691" s="140"/>
    </row>
    <row r="692" spans="1:26"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96"/>
      <c r="U692" s="140"/>
      <c r="V692" s="140"/>
      <c r="W692" s="140"/>
      <c r="X692" s="140"/>
      <c r="Y692" s="140"/>
      <c r="Z692" s="140"/>
    </row>
    <row r="693" spans="1:26"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96"/>
      <c r="U693" s="140"/>
      <c r="V693" s="140"/>
      <c r="W693" s="140"/>
      <c r="X693" s="140"/>
      <c r="Y693" s="140"/>
      <c r="Z693" s="140"/>
    </row>
    <row r="694" spans="1:26"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96"/>
      <c r="U694" s="140"/>
      <c r="V694" s="140"/>
      <c r="W694" s="140"/>
      <c r="X694" s="140"/>
      <c r="Y694" s="140"/>
      <c r="Z694" s="140"/>
    </row>
    <row r="695" spans="1:26"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96"/>
      <c r="U695" s="140"/>
      <c r="V695" s="140"/>
      <c r="W695" s="140"/>
      <c r="X695" s="140"/>
      <c r="Y695" s="140"/>
      <c r="Z695" s="140"/>
    </row>
    <row r="696" spans="1:26"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96"/>
      <c r="U696" s="140"/>
      <c r="V696" s="140"/>
      <c r="W696" s="140"/>
      <c r="X696" s="140"/>
      <c r="Y696" s="140"/>
      <c r="Z696" s="140"/>
    </row>
    <row r="697" spans="1:26"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96"/>
      <c r="U697" s="140"/>
      <c r="V697" s="140"/>
      <c r="W697" s="140"/>
      <c r="X697" s="140"/>
      <c r="Y697" s="140"/>
      <c r="Z697" s="140"/>
    </row>
    <row r="698" spans="1:26"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96"/>
      <c r="U698" s="140"/>
      <c r="V698" s="140"/>
      <c r="W698" s="140"/>
      <c r="X698" s="140"/>
      <c r="Y698" s="140"/>
      <c r="Z698" s="140"/>
    </row>
    <row r="699" spans="1:26"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96"/>
      <c r="U699" s="140"/>
      <c r="V699" s="140"/>
      <c r="W699" s="140"/>
      <c r="X699" s="140"/>
      <c r="Y699" s="140"/>
      <c r="Z699" s="140"/>
    </row>
    <row r="700" spans="1:26"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96"/>
      <c r="U700" s="140"/>
      <c r="V700" s="140"/>
      <c r="W700" s="140"/>
      <c r="X700" s="140"/>
      <c r="Y700" s="140"/>
      <c r="Z700" s="140"/>
    </row>
    <row r="701" spans="1:26"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96"/>
      <c r="U701" s="140"/>
      <c r="V701" s="140"/>
      <c r="W701" s="140"/>
      <c r="X701" s="140"/>
      <c r="Y701" s="140"/>
      <c r="Z701" s="140"/>
    </row>
    <row r="702" spans="1:26"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96"/>
      <c r="U702" s="140"/>
      <c r="V702" s="140"/>
      <c r="W702" s="140"/>
      <c r="X702" s="140"/>
      <c r="Y702" s="140"/>
      <c r="Z702" s="140"/>
    </row>
    <row r="703" spans="1:26"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96"/>
      <c r="U703" s="140"/>
      <c r="V703" s="140"/>
      <c r="W703" s="140"/>
      <c r="X703" s="140"/>
      <c r="Y703" s="140"/>
      <c r="Z703" s="140"/>
    </row>
    <row r="704" spans="1:26"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96"/>
      <c r="U704" s="140"/>
      <c r="V704" s="140"/>
      <c r="W704" s="140"/>
      <c r="X704" s="140"/>
      <c r="Y704" s="140"/>
      <c r="Z704" s="140"/>
    </row>
    <row r="705" spans="1:26"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96"/>
      <c r="U705" s="140"/>
      <c r="V705" s="140"/>
      <c r="W705" s="140"/>
      <c r="X705" s="140"/>
      <c r="Y705" s="140"/>
      <c r="Z705" s="140"/>
    </row>
    <row r="706" spans="1:26"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96"/>
      <c r="U706" s="140"/>
      <c r="V706" s="140"/>
      <c r="W706" s="140"/>
      <c r="X706" s="140"/>
      <c r="Y706" s="140"/>
      <c r="Z706" s="140"/>
    </row>
    <row r="707" spans="1:26"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96"/>
      <c r="U707" s="140"/>
      <c r="V707" s="140"/>
      <c r="W707" s="140"/>
      <c r="X707" s="140"/>
      <c r="Y707" s="140"/>
      <c r="Z707" s="140"/>
    </row>
    <row r="708" spans="1:26"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96"/>
      <c r="U708" s="140"/>
      <c r="V708" s="140"/>
      <c r="W708" s="140"/>
      <c r="X708" s="140"/>
      <c r="Y708" s="140"/>
      <c r="Z708" s="140"/>
    </row>
    <row r="709" spans="1:26"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96"/>
      <c r="U709" s="140"/>
      <c r="V709" s="140"/>
      <c r="W709" s="140"/>
      <c r="X709" s="140"/>
      <c r="Y709" s="140"/>
      <c r="Z709" s="140"/>
    </row>
    <row r="710" spans="1:26"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96"/>
      <c r="U710" s="140"/>
      <c r="V710" s="140"/>
      <c r="W710" s="140"/>
      <c r="X710" s="140"/>
      <c r="Y710" s="140"/>
      <c r="Z710" s="140"/>
    </row>
    <row r="711" spans="1:26"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96"/>
      <c r="U711" s="140"/>
      <c r="V711" s="140"/>
      <c r="W711" s="140"/>
      <c r="X711" s="140"/>
      <c r="Y711" s="140"/>
      <c r="Z711" s="140"/>
    </row>
    <row r="712" spans="1:26"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96"/>
      <c r="U712" s="140"/>
      <c r="V712" s="140"/>
      <c r="W712" s="140"/>
      <c r="X712" s="140"/>
      <c r="Y712" s="140"/>
      <c r="Z712" s="140"/>
    </row>
    <row r="713" spans="1:26"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96"/>
      <c r="U713" s="140"/>
      <c r="V713" s="140"/>
      <c r="W713" s="140"/>
      <c r="X713" s="140"/>
      <c r="Y713" s="140"/>
      <c r="Z713" s="140"/>
    </row>
    <row r="714" spans="1:26"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96"/>
      <c r="U714" s="140"/>
      <c r="V714" s="140"/>
      <c r="W714" s="140"/>
      <c r="X714" s="140"/>
      <c r="Y714" s="140"/>
      <c r="Z714" s="140"/>
    </row>
    <row r="715" spans="1:26"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96"/>
      <c r="U715" s="140"/>
      <c r="V715" s="140"/>
      <c r="W715" s="140"/>
      <c r="X715" s="140"/>
      <c r="Y715" s="140"/>
      <c r="Z715" s="140"/>
    </row>
    <row r="716" spans="1:26"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96"/>
      <c r="U716" s="140"/>
      <c r="V716" s="140"/>
      <c r="W716" s="140"/>
      <c r="X716" s="140"/>
      <c r="Y716" s="140"/>
      <c r="Z716" s="140"/>
    </row>
    <row r="717" spans="1:26"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96"/>
      <c r="U717" s="140"/>
      <c r="V717" s="140"/>
      <c r="W717" s="140"/>
      <c r="X717" s="140"/>
      <c r="Y717" s="140"/>
      <c r="Z717" s="140"/>
    </row>
    <row r="718" spans="1:26"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96"/>
      <c r="U718" s="140"/>
      <c r="V718" s="140"/>
      <c r="W718" s="140"/>
      <c r="X718" s="140"/>
      <c r="Y718" s="140"/>
      <c r="Z718" s="140"/>
    </row>
    <row r="719" spans="1:26"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96"/>
      <c r="U719" s="140"/>
      <c r="V719" s="140"/>
      <c r="W719" s="140"/>
      <c r="X719" s="140"/>
      <c r="Y719" s="140"/>
      <c r="Z719" s="140"/>
    </row>
    <row r="720" spans="1:26"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96"/>
      <c r="U720" s="140"/>
      <c r="V720" s="140"/>
      <c r="W720" s="140"/>
      <c r="X720" s="140"/>
      <c r="Y720" s="140"/>
      <c r="Z720" s="140"/>
    </row>
    <row r="721" spans="1:26"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96"/>
      <c r="U721" s="140"/>
      <c r="V721" s="140"/>
      <c r="W721" s="140"/>
      <c r="X721" s="140"/>
      <c r="Y721" s="140"/>
      <c r="Z721" s="140"/>
    </row>
    <row r="722" spans="1:26"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96"/>
      <c r="U722" s="140"/>
      <c r="V722" s="140"/>
      <c r="W722" s="140"/>
      <c r="X722" s="140"/>
      <c r="Y722" s="140"/>
      <c r="Z722" s="140"/>
    </row>
    <row r="723" spans="1:26"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96"/>
      <c r="U723" s="140"/>
      <c r="V723" s="140"/>
      <c r="W723" s="140"/>
      <c r="X723" s="140"/>
      <c r="Y723" s="140"/>
      <c r="Z723" s="140"/>
    </row>
    <row r="724" spans="1:26"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96"/>
      <c r="U724" s="140"/>
      <c r="V724" s="140"/>
      <c r="W724" s="140"/>
      <c r="X724" s="140"/>
      <c r="Y724" s="140"/>
      <c r="Z724" s="140"/>
    </row>
    <row r="725" spans="1:26"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96"/>
      <c r="U725" s="140"/>
      <c r="V725" s="140"/>
      <c r="W725" s="140"/>
      <c r="X725" s="140"/>
      <c r="Y725" s="140"/>
      <c r="Z725" s="140"/>
    </row>
    <row r="726" spans="1:26"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96"/>
      <c r="U726" s="140"/>
      <c r="V726" s="140"/>
      <c r="W726" s="140"/>
      <c r="X726" s="140"/>
      <c r="Y726" s="140"/>
      <c r="Z726" s="140"/>
    </row>
    <row r="727" spans="1:26"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96"/>
      <c r="U727" s="140"/>
      <c r="V727" s="140"/>
      <c r="W727" s="140"/>
      <c r="X727" s="140"/>
      <c r="Y727" s="140"/>
      <c r="Z727" s="140"/>
    </row>
    <row r="728" spans="1:26"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96"/>
      <c r="U728" s="140"/>
      <c r="V728" s="140"/>
      <c r="W728" s="140"/>
      <c r="X728" s="140"/>
      <c r="Y728" s="140"/>
      <c r="Z728" s="140"/>
    </row>
    <row r="729" spans="1:26"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96"/>
      <c r="U729" s="140"/>
      <c r="V729" s="140"/>
      <c r="W729" s="140"/>
      <c r="X729" s="140"/>
      <c r="Y729" s="140"/>
      <c r="Z729" s="140"/>
    </row>
    <row r="730" spans="1:26"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96"/>
      <c r="U730" s="140"/>
      <c r="V730" s="140"/>
      <c r="W730" s="140"/>
      <c r="X730" s="140"/>
      <c r="Y730" s="140"/>
      <c r="Z730" s="140"/>
    </row>
    <row r="731" spans="1:26"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96"/>
      <c r="U731" s="140"/>
      <c r="V731" s="140"/>
      <c r="W731" s="140"/>
      <c r="X731" s="140"/>
      <c r="Y731" s="140"/>
      <c r="Z731" s="140"/>
    </row>
    <row r="732" spans="1:26"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96"/>
      <c r="U732" s="140"/>
      <c r="V732" s="140"/>
      <c r="W732" s="140"/>
      <c r="X732" s="140"/>
      <c r="Y732" s="140"/>
      <c r="Z732" s="140"/>
    </row>
    <row r="733" spans="1:26"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96"/>
      <c r="U733" s="140"/>
      <c r="V733" s="140"/>
      <c r="W733" s="140"/>
      <c r="X733" s="140"/>
      <c r="Y733" s="140"/>
      <c r="Z733" s="140"/>
    </row>
    <row r="734" spans="1:26"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96"/>
      <c r="U734" s="140"/>
      <c r="V734" s="140"/>
      <c r="W734" s="140"/>
      <c r="X734" s="140"/>
      <c r="Y734" s="140"/>
      <c r="Z734" s="140"/>
    </row>
    <row r="735" spans="1:26"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96"/>
      <c r="U735" s="140"/>
      <c r="V735" s="140"/>
      <c r="W735" s="140"/>
      <c r="X735" s="140"/>
      <c r="Y735" s="140"/>
      <c r="Z735" s="140"/>
    </row>
    <row r="736" spans="1:26"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96"/>
      <c r="U736" s="140"/>
      <c r="V736" s="140"/>
      <c r="W736" s="140"/>
      <c r="X736" s="140"/>
      <c r="Y736" s="140"/>
      <c r="Z736" s="140"/>
    </row>
    <row r="737" spans="1:26"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96"/>
      <c r="U737" s="140"/>
      <c r="V737" s="140"/>
      <c r="W737" s="140"/>
      <c r="X737" s="140"/>
      <c r="Y737" s="140"/>
      <c r="Z737" s="140"/>
    </row>
    <row r="738" spans="1:26"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96"/>
      <c r="U738" s="140"/>
      <c r="V738" s="140"/>
      <c r="W738" s="140"/>
      <c r="X738" s="140"/>
      <c r="Y738" s="140"/>
      <c r="Z738" s="140"/>
    </row>
    <row r="739" spans="1:26"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96"/>
      <c r="U739" s="140"/>
      <c r="V739" s="140"/>
      <c r="W739" s="140"/>
      <c r="X739" s="140"/>
      <c r="Y739" s="140"/>
      <c r="Z739" s="140"/>
    </row>
    <row r="740" spans="1:26"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96"/>
      <c r="U740" s="140"/>
      <c r="V740" s="140"/>
      <c r="W740" s="140"/>
      <c r="X740" s="140"/>
      <c r="Y740" s="140"/>
      <c r="Z740" s="140"/>
    </row>
    <row r="741" spans="1:26"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96"/>
      <c r="U741" s="140"/>
      <c r="V741" s="140"/>
      <c r="W741" s="140"/>
      <c r="X741" s="140"/>
      <c r="Y741" s="140"/>
      <c r="Z741" s="140"/>
    </row>
    <row r="742" spans="1:26"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96"/>
      <c r="U742" s="140"/>
      <c r="V742" s="140"/>
      <c r="W742" s="140"/>
      <c r="X742" s="140"/>
      <c r="Y742" s="140"/>
      <c r="Z742" s="140"/>
    </row>
    <row r="743" spans="1:26"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96"/>
      <c r="U743" s="140"/>
      <c r="V743" s="140"/>
      <c r="W743" s="140"/>
      <c r="X743" s="140"/>
      <c r="Y743" s="140"/>
      <c r="Z743" s="140"/>
    </row>
    <row r="744" spans="1:26"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96"/>
      <c r="U744" s="140"/>
      <c r="V744" s="140"/>
      <c r="W744" s="140"/>
      <c r="X744" s="140"/>
      <c r="Y744" s="140"/>
      <c r="Z744" s="140"/>
    </row>
    <row r="745" spans="1:26"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96"/>
      <c r="U745" s="140"/>
      <c r="V745" s="140"/>
      <c r="W745" s="140"/>
      <c r="X745" s="140"/>
      <c r="Y745" s="140"/>
      <c r="Z745" s="140"/>
    </row>
    <row r="746" spans="1:26"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96"/>
      <c r="U746" s="140"/>
      <c r="V746" s="140"/>
      <c r="W746" s="140"/>
      <c r="X746" s="140"/>
      <c r="Y746" s="140"/>
      <c r="Z746" s="140"/>
    </row>
    <row r="747" spans="1:26"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96"/>
      <c r="U747" s="140"/>
      <c r="V747" s="140"/>
      <c r="W747" s="140"/>
      <c r="X747" s="140"/>
      <c r="Y747" s="140"/>
      <c r="Z747" s="140"/>
    </row>
    <row r="748" spans="1:26"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96"/>
      <c r="U748" s="140"/>
      <c r="V748" s="140"/>
      <c r="W748" s="140"/>
      <c r="X748" s="140"/>
      <c r="Y748" s="140"/>
      <c r="Z748" s="140"/>
    </row>
    <row r="749" spans="1:26"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96"/>
      <c r="U749" s="140"/>
      <c r="V749" s="140"/>
      <c r="W749" s="140"/>
      <c r="X749" s="140"/>
      <c r="Y749" s="140"/>
      <c r="Z749" s="140"/>
    </row>
    <row r="750" spans="1:26"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96"/>
      <c r="U750" s="140"/>
      <c r="V750" s="140"/>
      <c r="W750" s="140"/>
      <c r="X750" s="140"/>
      <c r="Y750" s="140"/>
      <c r="Z750" s="140"/>
    </row>
    <row r="751" spans="1:26"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96"/>
      <c r="U751" s="140"/>
      <c r="V751" s="140"/>
      <c r="W751" s="140"/>
      <c r="X751" s="140"/>
      <c r="Y751" s="140"/>
      <c r="Z751" s="140"/>
    </row>
    <row r="752" spans="1:26"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96"/>
      <c r="U752" s="140"/>
      <c r="V752" s="140"/>
      <c r="W752" s="140"/>
      <c r="X752" s="140"/>
      <c r="Y752" s="140"/>
      <c r="Z752" s="140"/>
    </row>
    <row r="753" spans="1:26"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96"/>
      <c r="U753" s="140"/>
      <c r="V753" s="140"/>
      <c r="W753" s="140"/>
      <c r="X753" s="140"/>
      <c r="Y753" s="140"/>
      <c r="Z753" s="140"/>
    </row>
    <row r="754" spans="1:26"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96"/>
      <c r="U754" s="140"/>
      <c r="V754" s="140"/>
      <c r="W754" s="140"/>
      <c r="X754" s="140"/>
      <c r="Y754" s="140"/>
      <c r="Z754" s="140"/>
    </row>
    <row r="755" spans="1:26"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96"/>
      <c r="U755" s="140"/>
      <c r="V755" s="140"/>
      <c r="W755" s="140"/>
      <c r="X755" s="140"/>
      <c r="Y755" s="140"/>
      <c r="Z755" s="140"/>
    </row>
    <row r="756" spans="1:26"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96"/>
      <c r="U756" s="140"/>
      <c r="V756" s="140"/>
      <c r="W756" s="140"/>
      <c r="X756" s="140"/>
      <c r="Y756" s="140"/>
      <c r="Z756" s="140"/>
    </row>
    <row r="757" spans="1:26"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96"/>
      <c r="U757" s="140"/>
      <c r="V757" s="140"/>
      <c r="W757" s="140"/>
      <c r="X757" s="140"/>
      <c r="Y757" s="140"/>
      <c r="Z757" s="140"/>
    </row>
    <row r="758" spans="1:26"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96"/>
      <c r="U758" s="140"/>
      <c r="V758" s="140"/>
      <c r="W758" s="140"/>
      <c r="X758" s="140"/>
      <c r="Y758" s="140"/>
      <c r="Z758" s="140"/>
    </row>
    <row r="759" spans="1:26"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96"/>
      <c r="U759" s="140"/>
      <c r="V759" s="140"/>
      <c r="W759" s="140"/>
      <c r="X759" s="140"/>
      <c r="Y759" s="140"/>
      <c r="Z759" s="140"/>
    </row>
    <row r="760" spans="1:26"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96"/>
      <c r="U760" s="140"/>
      <c r="V760" s="140"/>
      <c r="W760" s="140"/>
      <c r="X760" s="140"/>
      <c r="Y760" s="140"/>
      <c r="Z760" s="140"/>
    </row>
    <row r="761" spans="1:26"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96"/>
      <c r="U761" s="140"/>
      <c r="V761" s="140"/>
      <c r="W761" s="140"/>
      <c r="X761" s="140"/>
      <c r="Y761" s="140"/>
      <c r="Z761" s="140"/>
    </row>
    <row r="762" spans="1:26"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96"/>
      <c r="U762" s="140"/>
      <c r="V762" s="140"/>
      <c r="W762" s="140"/>
      <c r="X762" s="140"/>
      <c r="Y762" s="140"/>
      <c r="Z762" s="140"/>
    </row>
    <row r="763" spans="1:26"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96"/>
      <c r="U763" s="140"/>
      <c r="V763" s="140"/>
      <c r="W763" s="140"/>
      <c r="X763" s="140"/>
      <c r="Y763" s="140"/>
      <c r="Z763" s="140"/>
    </row>
    <row r="764" spans="1:26"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96"/>
      <c r="U764" s="140"/>
      <c r="V764" s="140"/>
      <c r="W764" s="140"/>
      <c r="X764" s="140"/>
      <c r="Y764" s="140"/>
      <c r="Z764" s="140"/>
    </row>
    <row r="765" spans="1:26"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96"/>
      <c r="U765" s="140"/>
      <c r="V765" s="140"/>
      <c r="W765" s="140"/>
      <c r="X765" s="140"/>
      <c r="Y765" s="140"/>
      <c r="Z765" s="140"/>
    </row>
    <row r="766" spans="1:26"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96"/>
      <c r="U766" s="140"/>
      <c r="V766" s="140"/>
      <c r="W766" s="140"/>
      <c r="X766" s="140"/>
      <c r="Y766" s="140"/>
      <c r="Z766" s="140"/>
    </row>
    <row r="767" spans="1:26"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96"/>
      <c r="U767" s="140"/>
      <c r="V767" s="140"/>
      <c r="W767" s="140"/>
      <c r="X767" s="140"/>
      <c r="Y767" s="140"/>
      <c r="Z767" s="140"/>
    </row>
    <row r="768" spans="1:26"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96"/>
      <c r="U768" s="140"/>
      <c r="V768" s="140"/>
      <c r="W768" s="140"/>
      <c r="X768" s="140"/>
      <c r="Y768" s="140"/>
      <c r="Z768" s="140"/>
    </row>
    <row r="769" spans="1:26"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96"/>
      <c r="U769" s="140"/>
      <c r="V769" s="140"/>
      <c r="W769" s="140"/>
      <c r="X769" s="140"/>
      <c r="Y769" s="140"/>
      <c r="Z769" s="140"/>
    </row>
    <row r="770" spans="1:26"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96"/>
      <c r="U770" s="140"/>
      <c r="V770" s="140"/>
      <c r="W770" s="140"/>
      <c r="X770" s="140"/>
      <c r="Y770" s="140"/>
      <c r="Z770" s="140"/>
    </row>
    <row r="771" spans="1:26"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96"/>
      <c r="U771" s="140"/>
      <c r="V771" s="140"/>
      <c r="W771" s="140"/>
      <c r="X771" s="140"/>
      <c r="Y771" s="140"/>
      <c r="Z771" s="140"/>
    </row>
    <row r="772" spans="1:26"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96"/>
      <c r="U772" s="140"/>
      <c r="V772" s="140"/>
      <c r="W772" s="140"/>
      <c r="X772" s="140"/>
      <c r="Y772" s="140"/>
      <c r="Z772" s="140"/>
    </row>
    <row r="773" spans="1:26"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96"/>
      <c r="U773" s="140"/>
      <c r="V773" s="140"/>
      <c r="W773" s="140"/>
      <c r="X773" s="140"/>
      <c r="Y773" s="140"/>
      <c r="Z773" s="140"/>
    </row>
    <row r="774" spans="1:26"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96"/>
      <c r="U774" s="140"/>
      <c r="V774" s="140"/>
      <c r="W774" s="140"/>
      <c r="X774" s="140"/>
      <c r="Y774" s="140"/>
      <c r="Z774" s="140"/>
    </row>
    <row r="775" spans="1:26"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96"/>
      <c r="U775" s="140"/>
      <c r="V775" s="140"/>
      <c r="W775" s="140"/>
      <c r="X775" s="140"/>
      <c r="Y775" s="140"/>
      <c r="Z775" s="140"/>
    </row>
    <row r="776" spans="1:26"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96"/>
      <c r="U776" s="140"/>
      <c r="V776" s="140"/>
      <c r="W776" s="140"/>
      <c r="X776" s="140"/>
      <c r="Y776" s="140"/>
      <c r="Z776" s="140"/>
    </row>
    <row r="777" spans="1:26"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96"/>
      <c r="U777" s="140"/>
      <c r="V777" s="140"/>
      <c r="W777" s="140"/>
      <c r="X777" s="140"/>
      <c r="Y777" s="140"/>
      <c r="Z777" s="140"/>
    </row>
    <row r="778" spans="1:26"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96"/>
      <c r="U778" s="140"/>
      <c r="V778" s="140"/>
      <c r="W778" s="140"/>
      <c r="X778" s="140"/>
      <c r="Y778" s="140"/>
      <c r="Z778" s="140"/>
    </row>
    <row r="779" spans="1:26"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96"/>
      <c r="U779" s="140"/>
      <c r="V779" s="140"/>
      <c r="W779" s="140"/>
      <c r="X779" s="140"/>
      <c r="Y779" s="140"/>
      <c r="Z779" s="140"/>
    </row>
    <row r="780" spans="1:26"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96"/>
      <c r="U780" s="140"/>
      <c r="V780" s="140"/>
      <c r="W780" s="140"/>
      <c r="X780" s="140"/>
      <c r="Y780" s="140"/>
      <c r="Z780" s="140"/>
    </row>
    <row r="781" spans="1:26"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96"/>
      <c r="U781" s="140"/>
      <c r="V781" s="140"/>
      <c r="W781" s="140"/>
      <c r="X781" s="140"/>
      <c r="Y781" s="140"/>
      <c r="Z781" s="140"/>
    </row>
    <row r="782" spans="1:26"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96"/>
      <c r="U782" s="140"/>
      <c r="V782" s="140"/>
      <c r="W782" s="140"/>
      <c r="X782" s="140"/>
      <c r="Y782" s="140"/>
      <c r="Z782" s="140"/>
    </row>
    <row r="783" spans="1:26"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96"/>
      <c r="U783" s="140"/>
      <c r="V783" s="140"/>
      <c r="W783" s="140"/>
      <c r="X783" s="140"/>
      <c r="Y783" s="140"/>
      <c r="Z783" s="140"/>
    </row>
    <row r="784" spans="1:26"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96"/>
      <c r="U784" s="140"/>
      <c r="V784" s="140"/>
      <c r="W784" s="140"/>
      <c r="X784" s="140"/>
      <c r="Y784" s="140"/>
      <c r="Z784" s="140"/>
    </row>
    <row r="785" spans="1:26"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96"/>
      <c r="U785" s="140"/>
      <c r="V785" s="140"/>
      <c r="W785" s="140"/>
      <c r="X785" s="140"/>
      <c r="Y785" s="140"/>
      <c r="Z785" s="140"/>
    </row>
    <row r="786" spans="1:26"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96"/>
      <c r="U786" s="140"/>
      <c r="V786" s="140"/>
      <c r="W786" s="140"/>
      <c r="X786" s="140"/>
      <c r="Y786" s="140"/>
      <c r="Z786" s="140"/>
    </row>
    <row r="787" spans="1:26"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96"/>
      <c r="U787" s="140"/>
      <c r="V787" s="140"/>
      <c r="W787" s="140"/>
      <c r="X787" s="140"/>
      <c r="Y787" s="140"/>
      <c r="Z787" s="140"/>
    </row>
    <row r="788" spans="1:26"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96"/>
      <c r="U788" s="140"/>
      <c r="V788" s="140"/>
      <c r="W788" s="140"/>
      <c r="X788" s="140"/>
      <c r="Y788" s="140"/>
      <c r="Z788" s="140"/>
    </row>
    <row r="789" spans="1:26"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96"/>
      <c r="U789" s="140"/>
      <c r="V789" s="140"/>
      <c r="W789" s="140"/>
      <c r="X789" s="140"/>
      <c r="Y789" s="140"/>
      <c r="Z789" s="140"/>
    </row>
    <row r="790" spans="1:26"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96"/>
      <c r="U790" s="140"/>
      <c r="V790" s="140"/>
      <c r="W790" s="140"/>
      <c r="X790" s="140"/>
      <c r="Y790" s="140"/>
      <c r="Z790" s="140"/>
    </row>
    <row r="791" spans="1:26"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96"/>
      <c r="U791" s="140"/>
      <c r="V791" s="140"/>
      <c r="W791" s="140"/>
      <c r="X791" s="140"/>
      <c r="Y791" s="140"/>
      <c r="Z791" s="140"/>
    </row>
    <row r="792" spans="1:26"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96"/>
      <c r="U792" s="140"/>
      <c r="V792" s="140"/>
      <c r="W792" s="140"/>
      <c r="X792" s="140"/>
      <c r="Y792" s="140"/>
      <c r="Z792" s="140"/>
    </row>
    <row r="793" spans="1:26"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96"/>
      <c r="U793" s="140"/>
      <c r="V793" s="140"/>
      <c r="W793" s="140"/>
      <c r="X793" s="140"/>
      <c r="Y793" s="140"/>
      <c r="Z793" s="140"/>
    </row>
    <row r="794" spans="1:26"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96"/>
      <c r="U794" s="140"/>
      <c r="V794" s="140"/>
      <c r="W794" s="140"/>
      <c r="X794" s="140"/>
      <c r="Y794" s="140"/>
      <c r="Z794" s="140"/>
    </row>
    <row r="795" spans="1:26"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96"/>
      <c r="U795" s="140"/>
      <c r="V795" s="140"/>
      <c r="W795" s="140"/>
      <c r="X795" s="140"/>
      <c r="Y795" s="140"/>
      <c r="Z795" s="140"/>
    </row>
    <row r="796" spans="1:26"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96"/>
      <c r="U796" s="140"/>
      <c r="V796" s="140"/>
      <c r="W796" s="140"/>
      <c r="X796" s="140"/>
      <c r="Y796" s="140"/>
      <c r="Z796" s="140"/>
    </row>
    <row r="797" spans="1:26"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96"/>
      <c r="U797" s="140"/>
      <c r="V797" s="140"/>
      <c r="W797" s="140"/>
      <c r="X797" s="140"/>
      <c r="Y797" s="140"/>
      <c r="Z797" s="140"/>
    </row>
    <row r="798" spans="1:26"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96"/>
      <c r="U798" s="140"/>
      <c r="V798" s="140"/>
      <c r="W798" s="140"/>
      <c r="X798" s="140"/>
      <c r="Y798" s="140"/>
      <c r="Z798" s="140"/>
    </row>
    <row r="799" spans="1:26"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96"/>
      <c r="U799" s="140"/>
      <c r="V799" s="140"/>
      <c r="W799" s="140"/>
      <c r="X799" s="140"/>
      <c r="Y799" s="140"/>
      <c r="Z799" s="140"/>
    </row>
    <row r="800" spans="1:26"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96"/>
      <c r="U800" s="140"/>
      <c r="V800" s="140"/>
      <c r="W800" s="140"/>
      <c r="X800" s="140"/>
      <c r="Y800" s="140"/>
      <c r="Z800" s="140"/>
    </row>
    <row r="801" spans="1:26"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96"/>
      <c r="U801" s="140"/>
      <c r="V801" s="140"/>
      <c r="W801" s="140"/>
      <c r="X801" s="140"/>
      <c r="Y801" s="140"/>
      <c r="Z801" s="140"/>
    </row>
    <row r="802" spans="1:26"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96"/>
      <c r="U802" s="140"/>
      <c r="V802" s="140"/>
      <c r="W802" s="140"/>
      <c r="X802" s="140"/>
      <c r="Y802" s="140"/>
      <c r="Z802" s="140"/>
    </row>
    <row r="803" spans="1:26"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96"/>
      <c r="U803" s="140"/>
      <c r="V803" s="140"/>
      <c r="W803" s="140"/>
      <c r="X803" s="140"/>
      <c r="Y803" s="140"/>
      <c r="Z803" s="140"/>
    </row>
    <row r="804" spans="1:26"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96"/>
      <c r="U804" s="140"/>
      <c r="V804" s="140"/>
      <c r="W804" s="140"/>
      <c r="X804" s="140"/>
      <c r="Y804" s="140"/>
      <c r="Z804" s="140"/>
    </row>
    <row r="805" spans="1:26"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96"/>
      <c r="U805" s="140"/>
      <c r="V805" s="140"/>
      <c r="W805" s="140"/>
      <c r="X805" s="140"/>
      <c r="Y805" s="140"/>
      <c r="Z805" s="140"/>
    </row>
    <row r="806" spans="1:26"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96"/>
      <c r="U806" s="140"/>
      <c r="V806" s="140"/>
      <c r="W806" s="140"/>
      <c r="X806" s="140"/>
      <c r="Y806" s="140"/>
      <c r="Z806" s="140"/>
    </row>
    <row r="807" spans="1:26"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96"/>
      <c r="U807" s="140"/>
      <c r="V807" s="140"/>
      <c r="W807" s="140"/>
      <c r="X807" s="140"/>
      <c r="Y807" s="140"/>
      <c r="Z807" s="140"/>
    </row>
    <row r="808" spans="1:26"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96"/>
      <c r="U808" s="140"/>
      <c r="V808" s="140"/>
      <c r="W808" s="140"/>
      <c r="X808" s="140"/>
      <c r="Y808" s="140"/>
      <c r="Z808" s="140"/>
    </row>
    <row r="809" spans="1:26"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96"/>
      <c r="U809" s="140"/>
      <c r="V809" s="140"/>
      <c r="W809" s="140"/>
      <c r="X809" s="140"/>
      <c r="Y809" s="140"/>
      <c r="Z809" s="140"/>
    </row>
    <row r="810" spans="1:26"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96"/>
      <c r="U810" s="140"/>
      <c r="V810" s="140"/>
      <c r="W810" s="140"/>
      <c r="X810" s="140"/>
      <c r="Y810" s="140"/>
      <c r="Z810" s="140"/>
    </row>
    <row r="811" spans="1:26"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96"/>
      <c r="U811" s="140"/>
      <c r="V811" s="140"/>
      <c r="W811" s="140"/>
      <c r="X811" s="140"/>
      <c r="Y811" s="140"/>
      <c r="Z811" s="140"/>
    </row>
    <row r="812" spans="1:26"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96"/>
      <c r="U812" s="140"/>
      <c r="V812" s="140"/>
      <c r="W812" s="140"/>
      <c r="X812" s="140"/>
      <c r="Y812" s="140"/>
      <c r="Z812" s="140"/>
    </row>
    <row r="813" spans="1:26"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96"/>
      <c r="U813" s="140"/>
      <c r="V813" s="140"/>
      <c r="W813" s="140"/>
      <c r="X813" s="140"/>
      <c r="Y813" s="140"/>
      <c r="Z813" s="140"/>
    </row>
    <row r="814" spans="1:26"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96"/>
      <c r="U814" s="140"/>
      <c r="V814" s="140"/>
      <c r="W814" s="140"/>
      <c r="X814" s="140"/>
      <c r="Y814" s="140"/>
      <c r="Z814" s="140"/>
    </row>
    <row r="815" spans="1:26"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96"/>
      <c r="U815" s="140"/>
      <c r="V815" s="140"/>
      <c r="W815" s="140"/>
      <c r="X815" s="140"/>
      <c r="Y815" s="140"/>
      <c r="Z815" s="140"/>
    </row>
    <row r="816" spans="1:26"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96"/>
      <c r="U816" s="140"/>
      <c r="V816" s="140"/>
      <c r="W816" s="140"/>
      <c r="X816" s="140"/>
      <c r="Y816" s="140"/>
      <c r="Z816" s="140"/>
    </row>
    <row r="817" spans="1:26"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96"/>
      <c r="U817" s="140"/>
      <c r="V817" s="140"/>
      <c r="W817" s="140"/>
      <c r="X817" s="140"/>
      <c r="Y817" s="140"/>
      <c r="Z817" s="140"/>
    </row>
    <row r="818" spans="1:26"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96"/>
      <c r="U818" s="140"/>
      <c r="V818" s="140"/>
      <c r="W818" s="140"/>
      <c r="X818" s="140"/>
      <c r="Y818" s="140"/>
      <c r="Z818" s="140"/>
    </row>
    <row r="819" spans="1:26"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96"/>
      <c r="U819" s="140"/>
      <c r="V819" s="140"/>
      <c r="W819" s="140"/>
      <c r="X819" s="140"/>
      <c r="Y819" s="140"/>
      <c r="Z819" s="140"/>
    </row>
    <row r="820" spans="1:26"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96"/>
      <c r="U820" s="140"/>
      <c r="V820" s="140"/>
      <c r="W820" s="140"/>
      <c r="X820" s="140"/>
      <c r="Y820" s="140"/>
      <c r="Z820" s="140"/>
    </row>
    <row r="821" spans="1:26"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96"/>
      <c r="U821" s="140"/>
      <c r="V821" s="140"/>
      <c r="W821" s="140"/>
      <c r="X821" s="140"/>
      <c r="Y821" s="140"/>
      <c r="Z821" s="140"/>
    </row>
    <row r="822" spans="1:26"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96"/>
      <c r="U822" s="140"/>
      <c r="V822" s="140"/>
      <c r="W822" s="140"/>
      <c r="X822" s="140"/>
      <c r="Y822" s="140"/>
      <c r="Z822" s="140"/>
    </row>
    <row r="823" spans="1:26"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96"/>
      <c r="U823" s="140"/>
      <c r="V823" s="140"/>
      <c r="W823" s="140"/>
      <c r="X823" s="140"/>
      <c r="Y823" s="140"/>
      <c r="Z823" s="140"/>
    </row>
    <row r="824" spans="1:26"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96"/>
      <c r="U824" s="140"/>
      <c r="V824" s="140"/>
      <c r="W824" s="140"/>
      <c r="X824" s="140"/>
      <c r="Y824" s="140"/>
      <c r="Z824" s="140"/>
    </row>
    <row r="825" spans="1:26"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96"/>
      <c r="U825" s="140"/>
      <c r="V825" s="140"/>
      <c r="W825" s="140"/>
      <c r="X825" s="140"/>
      <c r="Y825" s="140"/>
      <c r="Z825" s="140"/>
    </row>
    <row r="826" spans="1:26"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96"/>
      <c r="U826" s="140"/>
      <c r="V826" s="140"/>
      <c r="W826" s="140"/>
      <c r="X826" s="140"/>
      <c r="Y826" s="140"/>
      <c r="Z826" s="140"/>
    </row>
    <row r="827" spans="1:26"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96"/>
      <c r="U827" s="140"/>
      <c r="V827" s="140"/>
      <c r="W827" s="140"/>
      <c r="X827" s="140"/>
      <c r="Y827" s="140"/>
      <c r="Z827" s="140"/>
    </row>
    <row r="828" spans="1:26"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96"/>
      <c r="U828" s="140"/>
      <c r="V828" s="140"/>
      <c r="W828" s="140"/>
      <c r="X828" s="140"/>
      <c r="Y828" s="140"/>
      <c r="Z828" s="140"/>
    </row>
    <row r="829" spans="1:26"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96"/>
      <c r="U829" s="140"/>
      <c r="V829" s="140"/>
      <c r="W829" s="140"/>
      <c r="X829" s="140"/>
      <c r="Y829" s="140"/>
      <c r="Z829" s="140"/>
    </row>
    <row r="830" spans="1:26"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96"/>
      <c r="U830" s="140"/>
      <c r="V830" s="140"/>
      <c r="W830" s="140"/>
      <c r="X830" s="140"/>
      <c r="Y830" s="140"/>
      <c r="Z830" s="140"/>
    </row>
    <row r="831" spans="1:26"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96"/>
      <c r="U831" s="140"/>
      <c r="V831" s="140"/>
      <c r="W831" s="140"/>
      <c r="X831" s="140"/>
      <c r="Y831" s="140"/>
      <c r="Z831" s="140"/>
    </row>
    <row r="832" spans="1:26"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96"/>
      <c r="U832" s="140"/>
      <c r="V832" s="140"/>
      <c r="W832" s="140"/>
      <c r="X832" s="140"/>
      <c r="Y832" s="140"/>
      <c r="Z832" s="140"/>
    </row>
    <row r="833" spans="1:26"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96"/>
      <c r="U833" s="140"/>
      <c r="V833" s="140"/>
      <c r="W833" s="140"/>
      <c r="X833" s="140"/>
      <c r="Y833" s="140"/>
      <c r="Z833" s="140"/>
    </row>
    <row r="834" spans="1:26"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96"/>
      <c r="U834" s="140"/>
      <c r="V834" s="140"/>
      <c r="W834" s="140"/>
      <c r="X834" s="140"/>
      <c r="Y834" s="140"/>
      <c r="Z834" s="140"/>
    </row>
    <row r="835" spans="1:26"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96"/>
      <c r="U835" s="140"/>
      <c r="V835" s="140"/>
      <c r="W835" s="140"/>
      <c r="X835" s="140"/>
      <c r="Y835" s="140"/>
      <c r="Z835" s="140"/>
    </row>
    <row r="836" spans="1:26"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96"/>
      <c r="U836" s="140"/>
      <c r="V836" s="140"/>
      <c r="W836" s="140"/>
      <c r="X836" s="140"/>
      <c r="Y836" s="140"/>
      <c r="Z836" s="140"/>
    </row>
    <row r="837" spans="1:26"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96"/>
      <c r="U837" s="140"/>
      <c r="V837" s="140"/>
      <c r="W837" s="140"/>
      <c r="X837" s="140"/>
      <c r="Y837" s="140"/>
      <c r="Z837" s="140"/>
    </row>
    <row r="838" spans="1:26"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96"/>
      <c r="U838" s="140"/>
      <c r="V838" s="140"/>
      <c r="W838" s="140"/>
      <c r="X838" s="140"/>
      <c r="Y838" s="140"/>
      <c r="Z838" s="140"/>
    </row>
    <row r="839" spans="1:26"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96"/>
      <c r="U839" s="140"/>
      <c r="V839" s="140"/>
      <c r="W839" s="140"/>
      <c r="X839" s="140"/>
      <c r="Y839" s="140"/>
      <c r="Z839" s="140"/>
    </row>
    <row r="840" spans="1:26"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96"/>
      <c r="U840" s="140"/>
      <c r="V840" s="140"/>
      <c r="W840" s="140"/>
      <c r="X840" s="140"/>
      <c r="Y840" s="140"/>
      <c r="Z840" s="140"/>
    </row>
    <row r="841" spans="1:26"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96"/>
      <c r="U841" s="140"/>
      <c r="V841" s="140"/>
      <c r="W841" s="140"/>
      <c r="X841" s="140"/>
      <c r="Y841" s="140"/>
      <c r="Z841" s="140"/>
    </row>
    <row r="842" spans="1:26"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96"/>
      <c r="U842" s="140"/>
      <c r="V842" s="140"/>
      <c r="W842" s="140"/>
      <c r="X842" s="140"/>
      <c r="Y842" s="140"/>
      <c r="Z842" s="140"/>
    </row>
    <row r="843" spans="1:26"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96"/>
      <c r="U843" s="140"/>
      <c r="V843" s="140"/>
      <c r="W843" s="140"/>
      <c r="X843" s="140"/>
      <c r="Y843" s="140"/>
      <c r="Z843" s="140"/>
    </row>
    <row r="844" spans="1:26"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96"/>
      <c r="U844" s="140"/>
      <c r="V844" s="140"/>
      <c r="W844" s="140"/>
      <c r="X844" s="140"/>
      <c r="Y844" s="140"/>
      <c r="Z844" s="140"/>
    </row>
    <row r="845" spans="1:26"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96"/>
      <c r="U845" s="140"/>
      <c r="V845" s="140"/>
      <c r="W845" s="140"/>
      <c r="X845" s="140"/>
      <c r="Y845" s="140"/>
      <c r="Z845" s="140"/>
    </row>
    <row r="846" spans="1:26"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96"/>
      <c r="U846" s="140"/>
      <c r="V846" s="140"/>
      <c r="W846" s="140"/>
      <c r="X846" s="140"/>
      <c r="Y846" s="140"/>
      <c r="Z846" s="140"/>
    </row>
    <row r="847" spans="1:26"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96"/>
      <c r="U847" s="140"/>
      <c r="V847" s="140"/>
      <c r="W847" s="140"/>
      <c r="X847" s="140"/>
      <c r="Y847" s="140"/>
      <c r="Z847" s="140"/>
    </row>
    <row r="848" spans="1:26"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96"/>
      <c r="U848" s="140"/>
      <c r="V848" s="140"/>
      <c r="W848" s="140"/>
      <c r="X848" s="140"/>
      <c r="Y848" s="140"/>
      <c r="Z848" s="140"/>
    </row>
    <row r="849" spans="1:26"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96"/>
      <c r="U849" s="140"/>
      <c r="V849" s="140"/>
      <c r="W849" s="140"/>
      <c r="X849" s="140"/>
      <c r="Y849" s="140"/>
      <c r="Z849" s="140"/>
    </row>
    <row r="850" spans="1:26"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96"/>
      <c r="U850" s="140"/>
      <c r="V850" s="140"/>
      <c r="W850" s="140"/>
      <c r="X850" s="140"/>
      <c r="Y850" s="140"/>
      <c r="Z850" s="140"/>
    </row>
    <row r="851" spans="1:26"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96"/>
      <c r="U851" s="140"/>
      <c r="V851" s="140"/>
      <c r="W851" s="140"/>
      <c r="X851" s="140"/>
      <c r="Y851" s="140"/>
      <c r="Z851" s="140"/>
    </row>
    <row r="852" spans="1:26"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96"/>
      <c r="U852" s="140"/>
      <c r="V852" s="140"/>
      <c r="W852" s="140"/>
      <c r="X852" s="140"/>
      <c r="Y852" s="140"/>
      <c r="Z852" s="140"/>
    </row>
    <row r="853" spans="1:26"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96"/>
      <c r="U853" s="140"/>
      <c r="V853" s="140"/>
      <c r="W853" s="140"/>
      <c r="X853" s="140"/>
      <c r="Y853" s="140"/>
      <c r="Z853" s="140"/>
    </row>
    <row r="854" spans="1:26"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96"/>
      <c r="U854" s="140"/>
      <c r="V854" s="140"/>
      <c r="W854" s="140"/>
      <c r="X854" s="140"/>
      <c r="Y854" s="140"/>
      <c r="Z854" s="140"/>
    </row>
    <row r="855" spans="1:26"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96"/>
      <c r="U855" s="140"/>
      <c r="V855" s="140"/>
      <c r="W855" s="140"/>
      <c r="X855" s="140"/>
      <c r="Y855" s="140"/>
      <c r="Z855" s="140"/>
    </row>
    <row r="856" spans="1:26"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96"/>
      <c r="U856" s="140"/>
      <c r="V856" s="140"/>
      <c r="W856" s="140"/>
      <c r="X856" s="140"/>
      <c r="Y856" s="140"/>
      <c r="Z856" s="140"/>
    </row>
    <row r="857" spans="1:26"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96"/>
      <c r="U857" s="140"/>
      <c r="V857" s="140"/>
      <c r="W857" s="140"/>
      <c r="X857" s="140"/>
      <c r="Y857" s="140"/>
      <c r="Z857" s="140"/>
    </row>
    <row r="858" spans="1:26"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96"/>
      <c r="U858" s="140"/>
      <c r="V858" s="140"/>
      <c r="W858" s="140"/>
      <c r="X858" s="140"/>
      <c r="Y858" s="140"/>
      <c r="Z858" s="140"/>
    </row>
    <row r="859" spans="1:26"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96"/>
      <c r="U859" s="140"/>
      <c r="V859" s="140"/>
      <c r="W859" s="140"/>
      <c r="X859" s="140"/>
      <c r="Y859" s="140"/>
      <c r="Z859" s="140"/>
    </row>
    <row r="860" spans="1:26"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96"/>
      <c r="U860" s="140"/>
      <c r="V860" s="140"/>
      <c r="W860" s="140"/>
      <c r="X860" s="140"/>
      <c r="Y860" s="140"/>
      <c r="Z860" s="140"/>
    </row>
    <row r="861" spans="1:26"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96"/>
      <c r="U861" s="140"/>
      <c r="V861" s="140"/>
      <c r="W861" s="140"/>
      <c r="X861" s="140"/>
      <c r="Y861" s="140"/>
      <c r="Z861" s="140"/>
    </row>
    <row r="862" spans="1:26"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96"/>
      <c r="U862" s="140"/>
      <c r="V862" s="140"/>
      <c r="W862" s="140"/>
      <c r="X862" s="140"/>
      <c r="Y862" s="140"/>
      <c r="Z862" s="140"/>
    </row>
    <row r="863" spans="1:26"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96"/>
      <c r="U863" s="140"/>
      <c r="V863" s="140"/>
      <c r="W863" s="140"/>
      <c r="X863" s="140"/>
      <c r="Y863" s="140"/>
      <c r="Z863" s="140"/>
    </row>
    <row r="864" spans="1:26"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96"/>
      <c r="U864" s="140"/>
      <c r="V864" s="140"/>
      <c r="W864" s="140"/>
      <c r="X864" s="140"/>
      <c r="Y864" s="140"/>
      <c r="Z864" s="140"/>
    </row>
    <row r="865" spans="1:26"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96"/>
      <c r="U865" s="140"/>
      <c r="V865" s="140"/>
      <c r="W865" s="140"/>
      <c r="X865" s="140"/>
      <c r="Y865" s="140"/>
      <c r="Z865" s="140"/>
    </row>
    <row r="866" spans="1:26"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96"/>
      <c r="U866" s="140"/>
      <c r="V866" s="140"/>
      <c r="W866" s="140"/>
      <c r="X866" s="140"/>
      <c r="Y866" s="140"/>
      <c r="Z866" s="140"/>
    </row>
    <row r="867" spans="1:26"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96"/>
      <c r="U867" s="140"/>
      <c r="V867" s="140"/>
      <c r="W867" s="140"/>
      <c r="X867" s="140"/>
      <c r="Y867" s="140"/>
      <c r="Z867" s="140"/>
    </row>
    <row r="868" spans="1:26"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96"/>
      <c r="U868" s="140"/>
      <c r="V868" s="140"/>
      <c r="W868" s="140"/>
      <c r="X868" s="140"/>
      <c r="Y868" s="140"/>
      <c r="Z868" s="140"/>
    </row>
    <row r="869" spans="1:26"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96"/>
      <c r="U869" s="140"/>
      <c r="V869" s="140"/>
      <c r="W869" s="140"/>
      <c r="X869" s="140"/>
      <c r="Y869" s="140"/>
      <c r="Z869" s="140"/>
    </row>
    <row r="870" spans="1:26"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96"/>
      <c r="U870" s="140"/>
      <c r="V870" s="140"/>
      <c r="W870" s="140"/>
      <c r="X870" s="140"/>
      <c r="Y870" s="140"/>
      <c r="Z870" s="140"/>
    </row>
    <row r="871" spans="1:26"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96"/>
      <c r="U871" s="140"/>
      <c r="V871" s="140"/>
      <c r="W871" s="140"/>
      <c r="X871" s="140"/>
      <c r="Y871" s="140"/>
      <c r="Z871" s="140"/>
    </row>
    <row r="872" spans="1:26"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96"/>
      <c r="U872" s="140"/>
      <c r="V872" s="140"/>
      <c r="W872" s="140"/>
      <c r="X872" s="140"/>
      <c r="Y872" s="140"/>
      <c r="Z872" s="140"/>
    </row>
    <row r="873" spans="1:26"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96"/>
      <c r="U873" s="140"/>
      <c r="V873" s="140"/>
      <c r="W873" s="140"/>
      <c r="X873" s="140"/>
      <c r="Y873" s="140"/>
      <c r="Z873" s="140"/>
    </row>
    <row r="874" spans="1:26"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96"/>
      <c r="U874" s="140"/>
      <c r="V874" s="140"/>
      <c r="W874" s="140"/>
      <c r="X874" s="140"/>
      <c r="Y874" s="140"/>
      <c r="Z874" s="140"/>
    </row>
    <row r="875" spans="1:26"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96"/>
      <c r="U875" s="140"/>
      <c r="V875" s="140"/>
      <c r="W875" s="140"/>
      <c r="X875" s="140"/>
      <c r="Y875" s="140"/>
      <c r="Z875" s="140"/>
    </row>
    <row r="876" spans="1:26"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96"/>
      <c r="U876" s="140"/>
      <c r="V876" s="140"/>
      <c r="W876" s="140"/>
      <c r="X876" s="140"/>
      <c r="Y876" s="140"/>
      <c r="Z876" s="140"/>
    </row>
    <row r="877" spans="1:26"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96"/>
      <c r="U877" s="140"/>
      <c r="V877" s="140"/>
      <c r="W877" s="140"/>
      <c r="X877" s="140"/>
      <c r="Y877" s="140"/>
      <c r="Z877" s="140"/>
    </row>
    <row r="878" spans="1:26"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96"/>
      <c r="U878" s="140"/>
      <c r="V878" s="140"/>
      <c r="W878" s="140"/>
      <c r="X878" s="140"/>
      <c r="Y878" s="140"/>
      <c r="Z878" s="140"/>
    </row>
    <row r="879" spans="1:26"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96"/>
      <c r="U879" s="140"/>
      <c r="V879" s="140"/>
      <c r="W879" s="140"/>
      <c r="X879" s="140"/>
      <c r="Y879" s="140"/>
      <c r="Z879" s="140"/>
    </row>
    <row r="880" spans="1:26"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96"/>
      <c r="U880" s="140"/>
      <c r="V880" s="140"/>
      <c r="W880" s="140"/>
      <c r="X880" s="140"/>
      <c r="Y880" s="140"/>
      <c r="Z880" s="140"/>
    </row>
    <row r="881" spans="1:26"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96"/>
      <c r="U881" s="140"/>
      <c r="V881" s="140"/>
      <c r="W881" s="140"/>
      <c r="X881" s="140"/>
      <c r="Y881" s="140"/>
      <c r="Z881" s="140"/>
    </row>
    <row r="882" spans="1:26"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96"/>
      <c r="U882" s="140"/>
      <c r="V882" s="140"/>
      <c r="W882" s="140"/>
      <c r="X882" s="140"/>
      <c r="Y882" s="140"/>
      <c r="Z882" s="140"/>
    </row>
    <row r="883" spans="1:26"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96"/>
      <c r="U883" s="140"/>
      <c r="V883" s="140"/>
      <c r="W883" s="140"/>
      <c r="X883" s="140"/>
      <c r="Y883" s="140"/>
      <c r="Z883" s="140"/>
    </row>
    <row r="884" spans="1:26"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96"/>
      <c r="U884" s="140"/>
      <c r="V884" s="140"/>
      <c r="W884" s="140"/>
      <c r="X884" s="140"/>
      <c r="Y884" s="140"/>
      <c r="Z884" s="140"/>
    </row>
    <row r="885" spans="1:26"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96"/>
      <c r="U885" s="140"/>
      <c r="V885" s="140"/>
      <c r="W885" s="140"/>
      <c r="X885" s="140"/>
      <c r="Y885" s="140"/>
      <c r="Z885" s="140"/>
    </row>
    <row r="886" spans="1:26"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96"/>
      <c r="U886" s="140"/>
      <c r="V886" s="140"/>
      <c r="W886" s="140"/>
      <c r="X886" s="140"/>
      <c r="Y886" s="140"/>
      <c r="Z886" s="140"/>
    </row>
    <row r="887" spans="1:26"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96"/>
      <c r="U887" s="140"/>
      <c r="V887" s="140"/>
      <c r="W887" s="140"/>
      <c r="X887" s="140"/>
      <c r="Y887" s="140"/>
      <c r="Z887" s="140"/>
    </row>
    <row r="888" spans="1:26"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96"/>
      <c r="U888" s="140"/>
      <c r="V888" s="140"/>
      <c r="W888" s="140"/>
      <c r="X888" s="140"/>
      <c r="Y888" s="140"/>
      <c r="Z888" s="140"/>
    </row>
    <row r="889" spans="1:26"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96"/>
      <c r="U889" s="140"/>
      <c r="V889" s="140"/>
      <c r="W889" s="140"/>
      <c r="X889" s="140"/>
      <c r="Y889" s="140"/>
      <c r="Z889" s="140"/>
    </row>
    <row r="890" spans="1:26"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96"/>
      <c r="U890" s="140"/>
      <c r="V890" s="140"/>
      <c r="W890" s="140"/>
      <c r="X890" s="140"/>
      <c r="Y890" s="140"/>
      <c r="Z890" s="140"/>
    </row>
    <row r="891" spans="1:26"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96"/>
      <c r="U891" s="140"/>
      <c r="V891" s="140"/>
      <c r="W891" s="140"/>
      <c r="X891" s="140"/>
      <c r="Y891" s="140"/>
      <c r="Z891" s="140"/>
    </row>
    <row r="892" spans="1:26"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96"/>
      <c r="U892" s="140"/>
      <c r="V892" s="140"/>
      <c r="W892" s="140"/>
      <c r="X892" s="140"/>
      <c r="Y892" s="140"/>
      <c r="Z892" s="140"/>
    </row>
    <row r="893" spans="1:26"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96"/>
      <c r="U893" s="140"/>
      <c r="V893" s="140"/>
      <c r="W893" s="140"/>
      <c r="X893" s="140"/>
      <c r="Y893" s="140"/>
      <c r="Z893" s="140"/>
    </row>
    <row r="894" spans="1:26"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96"/>
      <c r="U894" s="140"/>
      <c r="V894" s="140"/>
      <c r="W894" s="140"/>
      <c r="X894" s="140"/>
      <c r="Y894" s="140"/>
      <c r="Z894" s="140"/>
    </row>
    <row r="895" spans="1:26"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96"/>
      <c r="U895" s="140"/>
      <c r="V895" s="140"/>
      <c r="W895" s="140"/>
      <c r="X895" s="140"/>
      <c r="Y895" s="140"/>
      <c r="Z895" s="140"/>
    </row>
    <row r="896" spans="1:26"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96"/>
      <c r="U896" s="140"/>
      <c r="V896" s="140"/>
      <c r="W896" s="140"/>
      <c r="X896" s="140"/>
      <c r="Y896" s="140"/>
      <c r="Z896" s="140"/>
    </row>
    <row r="897" spans="1:26"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96"/>
      <c r="U897" s="140"/>
      <c r="V897" s="140"/>
      <c r="W897" s="140"/>
      <c r="X897" s="140"/>
      <c r="Y897" s="140"/>
      <c r="Z897" s="140"/>
    </row>
    <row r="898" spans="1:26"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96"/>
      <c r="U898" s="140"/>
      <c r="V898" s="140"/>
      <c r="W898" s="140"/>
      <c r="X898" s="140"/>
      <c r="Y898" s="140"/>
      <c r="Z898" s="140"/>
    </row>
    <row r="899" spans="1:26"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96"/>
      <c r="U899" s="140"/>
      <c r="V899" s="140"/>
      <c r="W899" s="140"/>
      <c r="X899" s="140"/>
      <c r="Y899" s="140"/>
      <c r="Z899" s="140"/>
    </row>
    <row r="900" spans="1:26"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96"/>
      <c r="U900" s="140"/>
      <c r="V900" s="140"/>
      <c r="W900" s="140"/>
      <c r="X900" s="140"/>
      <c r="Y900" s="140"/>
      <c r="Z900" s="140"/>
    </row>
    <row r="901" spans="1:26"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96"/>
      <c r="U901" s="140"/>
      <c r="V901" s="140"/>
      <c r="W901" s="140"/>
      <c r="X901" s="140"/>
      <c r="Y901" s="140"/>
      <c r="Z901" s="140"/>
    </row>
    <row r="902" spans="1:26"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96"/>
      <c r="U902" s="140"/>
      <c r="V902" s="140"/>
      <c r="W902" s="140"/>
      <c r="X902" s="140"/>
      <c r="Y902" s="140"/>
      <c r="Z902" s="140"/>
    </row>
    <row r="903" spans="1:26"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96"/>
      <c r="U903" s="140"/>
      <c r="V903" s="140"/>
      <c r="W903" s="140"/>
      <c r="X903" s="140"/>
      <c r="Y903" s="140"/>
      <c r="Z903" s="140"/>
    </row>
    <row r="904" spans="1:26"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96"/>
      <c r="U904" s="140"/>
      <c r="V904" s="140"/>
      <c r="W904" s="140"/>
      <c r="X904" s="140"/>
      <c r="Y904" s="140"/>
      <c r="Z904" s="140"/>
    </row>
    <row r="905" spans="1:26"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96"/>
      <c r="U905" s="140"/>
      <c r="V905" s="140"/>
      <c r="W905" s="140"/>
      <c r="X905" s="140"/>
      <c r="Y905" s="140"/>
      <c r="Z905" s="140"/>
    </row>
    <row r="906" spans="1:26"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96"/>
      <c r="U906" s="140"/>
      <c r="V906" s="140"/>
      <c r="W906" s="140"/>
      <c r="X906" s="140"/>
      <c r="Y906" s="140"/>
      <c r="Z906" s="140"/>
    </row>
    <row r="907" spans="1:26"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96"/>
      <c r="U907" s="140"/>
      <c r="V907" s="140"/>
      <c r="W907" s="140"/>
      <c r="X907" s="140"/>
      <c r="Y907" s="140"/>
      <c r="Z907" s="140"/>
    </row>
    <row r="908" spans="1:26"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96"/>
      <c r="U908" s="140"/>
      <c r="V908" s="140"/>
      <c r="W908" s="140"/>
      <c r="X908" s="140"/>
      <c r="Y908" s="140"/>
      <c r="Z908" s="140"/>
    </row>
    <row r="909" spans="1:26"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96"/>
      <c r="U909" s="140"/>
      <c r="V909" s="140"/>
      <c r="W909" s="140"/>
      <c r="X909" s="140"/>
      <c r="Y909" s="140"/>
      <c r="Z909" s="140"/>
    </row>
    <row r="910" spans="1:26"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96"/>
      <c r="U910" s="140"/>
      <c r="V910" s="140"/>
      <c r="W910" s="140"/>
      <c r="X910" s="140"/>
      <c r="Y910" s="140"/>
      <c r="Z910" s="140"/>
    </row>
    <row r="911" spans="1:26"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96"/>
      <c r="U911" s="140"/>
      <c r="V911" s="140"/>
      <c r="W911" s="140"/>
      <c r="X911" s="140"/>
      <c r="Y911" s="140"/>
      <c r="Z911" s="140"/>
    </row>
    <row r="912" spans="1:26"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96"/>
      <c r="U912" s="140"/>
      <c r="V912" s="140"/>
      <c r="W912" s="140"/>
      <c r="X912" s="140"/>
      <c r="Y912" s="140"/>
      <c r="Z912" s="140"/>
    </row>
    <row r="913" spans="1:26"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96"/>
      <c r="U913" s="140"/>
      <c r="V913" s="140"/>
      <c r="W913" s="140"/>
      <c r="X913" s="140"/>
      <c r="Y913" s="140"/>
      <c r="Z913" s="140"/>
    </row>
    <row r="914" spans="1:26"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96"/>
      <c r="U914" s="140"/>
      <c r="V914" s="140"/>
      <c r="W914" s="140"/>
      <c r="X914" s="140"/>
      <c r="Y914" s="140"/>
      <c r="Z914" s="140"/>
    </row>
    <row r="915" spans="1:26"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96"/>
      <c r="U915" s="140"/>
      <c r="V915" s="140"/>
      <c r="W915" s="140"/>
      <c r="X915" s="140"/>
      <c r="Y915" s="140"/>
      <c r="Z915" s="140"/>
    </row>
    <row r="916" spans="1:26"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96"/>
      <c r="U916" s="140"/>
      <c r="V916" s="140"/>
      <c r="W916" s="140"/>
      <c r="X916" s="140"/>
      <c r="Y916" s="140"/>
      <c r="Z916" s="140"/>
    </row>
    <row r="917" spans="1:26"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96"/>
      <c r="U917" s="140"/>
      <c r="V917" s="140"/>
      <c r="W917" s="140"/>
      <c r="X917" s="140"/>
      <c r="Y917" s="140"/>
      <c r="Z917" s="140"/>
    </row>
    <row r="918" spans="1:26"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96"/>
      <c r="U918" s="140"/>
      <c r="V918" s="140"/>
      <c r="W918" s="140"/>
      <c r="X918" s="140"/>
      <c r="Y918" s="140"/>
      <c r="Z918" s="140"/>
    </row>
    <row r="919" spans="1:26"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96"/>
      <c r="U919" s="140"/>
      <c r="V919" s="140"/>
      <c r="W919" s="140"/>
      <c r="X919" s="140"/>
      <c r="Y919" s="140"/>
      <c r="Z919" s="140"/>
    </row>
    <row r="920" spans="1:26"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96"/>
      <c r="U920" s="140"/>
      <c r="V920" s="140"/>
      <c r="W920" s="140"/>
      <c r="X920" s="140"/>
      <c r="Y920" s="140"/>
      <c r="Z920" s="140"/>
    </row>
    <row r="921" spans="1:26"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96"/>
      <c r="U921" s="140"/>
      <c r="V921" s="140"/>
      <c r="W921" s="140"/>
      <c r="X921" s="140"/>
      <c r="Y921" s="140"/>
      <c r="Z921" s="140"/>
    </row>
    <row r="922" spans="1:26"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96"/>
      <c r="U922" s="140"/>
      <c r="V922" s="140"/>
      <c r="W922" s="140"/>
      <c r="X922" s="140"/>
      <c r="Y922" s="140"/>
      <c r="Z922" s="140"/>
    </row>
    <row r="923" spans="1:26"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96"/>
      <c r="U923" s="140"/>
      <c r="V923" s="140"/>
      <c r="W923" s="140"/>
      <c r="X923" s="140"/>
      <c r="Y923" s="140"/>
      <c r="Z923" s="140"/>
    </row>
    <row r="924" spans="1:26"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96"/>
      <c r="U924" s="140"/>
      <c r="V924" s="140"/>
      <c r="W924" s="140"/>
      <c r="X924" s="140"/>
      <c r="Y924" s="140"/>
      <c r="Z924" s="140"/>
    </row>
    <row r="925" spans="1:26"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96"/>
      <c r="U925" s="140"/>
      <c r="V925" s="140"/>
      <c r="W925" s="140"/>
      <c r="X925" s="140"/>
      <c r="Y925" s="140"/>
      <c r="Z925" s="140"/>
    </row>
    <row r="926" spans="1:26"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96"/>
      <c r="U926" s="140"/>
      <c r="V926" s="140"/>
      <c r="W926" s="140"/>
      <c r="X926" s="140"/>
      <c r="Y926" s="140"/>
      <c r="Z926" s="140"/>
    </row>
    <row r="927" spans="1:26"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96"/>
      <c r="U927" s="140"/>
      <c r="V927" s="140"/>
      <c r="W927" s="140"/>
      <c r="X927" s="140"/>
      <c r="Y927" s="140"/>
      <c r="Z927" s="140"/>
    </row>
    <row r="928" spans="1:26"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96"/>
      <c r="U928" s="140"/>
      <c r="V928" s="140"/>
      <c r="W928" s="140"/>
      <c r="X928" s="140"/>
      <c r="Y928" s="140"/>
      <c r="Z928" s="140"/>
    </row>
    <row r="929" spans="1:26"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96"/>
      <c r="U929" s="140"/>
      <c r="V929" s="140"/>
      <c r="W929" s="140"/>
      <c r="X929" s="140"/>
      <c r="Y929" s="140"/>
      <c r="Z929" s="140"/>
    </row>
    <row r="930" spans="1:26"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96"/>
      <c r="U930" s="140"/>
      <c r="V930" s="140"/>
      <c r="W930" s="140"/>
      <c r="X930" s="140"/>
      <c r="Y930" s="140"/>
      <c r="Z930" s="140"/>
    </row>
    <row r="931" spans="1:26"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96"/>
      <c r="U931" s="140"/>
      <c r="V931" s="140"/>
      <c r="W931" s="140"/>
      <c r="X931" s="140"/>
      <c r="Y931" s="140"/>
      <c r="Z931" s="140"/>
    </row>
    <row r="932" spans="1:26"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96"/>
      <c r="U932" s="140"/>
      <c r="V932" s="140"/>
      <c r="W932" s="140"/>
      <c r="X932" s="140"/>
      <c r="Y932" s="140"/>
      <c r="Z932" s="140"/>
    </row>
    <row r="933" spans="1:26"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96"/>
      <c r="U933" s="140"/>
      <c r="V933" s="140"/>
      <c r="W933" s="140"/>
      <c r="X933" s="140"/>
      <c r="Y933" s="140"/>
      <c r="Z933" s="140"/>
    </row>
    <row r="934" spans="1:26"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96"/>
      <c r="U934" s="140"/>
      <c r="V934" s="140"/>
      <c r="W934" s="140"/>
      <c r="X934" s="140"/>
      <c r="Y934" s="140"/>
      <c r="Z934" s="140"/>
    </row>
    <row r="935" spans="1:26"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96"/>
      <c r="U935" s="140"/>
      <c r="V935" s="140"/>
      <c r="W935" s="140"/>
      <c r="X935" s="140"/>
      <c r="Y935" s="140"/>
      <c r="Z935" s="140"/>
    </row>
    <row r="936" spans="1:26"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96"/>
      <c r="U936" s="140"/>
      <c r="V936" s="140"/>
      <c r="W936" s="140"/>
      <c r="X936" s="140"/>
      <c r="Y936" s="140"/>
      <c r="Z936" s="140"/>
    </row>
    <row r="937" spans="1:26"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96"/>
      <c r="U937" s="140"/>
      <c r="V937" s="140"/>
      <c r="W937" s="140"/>
      <c r="X937" s="140"/>
      <c r="Y937" s="140"/>
      <c r="Z937" s="140"/>
    </row>
    <row r="938" spans="1:26"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96"/>
      <c r="U938" s="140"/>
      <c r="V938" s="140"/>
      <c r="W938" s="140"/>
      <c r="X938" s="140"/>
      <c r="Y938" s="140"/>
      <c r="Z938" s="140"/>
    </row>
    <row r="939" spans="1:26"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96"/>
      <c r="U939" s="140"/>
      <c r="V939" s="140"/>
      <c r="W939" s="140"/>
      <c r="X939" s="140"/>
      <c r="Y939" s="140"/>
      <c r="Z939" s="140"/>
    </row>
    <row r="940" spans="1:26"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96"/>
      <c r="U940" s="140"/>
      <c r="V940" s="140"/>
      <c r="W940" s="140"/>
      <c r="X940" s="140"/>
      <c r="Y940" s="140"/>
      <c r="Z940" s="140"/>
    </row>
    <row r="941" spans="1:26"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96"/>
      <c r="U941" s="140"/>
      <c r="V941" s="140"/>
      <c r="W941" s="140"/>
      <c r="X941" s="140"/>
      <c r="Y941" s="140"/>
      <c r="Z941" s="140"/>
    </row>
    <row r="942" spans="1:26"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96"/>
      <c r="U942" s="140"/>
      <c r="V942" s="140"/>
      <c r="W942" s="140"/>
      <c r="X942" s="140"/>
      <c r="Y942" s="140"/>
      <c r="Z942" s="140"/>
    </row>
    <row r="943" spans="1:26"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96"/>
      <c r="U943" s="140"/>
      <c r="V943" s="140"/>
      <c r="W943" s="140"/>
      <c r="X943" s="140"/>
      <c r="Y943" s="140"/>
      <c r="Z943" s="140"/>
    </row>
    <row r="944" spans="1:26"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96"/>
      <c r="U944" s="140"/>
      <c r="V944" s="140"/>
      <c r="W944" s="140"/>
      <c r="X944" s="140"/>
      <c r="Y944" s="140"/>
      <c r="Z944" s="140"/>
    </row>
    <row r="945" spans="1:26"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96"/>
      <c r="U945" s="140"/>
      <c r="V945" s="140"/>
      <c r="W945" s="140"/>
      <c r="X945" s="140"/>
      <c r="Y945" s="140"/>
      <c r="Z945" s="140"/>
    </row>
    <row r="946" spans="1:26"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96"/>
      <c r="U946" s="140"/>
      <c r="V946" s="140"/>
      <c r="W946" s="140"/>
      <c r="X946" s="140"/>
      <c r="Y946" s="140"/>
      <c r="Z946" s="140"/>
    </row>
    <row r="947" spans="1:26"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96"/>
      <c r="U947" s="140"/>
      <c r="V947" s="140"/>
      <c r="W947" s="140"/>
      <c r="X947" s="140"/>
      <c r="Y947" s="140"/>
      <c r="Z947" s="140"/>
    </row>
    <row r="948" spans="1:26"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96"/>
      <c r="U948" s="140"/>
      <c r="V948" s="140"/>
      <c r="W948" s="140"/>
      <c r="X948" s="140"/>
      <c r="Y948" s="140"/>
      <c r="Z948" s="140"/>
    </row>
    <row r="949" spans="1:26"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96"/>
      <c r="U949" s="140"/>
      <c r="V949" s="140"/>
      <c r="W949" s="140"/>
      <c r="X949" s="140"/>
      <c r="Y949" s="140"/>
      <c r="Z949" s="140"/>
    </row>
    <row r="950" spans="1:26"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96"/>
      <c r="U950" s="140"/>
      <c r="V950" s="140"/>
      <c r="W950" s="140"/>
      <c r="X950" s="140"/>
      <c r="Y950" s="140"/>
      <c r="Z950" s="140"/>
    </row>
    <row r="951" spans="1:26"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96"/>
      <c r="U951" s="140"/>
      <c r="V951" s="140"/>
      <c r="W951" s="140"/>
      <c r="X951" s="140"/>
      <c r="Y951" s="140"/>
      <c r="Z951" s="140"/>
    </row>
    <row r="952" spans="1:26"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96"/>
      <c r="U952" s="140"/>
      <c r="V952" s="140"/>
      <c r="W952" s="140"/>
      <c r="X952" s="140"/>
      <c r="Y952" s="140"/>
      <c r="Z952" s="140"/>
    </row>
    <row r="953" spans="1:26"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96"/>
      <c r="U953" s="140"/>
      <c r="V953" s="140"/>
      <c r="W953" s="140"/>
      <c r="X953" s="140"/>
      <c r="Y953" s="140"/>
      <c r="Z953" s="140"/>
    </row>
    <row r="954" spans="1:26"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96"/>
      <c r="U954" s="140"/>
      <c r="V954" s="140"/>
      <c r="W954" s="140"/>
      <c r="X954" s="140"/>
      <c r="Y954" s="140"/>
      <c r="Z954" s="140"/>
    </row>
    <row r="955" spans="1:26"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96"/>
      <c r="U955" s="140"/>
      <c r="V955" s="140"/>
      <c r="W955" s="140"/>
      <c r="X955" s="140"/>
      <c r="Y955" s="140"/>
      <c r="Z955" s="140"/>
    </row>
    <row r="956" spans="1:26"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96"/>
      <c r="U956" s="140"/>
      <c r="V956" s="140"/>
      <c r="W956" s="140"/>
      <c r="X956" s="140"/>
      <c r="Y956" s="140"/>
      <c r="Z956" s="140"/>
    </row>
    <row r="957" spans="1:26"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96"/>
      <c r="U957" s="140"/>
      <c r="V957" s="140"/>
      <c r="W957" s="140"/>
      <c r="X957" s="140"/>
      <c r="Y957" s="140"/>
      <c r="Z957" s="140"/>
    </row>
    <row r="958" spans="1:26"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96"/>
      <c r="U958" s="140"/>
      <c r="V958" s="140"/>
      <c r="W958" s="140"/>
      <c r="X958" s="140"/>
      <c r="Y958" s="140"/>
      <c r="Z958" s="140"/>
    </row>
    <row r="959" spans="1:26"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96"/>
      <c r="U959" s="140"/>
      <c r="V959" s="140"/>
      <c r="W959" s="140"/>
      <c r="X959" s="140"/>
      <c r="Y959" s="140"/>
      <c r="Z959" s="140"/>
    </row>
    <row r="960" spans="1:26"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96"/>
      <c r="U960" s="140"/>
      <c r="V960" s="140"/>
      <c r="W960" s="140"/>
      <c r="X960" s="140"/>
      <c r="Y960" s="140"/>
      <c r="Z960" s="140"/>
    </row>
    <row r="961" spans="1:26"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96"/>
      <c r="U961" s="140"/>
      <c r="V961" s="140"/>
      <c r="W961" s="140"/>
      <c r="X961" s="140"/>
      <c r="Y961" s="140"/>
      <c r="Z961" s="140"/>
    </row>
    <row r="962" spans="1:26"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96"/>
      <c r="U962" s="140"/>
      <c r="V962" s="140"/>
      <c r="W962" s="140"/>
      <c r="X962" s="140"/>
      <c r="Y962" s="140"/>
      <c r="Z962" s="140"/>
    </row>
    <row r="963" spans="1:26"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96"/>
      <c r="U963" s="140"/>
      <c r="V963" s="140"/>
      <c r="W963" s="140"/>
      <c r="X963" s="140"/>
      <c r="Y963" s="140"/>
      <c r="Z963" s="140"/>
    </row>
    <row r="964" spans="1:26"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96"/>
      <c r="U964" s="140"/>
      <c r="V964" s="140"/>
      <c r="W964" s="140"/>
      <c r="X964" s="140"/>
      <c r="Y964" s="140"/>
      <c r="Z964" s="140"/>
    </row>
    <row r="965" spans="1:26"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96"/>
      <c r="U965" s="140"/>
      <c r="V965" s="140"/>
      <c r="W965" s="140"/>
      <c r="X965" s="140"/>
      <c r="Y965" s="140"/>
      <c r="Z965" s="140"/>
    </row>
    <row r="966" spans="1:26"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96"/>
      <c r="U966" s="140"/>
      <c r="V966" s="140"/>
      <c r="W966" s="140"/>
      <c r="X966" s="140"/>
      <c r="Y966" s="140"/>
      <c r="Z966" s="140"/>
    </row>
    <row r="967" spans="1:26"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96"/>
      <c r="U967" s="140"/>
      <c r="V967" s="140"/>
      <c r="W967" s="140"/>
      <c r="X967" s="140"/>
      <c r="Y967" s="140"/>
      <c r="Z967" s="140"/>
    </row>
    <row r="968" spans="1:26"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96"/>
      <c r="U968" s="140"/>
      <c r="V968" s="140"/>
      <c r="W968" s="140"/>
      <c r="X968" s="140"/>
      <c r="Y968" s="140"/>
      <c r="Z968" s="140"/>
    </row>
    <row r="969" spans="1:26"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96"/>
      <c r="U969" s="140"/>
      <c r="V969" s="140"/>
      <c r="W969" s="140"/>
      <c r="X969" s="140"/>
      <c r="Y969" s="140"/>
      <c r="Z969" s="140"/>
    </row>
    <row r="970" spans="1:26"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96"/>
      <c r="U970" s="140"/>
      <c r="V970" s="140"/>
      <c r="W970" s="140"/>
      <c r="X970" s="140"/>
      <c r="Y970" s="140"/>
      <c r="Z970" s="140"/>
    </row>
    <row r="971" spans="1:26"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96"/>
      <c r="U971" s="140"/>
      <c r="V971" s="140"/>
      <c r="W971" s="140"/>
      <c r="X971" s="140"/>
      <c r="Y971" s="140"/>
      <c r="Z971" s="140"/>
    </row>
    <row r="972" spans="1:26"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96"/>
      <c r="U972" s="140"/>
      <c r="V972" s="140"/>
      <c r="W972" s="140"/>
      <c r="X972" s="140"/>
      <c r="Y972" s="140"/>
      <c r="Z972" s="140"/>
    </row>
    <row r="973" spans="1:26"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96"/>
      <c r="U973" s="140"/>
      <c r="V973" s="140"/>
      <c r="W973" s="140"/>
      <c r="X973" s="140"/>
      <c r="Y973" s="140"/>
      <c r="Z973" s="140"/>
    </row>
    <row r="974" spans="1:26"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96"/>
      <c r="U974" s="140"/>
      <c r="V974" s="140"/>
      <c r="W974" s="140"/>
      <c r="X974" s="140"/>
      <c r="Y974" s="140"/>
      <c r="Z974" s="140"/>
    </row>
    <row r="975" spans="1:26"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96"/>
      <c r="U975" s="140"/>
      <c r="V975" s="140"/>
      <c r="W975" s="140"/>
      <c r="X975" s="140"/>
      <c r="Y975" s="140"/>
      <c r="Z975" s="140"/>
    </row>
    <row r="976" spans="1:26"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96"/>
      <c r="U976" s="140"/>
      <c r="V976" s="140"/>
      <c r="W976" s="140"/>
      <c r="X976" s="140"/>
      <c r="Y976" s="140"/>
      <c r="Z976" s="140"/>
    </row>
    <row r="977" spans="1:26"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96"/>
      <c r="U977" s="140"/>
      <c r="V977" s="140"/>
      <c r="W977" s="140"/>
      <c r="X977" s="140"/>
      <c r="Y977" s="140"/>
      <c r="Z977" s="140"/>
    </row>
    <row r="978" spans="1:26"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96"/>
      <c r="U978" s="140"/>
      <c r="V978" s="140"/>
      <c r="W978" s="140"/>
      <c r="X978" s="140"/>
      <c r="Y978" s="140"/>
      <c r="Z978" s="140"/>
    </row>
    <row r="979" spans="1:26"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96"/>
      <c r="U979" s="140"/>
      <c r="V979" s="140"/>
      <c r="W979" s="140"/>
      <c r="X979" s="140"/>
      <c r="Y979" s="140"/>
      <c r="Z979" s="140"/>
    </row>
    <row r="980" spans="1:26"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96"/>
      <c r="U980" s="140"/>
      <c r="V980" s="140"/>
      <c r="W980" s="140"/>
      <c r="X980" s="140"/>
      <c r="Y980" s="140"/>
      <c r="Z980" s="140"/>
    </row>
    <row r="981" spans="1:26"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96"/>
      <c r="U981" s="140"/>
      <c r="V981" s="140"/>
      <c r="W981" s="140"/>
      <c r="X981" s="140"/>
      <c r="Y981" s="140"/>
      <c r="Z981" s="140"/>
    </row>
    <row r="982" spans="1:26"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96"/>
      <c r="U982" s="140"/>
      <c r="V982" s="140"/>
      <c r="W982" s="140"/>
      <c r="X982" s="140"/>
      <c r="Y982" s="140"/>
      <c r="Z982" s="140"/>
    </row>
    <row r="983" spans="1:26"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96"/>
      <c r="U983" s="140"/>
      <c r="V983" s="140"/>
      <c r="W983" s="140"/>
      <c r="X983" s="140"/>
      <c r="Y983" s="140"/>
      <c r="Z983" s="140"/>
    </row>
    <row r="984" spans="1:26"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96"/>
      <c r="U984" s="140"/>
      <c r="V984" s="140"/>
      <c r="W984" s="140"/>
      <c r="X984" s="140"/>
      <c r="Y984" s="140"/>
      <c r="Z984" s="140"/>
    </row>
    <row r="985" spans="1:26"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96"/>
      <c r="U985" s="140"/>
      <c r="V985" s="140"/>
      <c r="W985" s="140"/>
      <c r="X985" s="140"/>
      <c r="Y985" s="140"/>
      <c r="Z985" s="140"/>
    </row>
    <row r="986" spans="1:26"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96"/>
      <c r="U986" s="140"/>
      <c r="V986" s="140"/>
      <c r="W986" s="140"/>
      <c r="X986" s="140"/>
      <c r="Y986" s="140"/>
      <c r="Z986" s="140"/>
    </row>
    <row r="987" spans="1:26" ht="15.75" customHeight="1" x14ac:dyDescent="0.25">
      <c r="A987" s="140"/>
      <c r="B987" s="140"/>
      <c r="C987" s="140"/>
      <c r="D987" s="140"/>
      <c r="E987" s="140"/>
      <c r="F987" s="140"/>
      <c r="G987" s="140"/>
      <c r="H987" s="140"/>
      <c r="I987" s="140"/>
      <c r="J987" s="140"/>
      <c r="K987" s="140"/>
      <c r="L987" s="140"/>
      <c r="M987" s="140"/>
      <c r="N987" s="140"/>
      <c r="O987" s="140"/>
      <c r="P987" s="140"/>
      <c r="Q987" s="140"/>
      <c r="R987" s="140"/>
      <c r="S987" s="140"/>
      <c r="T987" s="196"/>
      <c r="U987" s="140"/>
      <c r="V987" s="140"/>
      <c r="W987" s="140"/>
      <c r="X987" s="140"/>
      <c r="Y987" s="140"/>
      <c r="Z987" s="140"/>
    </row>
    <row r="988" spans="1:26" ht="15.75" customHeight="1" x14ac:dyDescent="0.25">
      <c r="A988" s="140"/>
      <c r="B988" s="140"/>
      <c r="C988" s="140"/>
      <c r="D988" s="140"/>
      <c r="E988" s="140"/>
      <c r="F988" s="140"/>
      <c r="G988" s="140"/>
      <c r="H988" s="140"/>
      <c r="I988" s="140"/>
      <c r="J988" s="140"/>
      <c r="K988" s="140"/>
      <c r="L988" s="140"/>
      <c r="M988" s="140"/>
      <c r="N988" s="140"/>
      <c r="O988" s="140"/>
      <c r="P988" s="140"/>
      <c r="Q988" s="140"/>
      <c r="R988" s="140"/>
      <c r="S988" s="140"/>
      <c r="T988" s="196"/>
      <c r="U988" s="140"/>
      <c r="V988" s="140"/>
      <c r="W988" s="140"/>
      <c r="X988" s="140"/>
      <c r="Y988" s="140"/>
      <c r="Z988" s="140"/>
    </row>
    <row r="989" spans="1:26" ht="15.75" customHeight="1" x14ac:dyDescent="0.25">
      <c r="A989" s="140"/>
      <c r="B989" s="140"/>
      <c r="C989" s="140"/>
      <c r="D989" s="140"/>
      <c r="E989" s="140"/>
      <c r="F989" s="140"/>
      <c r="G989" s="140"/>
      <c r="H989" s="140"/>
      <c r="I989" s="140"/>
      <c r="J989" s="140"/>
      <c r="K989" s="140"/>
      <c r="L989" s="140"/>
      <c r="M989" s="140"/>
      <c r="N989" s="140"/>
      <c r="O989" s="140"/>
      <c r="P989" s="140"/>
      <c r="Q989" s="140"/>
      <c r="R989" s="140"/>
      <c r="S989" s="140"/>
      <c r="T989" s="196"/>
      <c r="U989" s="140"/>
      <c r="V989" s="140"/>
      <c r="W989" s="140"/>
      <c r="X989" s="140"/>
      <c r="Y989" s="140"/>
      <c r="Z989" s="140"/>
    </row>
    <row r="990" spans="1:26" ht="15.75" customHeight="1" x14ac:dyDescent="0.25">
      <c r="A990" s="140"/>
      <c r="B990" s="140"/>
      <c r="C990" s="140"/>
      <c r="D990" s="140"/>
      <c r="E990" s="140"/>
      <c r="F990" s="140"/>
      <c r="G990" s="140"/>
      <c r="H990" s="140"/>
      <c r="I990" s="140"/>
      <c r="J990" s="140"/>
      <c r="K990" s="140"/>
      <c r="L990" s="140"/>
      <c r="M990" s="140"/>
      <c r="N990" s="140"/>
      <c r="O990" s="140"/>
      <c r="P990" s="140"/>
      <c r="Q990" s="140"/>
      <c r="R990" s="140"/>
      <c r="S990" s="140"/>
      <c r="T990" s="196"/>
      <c r="U990" s="140"/>
      <c r="V990" s="140"/>
      <c r="W990" s="140"/>
      <c r="X990" s="140"/>
      <c r="Y990" s="140"/>
      <c r="Z990" s="140"/>
    </row>
    <row r="991" spans="1:26" ht="15.75" customHeight="1" x14ac:dyDescent="0.25">
      <c r="A991" s="140"/>
      <c r="B991" s="140"/>
      <c r="C991" s="140"/>
      <c r="D991" s="140"/>
      <c r="E991" s="140"/>
      <c r="F991" s="140"/>
      <c r="G991" s="140"/>
      <c r="H991" s="140"/>
      <c r="I991" s="140"/>
      <c r="J991" s="140"/>
      <c r="K991" s="140"/>
      <c r="L991" s="140"/>
      <c r="M991" s="140"/>
      <c r="N991" s="140"/>
      <c r="O991" s="140"/>
      <c r="P991" s="140"/>
      <c r="Q991" s="140"/>
      <c r="R991" s="140"/>
      <c r="S991" s="140"/>
      <c r="T991" s="196"/>
      <c r="U991" s="140"/>
      <c r="V991" s="140"/>
      <c r="W991" s="140"/>
      <c r="X991" s="140"/>
      <c r="Y991" s="140"/>
      <c r="Z991" s="140"/>
    </row>
    <row r="992" spans="1:26" ht="15.75" customHeight="1" x14ac:dyDescent="0.25">
      <c r="A992" s="140"/>
      <c r="B992" s="140"/>
      <c r="C992" s="140"/>
      <c r="D992" s="140"/>
      <c r="E992" s="140"/>
      <c r="F992" s="140"/>
      <c r="G992" s="140"/>
      <c r="H992" s="140"/>
      <c r="I992" s="140"/>
      <c r="J992" s="140"/>
      <c r="K992" s="140"/>
      <c r="L992" s="140"/>
      <c r="M992" s="140"/>
      <c r="N992" s="140"/>
      <c r="O992" s="140"/>
      <c r="P992" s="140"/>
      <c r="Q992" s="140"/>
      <c r="R992" s="140"/>
      <c r="S992" s="140"/>
      <c r="T992" s="196"/>
      <c r="U992" s="140"/>
      <c r="V992" s="140"/>
      <c r="W992" s="140"/>
      <c r="X992" s="140"/>
      <c r="Y992" s="140"/>
      <c r="Z992" s="140"/>
    </row>
    <row r="993" spans="1:26" ht="15.75" customHeight="1" x14ac:dyDescent="0.25">
      <c r="A993" s="140"/>
      <c r="B993" s="140"/>
      <c r="C993" s="140"/>
      <c r="D993" s="140"/>
      <c r="E993" s="140"/>
      <c r="F993" s="140"/>
      <c r="G993" s="140"/>
      <c r="H993" s="140"/>
      <c r="I993" s="140"/>
      <c r="J993" s="140"/>
      <c r="K993" s="140"/>
      <c r="L993" s="140"/>
      <c r="M993" s="140"/>
      <c r="N993" s="140"/>
      <c r="O993" s="140"/>
      <c r="P993" s="140"/>
      <c r="Q993" s="140"/>
      <c r="R993" s="140"/>
      <c r="S993" s="140"/>
      <c r="T993" s="196"/>
      <c r="U993" s="140"/>
      <c r="V993" s="140"/>
      <c r="W993" s="140"/>
      <c r="X993" s="140"/>
      <c r="Y993" s="140"/>
      <c r="Z993" s="140"/>
    </row>
    <row r="994" spans="1:26" ht="15.75" customHeight="1" x14ac:dyDescent="0.25">
      <c r="A994" s="140"/>
      <c r="B994" s="140"/>
      <c r="C994" s="140"/>
      <c r="D994" s="140"/>
      <c r="E994" s="140"/>
      <c r="F994" s="140"/>
      <c r="G994" s="140"/>
      <c r="H994" s="140"/>
      <c r="I994" s="140"/>
      <c r="J994" s="140"/>
      <c r="K994" s="140"/>
      <c r="L994" s="140"/>
      <c r="M994" s="140"/>
      <c r="N994" s="140"/>
      <c r="O994" s="140"/>
      <c r="P994" s="140"/>
      <c r="Q994" s="140"/>
      <c r="R994" s="140"/>
      <c r="S994" s="140"/>
      <c r="T994" s="196"/>
      <c r="U994" s="140"/>
      <c r="V994" s="140"/>
      <c r="W994" s="140"/>
      <c r="X994" s="140"/>
      <c r="Y994" s="140"/>
      <c r="Z994" s="140"/>
    </row>
    <row r="995" spans="1:26" ht="15.75" customHeight="1" x14ac:dyDescent="0.25">
      <c r="A995" s="140"/>
      <c r="B995" s="140"/>
      <c r="C995" s="140"/>
      <c r="D995" s="140"/>
      <c r="E995" s="140"/>
      <c r="F995" s="140"/>
      <c r="G995" s="140"/>
      <c r="H995" s="140"/>
      <c r="I995" s="140"/>
      <c r="J995" s="140"/>
      <c r="K995" s="140"/>
      <c r="L995" s="140"/>
      <c r="M995" s="140"/>
      <c r="N995" s="140"/>
      <c r="O995" s="140"/>
      <c r="P995" s="140"/>
      <c r="Q995" s="140"/>
      <c r="R995" s="140"/>
      <c r="S995" s="140"/>
      <c r="T995" s="196"/>
      <c r="U995" s="140"/>
      <c r="V995" s="140"/>
      <c r="W995" s="140"/>
      <c r="X995" s="140"/>
      <c r="Y995" s="140"/>
      <c r="Z995" s="140"/>
    </row>
    <row r="996" spans="1:26" ht="15.75" customHeight="1" x14ac:dyDescent="0.25">
      <c r="A996" s="140"/>
      <c r="B996" s="140"/>
      <c r="C996" s="140"/>
      <c r="D996" s="140"/>
      <c r="E996" s="140"/>
      <c r="F996" s="140"/>
      <c r="G996" s="140"/>
      <c r="H996" s="140"/>
      <c r="I996" s="140"/>
      <c r="J996" s="140"/>
      <c r="K996" s="140"/>
      <c r="L996" s="140"/>
      <c r="M996" s="140"/>
      <c r="N996" s="140"/>
      <c r="O996" s="140"/>
      <c r="P996" s="140"/>
      <c r="Q996" s="140"/>
      <c r="R996" s="140"/>
      <c r="S996" s="140"/>
      <c r="T996" s="196"/>
      <c r="U996" s="140"/>
      <c r="V996" s="140"/>
      <c r="W996" s="140"/>
      <c r="X996" s="140"/>
      <c r="Y996" s="140"/>
      <c r="Z996" s="140"/>
    </row>
    <row r="997" spans="1:26" ht="15.75" customHeight="1" x14ac:dyDescent="0.25">
      <c r="A997" s="140"/>
      <c r="B997" s="140"/>
      <c r="C997" s="140"/>
      <c r="D997" s="140"/>
      <c r="E997" s="140"/>
      <c r="F997" s="140"/>
      <c r="G997" s="140"/>
      <c r="H997" s="140"/>
      <c r="I997" s="140"/>
      <c r="J997" s="140"/>
      <c r="K997" s="140"/>
      <c r="L997" s="140"/>
      <c r="M997" s="140"/>
      <c r="N997" s="140"/>
      <c r="O997" s="140"/>
      <c r="P997" s="140"/>
      <c r="Q997" s="140"/>
      <c r="R997" s="140"/>
      <c r="S997" s="140"/>
      <c r="T997" s="196"/>
      <c r="U997" s="140"/>
      <c r="V997" s="140"/>
      <c r="W997" s="140"/>
      <c r="X997" s="140"/>
      <c r="Y997" s="140"/>
      <c r="Z997" s="140"/>
    </row>
    <row r="998" spans="1:26" ht="15.75" customHeight="1" x14ac:dyDescent="0.25">
      <c r="A998" s="140"/>
      <c r="B998" s="140"/>
      <c r="C998" s="140"/>
      <c r="D998" s="140"/>
      <c r="E998" s="140"/>
      <c r="F998" s="140"/>
      <c r="G998" s="140"/>
      <c r="H998" s="140"/>
      <c r="I998" s="140"/>
      <c r="J998" s="140"/>
      <c r="K998" s="140"/>
      <c r="L998" s="140"/>
      <c r="M998" s="140"/>
      <c r="N998" s="140"/>
      <c r="O998" s="140"/>
      <c r="P998" s="140"/>
      <c r="Q998" s="140"/>
      <c r="R998" s="140"/>
      <c r="S998" s="140"/>
      <c r="T998" s="196"/>
      <c r="U998" s="140"/>
      <c r="V998" s="140"/>
      <c r="W998" s="140"/>
      <c r="X998" s="140"/>
      <c r="Y998" s="140"/>
      <c r="Z998" s="140"/>
    </row>
    <row r="999" spans="1:26" ht="15.75" customHeight="1" x14ac:dyDescent="0.25">
      <c r="A999" s="140"/>
      <c r="B999" s="140"/>
      <c r="C999" s="140"/>
      <c r="D999" s="140"/>
      <c r="E999" s="140"/>
      <c r="F999" s="140"/>
      <c r="G999" s="140"/>
      <c r="H999" s="140"/>
      <c r="I999" s="140"/>
      <c r="J999" s="140"/>
      <c r="K999" s="140"/>
      <c r="L999" s="140"/>
      <c r="M999" s="140"/>
      <c r="N999" s="140"/>
      <c r="O999" s="140"/>
      <c r="P999" s="140"/>
      <c r="Q999" s="140"/>
      <c r="R999" s="140"/>
      <c r="S999" s="140"/>
      <c r="T999" s="196"/>
      <c r="U999" s="140"/>
      <c r="V999" s="140"/>
      <c r="W999" s="140"/>
      <c r="X999" s="140"/>
      <c r="Y999" s="140"/>
      <c r="Z999" s="140"/>
    </row>
    <row r="1000" spans="1:26" ht="15.75" customHeight="1" x14ac:dyDescent="0.25">
      <c r="A1000" s="140"/>
      <c r="B1000" s="140"/>
      <c r="C1000" s="140"/>
      <c r="D1000" s="140"/>
      <c r="E1000" s="140"/>
      <c r="F1000" s="140"/>
      <c r="G1000" s="140"/>
      <c r="H1000" s="140"/>
      <c r="I1000" s="140"/>
      <c r="J1000" s="140"/>
      <c r="K1000" s="140"/>
      <c r="L1000" s="140"/>
      <c r="M1000" s="140"/>
      <c r="N1000" s="140"/>
      <c r="O1000" s="140"/>
      <c r="P1000" s="140"/>
      <c r="Q1000" s="140"/>
      <c r="R1000" s="140"/>
      <c r="S1000" s="140"/>
      <c r="T1000" s="196"/>
      <c r="U1000" s="140"/>
      <c r="V1000" s="140"/>
      <c r="W1000" s="140"/>
      <c r="X1000" s="140"/>
      <c r="Y1000" s="140"/>
      <c r="Z1000" s="140"/>
    </row>
  </sheetData>
  <mergeCells count="24">
    <mergeCell ref="E19:G19"/>
    <mergeCell ref="M19:P19"/>
    <mergeCell ref="A13:B13"/>
    <mergeCell ref="A14:B14"/>
    <mergeCell ref="A15:B15"/>
    <mergeCell ref="A16:B16"/>
    <mergeCell ref="C18:E18"/>
    <mergeCell ref="G18:J18"/>
    <mergeCell ref="B19:C19"/>
    <mergeCell ref="A9:E9"/>
    <mergeCell ref="G12:J12"/>
    <mergeCell ref="M12:P12"/>
    <mergeCell ref="C13:E13"/>
    <mergeCell ref="G13:J13"/>
    <mergeCell ref="A2:R3"/>
    <mergeCell ref="A4:A6"/>
    <mergeCell ref="B4:B6"/>
    <mergeCell ref="C4:C6"/>
    <mergeCell ref="D4:D6"/>
    <mergeCell ref="E4:E6"/>
    <mergeCell ref="F4:F6"/>
    <mergeCell ref="I4:I6"/>
    <mergeCell ref="G4:G6"/>
    <mergeCell ref="H4:H6"/>
  </mergeCells>
  <pageMargins left="0.2" right="0.2" top="0.25" bottom="0.2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7CAAC"/>
  </sheetPr>
  <dimension ref="A1:AX1001"/>
  <sheetViews>
    <sheetView showGridLines="0" zoomScale="75" zoomScaleNormal="75" workbookViewId="0">
      <pane xSplit="6" ySplit="10" topLeftCell="AJ29" activePane="bottomRight" state="frozen"/>
      <selection pane="topRight" activeCell="G1" sqref="G1"/>
      <selection pane="bottomLeft" activeCell="A11" sqref="A11"/>
      <selection pane="bottomRight" activeCell="AU30" sqref="AU30"/>
    </sheetView>
  </sheetViews>
  <sheetFormatPr defaultColWidth="12.6640625" defaultRowHeight="15" customHeight="1" x14ac:dyDescent="0.25"/>
  <cols>
    <col min="1" max="1" width="3.6640625" customWidth="1"/>
    <col min="2" max="2" width="13.44140625" customWidth="1"/>
    <col min="3" max="3" width="26" customWidth="1"/>
    <col min="4" max="4" width="13.109375" customWidth="1"/>
    <col min="5" max="5" width="22.6640625" customWidth="1"/>
    <col min="6" max="6" width="10.88671875" customWidth="1"/>
    <col min="7" max="7" width="9.109375" customWidth="1"/>
    <col min="8" max="8" width="6.6640625" customWidth="1"/>
    <col min="9" max="9" width="6.21875" hidden="1" customWidth="1"/>
    <col min="11" max="11" width="13" customWidth="1"/>
    <col min="12" max="12" width="14.6640625" customWidth="1"/>
    <col min="13" max="13" width="13.109375" customWidth="1"/>
    <col min="14" max="14" width="9.88671875" customWidth="1"/>
    <col min="15" max="15" width="13.109375" customWidth="1"/>
    <col min="16" max="19" width="8" hidden="1" customWidth="1"/>
    <col min="20" max="20" width="12.6640625" hidden="1" customWidth="1"/>
    <col min="21" max="21" width="11.33203125" hidden="1" customWidth="1"/>
    <col min="22" max="22" width="13.109375" hidden="1" customWidth="1"/>
    <col min="23" max="24" width="10.6640625" customWidth="1"/>
    <col min="25" max="25" width="11.88671875" customWidth="1"/>
    <col min="26" max="27" width="13" customWidth="1"/>
    <col min="28" max="28" width="12" customWidth="1"/>
    <col min="29" max="29" width="13" customWidth="1"/>
    <col min="30" max="30" width="12.33203125" customWidth="1"/>
    <col min="31" max="31" width="15.109375" customWidth="1"/>
    <col min="32" max="32" width="13.6640625" customWidth="1"/>
    <col min="33" max="33" width="13.109375" customWidth="1"/>
    <col min="34" max="34" width="11" customWidth="1"/>
    <col min="35" max="35" width="10.88671875" customWidth="1"/>
    <col min="36" max="36" width="13" customWidth="1"/>
    <col min="37" max="38" width="10.6640625" customWidth="1"/>
    <col min="39" max="39" width="11.109375" customWidth="1"/>
    <col min="40" max="40" width="11.6640625" customWidth="1"/>
    <col min="41" max="41" width="14.21875" customWidth="1"/>
    <col min="42" max="42" width="6" customWidth="1"/>
    <col min="43" max="43" width="12.21875" customWidth="1"/>
    <col min="44" max="44" width="13.6640625" customWidth="1"/>
    <col min="45" max="45" width="15.88671875" customWidth="1"/>
    <col min="46" max="46" width="12.6640625" customWidth="1"/>
    <col min="47" max="47" width="14.88671875" customWidth="1"/>
    <col min="48" max="48" width="17.6640625" customWidth="1"/>
    <col min="49" max="49" width="10.33203125" hidden="1" customWidth="1"/>
  </cols>
  <sheetData>
    <row r="1" spans="1:50" ht="27.75" customHeight="1" x14ac:dyDescent="0.25">
      <c r="A1" s="645"/>
      <c r="B1" s="502"/>
      <c r="C1" s="529" t="s">
        <v>328</v>
      </c>
      <c r="D1" s="502"/>
      <c r="E1" s="502"/>
      <c r="F1" s="502"/>
      <c r="G1" s="502"/>
      <c r="H1" s="502"/>
      <c r="I1" s="502"/>
      <c r="J1" s="502"/>
      <c r="K1" s="502"/>
      <c r="L1" s="646" t="s">
        <v>385</v>
      </c>
      <c r="M1" s="502"/>
      <c r="N1" s="502"/>
      <c r="O1" s="502"/>
      <c r="P1" s="502"/>
      <c r="Q1" s="502"/>
      <c r="R1" s="502"/>
      <c r="S1" s="502"/>
      <c r="T1" s="502"/>
      <c r="U1" s="502"/>
      <c r="V1" s="502"/>
      <c r="W1" s="502"/>
      <c r="X1" s="502"/>
      <c r="Y1" s="502"/>
      <c r="Z1" s="502"/>
      <c r="AA1" s="502"/>
      <c r="AB1" s="502"/>
      <c r="AC1" s="502"/>
      <c r="AD1" s="502"/>
      <c r="AE1" s="502"/>
      <c r="AF1" s="502"/>
      <c r="AG1" s="502"/>
      <c r="AH1" s="502"/>
      <c r="AI1" s="502"/>
      <c r="AJ1" s="502"/>
      <c r="AK1" s="647"/>
      <c r="AL1" s="502"/>
      <c r="AM1" s="202"/>
      <c r="AN1" s="202"/>
      <c r="AO1" s="202"/>
      <c r="AP1" s="202"/>
      <c r="AQ1" s="202"/>
      <c r="AR1" s="202"/>
      <c r="AS1" s="202"/>
      <c r="AT1" s="202"/>
      <c r="AU1" s="202"/>
      <c r="AV1" s="202"/>
      <c r="AW1" s="202"/>
    </row>
    <row r="2" spans="1:50" ht="34.5" customHeight="1" x14ac:dyDescent="0.25">
      <c r="A2" s="502"/>
      <c r="B2" s="502"/>
      <c r="C2" s="502"/>
      <c r="D2" s="502"/>
      <c r="E2" s="502"/>
      <c r="F2" s="502"/>
      <c r="G2" s="502"/>
      <c r="H2" s="502"/>
      <c r="I2" s="502"/>
      <c r="J2" s="502"/>
      <c r="K2" s="502"/>
      <c r="L2" s="502"/>
      <c r="M2" s="502"/>
      <c r="N2" s="502"/>
      <c r="O2" s="502"/>
      <c r="P2" s="502"/>
      <c r="Q2" s="502"/>
      <c r="R2" s="502"/>
      <c r="S2" s="502"/>
      <c r="T2" s="502"/>
      <c r="U2" s="502"/>
      <c r="V2" s="502"/>
      <c r="W2" s="502"/>
      <c r="X2" s="502"/>
      <c r="Y2" s="502"/>
      <c r="Z2" s="502"/>
      <c r="AA2" s="502"/>
      <c r="AB2" s="502"/>
      <c r="AC2" s="502"/>
      <c r="AD2" s="502"/>
      <c r="AE2" s="502"/>
      <c r="AF2" s="502"/>
      <c r="AG2" s="502"/>
      <c r="AH2" s="502"/>
      <c r="AI2" s="502"/>
      <c r="AJ2" s="502"/>
      <c r="AK2" s="502"/>
      <c r="AL2" s="502"/>
      <c r="AM2" s="202"/>
      <c r="AN2" s="202"/>
      <c r="AO2" s="202"/>
      <c r="AP2" s="202"/>
      <c r="AQ2" s="202"/>
      <c r="AR2" s="202"/>
      <c r="AS2" s="202"/>
      <c r="AT2" s="202"/>
      <c r="AU2" s="202"/>
      <c r="AV2" s="202"/>
      <c r="AW2" s="202"/>
    </row>
    <row r="3" spans="1:50" ht="36" customHeight="1" x14ac:dyDescent="0.25">
      <c r="A3" s="502"/>
      <c r="B3" s="502"/>
      <c r="C3" s="502"/>
      <c r="D3" s="502"/>
      <c r="E3" s="502"/>
      <c r="F3" s="502"/>
      <c r="G3" s="502"/>
      <c r="H3" s="502"/>
      <c r="I3" s="502"/>
      <c r="J3" s="502"/>
      <c r="K3" s="502"/>
      <c r="N3" s="203"/>
      <c r="AE3" s="190"/>
      <c r="AH3" s="452"/>
      <c r="AM3" s="201"/>
      <c r="AN3" s="201"/>
      <c r="AO3" s="201"/>
      <c r="AP3" s="201"/>
      <c r="AQ3" s="201"/>
      <c r="AR3" s="201"/>
      <c r="AS3" s="201"/>
      <c r="AT3" s="201"/>
      <c r="AU3" s="204"/>
      <c r="AV3" s="201"/>
      <c r="AW3" s="201"/>
    </row>
    <row r="4" spans="1:50" ht="27" customHeight="1" x14ac:dyDescent="0.25">
      <c r="A4" s="642" t="s">
        <v>165</v>
      </c>
      <c r="B4" s="531"/>
      <c r="C4" s="531"/>
      <c r="D4" s="531"/>
      <c r="E4" s="531"/>
      <c r="F4" s="532"/>
      <c r="G4" s="205">
        <f>'3. BẢNG CHẤM CÔNG'!$AU$11</f>
        <v>22</v>
      </c>
      <c r="H4" s="206"/>
      <c r="I4" s="206"/>
      <c r="J4" s="206"/>
      <c r="K4" s="206"/>
      <c r="L4" s="206"/>
      <c r="M4" s="206"/>
      <c r="N4" s="207"/>
      <c r="O4" s="206"/>
      <c r="P4" s="206"/>
      <c r="Q4" s="206"/>
      <c r="R4" s="206"/>
      <c r="S4" s="206"/>
      <c r="T4" s="206"/>
      <c r="U4" s="206"/>
      <c r="V4" s="206"/>
      <c r="W4" s="208"/>
      <c r="X4" s="206"/>
      <c r="Y4" s="206"/>
      <c r="Z4" s="206"/>
      <c r="AA4" s="206"/>
      <c r="AB4" s="206"/>
      <c r="AC4" s="206"/>
      <c r="AD4" s="206"/>
      <c r="AE4" s="206"/>
      <c r="AF4" s="206"/>
      <c r="AG4" s="206"/>
      <c r="AH4" s="206"/>
      <c r="AI4" s="206"/>
      <c r="AJ4" s="209"/>
      <c r="AK4" s="206"/>
      <c r="AL4" s="206"/>
      <c r="AM4" s="206"/>
      <c r="AN4" s="206"/>
      <c r="AO4" s="206"/>
      <c r="AP4" s="206"/>
      <c r="AQ4" s="206"/>
      <c r="AR4" s="206"/>
      <c r="AS4" s="206"/>
      <c r="AT4" s="206"/>
      <c r="AU4" s="209"/>
      <c r="AV4" s="206"/>
      <c r="AW4" s="210"/>
    </row>
    <row r="5" spans="1:50" ht="45.75" customHeight="1" x14ac:dyDescent="0.25">
      <c r="A5" s="603" t="s">
        <v>166</v>
      </c>
      <c r="B5" s="603" t="s">
        <v>167</v>
      </c>
      <c r="C5" s="603" t="s">
        <v>41</v>
      </c>
      <c r="D5" s="603" t="s">
        <v>129</v>
      </c>
      <c r="E5" s="603" t="s">
        <v>168</v>
      </c>
      <c r="F5" s="603" t="s">
        <v>169</v>
      </c>
      <c r="G5" s="642" t="s">
        <v>170</v>
      </c>
      <c r="H5" s="531"/>
      <c r="I5" s="531"/>
      <c r="J5" s="531"/>
      <c r="K5" s="531"/>
      <c r="L5" s="532"/>
      <c r="M5" s="642" t="s">
        <v>171</v>
      </c>
      <c r="N5" s="531"/>
      <c r="O5" s="532"/>
      <c r="P5" s="659" t="s">
        <v>172</v>
      </c>
      <c r="Q5" s="653"/>
      <c r="R5" s="653"/>
      <c r="S5" s="654"/>
      <c r="T5" s="642" t="s">
        <v>173</v>
      </c>
      <c r="U5" s="531"/>
      <c r="V5" s="532"/>
      <c r="W5" s="642" t="s">
        <v>174</v>
      </c>
      <c r="X5" s="531"/>
      <c r="Y5" s="531"/>
      <c r="Z5" s="531"/>
      <c r="AA5" s="531"/>
      <c r="AB5" s="531"/>
      <c r="AC5" s="531"/>
      <c r="AD5" s="532"/>
      <c r="AE5" s="603" t="s">
        <v>136</v>
      </c>
      <c r="AF5" s="603" t="s">
        <v>175</v>
      </c>
      <c r="AG5" s="642" t="s">
        <v>176</v>
      </c>
      <c r="AH5" s="531"/>
      <c r="AI5" s="531"/>
      <c r="AJ5" s="531"/>
      <c r="AK5" s="531"/>
      <c r="AL5" s="531"/>
      <c r="AM5" s="531"/>
      <c r="AN5" s="532"/>
      <c r="AO5" s="652" t="s">
        <v>177</v>
      </c>
      <c r="AP5" s="653"/>
      <c r="AQ5" s="653"/>
      <c r="AR5" s="654"/>
      <c r="AS5" s="644" t="s">
        <v>178</v>
      </c>
      <c r="AT5" s="644" t="s">
        <v>179</v>
      </c>
      <c r="AU5" s="603" t="s">
        <v>317</v>
      </c>
      <c r="AV5" s="603" t="s">
        <v>181</v>
      </c>
      <c r="AW5" s="603" t="s">
        <v>182</v>
      </c>
    </row>
    <row r="6" spans="1:50" ht="40.5" customHeight="1" x14ac:dyDescent="0.25">
      <c r="A6" s="637"/>
      <c r="B6" s="637"/>
      <c r="C6" s="637"/>
      <c r="D6" s="637"/>
      <c r="E6" s="637"/>
      <c r="F6" s="637"/>
      <c r="G6" s="642" t="s">
        <v>183</v>
      </c>
      <c r="H6" s="531"/>
      <c r="I6" s="532"/>
      <c r="J6" s="603" t="s">
        <v>184</v>
      </c>
      <c r="K6" s="603" t="s">
        <v>185</v>
      </c>
      <c r="L6" s="644" t="s">
        <v>186</v>
      </c>
      <c r="M6" s="603" t="s">
        <v>187</v>
      </c>
      <c r="N6" s="649" t="s">
        <v>188</v>
      </c>
      <c r="O6" s="644" t="s">
        <v>189</v>
      </c>
      <c r="P6" s="655"/>
      <c r="Q6" s="514"/>
      <c r="R6" s="514"/>
      <c r="S6" s="656"/>
      <c r="T6" s="603" t="s">
        <v>190</v>
      </c>
      <c r="U6" s="603" t="s">
        <v>191</v>
      </c>
      <c r="V6" s="644" t="s">
        <v>192</v>
      </c>
      <c r="W6" s="642" t="s">
        <v>193</v>
      </c>
      <c r="X6" s="531"/>
      <c r="Y6" s="531"/>
      <c r="Z6" s="532"/>
      <c r="AA6" s="643" t="s">
        <v>194</v>
      </c>
      <c r="AB6" s="607"/>
      <c r="AC6" s="608"/>
      <c r="AD6" s="644" t="s">
        <v>195</v>
      </c>
      <c r="AE6" s="637"/>
      <c r="AF6" s="637"/>
      <c r="AG6" s="642" t="s">
        <v>196</v>
      </c>
      <c r="AH6" s="531"/>
      <c r="AI6" s="531"/>
      <c r="AJ6" s="532"/>
      <c r="AK6" s="642" t="s">
        <v>197</v>
      </c>
      <c r="AL6" s="531"/>
      <c r="AM6" s="531"/>
      <c r="AN6" s="532"/>
      <c r="AO6" s="655"/>
      <c r="AP6" s="514"/>
      <c r="AQ6" s="514"/>
      <c r="AR6" s="656"/>
      <c r="AS6" s="637"/>
      <c r="AT6" s="637"/>
      <c r="AU6" s="637"/>
      <c r="AV6" s="637"/>
      <c r="AW6" s="637"/>
    </row>
    <row r="7" spans="1:50" ht="48" customHeight="1" x14ac:dyDescent="0.25">
      <c r="A7" s="637"/>
      <c r="B7" s="637"/>
      <c r="C7" s="637"/>
      <c r="D7" s="637"/>
      <c r="E7" s="637"/>
      <c r="F7" s="637"/>
      <c r="G7" s="603" t="s">
        <v>198</v>
      </c>
      <c r="H7" s="603" t="s">
        <v>199</v>
      </c>
      <c r="I7" s="603" t="s">
        <v>200</v>
      </c>
      <c r="J7" s="637"/>
      <c r="K7" s="637"/>
      <c r="L7" s="637"/>
      <c r="M7" s="637"/>
      <c r="N7" s="637"/>
      <c r="O7" s="637"/>
      <c r="P7" s="603" t="s">
        <v>142</v>
      </c>
      <c r="Q7" s="603" t="s">
        <v>141</v>
      </c>
      <c r="R7" s="650" t="s">
        <v>201</v>
      </c>
      <c r="S7" s="644" t="s">
        <v>202</v>
      </c>
      <c r="T7" s="637"/>
      <c r="U7" s="637"/>
      <c r="V7" s="637"/>
      <c r="W7" s="603" t="s">
        <v>143</v>
      </c>
      <c r="X7" s="603" t="s">
        <v>144</v>
      </c>
      <c r="Y7" s="603" t="s">
        <v>145</v>
      </c>
      <c r="Z7" s="603" t="s">
        <v>203</v>
      </c>
      <c r="AA7" s="603" t="s">
        <v>147</v>
      </c>
      <c r="AB7" s="603" t="s">
        <v>204</v>
      </c>
      <c r="AC7" s="603" t="s">
        <v>205</v>
      </c>
      <c r="AD7" s="637"/>
      <c r="AE7" s="637"/>
      <c r="AF7" s="637"/>
      <c r="AG7" s="211" t="s">
        <v>206</v>
      </c>
      <c r="AH7" s="211" t="s">
        <v>207</v>
      </c>
      <c r="AI7" s="211" t="s">
        <v>208</v>
      </c>
      <c r="AJ7" s="644" t="s">
        <v>209</v>
      </c>
      <c r="AK7" s="211" t="s">
        <v>210</v>
      </c>
      <c r="AL7" s="211" t="s">
        <v>211</v>
      </c>
      <c r="AM7" s="211" t="s">
        <v>208</v>
      </c>
      <c r="AN7" s="644" t="s">
        <v>212</v>
      </c>
      <c r="AO7" s="657" t="s">
        <v>213</v>
      </c>
      <c r="AP7" s="658" t="s">
        <v>214</v>
      </c>
      <c r="AQ7" s="515"/>
      <c r="AR7" s="603" t="s">
        <v>215</v>
      </c>
      <c r="AS7" s="637"/>
      <c r="AT7" s="637"/>
      <c r="AU7" s="637"/>
      <c r="AV7" s="637"/>
      <c r="AW7" s="637"/>
    </row>
    <row r="8" spans="1:50" ht="43.5" customHeight="1" x14ac:dyDescent="0.25">
      <c r="A8" s="637"/>
      <c r="B8" s="637"/>
      <c r="C8" s="637"/>
      <c r="D8" s="637"/>
      <c r="E8" s="637"/>
      <c r="F8" s="637"/>
      <c r="G8" s="604"/>
      <c r="H8" s="604"/>
      <c r="I8" s="604"/>
      <c r="J8" s="604"/>
      <c r="K8" s="604"/>
      <c r="L8" s="604"/>
      <c r="M8" s="604"/>
      <c r="N8" s="604"/>
      <c r="O8" s="604"/>
      <c r="P8" s="604"/>
      <c r="Q8" s="604"/>
      <c r="R8" s="604"/>
      <c r="S8" s="604"/>
      <c r="T8" s="604"/>
      <c r="U8" s="604"/>
      <c r="V8" s="604"/>
      <c r="W8" s="604"/>
      <c r="X8" s="604"/>
      <c r="Y8" s="604"/>
      <c r="Z8" s="604"/>
      <c r="AA8" s="604"/>
      <c r="AB8" s="604"/>
      <c r="AC8" s="604"/>
      <c r="AD8" s="604"/>
      <c r="AE8" s="604"/>
      <c r="AF8" s="604"/>
      <c r="AG8" s="212">
        <v>0.17499999999999999</v>
      </c>
      <c r="AH8" s="213">
        <v>0.03</v>
      </c>
      <c r="AI8" s="212">
        <v>0.01</v>
      </c>
      <c r="AJ8" s="604"/>
      <c r="AK8" s="212">
        <v>0.08</v>
      </c>
      <c r="AL8" s="212">
        <v>1.4999999999999999E-2</v>
      </c>
      <c r="AM8" s="212">
        <v>0.01</v>
      </c>
      <c r="AN8" s="604"/>
      <c r="AO8" s="604"/>
      <c r="AP8" s="211" t="s">
        <v>216</v>
      </c>
      <c r="AQ8" s="211" t="s">
        <v>217</v>
      </c>
      <c r="AR8" s="604"/>
      <c r="AS8" s="604"/>
      <c r="AT8" s="604"/>
      <c r="AU8" s="604"/>
      <c r="AV8" s="604"/>
      <c r="AW8" s="604"/>
    </row>
    <row r="9" spans="1:50" ht="16.5" customHeight="1" x14ac:dyDescent="0.25">
      <c r="A9" s="604"/>
      <c r="B9" s="604"/>
      <c r="C9" s="604"/>
      <c r="D9" s="604"/>
      <c r="E9" s="604"/>
      <c r="F9" s="604"/>
      <c r="G9" s="214">
        <v>6</v>
      </c>
      <c r="H9" s="214">
        <f t="shared" ref="H9:AA9" si="0">G9+1</f>
        <v>7</v>
      </c>
      <c r="I9" s="214">
        <f t="shared" si="0"/>
        <v>8</v>
      </c>
      <c r="J9" s="214">
        <f t="shared" si="0"/>
        <v>9</v>
      </c>
      <c r="K9" s="214">
        <f t="shared" si="0"/>
        <v>10</v>
      </c>
      <c r="L9" s="214">
        <f t="shared" si="0"/>
        <v>11</v>
      </c>
      <c r="M9" s="214">
        <f t="shared" si="0"/>
        <v>12</v>
      </c>
      <c r="N9" s="214">
        <f t="shared" si="0"/>
        <v>13</v>
      </c>
      <c r="O9" s="214">
        <f t="shared" si="0"/>
        <v>14</v>
      </c>
      <c r="P9" s="214">
        <f t="shared" si="0"/>
        <v>15</v>
      </c>
      <c r="Q9" s="214">
        <f t="shared" si="0"/>
        <v>16</v>
      </c>
      <c r="R9" s="214">
        <f t="shared" si="0"/>
        <v>17</v>
      </c>
      <c r="S9" s="214">
        <f t="shared" si="0"/>
        <v>18</v>
      </c>
      <c r="T9" s="214">
        <f t="shared" si="0"/>
        <v>19</v>
      </c>
      <c r="U9" s="214">
        <f t="shared" si="0"/>
        <v>20</v>
      </c>
      <c r="V9" s="214">
        <f t="shared" si="0"/>
        <v>21</v>
      </c>
      <c r="W9" s="214">
        <f t="shared" si="0"/>
        <v>22</v>
      </c>
      <c r="X9" s="214">
        <f t="shared" si="0"/>
        <v>23</v>
      </c>
      <c r="Y9" s="214">
        <f t="shared" si="0"/>
        <v>24</v>
      </c>
      <c r="Z9" s="214">
        <f t="shared" si="0"/>
        <v>25</v>
      </c>
      <c r="AA9" s="214">
        <f t="shared" si="0"/>
        <v>26</v>
      </c>
      <c r="AB9" s="214"/>
      <c r="AC9" s="214">
        <f>AA9+1</f>
        <v>27</v>
      </c>
      <c r="AD9" s="214">
        <f t="shared" ref="AD9:AW9" si="1">AC9+1</f>
        <v>28</v>
      </c>
      <c r="AE9" s="214">
        <f t="shared" si="1"/>
        <v>29</v>
      </c>
      <c r="AF9" s="214">
        <f t="shared" si="1"/>
        <v>30</v>
      </c>
      <c r="AG9" s="214">
        <f t="shared" si="1"/>
        <v>31</v>
      </c>
      <c r="AH9" s="214">
        <f t="shared" si="1"/>
        <v>32</v>
      </c>
      <c r="AI9" s="214">
        <f t="shared" si="1"/>
        <v>33</v>
      </c>
      <c r="AJ9" s="214">
        <f t="shared" si="1"/>
        <v>34</v>
      </c>
      <c r="AK9" s="214">
        <f t="shared" si="1"/>
        <v>35</v>
      </c>
      <c r="AL9" s="214">
        <f t="shared" si="1"/>
        <v>36</v>
      </c>
      <c r="AM9" s="214">
        <f t="shared" si="1"/>
        <v>37</v>
      </c>
      <c r="AN9" s="214">
        <f t="shared" si="1"/>
        <v>38</v>
      </c>
      <c r="AO9" s="214">
        <f t="shared" si="1"/>
        <v>39</v>
      </c>
      <c r="AP9" s="214">
        <f t="shared" si="1"/>
        <v>40</v>
      </c>
      <c r="AQ9" s="214">
        <f t="shared" si="1"/>
        <v>41</v>
      </c>
      <c r="AR9" s="214">
        <f t="shared" si="1"/>
        <v>42</v>
      </c>
      <c r="AS9" s="214">
        <f t="shared" si="1"/>
        <v>43</v>
      </c>
      <c r="AT9" s="214">
        <f t="shared" si="1"/>
        <v>44</v>
      </c>
      <c r="AU9" s="214">
        <f t="shared" si="1"/>
        <v>45</v>
      </c>
      <c r="AV9" s="214">
        <f t="shared" si="1"/>
        <v>46</v>
      </c>
      <c r="AW9" s="214">
        <f t="shared" si="1"/>
        <v>47</v>
      </c>
    </row>
    <row r="10" spans="1:50" ht="16.5" customHeight="1" x14ac:dyDescent="0.25">
      <c r="A10" s="171"/>
      <c r="C10" s="169"/>
      <c r="D10" s="141"/>
      <c r="E10" s="215"/>
      <c r="F10" s="171"/>
      <c r="G10" s="214"/>
      <c r="H10" s="214"/>
      <c r="I10" s="214"/>
      <c r="J10" s="214"/>
      <c r="K10" s="214"/>
      <c r="L10" s="214"/>
      <c r="M10" s="214"/>
      <c r="N10" s="216"/>
      <c r="O10" s="214"/>
      <c r="P10" s="214"/>
      <c r="Q10" s="214"/>
      <c r="R10" s="214"/>
      <c r="S10" s="214"/>
      <c r="T10" s="214"/>
      <c r="U10" s="214"/>
      <c r="V10" s="214"/>
      <c r="W10" s="214"/>
      <c r="X10" s="214"/>
      <c r="Y10" s="214"/>
      <c r="Z10" s="214"/>
      <c r="AA10" s="214"/>
      <c r="AB10" s="214"/>
      <c r="AC10" s="214"/>
      <c r="AD10" s="214"/>
      <c r="AE10" s="214"/>
      <c r="AF10" s="214"/>
      <c r="AG10" s="214"/>
      <c r="AH10" s="214"/>
      <c r="AI10" s="214"/>
      <c r="AJ10" s="214"/>
      <c r="AK10" s="214"/>
      <c r="AL10" s="214"/>
      <c r="AM10" s="214"/>
      <c r="AN10" s="214"/>
      <c r="AO10" s="217">
        <v>15500000</v>
      </c>
      <c r="AP10" s="214"/>
      <c r="AQ10" s="217">
        <v>6200000</v>
      </c>
      <c r="AR10" s="214"/>
      <c r="AS10" s="214"/>
      <c r="AT10" s="214"/>
      <c r="AU10" s="214"/>
      <c r="AV10" s="214"/>
      <c r="AW10" s="214"/>
    </row>
    <row r="11" spans="1:50" ht="16.5" customHeight="1" x14ac:dyDescent="0.25">
      <c r="A11" s="218"/>
      <c r="B11" s="219" t="s">
        <v>327</v>
      </c>
      <c r="C11" s="220"/>
      <c r="D11" s="221"/>
      <c r="E11" s="378"/>
      <c r="F11" s="222"/>
      <c r="G11" s="223"/>
      <c r="H11" s="223"/>
      <c r="I11" s="223"/>
      <c r="J11" s="230">
        <f t="shared" ref="J11:AT11" si="2">SUBTOTAL(9,J12:J14)</f>
        <v>7500000</v>
      </c>
      <c r="K11" s="230">
        <f t="shared" si="2"/>
        <v>7499999.9999999991</v>
      </c>
      <c r="L11" s="230">
        <f t="shared" si="2"/>
        <v>7499999.9999999991</v>
      </c>
      <c r="M11" s="230">
        <f t="shared" si="2"/>
        <v>26295556</v>
      </c>
      <c r="N11" s="230">
        <f t="shared" si="2"/>
        <v>3</v>
      </c>
      <c r="O11" s="230">
        <f t="shared" si="2"/>
        <v>26295556</v>
      </c>
      <c r="P11" s="230">
        <f t="shared" si="2"/>
        <v>0</v>
      </c>
      <c r="Q11" s="230">
        <f t="shared" si="2"/>
        <v>0</v>
      </c>
      <c r="R11" s="230">
        <f t="shared" si="2"/>
        <v>0</v>
      </c>
      <c r="S11" s="230">
        <f t="shared" si="2"/>
        <v>0</v>
      </c>
      <c r="T11" s="230">
        <f t="shared" si="2"/>
        <v>0</v>
      </c>
      <c r="U11" s="230">
        <f t="shared" si="2"/>
        <v>0</v>
      </c>
      <c r="V11" s="230">
        <f t="shared" si="2"/>
        <v>0</v>
      </c>
      <c r="W11" s="230">
        <f t="shared" si="2"/>
        <v>2160000</v>
      </c>
      <c r="X11" s="230">
        <f t="shared" si="2"/>
        <v>1199999.9999999998</v>
      </c>
      <c r="Y11" s="230">
        <f t="shared" si="2"/>
        <v>5400000</v>
      </c>
      <c r="Z11" s="230">
        <f t="shared" si="2"/>
        <v>8760000</v>
      </c>
      <c r="AA11" s="230">
        <f t="shared" si="2"/>
        <v>0</v>
      </c>
      <c r="AB11" s="230">
        <f t="shared" si="2"/>
        <v>0</v>
      </c>
      <c r="AC11" s="230">
        <f t="shared" si="2"/>
        <v>0</v>
      </c>
      <c r="AD11" s="230">
        <f t="shared" si="2"/>
        <v>8760000</v>
      </c>
      <c r="AE11" s="230">
        <f t="shared" si="2"/>
        <v>42555556</v>
      </c>
      <c r="AF11" s="230">
        <f t="shared" si="2"/>
        <v>40535556</v>
      </c>
      <c r="AG11" s="230">
        <f t="shared" si="2"/>
        <v>1312500</v>
      </c>
      <c r="AH11" s="230">
        <f t="shared" si="2"/>
        <v>225000</v>
      </c>
      <c r="AI11" s="230">
        <f t="shared" si="2"/>
        <v>75000</v>
      </c>
      <c r="AJ11" s="230">
        <f t="shared" si="2"/>
        <v>1612500</v>
      </c>
      <c r="AK11" s="230">
        <f t="shared" si="2"/>
        <v>600000</v>
      </c>
      <c r="AL11" s="230">
        <f t="shared" si="2"/>
        <v>112500</v>
      </c>
      <c r="AM11" s="230">
        <f t="shared" si="2"/>
        <v>75000</v>
      </c>
      <c r="AN11" s="230">
        <f t="shared" si="2"/>
        <v>787500</v>
      </c>
      <c r="AO11" s="230">
        <f t="shared" si="2"/>
        <v>15500000</v>
      </c>
      <c r="AP11" s="230">
        <f t="shared" si="2"/>
        <v>0</v>
      </c>
      <c r="AQ11" s="230">
        <f t="shared" si="2"/>
        <v>0</v>
      </c>
      <c r="AR11" s="230">
        <f t="shared" si="2"/>
        <v>15500000</v>
      </c>
      <c r="AS11" s="230">
        <f t="shared" si="2"/>
        <v>25555556</v>
      </c>
      <c r="AT11" s="230">
        <f t="shared" si="2"/>
        <v>2555555.6</v>
      </c>
      <c r="AU11" s="222"/>
      <c r="AV11" s="230">
        <f>AV12+AV13+AV14</f>
        <v>39212500</v>
      </c>
      <c r="AW11" s="214"/>
    </row>
    <row r="12" spans="1:50" ht="52.8" customHeight="1" x14ac:dyDescent="0.25">
      <c r="A12" s="218">
        <v>1</v>
      </c>
      <c r="B12" s="37" t="s">
        <v>340</v>
      </c>
      <c r="C12" s="220" t="s">
        <v>341</v>
      </c>
      <c r="D12" s="221" t="s">
        <v>321</v>
      </c>
      <c r="E12" s="173" t="s">
        <v>343</v>
      </c>
      <c r="F12" s="222" t="str">
        <f>IFERROR(VLOOKUP($B12,'3. BẢNG CHẤM CÔNG'!$B$11:$AV$28,6,0),0)</f>
        <v>Chính Thức</v>
      </c>
      <c r="G12" s="223">
        <f>IFERROR(VLOOKUP($B12, '3. BẢNG CHẤM CÔNG'!$B$10:$AV32,43,0),0)</f>
        <v>20</v>
      </c>
      <c r="H12" s="223">
        <f>IFERROR(VLOOKUP($B12, '3. BẢNG CHẤM CÔNG'!$B$10:$AV32,44,0),0)</f>
        <v>2</v>
      </c>
      <c r="I12" s="223"/>
      <c r="J12" s="222">
        <f>IFERROR(VLOOKUP($B12,' 5. Thông số TL'!$D$12:$T$30,4,0),0)</f>
        <v>0</v>
      </c>
      <c r="K12" s="222">
        <f>IFERROR(IF($F12="Chính Thức",$J12/$G$4*($G12+$H12),IF($F12="Thử Việc",$J12/$G$4*($G12+$H12)*85%,"")),0)</f>
        <v>0</v>
      </c>
      <c r="L12" s="224">
        <f t="shared" ref="L12" si="3">SUM(K12)</f>
        <v>0</v>
      </c>
      <c r="M12" s="222">
        <f>IFERROR(VLOOKUP($B12,' 5. Thông số TL'!$D$12:$T$30,5,0),0)</f>
        <v>13046667</v>
      </c>
      <c r="N12" s="225">
        <v>1</v>
      </c>
      <c r="O12" s="222">
        <f>IFERROR(IF($F12="Chính Thức",$M12/$G$4*($G12+$H12)*N12,IF($F12="Thử Việc",$M12/$G$4*N12*($G12+$H12)*85%)),0)</f>
        <v>13046667.000000002</v>
      </c>
      <c r="P12" s="222"/>
      <c r="Q12" s="226"/>
      <c r="R12" s="222"/>
      <c r="S12" s="224"/>
      <c r="T12" s="222"/>
      <c r="U12" s="222"/>
      <c r="V12" s="224">
        <f t="shared" ref="V12" si="4">SUM(T12:U12)</f>
        <v>0</v>
      </c>
      <c r="W12" s="222">
        <f>IFERROR(IF($F12="Chính Thức",VLOOKUP($B12,' 5. Thông số TL'!$D$12:$T$30,6,0)/$G$4*($G12+$H12),IF($F12="Thử Việc",VLOOKUP($B12,' 5. Thông số TL'!$D$12:$T$30,6,0)/$G$4*($G12+$H12)*85%,"")),0)</f>
        <v>720000</v>
      </c>
      <c r="X12" s="222">
        <f>IFERROR(IF($F12="Chính Thức",VLOOKUP($B12,' 5. Thông số TL'!$D$12:$T$30,7,0)/$G$4*($G12+$H12),IF($F12="Thử Việc",VLOOKUP($B12,' 5. Thông số TL'!$D$12:$T$30,7,0)/$G$4*($G12+$H12)*85%,"")),0)</f>
        <v>399999.99999999994</v>
      </c>
      <c r="Y12" s="222">
        <f>IFERROR(IF($F12="Chính Thức",VLOOKUP($B12,' 5. Thông số TL'!$D$12:$T$30,8,0)/$G$4*($G12+$H12),IF($F12="Thử Việc",VLOOKUP($B12,' 5. Thông số TL'!$D$12:$T$30,8,0)/$G$4*($G12+$H12)*85%,"")),0)</f>
        <v>2500000</v>
      </c>
      <c r="Z12" s="222">
        <f t="shared" ref="Z12" si="5">SUM(W12:Y12)</f>
        <v>3620000</v>
      </c>
      <c r="AA12" s="222">
        <f>IFERROR(IF($F12="Chính Thức",VLOOKUP($B12,' 5. Thông số TL'!$D$12:$T$30,10,0)/$G$4*($G12+$H12),IF($F12="Thử Việc",VLOOKUP($B12,' 5. Thông số TL'!$D$12:$T$30,10,0)/$G$4*($G12+$H12)*85%,"")),0)</f>
        <v>0</v>
      </c>
      <c r="AB12" s="222"/>
      <c r="AC12" s="222">
        <f t="shared" ref="AC12" si="6">SUM(AA12:AB12)</f>
        <v>0</v>
      </c>
      <c r="AD12" s="224">
        <f t="shared" ref="AD12" si="7">Z12+AC12</f>
        <v>3620000</v>
      </c>
      <c r="AE12" s="224">
        <f>L12+O12+S12+V12+AD12</f>
        <v>16666667.000000002</v>
      </c>
      <c r="AF12" s="222">
        <f>IF(F12="Chính Thức",AE12,IF(F12="Thử Việc",AE12-W12-X12,IF(F12="CTV",AE12,0)))</f>
        <v>16666667.000000002</v>
      </c>
      <c r="AG12" s="227">
        <f t="shared" ref="AG12:AI13" si="8">IFERROR(IF(AND($F12="Chính Thức",($G12+$H12)&gt;=11),$J12*AG$8,IF(AND($F12="Chính Thức",($G12+$H12)&lt;11,0),IF($F12="Thử Việc",0),"")),0)</f>
        <v>0</v>
      </c>
      <c r="AH12" s="227">
        <f t="shared" si="8"/>
        <v>0</v>
      </c>
      <c r="AI12" s="227">
        <f t="shared" si="8"/>
        <v>0</v>
      </c>
      <c r="AJ12" s="228">
        <f t="shared" ref="AJ12" si="9">ROUND(SUM(AG12:AI12),0)</f>
        <v>0</v>
      </c>
      <c r="AK12" s="227">
        <f t="shared" ref="AK12:AM13" si="10">IFERROR(IF(AND($F12="Chính Thức",($G12+$H12)&gt;=11),$J12*AK$8,IF(AND($F12="Chính Thức",($G12+$H12)&lt;11,0),IF($F12="Thử Việc",0),"")),0)</f>
        <v>0</v>
      </c>
      <c r="AL12" s="227">
        <f t="shared" si="10"/>
        <v>0</v>
      </c>
      <c r="AM12" s="227">
        <f t="shared" si="10"/>
        <v>0</v>
      </c>
      <c r="AN12" s="224">
        <f t="shared" ref="AN12" si="11">ROUND(SUM(AK12:AM12),-1)</f>
        <v>0</v>
      </c>
      <c r="AO12" s="228">
        <v>0</v>
      </c>
      <c r="AP12" s="229"/>
      <c r="AQ12" s="222">
        <f t="shared" ref="AQ12" si="12">AP12*$AQ$10</f>
        <v>0</v>
      </c>
      <c r="AR12" s="222">
        <f t="shared" ref="AR12" si="13">+AO12+AQ12</f>
        <v>0</v>
      </c>
      <c r="AS12" s="222">
        <f>MAX(AF12,0)</f>
        <v>16666667.000000002</v>
      </c>
      <c r="AT12" s="224">
        <f>AS12*10%</f>
        <v>1666666.7000000002</v>
      </c>
      <c r="AU12" s="222"/>
      <c r="AV12" s="224">
        <f t="shared" ref="AV12:AV13" si="14">ROUND(AE12-AN12-AT12+AU12,-2)</f>
        <v>15000000</v>
      </c>
      <c r="AW12" s="214"/>
      <c r="AX12" s="458"/>
    </row>
    <row r="13" spans="1:50" ht="58.5" customHeight="1" x14ac:dyDescent="0.25">
      <c r="A13" s="218">
        <v>2</v>
      </c>
      <c r="B13" s="182" t="s">
        <v>324</v>
      </c>
      <c r="C13" s="220" t="s">
        <v>326</v>
      </c>
      <c r="D13" s="221" t="s">
        <v>321</v>
      </c>
      <c r="E13" s="173" t="s">
        <v>325</v>
      </c>
      <c r="F13" s="222" t="s">
        <v>308</v>
      </c>
      <c r="G13" s="223">
        <f>IFERROR(VLOOKUP($B13, '3. BẢNG CHẤM CÔNG'!$B$10:$AV33,43,0),0)</f>
        <v>20</v>
      </c>
      <c r="H13" s="223">
        <f>IFERROR(VLOOKUP($B13, '3. BẢNG CHẤM CÔNG'!$B$10:$AV33,44,0),0)</f>
        <v>2</v>
      </c>
      <c r="I13" s="403"/>
      <c r="J13" s="402">
        <f>IFERROR(VLOOKUP($B13,' 5. Thông số TL'!$D$12:$T$30,4,0),0)</f>
        <v>7500000</v>
      </c>
      <c r="K13" s="402">
        <f>IFERROR(IF($F13="Chính Thức",$J13/$G$4*($G13+$H13),IF($F13="Thử Việc",$J13/$G$4*($G13+$H13)*85%,"")),0)</f>
        <v>7499999.9999999991</v>
      </c>
      <c r="L13" s="404">
        <f t="shared" ref="L13:L14" si="15">SUM(K13)</f>
        <v>7499999.9999999991</v>
      </c>
      <c r="M13" s="402">
        <f>IFERROR(VLOOKUP($B13,' 5. Thông số TL'!$D$12:$T$30,5,0),0)</f>
        <v>7480000</v>
      </c>
      <c r="N13" s="405">
        <v>1</v>
      </c>
      <c r="O13" s="402">
        <f>IFERROR(IF($F13="Chính Thức",$M13/$G$4*($G13+$H13)*N13,IF($F13="Thử Việc",$M13/$G$4*N13*($G13+$H13)*85%)),0)</f>
        <v>7480000</v>
      </c>
      <c r="P13" s="402"/>
      <c r="Q13" s="406"/>
      <c r="R13" s="402"/>
      <c r="S13" s="404"/>
      <c r="T13" s="402"/>
      <c r="U13" s="402"/>
      <c r="V13" s="404">
        <f t="shared" ref="V13:V14" si="16">SUM(T13:U13)</f>
        <v>0</v>
      </c>
      <c r="W13" s="402">
        <f>IFERROR(IF($F13="Chính Thức",VLOOKUP($B13,' 5. Thông số TL'!$D$12:$T$30,6,0)/$G$4*($G13+$H13),IF($F13="Thử Việc",VLOOKUP($B13,' 5. Thông số TL'!$D$12:$T$30,6,0)/$G$4*($G13+$H13)*85%,"")),0)</f>
        <v>720000</v>
      </c>
      <c r="X13" s="402">
        <f>IFERROR(IF($F13="Chính Thức",VLOOKUP($B13,' 5. Thông số TL'!$D$12:$T$30,7,0)/$G$4*($G13+$H13),IF($F13="Thử Việc",VLOOKUP($B13,' 5. Thông số TL'!$D$12:$T$30,7,0)/$G$4*($G13+$H13)*85%,"")),0)</f>
        <v>399999.99999999994</v>
      </c>
      <c r="Y13" s="402">
        <f>IFERROR(IF($F13="Chính Thức",VLOOKUP($B13,' 5. Thông số TL'!$D$12:$T$30,8,0)/$G$4*($G13+$H13),IF($F13="Thử Việc",VLOOKUP($B13,' 5. Thông số TL'!$D$12:$T$30,8,0)/$G$4*($G13+$H13)*85%,"")),0)</f>
        <v>900000</v>
      </c>
      <c r="Z13" s="402">
        <f t="shared" ref="Z13:Z14" si="17">SUM(W13:Y13)</f>
        <v>2020000</v>
      </c>
      <c r="AA13" s="402">
        <f>IFERROR(IF($F13="Chính Thức",VLOOKUP($B13,' 5. Thông số TL'!$D$12:$T$30,10,0)/$G$4*($G13+$H13),IF($F13="Thử Việc",VLOOKUP($B13,' 5. Thông số TL'!$D$12:$T$30,10,0)/$G$4*($G13+$H13)*85%,"")),0)</f>
        <v>0</v>
      </c>
      <c r="AB13" s="402"/>
      <c r="AC13" s="402">
        <f t="shared" ref="AC13:AC14" si="18">SUM(AA13:AB13)</f>
        <v>0</v>
      </c>
      <c r="AD13" s="404">
        <f t="shared" ref="AD13:AD14" si="19">Z13+AC13</f>
        <v>2020000</v>
      </c>
      <c r="AE13" s="404">
        <f t="shared" ref="AE13" si="20">L13+O13+S13+V13+AD13</f>
        <v>17000000</v>
      </c>
      <c r="AF13" s="402">
        <f>IF(F13="Chính Thức",AE13-Z13,IF(F13="Thử Việc",AE13-W13-X13,IF(F13="CTV",AE13,0)))</f>
        <v>14980000</v>
      </c>
      <c r="AG13" s="407">
        <f t="shared" si="8"/>
        <v>1312500</v>
      </c>
      <c r="AH13" s="407">
        <f t="shared" si="8"/>
        <v>225000</v>
      </c>
      <c r="AI13" s="407">
        <f t="shared" si="8"/>
        <v>75000</v>
      </c>
      <c r="AJ13" s="408">
        <f t="shared" ref="AJ13:AJ14" si="21">ROUND(SUM(AG13:AI13),0)</f>
        <v>1612500</v>
      </c>
      <c r="AK13" s="407">
        <f t="shared" si="10"/>
        <v>600000</v>
      </c>
      <c r="AL13" s="407">
        <f t="shared" si="10"/>
        <v>112500</v>
      </c>
      <c r="AM13" s="407">
        <f t="shared" si="10"/>
        <v>75000</v>
      </c>
      <c r="AN13" s="404">
        <f t="shared" ref="AN13:AN14" si="22">ROUND(SUM(AK13:AM13),-1)</f>
        <v>787500</v>
      </c>
      <c r="AO13" s="408">
        <f>IF(F13="Chính Thức",$AO$10,0)</f>
        <v>15500000</v>
      </c>
      <c r="AP13" s="409"/>
      <c r="AQ13" s="402">
        <f t="shared" ref="AQ13:AQ14" si="23">AP13*$AQ$10</f>
        <v>0</v>
      </c>
      <c r="AR13" s="402">
        <f t="shared" ref="AR13:AR14" si="24">+AO13+AQ13</f>
        <v>15500000</v>
      </c>
      <c r="AS13" s="402">
        <f t="shared" ref="AS13" si="25">MAX(AF13-AR13-AN13,0)</f>
        <v>0</v>
      </c>
      <c r="AT13" s="404">
        <f>IF(F13="Chính Thức",IF(AS13&lt;=0,,IF(AND(AS13&gt;0,AS13&lt;=5000000),5%*AS13,IF(AND(AS13&gt;5000000,AS13&lt;=10000000),10%*AS13-250000,IF(AND(AS13&gt;10000000,AS13&lt;=18000000),15%*AS13-750000,IF(AND(AS13&gt;18000000,AS13&lt;=32000000),20%*AS13-1650000,IF(AND(AS13&gt;32000000,AS13&lt;=52000000),25%*AS13-3250000,IF(AND(AS13&gt;52000000,AS13&lt;=80000000),30%*AS13-5850000,IF(AS13&gt;80000000,35%*AS13-9850000)))))))),IF(AND(F13="Thử Việc",AS13&gt;=2000000),AS13*10%,IF(F13="CTV",AS13*10%)))</f>
        <v>0</v>
      </c>
      <c r="AU13" s="402"/>
      <c r="AV13" s="224">
        <f t="shared" si="14"/>
        <v>16212500</v>
      </c>
      <c r="AW13" s="222"/>
    </row>
    <row r="14" spans="1:50" ht="58.5" customHeight="1" x14ac:dyDescent="0.25">
      <c r="A14" s="218">
        <v>3</v>
      </c>
      <c r="B14" s="182" t="s">
        <v>354</v>
      </c>
      <c r="C14" s="220" t="s">
        <v>355</v>
      </c>
      <c r="D14" s="221" t="s">
        <v>321</v>
      </c>
      <c r="E14" s="173" t="s">
        <v>353</v>
      </c>
      <c r="F14" s="222" t="str">
        <f>IFERROR(VLOOKUP($B14,'3. BẢNG CHẤM CÔNG'!$B$11:$AV$28,6,0),0)</f>
        <v>Chính Thức</v>
      </c>
      <c r="G14" s="223">
        <f>IFERROR(VLOOKUP($B14, '3. BẢNG CHẤM CÔNG'!$B$10:$AV33,43,0),0)</f>
        <v>20</v>
      </c>
      <c r="H14" s="223">
        <f>IFERROR(VLOOKUP($B14, '3. BẢNG CHẤM CÔNG'!$B$10:$AV33,44,0),0)</f>
        <v>2</v>
      </c>
      <c r="I14" s="223"/>
      <c r="J14" s="222">
        <f>IFERROR(VLOOKUP($B14,' 5. Thông số TL'!$D$12:$T$30,4,0),0)</f>
        <v>0</v>
      </c>
      <c r="K14" s="222">
        <f>IFERROR(IF($F14="Chính Thức",$J14/$G$4*($G14+$H14),IF($F14="Thử Việc",$J14/$G$4*($G14+$H14)*85%,"")),0)</f>
        <v>0</v>
      </c>
      <c r="L14" s="224">
        <f t="shared" si="15"/>
        <v>0</v>
      </c>
      <c r="M14" s="222">
        <f>IFERROR(VLOOKUP($B14,' 5. Thông số TL'!$D$12:$T$30,5,0),0)</f>
        <v>5768889</v>
      </c>
      <c r="N14" s="225">
        <v>1</v>
      </c>
      <c r="O14" s="222">
        <f>IFERROR(IF($F14="Chính Thức",$M14/$G$4*($G14+$H14)*N14,IF($F14="Thử Việc",$M14/$G$4*N14*($G14+$H14)*85%)),0)</f>
        <v>5768889</v>
      </c>
      <c r="P14" s="222"/>
      <c r="Q14" s="226"/>
      <c r="R14" s="222"/>
      <c r="S14" s="224"/>
      <c r="T14" s="222"/>
      <c r="U14" s="222"/>
      <c r="V14" s="224">
        <f t="shared" si="16"/>
        <v>0</v>
      </c>
      <c r="W14" s="222">
        <f>IFERROR(IF($F14="Chính Thức",VLOOKUP($B14,' 5. Thông số TL'!$D$12:$T$30,6,0)/$G$4*($G14+$H14),IF($F14="Thử Việc",VLOOKUP($B14,' 5. Thông số TL'!$D$12:$T$30,6,0)/$G$4*($G14+$H14)*85%,"")),0)</f>
        <v>720000</v>
      </c>
      <c r="X14" s="222">
        <f>IFERROR(IF($F14="Chính Thức",VLOOKUP($B14,' 5. Thông số TL'!$D$12:$T$30,7,0)/$G$4*($G14+$H14),IF($F14="Thử Việc",VLOOKUP($B14,' 5. Thông số TL'!$D$12:$T$30,7,0)/$G$4*($G14+$H14)*85%,"")),0)</f>
        <v>399999.99999999994</v>
      </c>
      <c r="Y14" s="222">
        <f>IFERROR(IF($F14="Chính Thức",VLOOKUP($B14,' 5. Thông số TL'!$D$12:$T$30,8,0)/$G$4*($G14+$H14),IF($F14="Thử Việc",VLOOKUP($B14,' 5. Thông số TL'!$D$12:$T$30,8,0)/$G$4*($G14+$H14)*85%,"")),0)</f>
        <v>2000000</v>
      </c>
      <c r="Z14" s="222">
        <f t="shared" si="17"/>
        <v>3120000</v>
      </c>
      <c r="AA14" s="222">
        <f>IFERROR(IF($F14="Chính Thức",VLOOKUP($B14,' 5. Thông số TL'!$D$12:$T$30,10,0)/$G$4*($G14+$H14),IF($F14="Thử Việc",VLOOKUP($B14,' 5. Thông số TL'!$D$12:$T$30,10,0)/$G$4*($G14+$H14)*85%,"")),0)</f>
        <v>0</v>
      </c>
      <c r="AB14" s="222"/>
      <c r="AC14" s="222">
        <f t="shared" si="18"/>
        <v>0</v>
      </c>
      <c r="AD14" s="224">
        <f t="shared" si="19"/>
        <v>3120000</v>
      </c>
      <c r="AE14" s="224">
        <f>L14+O14+S14+V14+AD14</f>
        <v>8888889</v>
      </c>
      <c r="AF14" s="222">
        <f>IF(F14="Chính Thức",AE14,IF(F14="Thử Việc",AE14-W14-X14,IF(F14="CTV",AE14,0)))</f>
        <v>8888889</v>
      </c>
      <c r="AG14" s="227">
        <f>IFERROR(IF(AND($F14="Chính Thức",($G14+$H14)&gt;=11),$J14*AG$8,IF(AND($F14="Chính Thức",($G14+$H14)&lt;11,0),IF($F14="Thử Việc",0),"")),0)</f>
        <v>0</v>
      </c>
      <c r="AH14" s="227">
        <f>IFERROR(IF(AND($F14="Chính Thức",($G14+$H14)&gt;=11),$J14*AH$8,IF(AND($F14="Chính Thức",($G14+$H14)&lt;11,0),IF($F14="Thử Việc",0),"")),0)</f>
        <v>0</v>
      </c>
      <c r="AI14" s="227">
        <f>IFERROR(IF(AND($F14="Chính Thức",($G14+$H14)&gt;=11),$J14*AI$8,IF(AND($F14="Chính Thức",($G14+$H14)&lt;11,0),IF($F14="Thử Việc",0),"")),0)</f>
        <v>0</v>
      </c>
      <c r="AJ14" s="228">
        <f t="shared" si="21"/>
        <v>0</v>
      </c>
      <c r="AK14" s="227">
        <f>IFERROR(IF(AND($F14="Chính Thức",($G14+$H14)&gt;=11),$J14*AK$8,IF(AND($F14="Chính Thức",($G14+$H14)&lt;11,0),IF($F14="Thử Việc",0),"")),0)</f>
        <v>0</v>
      </c>
      <c r="AL14" s="227">
        <f>IFERROR(IF(AND($F14="Chính Thức",($G14+$H14)&gt;=11),$J14*AL$8,IF(AND($F14="Chính Thức",($G14+$H14)&lt;11,0),IF($F14="Thử Việc",0),"")),0)</f>
        <v>0</v>
      </c>
      <c r="AM14" s="227">
        <f>IFERROR(IF(AND($F14="Chính Thức",($G14+$H14)&gt;=11),$J14*AM$8,IF(AND($F14="Chính Thức",($G14+$H14)&lt;11,0),IF($F14="Thử Việc",0),"")),0)</f>
        <v>0</v>
      </c>
      <c r="AN14" s="224">
        <f t="shared" si="22"/>
        <v>0</v>
      </c>
      <c r="AO14" s="228">
        <v>0</v>
      </c>
      <c r="AP14" s="229"/>
      <c r="AQ14" s="222">
        <f t="shared" si="23"/>
        <v>0</v>
      </c>
      <c r="AR14" s="222">
        <f t="shared" si="24"/>
        <v>0</v>
      </c>
      <c r="AS14" s="222">
        <f>MAX(AF14,0)</f>
        <v>8888889</v>
      </c>
      <c r="AT14" s="224">
        <f>AS14*10%</f>
        <v>888888.9</v>
      </c>
      <c r="AU14" s="222"/>
      <c r="AV14" s="224">
        <f t="shared" ref="AV14" si="26">ROUND(AE14-AN14-AT14+AU14,-2)</f>
        <v>8000000</v>
      </c>
      <c r="AW14" s="222"/>
    </row>
    <row r="15" spans="1:50" ht="58.5" customHeight="1" x14ac:dyDescent="0.25">
      <c r="A15" s="398"/>
      <c r="B15" s="459" t="s">
        <v>319</v>
      </c>
      <c r="C15" s="399"/>
      <c r="D15" s="400"/>
      <c r="E15" s="401"/>
      <c r="F15" s="402"/>
      <c r="G15" s="403"/>
      <c r="H15" s="403"/>
      <c r="I15" s="403"/>
      <c r="J15" s="460">
        <f>SUBTOTAL(9,J16:J24)</f>
        <v>58180000</v>
      </c>
      <c r="K15" s="460">
        <f t="shared" ref="K15:AU15" si="27">SUBTOTAL(9,K16:K24)</f>
        <v>35093636.36363636</v>
      </c>
      <c r="L15" s="460">
        <f t="shared" si="27"/>
        <v>35093636.36363636</v>
      </c>
      <c r="M15" s="460">
        <f t="shared" si="27"/>
        <v>31121400</v>
      </c>
      <c r="N15" s="460">
        <f t="shared" si="27"/>
        <v>8</v>
      </c>
      <c r="O15" s="460">
        <f t="shared" si="27"/>
        <v>17854627.27272727</v>
      </c>
      <c r="P15" s="460">
        <f t="shared" si="27"/>
        <v>0</v>
      </c>
      <c r="Q15" s="460">
        <f t="shared" si="27"/>
        <v>0</v>
      </c>
      <c r="R15" s="460">
        <f t="shared" si="27"/>
        <v>0</v>
      </c>
      <c r="S15" s="460">
        <f t="shared" si="27"/>
        <v>0</v>
      </c>
      <c r="T15" s="460">
        <f t="shared" si="27"/>
        <v>0</v>
      </c>
      <c r="U15" s="460">
        <f t="shared" si="27"/>
        <v>0</v>
      </c>
      <c r="V15" s="460">
        <f t="shared" si="27"/>
        <v>0</v>
      </c>
      <c r="W15" s="460">
        <f t="shared" si="27"/>
        <v>4716000</v>
      </c>
      <c r="X15" s="460">
        <f t="shared" si="27"/>
        <v>2619999.9999999995</v>
      </c>
      <c r="Y15" s="460">
        <f t="shared" si="27"/>
        <v>4213636.3636363642</v>
      </c>
      <c r="Z15" s="460">
        <f t="shared" si="27"/>
        <v>11549636.363636363</v>
      </c>
      <c r="AA15" s="460">
        <f t="shared" si="27"/>
        <v>0</v>
      </c>
      <c r="AB15" s="460">
        <f t="shared" si="27"/>
        <v>0</v>
      </c>
      <c r="AC15" s="460">
        <f t="shared" si="27"/>
        <v>0</v>
      </c>
      <c r="AD15" s="460">
        <f t="shared" si="27"/>
        <v>11549636.363636363</v>
      </c>
      <c r="AE15" s="460">
        <f t="shared" si="27"/>
        <v>64497900</v>
      </c>
      <c r="AF15" s="460">
        <f t="shared" si="27"/>
        <v>53720990.909090899</v>
      </c>
      <c r="AG15" s="460">
        <f t="shared" si="27"/>
        <v>5747000</v>
      </c>
      <c r="AH15" s="460">
        <f t="shared" si="27"/>
        <v>985200</v>
      </c>
      <c r="AI15" s="460">
        <f t="shared" si="27"/>
        <v>328400</v>
      </c>
      <c r="AJ15" s="460">
        <f t="shared" si="27"/>
        <v>7060600</v>
      </c>
      <c r="AK15" s="460">
        <f t="shared" si="27"/>
        <v>2627200</v>
      </c>
      <c r="AL15" s="460">
        <f t="shared" si="27"/>
        <v>492600</v>
      </c>
      <c r="AM15" s="460">
        <f t="shared" si="27"/>
        <v>328400</v>
      </c>
      <c r="AN15" s="460">
        <f t="shared" si="27"/>
        <v>3448200</v>
      </c>
      <c r="AO15" s="460">
        <f t="shared" si="27"/>
        <v>93000000</v>
      </c>
      <c r="AP15" s="460">
        <f t="shared" si="27"/>
        <v>0</v>
      </c>
      <c r="AQ15" s="460">
        <f t="shared" si="27"/>
        <v>0</v>
      </c>
      <c r="AR15" s="460">
        <f t="shared" si="27"/>
        <v>93000000</v>
      </c>
      <c r="AS15" s="460">
        <f t="shared" si="27"/>
        <v>14501927.27272727</v>
      </c>
      <c r="AT15" s="460">
        <f t="shared" si="27"/>
        <v>1103967.6363636362</v>
      </c>
      <c r="AU15" s="460">
        <f t="shared" si="27"/>
        <v>0</v>
      </c>
      <c r="AV15" s="460">
        <f>AV16+AV21+AV22+AV23+AV24+AV25+AV26+AV27</f>
        <v>60230900</v>
      </c>
      <c r="AW15" s="222"/>
    </row>
    <row r="16" spans="1:50" ht="58.5" customHeight="1" x14ac:dyDescent="0.25">
      <c r="A16" s="411">
        <v>4</v>
      </c>
      <c r="B16" s="390" t="s">
        <v>323</v>
      </c>
      <c r="C16" s="413" t="s">
        <v>318</v>
      </c>
      <c r="D16" s="414" t="s">
        <v>319</v>
      </c>
      <c r="E16" s="414" t="s">
        <v>322</v>
      </c>
      <c r="F16" s="415" t="str">
        <f>IFERROR(VLOOKUP($B16,'3. BẢNG CHẤM CÔNG'!$B$11:$AV$28,6,0),0)</f>
        <v>Chính Thức</v>
      </c>
      <c r="G16" s="416">
        <v>10</v>
      </c>
      <c r="H16" s="416">
        <f>IFERROR(VLOOKUP($B16, '3. BẢNG CHẤM CÔNG'!$B$10:$AV34,44,0),0)</f>
        <v>5</v>
      </c>
      <c r="I16" s="416"/>
      <c r="J16" s="415">
        <f>IFERROR(VLOOKUP($B16,' 5. Thông số TL'!$D$12:$T$30,4,0),0)</f>
        <v>7500000</v>
      </c>
      <c r="K16" s="415">
        <f>IFERROR(IF($F16="Chính Thức",$J16/$G$4*($G16+$H16),IF($F16="Thử Việc",$J16/$G$4*($G16+$H16)*85%,"")),0)</f>
        <v>5113636.3636363633</v>
      </c>
      <c r="L16" s="417">
        <f t="shared" ref="L16" si="28">SUM(K16)</f>
        <v>5113636.3636363633</v>
      </c>
      <c r="M16" s="415">
        <f>IFERROR(VLOOKUP($B16,' 5. Thông số TL'!$D$12:$T$30,5,0),0)</f>
        <v>4880000</v>
      </c>
      <c r="N16" s="418">
        <v>1</v>
      </c>
      <c r="O16" s="415">
        <f>IFERROR(IF($F16="Chính Thức",$M16/$G$4*($G16+$H16)*N16,IF($F16="Thử Việc",$M16/$G$4*N16*($G16+$H16)*85%)),0)</f>
        <v>3327272.7272727275</v>
      </c>
      <c r="P16" s="415"/>
      <c r="Q16" s="419"/>
      <c r="R16" s="415"/>
      <c r="S16" s="417"/>
      <c r="T16" s="415"/>
      <c r="U16" s="415"/>
      <c r="V16" s="417">
        <f t="shared" ref="V16" si="29">SUM(T16:U16)</f>
        <v>0</v>
      </c>
      <c r="W16" s="415">
        <f>IFERROR(IF($F16="Chính Thức",VLOOKUP($B16,' 5. Thông số TL'!$D$12:$T$30,6,0)/$G$4*($G16+$H16),IF($F16="Thử Việc",VLOOKUP($B16,' 5. Thông số TL'!$D$12:$T$30,6,0)/$G$4*($G16+$H16)*85%,"")),0)</f>
        <v>490909.09090909094</v>
      </c>
      <c r="X16" s="415">
        <f>IFERROR(IF($F16="Chính Thức",VLOOKUP($B16,' 5. Thông số TL'!$D$12:$T$30,7,0)/$G$4*($G16+$H16),IF($F16="Thử Việc",VLOOKUP($B16,' 5. Thông số TL'!$D$12:$T$30,7,0)/$G$4*($G16+$H16)*85%,"")),0)</f>
        <v>272727.27272727271</v>
      </c>
      <c r="Y16" s="415">
        <f>IFERROR(IF($F16="Chính Thức",VLOOKUP($B16,' 5. Thông số TL'!$D$12:$T$30,8,0)/$G$4*($G16+$H16),IF($F16="Thử Việc",VLOOKUP($B16,' 5. Thông số TL'!$D$12:$T$30,8,0)/$G$4*($G16+$H16)*85%,"")),0)</f>
        <v>1704545.4545454546</v>
      </c>
      <c r="Z16" s="415">
        <f t="shared" ref="Z16" si="30">SUM(W16:Y16)</f>
        <v>2468181.8181818184</v>
      </c>
      <c r="AA16" s="415">
        <f>IFERROR(IF($F16="Chính Thức",VLOOKUP($B16,' 5. Thông số TL'!$D$12:$T$30,10,0)/$G$4*($G16+$H16),IF($F16="Thử Việc",VLOOKUP($B16,' 5. Thông số TL'!$D$12:$T$30,10,0)/$G$4*($G16+$H16)*85%,"")),0)</f>
        <v>0</v>
      </c>
      <c r="AB16" s="415"/>
      <c r="AC16" s="415">
        <f t="shared" ref="AC16" si="31">SUM(AA16:AB16)</f>
        <v>0</v>
      </c>
      <c r="AD16" s="417">
        <f t="shared" ref="AD16" si="32">Z16+AC16</f>
        <v>2468181.8181818184</v>
      </c>
      <c r="AE16" s="417">
        <f t="shared" ref="AE16" si="33">L16+O16+S16+V16+AD16</f>
        <v>10909090.909090908</v>
      </c>
      <c r="AF16" s="415">
        <f>IF(F16="Chính Thức",AE16-Z16,IF(F16="Thử Việc",AE16-W16-X16,IF(F16="CTV",AE16,0)))</f>
        <v>8440909.0909090899</v>
      </c>
      <c r="AG16" s="420">
        <f>IFERROR(IF(AND($F16="Chính Thức",($G16+$H16)&gt;=11),$J16*AG$8,IF(AND($F16="Chính Thức",($G16+$H16)&lt;11,0),IF($F16="Thử Việc",0),"")),0)</f>
        <v>1312500</v>
      </c>
      <c r="AH16" s="420">
        <f>IFERROR(IF(AND($F16="Chính Thức",($G16+$H16)&gt;=11),$J16*AH$8,IF(AND($F16="Chính Thức",($G16+$H16)&lt;11,0),IF($F16="Thử Việc",0),"")),0)</f>
        <v>225000</v>
      </c>
      <c r="AI16" s="420">
        <f>IFERROR(IF(AND($F16="Chính Thức",($G16+$H16)&gt;=11),$J16*AI$8,IF(AND($F16="Chính Thức",($G16+$H16)&lt;11,0),IF($F16="Thử Việc",0),"")),0)</f>
        <v>75000</v>
      </c>
      <c r="AJ16" s="421">
        <f t="shared" ref="AJ16" si="34">ROUND(SUM(AG16:AI16),0)</f>
        <v>1612500</v>
      </c>
      <c r="AK16" s="420">
        <f>IFERROR(IF(AND($F16="Chính Thức",($G16+$H16)&gt;=11),$J16*AK$8,IF(AND($F16="Chính Thức",($G16+$H16)&lt;11,0),IF($F16="Thử Việc",0),"")),0)</f>
        <v>600000</v>
      </c>
      <c r="AL16" s="420">
        <f>IFERROR(IF(AND($F16="Chính Thức",($G16+$H16)&gt;=11),$J16*AL$8,IF(AND($F16="Chính Thức",($G16+$H16)&lt;11,0),IF($F16="Thử Việc",0),"")),0)</f>
        <v>112500</v>
      </c>
      <c r="AM16" s="420">
        <f>IFERROR(IF(AND($F16="Chính Thức",($G16+$H16)&gt;=11),$J16*AM$8,IF(AND($F16="Chính Thức",($G16+$H16)&lt;11,0),IF($F16="Thử Việc",0),"")),0)</f>
        <v>75000</v>
      </c>
      <c r="AN16" s="417">
        <f t="shared" ref="AN16" si="35">ROUND(SUM(AK16:AM16),-1)</f>
        <v>787500</v>
      </c>
      <c r="AO16" s="421">
        <f>IF(F16="Chính Thức",$AO$10,0)</f>
        <v>15500000</v>
      </c>
      <c r="AP16" s="422"/>
      <c r="AQ16" s="415">
        <f t="shared" ref="AQ16" si="36">AP16*$AQ$10</f>
        <v>0</v>
      </c>
      <c r="AR16" s="415">
        <f t="shared" ref="AR16" si="37">+AO16+AQ16</f>
        <v>15500000</v>
      </c>
      <c r="AS16" s="415">
        <f t="shared" ref="AS16" si="38">MAX(AF16-AR16-AN16,0)</f>
        <v>0</v>
      </c>
      <c r="AT16" s="417">
        <f>IF(F16="Chính Thức",IF(AS16&lt;=0,,IF(AND(AS16&gt;0,AS16&lt;=5000000),5%*AS16,IF(AND(AS16&gt;5000000,AS16&lt;=10000000),10%*AS16-250000,IF(AND(AS16&gt;10000000,AS16&lt;=18000000),15%*AS16-750000,IF(AND(AS16&gt;18000000,AS16&lt;=32000000),20%*AS16-1650000,IF(AND(AS16&gt;32000000,AS16&lt;=52000000),25%*AS16-3250000,IF(AND(AS16&gt;52000000,AS16&lt;=80000000),30%*AS16-5850000,IF(AS16&gt;80000000,35%*AS16-9850000)))))))),IF(AND(F16="Thử Việc",AS16&gt;=2000000),AS16*10%,IF(F16="CTV",AS16*10%)))</f>
        <v>0</v>
      </c>
      <c r="AU16" s="415"/>
      <c r="AV16" s="417">
        <f t="shared" ref="AV16" si="39">ROUND(AE16-AN16-AT16+AU16,-2)</f>
        <v>10121600</v>
      </c>
      <c r="AW16" s="397"/>
    </row>
    <row r="17" spans="1:50" ht="58.5" hidden="1" customHeight="1" x14ac:dyDescent="0.25">
      <c r="A17" s="411"/>
      <c r="B17" s="390" t="s">
        <v>365</v>
      </c>
      <c r="C17" s="413" t="str">
        <f>VLOOKUP(B17,' 5. Thông số TL'!$D$12:$E$25,2,0)</f>
        <v>Đinh Thị Bích Ngọc</v>
      </c>
      <c r="D17" s="414" t="s">
        <v>319</v>
      </c>
      <c r="E17" s="414" t="s">
        <v>364</v>
      </c>
      <c r="F17" s="415" t="str">
        <f>IFERROR(VLOOKUP($B17,'3. BẢNG CHẤM CÔNG'!$B$11:$AV$28,6,0),0)</f>
        <v>Chính Thức</v>
      </c>
      <c r="G17" s="416">
        <f>IFERROR(VLOOKUP($B17, '3. BẢNG CHẤM CÔNG'!$B$10:$AV35,43,0),0)</f>
        <v>20</v>
      </c>
      <c r="H17" s="416">
        <f>IFERROR(VLOOKUP($B17, '3. BẢNG CHẤM CÔNG'!$B$10:$AV35,44,0),0)</f>
        <v>2</v>
      </c>
      <c r="I17" s="416"/>
      <c r="J17" s="415">
        <f>IFERROR(VLOOKUP($B17,' 5. Thông số TL'!$D$12:$T$30,4,0),0)</f>
        <v>4960000</v>
      </c>
      <c r="K17" s="415">
        <f t="shared" ref="K17:K27" si="40">IFERROR(IF($F17="Chính Thức",$J17/$G$4*($G17+$H17),IF($F17="Thử Việc",$J17/$G$4*($G17+$H17)*85%,"")),0)</f>
        <v>4960000</v>
      </c>
      <c r="L17" s="417">
        <f t="shared" ref="L17:L24" si="41">SUM(K17)</f>
        <v>4960000</v>
      </c>
      <c r="M17" s="415">
        <f>IFERROR(VLOOKUP($B17,' 5. Thông số TL'!$D$12:$T$30,5,0),0)</f>
        <v>1040800</v>
      </c>
      <c r="N17" s="418">
        <v>1</v>
      </c>
      <c r="O17" s="415">
        <f t="shared" ref="O17:O24" si="42">IFERROR(IF($F17="Chính Thức",$M17/$G$4*($G17+$H17)*N17,IF($F17="Thử Việc",$M17/$G$4*N17*($G17+$H17)*85%)),0)</f>
        <v>1040800</v>
      </c>
      <c r="P17" s="415"/>
      <c r="Q17" s="419"/>
      <c r="R17" s="415"/>
      <c r="S17" s="417"/>
      <c r="T17" s="415"/>
      <c r="U17" s="415"/>
      <c r="V17" s="417">
        <f t="shared" ref="V17:V24" si="43">SUM(T17:U17)</f>
        <v>0</v>
      </c>
      <c r="W17" s="415">
        <f>IFERROR(IF($F17="Chính Thức",VLOOKUP($B17,' 5. Thông số TL'!$D$12:$T$30,6,0)/$G$4*($G17+$H17),IF($F17="Thử Việc",VLOOKUP($B17,' 5. Thông số TL'!$D$12:$T$30,6,0)/$G$4*($G17+$H17)*85%,"")),0)</f>
        <v>720000</v>
      </c>
      <c r="X17" s="415">
        <f>IFERROR(IF($F17="Chính Thức",VLOOKUP($B17,' 5. Thông số TL'!$D$12:$T$30,7,0)/$G$4*($G17+$H17),IF($F17="Thử Việc",VLOOKUP($B17,' 5. Thông số TL'!$D$12:$T$30,7,0)/$G$4*($G17+$H17)*85%,"")),0)</f>
        <v>399999.99999999994</v>
      </c>
      <c r="Y17" s="415">
        <f>IFERROR(IF($F17="Chính Thức",VLOOKUP($B17,' 5. Thông số TL'!$D$12:$T$30,8,0)/$G$4*($G17+$H17),IF($F17="Thử Việc",VLOOKUP($B17,' 5. Thông số TL'!$D$12:$T$30,8,0)/$G$4*($G17+$H17)*85%,"")),0)</f>
        <v>399999.99999999994</v>
      </c>
      <c r="Z17" s="415">
        <f t="shared" ref="Z17:Z24" si="44">SUM(W17:Y17)</f>
        <v>1520000</v>
      </c>
      <c r="AA17" s="415">
        <f>IFERROR(IF($F17="Chính Thức",VLOOKUP($B17,' 5. Thông số TL'!$D$12:$T$30,10,0)/$G$4*($G17+$H17),IF($F17="Thử Việc",VLOOKUP($B17,' 5. Thông số TL'!$D$12:$T$30,10,0)/$G$4*($G17+$H17)*85%,"")),0)</f>
        <v>0</v>
      </c>
      <c r="AB17" s="415"/>
      <c r="AC17" s="415">
        <f t="shared" ref="AC17:AC24" si="45">SUM(AA17:AB17)</f>
        <v>0</v>
      </c>
      <c r="AD17" s="417">
        <f t="shared" ref="AD17:AD24" si="46">Z17+AC17</f>
        <v>1520000</v>
      </c>
      <c r="AE17" s="417">
        <f t="shared" ref="AE17:AE24" si="47">L17+O17+S17+V17+AD17</f>
        <v>7520800</v>
      </c>
      <c r="AF17" s="415">
        <f t="shared" ref="AF17:AF24" si="48">IF(F17="Chính Thức",AE17-Z17,IF(F17="Thử Việc",AE17-W17-X17,IF(F17="CTV",AE17,0)))</f>
        <v>6000800</v>
      </c>
      <c r="AG17" s="420">
        <f t="shared" ref="AG17:AI27" si="49">IFERROR(IF(AND($F17="Chính Thức",($G17+$H17)&gt;=11),$J17*AG$8,IF(AND($F17="Chính Thức",($G17+$H17)&lt;11,0),IF($F17="Thử Việc",0),"")),0)</f>
        <v>868000</v>
      </c>
      <c r="AH17" s="420">
        <f t="shared" si="49"/>
        <v>148800</v>
      </c>
      <c r="AI17" s="420">
        <f t="shared" si="49"/>
        <v>49600</v>
      </c>
      <c r="AJ17" s="421">
        <f t="shared" ref="AJ17:AJ24" si="50">ROUND(SUM(AG17:AI17),0)</f>
        <v>1066400</v>
      </c>
      <c r="AK17" s="420">
        <f t="shared" ref="AK17:AM27" si="51">IFERROR(IF(AND($F17="Chính Thức",($G17+$H17)&gt;=11),$J17*AK$8,IF(AND($F17="Chính Thức",($G17+$H17)&lt;11,0),IF($F17="Thử Việc",0),"")),0)</f>
        <v>396800</v>
      </c>
      <c r="AL17" s="420">
        <f t="shared" si="51"/>
        <v>74400</v>
      </c>
      <c r="AM17" s="420">
        <f t="shared" si="51"/>
        <v>49600</v>
      </c>
      <c r="AN17" s="417">
        <f t="shared" ref="AN17:AN24" si="52">ROUND(SUM(AK17:AM17),-1)</f>
        <v>520800</v>
      </c>
      <c r="AO17" s="421">
        <f t="shared" ref="AO17:AO24" si="53">IF(F17="Chính Thức",$AO$10,0)</f>
        <v>15500000</v>
      </c>
      <c r="AP17" s="422"/>
      <c r="AQ17" s="415">
        <f t="shared" ref="AQ17:AQ24" si="54">AP17*$AQ$10</f>
        <v>0</v>
      </c>
      <c r="AR17" s="415">
        <f t="shared" ref="AR17:AR24" si="55">+AO17+AQ17</f>
        <v>15500000</v>
      </c>
      <c r="AS17" s="415">
        <f t="shared" ref="AS17:AS24" si="56">MAX(AF17-AR17-AN17,0)</f>
        <v>0</v>
      </c>
      <c r="AT17" s="417">
        <f t="shared" ref="AT17:AT24" si="57">IF(F17="Chính Thức",IF(AS17&lt;=0,,IF(AND(AS17&gt;0,AS17&lt;=5000000),5%*AS17,IF(AND(AS17&gt;5000000,AS17&lt;=10000000),10%*AS17-250000,IF(AND(AS17&gt;10000000,AS17&lt;=18000000),15%*AS17-750000,IF(AND(AS17&gt;18000000,AS17&lt;=32000000),20%*AS17-1650000,IF(AND(AS17&gt;32000000,AS17&lt;=52000000),25%*AS17-3250000,IF(AND(AS17&gt;52000000,AS17&lt;=80000000),30%*AS17-5850000,IF(AS17&gt;80000000,35%*AS17-9850000)))))))),IF(AND(F17="Thử Việc",AS17&gt;=2000000),AS17*10%,IF(F17="CTV",AS17*10%)))</f>
        <v>0</v>
      </c>
      <c r="AU17" s="415"/>
      <c r="AV17" s="417">
        <f t="shared" ref="AV17:AV24" si="58">ROUND(AE17-AN17-AT17+AU17,-2)</f>
        <v>7000000</v>
      </c>
      <c r="AW17" s="397"/>
    </row>
    <row r="18" spans="1:50" ht="58.5" hidden="1" customHeight="1" x14ac:dyDescent="0.25">
      <c r="A18" s="411"/>
      <c r="B18" s="390" t="s">
        <v>367</v>
      </c>
      <c r="C18" s="413" t="str">
        <f>VLOOKUP(B18,' 5. Thông số TL'!$D$12:$E$25,2,0)</f>
        <v>Lương Văn Châm</v>
      </c>
      <c r="D18" s="414" t="s">
        <v>319</v>
      </c>
      <c r="E18" s="414" t="s">
        <v>373</v>
      </c>
      <c r="F18" s="415" t="str">
        <f>IFERROR(VLOOKUP($B18,'3. BẢNG CHẤM CÔNG'!$B$11:$AV$28,6,0),0)</f>
        <v>Thử Việc</v>
      </c>
      <c r="G18" s="416">
        <f>IFERROR(VLOOKUP($B18, '3. BẢNG CHẤM CÔNG'!$B$10:$AV36,43,0),0)</f>
        <v>8</v>
      </c>
      <c r="H18" s="416">
        <f>IFERROR(VLOOKUP($B18, '3. BẢNG CHẤM CÔNG'!$B$10:$AV36,44,0),0)</f>
        <v>0</v>
      </c>
      <c r="I18" s="416"/>
      <c r="J18" s="415">
        <f>IFERROR(VLOOKUP($B18,' 5. Thông số TL'!$D$12:$T$30,4,0),0)</f>
        <v>4960000</v>
      </c>
      <c r="K18" s="415">
        <f t="shared" si="40"/>
        <v>1533090.9090909089</v>
      </c>
      <c r="L18" s="417">
        <f t="shared" si="41"/>
        <v>1533090.9090909089</v>
      </c>
      <c r="M18" s="415">
        <f>IFERROR(VLOOKUP($B18,' 5. Thông số TL'!$D$12:$T$30,5,0),0)</f>
        <v>4040800</v>
      </c>
      <c r="N18" s="418">
        <v>1</v>
      </c>
      <c r="O18" s="415">
        <f t="shared" si="42"/>
        <v>1248974.5454545454</v>
      </c>
      <c r="P18" s="415"/>
      <c r="Q18" s="419"/>
      <c r="R18" s="415"/>
      <c r="S18" s="417"/>
      <c r="T18" s="415"/>
      <c r="U18" s="415"/>
      <c r="V18" s="417">
        <f t="shared" si="43"/>
        <v>0</v>
      </c>
      <c r="W18" s="415">
        <f>IFERROR(IF($F18="Chính Thức",VLOOKUP($B18,' 5. Thông số TL'!$D$12:$T$30,6,0)/$G$4*($G18+$H18),IF($F18="Thử Việc",VLOOKUP($B18,' 5. Thông số TL'!$D$12:$T$30,6,0)/$G$4*($G18+$H18)*85%,"")),0)</f>
        <v>222545.45454545456</v>
      </c>
      <c r="X18" s="415">
        <f>IFERROR(IF($F18="Chính Thức",VLOOKUP($B18,' 5. Thông số TL'!$D$12:$T$30,7,0)/$G$4*($G18+$H18),IF($F18="Thử Việc",VLOOKUP($B18,' 5. Thông số TL'!$D$12:$T$30,7,0)/$G$4*($G18+$H18)*85%,"")),0)</f>
        <v>123636.36363636362</v>
      </c>
      <c r="Y18" s="415">
        <f>IFERROR(IF($F18="Chính Thức",VLOOKUP($B18,' 5. Thông số TL'!$D$12:$T$30,8,0)/$G$4*($G18+$H18),IF($F18="Thử Việc",VLOOKUP($B18,' 5. Thông số TL'!$D$12:$T$30,8,0)/$G$4*($G18+$H18)*85%,"")),0)</f>
        <v>123636.36363636362</v>
      </c>
      <c r="Z18" s="415">
        <f t="shared" si="44"/>
        <v>469818.18181818177</v>
      </c>
      <c r="AA18" s="415">
        <f>IFERROR(IF($F18="Chính Thức",VLOOKUP($B18,' 5. Thông số TL'!$D$12:$T$30,10,0)/$G$4*($G18+$H18),IF($F18="Thử Việc",VLOOKUP($B18,' 5. Thông số TL'!$D$12:$T$30,10,0)/$G$4*($G18+$H18)*85%,"")),0)</f>
        <v>0</v>
      </c>
      <c r="AB18" s="415"/>
      <c r="AC18" s="415">
        <f t="shared" si="45"/>
        <v>0</v>
      </c>
      <c r="AD18" s="417">
        <f t="shared" si="46"/>
        <v>469818.18181818177</v>
      </c>
      <c r="AE18" s="417">
        <f t="shared" si="47"/>
        <v>3251883.6363636358</v>
      </c>
      <c r="AF18" s="415">
        <f t="shared" si="48"/>
        <v>2905701.8181818174</v>
      </c>
      <c r="AG18" s="420" t="str">
        <f t="shared" si="49"/>
        <v/>
      </c>
      <c r="AH18" s="420" t="str">
        <f t="shared" si="49"/>
        <v/>
      </c>
      <c r="AI18" s="420" t="str">
        <f t="shared" si="49"/>
        <v/>
      </c>
      <c r="AJ18" s="421">
        <f t="shared" si="50"/>
        <v>0</v>
      </c>
      <c r="AK18" s="420" t="str">
        <f t="shared" si="51"/>
        <v/>
      </c>
      <c r="AL18" s="420" t="str">
        <f t="shared" si="51"/>
        <v/>
      </c>
      <c r="AM18" s="420" t="str">
        <f t="shared" si="51"/>
        <v/>
      </c>
      <c r="AN18" s="417">
        <f t="shared" si="52"/>
        <v>0</v>
      </c>
      <c r="AO18" s="421">
        <f t="shared" si="53"/>
        <v>0</v>
      </c>
      <c r="AP18" s="422"/>
      <c r="AQ18" s="415">
        <f t="shared" si="54"/>
        <v>0</v>
      </c>
      <c r="AR18" s="415">
        <f t="shared" si="55"/>
        <v>0</v>
      </c>
      <c r="AS18" s="415">
        <f t="shared" si="56"/>
        <v>2905701.8181818174</v>
      </c>
      <c r="AT18" s="417">
        <f t="shared" si="57"/>
        <v>290570.18181818177</v>
      </c>
      <c r="AU18" s="415"/>
      <c r="AV18" s="417">
        <f t="shared" si="58"/>
        <v>2961300</v>
      </c>
      <c r="AW18" s="397"/>
    </row>
    <row r="19" spans="1:50" ht="58.5" hidden="1" customHeight="1" x14ac:dyDescent="0.25">
      <c r="A19" s="411"/>
      <c r="B19" s="390" t="s">
        <v>367</v>
      </c>
      <c r="C19" s="413" t="str">
        <f>VLOOKUP(B19,' 5. Thông số TL'!$D$12:$E$25,2,0)</f>
        <v>Lương Văn Châm</v>
      </c>
      <c r="D19" s="414" t="s">
        <v>319</v>
      </c>
      <c r="E19" s="414" t="s">
        <v>373</v>
      </c>
      <c r="F19" s="415" t="s">
        <v>308</v>
      </c>
      <c r="G19" s="416">
        <v>10</v>
      </c>
      <c r="H19" s="416">
        <v>2</v>
      </c>
      <c r="I19" s="416"/>
      <c r="J19" s="415">
        <f>IFERROR(VLOOKUP($B19,' 5. Thông số TL'!$D$12:$T$30,4,0),0)</f>
        <v>4960000</v>
      </c>
      <c r="K19" s="415">
        <f t="shared" si="40"/>
        <v>2705454.5454545454</v>
      </c>
      <c r="L19" s="417">
        <f t="shared" ref="L19:L20" si="59">SUM(K19)</f>
        <v>2705454.5454545454</v>
      </c>
      <c r="M19" s="415">
        <f>IFERROR(VLOOKUP($B19,' 5. Thông số TL'!$D$12:$T$30,5,0),0)</f>
        <v>4040800</v>
      </c>
      <c r="N19" s="418">
        <v>1</v>
      </c>
      <c r="O19" s="415">
        <f t="shared" ref="O19:O20" si="60">IFERROR(IF($F19="Chính Thức",$M19/$G$4*($G19+$H19)*N19,IF($F19="Thử Việc",$M19/$G$4*N19*($G19+$H19)*85%)),0)</f>
        <v>2204072.7272727271</v>
      </c>
      <c r="P19" s="415"/>
      <c r="Q19" s="419"/>
      <c r="R19" s="415"/>
      <c r="S19" s="417"/>
      <c r="T19" s="415"/>
      <c r="U19" s="415"/>
      <c r="V19" s="417">
        <f t="shared" ref="V19:V20" si="61">SUM(T19:U19)</f>
        <v>0</v>
      </c>
      <c r="W19" s="415">
        <f>IFERROR(IF($F19="Chính Thức",VLOOKUP($B19,' 5. Thông số TL'!$D$12:$T$30,6,0)/$G$4*($G19+$H19),IF($F19="Thử Việc",VLOOKUP($B19,' 5. Thông số TL'!$D$12:$T$30,6,0)/$G$4*($G19+$H19)*85%,"")),0)</f>
        <v>392727.27272727271</v>
      </c>
      <c r="X19" s="415">
        <f>IFERROR(IF($F19="Chính Thức",VLOOKUP($B19,' 5. Thông số TL'!$D$12:$T$30,7,0)/$G$4*($G19+$H19),IF($F19="Thử Việc",VLOOKUP($B19,' 5. Thông số TL'!$D$12:$T$30,7,0)/$G$4*($G19+$H19)*85%,"")),0)</f>
        <v>218181.81818181818</v>
      </c>
      <c r="Y19" s="415">
        <f>IFERROR(IF($F19="Chính Thức",VLOOKUP($B19,' 5. Thông số TL'!$D$12:$T$30,8,0)/$G$4*($G19+$H19),IF($F19="Thử Việc",VLOOKUP($B19,' 5. Thông số TL'!$D$12:$T$30,8,0)/$G$4*($G19+$H19)*85%,"")),0)</f>
        <v>218181.81818181818</v>
      </c>
      <c r="Z19" s="415">
        <f t="shared" ref="Z19:Z20" si="62">SUM(W19:Y19)</f>
        <v>829090.90909090894</v>
      </c>
      <c r="AA19" s="415">
        <f>IFERROR(IF($F19="Chính Thức",VLOOKUP($B19,' 5. Thông số TL'!$D$12:$T$30,10,0)/$G$4*($G19+$H19),IF($F19="Thử Việc",VLOOKUP($B19,' 5. Thông số TL'!$D$12:$T$30,10,0)/$G$4*($G19+$H19)*85%,"")),0)</f>
        <v>0</v>
      </c>
      <c r="AB19" s="415"/>
      <c r="AC19" s="415">
        <f t="shared" ref="AC19:AC20" si="63">SUM(AA19:AB19)</f>
        <v>0</v>
      </c>
      <c r="AD19" s="417">
        <f t="shared" ref="AD19:AD20" si="64">Z19+AC19</f>
        <v>829090.90909090894</v>
      </c>
      <c r="AE19" s="417">
        <f t="shared" ref="AE19:AE20" si="65">L19+O19+S19+V19+AD19</f>
        <v>5738618.1818181816</v>
      </c>
      <c r="AF19" s="415">
        <f t="shared" ref="AF19:AF20" si="66">IF(F19="Chính Thức",AE19-Z19,IF(F19="Thử Việc",AE19-W19-X19,IF(F19="CTV",AE19,0)))</f>
        <v>4909527.2727272725</v>
      </c>
      <c r="AG19" s="420">
        <f t="shared" si="49"/>
        <v>868000</v>
      </c>
      <c r="AH19" s="420">
        <f t="shared" si="49"/>
        <v>148800</v>
      </c>
      <c r="AI19" s="420">
        <f t="shared" si="49"/>
        <v>49600</v>
      </c>
      <c r="AJ19" s="421">
        <f t="shared" ref="AJ19:AJ20" si="67">ROUND(SUM(AG19:AI19),0)</f>
        <v>1066400</v>
      </c>
      <c r="AK19" s="420">
        <f t="shared" si="51"/>
        <v>396800</v>
      </c>
      <c r="AL19" s="420">
        <f t="shared" si="51"/>
        <v>74400</v>
      </c>
      <c r="AM19" s="420">
        <f t="shared" si="51"/>
        <v>49600</v>
      </c>
      <c r="AN19" s="417">
        <f t="shared" ref="AN19:AN20" si="68">ROUND(SUM(AK19:AM19),-1)</f>
        <v>520800</v>
      </c>
      <c r="AO19" s="421">
        <f t="shared" ref="AO19:AO20" si="69">IF(F19="Chính Thức",$AO$10,0)</f>
        <v>15500000</v>
      </c>
      <c r="AP19" s="422"/>
      <c r="AQ19" s="415">
        <f t="shared" ref="AQ19:AQ20" si="70">AP19*$AQ$10</f>
        <v>0</v>
      </c>
      <c r="AR19" s="415">
        <f t="shared" ref="AR19:AR20" si="71">+AO19+AQ19</f>
        <v>15500000</v>
      </c>
      <c r="AS19" s="415">
        <f t="shared" ref="AS19:AS20" si="72">MAX(AF19-AR19-AN19,0)</f>
        <v>0</v>
      </c>
      <c r="AT19" s="417">
        <f t="shared" ref="AT19:AT20" si="73">IF(F19="Chính Thức",IF(AS19&lt;=0,,IF(AND(AS19&gt;0,AS19&lt;=5000000),5%*AS19,IF(AND(AS19&gt;5000000,AS19&lt;=10000000),10%*AS19-250000,IF(AND(AS19&gt;10000000,AS19&lt;=18000000),15%*AS19-750000,IF(AND(AS19&gt;18000000,AS19&lt;=32000000),20%*AS19-1650000,IF(AND(AS19&gt;32000000,AS19&lt;=52000000),25%*AS19-3250000,IF(AND(AS19&gt;52000000,AS19&lt;=80000000),30%*AS19-5850000,IF(AS19&gt;80000000,35%*AS19-9850000)))))))),IF(AND(F19="Thử Việc",AS19&gt;=2000000),AS19*10%,IF(F19="CTV",AS19*10%)))</f>
        <v>0</v>
      </c>
      <c r="AU19" s="415"/>
      <c r="AV19" s="417">
        <f t="shared" ref="AV19:AV20" si="74">ROUND(AE19-AN19-AT19+AU19,-2)</f>
        <v>5217800</v>
      </c>
      <c r="AW19" s="397"/>
    </row>
    <row r="20" spans="1:50" ht="58.5" hidden="1" customHeight="1" x14ac:dyDescent="0.25">
      <c r="A20" s="411"/>
      <c r="B20" s="390" t="s">
        <v>365</v>
      </c>
      <c r="C20" s="413" t="str">
        <f>VLOOKUP(B20,' 5. Thông số TL'!$D$12:$E$25,2,0)</f>
        <v>Đinh Thị Bích Ngọc</v>
      </c>
      <c r="D20" s="414" t="s">
        <v>319</v>
      </c>
      <c r="E20" s="414" t="s">
        <v>364</v>
      </c>
      <c r="F20" s="415" t="s">
        <v>399</v>
      </c>
      <c r="G20" s="416">
        <v>7</v>
      </c>
      <c r="H20" s="416">
        <v>0</v>
      </c>
      <c r="I20" s="416"/>
      <c r="J20" s="415">
        <f>IFERROR(VLOOKUP($B20,' 5. Thông số TL'!$D$12:$T$30,4,0),0)</f>
        <v>4960000</v>
      </c>
      <c r="K20" s="415">
        <f t="shared" si="40"/>
        <v>1341454.5454545454</v>
      </c>
      <c r="L20" s="417">
        <f t="shared" si="59"/>
        <v>1341454.5454545454</v>
      </c>
      <c r="M20" s="415">
        <f>IFERROR(VLOOKUP($B20,' 5. Thông số TL'!$D$12:$T$30,5,0),0)</f>
        <v>1040800</v>
      </c>
      <c r="N20" s="418">
        <v>1</v>
      </c>
      <c r="O20" s="415">
        <f t="shared" si="60"/>
        <v>281489.09090909088</v>
      </c>
      <c r="P20" s="415"/>
      <c r="Q20" s="419"/>
      <c r="R20" s="415"/>
      <c r="S20" s="417"/>
      <c r="T20" s="415"/>
      <c r="U20" s="415"/>
      <c r="V20" s="417">
        <f t="shared" si="61"/>
        <v>0</v>
      </c>
      <c r="W20" s="415">
        <f>IFERROR(IF($F20="Chính Thức",VLOOKUP($B20,' 5. Thông số TL'!$D$12:$T$30,6,0)/$G$4*($G20+$H20),IF($F20="Thử Việc",VLOOKUP($B20,' 5. Thông số TL'!$D$12:$T$30,6,0)/$G$4*($G20+$H20)*85%,"")),0)</f>
        <v>194727.27272727271</v>
      </c>
      <c r="X20" s="415">
        <f>IFERROR(IF($F20="Chính Thức",VLOOKUP($B20,' 5. Thông số TL'!$D$12:$T$30,7,0)/$G$4*($G20+$H20),IF($F20="Thử Việc",VLOOKUP($B20,' 5. Thông số TL'!$D$12:$T$30,7,0)/$G$4*($G20+$H20)*85%,"")),0)</f>
        <v>108181.81818181818</v>
      </c>
      <c r="Y20" s="415">
        <f>IFERROR(IF($F20="Chính Thức",VLOOKUP($B20,' 5. Thông số TL'!$D$12:$T$30,8,0)/$G$4*($G20+$H20),IF($F20="Thử Việc",VLOOKUP($B20,' 5. Thông số TL'!$D$12:$T$30,8,0)/$G$4*($G20+$H20)*85%,"")),0)</f>
        <v>108181.81818181818</v>
      </c>
      <c r="Z20" s="415">
        <f t="shared" si="62"/>
        <v>411090.90909090906</v>
      </c>
      <c r="AA20" s="415">
        <f>IFERROR(IF($F20="Chính Thức",VLOOKUP($B20,' 5. Thông số TL'!$D$12:$T$30,10,0)/$G$4*($G20+$H20),IF($F20="Thử Việc",VLOOKUP($B20,' 5. Thông số TL'!$D$12:$T$30,10,0)/$G$4*($G20+$H20)*85%,"")),0)</f>
        <v>0</v>
      </c>
      <c r="AB20" s="415"/>
      <c r="AC20" s="415">
        <f t="shared" si="63"/>
        <v>0</v>
      </c>
      <c r="AD20" s="417">
        <f t="shared" si="64"/>
        <v>411090.90909090906</v>
      </c>
      <c r="AE20" s="417">
        <f t="shared" si="65"/>
        <v>2034034.5454545454</v>
      </c>
      <c r="AF20" s="415">
        <f t="shared" si="66"/>
        <v>1731125.4545454546</v>
      </c>
      <c r="AG20" s="420" t="str">
        <f t="shared" si="49"/>
        <v/>
      </c>
      <c r="AH20" s="420" t="str">
        <f t="shared" si="49"/>
        <v/>
      </c>
      <c r="AI20" s="420" t="str">
        <f t="shared" si="49"/>
        <v/>
      </c>
      <c r="AJ20" s="421">
        <f t="shared" si="67"/>
        <v>0</v>
      </c>
      <c r="AK20" s="420" t="str">
        <f t="shared" si="51"/>
        <v/>
      </c>
      <c r="AL20" s="420" t="str">
        <f t="shared" si="51"/>
        <v/>
      </c>
      <c r="AM20" s="420" t="str">
        <f t="shared" si="51"/>
        <v/>
      </c>
      <c r="AN20" s="417">
        <f t="shared" si="68"/>
        <v>0</v>
      </c>
      <c r="AO20" s="421">
        <f t="shared" si="69"/>
        <v>0</v>
      </c>
      <c r="AP20" s="422"/>
      <c r="AQ20" s="415">
        <f t="shared" si="70"/>
        <v>0</v>
      </c>
      <c r="AR20" s="415">
        <f t="shared" si="71"/>
        <v>0</v>
      </c>
      <c r="AS20" s="415">
        <f t="shared" si="72"/>
        <v>1731125.4545454546</v>
      </c>
      <c r="AT20" s="417" t="b">
        <f t="shared" si="73"/>
        <v>0</v>
      </c>
      <c r="AU20" s="415"/>
      <c r="AV20" s="417">
        <f t="shared" si="74"/>
        <v>2034000</v>
      </c>
      <c r="AW20" s="397"/>
    </row>
    <row r="21" spans="1:50" ht="58.5" customHeight="1" x14ac:dyDescent="0.25">
      <c r="A21" s="411"/>
      <c r="B21" s="390" t="s">
        <v>365</v>
      </c>
      <c r="C21" s="413" t="str">
        <f>VLOOKUP(B21,' 5. Thông số TL'!$D$12:$E$25,2,0)</f>
        <v>Đinh Thị Bích Ngọc</v>
      </c>
      <c r="D21" s="414" t="s">
        <v>319</v>
      </c>
      <c r="E21" s="414" t="s">
        <v>364</v>
      </c>
      <c r="F21" s="415" t="str">
        <f>IFERROR(VLOOKUP($B21,'3. BẢNG CHẤM CÔNG'!$B$11:$AV$28,6,0),0)</f>
        <v>Chính Thức</v>
      </c>
      <c r="G21" s="416">
        <f>G20+G17</f>
        <v>27</v>
      </c>
      <c r="H21" s="416">
        <f t="shared" ref="H21:AV21" si="75">H20+H17</f>
        <v>2</v>
      </c>
      <c r="I21" s="416">
        <f t="shared" si="75"/>
        <v>0</v>
      </c>
      <c r="J21" s="415">
        <f t="shared" si="75"/>
        <v>9920000</v>
      </c>
      <c r="K21" s="415">
        <f t="shared" si="75"/>
        <v>6301454.5454545449</v>
      </c>
      <c r="L21" s="415">
        <f t="shared" si="75"/>
        <v>6301454.5454545449</v>
      </c>
      <c r="M21" s="415">
        <f t="shared" si="75"/>
        <v>2081600</v>
      </c>
      <c r="N21" s="416"/>
      <c r="O21" s="415">
        <f t="shared" si="75"/>
        <v>1322289.0909090908</v>
      </c>
      <c r="P21" s="415">
        <f t="shared" si="75"/>
        <v>0</v>
      </c>
      <c r="Q21" s="415">
        <f t="shared" si="75"/>
        <v>0</v>
      </c>
      <c r="R21" s="415">
        <f t="shared" si="75"/>
        <v>0</v>
      </c>
      <c r="S21" s="415">
        <f t="shared" si="75"/>
        <v>0</v>
      </c>
      <c r="T21" s="415">
        <f t="shared" si="75"/>
        <v>0</v>
      </c>
      <c r="U21" s="415">
        <f t="shared" si="75"/>
        <v>0</v>
      </c>
      <c r="V21" s="415">
        <f t="shared" si="75"/>
        <v>0</v>
      </c>
      <c r="W21" s="415">
        <f t="shared" si="75"/>
        <v>914727.27272727271</v>
      </c>
      <c r="X21" s="415">
        <f t="shared" si="75"/>
        <v>508181.81818181812</v>
      </c>
      <c r="Y21" s="415">
        <f t="shared" si="75"/>
        <v>508181.81818181812</v>
      </c>
      <c r="Z21" s="415">
        <f t="shared" si="75"/>
        <v>1931090.9090909092</v>
      </c>
      <c r="AA21" s="416">
        <f t="shared" si="75"/>
        <v>0</v>
      </c>
      <c r="AB21" s="416">
        <f t="shared" si="75"/>
        <v>0</v>
      </c>
      <c r="AC21" s="416">
        <f t="shared" si="75"/>
        <v>0</v>
      </c>
      <c r="AD21" s="415">
        <f t="shared" si="75"/>
        <v>1931090.9090909092</v>
      </c>
      <c r="AE21" s="415">
        <f t="shared" si="75"/>
        <v>9554834.5454545449</v>
      </c>
      <c r="AF21" s="415">
        <f t="shared" si="75"/>
        <v>7731925.4545454551</v>
      </c>
      <c r="AG21" s="415">
        <f>AG17</f>
        <v>868000</v>
      </c>
      <c r="AH21" s="415">
        <f t="shared" ref="AH21:AI21" si="76">AH17</f>
        <v>148800</v>
      </c>
      <c r="AI21" s="415">
        <f t="shared" si="76"/>
        <v>49600</v>
      </c>
      <c r="AJ21" s="415">
        <f t="shared" si="75"/>
        <v>1066400</v>
      </c>
      <c r="AK21" s="415">
        <f t="shared" ref="AK21:AM21" si="77">AK17</f>
        <v>396800</v>
      </c>
      <c r="AL21" s="415">
        <f t="shared" si="77"/>
        <v>74400</v>
      </c>
      <c r="AM21" s="415">
        <f t="shared" si="77"/>
        <v>49600</v>
      </c>
      <c r="AN21" s="415">
        <f t="shared" si="75"/>
        <v>520800</v>
      </c>
      <c r="AO21" s="415">
        <f t="shared" si="75"/>
        <v>15500000</v>
      </c>
      <c r="AP21" s="415">
        <f t="shared" si="75"/>
        <v>0</v>
      </c>
      <c r="AQ21" s="415">
        <f t="shared" si="75"/>
        <v>0</v>
      </c>
      <c r="AR21" s="415">
        <f t="shared" si="75"/>
        <v>15500000</v>
      </c>
      <c r="AS21" s="415">
        <f t="shared" si="75"/>
        <v>1731125.4545454546</v>
      </c>
      <c r="AT21" s="415">
        <f t="shared" si="75"/>
        <v>0</v>
      </c>
      <c r="AU21" s="415">
        <f t="shared" si="75"/>
        <v>0</v>
      </c>
      <c r="AV21" s="415">
        <f t="shared" si="75"/>
        <v>9034000</v>
      </c>
      <c r="AW21" s="397"/>
    </row>
    <row r="22" spans="1:50" ht="58.5" customHeight="1" x14ac:dyDescent="0.25">
      <c r="A22" s="411"/>
      <c r="B22" s="390" t="s">
        <v>367</v>
      </c>
      <c r="C22" s="413" t="s">
        <v>368</v>
      </c>
      <c r="D22" s="414" t="s">
        <v>319</v>
      </c>
      <c r="E22" s="414" t="s">
        <v>373</v>
      </c>
      <c r="F22" s="415"/>
      <c r="G22" s="416">
        <f>G19+G18</f>
        <v>18</v>
      </c>
      <c r="H22" s="416">
        <f t="shared" ref="H22:AV22" si="78">H19+H18</f>
        <v>2</v>
      </c>
      <c r="I22" s="416">
        <f t="shared" si="78"/>
        <v>0</v>
      </c>
      <c r="J22" s="415">
        <f t="shared" si="78"/>
        <v>9920000</v>
      </c>
      <c r="K22" s="415">
        <f t="shared" si="78"/>
        <v>4238545.4545454541</v>
      </c>
      <c r="L22" s="415">
        <f t="shared" si="78"/>
        <v>4238545.4545454541</v>
      </c>
      <c r="M22" s="415">
        <f t="shared" si="78"/>
        <v>8081600</v>
      </c>
      <c r="N22" s="462">
        <v>1</v>
      </c>
      <c r="O22" s="415">
        <f t="shared" si="78"/>
        <v>3453047.2727272725</v>
      </c>
      <c r="P22" s="415">
        <f t="shared" si="78"/>
        <v>0</v>
      </c>
      <c r="Q22" s="415">
        <f t="shared" si="78"/>
        <v>0</v>
      </c>
      <c r="R22" s="415">
        <f t="shared" si="78"/>
        <v>0</v>
      </c>
      <c r="S22" s="415">
        <f t="shared" si="78"/>
        <v>0</v>
      </c>
      <c r="T22" s="415">
        <f t="shared" si="78"/>
        <v>0</v>
      </c>
      <c r="U22" s="415">
        <f t="shared" si="78"/>
        <v>0</v>
      </c>
      <c r="V22" s="415">
        <f t="shared" si="78"/>
        <v>0</v>
      </c>
      <c r="W22" s="415">
        <f t="shared" si="78"/>
        <v>615272.72727272729</v>
      </c>
      <c r="X22" s="415">
        <f t="shared" si="78"/>
        <v>341818.18181818177</v>
      </c>
      <c r="Y22" s="415">
        <f t="shared" si="78"/>
        <v>341818.18181818177</v>
      </c>
      <c r="Z22" s="415">
        <f t="shared" si="78"/>
        <v>1298909.0909090908</v>
      </c>
      <c r="AA22" s="415">
        <f t="shared" si="78"/>
        <v>0</v>
      </c>
      <c r="AB22" s="415">
        <f t="shared" si="78"/>
        <v>0</v>
      </c>
      <c r="AC22" s="415">
        <f t="shared" si="78"/>
        <v>0</v>
      </c>
      <c r="AD22" s="415">
        <f t="shared" si="78"/>
        <v>1298909.0909090908</v>
      </c>
      <c r="AE22" s="415">
        <f t="shared" si="78"/>
        <v>8990501.8181818165</v>
      </c>
      <c r="AF22" s="415">
        <f t="shared" si="78"/>
        <v>7815229.0909090899</v>
      </c>
      <c r="AG22" s="415">
        <f>AG19</f>
        <v>868000</v>
      </c>
      <c r="AH22" s="415">
        <f t="shared" ref="AH22:AI22" si="79">AH19</f>
        <v>148800</v>
      </c>
      <c r="AI22" s="415">
        <f t="shared" si="79"/>
        <v>49600</v>
      </c>
      <c r="AJ22" s="415">
        <f t="shared" si="78"/>
        <v>1066400</v>
      </c>
      <c r="AK22" s="415">
        <f t="shared" ref="AK22:AM22" si="80">AK19</f>
        <v>396800</v>
      </c>
      <c r="AL22" s="415">
        <f t="shared" si="80"/>
        <v>74400</v>
      </c>
      <c r="AM22" s="415">
        <f t="shared" si="80"/>
        <v>49600</v>
      </c>
      <c r="AN22" s="415">
        <f t="shared" si="78"/>
        <v>520800</v>
      </c>
      <c r="AO22" s="415">
        <f t="shared" si="78"/>
        <v>15500000</v>
      </c>
      <c r="AP22" s="415">
        <f t="shared" si="78"/>
        <v>0</v>
      </c>
      <c r="AQ22" s="415">
        <f t="shared" si="78"/>
        <v>0</v>
      </c>
      <c r="AR22" s="415">
        <f t="shared" si="78"/>
        <v>15500000</v>
      </c>
      <c r="AS22" s="415">
        <f t="shared" si="78"/>
        <v>2905701.8181818174</v>
      </c>
      <c r="AT22" s="415">
        <f t="shared" si="78"/>
        <v>290570.18181818177</v>
      </c>
      <c r="AU22" s="415">
        <f t="shared" si="78"/>
        <v>0</v>
      </c>
      <c r="AV22" s="415">
        <f t="shared" si="78"/>
        <v>8179100</v>
      </c>
      <c r="AW22" s="397"/>
    </row>
    <row r="23" spans="1:50" ht="58.5" customHeight="1" x14ac:dyDescent="0.25">
      <c r="A23" s="411"/>
      <c r="B23" s="390" t="s">
        <v>369</v>
      </c>
      <c r="C23" s="413" t="str">
        <f>VLOOKUP(B23,' 5. Thông số TL'!$D$12:$E$25,2,0)</f>
        <v>Nguyễn Thị Phúc</v>
      </c>
      <c r="D23" s="414" t="s">
        <v>319</v>
      </c>
      <c r="E23" s="414" t="s">
        <v>374</v>
      </c>
      <c r="F23" s="415" t="str">
        <f>IFERROR(VLOOKUP($B23,'3. BẢNG CHẤM CÔNG'!$B$11:$AV$28,6,0),0)</f>
        <v>Chính Thức</v>
      </c>
      <c r="G23" s="416">
        <f>IFERROR(VLOOKUP($B23, '3. BẢNG CHẤM CÔNG'!$B$10:$AV37,43,0),0)</f>
        <v>20</v>
      </c>
      <c r="H23" s="416">
        <f>IFERROR(VLOOKUP($B23, '3. BẢNG CHẤM CÔNG'!$B$10:$AV37,44,0),0)</f>
        <v>2</v>
      </c>
      <c r="I23" s="416"/>
      <c r="J23" s="415">
        <f>IFERROR(VLOOKUP($B23,' 5. Thông số TL'!$D$12:$T$30,4,0),0)</f>
        <v>5500000</v>
      </c>
      <c r="K23" s="415">
        <f t="shared" si="40"/>
        <v>5500000</v>
      </c>
      <c r="L23" s="417">
        <f t="shared" si="41"/>
        <v>5500000</v>
      </c>
      <c r="M23" s="415">
        <f>IFERROR(VLOOKUP($B23,' 5. Thông số TL'!$D$12:$T$30,5,0),0)</f>
        <v>3457500</v>
      </c>
      <c r="N23" s="418">
        <v>1</v>
      </c>
      <c r="O23" s="415">
        <f t="shared" si="42"/>
        <v>3457500</v>
      </c>
      <c r="P23" s="415"/>
      <c r="Q23" s="419"/>
      <c r="R23" s="415"/>
      <c r="S23" s="417"/>
      <c r="T23" s="415"/>
      <c r="U23" s="415"/>
      <c r="V23" s="417">
        <f t="shared" si="43"/>
        <v>0</v>
      </c>
      <c r="W23" s="415">
        <f>IFERROR(IF($F23="Chính Thức",VLOOKUP($B23,' 5. Thông số TL'!$D$12:$T$30,6,0)/$G$4*($G23+$H23),IF($F23="Thử Việc",VLOOKUP($B23,' 5. Thông số TL'!$D$12:$T$30,6,0)/$G$4*($G23+$H23)*85%,"")),0)</f>
        <v>720000</v>
      </c>
      <c r="X23" s="415">
        <f>IFERROR(IF($F23="Chính Thức",VLOOKUP($B23,' 5. Thông số TL'!$D$12:$T$30,7,0)/$G$4*($G23+$H23),IF($F23="Thử Việc",VLOOKUP($B23,' 5. Thông số TL'!$D$12:$T$30,7,0)/$G$4*($G23+$H23)*85%,"")),0)</f>
        <v>399999.99999999994</v>
      </c>
      <c r="Y23" s="415">
        <f>IFERROR(IF($F23="Chính Thức",VLOOKUP($B23,' 5. Thông số TL'!$D$12:$T$30,8,0)/$G$4*($G23+$H23),IF($F23="Thử Việc",VLOOKUP($B23,' 5. Thông số TL'!$D$12:$T$30,8,0)/$G$4*($G23+$H23)*85%,"")),0)</f>
        <v>500000</v>
      </c>
      <c r="Z23" s="415">
        <f t="shared" si="44"/>
        <v>1620000</v>
      </c>
      <c r="AA23" s="415">
        <f>IFERROR(IF($F23="Chính Thức",VLOOKUP($B23,' 5. Thông số TL'!$D$12:$T$30,10,0)/$G$4*($G23+$H23),IF($F23="Thử Việc",VLOOKUP($B23,' 5. Thông số TL'!$D$12:$T$30,10,0)/$G$4*($G23+$H23)*85%,"")),0)</f>
        <v>0</v>
      </c>
      <c r="AB23" s="415"/>
      <c r="AC23" s="415">
        <f t="shared" si="45"/>
        <v>0</v>
      </c>
      <c r="AD23" s="417">
        <f t="shared" si="46"/>
        <v>1620000</v>
      </c>
      <c r="AE23" s="417">
        <f t="shared" si="47"/>
        <v>10577500</v>
      </c>
      <c r="AF23" s="415">
        <f t="shared" si="48"/>
        <v>8957500</v>
      </c>
      <c r="AG23" s="420">
        <f t="shared" si="49"/>
        <v>962499.99999999988</v>
      </c>
      <c r="AH23" s="420">
        <f t="shared" si="49"/>
        <v>165000</v>
      </c>
      <c r="AI23" s="420">
        <f t="shared" si="49"/>
        <v>55000</v>
      </c>
      <c r="AJ23" s="421">
        <f t="shared" si="50"/>
        <v>1182500</v>
      </c>
      <c r="AK23" s="420">
        <f t="shared" si="51"/>
        <v>440000</v>
      </c>
      <c r="AL23" s="420">
        <f t="shared" si="51"/>
        <v>82500</v>
      </c>
      <c r="AM23" s="420">
        <f t="shared" si="51"/>
        <v>55000</v>
      </c>
      <c r="AN23" s="417">
        <f t="shared" si="52"/>
        <v>577500</v>
      </c>
      <c r="AO23" s="421">
        <f t="shared" si="53"/>
        <v>15500000</v>
      </c>
      <c r="AP23" s="422"/>
      <c r="AQ23" s="415">
        <f t="shared" si="54"/>
        <v>0</v>
      </c>
      <c r="AR23" s="415">
        <f t="shared" si="55"/>
        <v>15500000</v>
      </c>
      <c r="AS23" s="415">
        <f t="shared" si="56"/>
        <v>0</v>
      </c>
      <c r="AT23" s="417">
        <f t="shared" si="57"/>
        <v>0</v>
      </c>
      <c r="AU23" s="415"/>
      <c r="AV23" s="417">
        <f t="shared" si="58"/>
        <v>10000000</v>
      </c>
      <c r="AW23" s="397"/>
    </row>
    <row r="24" spans="1:50" ht="58.5" customHeight="1" x14ac:dyDescent="0.25">
      <c r="A24" s="411"/>
      <c r="B24" s="390" t="s">
        <v>371</v>
      </c>
      <c r="C24" s="413" t="str">
        <f>VLOOKUP(B24,' 5. Thông số TL'!$D$12:$E$25,2,0)</f>
        <v>Nguyễn Thị Thuỳ Trang</v>
      </c>
      <c r="D24" s="414" t="s">
        <v>319</v>
      </c>
      <c r="E24" s="414" t="s">
        <v>319</v>
      </c>
      <c r="F24" s="415" t="str">
        <f>IFERROR(VLOOKUP($B24,'3. BẢNG CHẤM CÔNG'!$B$11:$AV$28,6,0),0)</f>
        <v>Thử Việc</v>
      </c>
      <c r="G24" s="416">
        <f>IFERROR(VLOOKUP($B24, '3. BẢNG CHẤM CÔNG'!$B$10:$AV38,43,0),0)</f>
        <v>16</v>
      </c>
      <c r="H24" s="416">
        <f>IFERROR(VLOOKUP($B24, '3. BẢNG CHẤM CÔNG'!$B$10:$AV38,44,0),0)</f>
        <v>0</v>
      </c>
      <c r="I24" s="416"/>
      <c r="J24" s="415">
        <f>IFERROR(VLOOKUP($B24,' 5. Thông số TL'!$D$12:$T$30,4,0),0)</f>
        <v>5500000</v>
      </c>
      <c r="K24" s="415">
        <f t="shared" si="40"/>
        <v>3400000</v>
      </c>
      <c r="L24" s="417">
        <f t="shared" si="41"/>
        <v>3400000</v>
      </c>
      <c r="M24" s="415">
        <f>IFERROR(VLOOKUP($B24,' 5. Thông số TL'!$D$12:$T$30,5,0),0)</f>
        <v>2457500</v>
      </c>
      <c r="N24" s="418">
        <v>1</v>
      </c>
      <c r="O24" s="415">
        <f t="shared" si="42"/>
        <v>1519181.8181818181</v>
      </c>
      <c r="P24" s="415"/>
      <c r="Q24" s="419"/>
      <c r="R24" s="415"/>
      <c r="S24" s="417"/>
      <c r="T24" s="415"/>
      <c r="U24" s="415"/>
      <c r="V24" s="417">
        <f t="shared" si="43"/>
        <v>0</v>
      </c>
      <c r="W24" s="415">
        <f>IFERROR(IF($F24="Chính Thức",VLOOKUP($B24,' 5. Thông số TL'!$D$12:$T$30,6,0)/$G$4*($G24+$H24),IF($F24="Thử Việc",VLOOKUP($B24,' 5. Thông số TL'!$D$12:$T$30,6,0)/$G$4*($G24+$H24)*85%,"")),0)</f>
        <v>445090.90909090912</v>
      </c>
      <c r="X24" s="415">
        <f>IFERROR(IF($F24="Chính Thức",VLOOKUP($B24,' 5. Thông số TL'!$D$12:$T$30,7,0)/$G$4*($G24+$H24),IF($F24="Thử Việc",VLOOKUP($B24,' 5. Thông số TL'!$D$12:$T$30,7,0)/$G$4*($G24+$H24)*85%,"")),0)</f>
        <v>247272.72727272724</v>
      </c>
      <c r="Y24" s="415">
        <f>IFERROR(IF($F24="Chính Thức",VLOOKUP($B24,' 5. Thông số TL'!$D$12:$T$30,8,0)/$G$4*($G24+$H24),IF($F24="Thử Việc",VLOOKUP($B24,' 5. Thông số TL'!$D$12:$T$30,8,0)/$G$4*($G24+$H24)*85%,"")),0)</f>
        <v>309090.90909090912</v>
      </c>
      <c r="Z24" s="415">
        <f t="shared" si="44"/>
        <v>1001454.5454545454</v>
      </c>
      <c r="AA24" s="415">
        <f>IFERROR(IF($F24="Chính Thức",VLOOKUP($B24,' 5. Thông số TL'!$D$12:$T$30,10,0)/$G$4*($G24+$H24),IF($F24="Thử Việc",VLOOKUP($B24,' 5. Thông số TL'!$D$12:$T$30,10,0)/$G$4*($G24+$H24)*85%,"")),0)</f>
        <v>0</v>
      </c>
      <c r="AB24" s="415"/>
      <c r="AC24" s="415">
        <f t="shared" si="45"/>
        <v>0</v>
      </c>
      <c r="AD24" s="417">
        <f t="shared" si="46"/>
        <v>1001454.5454545454</v>
      </c>
      <c r="AE24" s="417">
        <f t="shared" si="47"/>
        <v>5920636.3636363633</v>
      </c>
      <c r="AF24" s="415">
        <f t="shared" si="48"/>
        <v>5228272.7272727266</v>
      </c>
      <c r="AG24" s="420" t="str">
        <f t="shared" si="49"/>
        <v/>
      </c>
      <c r="AH24" s="420" t="str">
        <f t="shared" si="49"/>
        <v/>
      </c>
      <c r="AI24" s="420" t="str">
        <f t="shared" si="49"/>
        <v/>
      </c>
      <c r="AJ24" s="421">
        <f t="shared" si="50"/>
        <v>0</v>
      </c>
      <c r="AK24" s="420" t="str">
        <f t="shared" si="51"/>
        <v/>
      </c>
      <c r="AL24" s="420" t="str">
        <f t="shared" si="51"/>
        <v/>
      </c>
      <c r="AM24" s="420" t="str">
        <f t="shared" si="51"/>
        <v/>
      </c>
      <c r="AN24" s="417">
        <f t="shared" si="52"/>
        <v>0</v>
      </c>
      <c r="AO24" s="421">
        <f t="shared" si="53"/>
        <v>0</v>
      </c>
      <c r="AP24" s="422"/>
      <c r="AQ24" s="415">
        <f t="shared" si="54"/>
        <v>0</v>
      </c>
      <c r="AR24" s="415">
        <f t="shared" si="55"/>
        <v>0</v>
      </c>
      <c r="AS24" s="415">
        <f t="shared" si="56"/>
        <v>5228272.7272727266</v>
      </c>
      <c r="AT24" s="417">
        <f t="shared" si="57"/>
        <v>522827.27272727271</v>
      </c>
      <c r="AU24" s="415"/>
      <c r="AV24" s="417">
        <f t="shared" si="58"/>
        <v>5397800</v>
      </c>
      <c r="AW24" s="397"/>
    </row>
    <row r="25" spans="1:50" ht="58.5" customHeight="1" x14ac:dyDescent="0.25">
      <c r="A25" s="411"/>
      <c r="B25" s="390" t="s">
        <v>381</v>
      </c>
      <c r="C25" s="413" t="s">
        <v>382</v>
      </c>
      <c r="D25" s="414" t="s">
        <v>319</v>
      </c>
      <c r="E25" s="414" t="s">
        <v>380</v>
      </c>
      <c r="F25" s="415" t="str">
        <f>IFERROR(VLOOKUP($B25,'3. BẢNG CHẤM CÔNG'!$B$11:$AV$28,6,0),0)</f>
        <v>Thử Việc</v>
      </c>
      <c r="G25" s="416">
        <f>IFERROR(VLOOKUP($B25, '3. BẢNG CHẤM CÔNG'!$B$10:$AV39,43,0),0)</f>
        <v>17</v>
      </c>
      <c r="H25" s="416">
        <f>IFERROR(VLOOKUP($B25, '3. BẢNG CHẤM CÔNG'!$B$10:$AV39,44,0),0)</f>
        <v>0</v>
      </c>
      <c r="I25" s="416"/>
      <c r="J25" s="415">
        <f>IFERROR(VLOOKUP($B25,' 5. Thông số TL'!$D$12:$T$30,4,0),0)</f>
        <v>5500000</v>
      </c>
      <c r="K25" s="415">
        <f t="shared" si="40"/>
        <v>3612500</v>
      </c>
      <c r="L25" s="417">
        <f t="shared" ref="L25" si="81">SUM(K25)</f>
        <v>3612500</v>
      </c>
      <c r="M25" s="415">
        <f>IFERROR(VLOOKUP($B25,' 5. Thông số TL'!$D$12:$T$30,5,0),0)</f>
        <v>5880000</v>
      </c>
      <c r="N25" s="418">
        <v>1</v>
      </c>
      <c r="O25" s="415">
        <f t="shared" ref="O25" si="82">IFERROR(IF($F25="Chính Thức",$M25/$G$4*($G25+$H25)*N25,IF($F25="Thử Việc",$M25/$G$4*N25*($G25+$H25)*85%)),0)</f>
        <v>3862090.9090909096</v>
      </c>
      <c r="P25" s="415"/>
      <c r="Q25" s="419"/>
      <c r="R25" s="415"/>
      <c r="S25" s="417"/>
      <c r="T25" s="415"/>
      <c r="U25" s="415"/>
      <c r="V25" s="417">
        <f t="shared" ref="V25" si="83">SUM(T25:U25)</f>
        <v>0</v>
      </c>
      <c r="W25" s="415">
        <f>IFERROR(IF($F25="Chính Thức",VLOOKUP($B25,' 5. Thông số TL'!$D$12:$T$30,6,0)/$G$4*($G25+$H25),IF($F25="Thử Việc",VLOOKUP($B25,' 5. Thông số TL'!$D$12:$T$30,6,0)/$G$4*($G25+$H25)*85%,"")),0)</f>
        <v>472909.09090909088</v>
      </c>
      <c r="X25" s="415">
        <f>IFERROR(IF($F25="Chính Thức",VLOOKUP($B25,' 5. Thông số TL'!$D$12:$T$30,7,0)/$G$4*($G25+$H25),IF($F25="Thử Việc",VLOOKUP($B25,' 5. Thông số TL'!$D$12:$T$30,7,0)/$G$4*($G25+$H25)*85%,"")),0)</f>
        <v>262727.27272727271</v>
      </c>
      <c r="Y25" s="415">
        <f>IFERROR(IF($F25="Chính Thức",VLOOKUP($B25,' 5. Thông số TL'!$D$12:$T$30,8,0)/$G$4*($G25+$H25),IF($F25="Thử Việc",VLOOKUP($B25,' 5. Thông số TL'!$D$12:$T$30,8,0)/$G$4*($G25+$H25)*85%,"")),0)</f>
        <v>328409.09090909088</v>
      </c>
      <c r="Z25" s="415">
        <f t="shared" ref="Z25" si="84">SUM(W25:Y25)</f>
        <v>1064045.4545454544</v>
      </c>
      <c r="AA25" s="415">
        <f>IFERROR(IF($F25="Chính Thức",VLOOKUP($B25,' 5. Thông số TL'!$D$12:$T$30,10,0)/$G$4*($G25+$H25),IF($F25="Thử Việc",VLOOKUP($B25,' 5. Thông số TL'!$D$12:$T$30,10,0)/$G$4*($G25+$H25)*85%,"")),0)</f>
        <v>0</v>
      </c>
      <c r="AB25" s="415"/>
      <c r="AC25" s="415">
        <f t="shared" ref="AC25" si="85">SUM(AA25:AB25)</f>
        <v>0</v>
      </c>
      <c r="AD25" s="417">
        <f t="shared" ref="AD25" si="86">Z25+AC25</f>
        <v>1064045.4545454544</v>
      </c>
      <c r="AE25" s="417">
        <f t="shared" ref="AE25" si="87">L25+O25+S25+V25+AD25</f>
        <v>8538636.3636363652</v>
      </c>
      <c r="AF25" s="415">
        <f t="shared" ref="AF25" si="88">IF(F25="Chính Thức",AE25-Z25,IF(F25="Thử Việc",AE25-W25-X25,IF(F25="CTV",AE25,0)))</f>
        <v>7803000.0000000019</v>
      </c>
      <c r="AG25" s="420" t="str">
        <f t="shared" si="49"/>
        <v/>
      </c>
      <c r="AH25" s="420" t="str">
        <f t="shared" si="49"/>
        <v/>
      </c>
      <c r="AI25" s="420" t="str">
        <f t="shared" si="49"/>
        <v/>
      </c>
      <c r="AJ25" s="421">
        <f t="shared" ref="AJ25" si="89">ROUND(SUM(AG25:AI25),0)</f>
        <v>0</v>
      </c>
      <c r="AK25" s="420" t="str">
        <f t="shared" si="51"/>
        <v/>
      </c>
      <c r="AL25" s="420" t="str">
        <f t="shared" si="51"/>
        <v/>
      </c>
      <c r="AM25" s="420" t="str">
        <f t="shared" si="51"/>
        <v/>
      </c>
      <c r="AN25" s="417">
        <f t="shared" ref="AN25" si="90">ROUND(SUM(AK25:AM25),-1)</f>
        <v>0</v>
      </c>
      <c r="AO25" s="421">
        <f t="shared" ref="AO25" si="91">IF(F25="Chính Thức",$AO$10,0)</f>
        <v>0</v>
      </c>
      <c r="AP25" s="422"/>
      <c r="AQ25" s="415">
        <f t="shared" ref="AQ25" si="92">AP25*$AQ$10</f>
        <v>0</v>
      </c>
      <c r="AR25" s="415">
        <f t="shared" ref="AR25" si="93">+AO25+AQ25</f>
        <v>0</v>
      </c>
      <c r="AS25" s="415">
        <f t="shared" ref="AS25" si="94">MAX(AF25-AR25-AN25,0)</f>
        <v>7803000.0000000019</v>
      </c>
      <c r="AT25" s="417">
        <f t="shared" ref="AT25" si="95">IF(F25="Chính Thức",IF(AS25&lt;=0,,IF(AND(AS25&gt;0,AS25&lt;=5000000),5%*AS25,IF(AND(AS25&gt;5000000,AS25&lt;=10000000),10%*AS25-250000,IF(AND(AS25&gt;10000000,AS25&lt;=18000000),15%*AS25-750000,IF(AND(AS25&gt;18000000,AS25&lt;=32000000),20%*AS25-1650000,IF(AND(AS25&gt;32000000,AS25&lt;=52000000),25%*AS25-3250000,IF(AND(AS25&gt;52000000,AS25&lt;=80000000),30%*AS25-5850000,IF(AS25&gt;80000000,35%*AS25-9850000)))))))),IF(AND(F25="Thử Việc",AS25&gt;=2000000),AS25*10%,IF(F25="CTV",AS25*10%)))</f>
        <v>780300.00000000023</v>
      </c>
      <c r="AU25" s="415"/>
      <c r="AV25" s="417">
        <f t="shared" ref="AV25" si="96">ROUND(AE25-AN25-AT25+AU25,-2)</f>
        <v>7758300</v>
      </c>
      <c r="AW25" s="397"/>
    </row>
    <row r="26" spans="1:50" ht="58.5" customHeight="1" x14ac:dyDescent="0.25">
      <c r="A26" s="411"/>
      <c r="B26" s="390" t="s">
        <v>393</v>
      </c>
      <c r="C26" s="413" t="s">
        <v>395</v>
      </c>
      <c r="D26" s="414" t="s">
        <v>319</v>
      </c>
      <c r="E26" s="414" t="s">
        <v>398</v>
      </c>
      <c r="F26" s="415" t="str">
        <f>IFERROR(VLOOKUP($B26,'3. BẢNG CHẤM CÔNG'!$B$11:$AV$28,6,0),0)</f>
        <v>Part Time</v>
      </c>
      <c r="G26" s="416">
        <f>IFERROR(VLOOKUP($B26, '3. BẢNG CHẤM CÔNG'!$B$10:$AV40,43,0),0)</f>
        <v>18</v>
      </c>
      <c r="H26" s="416">
        <f>IFERROR(VLOOKUP($B26, '3. BẢNG CHẤM CÔNG'!$B$10:$AV40,44,0),0)</f>
        <v>0</v>
      </c>
      <c r="I26" s="416"/>
      <c r="J26" s="415">
        <f>IFERROR(VLOOKUP($B26,' 5. Thông số TL'!$D$12:$T$30,4,0),0)</f>
        <v>0</v>
      </c>
      <c r="K26" s="415" t="str">
        <f t="shared" si="40"/>
        <v/>
      </c>
      <c r="L26" s="417">
        <f t="shared" ref="L26:L27" si="97">SUM(K26)</f>
        <v>0</v>
      </c>
      <c r="M26" s="415">
        <f>IFERROR(VLOOKUP($B26,' 5. Thông số TL'!$D$12:$T$30,5,0),0)</f>
        <v>0</v>
      </c>
      <c r="N26" s="418">
        <v>1</v>
      </c>
      <c r="O26" s="415" t="b">
        <f t="shared" ref="O26:O27" si="98">IFERROR(IF($F26="Chính Thức",$M26/$G$4*($G26+$H26)*N26,IF($F26="Thử Việc",$M26/$G$4*N26*($G26+$H26)*85%)),0)</f>
        <v>0</v>
      </c>
      <c r="P26" s="415"/>
      <c r="Q26" s="419"/>
      <c r="R26" s="415"/>
      <c r="S26" s="417"/>
      <c r="T26" s="415"/>
      <c r="U26" s="415"/>
      <c r="V26" s="417">
        <f t="shared" ref="V26:V27" si="99">SUM(T26:U26)</f>
        <v>0</v>
      </c>
      <c r="W26" s="415" t="str">
        <f>IFERROR(IF($F26="Chính Thức",VLOOKUP($B26,' 5. Thông số TL'!$D$12:$T$30,6,0)/$G$4*($G26+$H26),IF($F26="Thử Việc",VLOOKUP($B26,' 5. Thông số TL'!$D$12:$T$30,6,0)/$G$4*($G26+$H26)*85%,"")),0)</f>
        <v/>
      </c>
      <c r="X26" s="415" t="str">
        <f>IFERROR(IF($F26="Chính Thức",VLOOKUP($B26,' 5. Thông số TL'!$D$12:$T$30,7,0)/$G$4*($G26+$H26),IF($F26="Thử Việc",VLOOKUP($B26,' 5. Thông số TL'!$D$12:$T$30,7,0)/$G$4*($G26+$H26)*85%,"")),0)</f>
        <v/>
      </c>
      <c r="Y26" s="415" t="str">
        <f>IFERROR(IF($F26="Chính Thức",VLOOKUP($B26,' 5. Thông số TL'!$D$12:$T$30,8,0)/$G$4*($G26+$H26),IF($F26="Thử Việc",VLOOKUP($B26,' 5. Thông số TL'!$D$12:$T$30,8,0)/$G$4*($G26+$H26)*85%,"")),0)</f>
        <v/>
      </c>
      <c r="Z26" s="415">
        <f t="shared" ref="Z26:Z27" si="100">SUM(W26:Y26)</f>
        <v>0</v>
      </c>
      <c r="AA26" s="415" t="str">
        <f>IFERROR(IF($F26="Chính Thức",VLOOKUP($B26,' 5. Thông số TL'!$D$12:$T$30,10,0)/$G$4*($G26+$H26),IF($F26="Thử Việc",VLOOKUP($B26,' 5. Thông số TL'!$D$12:$T$30,10,0)/$G$4*($G26+$H26)*85%,"")),0)</f>
        <v/>
      </c>
      <c r="AB26" s="415"/>
      <c r="AC26" s="415">
        <f t="shared" ref="AC26:AC27" si="101">SUM(AA26:AB26)</f>
        <v>0</v>
      </c>
      <c r="AD26" s="417">
        <f t="shared" ref="AD26:AD27" si="102">Z26+AC26</f>
        <v>0</v>
      </c>
      <c r="AE26" s="417">
        <f>500000*18</f>
        <v>9000000</v>
      </c>
      <c r="AF26" s="415">
        <f>AE26</f>
        <v>9000000</v>
      </c>
      <c r="AG26" s="420" t="str">
        <f t="shared" si="49"/>
        <v/>
      </c>
      <c r="AH26" s="420" t="str">
        <f t="shared" si="49"/>
        <v/>
      </c>
      <c r="AI26" s="420" t="str">
        <f t="shared" si="49"/>
        <v/>
      </c>
      <c r="AJ26" s="421">
        <f t="shared" ref="AJ26:AJ27" si="103">ROUND(SUM(AG26:AI26),0)</f>
        <v>0</v>
      </c>
      <c r="AK26" s="420" t="str">
        <f t="shared" si="51"/>
        <v/>
      </c>
      <c r="AL26" s="420" t="str">
        <f t="shared" si="51"/>
        <v/>
      </c>
      <c r="AM26" s="420" t="str">
        <f t="shared" si="51"/>
        <v/>
      </c>
      <c r="AN26" s="417">
        <f t="shared" ref="AN26:AN27" si="104">ROUND(SUM(AK26:AM26),-1)</f>
        <v>0</v>
      </c>
      <c r="AO26" s="421">
        <f t="shared" ref="AO26:AO27" si="105">IF(F26="Chính Thức",$AO$10,0)</f>
        <v>0</v>
      </c>
      <c r="AP26" s="422"/>
      <c r="AQ26" s="415">
        <f t="shared" ref="AQ26:AQ27" si="106">AP26*$AQ$10</f>
        <v>0</v>
      </c>
      <c r="AR26" s="415">
        <f t="shared" ref="AR26:AR27" si="107">+AO26+AQ26</f>
        <v>0</v>
      </c>
      <c r="AS26" s="415">
        <f t="shared" ref="AS26:AS27" si="108">MAX(AF26-AR26-AN26,0)</f>
        <v>9000000</v>
      </c>
      <c r="AT26" s="417" t="b">
        <f t="shared" ref="AT26:AT27" si="109">IF(F26="Chính Thức",IF(AS26&lt;=0,,IF(AND(AS26&gt;0,AS26&lt;=5000000),5%*AS26,IF(AND(AS26&gt;5000000,AS26&lt;=10000000),10%*AS26-250000,IF(AND(AS26&gt;10000000,AS26&lt;=18000000),15%*AS26-750000,IF(AND(AS26&gt;18000000,AS26&lt;=32000000),20%*AS26-1650000,IF(AND(AS26&gt;32000000,AS26&lt;=52000000),25%*AS26-3250000,IF(AND(AS26&gt;52000000,AS26&lt;=80000000),30%*AS26-5850000,IF(AS26&gt;80000000,35%*AS26-9850000)))))))),IF(AND(F26="Thử Việc",AS26&gt;=2000000),AS26*10%,IF(F26="CTV",AS26*10%)))</f>
        <v>0</v>
      </c>
      <c r="AU26" s="415"/>
      <c r="AV26" s="417">
        <f t="shared" ref="AV26:AV27" si="110">ROUND(AE26-AN26-AT26+AU26,-2)</f>
        <v>9000000</v>
      </c>
      <c r="AW26" s="397"/>
    </row>
    <row r="27" spans="1:50" ht="58.5" customHeight="1" x14ac:dyDescent="0.25">
      <c r="A27" s="411"/>
      <c r="B27" s="390" t="s">
        <v>402</v>
      </c>
      <c r="C27" s="413" t="s">
        <v>403</v>
      </c>
      <c r="D27" s="414" t="s">
        <v>319</v>
      </c>
      <c r="E27" s="414" t="s">
        <v>398</v>
      </c>
      <c r="F27" s="415" t="str">
        <f>IFERROR(VLOOKUP($B27,'3. BẢNG CHẤM CÔNG'!$B$11:$AV$28,6,0),0)</f>
        <v>Thử Việc</v>
      </c>
      <c r="G27" s="416">
        <f>IFERROR(VLOOKUP($B27, '3. BẢNG CHẤM CÔNG'!$B$10:$AV41,43,0),0)</f>
        <v>2</v>
      </c>
      <c r="H27" s="416">
        <f>IFERROR(VLOOKUP($B27, '3. BẢNG CHẤM CÔNG'!$B$10:$AV41,44,0),0)</f>
        <v>0</v>
      </c>
      <c r="I27" s="416"/>
      <c r="J27" s="415">
        <f>IFERROR(VLOOKUP($B27,' 5. Thông số TL'!$D$12:$T$30,4,0),0)</f>
        <v>5300000</v>
      </c>
      <c r="K27" s="415">
        <f t="shared" si="40"/>
        <v>409545.45454545453</v>
      </c>
      <c r="L27" s="417">
        <f t="shared" si="97"/>
        <v>409545.45454545453</v>
      </c>
      <c r="M27" s="415">
        <f>IFERROR(VLOOKUP($B27,' 5. Thông số TL'!$D$12:$T$30,5,0),0)</f>
        <v>2757500</v>
      </c>
      <c r="N27" s="418">
        <v>1</v>
      </c>
      <c r="O27" s="415">
        <f t="shared" si="98"/>
        <v>213079.54545454544</v>
      </c>
      <c r="P27" s="415"/>
      <c r="Q27" s="419"/>
      <c r="R27" s="415"/>
      <c r="S27" s="417"/>
      <c r="T27" s="415"/>
      <c r="U27" s="415"/>
      <c r="V27" s="417">
        <f t="shared" si="99"/>
        <v>0</v>
      </c>
      <c r="W27" s="415">
        <f>IFERROR(IF($F27="Chính Thức",VLOOKUP($B27,' 5. Thông số TL'!$D$12:$T$30,6,0)/$G$4*($G27+$H27),IF($F27="Thử Việc",VLOOKUP($B27,' 5. Thông số TL'!$D$12:$T$30,6,0)/$G$4*($G27+$H27)*85%,"")),0)</f>
        <v>55636.36363636364</v>
      </c>
      <c r="X27" s="415">
        <f>IFERROR(IF($F27="Chính Thức",VLOOKUP($B27,' 5. Thông số TL'!$D$12:$T$30,7,0)/$G$4*($G27+$H27),IF($F27="Thử Việc",VLOOKUP($B27,' 5. Thông số TL'!$D$12:$T$30,7,0)/$G$4*($G27+$H27)*85%,"")),0)</f>
        <v>30909.090909090904</v>
      </c>
      <c r="Y27" s="415">
        <f>IFERROR(IF($F27="Chính Thức",VLOOKUP($B27,' 5. Thông số TL'!$D$12:$T$30,8,0)/$G$4*($G27+$H27),IF($F27="Thử Việc",VLOOKUP($B27,' 5. Thông số TL'!$D$12:$T$30,8,0)/$G$4*($G27+$H27)*85%,"")),0)</f>
        <v>30909.090909090904</v>
      </c>
      <c r="Z27" s="415">
        <f t="shared" si="100"/>
        <v>117454.54545454544</v>
      </c>
      <c r="AA27" s="415">
        <f>IFERROR(IF($F27="Chính Thức",VLOOKUP($B27,' 5. Thông số TL'!$D$12:$T$30,10,0)/$G$4*($G27+$H27),IF($F27="Thử Việc",VLOOKUP($B27,' 5. Thông số TL'!$D$12:$T$30,10,0)/$G$4*($G27+$H27)*85%,"")),0)</f>
        <v>0</v>
      </c>
      <c r="AB27" s="415"/>
      <c r="AC27" s="415">
        <f t="shared" si="101"/>
        <v>0</v>
      </c>
      <c r="AD27" s="417">
        <f t="shared" si="102"/>
        <v>117454.54545454544</v>
      </c>
      <c r="AE27" s="417">
        <f t="shared" ref="AE27" si="111">L27+O27+S27+V27+AD27</f>
        <v>740079.54545454541</v>
      </c>
      <c r="AF27" s="415">
        <f t="shared" ref="AF27" si="112">IF(F27="Chính Thức",AE27-Z27,IF(F27="Thử Việc",AE27-W27-X27,IF(F27="CTV",AE27,0)))</f>
        <v>653534.09090909082</v>
      </c>
      <c r="AG27" s="420" t="str">
        <f t="shared" si="49"/>
        <v/>
      </c>
      <c r="AH27" s="420" t="str">
        <f t="shared" si="49"/>
        <v/>
      </c>
      <c r="AI27" s="420" t="str">
        <f t="shared" si="49"/>
        <v/>
      </c>
      <c r="AJ27" s="421">
        <f t="shared" si="103"/>
        <v>0</v>
      </c>
      <c r="AK27" s="420" t="str">
        <f t="shared" si="51"/>
        <v/>
      </c>
      <c r="AL27" s="420" t="str">
        <f t="shared" si="51"/>
        <v/>
      </c>
      <c r="AM27" s="420" t="str">
        <f t="shared" si="51"/>
        <v/>
      </c>
      <c r="AN27" s="417">
        <f t="shared" si="104"/>
        <v>0</v>
      </c>
      <c r="AO27" s="421">
        <f t="shared" si="105"/>
        <v>0</v>
      </c>
      <c r="AP27" s="422"/>
      <c r="AQ27" s="415">
        <f t="shared" si="106"/>
        <v>0</v>
      </c>
      <c r="AR27" s="415">
        <f t="shared" si="107"/>
        <v>0</v>
      </c>
      <c r="AS27" s="415">
        <f t="shared" si="108"/>
        <v>653534.09090909082</v>
      </c>
      <c r="AT27" s="417" t="b">
        <f t="shared" si="109"/>
        <v>0</v>
      </c>
      <c r="AU27" s="415"/>
      <c r="AV27" s="417">
        <f t="shared" si="110"/>
        <v>740100</v>
      </c>
      <c r="AW27" s="397"/>
    </row>
    <row r="28" spans="1:50" ht="58.5" customHeight="1" x14ac:dyDescent="0.25">
      <c r="A28" s="411"/>
      <c r="B28" s="412" t="s">
        <v>339</v>
      </c>
      <c r="C28" s="413"/>
      <c r="D28" s="414"/>
      <c r="E28" s="414"/>
      <c r="F28" s="415"/>
      <c r="G28" s="416"/>
      <c r="H28" s="416"/>
      <c r="I28" s="416"/>
      <c r="J28" s="423">
        <f>J29+J30+J31+J32</f>
        <v>22000000</v>
      </c>
      <c r="K28" s="423">
        <f t="shared" ref="K28:Z28" si="113">K29+K30+K31+K32</f>
        <v>17112500</v>
      </c>
      <c r="L28" s="423">
        <f t="shared" si="113"/>
        <v>17112500</v>
      </c>
      <c r="M28" s="423">
        <f t="shared" si="113"/>
        <v>48601650</v>
      </c>
      <c r="N28" s="423">
        <f t="shared" si="113"/>
        <v>4</v>
      </c>
      <c r="O28" s="423">
        <f t="shared" si="113"/>
        <v>24853517.045454543</v>
      </c>
      <c r="P28" s="423">
        <f t="shared" si="113"/>
        <v>0</v>
      </c>
      <c r="Q28" s="423">
        <f t="shared" si="113"/>
        <v>0</v>
      </c>
      <c r="R28" s="423">
        <f t="shared" si="113"/>
        <v>0</v>
      </c>
      <c r="S28" s="423">
        <f t="shared" si="113"/>
        <v>0</v>
      </c>
      <c r="T28" s="423">
        <f t="shared" si="113"/>
        <v>0</v>
      </c>
      <c r="U28" s="423">
        <f t="shared" si="113"/>
        <v>0</v>
      </c>
      <c r="V28" s="423">
        <f t="shared" si="113"/>
        <v>0</v>
      </c>
      <c r="W28" s="423">
        <f t="shared" si="113"/>
        <v>2240181.8181818184</v>
      </c>
      <c r="X28" s="423">
        <f t="shared" si="113"/>
        <v>1244545.4545454544</v>
      </c>
      <c r="Y28" s="423">
        <f t="shared" si="113"/>
        <v>1737500</v>
      </c>
      <c r="Z28" s="423">
        <f t="shared" si="113"/>
        <v>5222227.2727272725</v>
      </c>
      <c r="AA28" s="423">
        <f>SUBTOTAL(9,AA29:AA32)</f>
        <v>0</v>
      </c>
      <c r="AB28" s="423">
        <f>SUBTOTAL(9,AB29:AB32)</f>
        <v>0</v>
      </c>
      <c r="AC28" s="423">
        <f>SUBTOTAL(9,AC29:AC32)</f>
        <v>0</v>
      </c>
      <c r="AD28" s="423">
        <f t="shared" ref="AD28:AU28" si="114">AD29+AD30+AD31+AD32</f>
        <v>5222227.2727272725</v>
      </c>
      <c r="AE28" s="423">
        <f t="shared" si="114"/>
        <v>47188244.318181813</v>
      </c>
      <c r="AF28" s="423">
        <f t="shared" si="114"/>
        <v>42294426.136363633</v>
      </c>
      <c r="AG28" s="423">
        <f>SUBTOTAL(9,AG29:AG32)</f>
        <v>1924999.9999999998</v>
      </c>
      <c r="AH28" s="423">
        <f t="shared" ref="AH28:AN28" si="115">SUBTOTAL(9,AH29:AH32)</f>
        <v>330000</v>
      </c>
      <c r="AI28" s="423">
        <f t="shared" si="115"/>
        <v>110000</v>
      </c>
      <c r="AJ28" s="423">
        <f t="shared" si="115"/>
        <v>2365000</v>
      </c>
      <c r="AK28" s="423">
        <f t="shared" si="115"/>
        <v>880000</v>
      </c>
      <c r="AL28" s="423">
        <f t="shared" si="115"/>
        <v>165000</v>
      </c>
      <c r="AM28" s="423">
        <f t="shared" si="115"/>
        <v>110000</v>
      </c>
      <c r="AN28" s="423">
        <f t="shared" si="115"/>
        <v>1155000</v>
      </c>
      <c r="AO28" s="423">
        <f t="shared" si="114"/>
        <v>46500000</v>
      </c>
      <c r="AP28" s="423">
        <f t="shared" si="114"/>
        <v>0</v>
      </c>
      <c r="AQ28" s="423">
        <f t="shared" si="114"/>
        <v>0</v>
      </c>
      <c r="AR28" s="423">
        <f t="shared" si="114"/>
        <v>46500000</v>
      </c>
      <c r="AS28" s="423">
        <f t="shared" si="114"/>
        <v>11456926.136363635</v>
      </c>
      <c r="AT28" s="423">
        <f t="shared" si="114"/>
        <v>895692.61363636353</v>
      </c>
      <c r="AU28" s="423">
        <f t="shared" si="114"/>
        <v>0</v>
      </c>
      <c r="AV28" s="423">
        <f>AV29+AV30+AV31+AV34+AV35</f>
        <v>52316300</v>
      </c>
      <c r="AW28" s="397"/>
    </row>
    <row r="29" spans="1:50" ht="58.5" customHeight="1" x14ac:dyDescent="0.25">
      <c r="A29" s="411">
        <v>5</v>
      </c>
      <c r="B29" s="390" t="s">
        <v>336</v>
      </c>
      <c r="C29" s="413" t="s">
        <v>338</v>
      </c>
      <c r="D29" s="414" t="s">
        <v>339</v>
      </c>
      <c r="E29" s="414" t="s">
        <v>337</v>
      </c>
      <c r="F29" s="415" t="str">
        <f>IFERROR(VLOOKUP($B29,'3. BẢNG CHẤM CÔNG'!$B$11:$AV$28,6,0),0)</f>
        <v>Chính Thức</v>
      </c>
      <c r="G29" s="416">
        <f>IFERROR(VLOOKUP($B29, '3. BẢNG CHẤM CÔNG'!$B$10:$AV36,43,0),0)</f>
        <v>8</v>
      </c>
      <c r="H29" s="416">
        <f>IFERROR(VLOOKUP($B29, '3. BẢNG CHẤM CÔNG'!$B$10:$AV36,44,0),0)</f>
        <v>2</v>
      </c>
      <c r="I29" s="416"/>
      <c r="J29" s="415">
        <f>IFERROR(VLOOKUP($B29,' 5. Thông số TL'!$D$12:$T$30,4,0),0)</f>
        <v>5500000</v>
      </c>
      <c r="K29" s="415">
        <f>IFERROR(IF($F29="Chính Thức",$J29/$G$4*($G29+$H29),IF($F29="Thử Việc",$J29/$G$4*($G29+$H29)*85%,"")),0)</f>
        <v>2500000</v>
      </c>
      <c r="L29" s="417">
        <f t="shared" ref="L29:L30" si="116">SUM(K29)</f>
        <v>2500000</v>
      </c>
      <c r="M29" s="415">
        <f>IFERROR(VLOOKUP($B29,' 5. Thông số TL'!$D$12:$T$30,5,0),0)</f>
        <v>42306650</v>
      </c>
      <c r="N29" s="418">
        <v>1</v>
      </c>
      <c r="O29" s="415">
        <f>IFERROR(IF($F29="Chính Thức",$M29/$G$4*($G29+$H29)*N29,IF($F29="Thử Việc",$M29/$G$4*N29*($G29+$H29)*85%)),0)</f>
        <v>19230295.454545453</v>
      </c>
      <c r="P29" s="415"/>
      <c r="Q29" s="419"/>
      <c r="R29" s="415"/>
      <c r="S29" s="417"/>
      <c r="T29" s="415"/>
      <c r="U29" s="415"/>
      <c r="V29" s="417">
        <f t="shared" ref="V29:V30" si="117">SUM(T29:U29)</f>
        <v>0</v>
      </c>
      <c r="W29" s="415">
        <f>IFERROR(IF($F29="Chính Thức",VLOOKUP($B29,' 5. Thông số TL'!$D$12:$T$30,6,0)/$G$4*($G29+$H29),IF($F29="Thử Việc",VLOOKUP($B29,' 5. Thông số TL'!$D$12:$T$30,6,0)/$G$4*($G29+$H29)*85%,"")),0)</f>
        <v>327272.72727272729</v>
      </c>
      <c r="X29" s="415">
        <f>IFERROR(IF($F29="Chính Thức",VLOOKUP($B29,' 5. Thông số TL'!$D$12:$T$30,7,0)/$G$4*($G29+$H29),IF($F29="Thử Việc",VLOOKUP($B29,' 5. Thông số TL'!$D$12:$T$30,7,0)/$G$4*($G29+$H29)*85%,"")),0)</f>
        <v>181818.18181818179</v>
      </c>
      <c r="Y29" s="415">
        <f>IFERROR(IF($F29="Chính Thức",VLOOKUP($B29,' 5. Thông số TL'!$D$12:$T$30,8,0)/$G$4*($G29+$H29),IF($F29="Thử Việc",VLOOKUP($B29,' 5. Thông số TL'!$D$12:$T$30,8,0)/$G$4*($G29+$H29)*85%,"")),0)</f>
        <v>409090.90909090912</v>
      </c>
      <c r="Z29" s="415">
        <f t="shared" ref="Z29:Z30" si="118">SUM(W29:Y29)</f>
        <v>918181.81818181812</v>
      </c>
      <c r="AA29" s="415">
        <f>IFERROR(IF($F29="Chính Thức",VLOOKUP($B29,' 5. Thông số TL'!$D$12:$T$30,10,0)/$G$4*($G29+$H29),IF($F29="Thử Việc",VLOOKUP($B29,' 5. Thông số TL'!$D$12:$T$30,10,0)/$G$4*($G29+$H29)*85%,"")),0)</f>
        <v>0</v>
      </c>
      <c r="AB29" s="415"/>
      <c r="AC29" s="415">
        <f t="shared" ref="AC29:AC30" si="119">SUM(AA29:AB29)</f>
        <v>0</v>
      </c>
      <c r="AD29" s="417">
        <f t="shared" ref="AD29:AD30" si="120">Z29+AC29</f>
        <v>918181.81818181812</v>
      </c>
      <c r="AE29" s="417">
        <f t="shared" ref="AE29:AE30" si="121">L29+O29+S29+V29+AD29</f>
        <v>22648477.27272727</v>
      </c>
      <c r="AF29" s="415">
        <f>IF(F29="Chính Thức",AE29-Z29,IF(F29="Thử Việc",AE29,IF(F29="CTV",AE29,0)))</f>
        <v>21730295.454545453</v>
      </c>
      <c r="AG29" s="420">
        <v>0</v>
      </c>
      <c r="AH29" s="420">
        <v>0</v>
      </c>
      <c r="AI29" s="420">
        <v>0</v>
      </c>
      <c r="AJ29" s="420">
        <v>0</v>
      </c>
      <c r="AK29" s="420">
        <v>0</v>
      </c>
      <c r="AL29" s="420">
        <v>0</v>
      </c>
      <c r="AM29" s="420">
        <v>0</v>
      </c>
      <c r="AN29" s="420">
        <v>0</v>
      </c>
      <c r="AO29" s="421">
        <f t="shared" ref="AO29:AO32" si="122">IF(F29="Chính Thức",$AO$10,0)</f>
        <v>15500000</v>
      </c>
      <c r="AP29" s="422"/>
      <c r="AQ29" s="415">
        <f t="shared" ref="AQ29:AQ30" si="123">AP29*$AQ$10</f>
        <v>0</v>
      </c>
      <c r="AR29" s="415">
        <f t="shared" ref="AR29:AR30" si="124">+AO29+AQ29</f>
        <v>15500000</v>
      </c>
      <c r="AS29" s="415">
        <f t="shared" ref="AS29:AS30" si="125">MAX(AF29-AR29-AN29,0)</f>
        <v>6230295.4545454532</v>
      </c>
      <c r="AT29" s="417">
        <f>IF(F29="Chính Thức",IF(AS29&lt;=0,,IF(AND(AS29&gt;0,AS29&lt;=5000000),5%*AS29,IF(AND(AS29&gt;5000000,AS29&lt;=10000000),10%*AS29-250000,IF(AND(AS29&gt;10000000,AS29&lt;=18000000),15%*AS29-750000,IF(AND(AS29&gt;18000000,AS29&lt;=32000000),20%*AS29-1650000,IF(AND(AS29&gt;32000000,AS29&lt;=52000000),25%*AS29-3250000,IF(AND(AS29&gt;52000000,AS29&lt;=80000000),30%*AS29-5850000,IF(AS29&gt;80000000,35%*AS29-9850000)))))))),IF(AND(F29="Thử Việc",AS29&gt;=2000000),AS29*20%,IF(F29="CTV",AS29*10%)))</f>
        <v>373029.5454545453</v>
      </c>
      <c r="AU29" s="415"/>
      <c r="AV29" s="417">
        <f t="shared" ref="AV29:AV30" si="126">ROUND(AE29-AN29-AT29+AU29,-2)</f>
        <v>22275400</v>
      </c>
      <c r="AW29" s="397"/>
    </row>
    <row r="30" spans="1:50" ht="58.5" customHeight="1" x14ac:dyDescent="0.25">
      <c r="A30" s="411">
        <v>6</v>
      </c>
      <c r="B30" s="390" t="s">
        <v>349</v>
      </c>
      <c r="C30" s="374" t="s">
        <v>379</v>
      </c>
      <c r="D30" s="414" t="s">
        <v>339</v>
      </c>
      <c r="E30" s="414" t="s">
        <v>350</v>
      </c>
      <c r="F30" s="415" t="str">
        <f>IFERROR(VLOOKUP($B30,'3. BẢNG CHẤM CÔNG'!$B$11:$AV$28,6,0),0)</f>
        <v>Chính Thức</v>
      </c>
      <c r="G30" s="223">
        <f>IFERROR(VLOOKUP($B30, '3. BẢNG CHẤM CÔNG'!$B$10:$AV50,43,0),0)</f>
        <v>20</v>
      </c>
      <c r="H30" s="223">
        <f>IFERROR(VLOOKUP($B30, '3. BẢNG CHẤM CÔNG'!$B$10:$AV50,44,0),0)</f>
        <v>2</v>
      </c>
      <c r="I30" s="403"/>
      <c r="J30" s="402">
        <f>IFERROR(VLOOKUP($B30,' 5. Thông số TL'!$D$12:$T$30,4,0),0)</f>
        <v>5500000</v>
      </c>
      <c r="K30" s="402">
        <f>IFERROR(IF($F30="Chính Thức",$J30/$G$4*($G30+$H30),IF($F30="Thử Việc",$J30/$G$4*($G30+$H30)*85%,"")),0)</f>
        <v>5500000</v>
      </c>
      <c r="L30" s="404">
        <f t="shared" si="116"/>
        <v>5500000</v>
      </c>
      <c r="M30" s="402">
        <f>IFERROR(VLOOKUP($B30,' 5. Thông số TL'!$D$12:$T$30,5,0),0)</f>
        <v>1880000</v>
      </c>
      <c r="N30" s="405">
        <v>1</v>
      </c>
      <c r="O30" s="402">
        <f>IFERROR(IF($F30="Chính Thức",$M30/$G$4*($G30+$H30)*N30,IF($F30="Thử Việc",$M30/$G$4*N30*($G30+$H30)*85%)),0)</f>
        <v>1880000</v>
      </c>
      <c r="P30" s="402"/>
      <c r="Q30" s="406"/>
      <c r="R30" s="402"/>
      <c r="S30" s="404"/>
      <c r="T30" s="402"/>
      <c r="U30" s="402"/>
      <c r="V30" s="404">
        <f t="shared" si="117"/>
        <v>0</v>
      </c>
      <c r="W30" s="402">
        <f>IFERROR(IF($F30="Chính Thức",VLOOKUP($B30,' 5. Thông số TL'!$D$12:$T$30,6,0)/$G$4*($G30+$H30),IF($F30="Thử Việc",VLOOKUP($B30,' 5. Thông số TL'!$D$12:$T$30,6,0)/$G$4*($G30+$H30)*85%,"")),0)</f>
        <v>720000</v>
      </c>
      <c r="X30" s="402">
        <f>IFERROR(IF($F30="Chính Thức",VLOOKUP($B30,' 5. Thông số TL'!$D$12:$T$30,7,0)/$G$4*($G30+$H30),IF($F30="Thử Việc",VLOOKUP($B30,' 5. Thông số TL'!$D$12:$T$30,7,0)/$G$4*($G30+$H30)*85%,"")),0)</f>
        <v>399999.99999999994</v>
      </c>
      <c r="Y30" s="402">
        <f>IFERROR(IF($F30="Chính Thức",VLOOKUP($B30,' 5. Thông số TL'!$D$12:$T$30,8,0)/$G$4*($G30+$H30),IF($F30="Thử Việc",VLOOKUP($B30,' 5. Thông số TL'!$D$12:$T$30,8,0)/$G$4*($G30+$H30)*85%,"")),0)</f>
        <v>500000</v>
      </c>
      <c r="Z30" s="402">
        <f t="shared" si="118"/>
        <v>1620000</v>
      </c>
      <c r="AA30" s="402">
        <f>IFERROR(IF($F30="Chính Thức",VLOOKUP($B30,' 5. Thông số TL'!$D$12:$T$30,10,0)/$G$4*($G30+$H30),IF($F30="Thử Việc",VLOOKUP($B30,' 5. Thông số TL'!$D$12:$T$30,10,0)/$G$4*($G30+$H30)*85%,"")),0)</f>
        <v>0</v>
      </c>
      <c r="AB30" s="402"/>
      <c r="AC30" s="402">
        <f t="shared" si="119"/>
        <v>0</v>
      </c>
      <c r="AD30" s="404">
        <f t="shared" si="120"/>
        <v>1620000</v>
      </c>
      <c r="AE30" s="404">
        <f t="shared" si="121"/>
        <v>9000000</v>
      </c>
      <c r="AF30" s="402">
        <f>IF(F30="Chính Thức",AE30-Z30,IF(F30="Thử Việc",AE30-W30-X30,IF(F30="CTV",AE30,0)))</f>
        <v>7380000</v>
      </c>
      <c r="AG30" s="407">
        <f t="shared" ref="AG30:AI30" si="127">IFERROR(IF(AND($F30="Chính Thức",($G30+$H30)&gt;=11),$J30*AG$8,IF(AND($F30="Chính Thức",($G30+$H30)&lt;11,0),IF($F30="Thử Việc",0),"")),0)</f>
        <v>962499.99999999988</v>
      </c>
      <c r="AH30" s="407">
        <f t="shared" si="127"/>
        <v>165000</v>
      </c>
      <c r="AI30" s="407">
        <f t="shared" si="127"/>
        <v>55000</v>
      </c>
      <c r="AJ30" s="408">
        <f t="shared" ref="AJ30" si="128">ROUND(SUM(AG30:AI30),0)</f>
        <v>1182500</v>
      </c>
      <c r="AK30" s="407">
        <f t="shared" ref="AK30:AM30" si="129">IFERROR(IF(AND($F30="Chính Thức",($G30+$H30)&gt;=11),$J30*AK$8,IF(AND($F30="Chính Thức",($G30+$H30)&lt;11,0),IF($F30="Thử Việc",0),"")),0)</f>
        <v>440000</v>
      </c>
      <c r="AL30" s="407">
        <f t="shared" si="129"/>
        <v>82500</v>
      </c>
      <c r="AM30" s="407">
        <f t="shared" si="129"/>
        <v>55000</v>
      </c>
      <c r="AN30" s="404">
        <f t="shared" ref="AN30" si="130">ROUND(SUM(AK30:AM30),-1)</f>
        <v>577500</v>
      </c>
      <c r="AO30" s="408">
        <f>IF(F30="Chính Thức",$AO$10,0)</f>
        <v>15500000</v>
      </c>
      <c r="AP30" s="409"/>
      <c r="AQ30" s="402">
        <f t="shared" si="123"/>
        <v>0</v>
      </c>
      <c r="AR30" s="402">
        <f t="shared" si="124"/>
        <v>15500000</v>
      </c>
      <c r="AS30" s="402">
        <f t="shared" si="125"/>
        <v>0</v>
      </c>
      <c r="AT30" s="404">
        <f>IF(F30="Chính Thức",IF(AS30&lt;=0,,IF(AND(AS30&gt;0,AS30&lt;=5000000),5%*AS30,IF(AND(AS30&gt;5000000,AS30&lt;=10000000),10%*AS30-250000,IF(AND(AS30&gt;10000000,AS30&lt;=18000000),15%*AS30-750000,IF(AND(AS30&gt;18000000,AS30&lt;=32000000),20%*AS30-1650000,IF(AND(AS30&gt;32000000,AS30&lt;=52000000),25%*AS30-3250000,IF(AND(AS30&gt;52000000,AS30&lt;=80000000),30%*AS30-5850000,IF(AS30&gt;80000000,35%*AS30-9850000)))))))),IF(AND(F30="Thử Việc",AS30&gt;=2000000),AS30*10%,IF(F30="CTV",AS30*10%)))</f>
        <v>0</v>
      </c>
      <c r="AU30" s="402"/>
      <c r="AV30" s="224">
        <f t="shared" si="126"/>
        <v>8422500</v>
      </c>
      <c r="AW30" s="397"/>
      <c r="AX30" s="458"/>
    </row>
    <row r="31" spans="1:50" ht="58.5" customHeight="1" x14ac:dyDescent="0.25">
      <c r="A31" s="411">
        <v>8</v>
      </c>
      <c r="B31" s="390" t="s">
        <v>383</v>
      </c>
      <c r="C31" s="374" t="s">
        <v>384</v>
      </c>
      <c r="D31" s="414" t="s">
        <v>339</v>
      </c>
      <c r="E31" s="414" t="s">
        <v>350</v>
      </c>
      <c r="F31" s="415" t="str">
        <f>IFERROR(VLOOKUP($B31,'3. BẢNG CHẤM CÔNG'!$B$11:$AV$28,6,0),0)</f>
        <v>Thử Việc</v>
      </c>
      <c r="G31" s="416">
        <f>IFERROR(VLOOKUP($B31, '3. BẢNG CHẤM CÔNG'!$B$10:$AV39,43,0),0)</f>
        <v>17</v>
      </c>
      <c r="H31" s="416">
        <f>IFERROR(VLOOKUP($B31, '3. BẢNG CHẤM CÔNG'!$B$10:$AV39,44,0),0)</f>
        <v>0</v>
      </c>
      <c r="I31" s="416"/>
      <c r="J31" s="415">
        <f>IFERROR(VLOOKUP($B31,' 5. Thông số TL'!$D$12:$T$30,4,0),0)</f>
        <v>5500000</v>
      </c>
      <c r="K31" s="415">
        <f>IFERROR(IF($F31="Chính Thức",$J31/$G$4*($G31+$H31),IF($F31="Thử Việc",$J31/$G$4*($G31+$H31)*85%,"")),0)</f>
        <v>3612500</v>
      </c>
      <c r="L31" s="417">
        <f t="shared" ref="L31" si="131">SUM(K31)</f>
        <v>3612500</v>
      </c>
      <c r="M31" s="415">
        <f>IFERROR(VLOOKUP($B31,' 5. Thông số TL'!$D$12:$T$30,5,0),0)</f>
        <v>1957500</v>
      </c>
      <c r="N31" s="418">
        <v>1</v>
      </c>
      <c r="O31" s="415">
        <f>IFERROR(IF($F31="Chính Thức",$M31/$G$4*($G31+$H31)*N31,IF($F31="Thử Việc",$M31/$G$4*N31*($G31+$H31)*85%)),0)</f>
        <v>1285721.5909090908</v>
      </c>
      <c r="P31" s="415"/>
      <c r="Q31" s="419"/>
      <c r="R31" s="415"/>
      <c r="S31" s="417"/>
      <c r="T31" s="415"/>
      <c r="U31" s="415"/>
      <c r="V31" s="417">
        <f t="shared" ref="V31" si="132">SUM(T31:U31)</f>
        <v>0</v>
      </c>
      <c r="W31" s="415">
        <f>IFERROR(IF($F31="Chính Thức",VLOOKUP($B31,' 5. Thông số TL'!$D$12:$T$30,6,0)/$G$4*($G31+$H31),IF($F31="Thử Việc",VLOOKUP($B31,' 5. Thông số TL'!$D$12:$T$30,6,0)/$G$4*($G31+$H31)*85%,"")),0)</f>
        <v>472909.09090909088</v>
      </c>
      <c r="X31" s="415">
        <f>IFERROR(IF($F31="Chính Thức",VLOOKUP($B31,' 5. Thông số TL'!$D$12:$T$30,7,0)/$G$4*($G31+$H31),IF($F31="Thử Việc",VLOOKUP($B31,' 5. Thông số TL'!$D$12:$T$30,7,0)/$G$4*($G31+$H31)*85%,"")),0)</f>
        <v>262727.27272727271</v>
      </c>
      <c r="Y31" s="415">
        <f>IFERROR(IF($F31="Chính Thức",VLOOKUP($B31,' 5. Thông số TL'!$D$12:$T$30,8,0)/$G$4*($G31+$H31),IF($F31="Thử Việc",VLOOKUP($B31,' 5. Thông số TL'!$D$12:$T$30,8,0)/$G$4*($G31+$H31)*85%,"")),0)</f>
        <v>328409.09090909088</v>
      </c>
      <c r="Z31" s="415">
        <f t="shared" ref="Z31" si="133">SUM(W31:Y31)</f>
        <v>1064045.4545454544</v>
      </c>
      <c r="AA31" s="415">
        <f>IFERROR(IF($F31="Chính Thức",VLOOKUP($B31,' 5. Thông số TL'!$D$12:$T$30,10,0)/$G$4*($G31+$H31),IF($F31="Thử Việc",VLOOKUP($B31,' 5. Thông số TL'!$D$12:$T$30,10,0)/$G$4*($G31+$H31)*85%,"")),0)</f>
        <v>0</v>
      </c>
      <c r="AB31" s="415"/>
      <c r="AC31" s="415">
        <f t="shared" ref="AC31" si="134">SUM(AA31:AB31)</f>
        <v>0</v>
      </c>
      <c r="AD31" s="417">
        <f t="shared" ref="AD31" si="135">Z31+AC31</f>
        <v>1064045.4545454544</v>
      </c>
      <c r="AE31" s="417">
        <f t="shared" ref="AE31" si="136">L31+O31+S31+V31+AD31</f>
        <v>5962267.0454545449</v>
      </c>
      <c r="AF31" s="415">
        <f>IF(F31="Chính Thức",AE31-Z31,IF(F31="Thử Việc",AE31-W31-X31,IF(F31="CTV",AE31,0)))</f>
        <v>5226630.6818181816</v>
      </c>
      <c r="AG31" s="420">
        <v>0</v>
      </c>
      <c r="AH31" s="420">
        <v>0</v>
      </c>
      <c r="AI31" s="420">
        <v>0</v>
      </c>
      <c r="AJ31" s="420">
        <v>0</v>
      </c>
      <c r="AK31" s="420">
        <v>0</v>
      </c>
      <c r="AL31" s="420">
        <v>0</v>
      </c>
      <c r="AM31" s="420">
        <v>0</v>
      </c>
      <c r="AN31" s="420">
        <v>0</v>
      </c>
      <c r="AO31" s="421">
        <f t="shared" si="122"/>
        <v>0</v>
      </c>
      <c r="AP31" s="422"/>
      <c r="AQ31" s="415">
        <f t="shared" ref="AQ31" si="137">AP31*$AQ$10</f>
        <v>0</v>
      </c>
      <c r="AR31" s="415">
        <f t="shared" ref="AR31" si="138">+AO31+AQ31</f>
        <v>0</v>
      </c>
      <c r="AS31" s="415">
        <f t="shared" ref="AS31" si="139">MAX(AF31-AR31-AN31,0)</f>
        <v>5226630.6818181816</v>
      </c>
      <c r="AT31" s="417">
        <f>IF(F31="Chính Thức",IF(AS31&lt;=0,,IF(AND(AS31&gt;0,AS31&lt;=5000000),5%*AS31,IF(AND(AS31&gt;5000000,AS31&lt;=10000000),10%*AS31-250000,IF(AND(AS31&gt;10000000,AS31&lt;=18000000),15%*AS31-750000,IF(AND(AS31&gt;18000000,AS31&lt;=32000000),20%*AS31-1650000,IF(AND(AS31&gt;32000000,AS31&lt;=52000000),25%*AS31-3250000,IF(AND(AS31&gt;52000000,AS31&lt;=80000000),30%*AS31-5850000,IF(AS31&gt;80000000,35%*AS31-9850000)))))))),IF(AND(F31="Thử Việc",AS31&gt;=2000000),AS31*10%,IF(F31="CTV",AS31*10%)))</f>
        <v>522663.06818181818</v>
      </c>
      <c r="AU31" s="415"/>
      <c r="AV31" s="417">
        <f t="shared" ref="AV31" si="140">ROUND(AE31-AN31-AT31+AU31,-2)</f>
        <v>5439600</v>
      </c>
      <c r="AW31" s="397"/>
    </row>
    <row r="32" spans="1:50" ht="58.5" hidden="1" customHeight="1" x14ac:dyDescent="0.25">
      <c r="A32" s="411">
        <v>8</v>
      </c>
      <c r="B32" s="390" t="s">
        <v>363</v>
      </c>
      <c r="C32" s="374" t="s">
        <v>362</v>
      </c>
      <c r="D32" s="414" t="s">
        <v>339</v>
      </c>
      <c r="E32" s="414" t="s">
        <v>350</v>
      </c>
      <c r="F32" s="415" t="str">
        <f>IFERROR(VLOOKUP($B32,'3. BẢNG CHẤM CÔNG'!$B$11:$AV$29,6,0),0)</f>
        <v>Chính Thức</v>
      </c>
      <c r="G32" s="416">
        <f>IFERROR(VLOOKUP($B32, '3. BẢNG CHẤM CÔNG'!$B$10:$AV40,43,0),0)</f>
        <v>20</v>
      </c>
      <c r="H32" s="416">
        <f>IFERROR(VLOOKUP($B32, '3. BẢNG CHẤM CÔNG'!$B$10:$AV40,44,0),0)</f>
        <v>2</v>
      </c>
      <c r="I32" s="416"/>
      <c r="J32" s="415">
        <f>IFERROR(VLOOKUP($B32,' 5. Thông số TL'!$D$12:$T$30,4,0),0)</f>
        <v>5500000</v>
      </c>
      <c r="K32" s="415">
        <f>IFERROR(IF($F32="Chính Thức",$J32/$G$4*($G32+$H32),IF($F32="Thử Việc",$J32/$G$4*($G32+$H32)*85%,"")),0)</f>
        <v>5500000</v>
      </c>
      <c r="L32" s="417">
        <f t="shared" ref="L32" si="141">SUM(K32)</f>
        <v>5500000</v>
      </c>
      <c r="M32" s="415">
        <f>IFERROR(VLOOKUP($B32,' 5. Thông số TL'!$D$12:$T$30,5,0),0)</f>
        <v>2457500</v>
      </c>
      <c r="N32" s="418">
        <v>1</v>
      </c>
      <c r="O32" s="415">
        <f>IFERROR(IF($F32="Chính Thức",$M32/$G$4*($G32+$H32)*N32,IF($F32="Thử Việc",$M32/$G$4*N32*($G32+$H32)*85%)),0)</f>
        <v>2457500</v>
      </c>
      <c r="P32" s="415"/>
      <c r="Q32" s="419"/>
      <c r="R32" s="415"/>
      <c r="S32" s="417"/>
      <c r="T32" s="415"/>
      <c r="U32" s="415"/>
      <c r="V32" s="417">
        <f t="shared" ref="V32" si="142">SUM(T32:U32)</f>
        <v>0</v>
      </c>
      <c r="W32" s="415">
        <f>IFERROR(IF($F32="Chính Thức",VLOOKUP($B32,' 5. Thông số TL'!$D$12:$T$30,6,0)/$G$4*($G32+$H32),IF($F32="Thử Việc",VLOOKUP($B32,' 5. Thông số TL'!$D$12:$T$30,6,0)/$G$4*($G32+$H32)*85%,"")),0)</f>
        <v>720000</v>
      </c>
      <c r="X32" s="415">
        <f>IFERROR(IF($F32="Chính Thức",VLOOKUP($B32,' 5. Thông số TL'!$D$12:$T$30,7,0)/$G$4*($G32+$H32),IF($F32="Thử Việc",VLOOKUP($B32,' 5. Thông số TL'!$D$12:$T$30,7,0)/$G$4*($G32+$H32)*85%,"")),0)</f>
        <v>399999.99999999994</v>
      </c>
      <c r="Y32" s="415">
        <f>IFERROR(IF($F32="Chính Thức",VLOOKUP($B32,' 5. Thông số TL'!$D$12:$T$30,8,0)/$G$4*($G32+$H32),IF($F32="Thử Việc",VLOOKUP($B32,' 5. Thông số TL'!$D$12:$T$30,8,0)/$G$4*($G32+$H32)*85%,"")),0)</f>
        <v>500000</v>
      </c>
      <c r="Z32" s="415">
        <f t="shared" ref="Z32" si="143">SUM(W32:Y32)</f>
        <v>1620000</v>
      </c>
      <c r="AA32" s="415">
        <f>IFERROR(IF($F32="Chính Thức",VLOOKUP($B32,' 5. Thông số TL'!$D$12:$T$30,10,0)/$G$4*($G32+$H32),IF($F32="Thử Việc",VLOOKUP($B32,' 5. Thông số TL'!$D$12:$T$30,10,0)/$G$4*($G32+$H32)*85%,"")),0)</f>
        <v>0</v>
      </c>
      <c r="AB32" s="415"/>
      <c r="AC32" s="415">
        <f t="shared" ref="AC32" si="144">SUM(AA32:AB32)</f>
        <v>0</v>
      </c>
      <c r="AD32" s="417">
        <f t="shared" ref="AD32" si="145">Z32+AC32</f>
        <v>1620000</v>
      </c>
      <c r="AE32" s="417">
        <f t="shared" ref="AE32" si="146">L32+O32+S32+V32+AD32</f>
        <v>9577500</v>
      </c>
      <c r="AF32" s="415">
        <f>IF(F32="Chính Thức",AE32-Z32,IF(F32="Thử Việc",AE32,IF(F32="CTV",AE32,0)))</f>
        <v>7957500</v>
      </c>
      <c r="AG32" s="420">
        <f t="shared" ref="AG32:AI35" si="147">IFERROR(IF(AND($F32="Chính Thức",($G32+$H32)&gt;=11),$J32*AG$8,IF(AND($F32="Chính Thức",($G32+$H32)&lt;11,0),IF($F32="Thử Việc",0),"")),0)</f>
        <v>962499.99999999988</v>
      </c>
      <c r="AH32" s="420">
        <f t="shared" si="147"/>
        <v>165000</v>
      </c>
      <c r="AI32" s="420">
        <f t="shared" si="147"/>
        <v>55000</v>
      </c>
      <c r="AJ32" s="421">
        <f t="shared" ref="AJ32" si="148">ROUND(SUM(AG32:AI32),0)</f>
        <v>1182500</v>
      </c>
      <c r="AK32" s="420">
        <f t="shared" ref="AK32:AM35" si="149">IFERROR(IF(AND($F32="Chính Thức",($G32+$H32)&gt;=11),$J32*AK$8,IF(AND($F32="Chính Thức",($G32+$H32)&lt;11,0),IF($F32="Thử Việc",0),"")),0)</f>
        <v>440000</v>
      </c>
      <c r="AL32" s="420">
        <f t="shared" si="149"/>
        <v>82500</v>
      </c>
      <c r="AM32" s="420">
        <f t="shared" si="149"/>
        <v>55000</v>
      </c>
      <c r="AN32" s="417">
        <f t="shared" ref="AN32" si="150">ROUND(SUM(AK32:AM32),-1)</f>
        <v>577500</v>
      </c>
      <c r="AO32" s="421">
        <f t="shared" si="122"/>
        <v>15500000</v>
      </c>
      <c r="AP32" s="422"/>
      <c r="AQ32" s="415">
        <f t="shared" ref="AQ32" si="151">AP32*$AQ$10</f>
        <v>0</v>
      </c>
      <c r="AR32" s="415">
        <f t="shared" ref="AR32" si="152">+AO32+AQ32</f>
        <v>15500000</v>
      </c>
      <c r="AS32" s="415">
        <f t="shared" ref="AS32" si="153">MAX(AF32-AR32-AN32,0)</f>
        <v>0</v>
      </c>
      <c r="AT32" s="417">
        <f>IF(F32="Chính Thức",IF(AS32&lt;=0,,IF(AND(AS32&gt;0,AS32&lt;=5000000),5%*AS32,IF(AND(AS32&gt;5000000,AS32&lt;=10000000),10%*AS32-250000,IF(AND(AS32&gt;10000000,AS32&lt;=18000000),15%*AS32-750000,IF(AND(AS32&gt;18000000,AS32&lt;=32000000),20%*AS32-1650000,IF(AND(AS32&gt;32000000,AS32&lt;=52000000),25%*AS32-3250000,IF(AND(AS32&gt;52000000,AS32&lt;=80000000),30%*AS32-5850000,IF(AS32&gt;80000000,35%*AS32-9850000)))))))),IF(AND(F32="Thử Việc",AS32&gt;=2000000),AS32*10%,IF(F32="CTV",AS32*10%)))</f>
        <v>0</v>
      </c>
      <c r="AU32" s="415"/>
      <c r="AV32" s="417">
        <f t="shared" ref="AV32" si="154">ROUND(AE32-AN32-AT32+AU32,-2)</f>
        <v>9000000</v>
      </c>
      <c r="AW32" s="397"/>
    </row>
    <row r="33" spans="1:49" ht="58.5" hidden="1" customHeight="1" x14ac:dyDescent="0.25">
      <c r="A33" s="461"/>
      <c r="B33" s="390" t="s">
        <v>363</v>
      </c>
      <c r="C33" s="374" t="s">
        <v>362</v>
      </c>
      <c r="D33" s="414" t="s">
        <v>339</v>
      </c>
      <c r="E33" s="414" t="s">
        <v>350</v>
      </c>
      <c r="F33" s="415" t="s">
        <v>399</v>
      </c>
      <c r="G33" s="416">
        <v>5</v>
      </c>
      <c r="H33" s="416">
        <v>0</v>
      </c>
      <c r="I33" s="416"/>
      <c r="J33" s="415">
        <f>IFERROR(VLOOKUP($B33,' 5. Thông số TL'!$D$12:$T$30,4,0),0)</f>
        <v>5500000</v>
      </c>
      <c r="K33" s="415">
        <f>IFERROR(IF($F33="Chính Thức",$J33/$G$4*($G33+$H33),IF($F33="Thử Việc",$J33/$G$4*($G33+$H33)*85%,"")),0)</f>
        <v>1062500</v>
      </c>
      <c r="L33" s="417">
        <f t="shared" ref="L33" si="155">SUM(K33)</f>
        <v>1062500</v>
      </c>
      <c r="M33" s="415">
        <f>IFERROR(VLOOKUP($B33,' 5. Thông số TL'!$D$12:$T$30,5,0),0)</f>
        <v>2457500</v>
      </c>
      <c r="N33" s="418">
        <v>1</v>
      </c>
      <c r="O33" s="415">
        <f>IFERROR(IF($F33="Chính Thức",$M33/$G$4*($G33+$H33)*N33,IF($F33="Thử Việc",$M33/$G$4*N33*($G33+$H33)*85%)),0)</f>
        <v>474744.31818181818</v>
      </c>
      <c r="P33" s="415"/>
      <c r="Q33" s="419"/>
      <c r="R33" s="415"/>
      <c r="S33" s="417"/>
      <c r="T33" s="415"/>
      <c r="U33" s="415"/>
      <c r="V33" s="417">
        <f t="shared" ref="V33" si="156">SUM(T33:U33)</f>
        <v>0</v>
      </c>
      <c r="W33" s="415">
        <f>IFERROR(IF($F33="Chính Thức",VLOOKUP($B33,' 5. Thông số TL'!$D$12:$T$30,6,0)/$G$4*($G33+$H33),IF($F33="Thử Việc",VLOOKUP($B33,' 5. Thông số TL'!$D$12:$T$30,6,0)/$G$4*($G33+$H33)*85%,"")),0)</f>
        <v>139090.90909090909</v>
      </c>
      <c r="X33" s="415">
        <f>IFERROR(IF($F33="Chính Thức",VLOOKUP($B33,' 5. Thông số TL'!$D$12:$T$30,7,0)/$G$4*($G33+$H33),IF($F33="Thử Việc",VLOOKUP($B33,' 5. Thông số TL'!$D$12:$T$30,7,0)/$G$4*($G33+$H33)*85%,"")),0)</f>
        <v>77272.727272727265</v>
      </c>
      <c r="Y33" s="415">
        <f>IFERROR(IF($F33="Chính Thức",VLOOKUP($B33,' 5. Thông số TL'!$D$12:$T$30,8,0)/$G$4*($G33+$H33),IF($F33="Thử Việc",VLOOKUP($B33,' 5. Thông số TL'!$D$12:$T$30,8,0)/$G$4*($G33+$H33)*85%,"")),0)</f>
        <v>96590.909090909103</v>
      </c>
      <c r="Z33" s="415">
        <f t="shared" ref="Z33" si="157">SUM(W33:Y33)</f>
        <v>312954.54545454547</v>
      </c>
      <c r="AA33" s="415">
        <f>IFERROR(IF($F33="Chính Thức",VLOOKUP($B33,' 5. Thông số TL'!$D$12:$T$30,10,0)/$G$4*($G33+$H33),IF($F33="Thử Việc",VLOOKUP($B33,' 5. Thông số TL'!$D$12:$T$30,10,0)/$G$4*($G33+$H33)*85%,"")),0)</f>
        <v>0</v>
      </c>
      <c r="AB33" s="415"/>
      <c r="AC33" s="415">
        <f t="shared" ref="AC33" si="158">SUM(AA33:AB33)</f>
        <v>0</v>
      </c>
      <c r="AD33" s="417">
        <f t="shared" ref="AD33" si="159">Z33+AC33</f>
        <v>312954.54545454547</v>
      </c>
      <c r="AE33" s="417">
        <f t="shared" ref="AE33" si="160">L33+O33+S33+V33+AD33</f>
        <v>1850198.8636363635</v>
      </c>
      <c r="AF33" s="415">
        <f>IF(F33="Chính Thức",AE33-Z33,IF(F33="Thử Việc",AE33,IF(F33="CTV",AE33,0)))</f>
        <v>1850198.8636363635</v>
      </c>
      <c r="AG33" s="420" t="str">
        <f t="shared" si="147"/>
        <v/>
      </c>
      <c r="AH33" s="420" t="str">
        <f t="shared" si="147"/>
        <v/>
      </c>
      <c r="AI33" s="420" t="str">
        <f t="shared" si="147"/>
        <v/>
      </c>
      <c r="AJ33" s="421">
        <f t="shared" ref="AJ33" si="161">ROUND(SUM(AG33:AI33),0)</f>
        <v>0</v>
      </c>
      <c r="AK33" s="420" t="str">
        <f t="shared" si="149"/>
        <v/>
      </c>
      <c r="AL33" s="420" t="str">
        <f t="shared" si="149"/>
        <v/>
      </c>
      <c r="AM33" s="420" t="str">
        <f t="shared" si="149"/>
        <v/>
      </c>
      <c r="AN33" s="417">
        <f t="shared" ref="AN33" si="162">ROUND(SUM(AK33:AM33),-1)</f>
        <v>0</v>
      </c>
      <c r="AO33" s="421">
        <f t="shared" ref="AO33" si="163">IF(F33="Chính Thức",$AO$10,0)</f>
        <v>0</v>
      </c>
      <c r="AP33" s="422"/>
      <c r="AQ33" s="415">
        <f t="shared" ref="AQ33" si="164">AP33*$AQ$10</f>
        <v>0</v>
      </c>
      <c r="AR33" s="415">
        <f t="shared" ref="AR33" si="165">+AO33+AQ33</f>
        <v>0</v>
      </c>
      <c r="AS33" s="415">
        <f t="shared" ref="AS33" si="166">MAX(AF33-AR33-AN33,0)</f>
        <v>1850198.8636363635</v>
      </c>
      <c r="AT33" s="417" t="b">
        <f>IF(F33="Chính Thức",IF(AS33&lt;=0,,IF(AND(AS33&gt;0,AS33&lt;=5000000),5%*AS33,IF(AND(AS33&gt;5000000,AS33&lt;=10000000),10%*AS33-250000,IF(AND(AS33&gt;10000000,AS33&lt;=18000000),15%*AS33-750000,IF(AND(AS33&gt;18000000,AS33&lt;=32000000),20%*AS33-1650000,IF(AND(AS33&gt;32000000,AS33&lt;=52000000),25%*AS33-3250000,IF(AND(AS33&gt;52000000,AS33&lt;=80000000),30%*AS33-5850000,IF(AS33&gt;80000000,35%*AS33-9850000)))))))),IF(AND(F33="Thử Việc",AS33&gt;=2000000),AS33*10%,IF(F33="CTV",AS33*10%)))</f>
        <v>0</v>
      </c>
      <c r="AU33" s="415"/>
      <c r="AV33" s="417">
        <f t="shared" ref="AV33" si="167">ROUND(AE33-AN33-AT33+AU33,-2)</f>
        <v>1850200</v>
      </c>
      <c r="AW33" s="397"/>
    </row>
    <row r="34" spans="1:49" ht="58.5" customHeight="1" x14ac:dyDescent="0.25">
      <c r="A34" s="461"/>
      <c r="B34" s="390" t="s">
        <v>363</v>
      </c>
      <c r="C34" s="374" t="s">
        <v>362</v>
      </c>
      <c r="D34" s="414" t="s">
        <v>339</v>
      </c>
      <c r="E34" s="414" t="s">
        <v>350</v>
      </c>
      <c r="F34" s="415" t="str">
        <f>IFERROR(VLOOKUP($B34,'3. BẢNG CHẤM CÔNG'!$B$11:$AV$29,6,0),0)</f>
        <v>Chính Thức</v>
      </c>
      <c r="G34" s="416">
        <f>G33+G32</f>
        <v>25</v>
      </c>
      <c r="H34" s="416">
        <f t="shared" ref="H34:AV34" si="168">H33+H32</f>
        <v>2</v>
      </c>
      <c r="I34" s="416">
        <f t="shared" si="168"/>
        <v>0</v>
      </c>
      <c r="J34" s="464">
        <v>5500000</v>
      </c>
      <c r="K34" s="415">
        <f t="shared" si="168"/>
        <v>6562500</v>
      </c>
      <c r="L34" s="415">
        <f t="shared" si="168"/>
        <v>6562500</v>
      </c>
      <c r="M34" s="415">
        <f t="shared" si="168"/>
        <v>4915000</v>
      </c>
      <c r="N34" s="416"/>
      <c r="O34" s="415">
        <f t="shared" si="168"/>
        <v>2932244.3181818184</v>
      </c>
      <c r="P34" s="415">
        <f t="shared" si="168"/>
        <v>0</v>
      </c>
      <c r="Q34" s="415">
        <f t="shared" si="168"/>
        <v>0</v>
      </c>
      <c r="R34" s="415">
        <f t="shared" si="168"/>
        <v>0</v>
      </c>
      <c r="S34" s="415">
        <f t="shared" si="168"/>
        <v>0</v>
      </c>
      <c r="T34" s="415">
        <f t="shared" si="168"/>
        <v>0</v>
      </c>
      <c r="U34" s="415">
        <f t="shared" si="168"/>
        <v>0</v>
      </c>
      <c r="V34" s="415">
        <f t="shared" si="168"/>
        <v>0</v>
      </c>
      <c r="W34" s="415">
        <f t="shared" si="168"/>
        <v>859090.90909090906</v>
      </c>
      <c r="X34" s="415">
        <f t="shared" si="168"/>
        <v>477272.72727272718</v>
      </c>
      <c r="Y34" s="415">
        <f t="shared" si="168"/>
        <v>596590.90909090906</v>
      </c>
      <c r="Z34" s="415">
        <f t="shared" si="168"/>
        <v>1932954.5454545454</v>
      </c>
      <c r="AA34" s="415">
        <f t="shared" si="168"/>
        <v>0</v>
      </c>
      <c r="AB34" s="415">
        <f t="shared" si="168"/>
        <v>0</v>
      </c>
      <c r="AC34" s="415">
        <f t="shared" si="168"/>
        <v>0</v>
      </c>
      <c r="AD34" s="415">
        <f t="shared" si="168"/>
        <v>1932954.5454545454</v>
      </c>
      <c r="AE34" s="415">
        <f t="shared" si="168"/>
        <v>11427698.863636363</v>
      </c>
      <c r="AF34" s="415">
        <f t="shared" si="168"/>
        <v>9807698.8636363633</v>
      </c>
      <c r="AG34" s="415">
        <f>AG32</f>
        <v>962499.99999999988</v>
      </c>
      <c r="AH34" s="415">
        <f t="shared" ref="AH34:AM34" si="169">AH32</f>
        <v>165000</v>
      </c>
      <c r="AI34" s="415">
        <f t="shared" si="169"/>
        <v>55000</v>
      </c>
      <c r="AJ34" s="415">
        <f t="shared" si="169"/>
        <v>1182500</v>
      </c>
      <c r="AK34" s="415">
        <f t="shared" si="169"/>
        <v>440000</v>
      </c>
      <c r="AL34" s="415">
        <f t="shared" si="169"/>
        <v>82500</v>
      </c>
      <c r="AM34" s="415">
        <f t="shared" si="169"/>
        <v>55000</v>
      </c>
      <c r="AN34" s="415">
        <f t="shared" si="168"/>
        <v>577500</v>
      </c>
      <c r="AO34" s="415">
        <f t="shared" si="168"/>
        <v>15500000</v>
      </c>
      <c r="AP34" s="415">
        <f t="shared" si="168"/>
        <v>0</v>
      </c>
      <c r="AQ34" s="415">
        <f t="shared" si="168"/>
        <v>0</v>
      </c>
      <c r="AR34" s="415">
        <f t="shared" si="168"/>
        <v>15500000</v>
      </c>
      <c r="AS34" s="415">
        <f t="shared" si="168"/>
        <v>1850198.8636363635</v>
      </c>
      <c r="AT34" s="415">
        <f t="shared" si="168"/>
        <v>0</v>
      </c>
      <c r="AU34" s="415">
        <f t="shared" si="168"/>
        <v>0</v>
      </c>
      <c r="AV34" s="415">
        <f t="shared" si="168"/>
        <v>10850200</v>
      </c>
      <c r="AW34" s="397"/>
    </row>
    <row r="35" spans="1:49" ht="58.5" customHeight="1" x14ac:dyDescent="0.25">
      <c r="A35" s="461"/>
      <c r="B35" s="390" t="s">
        <v>387</v>
      </c>
      <c r="C35" s="374" t="s">
        <v>388</v>
      </c>
      <c r="D35" s="414" t="s">
        <v>339</v>
      </c>
      <c r="E35" s="414" t="s">
        <v>350</v>
      </c>
      <c r="F35" s="415" t="str">
        <f>IFERROR(VLOOKUP($B35,'3. BẢNG CHẤM CÔNG'!$B$11:$AV$29,6,0),0)</f>
        <v>Thử Việc</v>
      </c>
      <c r="G35" s="416">
        <f>IFERROR(VLOOKUP($B35, '3. BẢNG CHẤM CÔNG'!$B$10:$AV41,43,0),0)</f>
        <v>16</v>
      </c>
      <c r="H35" s="416">
        <f>IFERROR(VLOOKUP($B35, '3. BẢNG CHẤM CÔNG'!$B$10:$AV41,44,0),0)</f>
        <v>0</v>
      </c>
      <c r="I35" s="416"/>
      <c r="J35" s="415">
        <f>IFERROR(VLOOKUP($B35,' 5. Thông số TL'!$D$12:$T$30,4,0),0)</f>
        <v>5500000</v>
      </c>
      <c r="K35" s="415">
        <f>IFERROR(IF($F35="Chính Thức",$J35/$G$4*($G35+$H35),IF($F35="Thử Việc",$J35/$G$4*($G35+$H35)*85%,"")),0)</f>
        <v>3400000</v>
      </c>
      <c r="L35" s="417">
        <f t="shared" ref="L35" si="170">SUM(K35)</f>
        <v>3400000</v>
      </c>
      <c r="M35" s="415">
        <f>IFERROR(VLOOKUP($B35,' 5. Thông số TL'!$D$12:$T$30,5,0),0)</f>
        <v>2457500</v>
      </c>
      <c r="N35" s="418">
        <v>1</v>
      </c>
      <c r="O35" s="415">
        <f>IFERROR(IF($F35="Chính Thức",$M35/$G$4*($G35+$H35)*N35,IF($F35="Thử Việc",$M35/$G$4*N35*($G35+$H35)*85%)),0)</f>
        <v>1519181.8181818181</v>
      </c>
      <c r="P35" s="415"/>
      <c r="Q35" s="419"/>
      <c r="R35" s="415"/>
      <c r="S35" s="417"/>
      <c r="T35" s="415"/>
      <c r="U35" s="415"/>
      <c r="V35" s="417">
        <f t="shared" ref="V35" si="171">SUM(T35:U35)</f>
        <v>0</v>
      </c>
      <c r="W35" s="415">
        <f>IFERROR(IF($F35="Chính Thức",VLOOKUP($B35,' 5. Thông số TL'!$D$12:$T$30,6,0)/$G$4*($G35+$H35),IF($F35="Thử Việc",VLOOKUP($B35,' 5. Thông số TL'!$D$12:$T$30,6,0)/$G$4*($G35+$H35)*85%,"")),0)</f>
        <v>445090.90909090912</v>
      </c>
      <c r="X35" s="415">
        <f>IFERROR(IF($F35="Chính Thức",VLOOKUP($B35,' 5. Thông số TL'!$D$12:$T$30,7,0)/$G$4*($G35+$H35),IF($F35="Thử Việc",VLOOKUP($B35,' 5. Thông số TL'!$D$12:$T$30,7,0)/$G$4*($G35+$H35)*85%,"")),0)</f>
        <v>247272.72727272724</v>
      </c>
      <c r="Y35" s="415">
        <f>IFERROR(IF($F35="Chính Thức",VLOOKUP($B35,' 5. Thông số TL'!$D$12:$T$30,8,0)/$G$4*($G35+$H35),IF($F35="Thử Việc",VLOOKUP($B35,' 5. Thông số TL'!$D$12:$T$30,8,0)/$G$4*($G35+$H35)*85%,"")),0)</f>
        <v>309090.90909090912</v>
      </c>
      <c r="Z35" s="415">
        <f t="shared" ref="Z35" si="172">SUM(W35:Y35)</f>
        <v>1001454.5454545454</v>
      </c>
      <c r="AA35" s="415">
        <f>IFERROR(IF($F35="Chính Thức",VLOOKUP($B35,' 5. Thông số TL'!$D$12:$T$30,10,0)/$G$4*($G35+$H35),IF($F35="Thử Việc",VLOOKUP($B35,' 5. Thông số TL'!$D$12:$T$30,10,0)/$G$4*($G35+$H35)*85%,"")),0)</f>
        <v>0</v>
      </c>
      <c r="AB35" s="415"/>
      <c r="AC35" s="415">
        <f t="shared" ref="AC35" si="173">SUM(AA35:AB35)</f>
        <v>0</v>
      </c>
      <c r="AD35" s="417">
        <f t="shared" ref="AD35" si="174">Z35+AC35</f>
        <v>1001454.5454545454</v>
      </c>
      <c r="AE35" s="417">
        <f t="shared" ref="AE35" si="175">L35+O35+S35+V35+AD35</f>
        <v>5920636.3636363633</v>
      </c>
      <c r="AF35" s="415">
        <f>IF(F35="Chính Thức",AE35-Z35,IF(F35="Thử Việc",AE35,IF(F35="CTV",AE35,0)))</f>
        <v>5920636.3636363633</v>
      </c>
      <c r="AG35" s="420" t="str">
        <f t="shared" si="147"/>
        <v/>
      </c>
      <c r="AH35" s="420" t="str">
        <f t="shared" si="147"/>
        <v/>
      </c>
      <c r="AI35" s="420" t="str">
        <f t="shared" si="147"/>
        <v/>
      </c>
      <c r="AJ35" s="421">
        <f t="shared" ref="AJ35" si="176">ROUND(SUM(AG35:AI35),0)</f>
        <v>0</v>
      </c>
      <c r="AK35" s="420" t="str">
        <f t="shared" si="149"/>
        <v/>
      </c>
      <c r="AL35" s="420" t="str">
        <f t="shared" si="149"/>
        <v/>
      </c>
      <c r="AM35" s="420" t="str">
        <f t="shared" si="149"/>
        <v/>
      </c>
      <c r="AN35" s="417">
        <f t="shared" ref="AN35" si="177">ROUND(SUM(AK35:AM35),-1)</f>
        <v>0</v>
      </c>
      <c r="AO35" s="421">
        <f t="shared" ref="AO35" si="178">IF(F35="Chính Thức",$AO$10,0)</f>
        <v>0</v>
      </c>
      <c r="AP35" s="422"/>
      <c r="AQ35" s="415">
        <f t="shared" ref="AQ35" si="179">AP35*$AQ$10</f>
        <v>0</v>
      </c>
      <c r="AR35" s="415">
        <f t="shared" ref="AR35" si="180">+AO35+AQ35</f>
        <v>0</v>
      </c>
      <c r="AS35" s="415">
        <f t="shared" ref="AS35" si="181">MAX(AF35-AR35-AN35,0)</f>
        <v>5920636.3636363633</v>
      </c>
      <c r="AT35" s="417">
        <f>IF(F35="Chính Thức",IF(AS35&lt;=0,,IF(AND(AS35&gt;0,AS35&lt;=5000000),5%*AS35,IF(AND(AS35&gt;5000000,AS35&lt;=10000000),10%*AS35-250000,IF(AND(AS35&gt;10000000,AS35&lt;=18000000),15%*AS35-750000,IF(AND(AS35&gt;18000000,AS35&lt;=32000000),20%*AS35-1650000,IF(AND(AS35&gt;32000000,AS35&lt;=52000000),25%*AS35-3250000,IF(AND(AS35&gt;52000000,AS35&lt;=80000000),30%*AS35-5850000,IF(AS35&gt;80000000,35%*AS35-9850000)))))))),IF(AND(F35="Thử Việc",AS35&gt;=2000000),AS35*10%,IF(F35="CTV",AS35*10%)))</f>
        <v>592063.63636363635</v>
      </c>
      <c r="AU35" s="415"/>
      <c r="AV35" s="417">
        <f t="shared" ref="AV35" si="182">ROUND(AE35-AN35-AT35+AU35,-2)</f>
        <v>5328600</v>
      </c>
      <c r="AW35" s="397"/>
    </row>
    <row r="36" spans="1:49" ht="58.5" customHeight="1" x14ac:dyDescent="0.25">
      <c r="A36" s="648" t="s">
        <v>218</v>
      </c>
      <c r="B36" s="514"/>
      <c r="C36" s="515"/>
      <c r="D36" s="410"/>
      <c r="E36" s="410"/>
      <c r="F36" s="410"/>
      <c r="G36" s="410">
        <f>SUBTOTAL(9,G11:G29)</f>
        <v>241</v>
      </c>
      <c r="H36" s="410">
        <f>SUBTOTAL(9,H11:H29)</f>
        <v>23</v>
      </c>
      <c r="I36" s="410">
        <f>SUBTOTAL(9,I11:I29)</f>
        <v>0</v>
      </c>
      <c r="J36" s="410">
        <f>J28+J15+J11</f>
        <v>87680000</v>
      </c>
      <c r="K36" s="410">
        <f t="shared" ref="K36:AU36" si="183">K28+K15+K11</f>
        <v>59706136.36363636</v>
      </c>
      <c r="L36" s="410">
        <f t="shared" si="183"/>
        <v>59706136.36363636</v>
      </c>
      <c r="M36" s="410">
        <f t="shared" si="183"/>
        <v>106018606</v>
      </c>
      <c r="N36" s="410">
        <f t="shared" si="183"/>
        <v>15</v>
      </c>
      <c r="O36" s="410">
        <f t="shared" si="183"/>
        <v>69003700.318181813</v>
      </c>
      <c r="P36" s="410">
        <f t="shared" si="183"/>
        <v>0</v>
      </c>
      <c r="Q36" s="410">
        <f t="shared" si="183"/>
        <v>0</v>
      </c>
      <c r="R36" s="410">
        <f t="shared" si="183"/>
        <v>0</v>
      </c>
      <c r="S36" s="410">
        <f t="shared" si="183"/>
        <v>0</v>
      </c>
      <c r="T36" s="410">
        <f t="shared" si="183"/>
        <v>0</v>
      </c>
      <c r="U36" s="410">
        <f t="shared" si="183"/>
        <v>0</v>
      </c>
      <c r="V36" s="410">
        <f t="shared" si="183"/>
        <v>0</v>
      </c>
      <c r="W36" s="410">
        <f t="shared" si="183"/>
        <v>9116181.8181818184</v>
      </c>
      <c r="X36" s="410">
        <f t="shared" si="183"/>
        <v>5064545.4545454541</v>
      </c>
      <c r="Y36" s="410">
        <f t="shared" si="183"/>
        <v>11351136.363636363</v>
      </c>
      <c r="Z36" s="410">
        <f t="shared" si="183"/>
        <v>25531863.636363637</v>
      </c>
      <c r="AA36" s="410">
        <f t="shared" si="183"/>
        <v>0</v>
      </c>
      <c r="AB36" s="410">
        <f t="shared" si="183"/>
        <v>0</v>
      </c>
      <c r="AC36" s="410">
        <f t="shared" si="183"/>
        <v>0</v>
      </c>
      <c r="AD36" s="410">
        <f t="shared" si="183"/>
        <v>25531863.636363637</v>
      </c>
      <c r="AE36" s="410">
        <f t="shared" si="183"/>
        <v>154241700.31818181</v>
      </c>
      <c r="AF36" s="410">
        <f t="shared" si="183"/>
        <v>136550973.04545453</v>
      </c>
      <c r="AG36" s="410">
        <f t="shared" si="183"/>
        <v>8984500</v>
      </c>
      <c r="AH36" s="410">
        <f t="shared" si="183"/>
        <v>1540200</v>
      </c>
      <c r="AI36" s="410">
        <f t="shared" si="183"/>
        <v>513400</v>
      </c>
      <c r="AJ36" s="410">
        <f t="shared" si="183"/>
        <v>11038100</v>
      </c>
      <c r="AK36" s="410">
        <f t="shared" si="183"/>
        <v>4107200</v>
      </c>
      <c r="AL36" s="410">
        <f t="shared" si="183"/>
        <v>770100</v>
      </c>
      <c r="AM36" s="410">
        <f t="shared" si="183"/>
        <v>513400</v>
      </c>
      <c r="AN36" s="410">
        <f t="shared" si="183"/>
        <v>5390700</v>
      </c>
      <c r="AO36" s="410">
        <f t="shared" si="183"/>
        <v>155000000</v>
      </c>
      <c r="AP36" s="410">
        <f t="shared" si="183"/>
        <v>0</v>
      </c>
      <c r="AQ36" s="410">
        <f t="shared" si="183"/>
        <v>0</v>
      </c>
      <c r="AR36" s="410">
        <f t="shared" si="183"/>
        <v>155000000</v>
      </c>
      <c r="AS36" s="410">
        <f t="shared" si="183"/>
        <v>51514409.409090906</v>
      </c>
      <c r="AT36" s="410">
        <f t="shared" si="183"/>
        <v>4555215.8499999996</v>
      </c>
      <c r="AU36" s="410">
        <f t="shared" si="183"/>
        <v>0</v>
      </c>
      <c r="AV36" s="410">
        <f>AV28+AV15+AV11</f>
        <v>151759700</v>
      </c>
      <c r="AW36" s="231">
        <f>SUBTOTAL(9,AW16:AW16)</f>
        <v>0</v>
      </c>
    </row>
    <row r="37" spans="1:49" ht="21.75" customHeight="1" x14ac:dyDescent="0.25">
      <c r="A37" s="232"/>
      <c r="B37" s="232"/>
      <c r="C37" s="232"/>
      <c r="D37" s="201"/>
      <c r="E37" s="201"/>
      <c r="F37" s="201"/>
      <c r="G37" s="201"/>
      <c r="H37" s="201"/>
      <c r="I37" s="201"/>
      <c r="J37" s="201"/>
      <c r="K37" s="201"/>
      <c r="L37" s="232"/>
      <c r="M37" s="232"/>
      <c r="N37" s="233"/>
      <c r="O37" s="232"/>
      <c r="P37" s="201"/>
      <c r="Q37" s="201"/>
      <c r="R37" s="232"/>
      <c r="S37" s="201"/>
      <c r="T37" s="201"/>
      <c r="U37" s="201"/>
      <c r="V37" s="201"/>
      <c r="W37" s="201"/>
      <c r="X37" s="201"/>
      <c r="Y37" s="201"/>
      <c r="Z37" s="232"/>
      <c r="AA37" s="232"/>
      <c r="AB37" s="232"/>
      <c r="AC37" s="232"/>
      <c r="AD37" s="232"/>
      <c r="AE37" s="232"/>
      <c r="AF37" s="232"/>
      <c r="AG37" s="201"/>
      <c r="AH37" s="201"/>
      <c r="AI37" s="201"/>
      <c r="AJ37" s="234"/>
      <c r="AK37" s="201"/>
      <c r="AL37" s="235"/>
      <c r="AM37" s="235"/>
      <c r="AN37" s="235"/>
      <c r="AO37" s="235"/>
      <c r="AP37" s="235"/>
      <c r="AQ37" s="235"/>
      <c r="AR37" s="235"/>
      <c r="AS37" s="235"/>
      <c r="AT37" s="235"/>
      <c r="AU37" s="235"/>
      <c r="AV37" s="235"/>
      <c r="AW37" s="201"/>
    </row>
    <row r="38" spans="1:49" ht="43.5" customHeight="1" x14ac:dyDescent="0.25">
      <c r="A38" s="232"/>
      <c r="B38" s="232"/>
      <c r="C38" s="232"/>
      <c r="D38" s="201"/>
      <c r="E38" s="236"/>
      <c r="F38" s="201"/>
      <c r="H38" s="201"/>
      <c r="I38" s="201"/>
      <c r="J38" s="201"/>
      <c r="K38" s="201"/>
      <c r="L38" s="232"/>
      <c r="M38" s="232"/>
      <c r="N38" s="233"/>
      <c r="O38" s="232"/>
      <c r="P38" s="201"/>
      <c r="Q38" s="201"/>
      <c r="R38" s="232"/>
      <c r="S38" s="201"/>
      <c r="T38" s="201"/>
      <c r="U38" s="201"/>
      <c r="V38" s="201"/>
      <c r="W38" s="201"/>
      <c r="X38" s="201"/>
      <c r="Y38" s="201"/>
      <c r="Z38" s="232"/>
      <c r="AA38" s="232"/>
      <c r="AB38" s="232"/>
      <c r="AC38" s="232"/>
      <c r="AD38" s="232"/>
      <c r="AE38" s="232"/>
      <c r="AF38" s="232"/>
      <c r="AG38" s="201"/>
      <c r="AH38" s="201"/>
      <c r="AI38" s="201"/>
      <c r="AJ38" s="234"/>
      <c r="AK38" s="201"/>
      <c r="AL38" s="651" t="s">
        <v>219</v>
      </c>
      <c r="AM38" s="502"/>
      <c r="AN38" s="502"/>
      <c r="AO38" s="502"/>
      <c r="AP38" s="502"/>
      <c r="AQ38" s="502"/>
      <c r="AR38" s="502"/>
      <c r="AS38" s="502"/>
      <c r="AT38" s="502"/>
      <c r="AU38" s="502"/>
      <c r="AV38" s="502"/>
      <c r="AW38" s="201"/>
    </row>
    <row r="39" spans="1:49" ht="36.75" customHeight="1" x14ac:dyDescent="0.25">
      <c r="A39" s="44"/>
      <c r="B39" s="44"/>
      <c r="C39" s="501" t="s">
        <v>52</v>
      </c>
      <c r="D39" s="502"/>
      <c r="E39" s="502"/>
      <c r="G39" s="44"/>
      <c r="H39" s="44"/>
      <c r="I39" s="517" t="s">
        <v>53</v>
      </c>
      <c r="J39" s="502"/>
      <c r="K39" s="502"/>
      <c r="L39" s="502"/>
      <c r="M39" s="502"/>
      <c r="N39" s="502"/>
      <c r="O39" s="502"/>
      <c r="P39" s="502"/>
      <c r="Q39" s="502"/>
      <c r="R39" s="502"/>
      <c r="S39" s="502"/>
      <c r="T39" s="502"/>
      <c r="U39" s="502"/>
      <c r="V39" s="502"/>
      <c r="W39" s="502"/>
      <c r="X39" s="502"/>
      <c r="Y39" s="502"/>
      <c r="Z39" s="502"/>
      <c r="AA39" s="45"/>
      <c r="AB39" s="45"/>
      <c r="AC39" s="45"/>
      <c r="AD39" s="589" t="s">
        <v>220</v>
      </c>
      <c r="AE39" s="502"/>
      <c r="AF39" s="502"/>
      <c r="AG39" s="502"/>
      <c r="AH39" s="502"/>
      <c r="AI39" s="502"/>
      <c r="AJ39" s="502"/>
      <c r="AK39" s="237"/>
      <c r="AL39" s="501" t="s">
        <v>55</v>
      </c>
      <c r="AM39" s="502"/>
      <c r="AN39" s="502"/>
      <c r="AO39" s="502"/>
      <c r="AP39" s="502"/>
      <c r="AQ39" s="502"/>
      <c r="AR39" s="502"/>
      <c r="AS39" s="502"/>
      <c r="AT39" s="502"/>
      <c r="AU39" s="502"/>
      <c r="AV39" s="502"/>
      <c r="AW39" s="237"/>
    </row>
    <row r="40" spans="1:49" ht="203.25" customHeight="1" x14ac:dyDescent="0.25">
      <c r="A40" s="238"/>
      <c r="B40" s="239"/>
      <c r="C40" s="239"/>
      <c r="D40" s="240"/>
      <c r="E40" s="238"/>
      <c r="F40" s="238"/>
      <c r="G40" s="241"/>
      <c r="H40" s="242"/>
      <c r="I40" s="238"/>
      <c r="J40" s="238"/>
      <c r="K40" s="238"/>
      <c r="L40" s="238"/>
      <c r="M40" s="238"/>
      <c r="N40" s="243"/>
      <c r="O40" s="238"/>
      <c r="P40" s="244"/>
      <c r="Q40" s="244"/>
      <c r="R40" s="238"/>
      <c r="S40" s="238"/>
      <c r="T40" s="201"/>
      <c r="U40" s="201"/>
      <c r="V40" s="201"/>
      <c r="W40" s="201"/>
      <c r="X40" s="238"/>
      <c r="Y40" s="238"/>
      <c r="Z40" s="238"/>
      <c r="AA40" s="238"/>
      <c r="AB40" s="238"/>
      <c r="AC40" s="238"/>
      <c r="AD40" s="45"/>
      <c r="AE40" s="45"/>
      <c r="AF40" s="245"/>
      <c r="AG40" s="45"/>
      <c r="AH40" s="45"/>
      <c r="AI40" s="45"/>
      <c r="AJ40" s="45"/>
      <c r="AK40" s="238"/>
      <c r="AL40" s="238"/>
      <c r="AM40" s="238"/>
      <c r="AN40" s="246"/>
      <c r="AO40" s="246"/>
      <c r="AP40" s="238"/>
      <c r="AQ40" s="246"/>
      <c r="AR40" s="246"/>
      <c r="AS40" s="246"/>
      <c r="AT40" s="238"/>
      <c r="AU40" s="247"/>
      <c r="AV40" s="238"/>
      <c r="AW40" s="238"/>
    </row>
    <row r="41" spans="1:49" ht="27" customHeight="1" x14ac:dyDescent="0.25">
      <c r="A41" s="44"/>
      <c r="B41" s="44"/>
      <c r="C41" s="501"/>
      <c r="D41" s="502"/>
      <c r="E41" s="502"/>
      <c r="G41" s="44"/>
      <c r="H41" s="44"/>
      <c r="I41" s="517"/>
      <c r="J41" s="502"/>
      <c r="K41" s="502"/>
      <c r="L41" s="502"/>
      <c r="M41" s="502"/>
      <c r="N41" s="502"/>
      <c r="O41" s="502"/>
      <c r="P41" s="502"/>
      <c r="Q41" s="502"/>
      <c r="R41" s="502"/>
      <c r="S41" s="502"/>
      <c r="T41" s="502"/>
      <c r="U41" s="502"/>
      <c r="V41" s="502"/>
      <c r="W41" s="502"/>
      <c r="X41" s="502"/>
      <c r="Y41" s="502"/>
      <c r="Z41" s="502"/>
      <c r="AA41" s="45"/>
      <c r="AB41" s="45"/>
      <c r="AC41" s="45"/>
      <c r="AD41" s="589"/>
      <c r="AE41" s="502"/>
      <c r="AF41" s="502"/>
      <c r="AG41" s="502"/>
      <c r="AH41" s="502"/>
      <c r="AI41" s="502"/>
      <c r="AJ41" s="502"/>
      <c r="AK41" s="237"/>
      <c r="AL41" s="501"/>
      <c r="AM41" s="502"/>
      <c r="AN41" s="502"/>
      <c r="AO41" s="502"/>
      <c r="AP41" s="502"/>
      <c r="AQ41" s="502"/>
      <c r="AR41" s="502"/>
      <c r="AS41" s="502"/>
      <c r="AT41" s="502"/>
      <c r="AU41" s="502"/>
      <c r="AV41" s="502"/>
      <c r="AW41" s="237"/>
    </row>
    <row r="42" spans="1:49" ht="15" hidden="1" customHeight="1" x14ac:dyDescent="0.25">
      <c r="N42" s="203"/>
      <c r="AS42" s="141" t="s">
        <v>132</v>
      </c>
      <c r="AV42" s="43">
        <f>L36</f>
        <v>59706136.36363636</v>
      </c>
    </row>
    <row r="43" spans="1:49" ht="15" hidden="1" customHeight="1" x14ac:dyDescent="0.25">
      <c r="N43" s="203"/>
      <c r="AS43" s="141" t="s">
        <v>222</v>
      </c>
      <c r="AV43" s="43">
        <f>O36</f>
        <v>69003700.318181813</v>
      </c>
    </row>
    <row r="44" spans="1:49" ht="15" hidden="1" customHeight="1" x14ac:dyDescent="0.25">
      <c r="N44" s="203"/>
      <c r="AQ44" s="149"/>
      <c r="AR44" s="43"/>
      <c r="AS44" s="141" t="s">
        <v>223</v>
      </c>
      <c r="AV44" s="43">
        <f>V36</f>
        <v>0</v>
      </c>
    </row>
    <row r="45" spans="1:49" ht="15" hidden="1" customHeight="1" x14ac:dyDescent="0.25">
      <c r="N45" s="203"/>
      <c r="AS45" s="149" t="s">
        <v>224</v>
      </c>
      <c r="AV45" s="43">
        <f>AD36</f>
        <v>25531863.636363637</v>
      </c>
    </row>
    <row r="46" spans="1:49" ht="15" hidden="1" customHeight="1" x14ac:dyDescent="0.25">
      <c r="N46" s="203"/>
      <c r="AQ46" s="149"/>
      <c r="AR46" s="43"/>
      <c r="AS46" s="141" t="s">
        <v>136</v>
      </c>
      <c r="AV46" s="43">
        <f>SUM(AV42:AV45)</f>
        <v>154241700.31818181</v>
      </c>
    </row>
    <row r="47" spans="1:49" ht="15" hidden="1" customHeight="1" x14ac:dyDescent="0.25">
      <c r="N47" s="203"/>
      <c r="AQ47" s="149"/>
      <c r="AR47" s="43"/>
      <c r="AS47" s="141" t="s">
        <v>225</v>
      </c>
      <c r="AV47" s="43">
        <f>AN36</f>
        <v>5390700</v>
      </c>
    </row>
    <row r="48" spans="1:49" ht="15" hidden="1" customHeight="1" x14ac:dyDescent="0.25">
      <c r="N48" s="203"/>
      <c r="AQ48" s="149"/>
      <c r="AR48" s="43"/>
      <c r="AS48" s="141" t="s">
        <v>179</v>
      </c>
      <c r="AV48" s="43">
        <f>AT36</f>
        <v>4555215.8499999996</v>
      </c>
    </row>
    <row r="49" spans="14:48" ht="15" hidden="1" customHeight="1" x14ac:dyDescent="0.25">
      <c r="N49" s="203"/>
      <c r="AQ49" s="149"/>
      <c r="AR49" s="43"/>
      <c r="AS49" s="141" t="s">
        <v>226</v>
      </c>
      <c r="AV49" s="43">
        <f>AU36</f>
        <v>0</v>
      </c>
    </row>
    <row r="50" spans="14:48" ht="15" hidden="1" customHeight="1" x14ac:dyDescent="0.25">
      <c r="N50" s="203"/>
      <c r="AQ50" s="149"/>
      <c r="AR50" s="43"/>
      <c r="AS50" s="141" t="s">
        <v>227</v>
      </c>
      <c r="AV50" s="43">
        <f>AV46-AV47-AV48-AV49</f>
        <v>144295784.46818182</v>
      </c>
    </row>
    <row r="51" spans="14:48" ht="15" hidden="1" customHeight="1" x14ac:dyDescent="0.25">
      <c r="N51" s="203"/>
      <c r="AQ51" s="149"/>
      <c r="AR51" s="248"/>
      <c r="AS51" s="141" t="s">
        <v>228</v>
      </c>
      <c r="AV51" s="43">
        <f>AV50-AV36</f>
        <v>-7463915.5318181813</v>
      </c>
    </row>
    <row r="52" spans="14:48" ht="15" customHeight="1" x14ac:dyDescent="0.25">
      <c r="N52" s="203"/>
      <c r="AQ52" s="149"/>
      <c r="AR52" s="43"/>
    </row>
    <row r="53" spans="14:48" ht="15" customHeight="1" x14ac:dyDescent="0.25">
      <c r="N53" s="203"/>
      <c r="AQ53" s="149"/>
      <c r="AR53" s="43"/>
    </row>
    <row r="54" spans="14:48" ht="15" customHeight="1" x14ac:dyDescent="0.25">
      <c r="N54" s="203"/>
      <c r="AQ54" s="149"/>
      <c r="AR54" s="43"/>
    </row>
    <row r="55" spans="14:48" ht="15" customHeight="1" x14ac:dyDescent="0.25">
      <c r="N55" s="203"/>
      <c r="AQ55" s="149"/>
      <c r="AR55" s="43"/>
    </row>
    <row r="56" spans="14:48" ht="15" customHeight="1" x14ac:dyDescent="0.25">
      <c r="N56" s="203"/>
      <c r="AQ56" s="149"/>
      <c r="AR56" s="43"/>
    </row>
    <row r="57" spans="14:48" ht="15.75" customHeight="1" x14ac:dyDescent="0.25">
      <c r="N57" s="203"/>
    </row>
    <row r="58" spans="14:48" ht="15.75" customHeight="1" x14ac:dyDescent="0.25">
      <c r="N58" s="203"/>
    </row>
    <row r="59" spans="14:48" ht="15.75" customHeight="1" x14ac:dyDescent="0.25">
      <c r="N59" s="203"/>
    </row>
    <row r="60" spans="14:48" ht="15.75" customHeight="1" x14ac:dyDescent="0.25">
      <c r="N60" s="203"/>
    </row>
    <row r="61" spans="14:48" ht="15.75" customHeight="1" x14ac:dyDescent="0.25">
      <c r="N61" s="203"/>
    </row>
    <row r="62" spans="14:48" ht="15.75" customHeight="1" x14ac:dyDescent="0.25">
      <c r="N62" s="203"/>
    </row>
    <row r="63" spans="14:48" ht="15.75" customHeight="1" x14ac:dyDescent="0.25">
      <c r="N63" s="203"/>
    </row>
    <row r="64" spans="14:48" ht="15.75" customHeight="1" x14ac:dyDescent="0.25">
      <c r="N64" s="203"/>
    </row>
    <row r="65" spans="14:14" ht="15.75" customHeight="1" x14ac:dyDescent="0.25">
      <c r="N65" s="203"/>
    </row>
    <row r="66" spans="14:14" ht="15.75" customHeight="1" x14ac:dyDescent="0.25">
      <c r="N66" s="203"/>
    </row>
    <row r="67" spans="14:14" ht="15.75" customHeight="1" x14ac:dyDescent="0.25">
      <c r="N67" s="203"/>
    </row>
    <row r="68" spans="14:14" ht="15.75" customHeight="1" x14ac:dyDescent="0.25">
      <c r="N68" s="203"/>
    </row>
    <row r="69" spans="14:14" ht="15.75" customHeight="1" x14ac:dyDescent="0.25">
      <c r="N69" s="203"/>
    </row>
    <row r="70" spans="14:14" ht="15.75" customHeight="1" x14ac:dyDescent="0.25">
      <c r="N70" s="203"/>
    </row>
    <row r="71" spans="14:14" ht="15.75" customHeight="1" x14ac:dyDescent="0.25">
      <c r="N71" s="203"/>
    </row>
    <row r="72" spans="14:14" ht="15.75" customHeight="1" x14ac:dyDescent="0.25">
      <c r="N72" s="203"/>
    </row>
    <row r="73" spans="14:14" ht="15.75" customHeight="1" x14ac:dyDescent="0.25">
      <c r="N73" s="203"/>
    </row>
    <row r="74" spans="14:14" ht="15.75" customHeight="1" x14ac:dyDescent="0.25">
      <c r="N74" s="203"/>
    </row>
    <row r="75" spans="14:14" ht="15.75" customHeight="1" x14ac:dyDescent="0.25">
      <c r="N75" s="203"/>
    </row>
    <row r="76" spans="14:14" ht="15.75" customHeight="1" x14ac:dyDescent="0.25">
      <c r="N76" s="203"/>
    </row>
    <row r="77" spans="14:14" ht="15.75" customHeight="1" x14ac:dyDescent="0.25">
      <c r="N77" s="203"/>
    </row>
    <row r="78" spans="14:14" ht="15.75" customHeight="1" x14ac:dyDescent="0.25">
      <c r="N78" s="203"/>
    </row>
    <row r="79" spans="14:14" ht="15.75" customHeight="1" x14ac:dyDescent="0.25">
      <c r="N79" s="203"/>
    </row>
    <row r="80" spans="14:14" ht="15.75" customHeight="1" x14ac:dyDescent="0.25">
      <c r="N80" s="203"/>
    </row>
    <row r="81" spans="14:14" ht="15.75" customHeight="1" x14ac:dyDescent="0.25">
      <c r="N81" s="203"/>
    </row>
    <row r="82" spans="14:14" ht="15.75" customHeight="1" x14ac:dyDescent="0.25">
      <c r="N82" s="203"/>
    </row>
    <row r="83" spans="14:14" ht="15.75" customHeight="1" x14ac:dyDescent="0.25">
      <c r="N83" s="203"/>
    </row>
    <row r="84" spans="14:14" ht="15.75" customHeight="1" x14ac:dyDescent="0.25">
      <c r="N84" s="203"/>
    </row>
    <row r="85" spans="14:14" ht="15.75" customHeight="1" x14ac:dyDescent="0.25">
      <c r="N85" s="203"/>
    </row>
    <row r="86" spans="14:14" ht="15.75" customHeight="1" x14ac:dyDescent="0.25">
      <c r="N86" s="203"/>
    </row>
    <row r="87" spans="14:14" ht="15.75" customHeight="1" x14ac:dyDescent="0.25">
      <c r="N87" s="203"/>
    </row>
    <row r="88" spans="14:14" ht="15.75" customHeight="1" x14ac:dyDescent="0.25">
      <c r="N88" s="203"/>
    </row>
    <row r="89" spans="14:14" ht="15.75" customHeight="1" x14ac:dyDescent="0.25">
      <c r="N89" s="203"/>
    </row>
    <row r="90" spans="14:14" ht="15.75" customHeight="1" x14ac:dyDescent="0.25">
      <c r="N90" s="203"/>
    </row>
    <row r="91" spans="14:14" ht="15.75" customHeight="1" x14ac:dyDescent="0.25">
      <c r="N91" s="203"/>
    </row>
    <row r="92" spans="14:14" ht="15.75" customHeight="1" x14ac:dyDescent="0.25">
      <c r="N92" s="203"/>
    </row>
    <row r="93" spans="14:14" ht="15.75" customHeight="1" x14ac:dyDescent="0.25">
      <c r="N93" s="203"/>
    </row>
    <row r="94" spans="14:14" ht="15.75" customHeight="1" x14ac:dyDescent="0.25">
      <c r="N94" s="203"/>
    </row>
    <row r="95" spans="14:14" ht="15.75" customHeight="1" x14ac:dyDescent="0.25">
      <c r="N95" s="203"/>
    </row>
    <row r="96" spans="14:14" ht="15.75" customHeight="1" x14ac:dyDescent="0.25">
      <c r="N96" s="203"/>
    </row>
    <row r="97" spans="14:14" ht="15.75" customHeight="1" x14ac:dyDescent="0.25">
      <c r="N97" s="203"/>
    </row>
    <row r="98" spans="14:14" ht="15.75" customHeight="1" x14ac:dyDescent="0.25">
      <c r="N98" s="203"/>
    </row>
    <row r="99" spans="14:14" ht="15.75" customHeight="1" x14ac:dyDescent="0.25">
      <c r="N99" s="203"/>
    </row>
    <row r="100" spans="14:14" ht="15.75" customHeight="1" x14ac:dyDescent="0.25">
      <c r="N100" s="203"/>
    </row>
    <row r="101" spans="14:14" ht="15.75" customHeight="1" x14ac:dyDescent="0.25">
      <c r="N101" s="203"/>
    </row>
    <row r="102" spans="14:14" ht="15.75" customHeight="1" x14ac:dyDescent="0.25">
      <c r="N102" s="203"/>
    </row>
    <row r="103" spans="14:14" ht="15.75" customHeight="1" x14ac:dyDescent="0.25">
      <c r="N103" s="203"/>
    </row>
    <row r="104" spans="14:14" ht="15.75" customHeight="1" x14ac:dyDescent="0.25">
      <c r="N104" s="203"/>
    </row>
    <row r="105" spans="14:14" ht="15.75" customHeight="1" x14ac:dyDescent="0.25">
      <c r="N105" s="203"/>
    </row>
    <row r="106" spans="14:14" ht="15.75" customHeight="1" x14ac:dyDescent="0.25">
      <c r="N106" s="203"/>
    </row>
    <row r="107" spans="14:14" ht="15.75" customHeight="1" x14ac:dyDescent="0.25">
      <c r="N107" s="203"/>
    </row>
    <row r="108" spans="14:14" ht="15.75" customHeight="1" x14ac:dyDescent="0.25">
      <c r="N108" s="203"/>
    </row>
    <row r="109" spans="14:14" ht="15.75" customHeight="1" x14ac:dyDescent="0.25">
      <c r="N109" s="203"/>
    </row>
    <row r="110" spans="14:14" ht="15.75" customHeight="1" x14ac:dyDescent="0.25">
      <c r="N110" s="203"/>
    </row>
    <row r="111" spans="14:14" ht="15.75" customHeight="1" x14ac:dyDescent="0.25">
      <c r="N111" s="203"/>
    </row>
    <row r="112" spans="14:14" ht="15.75" customHeight="1" x14ac:dyDescent="0.25">
      <c r="N112" s="203"/>
    </row>
    <row r="113" spans="14:14" ht="15.75" customHeight="1" x14ac:dyDescent="0.25">
      <c r="N113" s="203"/>
    </row>
    <row r="114" spans="14:14" ht="15.75" customHeight="1" x14ac:dyDescent="0.25">
      <c r="N114" s="203"/>
    </row>
    <row r="115" spans="14:14" ht="15.75" customHeight="1" x14ac:dyDescent="0.25">
      <c r="N115" s="203"/>
    </row>
    <row r="116" spans="14:14" ht="15.75" customHeight="1" x14ac:dyDescent="0.25">
      <c r="N116" s="203"/>
    </row>
    <row r="117" spans="14:14" ht="15.75" customHeight="1" x14ac:dyDescent="0.25">
      <c r="N117" s="203"/>
    </row>
    <row r="118" spans="14:14" ht="15.75" customHeight="1" x14ac:dyDescent="0.25">
      <c r="N118" s="203"/>
    </row>
    <row r="119" spans="14:14" ht="15.75" customHeight="1" x14ac:dyDescent="0.25">
      <c r="N119" s="203"/>
    </row>
    <row r="120" spans="14:14" ht="15.75" customHeight="1" x14ac:dyDescent="0.25">
      <c r="N120" s="203"/>
    </row>
    <row r="121" spans="14:14" ht="15.75" customHeight="1" x14ac:dyDescent="0.25">
      <c r="N121" s="203"/>
    </row>
    <row r="122" spans="14:14" ht="15.75" customHeight="1" x14ac:dyDescent="0.25">
      <c r="N122" s="203"/>
    </row>
    <row r="123" spans="14:14" ht="15.75" customHeight="1" x14ac:dyDescent="0.25">
      <c r="N123" s="203"/>
    </row>
    <row r="124" spans="14:14" ht="15.75" customHeight="1" x14ac:dyDescent="0.25">
      <c r="N124" s="203"/>
    </row>
    <row r="125" spans="14:14" ht="15.75" customHeight="1" x14ac:dyDescent="0.25">
      <c r="N125" s="203"/>
    </row>
    <row r="126" spans="14:14" ht="15.75" customHeight="1" x14ac:dyDescent="0.25">
      <c r="N126" s="203"/>
    </row>
    <row r="127" spans="14:14" ht="15.75" customHeight="1" x14ac:dyDescent="0.25">
      <c r="N127" s="203"/>
    </row>
    <row r="128" spans="14:14" ht="15.75" customHeight="1" x14ac:dyDescent="0.25">
      <c r="N128" s="203"/>
    </row>
    <row r="129" spans="14:14" ht="15.75" customHeight="1" x14ac:dyDescent="0.25">
      <c r="N129" s="203"/>
    </row>
    <row r="130" spans="14:14" ht="15.75" customHeight="1" x14ac:dyDescent="0.25">
      <c r="N130" s="203"/>
    </row>
    <row r="131" spans="14:14" ht="15.75" customHeight="1" x14ac:dyDescent="0.25">
      <c r="N131" s="203"/>
    </row>
    <row r="132" spans="14:14" ht="15.75" customHeight="1" x14ac:dyDescent="0.25">
      <c r="N132" s="203"/>
    </row>
    <row r="133" spans="14:14" ht="15.75" customHeight="1" x14ac:dyDescent="0.25">
      <c r="N133" s="203"/>
    </row>
    <row r="134" spans="14:14" ht="15.75" customHeight="1" x14ac:dyDescent="0.25">
      <c r="N134" s="203"/>
    </row>
    <row r="135" spans="14:14" ht="15.75" customHeight="1" x14ac:dyDescent="0.25">
      <c r="N135" s="203"/>
    </row>
    <row r="136" spans="14:14" ht="15.75" customHeight="1" x14ac:dyDescent="0.25">
      <c r="N136" s="203"/>
    </row>
    <row r="137" spans="14:14" ht="15.75" customHeight="1" x14ac:dyDescent="0.25">
      <c r="N137" s="203"/>
    </row>
    <row r="138" spans="14:14" ht="15.75" customHeight="1" x14ac:dyDescent="0.25">
      <c r="N138" s="203"/>
    </row>
    <row r="139" spans="14:14" ht="15.75" customHeight="1" x14ac:dyDescent="0.25">
      <c r="N139" s="203"/>
    </row>
    <row r="140" spans="14:14" ht="15.75" customHeight="1" x14ac:dyDescent="0.25">
      <c r="N140" s="203"/>
    </row>
    <row r="141" spans="14:14" ht="15.75" customHeight="1" x14ac:dyDescent="0.25">
      <c r="N141" s="203"/>
    </row>
    <row r="142" spans="14:14" ht="15.75" customHeight="1" x14ac:dyDescent="0.25">
      <c r="N142" s="203"/>
    </row>
    <row r="143" spans="14:14" ht="15.75" customHeight="1" x14ac:dyDescent="0.25">
      <c r="N143" s="203"/>
    </row>
    <row r="144" spans="14:14" ht="15.75" customHeight="1" x14ac:dyDescent="0.25">
      <c r="N144" s="203"/>
    </row>
    <row r="145" spans="14:14" ht="15.75" customHeight="1" x14ac:dyDescent="0.25">
      <c r="N145" s="203"/>
    </row>
    <row r="146" spans="14:14" ht="15.75" customHeight="1" x14ac:dyDescent="0.25">
      <c r="N146" s="203"/>
    </row>
    <row r="147" spans="14:14" ht="15.75" customHeight="1" x14ac:dyDescent="0.25">
      <c r="N147" s="203"/>
    </row>
    <row r="148" spans="14:14" ht="15.75" customHeight="1" x14ac:dyDescent="0.25">
      <c r="N148" s="203"/>
    </row>
    <row r="149" spans="14:14" ht="15.75" customHeight="1" x14ac:dyDescent="0.25">
      <c r="N149" s="203"/>
    </row>
    <row r="150" spans="14:14" ht="15.75" customHeight="1" x14ac:dyDescent="0.25">
      <c r="N150" s="203"/>
    </row>
    <row r="151" spans="14:14" ht="15.75" customHeight="1" x14ac:dyDescent="0.25">
      <c r="N151" s="203"/>
    </row>
    <row r="152" spans="14:14" ht="15.75" customHeight="1" x14ac:dyDescent="0.25">
      <c r="N152" s="203"/>
    </row>
    <row r="153" spans="14:14" ht="15.75" customHeight="1" x14ac:dyDescent="0.25">
      <c r="N153" s="203"/>
    </row>
    <row r="154" spans="14:14" ht="15.75" customHeight="1" x14ac:dyDescent="0.25">
      <c r="N154" s="203"/>
    </row>
    <row r="155" spans="14:14" ht="15.75" customHeight="1" x14ac:dyDescent="0.25">
      <c r="N155" s="203"/>
    </row>
    <row r="156" spans="14:14" ht="15.75" customHeight="1" x14ac:dyDescent="0.25">
      <c r="N156" s="203"/>
    </row>
    <row r="157" spans="14:14" ht="15.75" customHeight="1" x14ac:dyDescent="0.25">
      <c r="N157" s="203"/>
    </row>
    <row r="158" spans="14:14" ht="15.75" customHeight="1" x14ac:dyDescent="0.25">
      <c r="N158" s="203"/>
    </row>
    <row r="159" spans="14:14" ht="15.75" customHeight="1" x14ac:dyDescent="0.25">
      <c r="N159" s="203"/>
    </row>
    <row r="160" spans="14:14" ht="15.75" customHeight="1" x14ac:dyDescent="0.25">
      <c r="N160" s="203"/>
    </row>
    <row r="161" spans="14:14" ht="15.75" customHeight="1" x14ac:dyDescent="0.25">
      <c r="N161" s="203"/>
    </row>
    <row r="162" spans="14:14" ht="15.75" customHeight="1" x14ac:dyDescent="0.25">
      <c r="N162" s="203"/>
    </row>
    <row r="163" spans="14:14" ht="15.75" customHeight="1" x14ac:dyDescent="0.25">
      <c r="N163" s="203"/>
    </row>
    <row r="164" spans="14:14" ht="15.75" customHeight="1" x14ac:dyDescent="0.25">
      <c r="N164" s="203"/>
    </row>
    <row r="165" spans="14:14" ht="15.75" customHeight="1" x14ac:dyDescent="0.25">
      <c r="N165" s="203"/>
    </row>
    <row r="166" spans="14:14" ht="15.75" customHeight="1" x14ac:dyDescent="0.25">
      <c r="N166" s="203"/>
    </row>
    <row r="167" spans="14:14" ht="15.75" customHeight="1" x14ac:dyDescent="0.25">
      <c r="N167" s="203"/>
    </row>
    <row r="168" spans="14:14" ht="15.75" customHeight="1" x14ac:dyDescent="0.25">
      <c r="N168" s="203"/>
    </row>
    <row r="169" spans="14:14" ht="15.75" customHeight="1" x14ac:dyDescent="0.25">
      <c r="N169" s="203"/>
    </row>
    <row r="170" spans="14:14" ht="15.75" customHeight="1" x14ac:dyDescent="0.25">
      <c r="N170" s="203"/>
    </row>
    <row r="171" spans="14:14" ht="15.75" customHeight="1" x14ac:dyDescent="0.25">
      <c r="N171" s="203"/>
    </row>
    <row r="172" spans="14:14" ht="15.75" customHeight="1" x14ac:dyDescent="0.25">
      <c r="N172" s="203"/>
    </row>
    <row r="173" spans="14:14" ht="15.75" customHeight="1" x14ac:dyDescent="0.25">
      <c r="N173" s="203"/>
    </row>
    <row r="174" spans="14:14" ht="15.75" customHeight="1" x14ac:dyDescent="0.25">
      <c r="N174" s="203"/>
    </row>
    <row r="175" spans="14:14" ht="15.75" customHeight="1" x14ac:dyDescent="0.25">
      <c r="N175" s="203"/>
    </row>
    <row r="176" spans="14:14" ht="15.75" customHeight="1" x14ac:dyDescent="0.25">
      <c r="N176" s="203"/>
    </row>
    <row r="177" spans="14:14" ht="15.75" customHeight="1" x14ac:dyDescent="0.25">
      <c r="N177" s="203"/>
    </row>
    <row r="178" spans="14:14" ht="15.75" customHeight="1" x14ac:dyDescent="0.25">
      <c r="N178" s="203"/>
    </row>
    <row r="179" spans="14:14" ht="15.75" customHeight="1" x14ac:dyDescent="0.25">
      <c r="N179" s="203"/>
    </row>
    <row r="180" spans="14:14" ht="15.75" customHeight="1" x14ac:dyDescent="0.25">
      <c r="N180" s="203"/>
    </row>
    <row r="181" spans="14:14" ht="15.75" customHeight="1" x14ac:dyDescent="0.25">
      <c r="N181" s="203"/>
    </row>
    <row r="182" spans="14:14" ht="15.75" customHeight="1" x14ac:dyDescent="0.25">
      <c r="N182" s="203"/>
    </row>
    <row r="183" spans="14:14" ht="15.75" customHeight="1" x14ac:dyDescent="0.25">
      <c r="N183" s="203"/>
    </row>
    <row r="184" spans="14:14" ht="15.75" customHeight="1" x14ac:dyDescent="0.25">
      <c r="N184" s="203"/>
    </row>
    <row r="185" spans="14:14" ht="15.75" customHeight="1" x14ac:dyDescent="0.25">
      <c r="N185" s="203"/>
    </row>
    <row r="186" spans="14:14" ht="15.75" customHeight="1" x14ac:dyDescent="0.25">
      <c r="N186" s="203"/>
    </row>
    <row r="187" spans="14:14" ht="15.75" customHeight="1" x14ac:dyDescent="0.25">
      <c r="N187" s="203"/>
    </row>
    <row r="188" spans="14:14" ht="15.75" customHeight="1" x14ac:dyDescent="0.25">
      <c r="N188" s="203"/>
    </row>
    <row r="189" spans="14:14" ht="15.75" customHeight="1" x14ac:dyDescent="0.25">
      <c r="N189" s="203"/>
    </row>
    <row r="190" spans="14:14" ht="15.75" customHeight="1" x14ac:dyDescent="0.25">
      <c r="N190" s="203"/>
    </row>
    <row r="191" spans="14:14" ht="15.75" customHeight="1" x14ac:dyDescent="0.25">
      <c r="N191" s="203"/>
    </row>
    <row r="192" spans="14:14" ht="15.75" customHeight="1" x14ac:dyDescent="0.25">
      <c r="N192" s="203"/>
    </row>
    <row r="193" spans="14:14" ht="15.75" customHeight="1" x14ac:dyDescent="0.25">
      <c r="N193" s="203"/>
    </row>
    <row r="194" spans="14:14" ht="15.75" customHeight="1" x14ac:dyDescent="0.25">
      <c r="N194" s="203"/>
    </row>
    <row r="195" spans="14:14" ht="15.75" customHeight="1" x14ac:dyDescent="0.25">
      <c r="N195" s="203"/>
    </row>
    <row r="196" spans="14:14" ht="15.75" customHeight="1" x14ac:dyDescent="0.25">
      <c r="N196" s="203"/>
    </row>
    <row r="197" spans="14:14" ht="15.75" customHeight="1" x14ac:dyDescent="0.25">
      <c r="N197" s="203"/>
    </row>
    <row r="198" spans="14:14" ht="15.75" customHeight="1" x14ac:dyDescent="0.25">
      <c r="N198" s="203"/>
    </row>
    <row r="199" spans="14:14" ht="15.75" customHeight="1" x14ac:dyDescent="0.25">
      <c r="N199" s="203"/>
    </row>
    <row r="200" spans="14:14" ht="15.75" customHeight="1" x14ac:dyDescent="0.25">
      <c r="N200" s="203"/>
    </row>
    <row r="201" spans="14:14" ht="15.75" customHeight="1" x14ac:dyDescent="0.25">
      <c r="N201" s="203"/>
    </row>
    <row r="202" spans="14:14" ht="15.75" customHeight="1" x14ac:dyDescent="0.25">
      <c r="N202" s="203"/>
    </row>
    <row r="203" spans="14:14" ht="15.75" customHeight="1" x14ac:dyDescent="0.25">
      <c r="N203" s="203"/>
    </row>
    <row r="204" spans="14:14" ht="15.75" customHeight="1" x14ac:dyDescent="0.25">
      <c r="N204" s="203"/>
    </row>
    <row r="205" spans="14:14" ht="15.75" customHeight="1" x14ac:dyDescent="0.25">
      <c r="N205" s="203"/>
    </row>
    <row r="206" spans="14:14" ht="15.75" customHeight="1" x14ac:dyDescent="0.25">
      <c r="N206" s="203"/>
    </row>
    <row r="207" spans="14:14" ht="15.75" customHeight="1" x14ac:dyDescent="0.25">
      <c r="N207" s="203"/>
    </row>
    <row r="208" spans="14:14" ht="15.75" customHeight="1" x14ac:dyDescent="0.25">
      <c r="N208" s="203"/>
    </row>
    <row r="209" spans="14:14" ht="15.75" customHeight="1" x14ac:dyDescent="0.25">
      <c r="N209" s="203"/>
    </row>
    <row r="210" spans="14:14" ht="15.75" customHeight="1" x14ac:dyDescent="0.25">
      <c r="N210" s="203"/>
    </row>
    <row r="211" spans="14:14" ht="15.75" customHeight="1" x14ac:dyDescent="0.25">
      <c r="N211" s="203"/>
    </row>
    <row r="212" spans="14:14" ht="15.75" customHeight="1" x14ac:dyDescent="0.25">
      <c r="N212" s="203"/>
    </row>
    <row r="213" spans="14:14" ht="15.75" customHeight="1" x14ac:dyDescent="0.25">
      <c r="N213" s="203"/>
    </row>
    <row r="214" spans="14:14" ht="15.75" customHeight="1" x14ac:dyDescent="0.25">
      <c r="N214" s="203"/>
    </row>
    <row r="215" spans="14:14" ht="15.75" customHeight="1" x14ac:dyDescent="0.25">
      <c r="N215" s="203"/>
    </row>
    <row r="216" spans="14:14" ht="15.75" customHeight="1" x14ac:dyDescent="0.25">
      <c r="N216" s="203"/>
    </row>
    <row r="217" spans="14:14" ht="15.75" customHeight="1" x14ac:dyDescent="0.25">
      <c r="N217" s="203"/>
    </row>
    <row r="218" spans="14:14" ht="15.75" customHeight="1" x14ac:dyDescent="0.25">
      <c r="N218" s="203"/>
    </row>
    <row r="219" spans="14:14" ht="15.75" customHeight="1" x14ac:dyDescent="0.25">
      <c r="N219" s="203"/>
    </row>
    <row r="220" spans="14:14" ht="15.75" customHeight="1" x14ac:dyDescent="0.25">
      <c r="N220" s="203"/>
    </row>
    <row r="221" spans="14:14" ht="15.75" customHeight="1" x14ac:dyDescent="0.25">
      <c r="N221" s="203"/>
    </row>
    <row r="222" spans="14:14" ht="15.75" customHeight="1" x14ac:dyDescent="0.25">
      <c r="N222" s="203"/>
    </row>
    <row r="223" spans="14:14" ht="15.75" customHeight="1" x14ac:dyDescent="0.25">
      <c r="N223" s="203"/>
    </row>
    <row r="224" spans="14:14" ht="15.75" customHeight="1" x14ac:dyDescent="0.25">
      <c r="N224" s="203"/>
    </row>
    <row r="225" spans="14:14" ht="15.75" customHeight="1" x14ac:dyDescent="0.25">
      <c r="N225" s="203"/>
    </row>
    <row r="226" spans="14:14" ht="15.75" customHeight="1" x14ac:dyDescent="0.25">
      <c r="N226" s="203"/>
    </row>
    <row r="227" spans="14:14" ht="15.75" customHeight="1" x14ac:dyDescent="0.25">
      <c r="N227" s="203"/>
    </row>
    <row r="228" spans="14:14" ht="15.75" customHeight="1" x14ac:dyDescent="0.25">
      <c r="N228" s="203"/>
    </row>
    <row r="229" spans="14:14" ht="15.75" customHeight="1" x14ac:dyDescent="0.25">
      <c r="N229" s="203"/>
    </row>
    <row r="230" spans="14:14" ht="15.75" customHeight="1" x14ac:dyDescent="0.25">
      <c r="N230" s="203"/>
    </row>
    <row r="231" spans="14:14" ht="15.75" customHeight="1" x14ac:dyDescent="0.25">
      <c r="N231" s="203"/>
    </row>
    <row r="232" spans="14:14" ht="15.75" customHeight="1" x14ac:dyDescent="0.25">
      <c r="N232" s="203"/>
    </row>
    <row r="233" spans="14:14" ht="15.75" customHeight="1" x14ac:dyDescent="0.25">
      <c r="N233" s="203"/>
    </row>
    <row r="234" spans="14:14" ht="15.75" customHeight="1" x14ac:dyDescent="0.25">
      <c r="N234" s="203"/>
    </row>
    <row r="235" spans="14:14" ht="15.75" customHeight="1" x14ac:dyDescent="0.25">
      <c r="N235" s="203"/>
    </row>
    <row r="236" spans="14:14" ht="15.75" customHeight="1" x14ac:dyDescent="0.25">
      <c r="N236" s="203"/>
    </row>
    <row r="237" spans="14:14" ht="15.75" customHeight="1" x14ac:dyDescent="0.25">
      <c r="N237" s="203"/>
    </row>
    <row r="238" spans="14:14" ht="15.75" customHeight="1" x14ac:dyDescent="0.25">
      <c r="N238" s="203"/>
    </row>
    <row r="239" spans="14:14" ht="15.75" customHeight="1" x14ac:dyDescent="0.25">
      <c r="N239" s="203"/>
    </row>
    <row r="240" spans="14:14" ht="15.75" customHeight="1" x14ac:dyDescent="0.25">
      <c r="N240" s="203"/>
    </row>
    <row r="241" spans="14:14" ht="15.75" customHeight="1" x14ac:dyDescent="0.25">
      <c r="N241" s="203"/>
    </row>
    <row r="242" spans="14:14" ht="15.75" customHeight="1" x14ac:dyDescent="0.25">
      <c r="N242" s="203"/>
    </row>
    <row r="243" spans="14:14" ht="15.75" customHeight="1" x14ac:dyDescent="0.25">
      <c r="N243" s="203"/>
    </row>
    <row r="244" spans="14:14" ht="15.75" customHeight="1" x14ac:dyDescent="0.25">
      <c r="N244" s="203"/>
    </row>
    <row r="245" spans="14:14" ht="15.75" customHeight="1" x14ac:dyDescent="0.25">
      <c r="N245" s="203"/>
    </row>
    <row r="246" spans="14:14" ht="15.75" customHeight="1" x14ac:dyDescent="0.25">
      <c r="N246" s="203"/>
    </row>
    <row r="247" spans="14:14" ht="15.75" customHeight="1" x14ac:dyDescent="0.25">
      <c r="N247" s="203"/>
    </row>
    <row r="248" spans="14:14" ht="15.75" customHeight="1" x14ac:dyDescent="0.25">
      <c r="N248" s="203"/>
    </row>
    <row r="249" spans="14:14" ht="15.75" customHeight="1" x14ac:dyDescent="0.25">
      <c r="N249" s="203"/>
    </row>
    <row r="250" spans="14:14" ht="15.75" customHeight="1" x14ac:dyDescent="0.25">
      <c r="N250" s="203"/>
    </row>
    <row r="251" spans="14:14" ht="15.75" customHeight="1" x14ac:dyDescent="0.25">
      <c r="N251" s="203"/>
    </row>
    <row r="252" spans="14:14" ht="15.75" customHeight="1" x14ac:dyDescent="0.25">
      <c r="N252" s="203"/>
    </row>
    <row r="253" spans="14:14" ht="15.75" customHeight="1" x14ac:dyDescent="0.25">
      <c r="N253" s="203"/>
    </row>
    <row r="254" spans="14:14" ht="15.75" customHeight="1" x14ac:dyDescent="0.25">
      <c r="N254" s="203"/>
    </row>
    <row r="255" spans="14:14" ht="15.75" customHeight="1" x14ac:dyDescent="0.25">
      <c r="N255" s="203"/>
    </row>
    <row r="256" spans="14:14" ht="15.75" customHeight="1" x14ac:dyDescent="0.25">
      <c r="N256" s="203"/>
    </row>
    <row r="257" spans="14:14" ht="15.75" customHeight="1" x14ac:dyDescent="0.25">
      <c r="N257" s="203"/>
    </row>
    <row r="258" spans="14:14" ht="15.75" customHeight="1" x14ac:dyDescent="0.25">
      <c r="N258" s="203"/>
    </row>
    <row r="259" spans="14:14" ht="15.75" customHeight="1" x14ac:dyDescent="0.25">
      <c r="N259" s="203"/>
    </row>
    <row r="260" spans="14:14" ht="15.75" customHeight="1" x14ac:dyDescent="0.25">
      <c r="N260" s="203"/>
    </row>
    <row r="261" spans="14:14" ht="15.75" customHeight="1" x14ac:dyDescent="0.25">
      <c r="N261" s="203"/>
    </row>
    <row r="262" spans="14:14" ht="15.75" customHeight="1" x14ac:dyDescent="0.25">
      <c r="N262" s="203"/>
    </row>
    <row r="263" spans="14:14" ht="15.75" customHeight="1" x14ac:dyDescent="0.25">
      <c r="N263" s="203"/>
    </row>
    <row r="264" spans="14:14" ht="15.75" customHeight="1" x14ac:dyDescent="0.25">
      <c r="N264" s="203"/>
    </row>
    <row r="265" spans="14:14" ht="15.75" customHeight="1" x14ac:dyDescent="0.25">
      <c r="N265" s="203"/>
    </row>
    <row r="266" spans="14:14" ht="15.75" customHeight="1" x14ac:dyDescent="0.25">
      <c r="N266" s="203"/>
    </row>
    <row r="267" spans="14:14" ht="15.75" customHeight="1" x14ac:dyDescent="0.25">
      <c r="N267" s="203"/>
    </row>
    <row r="268" spans="14:14" ht="15.75" customHeight="1" x14ac:dyDescent="0.25">
      <c r="N268" s="203"/>
    </row>
    <row r="269" spans="14:14" ht="15.75" customHeight="1" x14ac:dyDescent="0.25">
      <c r="N269" s="203"/>
    </row>
    <row r="270" spans="14:14" ht="15.75" customHeight="1" x14ac:dyDescent="0.25">
      <c r="N270" s="203"/>
    </row>
    <row r="271" spans="14:14" ht="15.75" customHeight="1" x14ac:dyDescent="0.25">
      <c r="N271" s="203"/>
    </row>
    <row r="272" spans="14:14" ht="15.75" customHeight="1" x14ac:dyDescent="0.25">
      <c r="N272" s="203"/>
    </row>
    <row r="273" spans="14:14" ht="15.75" customHeight="1" x14ac:dyDescent="0.25">
      <c r="N273" s="203"/>
    </row>
    <row r="274" spans="14:14" ht="15.75" customHeight="1" x14ac:dyDescent="0.25">
      <c r="N274" s="203"/>
    </row>
    <row r="275" spans="14:14" ht="15.75" customHeight="1" x14ac:dyDescent="0.25">
      <c r="N275" s="203"/>
    </row>
    <row r="276" spans="14:14" ht="15.75" customHeight="1" x14ac:dyDescent="0.25">
      <c r="N276" s="203"/>
    </row>
    <row r="277" spans="14:14" ht="15.75" customHeight="1" x14ac:dyDescent="0.25">
      <c r="N277" s="203"/>
    </row>
    <row r="278" spans="14:14" ht="15.75" customHeight="1" x14ac:dyDescent="0.25">
      <c r="N278" s="203"/>
    </row>
    <row r="279" spans="14:14" ht="15.75" customHeight="1" x14ac:dyDescent="0.25">
      <c r="N279" s="203"/>
    </row>
    <row r="280" spans="14:14" ht="15.75" customHeight="1" x14ac:dyDescent="0.25">
      <c r="N280" s="203"/>
    </row>
    <row r="281" spans="14:14" ht="15.75" customHeight="1" x14ac:dyDescent="0.25">
      <c r="N281" s="203"/>
    </row>
    <row r="282" spans="14:14" ht="15.75" customHeight="1" x14ac:dyDescent="0.25">
      <c r="N282" s="203"/>
    </row>
    <row r="283" spans="14:14" ht="15.75" customHeight="1" x14ac:dyDescent="0.25">
      <c r="N283" s="203"/>
    </row>
    <row r="284" spans="14:14" ht="15.75" customHeight="1" x14ac:dyDescent="0.25">
      <c r="N284" s="203"/>
    </row>
    <row r="285" spans="14:14" ht="15.75" customHeight="1" x14ac:dyDescent="0.25">
      <c r="N285" s="203"/>
    </row>
    <row r="286" spans="14:14" ht="15.75" customHeight="1" x14ac:dyDescent="0.25">
      <c r="N286" s="203"/>
    </row>
    <row r="287" spans="14:14" ht="15.75" customHeight="1" x14ac:dyDescent="0.25">
      <c r="N287" s="203"/>
    </row>
    <row r="288" spans="14:14" ht="15.75" customHeight="1" x14ac:dyDescent="0.25">
      <c r="N288" s="203"/>
    </row>
    <row r="289" spans="14:14" ht="15.75" customHeight="1" x14ac:dyDescent="0.25">
      <c r="N289" s="203"/>
    </row>
    <row r="290" spans="14:14" ht="15.75" customHeight="1" x14ac:dyDescent="0.25">
      <c r="N290" s="203"/>
    </row>
    <row r="291" spans="14:14" ht="15.75" customHeight="1" x14ac:dyDescent="0.25">
      <c r="N291" s="203"/>
    </row>
    <row r="292" spans="14:14" ht="15.75" customHeight="1" x14ac:dyDescent="0.25">
      <c r="N292" s="203"/>
    </row>
    <row r="293" spans="14:14" ht="15.75" customHeight="1" x14ac:dyDescent="0.25">
      <c r="N293" s="203"/>
    </row>
    <row r="294" spans="14:14" ht="15.75" customHeight="1" x14ac:dyDescent="0.25">
      <c r="N294" s="203"/>
    </row>
    <row r="295" spans="14:14" ht="15.75" customHeight="1" x14ac:dyDescent="0.25">
      <c r="N295" s="203"/>
    </row>
    <row r="296" spans="14:14" ht="15.75" customHeight="1" x14ac:dyDescent="0.25">
      <c r="N296" s="203"/>
    </row>
    <row r="297" spans="14:14" ht="15.75" customHeight="1" x14ac:dyDescent="0.25">
      <c r="N297" s="203"/>
    </row>
    <row r="298" spans="14:14" ht="15.75" customHeight="1" x14ac:dyDescent="0.25">
      <c r="N298" s="203"/>
    </row>
    <row r="299" spans="14:14" ht="15.75" customHeight="1" x14ac:dyDescent="0.25">
      <c r="N299" s="203"/>
    </row>
    <row r="300" spans="14:14" ht="15.75" customHeight="1" x14ac:dyDescent="0.25">
      <c r="N300" s="203"/>
    </row>
    <row r="301" spans="14:14" ht="15.75" customHeight="1" x14ac:dyDescent="0.25">
      <c r="N301" s="203"/>
    </row>
    <row r="302" spans="14:14" ht="15.75" customHeight="1" x14ac:dyDescent="0.25">
      <c r="N302" s="203"/>
    </row>
    <row r="303" spans="14:14" ht="15.75" customHeight="1" x14ac:dyDescent="0.25">
      <c r="N303" s="203"/>
    </row>
    <row r="304" spans="14:14" ht="15.75" customHeight="1" x14ac:dyDescent="0.25">
      <c r="N304" s="203"/>
    </row>
    <row r="305" spans="14:14" ht="15.75" customHeight="1" x14ac:dyDescent="0.25">
      <c r="N305" s="203"/>
    </row>
    <row r="306" spans="14:14" ht="15.75" customHeight="1" x14ac:dyDescent="0.25">
      <c r="N306" s="203"/>
    </row>
    <row r="307" spans="14:14" ht="15.75" customHeight="1" x14ac:dyDescent="0.25">
      <c r="N307" s="203"/>
    </row>
    <row r="308" spans="14:14" ht="15.75" customHeight="1" x14ac:dyDescent="0.25">
      <c r="N308" s="203"/>
    </row>
    <row r="309" spans="14:14" ht="15.75" customHeight="1" x14ac:dyDescent="0.25">
      <c r="N309" s="203"/>
    </row>
    <row r="310" spans="14:14" ht="15.75" customHeight="1" x14ac:dyDescent="0.25">
      <c r="N310" s="203"/>
    </row>
    <row r="311" spans="14:14" ht="15.75" customHeight="1" x14ac:dyDescent="0.25">
      <c r="N311" s="203"/>
    </row>
    <row r="312" spans="14:14" ht="15.75" customHeight="1" x14ac:dyDescent="0.25">
      <c r="N312" s="203"/>
    </row>
    <row r="313" spans="14:14" ht="15.75" customHeight="1" x14ac:dyDescent="0.25">
      <c r="N313" s="203"/>
    </row>
    <row r="314" spans="14:14" ht="15.75" customHeight="1" x14ac:dyDescent="0.25">
      <c r="N314" s="203"/>
    </row>
    <row r="315" spans="14:14" ht="15.75" customHeight="1" x14ac:dyDescent="0.25">
      <c r="N315" s="203"/>
    </row>
    <row r="316" spans="14:14" ht="15.75" customHeight="1" x14ac:dyDescent="0.25">
      <c r="N316" s="203"/>
    </row>
    <row r="317" spans="14:14" ht="15.75" customHeight="1" x14ac:dyDescent="0.25">
      <c r="N317" s="203"/>
    </row>
    <row r="318" spans="14:14" ht="15.75" customHeight="1" x14ac:dyDescent="0.25">
      <c r="N318" s="203"/>
    </row>
    <row r="319" spans="14:14" ht="15.75" customHeight="1" x14ac:dyDescent="0.25">
      <c r="N319" s="203"/>
    </row>
    <row r="320" spans="14:14" ht="15.75" customHeight="1" x14ac:dyDescent="0.25">
      <c r="N320" s="203"/>
    </row>
    <row r="321" spans="14:14" ht="15.75" customHeight="1" x14ac:dyDescent="0.25">
      <c r="N321" s="203"/>
    </row>
    <row r="322" spans="14:14" ht="15.75" customHeight="1" x14ac:dyDescent="0.25">
      <c r="N322" s="203"/>
    </row>
    <row r="323" spans="14:14" ht="15.75" customHeight="1" x14ac:dyDescent="0.25">
      <c r="N323" s="203"/>
    </row>
    <row r="324" spans="14:14" ht="15.75" customHeight="1" x14ac:dyDescent="0.25">
      <c r="N324" s="203"/>
    </row>
    <row r="325" spans="14:14" ht="15.75" customHeight="1" x14ac:dyDescent="0.25">
      <c r="N325" s="203"/>
    </row>
    <row r="326" spans="14:14" ht="15.75" customHeight="1" x14ac:dyDescent="0.25">
      <c r="N326" s="203"/>
    </row>
    <row r="327" spans="14:14" ht="15.75" customHeight="1" x14ac:dyDescent="0.25">
      <c r="N327" s="203"/>
    </row>
    <row r="328" spans="14:14" ht="15.75" customHeight="1" x14ac:dyDescent="0.25">
      <c r="N328" s="203"/>
    </row>
    <row r="329" spans="14:14" ht="15.75" customHeight="1" x14ac:dyDescent="0.25">
      <c r="N329" s="203"/>
    </row>
    <row r="330" spans="14:14" ht="15.75" customHeight="1" x14ac:dyDescent="0.25">
      <c r="N330" s="203"/>
    </row>
    <row r="331" spans="14:14" ht="15.75" customHeight="1" x14ac:dyDescent="0.25">
      <c r="N331" s="203"/>
    </row>
    <row r="332" spans="14:14" ht="15.75" customHeight="1" x14ac:dyDescent="0.25">
      <c r="N332" s="203"/>
    </row>
    <row r="333" spans="14:14" ht="15.75" customHeight="1" x14ac:dyDescent="0.25">
      <c r="N333" s="203"/>
    </row>
    <row r="334" spans="14:14" ht="15.75" customHeight="1" x14ac:dyDescent="0.25">
      <c r="N334" s="203"/>
    </row>
    <row r="335" spans="14:14" ht="15.75" customHeight="1" x14ac:dyDescent="0.25">
      <c r="N335" s="203"/>
    </row>
    <row r="336" spans="14:14" ht="15.75" customHeight="1" x14ac:dyDescent="0.25">
      <c r="N336" s="203"/>
    </row>
    <row r="337" spans="14:14" ht="15.75" customHeight="1" x14ac:dyDescent="0.25">
      <c r="N337" s="203"/>
    </row>
    <row r="338" spans="14:14" ht="15.75" customHeight="1" x14ac:dyDescent="0.25">
      <c r="N338" s="203"/>
    </row>
    <row r="339" spans="14:14" ht="15.75" customHeight="1" x14ac:dyDescent="0.25">
      <c r="N339" s="203"/>
    </row>
    <row r="340" spans="14:14" ht="15.75" customHeight="1" x14ac:dyDescent="0.25">
      <c r="N340" s="203"/>
    </row>
    <row r="341" spans="14:14" ht="15.75" customHeight="1" x14ac:dyDescent="0.25">
      <c r="N341" s="203"/>
    </row>
    <row r="342" spans="14:14" ht="15.75" customHeight="1" x14ac:dyDescent="0.25">
      <c r="N342" s="203"/>
    </row>
    <row r="343" spans="14:14" ht="15.75" customHeight="1" x14ac:dyDescent="0.25">
      <c r="N343" s="203"/>
    </row>
    <row r="344" spans="14:14" ht="15.75" customHeight="1" x14ac:dyDescent="0.25">
      <c r="N344" s="203"/>
    </row>
    <row r="345" spans="14:14" ht="15.75" customHeight="1" x14ac:dyDescent="0.25">
      <c r="N345" s="203"/>
    </row>
    <row r="346" spans="14:14" ht="15.75" customHeight="1" x14ac:dyDescent="0.25">
      <c r="N346" s="203"/>
    </row>
    <row r="347" spans="14:14" ht="15.75" customHeight="1" x14ac:dyDescent="0.25">
      <c r="N347" s="203"/>
    </row>
    <row r="348" spans="14:14" ht="15.75" customHeight="1" x14ac:dyDescent="0.25">
      <c r="N348" s="203"/>
    </row>
    <row r="349" spans="14:14" ht="15.75" customHeight="1" x14ac:dyDescent="0.25">
      <c r="N349" s="203"/>
    </row>
    <row r="350" spans="14:14" ht="15.75" customHeight="1" x14ac:dyDescent="0.25">
      <c r="N350" s="203"/>
    </row>
    <row r="351" spans="14:14" ht="15.75" customHeight="1" x14ac:dyDescent="0.25">
      <c r="N351" s="203"/>
    </row>
    <row r="352" spans="14:14" ht="15.75" customHeight="1" x14ac:dyDescent="0.25">
      <c r="N352" s="203"/>
    </row>
    <row r="353" spans="14:14" ht="15.75" customHeight="1" x14ac:dyDescent="0.25">
      <c r="N353" s="203"/>
    </row>
    <row r="354" spans="14:14" ht="15.75" customHeight="1" x14ac:dyDescent="0.25">
      <c r="N354" s="203"/>
    </row>
    <row r="355" spans="14:14" ht="15.75" customHeight="1" x14ac:dyDescent="0.25">
      <c r="N355" s="203"/>
    </row>
    <row r="356" spans="14:14" ht="15.75" customHeight="1" x14ac:dyDescent="0.25">
      <c r="N356" s="203"/>
    </row>
    <row r="357" spans="14:14" ht="15.75" customHeight="1" x14ac:dyDescent="0.25">
      <c r="N357" s="203"/>
    </row>
    <row r="358" spans="14:14" ht="15.75" customHeight="1" x14ac:dyDescent="0.25">
      <c r="N358" s="203"/>
    </row>
    <row r="359" spans="14:14" ht="15.75" customHeight="1" x14ac:dyDescent="0.25">
      <c r="N359" s="203"/>
    </row>
    <row r="360" spans="14:14" ht="15.75" customHeight="1" x14ac:dyDescent="0.25">
      <c r="N360" s="203"/>
    </row>
    <row r="361" spans="14:14" ht="15.75" customHeight="1" x14ac:dyDescent="0.25">
      <c r="N361" s="203"/>
    </row>
    <row r="362" spans="14:14" ht="15.75" customHeight="1" x14ac:dyDescent="0.25">
      <c r="N362" s="203"/>
    </row>
    <row r="363" spans="14:14" ht="15.75" customHeight="1" x14ac:dyDescent="0.25">
      <c r="N363" s="203"/>
    </row>
    <row r="364" spans="14:14" ht="15.75" customHeight="1" x14ac:dyDescent="0.25">
      <c r="N364" s="203"/>
    </row>
    <row r="365" spans="14:14" ht="15.75" customHeight="1" x14ac:dyDescent="0.25">
      <c r="N365" s="203"/>
    </row>
    <row r="366" spans="14:14" ht="15.75" customHeight="1" x14ac:dyDescent="0.25">
      <c r="N366" s="203"/>
    </row>
    <row r="367" spans="14:14" ht="15.75" customHeight="1" x14ac:dyDescent="0.25">
      <c r="N367" s="203"/>
    </row>
    <row r="368" spans="14:14" ht="15.75" customHeight="1" x14ac:dyDescent="0.25">
      <c r="N368" s="203"/>
    </row>
    <row r="369" spans="14:14" ht="15.75" customHeight="1" x14ac:dyDescent="0.25">
      <c r="N369" s="203"/>
    </row>
    <row r="370" spans="14:14" ht="15.75" customHeight="1" x14ac:dyDescent="0.25">
      <c r="N370" s="203"/>
    </row>
    <row r="371" spans="14:14" ht="15.75" customHeight="1" x14ac:dyDescent="0.25">
      <c r="N371" s="203"/>
    </row>
    <row r="372" spans="14:14" ht="15.75" customHeight="1" x14ac:dyDescent="0.25">
      <c r="N372" s="203"/>
    </row>
    <row r="373" spans="14:14" ht="15.75" customHeight="1" x14ac:dyDescent="0.25">
      <c r="N373" s="203"/>
    </row>
    <row r="374" spans="14:14" ht="15.75" customHeight="1" x14ac:dyDescent="0.25">
      <c r="N374" s="203"/>
    </row>
    <row r="375" spans="14:14" ht="15.75" customHeight="1" x14ac:dyDescent="0.25">
      <c r="N375" s="203"/>
    </row>
    <row r="376" spans="14:14" ht="15.75" customHeight="1" x14ac:dyDescent="0.25">
      <c r="N376" s="203"/>
    </row>
    <row r="377" spans="14:14" ht="15.75" customHeight="1" x14ac:dyDescent="0.25">
      <c r="N377" s="203"/>
    </row>
    <row r="378" spans="14:14" ht="15.75" customHeight="1" x14ac:dyDescent="0.25">
      <c r="N378" s="203"/>
    </row>
    <row r="379" spans="14:14" ht="15.75" customHeight="1" x14ac:dyDescent="0.25">
      <c r="N379" s="203"/>
    </row>
    <row r="380" spans="14:14" ht="15.75" customHeight="1" x14ac:dyDescent="0.25">
      <c r="N380" s="203"/>
    </row>
    <row r="381" spans="14:14" ht="15.75" customHeight="1" x14ac:dyDescent="0.25">
      <c r="N381" s="203"/>
    </row>
    <row r="382" spans="14:14" ht="15.75" customHeight="1" x14ac:dyDescent="0.25">
      <c r="N382" s="203"/>
    </row>
    <row r="383" spans="14:14" ht="15.75" customHeight="1" x14ac:dyDescent="0.25">
      <c r="N383" s="203"/>
    </row>
    <row r="384" spans="14:14" ht="15.75" customHeight="1" x14ac:dyDescent="0.25">
      <c r="N384" s="203"/>
    </row>
    <row r="385" spans="14:14" ht="15.75" customHeight="1" x14ac:dyDescent="0.25">
      <c r="N385" s="203"/>
    </row>
    <row r="386" spans="14:14" ht="15.75" customHeight="1" x14ac:dyDescent="0.25">
      <c r="N386" s="203"/>
    </row>
    <row r="387" spans="14:14" ht="15.75" customHeight="1" x14ac:dyDescent="0.25">
      <c r="N387" s="203"/>
    </row>
    <row r="388" spans="14:14" ht="15.75" customHeight="1" x14ac:dyDescent="0.25">
      <c r="N388" s="203"/>
    </row>
    <row r="389" spans="14:14" ht="15.75" customHeight="1" x14ac:dyDescent="0.25">
      <c r="N389" s="203"/>
    </row>
    <row r="390" spans="14:14" ht="15.75" customHeight="1" x14ac:dyDescent="0.25">
      <c r="N390" s="203"/>
    </row>
    <row r="391" spans="14:14" ht="15.75" customHeight="1" x14ac:dyDescent="0.25">
      <c r="N391" s="203"/>
    </row>
    <row r="392" spans="14:14" ht="15.75" customHeight="1" x14ac:dyDescent="0.25">
      <c r="N392" s="203"/>
    </row>
    <row r="393" spans="14:14" ht="15.75" customHeight="1" x14ac:dyDescent="0.25">
      <c r="N393" s="203"/>
    </row>
    <row r="394" spans="14:14" ht="15.75" customHeight="1" x14ac:dyDescent="0.25">
      <c r="N394" s="203"/>
    </row>
    <row r="395" spans="14:14" ht="15.75" customHeight="1" x14ac:dyDescent="0.25">
      <c r="N395" s="203"/>
    </row>
    <row r="396" spans="14:14" ht="15.75" customHeight="1" x14ac:dyDescent="0.25">
      <c r="N396" s="203"/>
    </row>
    <row r="397" spans="14:14" ht="15.75" customHeight="1" x14ac:dyDescent="0.25">
      <c r="N397" s="203"/>
    </row>
    <row r="398" spans="14:14" ht="15.75" customHeight="1" x14ac:dyDescent="0.25">
      <c r="N398" s="203"/>
    </row>
    <row r="399" spans="14:14" ht="15.75" customHeight="1" x14ac:dyDescent="0.25">
      <c r="N399" s="203"/>
    </row>
    <row r="400" spans="14:14" ht="15.75" customHeight="1" x14ac:dyDescent="0.25">
      <c r="N400" s="203"/>
    </row>
    <row r="401" spans="14:14" ht="15.75" customHeight="1" x14ac:dyDescent="0.25">
      <c r="N401" s="203"/>
    </row>
    <row r="402" spans="14:14" ht="15.75" customHeight="1" x14ac:dyDescent="0.25">
      <c r="N402" s="203"/>
    </row>
    <row r="403" spans="14:14" ht="15.75" customHeight="1" x14ac:dyDescent="0.25">
      <c r="N403" s="203"/>
    </row>
    <row r="404" spans="14:14" ht="15.75" customHeight="1" x14ac:dyDescent="0.25">
      <c r="N404" s="203"/>
    </row>
    <row r="405" spans="14:14" ht="15.75" customHeight="1" x14ac:dyDescent="0.25">
      <c r="N405" s="203"/>
    </row>
    <row r="406" spans="14:14" ht="15.75" customHeight="1" x14ac:dyDescent="0.25">
      <c r="N406" s="203"/>
    </row>
    <row r="407" spans="14:14" ht="15.75" customHeight="1" x14ac:dyDescent="0.25">
      <c r="N407" s="203"/>
    </row>
    <row r="408" spans="14:14" ht="15.75" customHeight="1" x14ac:dyDescent="0.25">
      <c r="N408" s="203"/>
    </row>
    <row r="409" spans="14:14" ht="15.75" customHeight="1" x14ac:dyDescent="0.25">
      <c r="N409" s="203"/>
    </row>
    <row r="410" spans="14:14" ht="15.75" customHeight="1" x14ac:dyDescent="0.25">
      <c r="N410" s="203"/>
    </row>
    <row r="411" spans="14:14" ht="15.75" customHeight="1" x14ac:dyDescent="0.25">
      <c r="N411" s="203"/>
    </row>
    <row r="412" spans="14:14" ht="15.75" customHeight="1" x14ac:dyDescent="0.25">
      <c r="N412" s="203"/>
    </row>
    <row r="413" spans="14:14" ht="15.75" customHeight="1" x14ac:dyDescent="0.25">
      <c r="N413" s="203"/>
    </row>
    <row r="414" spans="14:14" ht="15.75" customHeight="1" x14ac:dyDescent="0.25">
      <c r="N414" s="203"/>
    </row>
    <row r="415" spans="14:14" ht="15.75" customHeight="1" x14ac:dyDescent="0.25">
      <c r="N415" s="203"/>
    </row>
    <row r="416" spans="14:14" ht="15.75" customHeight="1" x14ac:dyDescent="0.25">
      <c r="N416" s="203"/>
    </row>
    <row r="417" spans="14:14" ht="15.75" customHeight="1" x14ac:dyDescent="0.25">
      <c r="N417" s="203"/>
    </row>
    <row r="418" spans="14:14" ht="15.75" customHeight="1" x14ac:dyDescent="0.25">
      <c r="N418" s="203"/>
    </row>
    <row r="419" spans="14:14" ht="15.75" customHeight="1" x14ac:dyDescent="0.25">
      <c r="N419" s="203"/>
    </row>
    <row r="420" spans="14:14" ht="15.75" customHeight="1" x14ac:dyDescent="0.25">
      <c r="N420" s="203"/>
    </row>
    <row r="421" spans="14:14" ht="15.75" customHeight="1" x14ac:dyDescent="0.25">
      <c r="N421" s="203"/>
    </row>
    <row r="422" spans="14:14" ht="15.75" customHeight="1" x14ac:dyDescent="0.25">
      <c r="N422" s="203"/>
    </row>
    <row r="423" spans="14:14" ht="15.75" customHeight="1" x14ac:dyDescent="0.25">
      <c r="N423" s="203"/>
    </row>
    <row r="424" spans="14:14" ht="15.75" customHeight="1" x14ac:dyDescent="0.25">
      <c r="N424" s="203"/>
    </row>
    <row r="425" spans="14:14" ht="15.75" customHeight="1" x14ac:dyDescent="0.25">
      <c r="N425" s="203"/>
    </row>
    <row r="426" spans="14:14" ht="15.75" customHeight="1" x14ac:dyDescent="0.25">
      <c r="N426" s="203"/>
    </row>
    <row r="427" spans="14:14" ht="15.75" customHeight="1" x14ac:dyDescent="0.25">
      <c r="N427" s="203"/>
    </row>
    <row r="428" spans="14:14" ht="15.75" customHeight="1" x14ac:dyDescent="0.25">
      <c r="N428" s="203"/>
    </row>
    <row r="429" spans="14:14" ht="15.75" customHeight="1" x14ac:dyDescent="0.25">
      <c r="N429" s="203"/>
    </row>
    <row r="430" spans="14:14" ht="15.75" customHeight="1" x14ac:dyDescent="0.25">
      <c r="N430" s="203"/>
    </row>
    <row r="431" spans="14:14" ht="15.75" customHeight="1" x14ac:dyDescent="0.25">
      <c r="N431" s="203"/>
    </row>
    <row r="432" spans="14:14" ht="15.75" customHeight="1" x14ac:dyDescent="0.25">
      <c r="N432" s="203"/>
    </row>
    <row r="433" spans="14:14" ht="15.75" customHeight="1" x14ac:dyDescent="0.25">
      <c r="N433" s="203"/>
    </row>
    <row r="434" spans="14:14" ht="15.75" customHeight="1" x14ac:dyDescent="0.25">
      <c r="N434" s="203"/>
    </row>
    <row r="435" spans="14:14" ht="15.75" customHeight="1" x14ac:dyDescent="0.25">
      <c r="N435" s="203"/>
    </row>
    <row r="436" spans="14:14" ht="15.75" customHeight="1" x14ac:dyDescent="0.25">
      <c r="N436" s="203"/>
    </row>
    <row r="437" spans="14:14" ht="15.75" customHeight="1" x14ac:dyDescent="0.25">
      <c r="N437" s="203"/>
    </row>
    <row r="438" spans="14:14" ht="15.75" customHeight="1" x14ac:dyDescent="0.25">
      <c r="N438" s="203"/>
    </row>
    <row r="439" spans="14:14" ht="15.75" customHeight="1" x14ac:dyDescent="0.25">
      <c r="N439" s="203"/>
    </row>
    <row r="440" spans="14:14" ht="15.75" customHeight="1" x14ac:dyDescent="0.25">
      <c r="N440" s="203"/>
    </row>
    <row r="441" spans="14:14" ht="15.75" customHeight="1" x14ac:dyDescent="0.25">
      <c r="N441" s="203"/>
    </row>
    <row r="442" spans="14:14" ht="15.75" customHeight="1" x14ac:dyDescent="0.25">
      <c r="N442" s="203"/>
    </row>
    <row r="443" spans="14:14" ht="15.75" customHeight="1" x14ac:dyDescent="0.25">
      <c r="N443" s="203"/>
    </row>
    <row r="444" spans="14:14" ht="15.75" customHeight="1" x14ac:dyDescent="0.25">
      <c r="N444" s="203"/>
    </row>
    <row r="445" spans="14:14" ht="15.75" customHeight="1" x14ac:dyDescent="0.25">
      <c r="N445" s="203"/>
    </row>
    <row r="446" spans="14:14" ht="15.75" customHeight="1" x14ac:dyDescent="0.25">
      <c r="N446" s="203"/>
    </row>
    <row r="447" spans="14:14" ht="15.75" customHeight="1" x14ac:dyDescent="0.25">
      <c r="N447" s="203"/>
    </row>
    <row r="448" spans="14:14" ht="15.75" customHeight="1" x14ac:dyDescent="0.25">
      <c r="N448" s="203"/>
    </row>
    <row r="449" spans="14:14" ht="15.75" customHeight="1" x14ac:dyDescent="0.25">
      <c r="N449" s="203"/>
    </row>
    <row r="450" spans="14:14" ht="15.75" customHeight="1" x14ac:dyDescent="0.25">
      <c r="N450" s="203"/>
    </row>
    <row r="451" spans="14:14" ht="15.75" customHeight="1" x14ac:dyDescent="0.25">
      <c r="N451" s="203"/>
    </row>
    <row r="452" spans="14:14" ht="15.75" customHeight="1" x14ac:dyDescent="0.25">
      <c r="N452" s="203"/>
    </row>
    <row r="453" spans="14:14" ht="15.75" customHeight="1" x14ac:dyDescent="0.25">
      <c r="N453" s="203"/>
    </row>
    <row r="454" spans="14:14" ht="15.75" customHeight="1" x14ac:dyDescent="0.25">
      <c r="N454" s="203"/>
    </row>
    <row r="455" spans="14:14" ht="15.75" customHeight="1" x14ac:dyDescent="0.25">
      <c r="N455" s="203"/>
    </row>
    <row r="456" spans="14:14" ht="15.75" customHeight="1" x14ac:dyDescent="0.25">
      <c r="N456" s="203"/>
    </row>
    <row r="457" spans="14:14" ht="15.75" customHeight="1" x14ac:dyDescent="0.25">
      <c r="N457" s="203"/>
    </row>
    <row r="458" spans="14:14" ht="15.75" customHeight="1" x14ac:dyDescent="0.25">
      <c r="N458" s="203"/>
    </row>
    <row r="459" spans="14:14" ht="15.75" customHeight="1" x14ac:dyDescent="0.25">
      <c r="N459" s="203"/>
    </row>
    <row r="460" spans="14:14" ht="15.75" customHeight="1" x14ac:dyDescent="0.25">
      <c r="N460" s="203"/>
    </row>
    <row r="461" spans="14:14" ht="15.75" customHeight="1" x14ac:dyDescent="0.25">
      <c r="N461" s="203"/>
    </row>
    <row r="462" spans="14:14" ht="15.75" customHeight="1" x14ac:dyDescent="0.25">
      <c r="N462" s="203"/>
    </row>
    <row r="463" spans="14:14" ht="15.75" customHeight="1" x14ac:dyDescent="0.25">
      <c r="N463" s="203"/>
    </row>
    <row r="464" spans="14:14" ht="15.75" customHeight="1" x14ac:dyDescent="0.25">
      <c r="N464" s="203"/>
    </row>
    <row r="465" spans="14:14" ht="15.75" customHeight="1" x14ac:dyDescent="0.25">
      <c r="N465" s="203"/>
    </row>
    <row r="466" spans="14:14" ht="15.75" customHeight="1" x14ac:dyDescent="0.25">
      <c r="N466" s="203"/>
    </row>
    <row r="467" spans="14:14" ht="15.75" customHeight="1" x14ac:dyDescent="0.25">
      <c r="N467" s="203"/>
    </row>
    <row r="468" spans="14:14" ht="15.75" customHeight="1" x14ac:dyDescent="0.25">
      <c r="N468" s="203"/>
    </row>
    <row r="469" spans="14:14" ht="15.75" customHeight="1" x14ac:dyDescent="0.25">
      <c r="N469" s="203"/>
    </row>
    <row r="470" spans="14:14" ht="15.75" customHeight="1" x14ac:dyDescent="0.25">
      <c r="N470" s="203"/>
    </row>
    <row r="471" spans="14:14" ht="15.75" customHeight="1" x14ac:dyDescent="0.25">
      <c r="N471" s="203"/>
    </row>
    <row r="472" spans="14:14" ht="15.75" customHeight="1" x14ac:dyDescent="0.25">
      <c r="N472" s="203"/>
    </row>
    <row r="473" spans="14:14" ht="15.75" customHeight="1" x14ac:dyDescent="0.25">
      <c r="N473" s="203"/>
    </row>
    <row r="474" spans="14:14" ht="15.75" customHeight="1" x14ac:dyDescent="0.25">
      <c r="N474" s="203"/>
    </row>
    <row r="475" spans="14:14" ht="15.75" customHeight="1" x14ac:dyDescent="0.25">
      <c r="N475" s="203"/>
    </row>
    <row r="476" spans="14:14" ht="15.75" customHeight="1" x14ac:dyDescent="0.25">
      <c r="N476" s="203"/>
    </row>
    <row r="477" spans="14:14" ht="15.75" customHeight="1" x14ac:dyDescent="0.25">
      <c r="N477" s="203"/>
    </row>
    <row r="478" spans="14:14" ht="15.75" customHeight="1" x14ac:dyDescent="0.25">
      <c r="N478" s="203"/>
    </row>
    <row r="479" spans="14:14" ht="15.75" customHeight="1" x14ac:dyDescent="0.25">
      <c r="N479" s="203"/>
    </row>
    <row r="480" spans="14:14" ht="15.75" customHeight="1" x14ac:dyDescent="0.25">
      <c r="N480" s="203"/>
    </row>
    <row r="481" spans="14:14" ht="15.75" customHeight="1" x14ac:dyDescent="0.25">
      <c r="N481" s="203"/>
    </row>
    <row r="482" spans="14:14" ht="15.75" customHeight="1" x14ac:dyDescent="0.25">
      <c r="N482" s="203"/>
    </row>
    <row r="483" spans="14:14" ht="15.75" customHeight="1" x14ac:dyDescent="0.25">
      <c r="N483" s="203"/>
    </row>
    <row r="484" spans="14:14" ht="15.75" customHeight="1" x14ac:dyDescent="0.25">
      <c r="N484" s="203"/>
    </row>
    <row r="485" spans="14:14" ht="15.75" customHeight="1" x14ac:dyDescent="0.25">
      <c r="N485" s="203"/>
    </row>
    <row r="486" spans="14:14" ht="15.75" customHeight="1" x14ac:dyDescent="0.25">
      <c r="N486" s="203"/>
    </row>
    <row r="487" spans="14:14" ht="15.75" customHeight="1" x14ac:dyDescent="0.25">
      <c r="N487" s="203"/>
    </row>
    <row r="488" spans="14:14" ht="15.75" customHeight="1" x14ac:dyDescent="0.25">
      <c r="N488" s="203"/>
    </row>
    <row r="489" spans="14:14" ht="15.75" customHeight="1" x14ac:dyDescent="0.25">
      <c r="N489" s="203"/>
    </row>
    <row r="490" spans="14:14" ht="15.75" customHeight="1" x14ac:dyDescent="0.25">
      <c r="N490" s="203"/>
    </row>
    <row r="491" spans="14:14" ht="15.75" customHeight="1" x14ac:dyDescent="0.25">
      <c r="N491" s="203"/>
    </row>
    <row r="492" spans="14:14" ht="15.75" customHeight="1" x14ac:dyDescent="0.25">
      <c r="N492" s="203"/>
    </row>
    <row r="493" spans="14:14" ht="15.75" customHeight="1" x14ac:dyDescent="0.25">
      <c r="N493" s="203"/>
    </row>
    <row r="494" spans="14:14" ht="15.75" customHeight="1" x14ac:dyDescent="0.25">
      <c r="N494" s="203"/>
    </row>
    <row r="495" spans="14:14" ht="15.75" customHeight="1" x14ac:dyDescent="0.25">
      <c r="N495" s="203"/>
    </row>
    <row r="496" spans="14:14" ht="15.75" customHeight="1" x14ac:dyDescent="0.25">
      <c r="N496" s="203"/>
    </row>
    <row r="497" spans="14:14" ht="15.75" customHeight="1" x14ac:dyDescent="0.25">
      <c r="N497" s="203"/>
    </row>
    <row r="498" spans="14:14" ht="15.75" customHeight="1" x14ac:dyDescent="0.25">
      <c r="N498" s="203"/>
    </row>
    <row r="499" spans="14:14" ht="15.75" customHeight="1" x14ac:dyDescent="0.25">
      <c r="N499" s="203"/>
    </row>
    <row r="500" spans="14:14" ht="15.75" customHeight="1" x14ac:dyDescent="0.25">
      <c r="N500" s="203"/>
    </row>
    <row r="501" spans="14:14" ht="15.75" customHeight="1" x14ac:dyDescent="0.25">
      <c r="N501" s="203"/>
    </row>
    <row r="502" spans="14:14" ht="15.75" customHeight="1" x14ac:dyDescent="0.25">
      <c r="N502" s="203"/>
    </row>
    <row r="503" spans="14:14" ht="15.75" customHeight="1" x14ac:dyDescent="0.25">
      <c r="N503" s="203"/>
    </row>
    <row r="504" spans="14:14" ht="15.75" customHeight="1" x14ac:dyDescent="0.25">
      <c r="N504" s="203"/>
    </row>
    <row r="505" spans="14:14" ht="15.75" customHeight="1" x14ac:dyDescent="0.25">
      <c r="N505" s="203"/>
    </row>
    <row r="506" spans="14:14" ht="15.75" customHeight="1" x14ac:dyDescent="0.25">
      <c r="N506" s="203"/>
    </row>
    <row r="507" spans="14:14" ht="15.75" customHeight="1" x14ac:dyDescent="0.25">
      <c r="N507" s="203"/>
    </row>
    <row r="508" spans="14:14" ht="15.75" customHeight="1" x14ac:dyDescent="0.25">
      <c r="N508" s="203"/>
    </row>
    <row r="509" spans="14:14" ht="15.75" customHeight="1" x14ac:dyDescent="0.25">
      <c r="N509" s="203"/>
    </row>
    <row r="510" spans="14:14" ht="15.75" customHeight="1" x14ac:dyDescent="0.25">
      <c r="N510" s="203"/>
    </row>
    <row r="511" spans="14:14" ht="15.75" customHeight="1" x14ac:dyDescent="0.25">
      <c r="N511" s="203"/>
    </row>
    <row r="512" spans="14:14" ht="15.75" customHeight="1" x14ac:dyDescent="0.25">
      <c r="N512" s="203"/>
    </row>
    <row r="513" spans="14:14" ht="15.75" customHeight="1" x14ac:dyDescent="0.25">
      <c r="N513" s="203"/>
    </row>
    <row r="514" spans="14:14" ht="15.75" customHeight="1" x14ac:dyDescent="0.25">
      <c r="N514" s="203"/>
    </row>
    <row r="515" spans="14:14" ht="15.75" customHeight="1" x14ac:dyDescent="0.25">
      <c r="N515" s="203"/>
    </row>
    <row r="516" spans="14:14" ht="15.75" customHeight="1" x14ac:dyDescent="0.25">
      <c r="N516" s="203"/>
    </row>
    <row r="517" spans="14:14" ht="15.75" customHeight="1" x14ac:dyDescent="0.25">
      <c r="N517" s="203"/>
    </row>
    <row r="518" spans="14:14" ht="15.75" customHeight="1" x14ac:dyDescent="0.25">
      <c r="N518" s="203"/>
    </row>
    <row r="519" spans="14:14" ht="15.75" customHeight="1" x14ac:dyDescent="0.25">
      <c r="N519" s="203"/>
    </row>
    <row r="520" spans="14:14" ht="15.75" customHeight="1" x14ac:dyDescent="0.25">
      <c r="N520" s="203"/>
    </row>
    <row r="521" spans="14:14" ht="15.75" customHeight="1" x14ac:dyDescent="0.25">
      <c r="N521" s="203"/>
    </row>
    <row r="522" spans="14:14" ht="15.75" customHeight="1" x14ac:dyDescent="0.25">
      <c r="N522" s="203"/>
    </row>
    <row r="523" spans="14:14" ht="15.75" customHeight="1" x14ac:dyDescent="0.25">
      <c r="N523" s="203"/>
    </row>
    <row r="524" spans="14:14" ht="15.75" customHeight="1" x14ac:dyDescent="0.25">
      <c r="N524" s="203"/>
    </row>
    <row r="525" spans="14:14" ht="15.75" customHeight="1" x14ac:dyDescent="0.25">
      <c r="N525" s="203"/>
    </row>
    <row r="526" spans="14:14" ht="15.75" customHeight="1" x14ac:dyDescent="0.25">
      <c r="N526" s="203"/>
    </row>
    <row r="527" spans="14:14" ht="15.75" customHeight="1" x14ac:dyDescent="0.25">
      <c r="N527" s="203"/>
    </row>
    <row r="528" spans="14:14" ht="15.75" customHeight="1" x14ac:dyDescent="0.25">
      <c r="N528" s="203"/>
    </row>
    <row r="529" spans="14:14" ht="15.75" customHeight="1" x14ac:dyDescent="0.25">
      <c r="N529" s="203"/>
    </row>
    <row r="530" spans="14:14" ht="15.75" customHeight="1" x14ac:dyDescent="0.25">
      <c r="N530" s="203"/>
    </row>
    <row r="531" spans="14:14" ht="15.75" customHeight="1" x14ac:dyDescent="0.25">
      <c r="N531" s="203"/>
    </row>
    <row r="532" spans="14:14" ht="15.75" customHeight="1" x14ac:dyDescent="0.25">
      <c r="N532" s="203"/>
    </row>
    <row r="533" spans="14:14" ht="15.75" customHeight="1" x14ac:dyDescent="0.25">
      <c r="N533" s="203"/>
    </row>
    <row r="534" spans="14:14" ht="15.75" customHeight="1" x14ac:dyDescent="0.25">
      <c r="N534" s="203"/>
    </row>
    <row r="535" spans="14:14" ht="15.75" customHeight="1" x14ac:dyDescent="0.25">
      <c r="N535" s="203"/>
    </row>
    <row r="536" spans="14:14" ht="15.75" customHeight="1" x14ac:dyDescent="0.25">
      <c r="N536" s="203"/>
    </row>
    <row r="537" spans="14:14" ht="15.75" customHeight="1" x14ac:dyDescent="0.25">
      <c r="N537" s="203"/>
    </row>
    <row r="538" spans="14:14" ht="15.75" customHeight="1" x14ac:dyDescent="0.25">
      <c r="N538" s="203"/>
    </row>
    <row r="539" spans="14:14" ht="15.75" customHeight="1" x14ac:dyDescent="0.25">
      <c r="N539" s="203"/>
    </row>
    <row r="540" spans="14:14" ht="15.75" customHeight="1" x14ac:dyDescent="0.25">
      <c r="N540" s="203"/>
    </row>
    <row r="541" spans="14:14" ht="15.75" customHeight="1" x14ac:dyDescent="0.25">
      <c r="N541" s="203"/>
    </row>
    <row r="542" spans="14:14" ht="15.75" customHeight="1" x14ac:dyDescent="0.25">
      <c r="N542" s="203"/>
    </row>
    <row r="543" spans="14:14" ht="15.75" customHeight="1" x14ac:dyDescent="0.25">
      <c r="N543" s="203"/>
    </row>
    <row r="544" spans="14:14" ht="15.75" customHeight="1" x14ac:dyDescent="0.25">
      <c r="N544" s="203"/>
    </row>
    <row r="545" spans="14:14" ht="15.75" customHeight="1" x14ac:dyDescent="0.25">
      <c r="N545" s="203"/>
    </row>
    <row r="546" spans="14:14" ht="15.75" customHeight="1" x14ac:dyDescent="0.25">
      <c r="N546" s="203"/>
    </row>
    <row r="547" spans="14:14" ht="15.75" customHeight="1" x14ac:dyDescent="0.25">
      <c r="N547" s="203"/>
    </row>
    <row r="548" spans="14:14" ht="15.75" customHeight="1" x14ac:dyDescent="0.25">
      <c r="N548" s="203"/>
    </row>
    <row r="549" spans="14:14" ht="15.75" customHeight="1" x14ac:dyDescent="0.25">
      <c r="N549" s="203"/>
    </row>
    <row r="550" spans="14:14" ht="15.75" customHeight="1" x14ac:dyDescent="0.25">
      <c r="N550" s="203"/>
    </row>
    <row r="551" spans="14:14" ht="15.75" customHeight="1" x14ac:dyDescent="0.25">
      <c r="N551" s="203"/>
    </row>
    <row r="552" spans="14:14" ht="15.75" customHeight="1" x14ac:dyDescent="0.25">
      <c r="N552" s="203"/>
    </row>
    <row r="553" spans="14:14" ht="15.75" customHeight="1" x14ac:dyDescent="0.25">
      <c r="N553" s="203"/>
    </row>
    <row r="554" spans="14:14" ht="15.75" customHeight="1" x14ac:dyDescent="0.25">
      <c r="N554" s="203"/>
    </row>
    <row r="555" spans="14:14" ht="15.75" customHeight="1" x14ac:dyDescent="0.25">
      <c r="N555" s="203"/>
    </row>
    <row r="556" spans="14:14" ht="15.75" customHeight="1" x14ac:dyDescent="0.25">
      <c r="N556" s="203"/>
    </row>
    <row r="557" spans="14:14" ht="15.75" customHeight="1" x14ac:dyDescent="0.25">
      <c r="N557" s="203"/>
    </row>
    <row r="558" spans="14:14" ht="15.75" customHeight="1" x14ac:dyDescent="0.25">
      <c r="N558" s="203"/>
    </row>
    <row r="559" spans="14:14" ht="15.75" customHeight="1" x14ac:dyDescent="0.25">
      <c r="N559" s="203"/>
    </row>
    <row r="560" spans="14:14" ht="15.75" customHeight="1" x14ac:dyDescent="0.25">
      <c r="N560" s="203"/>
    </row>
    <row r="561" spans="14:14" ht="15.75" customHeight="1" x14ac:dyDescent="0.25">
      <c r="N561" s="203"/>
    </row>
    <row r="562" spans="14:14" ht="15.75" customHeight="1" x14ac:dyDescent="0.25">
      <c r="N562" s="203"/>
    </row>
    <row r="563" spans="14:14" ht="15.75" customHeight="1" x14ac:dyDescent="0.25">
      <c r="N563" s="203"/>
    </row>
    <row r="564" spans="14:14" ht="15.75" customHeight="1" x14ac:dyDescent="0.25">
      <c r="N564" s="203"/>
    </row>
    <row r="565" spans="14:14" ht="15.75" customHeight="1" x14ac:dyDescent="0.25">
      <c r="N565" s="203"/>
    </row>
    <row r="566" spans="14:14" ht="15.75" customHeight="1" x14ac:dyDescent="0.25">
      <c r="N566" s="203"/>
    </row>
    <row r="567" spans="14:14" ht="15.75" customHeight="1" x14ac:dyDescent="0.25">
      <c r="N567" s="203"/>
    </row>
    <row r="568" spans="14:14" ht="15.75" customHeight="1" x14ac:dyDescent="0.25">
      <c r="N568" s="203"/>
    </row>
    <row r="569" spans="14:14" ht="15.75" customHeight="1" x14ac:dyDescent="0.25">
      <c r="N569" s="203"/>
    </row>
    <row r="570" spans="14:14" ht="15.75" customHeight="1" x14ac:dyDescent="0.25">
      <c r="N570" s="203"/>
    </row>
    <row r="571" spans="14:14" ht="15.75" customHeight="1" x14ac:dyDescent="0.25">
      <c r="N571" s="203"/>
    </row>
    <row r="572" spans="14:14" ht="15.75" customHeight="1" x14ac:dyDescent="0.25">
      <c r="N572" s="203"/>
    </row>
    <row r="573" spans="14:14" ht="15.75" customHeight="1" x14ac:dyDescent="0.25">
      <c r="N573" s="203"/>
    </row>
    <row r="574" spans="14:14" ht="15.75" customHeight="1" x14ac:dyDescent="0.25">
      <c r="N574" s="203"/>
    </row>
    <row r="575" spans="14:14" ht="15.75" customHeight="1" x14ac:dyDescent="0.25">
      <c r="N575" s="203"/>
    </row>
    <row r="576" spans="14:14" ht="15.75" customHeight="1" x14ac:dyDescent="0.25">
      <c r="N576" s="203"/>
    </row>
    <row r="577" spans="14:14" ht="15.75" customHeight="1" x14ac:dyDescent="0.25">
      <c r="N577" s="203"/>
    </row>
    <row r="578" spans="14:14" ht="15.75" customHeight="1" x14ac:dyDescent="0.25">
      <c r="N578" s="203"/>
    </row>
    <row r="579" spans="14:14" ht="15.75" customHeight="1" x14ac:dyDescent="0.25">
      <c r="N579" s="203"/>
    </row>
    <row r="580" spans="14:14" ht="15.75" customHeight="1" x14ac:dyDescent="0.25">
      <c r="N580" s="203"/>
    </row>
    <row r="581" spans="14:14" ht="15.75" customHeight="1" x14ac:dyDescent="0.25">
      <c r="N581" s="203"/>
    </row>
    <row r="582" spans="14:14" ht="15.75" customHeight="1" x14ac:dyDescent="0.25">
      <c r="N582" s="203"/>
    </row>
    <row r="583" spans="14:14" ht="15.75" customHeight="1" x14ac:dyDescent="0.25">
      <c r="N583" s="203"/>
    </row>
    <row r="584" spans="14:14" ht="15.75" customHeight="1" x14ac:dyDescent="0.25">
      <c r="N584" s="203"/>
    </row>
    <row r="585" spans="14:14" ht="15.75" customHeight="1" x14ac:dyDescent="0.25">
      <c r="N585" s="203"/>
    </row>
    <row r="586" spans="14:14" ht="15.75" customHeight="1" x14ac:dyDescent="0.25">
      <c r="N586" s="203"/>
    </row>
    <row r="587" spans="14:14" ht="15.75" customHeight="1" x14ac:dyDescent="0.25">
      <c r="N587" s="203"/>
    </row>
    <row r="588" spans="14:14" ht="15.75" customHeight="1" x14ac:dyDescent="0.25">
      <c r="N588" s="203"/>
    </row>
    <row r="589" spans="14:14" ht="15.75" customHeight="1" x14ac:dyDescent="0.25">
      <c r="N589" s="203"/>
    </row>
    <row r="590" spans="14:14" ht="15.75" customHeight="1" x14ac:dyDescent="0.25">
      <c r="N590" s="203"/>
    </row>
    <row r="591" spans="14:14" ht="15.75" customHeight="1" x14ac:dyDescent="0.25">
      <c r="N591" s="203"/>
    </row>
    <row r="592" spans="14:14" ht="15.75" customHeight="1" x14ac:dyDescent="0.25">
      <c r="N592" s="203"/>
    </row>
    <row r="593" spans="14:14" ht="15.75" customHeight="1" x14ac:dyDescent="0.25">
      <c r="N593" s="203"/>
    </row>
    <row r="594" spans="14:14" ht="15.75" customHeight="1" x14ac:dyDescent="0.25">
      <c r="N594" s="203"/>
    </row>
    <row r="595" spans="14:14" ht="15.75" customHeight="1" x14ac:dyDescent="0.25">
      <c r="N595" s="203"/>
    </row>
    <row r="596" spans="14:14" ht="15.75" customHeight="1" x14ac:dyDescent="0.25">
      <c r="N596" s="203"/>
    </row>
    <row r="597" spans="14:14" ht="15.75" customHeight="1" x14ac:dyDescent="0.25">
      <c r="N597" s="203"/>
    </row>
    <row r="598" spans="14:14" ht="15.75" customHeight="1" x14ac:dyDescent="0.25">
      <c r="N598" s="203"/>
    </row>
    <row r="599" spans="14:14" ht="15.75" customHeight="1" x14ac:dyDescent="0.25">
      <c r="N599" s="203"/>
    </row>
    <row r="600" spans="14:14" ht="15.75" customHeight="1" x14ac:dyDescent="0.25">
      <c r="N600" s="203"/>
    </row>
    <row r="601" spans="14:14" ht="15.75" customHeight="1" x14ac:dyDescent="0.25">
      <c r="N601" s="203"/>
    </row>
    <row r="602" spans="14:14" ht="15.75" customHeight="1" x14ac:dyDescent="0.25">
      <c r="N602" s="203"/>
    </row>
    <row r="603" spans="14:14" ht="15.75" customHeight="1" x14ac:dyDescent="0.25">
      <c r="N603" s="203"/>
    </row>
    <row r="604" spans="14:14" ht="15.75" customHeight="1" x14ac:dyDescent="0.25">
      <c r="N604" s="203"/>
    </row>
    <row r="605" spans="14:14" ht="15.75" customHeight="1" x14ac:dyDescent="0.25">
      <c r="N605" s="203"/>
    </row>
    <row r="606" spans="14:14" ht="15.75" customHeight="1" x14ac:dyDescent="0.25">
      <c r="N606" s="203"/>
    </row>
    <row r="607" spans="14:14" ht="15.75" customHeight="1" x14ac:dyDescent="0.25">
      <c r="N607" s="203"/>
    </row>
    <row r="608" spans="14:14" ht="15.75" customHeight="1" x14ac:dyDescent="0.25">
      <c r="N608" s="203"/>
    </row>
    <row r="609" spans="14:14" ht="15.75" customHeight="1" x14ac:dyDescent="0.25">
      <c r="N609" s="203"/>
    </row>
    <row r="610" spans="14:14" ht="15.75" customHeight="1" x14ac:dyDescent="0.25">
      <c r="N610" s="203"/>
    </row>
    <row r="611" spans="14:14" ht="15.75" customHeight="1" x14ac:dyDescent="0.25">
      <c r="N611" s="203"/>
    </row>
    <row r="612" spans="14:14" ht="15.75" customHeight="1" x14ac:dyDescent="0.25">
      <c r="N612" s="203"/>
    </row>
    <row r="613" spans="14:14" ht="15.75" customHeight="1" x14ac:dyDescent="0.25">
      <c r="N613" s="203"/>
    </row>
    <row r="614" spans="14:14" ht="15.75" customHeight="1" x14ac:dyDescent="0.25">
      <c r="N614" s="203"/>
    </row>
    <row r="615" spans="14:14" ht="15.75" customHeight="1" x14ac:dyDescent="0.25">
      <c r="N615" s="203"/>
    </row>
    <row r="616" spans="14:14" ht="15.75" customHeight="1" x14ac:dyDescent="0.25">
      <c r="N616" s="203"/>
    </row>
    <row r="617" spans="14:14" ht="15.75" customHeight="1" x14ac:dyDescent="0.25">
      <c r="N617" s="203"/>
    </row>
    <row r="618" spans="14:14" ht="15.75" customHeight="1" x14ac:dyDescent="0.25">
      <c r="N618" s="203"/>
    </row>
    <row r="619" spans="14:14" ht="15.75" customHeight="1" x14ac:dyDescent="0.25">
      <c r="N619" s="203"/>
    </row>
    <row r="620" spans="14:14" ht="15.75" customHeight="1" x14ac:dyDescent="0.25">
      <c r="N620" s="203"/>
    </row>
    <row r="621" spans="14:14" ht="15.75" customHeight="1" x14ac:dyDescent="0.25">
      <c r="N621" s="203"/>
    </row>
    <row r="622" spans="14:14" ht="15.75" customHeight="1" x14ac:dyDescent="0.25">
      <c r="N622" s="203"/>
    </row>
    <row r="623" spans="14:14" ht="15.75" customHeight="1" x14ac:dyDescent="0.25">
      <c r="N623" s="203"/>
    </row>
    <row r="624" spans="14:14" ht="15.75" customHeight="1" x14ac:dyDescent="0.25">
      <c r="N624" s="203"/>
    </row>
    <row r="625" spans="14:14" ht="15.75" customHeight="1" x14ac:dyDescent="0.25">
      <c r="N625" s="203"/>
    </row>
    <row r="626" spans="14:14" ht="15.75" customHeight="1" x14ac:dyDescent="0.25">
      <c r="N626" s="203"/>
    </row>
    <row r="627" spans="14:14" ht="15.75" customHeight="1" x14ac:dyDescent="0.25">
      <c r="N627" s="203"/>
    </row>
    <row r="628" spans="14:14" ht="15.75" customHeight="1" x14ac:dyDescent="0.25">
      <c r="N628" s="203"/>
    </row>
    <row r="629" spans="14:14" ht="15.75" customHeight="1" x14ac:dyDescent="0.25">
      <c r="N629" s="203"/>
    </row>
    <row r="630" spans="14:14" ht="15.75" customHeight="1" x14ac:dyDescent="0.25">
      <c r="N630" s="203"/>
    </row>
    <row r="631" spans="14:14" ht="15.75" customHeight="1" x14ac:dyDescent="0.25">
      <c r="N631" s="203"/>
    </row>
    <row r="632" spans="14:14" ht="15.75" customHeight="1" x14ac:dyDescent="0.25">
      <c r="N632" s="203"/>
    </row>
    <row r="633" spans="14:14" ht="15.75" customHeight="1" x14ac:dyDescent="0.25">
      <c r="N633" s="203"/>
    </row>
    <row r="634" spans="14:14" ht="15.75" customHeight="1" x14ac:dyDescent="0.25">
      <c r="N634" s="203"/>
    </row>
    <row r="635" spans="14:14" ht="15.75" customHeight="1" x14ac:dyDescent="0.25">
      <c r="N635" s="203"/>
    </row>
    <row r="636" spans="14:14" ht="15.75" customHeight="1" x14ac:dyDescent="0.25">
      <c r="N636" s="203"/>
    </row>
    <row r="637" spans="14:14" ht="15.75" customHeight="1" x14ac:dyDescent="0.25">
      <c r="N637" s="203"/>
    </row>
    <row r="638" spans="14:14" ht="15.75" customHeight="1" x14ac:dyDescent="0.25">
      <c r="N638" s="203"/>
    </row>
    <row r="639" spans="14:14" ht="15.75" customHeight="1" x14ac:dyDescent="0.25">
      <c r="N639" s="203"/>
    </row>
    <row r="640" spans="14:14" ht="15.75" customHeight="1" x14ac:dyDescent="0.25">
      <c r="N640" s="203"/>
    </row>
    <row r="641" spans="14:14" ht="15.75" customHeight="1" x14ac:dyDescent="0.25">
      <c r="N641" s="203"/>
    </row>
    <row r="642" spans="14:14" ht="15.75" customHeight="1" x14ac:dyDescent="0.25">
      <c r="N642" s="203"/>
    </row>
    <row r="643" spans="14:14" ht="15.75" customHeight="1" x14ac:dyDescent="0.25">
      <c r="N643" s="203"/>
    </row>
    <row r="644" spans="14:14" ht="15.75" customHeight="1" x14ac:dyDescent="0.25">
      <c r="N644" s="203"/>
    </row>
    <row r="645" spans="14:14" ht="15.75" customHeight="1" x14ac:dyDescent="0.25">
      <c r="N645" s="203"/>
    </row>
    <row r="646" spans="14:14" ht="15.75" customHeight="1" x14ac:dyDescent="0.25">
      <c r="N646" s="203"/>
    </row>
    <row r="647" spans="14:14" ht="15.75" customHeight="1" x14ac:dyDescent="0.25">
      <c r="N647" s="203"/>
    </row>
    <row r="648" spans="14:14" ht="15.75" customHeight="1" x14ac:dyDescent="0.25">
      <c r="N648" s="203"/>
    </row>
    <row r="649" spans="14:14" ht="15.75" customHeight="1" x14ac:dyDescent="0.25">
      <c r="N649" s="203"/>
    </row>
    <row r="650" spans="14:14" ht="15.75" customHeight="1" x14ac:dyDescent="0.25">
      <c r="N650" s="203"/>
    </row>
    <row r="651" spans="14:14" ht="15.75" customHeight="1" x14ac:dyDescent="0.25">
      <c r="N651" s="203"/>
    </row>
    <row r="652" spans="14:14" ht="15.75" customHeight="1" x14ac:dyDescent="0.25">
      <c r="N652" s="203"/>
    </row>
    <row r="653" spans="14:14" ht="15.75" customHeight="1" x14ac:dyDescent="0.25">
      <c r="N653" s="203"/>
    </row>
    <row r="654" spans="14:14" ht="15.75" customHeight="1" x14ac:dyDescent="0.25">
      <c r="N654" s="203"/>
    </row>
    <row r="655" spans="14:14" ht="15.75" customHeight="1" x14ac:dyDescent="0.25">
      <c r="N655" s="203"/>
    </row>
    <row r="656" spans="14:14" ht="15.75" customHeight="1" x14ac:dyDescent="0.25">
      <c r="N656" s="203"/>
    </row>
    <row r="657" spans="14:14" ht="15.75" customHeight="1" x14ac:dyDescent="0.25">
      <c r="N657" s="203"/>
    </row>
    <row r="658" spans="14:14" ht="15.75" customHeight="1" x14ac:dyDescent="0.25">
      <c r="N658" s="203"/>
    </row>
    <row r="659" spans="14:14" ht="15.75" customHeight="1" x14ac:dyDescent="0.25">
      <c r="N659" s="203"/>
    </row>
    <row r="660" spans="14:14" ht="15.75" customHeight="1" x14ac:dyDescent="0.25">
      <c r="N660" s="203"/>
    </row>
    <row r="661" spans="14:14" ht="15.75" customHeight="1" x14ac:dyDescent="0.25">
      <c r="N661" s="203"/>
    </row>
    <row r="662" spans="14:14" ht="15.75" customHeight="1" x14ac:dyDescent="0.25">
      <c r="N662" s="203"/>
    </row>
    <row r="663" spans="14:14" ht="15.75" customHeight="1" x14ac:dyDescent="0.25">
      <c r="N663" s="203"/>
    </row>
    <row r="664" spans="14:14" ht="15.75" customHeight="1" x14ac:dyDescent="0.25">
      <c r="N664" s="203"/>
    </row>
    <row r="665" spans="14:14" ht="15.75" customHeight="1" x14ac:dyDescent="0.25">
      <c r="N665" s="203"/>
    </row>
    <row r="666" spans="14:14" ht="15.75" customHeight="1" x14ac:dyDescent="0.25">
      <c r="N666" s="203"/>
    </row>
    <row r="667" spans="14:14" ht="15.75" customHeight="1" x14ac:dyDescent="0.25">
      <c r="N667" s="203"/>
    </row>
    <row r="668" spans="14:14" ht="15.75" customHeight="1" x14ac:dyDescent="0.25">
      <c r="N668" s="203"/>
    </row>
    <row r="669" spans="14:14" ht="15.75" customHeight="1" x14ac:dyDescent="0.25">
      <c r="N669" s="203"/>
    </row>
    <row r="670" spans="14:14" ht="15.75" customHeight="1" x14ac:dyDescent="0.25">
      <c r="N670" s="203"/>
    </row>
    <row r="671" spans="14:14" ht="15.75" customHeight="1" x14ac:dyDescent="0.25">
      <c r="N671" s="203"/>
    </row>
    <row r="672" spans="14:14" ht="15.75" customHeight="1" x14ac:dyDescent="0.25">
      <c r="N672" s="203"/>
    </row>
    <row r="673" spans="14:14" ht="15.75" customHeight="1" x14ac:dyDescent="0.25">
      <c r="N673" s="203"/>
    </row>
    <row r="674" spans="14:14" ht="15.75" customHeight="1" x14ac:dyDescent="0.25">
      <c r="N674" s="203"/>
    </row>
    <row r="675" spans="14:14" ht="15.75" customHeight="1" x14ac:dyDescent="0.25">
      <c r="N675" s="203"/>
    </row>
    <row r="676" spans="14:14" ht="15.75" customHeight="1" x14ac:dyDescent="0.25">
      <c r="N676" s="203"/>
    </row>
    <row r="677" spans="14:14" ht="15.75" customHeight="1" x14ac:dyDescent="0.25">
      <c r="N677" s="203"/>
    </row>
    <row r="678" spans="14:14" ht="15.75" customHeight="1" x14ac:dyDescent="0.25">
      <c r="N678" s="203"/>
    </row>
    <row r="679" spans="14:14" ht="15.75" customHeight="1" x14ac:dyDescent="0.25">
      <c r="N679" s="203"/>
    </row>
    <row r="680" spans="14:14" ht="15.75" customHeight="1" x14ac:dyDescent="0.25">
      <c r="N680" s="203"/>
    </row>
    <row r="681" spans="14:14" ht="15.75" customHeight="1" x14ac:dyDescent="0.25">
      <c r="N681" s="203"/>
    </row>
    <row r="682" spans="14:14" ht="15.75" customHeight="1" x14ac:dyDescent="0.25">
      <c r="N682" s="203"/>
    </row>
    <row r="683" spans="14:14" ht="15.75" customHeight="1" x14ac:dyDescent="0.25">
      <c r="N683" s="203"/>
    </row>
    <row r="684" spans="14:14" ht="15.75" customHeight="1" x14ac:dyDescent="0.25">
      <c r="N684" s="203"/>
    </row>
    <row r="685" spans="14:14" ht="15.75" customHeight="1" x14ac:dyDescent="0.25">
      <c r="N685" s="203"/>
    </row>
    <row r="686" spans="14:14" ht="15.75" customHeight="1" x14ac:dyDescent="0.25">
      <c r="N686" s="203"/>
    </row>
    <row r="687" spans="14:14" ht="15.75" customHeight="1" x14ac:dyDescent="0.25">
      <c r="N687" s="203"/>
    </row>
    <row r="688" spans="14:14" ht="15.75" customHeight="1" x14ac:dyDescent="0.25">
      <c r="N688" s="203"/>
    </row>
    <row r="689" spans="14:14" ht="15.75" customHeight="1" x14ac:dyDescent="0.25">
      <c r="N689" s="203"/>
    </row>
    <row r="690" spans="14:14" ht="15.75" customHeight="1" x14ac:dyDescent="0.25">
      <c r="N690" s="203"/>
    </row>
    <row r="691" spans="14:14" ht="15.75" customHeight="1" x14ac:dyDescent="0.25">
      <c r="N691" s="203"/>
    </row>
    <row r="692" spans="14:14" ht="15.75" customHeight="1" x14ac:dyDescent="0.25">
      <c r="N692" s="203"/>
    </row>
    <row r="693" spans="14:14" ht="15.75" customHeight="1" x14ac:dyDescent="0.25">
      <c r="N693" s="203"/>
    </row>
    <row r="694" spans="14:14" ht="15.75" customHeight="1" x14ac:dyDescent="0.25">
      <c r="N694" s="203"/>
    </row>
    <row r="695" spans="14:14" ht="15.75" customHeight="1" x14ac:dyDescent="0.25">
      <c r="N695" s="203"/>
    </row>
    <row r="696" spans="14:14" ht="15.75" customHeight="1" x14ac:dyDescent="0.25">
      <c r="N696" s="203"/>
    </row>
    <row r="697" spans="14:14" ht="15.75" customHeight="1" x14ac:dyDescent="0.25">
      <c r="N697" s="203"/>
    </row>
    <row r="698" spans="14:14" ht="15.75" customHeight="1" x14ac:dyDescent="0.25">
      <c r="N698" s="203"/>
    </row>
    <row r="699" spans="14:14" ht="15.75" customHeight="1" x14ac:dyDescent="0.25">
      <c r="N699" s="203"/>
    </row>
    <row r="700" spans="14:14" ht="15.75" customHeight="1" x14ac:dyDescent="0.25">
      <c r="N700" s="203"/>
    </row>
    <row r="701" spans="14:14" ht="15.75" customHeight="1" x14ac:dyDescent="0.25">
      <c r="N701" s="203"/>
    </row>
    <row r="702" spans="14:14" ht="15.75" customHeight="1" x14ac:dyDescent="0.25">
      <c r="N702" s="203"/>
    </row>
    <row r="703" spans="14:14" ht="15.75" customHeight="1" x14ac:dyDescent="0.25">
      <c r="N703" s="203"/>
    </row>
    <row r="704" spans="14:14" ht="15.75" customHeight="1" x14ac:dyDescent="0.25">
      <c r="N704" s="203"/>
    </row>
    <row r="705" spans="14:14" ht="15.75" customHeight="1" x14ac:dyDescent="0.25">
      <c r="N705" s="203"/>
    </row>
    <row r="706" spans="14:14" ht="15.75" customHeight="1" x14ac:dyDescent="0.25">
      <c r="N706" s="203"/>
    </row>
    <row r="707" spans="14:14" ht="15.75" customHeight="1" x14ac:dyDescent="0.25">
      <c r="N707" s="203"/>
    </row>
    <row r="708" spans="14:14" ht="15.75" customHeight="1" x14ac:dyDescent="0.25">
      <c r="N708" s="203"/>
    </row>
    <row r="709" spans="14:14" ht="15.75" customHeight="1" x14ac:dyDescent="0.25">
      <c r="N709" s="203"/>
    </row>
    <row r="710" spans="14:14" ht="15.75" customHeight="1" x14ac:dyDescent="0.25">
      <c r="N710" s="203"/>
    </row>
    <row r="711" spans="14:14" ht="15.75" customHeight="1" x14ac:dyDescent="0.25">
      <c r="N711" s="203"/>
    </row>
    <row r="712" spans="14:14" ht="15.75" customHeight="1" x14ac:dyDescent="0.25">
      <c r="N712" s="203"/>
    </row>
    <row r="713" spans="14:14" ht="15.75" customHeight="1" x14ac:dyDescent="0.25">
      <c r="N713" s="203"/>
    </row>
    <row r="714" spans="14:14" ht="15.75" customHeight="1" x14ac:dyDescent="0.25">
      <c r="N714" s="203"/>
    </row>
    <row r="715" spans="14:14" ht="15.75" customHeight="1" x14ac:dyDescent="0.25">
      <c r="N715" s="203"/>
    </row>
    <row r="716" spans="14:14" ht="15.75" customHeight="1" x14ac:dyDescent="0.25">
      <c r="N716" s="203"/>
    </row>
    <row r="717" spans="14:14" ht="15.75" customHeight="1" x14ac:dyDescent="0.25">
      <c r="N717" s="203"/>
    </row>
    <row r="718" spans="14:14" ht="15.75" customHeight="1" x14ac:dyDescent="0.25">
      <c r="N718" s="203"/>
    </row>
    <row r="719" spans="14:14" ht="15.75" customHeight="1" x14ac:dyDescent="0.25">
      <c r="N719" s="203"/>
    </row>
    <row r="720" spans="14:14" ht="15.75" customHeight="1" x14ac:dyDescent="0.25">
      <c r="N720" s="203"/>
    </row>
    <row r="721" spans="14:14" ht="15.75" customHeight="1" x14ac:dyDescent="0.25">
      <c r="N721" s="203"/>
    </row>
    <row r="722" spans="14:14" ht="15.75" customHeight="1" x14ac:dyDescent="0.25">
      <c r="N722" s="203"/>
    </row>
    <row r="723" spans="14:14" ht="15.75" customHeight="1" x14ac:dyDescent="0.25">
      <c r="N723" s="203"/>
    </row>
    <row r="724" spans="14:14" ht="15.75" customHeight="1" x14ac:dyDescent="0.25">
      <c r="N724" s="203"/>
    </row>
    <row r="725" spans="14:14" ht="15.75" customHeight="1" x14ac:dyDescent="0.25">
      <c r="N725" s="203"/>
    </row>
    <row r="726" spans="14:14" ht="15.75" customHeight="1" x14ac:dyDescent="0.25">
      <c r="N726" s="203"/>
    </row>
    <row r="727" spans="14:14" ht="15.75" customHeight="1" x14ac:dyDescent="0.25">
      <c r="N727" s="203"/>
    </row>
    <row r="728" spans="14:14" ht="15.75" customHeight="1" x14ac:dyDescent="0.25">
      <c r="N728" s="203"/>
    </row>
    <row r="729" spans="14:14" ht="15.75" customHeight="1" x14ac:dyDescent="0.25">
      <c r="N729" s="203"/>
    </row>
    <row r="730" spans="14:14" ht="15.75" customHeight="1" x14ac:dyDescent="0.25">
      <c r="N730" s="203"/>
    </row>
    <row r="731" spans="14:14" ht="15.75" customHeight="1" x14ac:dyDescent="0.25">
      <c r="N731" s="203"/>
    </row>
    <row r="732" spans="14:14" ht="15.75" customHeight="1" x14ac:dyDescent="0.25">
      <c r="N732" s="203"/>
    </row>
    <row r="733" spans="14:14" ht="15.75" customHeight="1" x14ac:dyDescent="0.25">
      <c r="N733" s="203"/>
    </row>
    <row r="734" spans="14:14" ht="15.75" customHeight="1" x14ac:dyDescent="0.25">
      <c r="N734" s="203"/>
    </row>
    <row r="735" spans="14:14" ht="15.75" customHeight="1" x14ac:dyDescent="0.25">
      <c r="N735" s="203"/>
    </row>
    <row r="736" spans="14:14" ht="15.75" customHeight="1" x14ac:dyDescent="0.25">
      <c r="N736" s="203"/>
    </row>
    <row r="737" spans="14:14" ht="15.75" customHeight="1" x14ac:dyDescent="0.25">
      <c r="N737" s="203"/>
    </row>
    <row r="738" spans="14:14" ht="15.75" customHeight="1" x14ac:dyDescent="0.25">
      <c r="N738" s="203"/>
    </row>
    <row r="739" spans="14:14" ht="15.75" customHeight="1" x14ac:dyDescent="0.25">
      <c r="N739" s="203"/>
    </row>
    <row r="740" spans="14:14" ht="15.75" customHeight="1" x14ac:dyDescent="0.25">
      <c r="N740" s="203"/>
    </row>
    <row r="741" spans="14:14" ht="15.75" customHeight="1" x14ac:dyDescent="0.25">
      <c r="N741" s="203"/>
    </row>
    <row r="742" spans="14:14" ht="15.75" customHeight="1" x14ac:dyDescent="0.25">
      <c r="N742" s="203"/>
    </row>
    <row r="743" spans="14:14" ht="15.75" customHeight="1" x14ac:dyDescent="0.25">
      <c r="N743" s="203"/>
    </row>
    <row r="744" spans="14:14" ht="15.75" customHeight="1" x14ac:dyDescent="0.25">
      <c r="N744" s="203"/>
    </row>
    <row r="745" spans="14:14" ht="15.75" customHeight="1" x14ac:dyDescent="0.25">
      <c r="N745" s="203"/>
    </row>
    <row r="746" spans="14:14" ht="15.75" customHeight="1" x14ac:dyDescent="0.25">
      <c r="N746" s="203"/>
    </row>
    <row r="747" spans="14:14" ht="15.75" customHeight="1" x14ac:dyDescent="0.25">
      <c r="N747" s="203"/>
    </row>
    <row r="748" spans="14:14" ht="15.75" customHeight="1" x14ac:dyDescent="0.25">
      <c r="N748" s="203"/>
    </row>
    <row r="749" spans="14:14" ht="15.75" customHeight="1" x14ac:dyDescent="0.25">
      <c r="N749" s="203"/>
    </row>
    <row r="750" spans="14:14" ht="15.75" customHeight="1" x14ac:dyDescent="0.25">
      <c r="N750" s="203"/>
    </row>
    <row r="751" spans="14:14" ht="15.75" customHeight="1" x14ac:dyDescent="0.25">
      <c r="N751" s="203"/>
    </row>
    <row r="752" spans="14:14" ht="15.75" customHeight="1" x14ac:dyDescent="0.25">
      <c r="N752" s="203"/>
    </row>
    <row r="753" spans="14:14" ht="15.75" customHeight="1" x14ac:dyDescent="0.25">
      <c r="N753" s="203"/>
    </row>
    <row r="754" spans="14:14" ht="15.75" customHeight="1" x14ac:dyDescent="0.25">
      <c r="N754" s="203"/>
    </row>
    <row r="755" spans="14:14" ht="15.75" customHeight="1" x14ac:dyDescent="0.25">
      <c r="N755" s="203"/>
    </row>
    <row r="756" spans="14:14" ht="15.75" customHeight="1" x14ac:dyDescent="0.25">
      <c r="N756" s="203"/>
    </row>
    <row r="757" spans="14:14" ht="15.75" customHeight="1" x14ac:dyDescent="0.25">
      <c r="N757" s="203"/>
    </row>
    <row r="758" spans="14:14" ht="15.75" customHeight="1" x14ac:dyDescent="0.25">
      <c r="N758" s="203"/>
    </row>
    <row r="759" spans="14:14" ht="15.75" customHeight="1" x14ac:dyDescent="0.25">
      <c r="N759" s="203"/>
    </row>
    <row r="760" spans="14:14" ht="15.75" customHeight="1" x14ac:dyDescent="0.25">
      <c r="N760" s="203"/>
    </row>
    <row r="761" spans="14:14" ht="15.75" customHeight="1" x14ac:dyDescent="0.25">
      <c r="N761" s="203"/>
    </row>
    <row r="762" spans="14:14" ht="15.75" customHeight="1" x14ac:dyDescent="0.25">
      <c r="N762" s="203"/>
    </row>
    <row r="763" spans="14:14" ht="15.75" customHeight="1" x14ac:dyDescent="0.25">
      <c r="N763" s="203"/>
    </row>
    <row r="764" spans="14:14" ht="15.75" customHeight="1" x14ac:dyDescent="0.25">
      <c r="N764" s="203"/>
    </row>
    <row r="765" spans="14:14" ht="15.75" customHeight="1" x14ac:dyDescent="0.25">
      <c r="N765" s="203"/>
    </row>
    <row r="766" spans="14:14" ht="15.75" customHeight="1" x14ac:dyDescent="0.25">
      <c r="N766" s="203"/>
    </row>
    <row r="767" spans="14:14" ht="15.75" customHeight="1" x14ac:dyDescent="0.25">
      <c r="N767" s="203"/>
    </row>
    <row r="768" spans="14:14" ht="15.75" customHeight="1" x14ac:dyDescent="0.25">
      <c r="N768" s="203"/>
    </row>
    <row r="769" spans="14:14" ht="15.75" customHeight="1" x14ac:dyDescent="0.25">
      <c r="N769" s="203"/>
    </row>
    <row r="770" spans="14:14" ht="15.75" customHeight="1" x14ac:dyDescent="0.25">
      <c r="N770" s="203"/>
    </row>
    <row r="771" spans="14:14" ht="15.75" customHeight="1" x14ac:dyDescent="0.25">
      <c r="N771" s="203"/>
    </row>
    <row r="772" spans="14:14" ht="15.75" customHeight="1" x14ac:dyDescent="0.25">
      <c r="N772" s="203"/>
    </row>
    <row r="773" spans="14:14" ht="15.75" customHeight="1" x14ac:dyDescent="0.25">
      <c r="N773" s="203"/>
    </row>
    <row r="774" spans="14:14" ht="15.75" customHeight="1" x14ac:dyDescent="0.25">
      <c r="N774" s="203"/>
    </row>
    <row r="775" spans="14:14" ht="15.75" customHeight="1" x14ac:dyDescent="0.25">
      <c r="N775" s="203"/>
    </row>
    <row r="776" spans="14:14" ht="15.75" customHeight="1" x14ac:dyDescent="0.25">
      <c r="N776" s="203"/>
    </row>
    <row r="777" spans="14:14" ht="15.75" customHeight="1" x14ac:dyDescent="0.25">
      <c r="N777" s="203"/>
    </row>
    <row r="778" spans="14:14" ht="15.75" customHeight="1" x14ac:dyDescent="0.25">
      <c r="N778" s="203"/>
    </row>
    <row r="779" spans="14:14" ht="15.75" customHeight="1" x14ac:dyDescent="0.25">
      <c r="N779" s="203"/>
    </row>
    <row r="780" spans="14:14" ht="15.75" customHeight="1" x14ac:dyDescent="0.25">
      <c r="N780" s="203"/>
    </row>
    <row r="781" spans="14:14" ht="15.75" customHeight="1" x14ac:dyDescent="0.25">
      <c r="N781" s="203"/>
    </row>
    <row r="782" spans="14:14" ht="15.75" customHeight="1" x14ac:dyDescent="0.25">
      <c r="N782" s="203"/>
    </row>
    <row r="783" spans="14:14" ht="15.75" customHeight="1" x14ac:dyDescent="0.25">
      <c r="N783" s="203"/>
    </row>
    <row r="784" spans="14:14" ht="15.75" customHeight="1" x14ac:dyDescent="0.25">
      <c r="N784" s="203"/>
    </row>
    <row r="785" spans="14:14" ht="15.75" customHeight="1" x14ac:dyDescent="0.25">
      <c r="N785" s="203"/>
    </row>
    <row r="786" spans="14:14" ht="15.75" customHeight="1" x14ac:dyDescent="0.25">
      <c r="N786" s="203"/>
    </row>
    <row r="787" spans="14:14" ht="15.75" customHeight="1" x14ac:dyDescent="0.25">
      <c r="N787" s="203"/>
    </row>
    <row r="788" spans="14:14" ht="15.75" customHeight="1" x14ac:dyDescent="0.25">
      <c r="N788" s="203"/>
    </row>
    <row r="789" spans="14:14" ht="15.75" customHeight="1" x14ac:dyDescent="0.25">
      <c r="N789" s="203"/>
    </row>
    <row r="790" spans="14:14" ht="15.75" customHeight="1" x14ac:dyDescent="0.25">
      <c r="N790" s="203"/>
    </row>
    <row r="791" spans="14:14" ht="15.75" customHeight="1" x14ac:dyDescent="0.25">
      <c r="N791" s="203"/>
    </row>
    <row r="792" spans="14:14" ht="15.75" customHeight="1" x14ac:dyDescent="0.25">
      <c r="N792" s="203"/>
    </row>
    <row r="793" spans="14:14" ht="15.75" customHeight="1" x14ac:dyDescent="0.25">
      <c r="N793" s="203"/>
    </row>
    <row r="794" spans="14:14" ht="15.75" customHeight="1" x14ac:dyDescent="0.25">
      <c r="N794" s="203"/>
    </row>
    <row r="795" spans="14:14" ht="15.75" customHeight="1" x14ac:dyDescent="0.25">
      <c r="N795" s="203"/>
    </row>
    <row r="796" spans="14:14" ht="15.75" customHeight="1" x14ac:dyDescent="0.25">
      <c r="N796" s="203"/>
    </row>
    <row r="797" spans="14:14" ht="15.75" customHeight="1" x14ac:dyDescent="0.25">
      <c r="N797" s="203"/>
    </row>
    <row r="798" spans="14:14" ht="15.75" customHeight="1" x14ac:dyDescent="0.25">
      <c r="N798" s="203"/>
    </row>
    <row r="799" spans="14:14" ht="15.75" customHeight="1" x14ac:dyDescent="0.25">
      <c r="N799" s="203"/>
    </row>
    <row r="800" spans="14:14" ht="15.75" customHeight="1" x14ac:dyDescent="0.25">
      <c r="N800" s="203"/>
    </row>
    <row r="801" spans="14:14" ht="15.75" customHeight="1" x14ac:dyDescent="0.25">
      <c r="N801" s="203"/>
    </row>
    <row r="802" spans="14:14" ht="15.75" customHeight="1" x14ac:dyDescent="0.25">
      <c r="N802" s="203"/>
    </row>
    <row r="803" spans="14:14" ht="15.75" customHeight="1" x14ac:dyDescent="0.25">
      <c r="N803" s="203"/>
    </row>
    <row r="804" spans="14:14" ht="15.75" customHeight="1" x14ac:dyDescent="0.25">
      <c r="N804" s="203"/>
    </row>
    <row r="805" spans="14:14" ht="15.75" customHeight="1" x14ac:dyDescent="0.25">
      <c r="N805" s="203"/>
    </row>
    <row r="806" spans="14:14" ht="15.75" customHeight="1" x14ac:dyDescent="0.25">
      <c r="N806" s="203"/>
    </row>
    <row r="807" spans="14:14" ht="15.75" customHeight="1" x14ac:dyDescent="0.25">
      <c r="N807" s="203"/>
    </row>
    <row r="808" spans="14:14" ht="15.75" customHeight="1" x14ac:dyDescent="0.25">
      <c r="N808" s="203"/>
    </row>
    <row r="809" spans="14:14" ht="15.75" customHeight="1" x14ac:dyDescent="0.25">
      <c r="N809" s="203"/>
    </row>
    <row r="810" spans="14:14" ht="15.75" customHeight="1" x14ac:dyDescent="0.25">
      <c r="N810" s="203"/>
    </row>
    <row r="811" spans="14:14" ht="15.75" customHeight="1" x14ac:dyDescent="0.25">
      <c r="N811" s="203"/>
    </row>
    <row r="812" spans="14:14" ht="15.75" customHeight="1" x14ac:dyDescent="0.25">
      <c r="N812" s="203"/>
    </row>
    <row r="813" spans="14:14" ht="15.75" customHeight="1" x14ac:dyDescent="0.25">
      <c r="N813" s="203"/>
    </row>
    <row r="814" spans="14:14" ht="15.75" customHeight="1" x14ac:dyDescent="0.25">
      <c r="N814" s="203"/>
    </row>
    <row r="815" spans="14:14" ht="15.75" customHeight="1" x14ac:dyDescent="0.25">
      <c r="N815" s="203"/>
    </row>
    <row r="816" spans="14:14" ht="15.75" customHeight="1" x14ac:dyDescent="0.25">
      <c r="N816" s="203"/>
    </row>
    <row r="817" spans="14:14" ht="15.75" customHeight="1" x14ac:dyDescent="0.25">
      <c r="N817" s="203"/>
    </row>
    <row r="818" spans="14:14" ht="15.75" customHeight="1" x14ac:dyDescent="0.25">
      <c r="N818" s="203"/>
    </row>
    <row r="819" spans="14:14" ht="15.75" customHeight="1" x14ac:dyDescent="0.25">
      <c r="N819" s="203"/>
    </row>
    <row r="820" spans="14:14" ht="15.75" customHeight="1" x14ac:dyDescent="0.25">
      <c r="N820" s="203"/>
    </row>
    <row r="821" spans="14:14" ht="15.75" customHeight="1" x14ac:dyDescent="0.25">
      <c r="N821" s="203"/>
    </row>
    <row r="822" spans="14:14" ht="15.75" customHeight="1" x14ac:dyDescent="0.25">
      <c r="N822" s="203"/>
    </row>
    <row r="823" spans="14:14" ht="15.75" customHeight="1" x14ac:dyDescent="0.25">
      <c r="N823" s="203"/>
    </row>
    <row r="824" spans="14:14" ht="15.75" customHeight="1" x14ac:dyDescent="0.25">
      <c r="N824" s="203"/>
    </row>
    <row r="825" spans="14:14" ht="15.75" customHeight="1" x14ac:dyDescent="0.25">
      <c r="N825" s="203"/>
    </row>
    <row r="826" spans="14:14" ht="15.75" customHeight="1" x14ac:dyDescent="0.25">
      <c r="N826" s="203"/>
    </row>
    <row r="827" spans="14:14" ht="15.75" customHeight="1" x14ac:dyDescent="0.25">
      <c r="N827" s="203"/>
    </row>
    <row r="828" spans="14:14" ht="15.75" customHeight="1" x14ac:dyDescent="0.25">
      <c r="N828" s="203"/>
    </row>
    <row r="829" spans="14:14" ht="15.75" customHeight="1" x14ac:dyDescent="0.25">
      <c r="N829" s="203"/>
    </row>
    <row r="830" spans="14:14" ht="15.75" customHeight="1" x14ac:dyDescent="0.25">
      <c r="N830" s="203"/>
    </row>
    <row r="831" spans="14:14" ht="15.75" customHeight="1" x14ac:dyDescent="0.25">
      <c r="N831" s="203"/>
    </row>
    <row r="832" spans="14:14" ht="15.75" customHeight="1" x14ac:dyDescent="0.25">
      <c r="N832" s="203"/>
    </row>
    <row r="833" spans="14:14" ht="15.75" customHeight="1" x14ac:dyDescent="0.25">
      <c r="N833" s="203"/>
    </row>
    <row r="834" spans="14:14" ht="15.75" customHeight="1" x14ac:dyDescent="0.25">
      <c r="N834" s="203"/>
    </row>
    <row r="835" spans="14:14" ht="15.75" customHeight="1" x14ac:dyDescent="0.25">
      <c r="N835" s="203"/>
    </row>
    <row r="836" spans="14:14" ht="15.75" customHeight="1" x14ac:dyDescent="0.25">
      <c r="N836" s="203"/>
    </row>
    <row r="837" spans="14:14" ht="15.75" customHeight="1" x14ac:dyDescent="0.25">
      <c r="N837" s="203"/>
    </row>
    <row r="838" spans="14:14" ht="15.75" customHeight="1" x14ac:dyDescent="0.25">
      <c r="N838" s="203"/>
    </row>
    <row r="839" spans="14:14" ht="15.75" customHeight="1" x14ac:dyDescent="0.25">
      <c r="N839" s="203"/>
    </row>
    <row r="840" spans="14:14" ht="15.75" customHeight="1" x14ac:dyDescent="0.25">
      <c r="N840" s="203"/>
    </row>
    <row r="841" spans="14:14" ht="15.75" customHeight="1" x14ac:dyDescent="0.25">
      <c r="N841" s="203"/>
    </row>
    <row r="842" spans="14:14" ht="15.75" customHeight="1" x14ac:dyDescent="0.25">
      <c r="N842" s="203"/>
    </row>
    <row r="843" spans="14:14" ht="15.75" customHeight="1" x14ac:dyDescent="0.25">
      <c r="N843" s="203"/>
    </row>
    <row r="844" spans="14:14" ht="15.75" customHeight="1" x14ac:dyDescent="0.25">
      <c r="N844" s="203"/>
    </row>
    <row r="845" spans="14:14" ht="15.75" customHeight="1" x14ac:dyDescent="0.25">
      <c r="N845" s="203"/>
    </row>
    <row r="846" spans="14:14" ht="15.75" customHeight="1" x14ac:dyDescent="0.25">
      <c r="N846" s="203"/>
    </row>
    <row r="847" spans="14:14" ht="15.75" customHeight="1" x14ac:dyDescent="0.25">
      <c r="N847" s="203"/>
    </row>
    <row r="848" spans="14:14" ht="15.75" customHeight="1" x14ac:dyDescent="0.25">
      <c r="N848" s="203"/>
    </row>
    <row r="849" spans="14:14" ht="15.75" customHeight="1" x14ac:dyDescent="0.25">
      <c r="N849" s="203"/>
    </row>
    <row r="850" spans="14:14" ht="15.75" customHeight="1" x14ac:dyDescent="0.25">
      <c r="N850" s="203"/>
    </row>
    <row r="851" spans="14:14" ht="15.75" customHeight="1" x14ac:dyDescent="0.25">
      <c r="N851" s="203"/>
    </row>
    <row r="852" spans="14:14" ht="15.75" customHeight="1" x14ac:dyDescent="0.25">
      <c r="N852" s="203"/>
    </row>
    <row r="853" spans="14:14" ht="15.75" customHeight="1" x14ac:dyDescent="0.25">
      <c r="N853" s="203"/>
    </row>
    <row r="854" spans="14:14" ht="15.75" customHeight="1" x14ac:dyDescent="0.25">
      <c r="N854" s="203"/>
    </row>
    <row r="855" spans="14:14" ht="15.75" customHeight="1" x14ac:dyDescent="0.25">
      <c r="N855" s="203"/>
    </row>
    <row r="856" spans="14:14" ht="15.75" customHeight="1" x14ac:dyDescent="0.25">
      <c r="N856" s="203"/>
    </row>
    <row r="857" spans="14:14" ht="15.75" customHeight="1" x14ac:dyDescent="0.25">
      <c r="N857" s="203"/>
    </row>
    <row r="858" spans="14:14" ht="15.75" customHeight="1" x14ac:dyDescent="0.25">
      <c r="N858" s="203"/>
    </row>
    <row r="859" spans="14:14" ht="15.75" customHeight="1" x14ac:dyDescent="0.25">
      <c r="N859" s="203"/>
    </row>
    <row r="860" spans="14:14" ht="15.75" customHeight="1" x14ac:dyDescent="0.25">
      <c r="N860" s="203"/>
    </row>
    <row r="861" spans="14:14" ht="15.75" customHeight="1" x14ac:dyDescent="0.25">
      <c r="N861" s="203"/>
    </row>
    <row r="862" spans="14:14" ht="15.75" customHeight="1" x14ac:dyDescent="0.25">
      <c r="N862" s="203"/>
    </row>
    <row r="863" spans="14:14" ht="15.75" customHeight="1" x14ac:dyDescent="0.25">
      <c r="N863" s="203"/>
    </row>
    <row r="864" spans="14:14" ht="15.75" customHeight="1" x14ac:dyDescent="0.25">
      <c r="N864" s="203"/>
    </row>
    <row r="865" spans="14:14" ht="15.75" customHeight="1" x14ac:dyDescent="0.25">
      <c r="N865" s="203"/>
    </row>
    <row r="866" spans="14:14" ht="15.75" customHeight="1" x14ac:dyDescent="0.25">
      <c r="N866" s="203"/>
    </row>
    <row r="867" spans="14:14" ht="15.75" customHeight="1" x14ac:dyDescent="0.25">
      <c r="N867" s="203"/>
    </row>
    <row r="868" spans="14:14" ht="15.75" customHeight="1" x14ac:dyDescent="0.25">
      <c r="N868" s="203"/>
    </row>
    <row r="869" spans="14:14" ht="15.75" customHeight="1" x14ac:dyDescent="0.25">
      <c r="N869" s="203"/>
    </row>
    <row r="870" spans="14:14" ht="15.75" customHeight="1" x14ac:dyDescent="0.25">
      <c r="N870" s="203"/>
    </row>
    <row r="871" spans="14:14" ht="15.75" customHeight="1" x14ac:dyDescent="0.25">
      <c r="N871" s="203"/>
    </row>
    <row r="872" spans="14:14" ht="15.75" customHeight="1" x14ac:dyDescent="0.25">
      <c r="N872" s="203"/>
    </row>
    <row r="873" spans="14:14" ht="15.75" customHeight="1" x14ac:dyDescent="0.25">
      <c r="N873" s="203"/>
    </row>
    <row r="874" spans="14:14" ht="15.75" customHeight="1" x14ac:dyDescent="0.25">
      <c r="N874" s="203"/>
    </row>
    <row r="875" spans="14:14" ht="15.75" customHeight="1" x14ac:dyDescent="0.25">
      <c r="N875" s="203"/>
    </row>
    <row r="876" spans="14:14" ht="15.75" customHeight="1" x14ac:dyDescent="0.25">
      <c r="N876" s="203"/>
    </row>
    <row r="877" spans="14:14" ht="15.75" customHeight="1" x14ac:dyDescent="0.25">
      <c r="N877" s="203"/>
    </row>
    <row r="878" spans="14:14" ht="15.75" customHeight="1" x14ac:dyDescent="0.25">
      <c r="N878" s="203"/>
    </row>
    <row r="879" spans="14:14" ht="15.75" customHeight="1" x14ac:dyDescent="0.25">
      <c r="N879" s="203"/>
    </row>
    <row r="880" spans="14:14" ht="15.75" customHeight="1" x14ac:dyDescent="0.25">
      <c r="N880" s="203"/>
    </row>
    <row r="881" spans="14:14" ht="15.75" customHeight="1" x14ac:dyDescent="0.25">
      <c r="N881" s="203"/>
    </row>
    <row r="882" spans="14:14" ht="15.75" customHeight="1" x14ac:dyDescent="0.25">
      <c r="N882" s="203"/>
    </row>
    <row r="883" spans="14:14" ht="15.75" customHeight="1" x14ac:dyDescent="0.25">
      <c r="N883" s="203"/>
    </row>
    <row r="884" spans="14:14" ht="15.75" customHeight="1" x14ac:dyDescent="0.25">
      <c r="N884" s="203"/>
    </row>
    <row r="885" spans="14:14" ht="15.75" customHeight="1" x14ac:dyDescent="0.25">
      <c r="N885" s="203"/>
    </row>
    <row r="886" spans="14:14" ht="15.75" customHeight="1" x14ac:dyDescent="0.25">
      <c r="N886" s="203"/>
    </row>
    <row r="887" spans="14:14" ht="15.75" customHeight="1" x14ac:dyDescent="0.25">
      <c r="N887" s="203"/>
    </row>
    <row r="888" spans="14:14" ht="15.75" customHeight="1" x14ac:dyDescent="0.25">
      <c r="N888" s="203"/>
    </row>
    <row r="889" spans="14:14" ht="15.75" customHeight="1" x14ac:dyDescent="0.25">
      <c r="N889" s="203"/>
    </row>
    <row r="890" spans="14:14" ht="15.75" customHeight="1" x14ac:dyDescent="0.25">
      <c r="N890" s="203"/>
    </row>
    <row r="891" spans="14:14" ht="15.75" customHeight="1" x14ac:dyDescent="0.25">
      <c r="N891" s="203"/>
    </row>
    <row r="892" spans="14:14" ht="15.75" customHeight="1" x14ac:dyDescent="0.25">
      <c r="N892" s="203"/>
    </row>
    <row r="893" spans="14:14" ht="15.75" customHeight="1" x14ac:dyDescent="0.25">
      <c r="N893" s="203"/>
    </row>
    <row r="894" spans="14:14" ht="15.75" customHeight="1" x14ac:dyDescent="0.25">
      <c r="N894" s="203"/>
    </row>
    <row r="895" spans="14:14" ht="15.75" customHeight="1" x14ac:dyDescent="0.25">
      <c r="N895" s="203"/>
    </row>
    <row r="896" spans="14:14" ht="15.75" customHeight="1" x14ac:dyDescent="0.25">
      <c r="N896" s="203"/>
    </row>
    <row r="897" spans="14:14" ht="15.75" customHeight="1" x14ac:dyDescent="0.25">
      <c r="N897" s="203"/>
    </row>
    <row r="898" spans="14:14" ht="15.75" customHeight="1" x14ac:dyDescent="0.25">
      <c r="N898" s="203"/>
    </row>
    <row r="899" spans="14:14" ht="15.75" customHeight="1" x14ac:dyDescent="0.25">
      <c r="N899" s="203"/>
    </row>
    <row r="900" spans="14:14" ht="15.75" customHeight="1" x14ac:dyDescent="0.25">
      <c r="N900" s="203"/>
    </row>
    <row r="901" spans="14:14" ht="15.75" customHeight="1" x14ac:dyDescent="0.25">
      <c r="N901" s="203"/>
    </row>
    <row r="902" spans="14:14" ht="15.75" customHeight="1" x14ac:dyDescent="0.25">
      <c r="N902" s="203"/>
    </row>
    <row r="903" spans="14:14" ht="15.75" customHeight="1" x14ac:dyDescent="0.25">
      <c r="N903" s="203"/>
    </row>
    <row r="904" spans="14:14" ht="15.75" customHeight="1" x14ac:dyDescent="0.25">
      <c r="N904" s="203"/>
    </row>
    <row r="905" spans="14:14" ht="15.75" customHeight="1" x14ac:dyDescent="0.25">
      <c r="N905" s="203"/>
    </row>
    <row r="906" spans="14:14" ht="15.75" customHeight="1" x14ac:dyDescent="0.25">
      <c r="N906" s="203"/>
    </row>
    <row r="907" spans="14:14" ht="15.75" customHeight="1" x14ac:dyDescent="0.25">
      <c r="N907" s="203"/>
    </row>
    <row r="908" spans="14:14" ht="15.75" customHeight="1" x14ac:dyDescent="0.25">
      <c r="N908" s="203"/>
    </row>
    <row r="909" spans="14:14" ht="15.75" customHeight="1" x14ac:dyDescent="0.25">
      <c r="N909" s="203"/>
    </row>
    <row r="910" spans="14:14" ht="15.75" customHeight="1" x14ac:dyDescent="0.25">
      <c r="N910" s="203"/>
    </row>
    <row r="911" spans="14:14" ht="15.75" customHeight="1" x14ac:dyDescent="0.25">
      <c r="N911" s="203"/>
    </row>
    <row r="912" spans="14:14" ht="15.75" customHeight="1" x14ac:dyDescent="0.25">
      <c r="N912" s="203"/>
    </row>
    <row r="913" spans="14:14" ht="15.75" customHeight="1" x14ac:dyDescent="0.25">
      <c r="N913" s="203"/>
    </row>
    <row r="914" spans="14:14" ht="15.75" customHeight="1" x14ac:dyDescent="0.25">
      <c r="N914" s="203"/>
    </row>
    <row r="915" spans="14:14" ht="15.75" customHeight="1" x14ac:dyDescent="0.25">
      <c r="N915" s="203"/>
    </row>
    <row r="916" spans="14:14" ht="15.75" customHeight="1" x14ac:dyDescent="0.25">
      <c r="N916" s="203"/>
    </row>
    <row r="917" spans="14:14" ht="15.75" customHeight="1" x14ac:dyDescent="0.25">
      <c r="N917" s="203"/>
    </row>
    <row r="918" spans="14:14" ht="15.75" customHeight="1" x14ac:dyDescent="0.25">
      <c r="N918" s="203"/>
    </row>
    <row r="919" spans="14:14" ht="15.75" customHeight="1" x14ac:dyDescent="0.25">
      <c r="N919" s="203"/>
    </row>
    <row r="920" spans="14:14" ht="15.75" customHeight="1" x14ac:dyDescent="0.25">
      <c r="N920" s="203"/>
    </row>
    <row r="921" spans="14:14" ht="15.75" customHeight="1" x14ac:dyDescent="0.25">
      <c r="N921" s="203"/>
    </row>
    <row r="922" spans="14:14" ht="15.75" customHeight="1" x14ac:dyDescent="0.25">
      <c r="N922" s="203"/>
    </row>
    <row r="923" spans="14:14" ht="15.75" customHeight="1" x14ac:dyDescent="0.25">
      <c r="N923" s="203"/>
    </row>
    <row r="924" spans="14:14" ht="15.75" customHeight="1" x14ac:dyDescent="0.25">
      <c r="N924" s="203"/>
    </row>
    <row r="925" spans="14:14" ht="15.75" customHeight="1" x14ac:dyDescent="0.25">
      <c r="N925" s="203"/>
    </row>
    <row r="926" spans="14:14" ht="15.75" customHeight="1" x14ac:dyDescent="0.25">
      <c r="N926" s="203"/>
    </row>
    <row r="927" spans="14:14" ht="15.75" customHeight="1" x14ac:dyDescent="0.25">
      <c r="N927" s="203"/>
    </row>
    <row r="928" spans="14:14" ht="15.75" customHeight="1" x14ac:dyDescent="0.25">
      <c r="N928" s="203"/>
    </row>
    <row r="929" spans="14:14" ht="15.75" customHeight="1" x14ac:dyDescent="0.25">
      <c r="N929" s="203"/>
    </row>
    <row r="930" spans="14:14" ht="15.75" customHeight="1" x14ac:dyDescent="0.25">
      <c r="N930" s="203"/>
    </row>
    <row r="931" spans="14:14" ht="15.75" customHeight="1" x14ac:dyDescent="0.25">
      <c r="N931" s="203"/>
    </row>
    <row r="932" spans="14:14" ht="15.75" customHeight="1" x14ac:dyDescent="0.25">
      <c r="N932" s="203"/>
    </row>
    <row r="933" spans="14:14" ht="15.75" customHeight="1" x14ac:dyDescent="0.25">
      <c r="N933" s="203"/>
    </row>
    <row r="934" spans="14:14" ht="15.75" customHeight="1" x14ac:dyDescent="0.25">
      <c r="N934" s="203"/>
    </row>
    <row r="935" spans="14:14" ht="15.75" customHeight="1" x14ac:dyDescent="0.25">
      <c r="N935" s="203"/>
    </row>
    <row r="936" spans="14:14" ht="15.75" customHeight="1" x14ac:dyDescent="0.25">
      <c r="N936" s="203"/>
    </row>
    <row r="937" spans="14:14" ht="15.75" customHeight="1" x14ac:dyDescent="0.25">
      <c r="N937" s="203"/>
    </row>
    <row r="938" spans="14:14" ht="15.75" customHeight="1" x14ac:dyDescent="0.25">
      <c r="N938" s="203"/>
    </row>
    <row r="939" spans="14:14" ht="15.75" customHeight="1" x14ac:dyDescent="0.25">
      <c r="N939" s="203"/>
    </row>
    <row r="940" spans="14:14" ht="15.75" customHeight="1" x14ac:dyDescent="0.25">
      <c r="N940" s="203"/>
    </row>
    <row r="941" spans="14:14" ht="15.75" customHeight="1" x14ac:dyDescent="0.25">
      <c r="N941" s="203"/>
    </row>
    <row r="942" spans="14:14" ht="15.75" customHeight="1" x14ac:dyDescent="0.25">
      <c r="N942" s="203"/>
    </row>
    <row r="943" spans="14:14" ht="15.75" customHeight="1" x14ac:dyDescent="0.25">
      <c r="N943" s="203"/>
    </row>
    <row r="944" spans="14:14" ht="15.75" customHeight="1" x14ac:dyDescent="0.25">
      <c r="N944" s="203"/>
    </row>
    <row r="945" spans="14:14" ht="15.75" customHeight="1" x14ac:dyDescent="0.25">
      <c r="N945" s="203"/>
    </row>
    <row r="946" spans="14:14" ht="15.75" customHeight="1" x14ac:dyDescent="0.25">
      <c r="N946" s="203"/>
    </row>
    <row r="947" spans="14:14" ht="15.75" customHeight="1" x14ac:dyDescent="0.25">
      <c r="N947" s="203"/>
    </row>
    <row r="948" spans="14:14" ht="15.75" customHeight="1" x14ac:dyDescent="0.25">
      <c r="N948" s="203"/>
    </row>
    <row r="949" spans="14:14" ht="15.75" customHeight="1" x14ac:dyDescent="0.25">
      <c r="N949" s="203"/>
    </row>
    <row r="950" spans="14:14" ht="15.75" customHeight="1" x14ac:dyDescent="0.25">
      <c r="N950" s="203"/>
    </row>
    <row r="951" spans="14:14" ht="15.75" customHeight="1" x14ac:dyDescent="0.25">
      <c r="N951" s="203"/>
    </row>
    <row r="952" spans="14:14" ht="15.75" customHeight="1" x14ac:dyDescent="0.25">
      <c r="N952" s="203"/>
    </row>
    <row r="953" spans="14:14" ht="15.75" customHeight="1" x14ac:dyDescent="0.25">
      <c r="N953" s="203"/>
    </row>
    <row r="954" spans="14:14" ht="15.75" customHeight="1" x14ac:dyDescent="0.25">
      <c r="N954" s="203"/>
    </row>
    <row r="955" spans="14:14" ht="15.75" customHeight="1" x14ac:dyDescent="0.25">
      <c r="N955" s="203"/>
    </row>
    <row r="956" spans="14:14" ht="15.75" customHeight="1" x14ac:dyDescent="0.25">
      <c r="N956" s="203"/>
    </row>
    <row r="957" spans="14:14" ht="15.75" customHeight="1" x14ac:dyDescent="0.25">
      <c r="N957" s="203"/>
    </row>
    <row r="958" spans="14:14" ht="15.75" customHeight="1" x14ac:dyDescent="0.25">
      <c r="N958" s="203"/>
    </row>
    <row r="959" spans="14:14" ht="15.75" customHeight="1" x14ac:dyDescent="0.25">
      <c r="N959" s="203"/>
    </row>
    <row r="960" spans="14:14" ht="15.75" customHeight="1" x14ac:dyDescent="0.25">
      <c r="N960" s="203"/>
    </row>
    <row r="961" spans="14:14" ht="15.75" customHeight="1" x14ac:dyDescent="0.25">
      <c r="N961" s="203"/>
    </row>
    <row r="962" spans="14:14" ht="15.75" customHeight="1" x14ac:dyDescent="0.25">
      <c r="N962" s="203"/>
    </row>
    <row r="963" spans="14:14" ht="15.75" customHeight="1" x14ac:dyDescent="0.25">
      <c r="N963" s="203"/>
    </row>
    <row r="964" spans="14:14" ht="15.75" customHeight="1" x14ac:dyDescent="0.25">
      <c r="N964" s="203"/>
    </row>
    <row r="965" spans="14:14" ht="15.75" customHeight="1" x14ac:dyDescent="0.25">
      <c r="N965" s="203"/>
    </row>
    <row r="966" spans="14:14" ht="15.75" customHeight="1" x14ac:dyDescent="0.25">
      <c r="N966" s="203"/>
    </row>
    <row r="967" spans="14:14" ht="15.75" customHeight="1" x14ac:dyDescent="0.25">
      <c r="N967" s="203"/>
    </row>
    <row r="968" spans="14:14" ht="15.75" customHeight="1" x14ac:dyDescent="0.25">
      <c r="N968" s="203"/>
    </row>
    <row r="969" spans="14:14" ht="15.75" customHeight="1" x14ac:dyDescent="0.25">
      <c r="N969" s="203"/>
    </row>
    <row r="970" spans="14:14" ht="15.75" customHeight="1" x14ac:dyDescent="0.25">
      <c r="N970" s="203"/>
    </row>
    <row r="971" spans="14:14" ht="15.75" customHeight="1" x14ac:dyDescent="0.25">
      <c r="N971" s="203"/>
    </row>
    <row r="972" spans="14:14" ht="15.75" customHeight="1" x14ac:dyDescent="0.25">
      <c r="N972" s="203"/>
    </row>
    <row r="973" spans="14:14" ht="15.75" customHeight="1" x14ac:dyDescent="0.25">
      <c r="N973" s="203"/>
    </row>
    <row r="974" spans="14:14" ht="15.75" customHeight="1" x14ac:dyDescent="0.25">
      <c r="N974" s="203"/>
    </row>
    <row r="975" spans="14:14" ht="15.75" customHeight="1" x14ac:dyDescent="0.25">
      <c r="N975" s="203"/>
    </row>
    <row r="976" spans="14:14" ht="15.75" customHeight="1" x14ac:dyDescent="0.25">
      <c r="N976" s="203"/>
    </row>
    <row r="977" spans="14:14" ht="15.75" customHeight="1" x14ac:dyDescent="0.25">
      <c r="N977" s="203"/>
    </row>
    <row r="978" spans="14:14" ht="15.75" customHeight="1" x14ac:dyDescent="0.25">
      <c r="N978" s="203"/>
    </row>
    <row r="979" spans="14:14" ht="15.75" customHeight="1" x14ac:dyDescent="0.25">
      <c r="N979" s="203"/>
    </row>
    <row r="980" spans="14:14" ht="15.75" customHeight="1" x14ac:dyDescent="0.25">
      <c r="N980" s="203"/>
    </row>
    <row r="981" spans="14:14" ht="15.75" customHeight="1" x14ac:dyDescent="0.25">
      <c r="N981" s="203"/>
    </row>
    <row r="982" spans="14:14" ht="15.75" customHeight="1" x14ac:dyDescent="0.25">
      <c r="N982" s="203"/>
    </row>
    <row r="983" spans="14:14" ht="15.75" customHeight="1" x14ac:dyDescent="0.25">
      <c r="N983" s="203"/>
    </row>
    <row r="984" spans="14:14" ht="15.75" customHeight="1" x14ac:dyDescent="0.25">
      <c r="N984" s="203"/>
    </row>
    <row r="985" spans="14:14" ht="15.75" customHeight="1" x14ac:dyDescent="0.25">
      <c r="N985" s="203"/>
    </row>
    <row r="986" spans="14:14" ht="15.75" customHeight="1" x14ac:dyDescent="0.25">
      <c r="N986" s="203"/>
    </row>
    <row r="987" spans="14:14" ht="15.75" customHeight="1" x14ac:dyDescent="0.25">
      <c r="N987" s="203"/>
    </row>
    <row r="988" spans="14:14" ht="15.75" customHeight="1" x14ac:dyDescent="0.25">
      <c r="N988" s="203"/>
    </row>
    <row r="989" spans="14:14" ht="15.75" customHeight="1" x14ac:dyDescent="0.25">
      <c r="N989" s="203"/>
    </row>
    <row r="990" spans="14:14" ht="15.75" customHeight="1" x14ac:dyDescent="0.25">
      <c r="N990" s="203"/>
    </row>
    <row r="991" spans="14:14" ht="15.75" customHeight="1" x14ac:dyDescent="0.25">
      <c r="N991" s="203"/>
    </row>
    <row r="992" spans="14:14" ht="15.75" customHeight="1" x14ac:dyDescent="0.25">
      <c r="N992" s="203"/>
    </row>
    <row r="993" spans="14:14" ht="15.75" customHeight="1" x14ac:dyDescent="0.25">
      <c r="N993" s="203"/>
    </row>
    <row r="994" spans="14:14" ht="15.75" customHeight="1" x14ac:dyDescent="0.25">
      <c r="N994" s="203"/>
    </row>
    <row r="995" spans="14:14" ht="15.75" customHeight="1" x14ac:dyDescent="0.25">
      <c r="N995" s="203"/>
    </row>
    <row r="996" spans="14:14" ht="15.75" customHeight="1" x14ac:dyDescent="0.25">
      <c r="N996" s="203"/>
    </row>
    <row r="997" spans="14:14" ht="15.75" customHeight="1" x14ac:dyDescent="0.25">
      <c r="N997" s="203"/>
    </row>
    <row r="998" spans="14:14" ht="15.75" customHeight="1" x14ac:dyDescent="0.25">
      <c r="N998" s="203"/>
    </row>
    <row r="999" spans="14:14" ht="15.75" customHeight="1" x14ac:dyDescent="0.25">
      <c r="N999" s="203"/>
    </row>
    <row r="1000" spans="14:14" ht="15.75" customHeight="1" x14ac:dyDescent="0.25">
      <c r="N1000" s="203"/>
    </row>
    <row r="1001" spans="14:14" ht="15.75" customHeight="1" x14ac:dyDescent="0.25">
      <c r="N1001" s="203"/>
    </row>
  </sheetData>
  <mergeCells count="69">
    <mergeCell ref="AV5:AV8"/>
    <mergeCell ref="AW5:AW8"/>
    <mergeCell ref="C5:C9"/>
    <mergeCell ref="D5:D9"/>
    <mergeCell ref="E5:E9"/>
    <mergeCell ref="F5:F9"/>
    <mergeCell ref="G5:L5"/>
    <mergeCell ref="M5:O5"/>
    <mergeCell ref="P5:S6"/>
    <mergeCell ref="T5:V5"/>
    <mergeCell ref="G6:I6"/>
    <mergeCell ref="J6:J8"/>
    <mergeCell ref="K6:K8"/>
    <mergeCell ref="L6:L8"/>
    <mergeCell ref="AC7:AC8"/>
    <mergeCell ref="AJ7:AJ8"/>
    <mergeCell ref="AF5:AF8"/>
    <mergeCell ref="AG5:AN5"/>
    <mergeCell ref="AS5:AS8"/>
    <mergeCell ref="AT5:AT8"/>
    <mergeCell ref="AU5:AU8"/>
    <mergeCell ref="AO5:AR6"/>
    <mergeCell ref="AK6:AN6"/>
    <mergeCell ref="AN7:AN8"/>
    <mergeCell ref="AO7:AO8"/>
    <mergeCell ref="AP7:AQ7"/>
    <mergeCell ref="AR7:AR8"/>
    <mergeCell ref="AG6:AJ6"/>
    <mergeCell ref="AL38:AV38"/>
    <mergeCell ref="AD39:AJ39"/>
    <mergeCell ref="AL39:AV39"/>
    <mergeCell ref="AD41:AJ41"/>
    <mergeCell ref="AL41:AV41"/>
    <mergeCell ref="C39:E39"/>
    <mergeCell ref="C41:E41"/>
    <mergeCell ref="H7:H8"/>
    <mergeCell ref="I7:I8"/>
    <mergeCell ref="I39:Z39"/>
    <mergeCell ref="I41:Z41"/>
    <mergeCell ref="M6:M8"/>
    <mergeCell ref="N6:N8"/>
    <mergeCell ref="O6:O8"/>
    <mergeCell ref="T6:T8"/>
    <mergeCell ref="P7:P8"/>
    <mergeCell ref="Q7:Q8"/>
    <mergeCell ref="R7:R8"/>
    <mergeCell ref="S7:S8"/>
    <mergeCell ref="V6:V8"/>
    <mergeCell ref="Z7:Z8"/>
    <mergeCell ref="B5:B9"/>
    <mergeCell ref="G7:G8"/>
    <mergeCell ref="Y7:Y8"/>
    <mergeCell ref="A36:C36"/>
    <mergeCell ref="A5:A9"/>
    <mergeCell ref="W5:AD5"/>
    <mergeCell ref="U6:U8"/>
    <mergeCell ref="A1:B3"/>
    <mergeCell ref="C1:K3"/>
    <mergeCell ref="L1:AJ2"/>
    <mergeCell ref="AK1:AL2"/>
    <mergeCell ref="A4:F4"/>
    <mergeCell ref="AE5:AE8"/>
    <mergeCell ref="W6:Z6"/>
    <mergeCell ref="AA6:AC6"/>
    <mergeCell ref="AD6:AD8"/>
    <mergeCell ref="W7:W8"/>
    <mergeCell ref="X7:X8"/>
    <mergeCell ref="AA7:AA8"/>
    <mergeCell ref="AB7:AB8"/>
  </mergeCells>
  <pageMargins left="3.937007874015748E-2" right="0" top="0.35433070866141736" bottom="0.15748031496062992" header="0" footer="0"/>
  <pageSetup paperSize="9" scale="2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7CAAC"/>
  </sheetPr>
  <dimension ref="A1:V1000"/>
  <sheetViews>
    <sheetView showGridLines="0" workbookViewId="0"/>
  </sheetViews>
  <sheetFormatPr defaultColWidth="12.6640625" defaultRowHeight="15" customHeight="1" x14ac:dyDescent="0.25"/>
  <cols>
    <col min="1" max="1" width="5.6640625" customWidth="1"/>
    <col min="2" max="2" width="9.33203125" customWidth="1"/>
    <col min="3" max="3" width="19.6640625" customWidth="1"/>
    <col min="4" max="4" width="26.21875" customWidth="1"/>
    <col min="5" max="5" width="20.33203125" customWidth="1"/>
    <col min="6" max="6" width="7.88671875" customWidth="1"/>
    <col min="7" max="7" width="13" customWidth="1"/>
    <col min="8" max="14" width="12" customWidth="1"/>
    <col min="15" max="15" width="12.88671875" customWidth="1"/>
    <col min="16" max="16" width="12" customWidth="1"/>
    <col min="17" max="17" width="9.88671875" customWidth="1"/>
    <col min="18" max="18" width="14.33203125" customWidth="1"/>
    <col min="19" max="19" width="13.109375" customWidth="1"/>
    <col min="20" max="20" width="12" customWidth="1"/>
    <col min="21" max="21" width="13.33203125" customWidth="1"/>
    <col min="22" max="22" width="16.21875" customWidth="1"/>
  </cols>
  <sheetData>
    <row r="1" spans="1:22" ht="20.25" customHeight="1" x14ac:dyDescent="0.25">
      <c r="A1" s="662"/>
      <c r="B1" s="561"/>
      <c r="C1" s="664" t="s">
        <v>229</v>
      </c>
      <c r="D1" s="561"/>
      <c r="E1" s="561"/>
      <c r="F1" s="548"/>
      <c r="G1" s="201"/>
      <c r="H1" s="201"/>
      <c r="I1" s="666" t="s">
        <v>230</v>
      </c>
      <c r="J1" s="502"/>
      <c r="K1" s="502"/>
      <c r="L1" s="502"/>
      <c r="M1" s="502"/>
      <c r="N1" s="502"/>
      <c r="O1" s="502"/>
      <c r="P1" s="502"/>
      <c r="Q1" s="249"/>
      <c r="R1" s="201"/>
      <c r="S1" s="201"/>
      <c r="T1" s="250"/>
      <c r="U1" s="201"/>
      <c r="V1" s="201"/>
    </row>
    <row r="2" spans="1:22" ht="20.25" customHeight="1" x14ac:dyDescent="0.25">
      <c r="A2" s="562"/>
      <c r="B2" s="502"/>
      <c r="C2" s="502"/>
      <c r="D2" s="502"/>
      <c r="E2" s="502"/>
      <c r="F2" s="665"/>
      <c r="G2" s="201"/>
      <c r="H2" s="201"/>
      <c r="I2" s="502"/>
      <c r="J2" s="502"/>
      <c r="K2" s="502"/>
      <c r="L2" s="502"/>
      <c r="M2" s="502"/>
      <c r="N2" s="502"/>
      <c r="O2" s="502"/>
      <c r="P2" s="502"/>
      <c r="Q2" s="249"/>
      <c r="R2" s="201"/>
      <c r="S2" s="201"/>
      <c r="T2" s="250"/>
      <c r="U2" s="201"/>
      <c r="V2" s="201"/>
    </row>
    <row r="3" spans="1:22" ht="20.25" customHeight="1" x14ac:dyDescent="0.25">
      <c r="A3" s="549"/>
      <c r="B3" s="663"/>
      <c r="C3" s="663"/>
      <c r="D3" s="663"/>
      <c r="E3" s="663"/>
      <c r="F3" s="550"/>
      <c r="G3" s="201"/>
      <c r="H3" s="201"/>
      <c r="I3" s="502"/>
      <c r="J3" s="502"/>
      <c r="K3" s="502"/>
      <c r="L3" s="502"/>
      <c r="M3" s="502"/>
      <c r="N3" s="502"/>
      <c r="O3" s="502"/>
      <c r="P3" s="502"/>
      <c r="Q3" s="249"/>
      <c r="R3" s="201"/>
      <c r="S3" s="201"/>
      <c r="T3" s="250"/>
      <c r="U3" s="201"/>
      <c r="V3" s="201"/>
    </row>
    <row r="4" spans="1:22" ht="27.75" customHeight="1" x14ac:dyDescent="0.25">
      <c r="A4" s="603" t="s">
        <v>1</v>
      </c>
      <c r="B4" s="603" t="s">
        <v>231</v>
      </c>
      <c r="C4" s="603" t="s">
        <v>41</v>
      </c>
      <c r="D4" s="603" t="s">
        <v>232</v>
      </c>
      <c r="E4" s="603" t="s">
        <v>233</v>
      </c>
      <c r="F4" s="603" t="s">
        <v>234</v>
      </c>
      <c r="G4" s="661" t="s">
        <v>235</v>
      </c>
      <c r="H4" s="668" t="s">
        <v>236</v>
      </c>
      <c r="I4" s="531"/>
      <c r="J4" s="532"/>
      <c r="K4" s="668" t="s">
        <v>237</v>
      </c>
      <c r="L4" s="531"/>
      <c r="M4" s="669"/>
      <c r="N4" s="667" t="s">
        <v>238</v>
      </c>
      <c r="O4" s="667" t="s">
        <v>239</v>
      </c>
      <c r="P4" s="668" t="s">
        <v>240</v>
      </c>
      <c r="Q4" s="531"/>
      <c r="R4" s="531"/>
      <c r="S4" s="531"/>
      <c r="T4" s="532"/>
      <c r="U4" s="661" t="s">
        <v>241</v>
      </c>
      <c r="V4" s="661" t="s">
        <v>242</v>
      </c>
    </row>
    <row r="5" spans="1:22" ht="18.75" customHeight="1" x14ac:dyDescent="0.25">
      <c r="A5" s="637"/>
      <c r="B5" s="637"/>
      <c r="C5" s="637"/>
      <c r="D5" s="637"/>
      <c r="E5" s="637"/>
      <c r="F5" s="637"/>
      <c r="G5" s="637"/>
      <c r="H5" s="667" t="s">
        <v>143</v>
      </c>
      <c r="I5" s="667" t="s">
        <v>243</v>
      </c>
      <c r="J5" s="667" t="s">
        <v>145</v>
      </c>
      <c r="K5" s="667" t="s">
        <v>244</v>
      </c>
      <c r="L5" s="667" t="s">
        <v>245</v>
      </c>
      <c r="M5" s="667" t="s">
        <v>246</v>
      </c>
      <c r="N5" s="637"/>
      <c r="O5" s="637"/>
      <c r="P5" s="661" t="s">
        <v>213</v>
      </c>
      <c r="Q5" s="673" t="s">
        <v>247</v>
      </c>
      <c r="R5" s="532"/>
      <c r="S5" s="661" t="s">
        <v>248</v>
      </c>
      <c r="T5" s="661" t="s">
        <v>249</v>
      </c>
      <c r="U5" s="637"/>
      <c r="V5" s="637"/>
    </row>
    <row r="6" spans="1:22" ht="18.75" customHeight="1" x14ac:dyDescent="0.25">
      <c r="A6" s="604"/>
      <c r="B6" s="604"/>
      <c r="C6" s="604"/>
      <c r="D6" s="604"/>
      <c r="E6" s="604"/>
      <c r="F6" s="604"/>
      <c r="G6" s="604"/>
      <c r="H6" s="604"/>
      <c r="I6" s="604"/>
      <c r="J6" s="604"/>
      <c r="K6" s="604"/>
      <c r="L6" s="604"/>
      <c r="M6" s="604"/>
      <c r="N6" s="604"/>
      <c r="O6" s="604"/>
      <c r="P6" s="604"/>
      <c r="Q6" s="251" t="s">
        <v>250</v>
      </c>
      <c r="R6" s="252" t="s">
        <v>251</v>
      </c>
      <c r="S6" s="604"/>
      <c r="T6" s="604"/>
      <c r="U6" s="604"/>
      <c r="V6" s="604"/>
    </row>
    <row r="7" spans="1:22" ht="33" customHeight="1" x14ac:dyDescent="0.25">
      <c r="A7" s="253">
        <v>1</v>
      </c>
      <c r="B7" s="254" t="s">
        <v>101</v>
      </c>
      <c r="C7" s="255" t="s">
        <v>39</v>
      </c>
      <c r="D7" s="255" t="s">
        <v>252</v>
      </c>
      <c r="E7" s="256" t="s">
        <v>253</v>
      </c>
      <c r="F7" s="34"/>
      <c r="G7" s="257" t="e">
        <f>VLOOKUP(B7,'6.Bảng lương  '!$B$16:$AW40,34,0)</f>
        <v>#N/A</v>
      </c>
      <c r="H7" s="257" t="e">
        <f>VLOOKUP(B7,'6.Bảng lương  '!$B$16:$AW40,25,0)</f>
        <v>#N/A</v>
      </c>
      <c r="I7" s="257" t="e">
        <f>VLOOKUP(B7, '6.Bảng lương  '!$B$16:$AW40, 26,0)</f>
        <v>#N/A</v>
      </c>
      <c r="J7" s="257" t="e">
        <f>VLOOKUP(B7, '6.Bảng lương  '!$B$16:$AW40,27,0)</f>
        <v>#N/A</v>
      </c>
      <c r="K7" s="257" t="e">
        <f>VLOOKUP(B7, '6.Bảng lương  '!$B$16:$AW40, 29,0)</f>
        <v>#N/A</v>
      </c>
      <c r="L7" s="257" t="e">
        <f>VLOOKUP(B7, '6.Bảng lương  '!$B$16:$AW40, 31,0)</f>
        <v>#N/A</v>
      </c>
      <c r="M7" s="257" t="e">
        <f>VLOOKUP(B7, '6.Bảng lương  '!$B$16:$AW40, 30,0)</f>
        <v>#N/A</v>
      </c>
      <c r="N7" s="257" t="e">
        <f t="shared" ref="N7:N10" si="0">SUM(H7:M7)</f>
        <v>#N/A</v>
      </c>
      <c r="O7" s="257" t="e">
        <f t="shared" ref="O7:O10" si="1">G7-H7-I7-J7</f>
        <v>#N/A</v>
      </c>
      <c r="P7" s="257" t="e">
        <f>VLOOKUP(B7, '6.Bảng lương  '!$B$16:$AW40,44,0)</f>
        <v>#N/A</v>
      </c>
      <c r="Q7" s="258" t="e">
        <f>VLOOKUP(B7, '6.Bảng lương  '!$B$16:$AW40,45,0)</f>
        <v>#N/A</v>
      </c>
      <c r="R7" s="259" t="e">
        <f t="shared" ref="R7:R10" si="2">Q7*4400000</f>
        <v>#N/A</v>
      </c>
      <c r="S7" s="259" t="e">
        <f t="shared" ref="S7:S10" si="3">+P7+R7</f>
        <v>#N/A</v>
      </c>
      <c r="T7" s="259" t="e">
        <f>VLOOKUP(B7, '6.Bảng lương  '!$B$16:$AW40,43,0)</f>
        <v>#N/A</v>
      </c>
      <c r="U7" s="259">
        <v>0</v>
      </c>
      <c r="V7" s="259">
        <f t="shared" ref="V7:V10" si="4">IF(U7&lt;=0,,IF(AND(U7&gt;0,U7&lt;=5000000),5%*U7,IF(AND(U7&gt;5000000,U7&lt;=10000000),10%*U7-250000,IF(AND(U7&gt;10000000,U7&lt;=18000000),15%*U7-750000,IF(AND(U7&gt;18000000,U7&lt;=32000000),20%*U7-1650000,IF(AND(U7&gt;32000000,U7&lt;=52000000),25%*U7-3250000,IF(AND(U7&gt;52000000,U7&lt;=80000000),30%*U7-5850000,IF(U7&gt;80000000,35%*U7-9850000))))))))</f>
        <v>0</v>
      </c>
    </row>
    <row r="8" spans="1:22" ht="31.5" customHeight="1" x14ac:dyDescent="0.25">
      <c r="A8" s="253">
        <v>2</v>
      </c>
      <c r="B8" s="260" t="s">
        <v>46</v>
      </c>
      <c r="C8" s="255" t="s">
        <v>47</v>
      </c>
      <c r="D8" s="255" t="s">
        <v>252</v>
      </c>
      <c r="E8" s="256" t="s">
        <v>254</v>
      </c>
      <c r="F8" s="34"/>
      <c r="G8" s="257" t="e">
        <f>VLOOKUP(B8,'6.Bảng lương  '!$B$16:$AW40,34,0)</f>
        <v>#N/A</v>
      </c>
      <c r="H8" s="257" t="e">
        <f>VLOOKUP(B8,'6.Bảng lương  '!$B$16:$AW40,25,0)</f>
        <v>#N/A</v>
      </c>
      <c r="I8" s="257" t="e">
        <f>VLOOKUP(B8, '6.Bảng lương  '!$B$16:$AW40, 26,0)</f>
        <v>#N/A</v>
      </c>
      <c r="J8" s="257" t="e">
        <f>VLOOKUP(B8, '6.Bảng lương  '!$B$16:$AW40,27,0)</f>
        <v>#N/A</v>
      </c>
      <c r="K8" s="257" t="e">
        <f>VLOOKUP(B8, '6.Bảng lương  '!$B$16:$AW40, 29,0)</f>
        <v>#N/A</v>
      </c>
      <c r="L8" s="257" t="e">
        <f>VLOOKUP(B8, '6.Bảng lương  '!$B$16:$AW40, 31,0)</f>
        <v>#N/A</v>
      </c>
      <c r="M8" s="257" t="e">
        <f>VLOOKUP(B8, '6.Bảng lương  '!$B$16:$AW40, 30,0)</f>
        <v>#N/A</v>
      </c>
      <c r="N8" s="257" t="e">
        <f t="shared" si="0"/>
        <v>#N/A</v>
      </c>
      <c r="O8" s="257" t="e">
        <f t="shared" si="1"/>
        <v>#N/A</v>
      </c>
      <c r="P8" s="257" t="e">
        <f>VLOOKUP(B8, '6.Bảng lương  '!$B$16:$AW40,44,0)</f>
        <v>#N/A</v>
      </c>
      <c r="Q8" s="258" t="e">
        <f>VLOOKUP(B8, '6.Bảng lương  '!$B$16:$AW40,45,0)</f>
        <v>#N/A</v>
      </c>
      <c r="R8" s="259" t="e">
        <f t="shared" si="2"/>
        <v>#N/A</v>
      </c>
      <c r="S8" s="259" t="e">
        <f t="shared" si="3"/>
        <v>#N/A</v>
      </c>
      <c r="T8" s="259" t="e">
        <f>VLOOKUP(B8, '6.Bảng lương  '!$B$16:$AW40,43,0)</f>
        <v>#N/A</v>
      </c>
      <c r="U8" s="259" t="e">
        <f>O8-S8-T8</f>
        <v>#N/A</v>
      </c>
      <c r="V8" s="259" t="e">
        <f t="shared" si="4"/>
        <v>#N/A</v>
      </c>
    </row>
    <row r="9" spans="1:22" ht="27" customHeight="1" x14ac:dyDescent="0.25">
      <c r="A9" s="253">
        <v>3</v>
      </c>
      <c r="B9" s="260" t="s">
        <v>48</v>
      </c>
      <c r="C9" s="255" t="s">
        <v>255</v>
      </c>
      <c r="D9" s="255" t="s">
        <v>252</v>
      </c>
      <c r="E9" s="256" t="s">
        <v>102</v>
      </c>
      <c r="F9" s="34"/>
      <c r="G9" s="257" t="e">
        <f>VLOOKUP(B9,'6.Bảng lương  '!$B$16:$AW40,34,0)</f>
        <v>#N/A</v>
      </c>
      <c r="H9" s="257" t="e">
        <f>VLOOKUP(B9,'6.Bảng lương  '!$B$16:$AW40,25,0)</f>
        <v>#N/A</v>
      </c>
      <c r="I9" s="257" t="e">
        <f>VLOOKUP(B9, '6.Bảng lương  '!$B$16:$AW40, 26,0)</f>
        <v>#N/A</v>
      </c>
      <c r="J9" s="257" t="e">
        <f>VLOOKUP(B9, '6.Bảng lương  '!$B$16:$AW40,27,0)</f>
        <v>#N/A</v>
      </c>
      <c r="K9" s="257" t="e">
        <f>VLOOKUP(B9, '6.Bảng lương  '!$B$16:$AW40, 29,0)</f>
        <v>#N/A</v>
      </c>
      <c r="L9" s="257" t="e">
        <f>VLOOKUP(B9, '6.Bảng lương  '!$B$16:$AW40, 31,0)</f>
        <v>#N/A</v>
      </c>
      <c r="M9" s="257" t="e">
        <f>VLOOKUP(B9, '6.Bảng lương  '!$B$16:$AW40, 30,0)</f>
        <v>#N/A</v>
      </c>
      <c r="N9" s="257" t="e">
        <f t="shared" si="0"/>
        <v>#N/A</v>
      </c>
      <c r="O9" s="257" t="e">
        <f t="shared" si="1"/>
        <v>#N/A</v>
      </c>
      <c r="P9" s="257" t="e">
        <f>VLOOKUP(B9, '6.Bảng lương  '!$B$16:$AW40,44,0)</f>
        <v>#N/A</v>
      </c>
      <c r="Q9" s="258" t="e">
        <f>VLOOKUP(B9, '6.Bảng lương  '!$B$16:$AW40,45,0)</f>
        <v>#N/A</v>
      </c>
      <c r="R9" s="259" t="e">
        <f t="shared" si="2"/>
        <v>#N/A</v>
      </c>
      <c r="S9" s="259" t="e">
        <f t="shared" si="3"/>
        <v>#N/A</v>
      </c>
      <c r="T9" s="259" t="e">
        <f>VLOOKUP(B9, '6.Bảng lương  '!$B$16:$AW40,43,0)</f>
        <v>#N/A</v>
      </c>
      <c r="U9" s="259">
        <v>0</v>
      </c>
      <c r="V9" s="259">
        <f t="shared" si="4"/>
        <v>0</v>
      </c>
    </row>
    <row r="10" spans="1:22" ht="30" customHeight="1" x14ac:dyDescent="0.25">
      <c r="A10" s="253">
        <v>4</v>
      </c>
      <c r="B10" s="261" t="s">
        <v>256</v>
      </c>
      <c r="C10" s="261" t="s">
        <v>257</v>
      </c>
      <c r="D10" s="255" t="s">
        <v>252</v>
      </c>
      <c r="E10" s="262" t="s">
        <v>258</v>
      </c>
      <c r="F10" s="253"/>
      <c r="G10" s="257" t="e">
        <f>VLOOKUP(B10,'6.Bảng lương  '!$B$16:$AW40,34,0)</f>
        <v>#N/A</v>
      </c>
      <c r="H10" s="257" t="e">
        <f>VLOOKUP(B10,'6.Bảng lương  '!$B$16:$AW40,25,0)</f>
        <v>#N/A</v>
      </c>
      <c r="I10" s="257" t="e">
        <f>VLOOKUP(B10, '6.Bảng lương  '!$B$16:$AW40, 26,0)</f>
        <v>#N/A</v>
      </c>
      <c r="J10" s="257" t="e">
        <f>VLOOKUP(B10, '6.Bảng lương  '!$B$16:$AW40,27,0)</f>
        <v>#N/A</v>
      </c>
      <c r="K10" s="257" t="e">
        <f>VLOOKUP(B10, '6.Bảng lương  '!$B$16:$AW40, 29,0)</f>
        <v>#N/A</v>
      </c>
      <c r="L10" s="257" t="e">
        <f>VLOOKUP(B10, '6.Bảng lương  '!$B$16:$AW40, 31,0)</f>
        <v>#N/A</v>
      </c>
      <c r="M10" s="257" t="e">
        <f>VLOOKUP(B10, '6.Bảng lương  '!$B$16:$AW40, 30,0)</f>
        <v>#N/A</v>
      </c>
      <c r="N10" s="257" t="e">
        <f t="shared" si="0"/>
        <v>#N/A</v>
      </c>
      <c r="O10" s="257" t="e">
        <f t="shared" si="1"/>
        <v>#N/A</v>
      </c>
      <c r="P10" s="257" t="e">
        <f>VLOOKUP(B10, '6.Bảng lương  '!$B$16:$AW40,44,0)</f>
        <v>#N/A</v>
      </c>
      <c r="Q10" s="258" t="e">
        <f>VLOOKUP(B10, '6.Bảng lương  '!$B$16:$AW40,45,0)</f>
        <v>#N/A</v>
      </c>
      <c r="R10" s="259" t="e">
        <f t="shared" si="2"/>
        <v>#N/A</v>
      </c>
      <c r="S10" s="259" t="e">
        <f t="shared" si="3"/>
        <v>#N/A</v>
      </c>
      <c r="T10" s="259" t="e">
        <f>VLOOKUP(B10, '6.Bảng lương  '!$B$16:$AW40,43,0)</f>
        <v>#N/A</v>
      </c>
      <c r="U10" s="259">
        <v>0</v>
      </c>
      <c r="V10" s="259">
        <f t="shared" si="4"/>
        <v>0</v>
      </c>
    </row>
    <row r="11" spans="1:22" ht="20.25" customHeight="1" x14ac:dyDescent="0.25">
      <c r="A11" s="660" t="s">
        <v>259</v>
      </c>
      <c r="B11" s="531"/>
      <c r="C11" s="532"/>
      <c r="D11" s="263"/>
      <c r="E11" s="263"/>
      <c r="F11" s="33"/>
      <c r="G11" s="264" t="e">
        <f t="shared" ref="G11:V11" si="5">SUBTOTAL(9,G7:G10)</f>
        <v>#N/A</v>
      </c>
      <c r="H11" s="264" t="e">
        <f t="shared" si="5"/>
        <v>#N/A</v>
      </c>
      <c r="I11" s="264" t="e">
        <f t="shared" si="5"/>
        <v>#N/A</v>
      </c>
      <c r="J11" s="264" t="e">
        <f t="shared" si="5"/>
        <v>#N/A</v>
      </c>
      <c r="K11" s="264" t="e">
        <f t="shared" si="5"/>
        <v>#N/A</v>
      </c>
      <c r="L11" s="264" t="e">
        <f t="shared" si="5"/>
        <v>#N/A</v>
      </c>
      <c r="M11" s="264" t="e">
        <f t="shared" si="5"/>
        <v>#N/A</v>
      </c>
      <c r="N11" s="264" t="e">
        <f t="shared" si="5"/>
        <v>#N/A</v>
      </c>
      <c r="O11" s="264" t="e">
        <f t="shared" si="5"/>
        <v>#N/A</v>
      </c>
      <c r="P11" s="264" t="e">
        <f t="shared" si="5"/>
        <v>#N/A</v>
      </c>
      <c r="Q11" s="264" t="e">
        <f t="shared" si="5"/>
        <v>#N/A</v>
      </c>
      <c r="R11" s="264" t="e">
        <f t="shared" si="5"/>
        <v>#N/A</v>
      </c>
      <c r="S11" s="264" t="e">
        <f t="shared" si="5"/>
        <v>#N/A</v>
      </c>
      <c r="T11" s="264" t="e">
        <f t="shared" si="5"/>
        <v>#N/A</v>
      </c>
      <c r="U11" s="264" t="e">
        <f t="shared" si="5"/>
        <v>#N/A</v>
      </c>
      <c r="V11" s="264" t="e">
        <f t="shared" si="5"/>
        <v>#N/A</v>
      </c>
    </row>
    <row r="12" spans="1:22" ht="25.5" customHeight="1" x14ac:dyDescent="0.25">
      <c r="A12" s="265"/>
      <c r="B12" s="265"/>
      <c r="C12" s="266"/>
      <c r="D12" s="266"/>
      <c r="E12" s="267"/>
      <c r="F12" s="267"/>
      <c r="G12" s="268"/>
      <c r="H12" s="269"/>
      <c r="I12" s="269"/>
      <c r="J12" s="269"/>
      <c r="K12" s="269"/>
      <c r="L12" s="269"/>
      <c r="M12" s="269"/>
      <c r="N12" s="269"/>
      <c r="O12" s="268"/>
      <c r="P12" s="269"/>
      <c r="Q12" s="670" t="s">
        <v>260</v>
      </c>
      <c r="R12" s="502"/>
      <c r="S12" s="502"/>
      <c r="T12" s="502"/>
      <c r="U12" s="502"/>
      <c r="V12" s="502"/>
    </row>
    <row r="13" spans="1:22" ht="20.25" customHeight="1" x14ac:dyDescent="0.3">
      <c r="A13" s="44"/>
      <c r="B13" s="44"/>
      <c r="C13" s="44"/>
      <c r="D13" s="635" t="s">
        <v>52</v>
      </c>
      <c r="E13" s="502"/>
      <c r="F13" s="502"/>
      <c r="G13" s="502"/>
      <c r="H13" s="517" t="s">
        <v>261</v>
      </c>
      <c r="I13" s="502"/>
      <c r="J13" s="502"/>
      <c r="K13" s="502"/>
      <c r="L13" s="502"/>
      <c r="M13" s="44"/>
      <c r="N13" s="501" t="s">
        <v>262</v>
      </c>
      <c r="O13" s="502"/>
      <c r="P13" s="502"/>
      <c r="Q13" s="671" t="s">
        <v>263</v>
      </c>
      <c r="R13" s="502"/>
      <c r="S13" s="502"/>
      <c r="T13" s="502"/>
      <c r="U13" s="502"/>
      <c r="V13" s="502"/>
    </row>
    <row r="14" spans="1:22" ht="20.25" customHeight="1" x14ac:dyDescent="0.3">
      <c r="A14" s="237"/>
      <c r="B14" s="237"/>
      <c r="C14" s="270"/>
      <c r="D14" s="270"/>
      <c r="E14" s="46"/>
      <c r="F14" s="44"/>
      <c r="G14" s="46"/>
      <c r="H14" s="39"/>
      <c r="I14" s="237"/>
      <c r="J14" s="237"/>
      <c r="K14" s="237"/>
      <c r="L14" s="237"/>
      <c r="M14" s="237"/>
      <c r="N14" s="269"/>
      <c r="O14" s="268"/>
      <c r="P14" s="269"/>
      <c r="Q14" s="271"/>
      <c r="R14" s="272"/>
      <c r="S14" s="272"/>
      <c r="T14" s="237"/>
      <c r="U14" s="273"/>
      <c r="V14" s="269"/>
    </row>
    <row r="15" spans="1:22" ht="20.25" customHeight="1" x14ac:dyDescent="0.3">
      <c r="A15" s="237"/>
      <c r="B15" s="237"/>
      <c r="C15" s="270"/>
      <c r="D15" s="270"/>
      <c r="E15" s="46"/>
      <c r="F15" s="44"/>
      <c r="G15" s="46"/>
      <c r="H15" s="39"/>
      <c r="I15" s="237"/>
      <c r="J15" s="237"/>
      <c r="K15" s="237"/>
      <c r="L15" s="237"/>
      <c r="M15" s="237"/>
      <c r="N15" s="269"/>
      <c r="O15" s="268"/>
      <c r="P15" s="269"/>
      <c r="Q15" s="271"/>
      <c r="R15" s="272"/>
      <c r="S15" s="272"/>
      <c r="T15" s="237"/>
      <c r="U15" s="273"/>
      <c r="V15" s="269"/>
    </row>
    <row r="16" spans="1:22" ht="20.25" customHeight="1" x14ac:dyDescent="0.3">
      <c r="A16" s="45"/>
      <c r="B16" s="45"/>
      <c r="C16" s="270"/>
      <c r="D16" s="270"/>
      <c r="E16" s="46"/>
      <c r="F16" s="245"/>
      <c r="G16" s="46"/>
      <c r="H16" s="39"/>
      <c r="I16" s="274"/>
      <c r="J16" s="274"/>
      <c r="K16" s="274"/>
      <c r="L16" s="274"/>
      <c r="M16" s="274"/>
      <c r="N16" s="269"/>
      <c r="O16" s="268"/>
      <c r="P16" s="269"/>
      <c r="Q16" s="275"/>
      <c r="R16" s="276"/>
      <c r="S16" s="276"/>
      <c r="T16" s="274"/>
      <c r="U16" s="273"/>
      <c r="V16" s="269"/>
    </row>
    <row r="17" spans="1:22" ht="20.25" customHeight="1" x14ac:dyDescent="0.3">
      <c r="A17" s="45"/>
      <c r="B17" s="45"/>
      <c r="C17" s="270"/>
      <c r="D17" s="270"/>
      <c r="E17" s="46"/>
      <c r="F17" s="245"/>
      <c r="G17" s="46"/>
      <c r="H17" s="39"/>
      <c r="I17" s="274"/>
      <c r="J17" s="274"/>
      <c r="K17" s="274"/>
      <c r="L17" s="274"/>
      <c r="M17" s="274"/>
      <c r="N17" s="269"/>
      <c r="O17" s="268"/>
      <c r="P17" s="269"/>
      <c r="Q17" s="275"/>
      <c r="R17" s="276"/>
      <c r="S17" s="276"/>
      <c r="T17" s="274"/>
      <c r="U17" s="273"/>
      <c r="V17" s="269"/>
    </row>
    <row r="18" spans="1:22" ht="20.25" customHeight="1" x14ac:dyDescent="0.3">
      <c r="A18" s="45"/>
      <c r="B18" s="45"/>
      <c r="C18" s="270"/>
      <c r="D18" s="270"/>
      <c r="E18" s="46"/>
      <c r="F18" s="245"/>
      <c r="G18" s="46"/>
      <c r="H18" s="501"/>
      <c r="I18" s="502"/>
      <c r="J18" s="502"/>
      <c r="K18" s="274"/>
      <c r="L18" s="274"/>
      <c r="M18" s="274"/>
      <c r="N18" s="269"/>
      <c r="O18" s="268"/>
      <c r="P18" s="269"/>
      <c r="Q18" s="275"/>
      <c r="R18" s="276"/>
      <c r="S18" s="276"/>
      <c r="T18" s="274"/>
      <c r="U18" s="273"/>
      <c r="V18" s="269"/>
    </row>
    <row r="19" spans="1:22" ht="20.25" customHeight="1" x14ac:dyDescent="0.3">
      <c r="A19" s="44"/>
      <c r="B19" s="44"/>
      <c r="C19" s="44"/>
      <c r="D19" s="635" t="s">
        <v>264</v>
      </c>
      <c r="E19" s="502"/>
      <c r="F19" s="502"/>
      <c r="G19" s="502"/>
      <c r="H19" s="501" t="s">
        <v>265</v>
      </c>
      <c r="I19" s="502"/>
      <c r="J19" s="502"/>
      <c r="K19" s="502"/>
      <c r="L19" s="502"/>
      <c r="M19" s="44"/>
      <c r="N19" s="501" t="s">
        <v>221</v>
      </c>
      <c r="O19" s="502"/>
      <c r="P19" s="502"/>
      <c r="Q19" s="672" t="s">
        <v>266</v>
      </c>
      <c r="R19" s="502"/>
      <c r="S19" s="502"/>
      <c r="T19" s="502"/>
      <c r="U19" s="502"/>
      <c r="V19" s="502"/>
    </row>
    <row r="21" spans="1:22" ht="15.75" customHeight="1" x14ac:dyDescent="0.25"/>
    <row r="22" spans="1:22" ht="15.75" customHeight="1" x14ac:dyDescent="0.25"/>
    <row r="23" spans="1:22" ht="15.75" customHeight="1" x14ac:dyDescent="0.25"/>
    <row r="24" spans="1:22" ht="15.75" customHeight="1" x14ac:dyDescent="0.25"/>
    <row r="25" spans="1:22" ht="15.75" customHeight="1" x14ac:dyDescent="0.25"/>
    <row r="26" spans="1:22" ht="15.75" customHeight="1" x14ac:dyDescent="0.25"/>
    <row r="27" spans="1:22" ht="15.75" customHeight="1" x14ac:dyDescent="0.25"/>
    <row r="28" spans="1:22" ht="15.75" customHeight="1" x14ac:dyDescent="0.25"/>
    <row r="29" spans="1:22" ht="15.75" customHeight="1" x14ac:dyDescent="0.25"/>
    <row r="30" spans="1:22" ht="15.75" customHeight="1" x14ac:dyDescent="0.25"/>
    <row r="31" spans="1:22" ht="15.75" customHeight="1" x14ac:dyDescent="0.25"/>
    <row r="32" spans="1:2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8">
    <mergeCell ref="P4:T4"/>
    <mergeCell ref="U4:U6"/>
    <mergeCell ref="V4:V6"/>
    <mergeCell ref="K5:K6"/>
    <mergeCell ref="L5:L6"/>
    <mergeCell ref="T5:T6"/>
    <mergeCell ref="Q5:R5"/>
    <mergeCell ref="S5:S6"/>
    <mergeCell ref="Q12:V12"/>
    <mergeCell ref="Q13:V13"/>
    <mergeCell ref="Q19:V19"/>
    <mergeCell ref="H18:J18"/>
    <mergeCell ref="H19:L19"/>
    <mergeCell ref="N13:P13"/>
    <mergeCell ref="N19:P19"/>
    <mergeCell ref="H13:L13"/>
    <mergeCell ref="A1:B3"/>
    <mergeCell ref="C1:F3"/>
    <mergeCell ref="I1:P3"/>
    <mergeCell ref="A4:A6"/>
    <mergeCell ref="B4:B6"/>
    <mergeCell ref="C4:C6"/>
    <mergeCell ref="D4:D6"/>
    <mergeCell ref="O4:O6"/>
    <mergeCell ref="M5:M6"/>
    <mergeCell ref="P5:P6"/>
    <mergeCell ref="K4:M4"/>
    <mergeCell ref="N4:N6"/>
    <mergeCell ref="H4:J4"/>
    <mergeCell ref="H5:H6"/>
    <mergeCell ref="I5:I6"/>
    <mergeCell ref="J5:J6"/>
    <mergeCell ref="E4:E6"/>
    <mergeCell ref="F4:F6"/>
    <mergeCell ref="A11:C11"/>
    <mergeCell ref="D13:G13"/>
    <mergeCell ref="D19:G19"/>
    <mergeCell ref="G4:G6"/>
  </mergeCells>
  <printOptions horizontalCentered="1"/>
  <pageMargins left="0.2" right="0.2" top="0.33" bottom="0.42" header="0" footer="0"/>
  <pageSetup paperSize="9" scale="5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6"/>
  <sheetViews>
    <sheetView workbookViewId="0">
      <pane xSplit="4" ySplit="4" topLeftCell="E5" activePane="bottomRight" state="frozen"/>
      <selection pane="topRight" activeCell="E1" sqref="E1"/>
      <selection pane="bottomLeft" activeCell="A5" sqref="A5"/>
      <selection pane="bottomRight" activeCell="J17" sqref="J17"/>
    </sheetView>
  </sheetViews>
  <sheetFormatPr defaultColWidth="12.6640625" defaultRowHeight="15" customHeight="1" outlineLevelCol="1" x14ac:dyDescent="0.25"/>
  <cols>
    <col min="1" max="1" width="4.88671875" customWidth="1"/>
    <col min="2" max="2" width="8.21875" customWidth="1"/>
    <col min="3" max="3" width="16.6640625" customWidth="1"/>
    <col min="4" max="4" width="10.109375" customWidth="1"/>
    <col min="5" max="5" width="16.33203125" customWidth="1" outlineLevel="1"/>
    <col min="6" max="6" width="5.109375" customWidth="1" outlineLevel="1"/>
    <col min="7" max="7" width="16.21875" customWidth="1" outlineLevel="1"/>
    <col min="8" max="8" width="9" customWidth="1" outlineLevel="1"/>
    <col min="9" max="9" width="11.109375" customWidth="1" outlineLevel="1"/>
    <col min="10" max="10" width="9.109375" customWidth="1" outlineLevel="1"/>
    <col min="11" max="11" width="16.88671875" customWidth="1"/>
    <col min="12" max="12" width="14.21875" customWidth="1"/>
    <col min="13" max="14" width="11.33203125" customWidth="1"/>
    <col min="15" max="15" width="19.6640625" customWidth="1"/>
    <col min="16" max="26" width="11.33203125" customWidth="1"/>
  </cols>
  <sheetData>
    <row r="1" spans="1:26" ht="36.75" customHeight="1" x14ac:dyDescent="0.5">
      <c r="A1" s="675" t="s">
        <v>267</v>
      </c>
      <c r="B1" s="502"/>
      <c r="C1" s="502"/>
      <c r="D1" s="502"/>
      <c r="E1" s="277"/>
      <c r="F1" s="278"/>
      <c r="G1" s="279"/>
      <c r="H1" s="280"/>
      <c r="I1" s="280"/>
      <c r="J1" s="280"/>
      <c r="K1" s="281"/>
      <c r="L1" s="140"/>
      <c r="M1" s="140"/>
      <c r="N1" s="140"/>
      <c r="O1" s="281"/>
      <c r="P1" s="140"/>
      <c r="Q1" s="140"/>
      <c r="R1" s="140"/>
      <c r="S1" s="140"/>
      <c r="T1" s="140"/>
      <c r="U1" s="140"/>
      <c r="V1" s="140"/>
      <c r="W1" s="140"/>
      <c r="X1" s="140"/>
      <c r="Y1" s="140"/>
      <c r="Z1" s="140"/>
    </row>
    <row r="2" spans="1:26" ht="15.6" x14ac:dyDescent="0.25">
      <c r="A2" s="282">
        <v>1</v>
      </c>
      <c r="B2" s="282">
        <v>2</v>
      </c>
      <c r="C2" s="282">
        <v>3</v>
      </c>
      <c r="D2" s="282">
        <v>4</v>
      </c>
      <c r="E2" s="282">
        <v>5</v>
      </c>
      <c r="F2" s="282">
        <v>6</v>
      </c>
      <c r="G2" s="282">
        <v>7</v>
      </c>
      <c r="H2" s="282">
        <v>8</v>
      </c>
      <c r="I2" s="282">
        <v>9</v>
      </c>
      <c r="J2" s="282">
        <v>10</v>
      </c>
      <c r="K2" s="282">
        <v>11</v>
      </c>
      <c r="L2" s="282">
        <v>12</v>
      </c>
      <c r="M2" s="282">
        <v>13</v>
      </c>
      <c r="N2" s="282"/>
      <c r="O2" s="282">
        <v>14</v>
      </c>
      <c r="P2" s="282">
        <v>15</v>
      </c>
      <c r="Q2" s="140"/>
      <c r="R2" s="140"/>
      <c r="S2" s="140"/>
      <c r="T2" s="140"/>
      <c r="U2" s="140"/>
      <c r="V2" s="140"/>
      <c r="W2" s="140"/>
      <c r="X2" s="140"/>
      <c r="Y2" s="140"/>
      <c r="Z2" s="140"/>
    </row>
    <row r="3" spans="1:26" ht="17.25" customHeight="1" x14ac:dyDescent="0.3">
      <c r="A3" s="676" t="s">
        <v>1</v>
      </c>
      <c r="B3" s="677" t="s">
        <v>40</v>
      </c>
      <c r="C3" s="677" t="s">
        <v>268</v>
      </c>
      <c r="D3" s="676" t="s">
        <v>98</v>
      </c>
      <c r="E3" s="603" t="s">
        <v>269</v>
      </c>
      <c r="F3" s="603" t="s">
        <v>96</v>
      </c>
      <c r="G3" s="603" t="s">
        <v>129</v>
      </c>
      <c r="H3" s="603" t="s">
        <v>270</v>
      </c>
      <c r="I3" s="603" t="s">
        <v>234</v>
      </c>
      <c r="J3" s="642" t="s">
        <v>271</v>
      </c>
      <c r="K3" s="531"/>
      <c r="L3" s="531"/>
      <c r="M3" s="531"/>
      <c r="N3" s="532"/>
      <c r="O3" s="674" t="s">
        <v>272</v>
      </c>
      <c r="P3" s="532"/>
      <c r="Q3" s="140"/>
      <c r="R3" s="140"/>
      <c r="S3" s="140"/>
      <c r="T3" s="140"/>
      <c r="U3" s="140"/>
      <c r="V3" s="140"/>
      <c r="W3" s="140"/>
      <c r="X3" s="140"/>
      <c r="Y3" s="140"/>
      <c r="Z3" s="140"/>
    </row>
    <row r="4" spans="1:26" ht="36" customHeight="1" x14ac:dyDescent="0.25">
      <c r="A4" s="604"/>
      <c r="B4" s="604"/>
      <c r="C4" s="604"/>
      <c r="D4" s="604"/>
      <c r="E4" s="604"/>
      <c r="F4" s="604"/>
      <c r="G4" s="604"/>
      <c r="H4" s="604"/>
      <c r="I4" s="604"/>
      <c r="J4" s="211" t="s">
        <v>250</v>
      </c>
      <c r="K4" s="211" t="s">
        <v>214</v>
      </c>
      <c r="L4" s="211" t="s">
        <v>273</v>
      </c>
      <c r="M4" s="211" t="s">
        <v>274</v>
      </c>
      <c r="N4" s="283" t="s">
        <v>275</v>
      </c>
      <c r="O4" s="211" t="s">
        <v>276</v>
      </c>
      <c r="P4" s="33" t="s">
        <v>169</v>
      </c>
      <c r="Q4" s="140"/>
      <c r="R4" s="140"/>
      <c r="S4" s="140"/>
      <c r="T4" s="140"/>
      <c r="U4" s="140"/>
      <c r="V4" s="140"/>
      <c r="W4" s="140"/>
      <c r="X4" s="140"/>
      <c r="Y4" s="140"/>
      <c r="Z4" s="140"/>
    </row>
    <row r="5" spans="1:26" ht="13.2" x14ac:dyDescent="0.25">
      <c r="A5" s="284"/>
      <c r="B5" s="285"/>
      <c r="C5" s="140"/>
      <c r="D5" s="140"/>
      <c r="E5" s="140"/>
      <c r="F5" s="285"/>
      <c r="G5" s="140"/>
      <c r="H5" s="140"/>
      <c r="I5" s="285"/>
      <c r="J5" s="285"/>
      <c r="K5" s="281"/>
      <c r="L5" s="140"/>
      <c r="M5" s="140"/>
      <c r="N5" s="140"/>
      <c r="O5" s="281"/>
      <c r="P5" s="140"/>
      <c r="Q5" s="140"/>
      <c r="R5" s="140"/>
      <c r="S5" s="140"/>
      <c r="T5" s="140"/>
      <c r="U5" s="140"/>
      <c r="V5" s="140"/>
      <c r="W5" s="140"/>
      <c r="X5" s="140"/>
      <c r="Y5" s="140"/>
      <c r="Z5" s="140"/>
    </row>
    <row r="6" spans="1:26" ht="13.2" x14ac:dyDescent="0.25">
      <c r="A6" s="284"/>
      <c r="B6" s="285"/>
      <c r="C6" s="140"/>
      <c r="D6" s="140"/>
      <c r="E6" s="140"/>
      <c r="F6" s="285"/>
      <c r="G6" s="140"/>
      <c r="H6" s="140"/>
      <c r="I6" s="285"/>
      <c r="J6" s="285"/>
      <c r="K6" s="281"/>
      <c r="L6" s="140"/>
      <c r="M6" s="140"/>
      <c r="N6" s="140"/>
      <c r="O6" s="281"/>
      <c r="P6" s="140"/>
      <c r="Q6" s="140"/>
      <c r="R6" s="140"/>
      <c r="S6" s="140"/>
      <c r="T6" s="140"/>
      <c r="U6" s="140"/>
      <c r="V6" s="140"/>
      <c r="W6" s="140"/>
      <c r="X6" s="140"/>
      <c r="Y6" s="140"/>
      <c r="Z6" s="140"/>
    </row>
    <row r="7" spans="1:26" ht="13.2" x14ac:dyDescent="0.25">
      <c r="A7" s="284"/>
      <c r="B7" s="285"/>
      <c r="C7" s="140"/>
      <c r="D7" s="140"/>
      <c r="E7" s="140"/>
      <c r="F7" s="285"/>
      <c r="G7" s="140"/>
      <c r="H7" s="140"/>
      <c r="I7" s="285"/>
      <c r="J7" s="285"/>
      <c r="K7" s="281"/>
      <c r="L7" s="140"/>
      <c r="M7" s="140"/>
      <c r="N7" s="140"/>
      <c r="O7" s="281"/>
      <c r="P7" s="140"/>
      <c r="Q7" s="140"/>
      <c r="R7" s="140"/>
      <c r="S7" s="140"/>
      <c r="T7" s="140"/>
      <c r="U7" s="140"/>
      <c r="V7" s="140"/>
      <c r="W7" s="140"/>
      <c r="X7" s="140"/>
      <c r="Y7" s="140"/>
      <c r="Z7" s="140"/>
    </row>
    <row r="8" spans="1:26" ht="13.2" x14ac:dyDescent="0.25">
      <c r="A8" s="284"/>
      <c r="B8" s="285"/>
      <c r="C8" s="140"/>
      <c r="D8" s="140"/>
      <c r="E8" s="140"/>
      <c r="F8" s="285"/>
      <c r="G8" s="140"/>
      <c r="H8" s="140"/>
      <c r="I8" s="285"/>
      <c r="J8" s="285"/>
      <c r="K8" s="281"/>
      <c r="L8" s="140"/>
      <c r="M8" s="140"/>
      <c r="N8" s="140"/>
      <c r="O8" s="281"/>
      <c r="P8" s="140"/>
      <c r="Q8" s="140"/>
      <c r="R8" s="140"/>
      <c r="S8" s="140"/>
      <c r="T8" s="140"/>
      <c r="U8" s="140"/>
      <c r="V8" s="140"/>
      <c r="W8" s="140"/>
      <c r="X8" s="140"/>
      <c r="Y8" s="140"/>
      <c r="Z8" s="140"/>
    </row>
    <row r="9" spans="1:26" ht="13.2" x14ac:dyDescent="0.25">
      <c r="A9" s="284"/>
      <c r="B9" s="285"/>
      <c r="C9" s="140"/>
      <c r="D9" s="140"/>
      <c r="E9" s="140"/>
      <c r="F9" s="285"/>
      <c r="G9" s="140"/>
      <c r="H9" s="140"/>
      <c r="I9" s="285"/>
      <c r="J9" s="285"/>
      <c r="K9" s="281"/>
      <c r="L9" s="140"/>
      <c r="M9" s="140"/>
      <c r="N9" s="140"/>
      <c r="O9" s="281"/>
      <c r="P9" s="140"/>
      <c r="Q9" s="140"/>
      <c r="R9" s="140"/>
      <c r="S9" s="140"/>
      <c r="T9" s="140"/>
      <c r="U9" s="140"/>
      <c r="V9" s="140"/>
      <c r="W9" s="140"/>
      <c r="X9" s="140"/>
      <c r="Y9" s="140"/>
      <c r="Z9" s="140"/>
    </row>
    <row r="10" spans="1:26" ht="13.2" x14ac:dyDescent="0.25">
      <c r="A10" s="284"/>
      <c r="B10" s="285"/>
      <c r="C10" s="140"/>
      <c r="D10" s="140"/>
      <c r="E10" s="140"/>
      <c r="F10" s="285"/>
      <c r="G10" s="140"/>
      <c r="H10" s="140"/>
      <c r="I10" s="285"/>
      <c r="J10" s="285"/>
      <c r="K10" s="281"/>
      <c r="L10" s="140"/>
      <c r="M10" s="140"/>
      <c r="N10" s="140"/>
      <c r="O10" s="281"/>
      <c r="P10" s="140"/>
      <c r="Q10" s="140"/>
      <c r="R10" s="140"/>
      <c r="S10" s="140"/>
      <c r="T10" s="140"/>
      <c r="U10" s="140"/>
      <c r="V10" s="140"/>
      <c r="W10" s="140"/>
      <c r="X10" s="140"/>
      <c r="Y10" s="140"/>
      <c r="Z10" s="140"/>
    </row>
    <row r="11" spans="1:26" ht="13.2" x14ac:dyDescent="0.25">
      <c r="A11" s="284"/>
      <c r="B11" s="285"/>
      <c r="C11" s="140"/>
      <c r="D11" s="140"/>
      <c r="E11" s="140"/>
      <c r="F11" s="285"/>
      <c r="G11" s="140"/>
      <c r="H11" s="140"/>
      <c r="I11" s="285"/>
      <c r="J11" s="285"/>
      <c r="K11" s="281"/>
      <c r="L11" s="140"/>
      <c r="M11" s="140"/>
      <c r="N11" s="140"/>
      <c r="O11" s="281"/>
      <c r="P11" s="140"/>
      <c r="Q11" s="140"/>
      <c r="R11" s="140"/>
      <c r="S11" s="140"/>
      <c r="T11" s="140"/>
      <c r="U11" s="140"/>
      <c r="V11" s="140"/>
      <c r="W11" s="140"/>
      <c r="X11" s="140"/>
      <c r="Y11" s="140"/>
      <c r="Z11" s="140"/>
    </row>
    <row r="12" spans="1:26" ht="13.2" x14ac:dyDescent="0.25">
      <c r="A12" s="284"/>
      <c r="B12" s="285"/>
      <c r="C12" s="140"/>
      <c r="D12" s="140"/>
      <c r="E12" s="140"/>
      <c r="F12" s="285"/>
      <c r="G12" s="140"/>
      <c r="H12" s="140"/>
      <c r="I12" s="285"/>
      <c r="J12" s="285"/>
      <c r="K12" s="281"/>
      <c r="L12" s="140"/>
      <c r="M12" s="140"/>
      <c r="N12" s="140"/>
      <c r="O12" s="281"/>
      <c r="P12" s="140"/>
      <c r="Q12" s="140"/>
      <c r="R12" s="140"/>
      <c r="S12" s="140"/>
      <c r="T12" s="140"/>
      <c r="U12" s="140"/>
      <c r="V12" s="140"/>
      <c r="W12" s="140"/>
      <c r="X12" s="140"/>
      <c r="Y12" s="140"/>
      <c r="Z12" s="140"/>
    </row>
    <row r="13" spans="1:26" ht="13.2" x14ac:dyDescent="0.25">
      <c r="A13" s="284"/>
      <c r="B13" s="285"/>
      <c r="C13" s="140"/>
      <c r="D13" s="140"/>
      <c r="E13" s="140"/>
      <c r="F13" s="285"/>
      <c r="G13" s="140"/>
      <c r="H13" s="140"/>
      <c r="I13" s="285"/>
      <c r="J13" s="285"/>
      <c r="K13" s="281"/>
      <c r="L13" s="140"/>
      <c r="M13" s="140"/>
      <c r="N13" s="140"/>
      <c r="O13" s="281"/>
      <c r="P13" s="140"/>
      <c r="Q13" s="140"/>
      <c r="R13" s="140"/>
      <c r="S13" s="140"/>
      <c r="T13" s="140"/>
      <c r="U13" s="140"/>
      <c r="V13" s="140"/>
      <c r="W13" s="140"/>
      <c r="X13" s="140"/>
      <c r="Y13" s="140"/>
      <c r="Z13" s="140"/>
    </row>
    <row r="14" spans="1:26" ht="13.2" x14ac:dyDescent="0.25">
      <c r="A14" s="284"/>
      <c r="B14" s="285"/>
      <c r="C14" s="140"/>
      <c r="D14" s="140"/>
      <c r="E14" s="140"/>
      <c r="F14" s="285"/>
      <c r="G14" s="140"/>
      <c r="H14" s="140"/>
      <c r="I14" s="285"/>
      <c r="J14" s="285"/>
      <c r="K14" s="281"/>
      <c r="L14" s="140"/>
      <c r="M14" s="140"/>
      <c r="N14" s="140"/>
      <c r="O14" s="281"/>
      <c r="P14" s="140"/>
      <c r="Q14" s="140"/>
      <c r="R14" s="140"/>
      <c r="S14" s="140"/>
      <c r="T14" s="140"/>
      <c r="U14" s="140"/>
      <c r="V14" s="140"/>
      <c r="W14" s="140"/>
      <c r="X14" s="140"/>
      <c r="Y14" s="140"/>
      <c r="Z14" s="140"/>
    </row>
    <row r="15" spans="1:26" ht="13.2" x14ac:dyDescent="0.25">
      <c r="A15" s="284"/>
      <c r="B15" s="285"/>
      <c r="C15" s="140"/>
      <c r="D15" s="140"/>
      <c r="E15" s="140"/>
      <c r="F15" s="285"/>
      <c r="G15" s="140"/>
      <c r="H15" s="140"/>
      <c r="I15" s="285"/>
      <c r="J15" s="285"/>
      <c r="K15" s="281"/>
      <c r="L15" s="140"/>
      <c r="M15" s="140"/>
      <c r="N15" s="140"/>
      <c r="O15" s="281"/>
      <c r="P15" s="140"/>
      <c r="Q15" s="140"/>
      <c r="R15" s="140"/>
      <c r="S15" s="140"/>
      <c r="T15" s="140"/>
      <c r="U15" s="140"/>
      <c r="V15" s="140"/>
      <c r="W15" s="140"/>
      <c r="X15" s="140"/>
      <c r="Y15" s="140"/>
      <c r="Z15" s="140"/>
    </row>
    <row r="16" spans="1:26" ht="13.2" x14ac:dyDescent="0.25">
      <c r="A16" s="284"/>
      <c r="B16" s="285"/>
      <c r="C16" s="140"/>
      <c r="D16" s="140"/>
      <c r="E16" s="140"/>
      <c r="F16" s="285"/>
      <c r="G16" s="140"/>
      <c r="H16" s="140"/>
      <c r="I16" s="285"/>
      <c r="J16" s="285"/>
      <c r="K16" s="281"/>
      <c r="L16" s="140"/>
      <c r="M16" s="140"/>
      <c r="N16" s="140"/>
      <c r="O16" s="281"/>
      <c r="P16" s="140"/>
      <c r="Q16" s="140"/>
      <c r="R16" s="140"/>
      <c r="S16" s="140"/>
      <c r="T16" s="140"/>
      <c r="U16" s="140"/>
      <c r="V16" s="140"/>
      <c r="W16" s="140"/>
      <c r="X16" s="140"/>
      <c r="Y16" s="140"/>
      <c r="Z16" s="140"/>
    </row>
    <row r="17" spans="1:26" ht="15.75" customHeight="1" x14ac:dyDescent="0.25">
      <c r="A17" s="284"/>
      <c r="B17" s="285"/>
      <c r="C17" s="140"/>
      <c r="D17" s="140"/>
      <c r="E17" s="140"/>
      <c r="F17" s="285"/>
      <c r="G17" s="140"/>
      <c r="H17" s="140"/>
      <c r="I17" s="285"/>
      <c r="J17" s="285"/>
      <c r="K17" s="281"/>
      <c r="L17" s="140"/>
      <c r="M17" s="140"/>
      <c r="N17" s="140"/>
      <c r="O17" s="281"/>
      <c r="P17" s="140"/>
      <c r="Q17" s="140"/>
      <c r="R17" s="140"/>
      <c r="S17" s="140"/>
      <c r="T17" s="140"/>
      <c r="U17" s="140"/>
      <c r="V17" s="140"/>
      <c r="W17" s="140"/>
      <c r="X17" s="140"/>
      <c r="Y17" s="140"/>
      <c r="Z17" s="140"/>
    </row>
    <row r="18" spans="1:26" ht="15.75" customHeight="1" x14ac:dyDescent="0.25">
      <c r="A18" s="284"/>
      <c r="B18" s="285"/>
      <c r="C18" s="140"/>
      <c r="D18" s="140"/>
      <c r="E18" s="140"/>
      <c r="F18" s="285"/>
      <c r="G18" s="140"/>
      <c r="H18" s="140"/>
      <c r="I18" s="285"/>
      <c r="J18" s="285"/>
      <c r="K18" s="281"/>
      <c r="L18" s="140"/>
      <c r="M18" s="140"/>
      <c r="N18" s="140"/>
      <c r="O18" s="281"/>
      <c r="P18" s="140"/>
      <c r="Q18" s="140"/>
      <c r="R18" s="140"/>
      <c r="S18" s="140"/>
      <c r="T18" s="140"/>
      <c r="U18" s="140"/>
      <c r="V18" s="140"/>
      <c r="W18" s="140"/>
      <c r="X18" s="140"/>
      <c r="Y18" s="140"/>
      <c r="Z18" s="140"/>
    </row>
    <row r="19" spans="1:26" ht="15.75" customHeight="1" x14ac:dyDescent="0.25">
      <c r="A19" s="284"/>
      <c r="B19" s="285"/>
      <c r="C19" s="140"/>
      <c r="D19" s="140"/>
      <c r="E19" s="140"/>
      <c r="F19" s="285"/>
      <c r="G19" s="140"/>
      <c r="H19" s="140"/>
      <c r="I19" s="285"/>
      <c r="J19" s="285"/>
      <c r="K19" s="281"/>
      <c r="L19" s="140"/>
      <c r="M19" s="140"/>
      <c r="N19" s="140"/>
      <c r="O19" s="281"/>
      <c r="P19" s="140"/>
      <c r="Q19" s="140"/>
      <c r="R19" s="140"/>
      <c r="S19" s="140"/>
      <c r="T19" s="140"/>
      <c r="U19" s="140"/>
      <c r="V19" s="140"/>
      <c r="W19" s="140"/>
      <c r="X19" s="140"/>
      <c r="Y19" s="140"/>
      <c r="Z19" s="140"/>
    </row>
    <row r="20" spans="1:26" ht="15.75" customHeight="1" x14ac:dyDescent="0.25">
      <c r="A20" s="284"/>
      <c r="B20" s="285"/>
      <c r="C20" s="140"/>
      <c r="D20" s="140"/>
      <c r="E20" s="140"/>
      <c r="F20" s="285"/>
      <c r="G20" s="140"/>
      <c r="H20" s="140"/>
      <c r="I20" s="285"/>
      <c r="J20" s="285"/>
      <c r="K20" s="281"/>
      <c r="L20" s="140"/>
      <c r="M20" s="140"/>
      <c r="N20" s="140"/>
      <c r="O20" s="281"/>
      <c r="P20" s="140"/>
      <c r="Q20" s="140"/>
      <c r="R20" s="140"/>
      <c r="S20" s="140"/>
      <c r="T20" s="140"/>
      <c r="U20" s="140"/>
      <c r="V20" s="140"/>
      <c r="W20" s="140"/>
      <c r="X20" s="140"/>
      <c r="Y20" s="140"/>
      <c r="Z20" s="140"/>
    </row>
    <row r="21" spans="1:26" ht="15.75" customHeight="1" x14ac:dyDescent="0.25">
      <c r="A21" s="284"/>
      <c r="B21" s="285"/>
      <c r="C21" s="140"/>
      <c r="D21" s="140"/>
      <c r="E21" s="140"/>
      <c r="F21" s="285"/>
      <c r="G21" s="140"/>
      <c r="H21" s="140"/>
      <c r="I21" s="285"/>
      <c r="J21" s="285"/>
      <c r="K21" s="281"/>
      <c r="L21" s="140"/>
      <c r="M21" s="140"/>
      <c r="N21" s="140"/>
      <c r="O21" s="281"/>
      <c r="P21" s="140"/>
      <c r="Q21" s="140"/>
      <c r="R21" s="140"/>
      <c r="S21" s="140"/>
      <c r="T21" s="140"/>
      <c r="U21" s="140"/>
      <c r="V21" s="140"/>
      <c r="W21" s="140"/>
      <c r="X21" s="140"/>
      <c r="Y21" s="140"/>
      <c r="Z21" s="140"/>
    </row>
    <row r="22" spans="1:26" ht="15.75" customHeight="1" x14ac:dyDescent="0.25">
      <c r="A22" s="284"/>
      <c r="B22" s="285"/>
      <c r="C22" s="140"/>
      <c r="D22" s="140"/>
      <c r="E22" s="140"/>
      <c r="F22" s="285"/>
      <c r="G22" s="140"/>
      <c r="H22" s="140"/>
      <c r="I22" s="285"/>
      <c r="J22" s="285"/>
      <c r="K22" s="281"/>
      <c r="L22" s="140"/>
      <c r="M22" s="140"/>
      <c r="N22" s="140"/>
      <c r="O22" s="281"/>
      <c r="P22" s="140"/>
      <c r="Q22" s="140"/>
      <c r="R22" s="140"/>
      <c r="S22" s="140"/>
      <c r="T22" s="140"/>
      <c r="U22" s="140"/>
      <c r="V22" s="140"/>
      <c r="W22" s="140"/>
      <c r="X22" s="140"/>
      <c r="Y22" s="140"/>
      <c r="Z22" s="140"/>
    </row>
    <row r="23" spans="1:26" ht="15.75" customHeight="1" x14ac:dyDescent="0.25">
      <c r="A23" s="284"/>
      <c r="B23" s="285"/>
      <c r="C23" s="140"/>
      <c r="D23" s="140"/>
      <c r="E23" s="140"/>
      <c r="F23" s="285"/>
      <c r="G23" s="140"/>
      <c r="H23" s="140"/>
      <c r="I23" s="285"/>
      <c r="J23" s="285"/>
      <c r="K23" s="281"/>
      <c r="L23" s="140"/>
      <c r="M23" s="140"/>
      <c r="N23" s="140"/>
      <c r="O23" s="281"/>
      <c r="P23" s="140"/>
      <c r="Q23" s="140"/>
      <c r="R23" s="140"/>
      <c r="S23" s="140"/>
      <c r="T23" s="140"/>
      <c r="U23" s="140"/>
      <c r="V23" s="140"/>
      <c r="W23" s="140"/>
      <c r="X23" s="140"/>
      <c r="Y23" s="140"/>
      <c r="Z23" s="140"/>
    </row>
    <row r="24" spans="1:26" ht="15.75" customHeight="1" x14ac:dyDescent="0.25">
      <c r="A24" s="284"/>
      <c r="B24" s="285"/>
      <c r="C24" s="140"/>
      <c r="D24" s="140"/>
      <c r="E24" s="140"/>
      <c r="F24" s="285"/>
      <c r="G24" s="140"/>
      <c r="H24" s="140"/>
      <c r="I24" s="285"/>
      <c r="J24" s="285"/>
      <c r="K24" s="281"/>
      <c r="L24" s="140"/>
      <c r="M24" s="140"/>
      <c r="N24" s="140"/>
      <c r="O24" s="281"/>
      <c r="P24" s="140"/>
      <c r="Q24" s="140"/>
      <c r="R24" s="140"/>
      <c r="S24" s="140"/>
      <c r="T24" s="140"/>
      <c r="U24" s="140"/>
      <c r="V24" s="140"/>
      <c r="W24" s="140"/>
      <c r="X24" s="140"/>
      <c r="Y24" s="140"/>
      <c r="Z24" s="140"/>
    </row>
    <row r="25" spans="1:26" ht="15.75" customHeight="1" x14ac:dyDescent="0.25">
      <c r="A25" s="284"/>
      <c r="B25" s="285"/>
      <c r="C25" s="140"/>
      <c r="D25" s="140"/>
      <c r="E25" s="140"/>
      <c r="F25" s="285"/>
      <c r="G25" s="140"/>
      <c r="H25" s="140"/>
      <c r="I25" s="285"/>
      <c r="J25" s="285"/>
      <c r="K25" s="281"/>
      <c r="L25" s="140"/>
      <c r="M25" s="140"/>
      <c r="N25" s="140"/>
      <c r="O25" s="281"/>
      <c r="P25" s="140"/>
      <c r="Q25" s="140"/>
      <c r="R25" s="140"/>
      <c r="S25" s="140"/>
      <c r="T25" s="140"/>
      <c r="U25" s="140"/>
      <c r="V25" s="140"/>
      <c r="W25" s="140"/>
      <c r="X25" s="140"/>
      <c r="Y25" s="140"/>
      <c r="Z25" s="140"/>
    </row>
    <row r="26" spans="1:26" ht="15.75" customHeight="1" x14ac:dyDescent="0.25">
      <c r="A26" s="284"/>
      <c r="B26" s="285"/>
      <c r="C26" s="140"/>
      <c r="D26" s="140"/>
      <c r="E26" s="140"/>
      <c r="F26" s="285"/>
      <c r="G26" s="140"/>
      <c r="H26" s="140"/>
      <c r="I26" s="285"/>
      <c r="J26" s="285"/>
      <c r="K26" s="281"/>
      <c r="L26" s="140"/>
      <c r="M26" s="140"/>
      <c r="N26" s="140"/>
      <c r="O26" s="281"/>
      <c r="P26" s="140"/>
      <c r="Q26" s="140"/>
      <c r="R26" s="140"/>
      <c r="S26" s="140"/>
      <c r="T26" s="140"/>
      <c r="U26" s="140"/>
      <c r="V26" s="140"/>
      <c r="W26" s="140"/>
      <c r="X26" s="140"/>
      <c r="Y26" s="140"/>
      <c r="Z26" s="140"/>
    </row>
    <row r="27" spans="1:26" ht="15.75" customHeight="1" x14ac:dyDescent="0.25">
      <c r="A27" s="284"/>
      <c r="B27" s="285"/>
      <c r="C27" s="140"/>
      <c r="D27" s="140"/>
      <c r="E27" s="140"/>
      <c r="F27" s="285"/>
      <c r="G27" s="140"/>
      <c r="H27" s="140"/>
      <c r="I27" s="285"/>
      <c r="J27" s="285"/>
      <c r="K27" s="281"/>
      <c r="L27" s="140"/>
      <c r="M27" s="140"/>
      <c r="N27" s="140"/>
      <c r="O27" s="281"/>
      <c r="P27" s="140"/>
      <c r="Q27" s="140"/>
      <c r="R27" s="140"/>
      <c r="S27" s="140"/>
      <c r="T27" s="140"/>
      <c r="U27" s="140"/>
      <c r="V27" s="140"/>
      <c r="W27" s="140"/>
      <c r="X27" s="140"/>
      <c r="Y27" s="140"/>
      <c r="Z27" s="140"/>
    </row>
    <row r="28" spans="1:26" ht="15.75" customHeight="1" x14ac:dyDescent="0.25">
      <c r="A28" s="284"/>
      <c r="B28" s="285"/>
      <c r="C28" s="140"/>
      <c r="D28" s="140"/>
      <c r="E28" s="140"/>
      <c r="F28" s="285"/>
      <c r="G28" s="140"/>
      <c r="H28" s="140"/>
      <c r="I28" s="285"/>
      <c r="J28" s="285"/>
      <c r="K28" s="281"/>
      <c r="L28" s="140"/>
      <c r="M28" s="140"/>
      <c r="N28" s="140"/>
      <c r="O28" s="281"/>
      <c r="P28" s="140"/>
      <c r="Q28" s="140"/>
      <c r="R28" s="140"/>
      <c r="S28" s="140"/>
      <c r="T28" s="140"/>
      <c r="U28" s="140"/>
      <c r="V28" s="140"/>
      <c r="W28" s="140"/>
      <c r="X28" s="140"/>
      <c r="Y28" s="140"/>
      <c r="Z28" s="140"/>
    </row>
    <row r="29" spans="1:26" ht="15.75" customHeight="1" x14ac:dyDescent="0.25">
      <c r="A29" s="284"/>
      <c r="B29" s="285"/>
      <c r="C29" s="140"/>
      <c r="D29" s="140"/>
      <c r="E29" s="140"/>
      <c r="F29" s="285"/>
      <c r="G29" s="140"/>
      <c r="H29" s="140"/>
      <c r="I29" s="285"/>
      <c r="J29" s="285"/>
      <c r="K29" s="281"/>
      <c r="L29" s="140"/>
      <c r="M29" s="140"/>
      <c r="N29" s="140"/>
      <c r="O29" s="281"/>
      <c r="P29" s="140"/>
      <c r="Q29" s="140"/>
      <c r="R29" s="140"/>
      <c r="S29" s="140"/>
      <c r="T29" s="140"/>
      <c r="U29" s="140"/>
      <c r="V29" s="140"/>
      <c r="W29" s="140"/>
      <c r="X29" s="140"/>
      <c r="Y29" s="140"/>
      <c r="Z29" s="140"/>
    </row>
    <row r="30" spans="1:26" ht="15.75" customHeight="1" x14ac:dyDescent="0.25">
      <c r="A30" s="284"/>
      <c r="B30" s="285"/>
      <c r="C30" s="140"/>
      <c r="D30" s="140"/>
      <c r="E30" s="140"/>
      <c r="F30" s="285"/>
      <c r="G30" s="140"/>
      <c r="H30" s="140"/>
      <c r="I30" s="285"/>
      <c r="J30" s="285"/>
      <c r="K30" s="281"/>
      <c r="L30" s="140"/>
      <c r="M30" s="140"/>
      <c r="N30" s="140"/>
      <c r="O30" s="281"/>
      <c r="P30" s="140"/>
      <c r="Q30" s="140"/>
      <c r="R30" s="140"/>
      <c r="S30" s="140"/>
      <c r="T30" s="140"/>
      <c r="U30" s="140"/>
      <c r="V30" s="140"/>
      <c r="W30" s="140"/>
      <c r="X30" s="140"/>
      <c r="Y30" s="140"/>
      <c r="Z30" s="140"/>
    </row>
    <row r="31" spans="1:26" ht="15.75" customHeight="1" x14ac:dyDescent="0.25">
      <c r="A31" s="284"/>
      <c r="B31" s="285"/>
      <c r="C31" s="140"/>
      <c r="D31" s="140"/>
      <c r="E31" s="140"/>
      <c r="F31" s="285"/>
      <c r="G31" s="140"/>
      <c r="H31" s="140"/>
      <c r="I31" s="285"/>
      <c r="J31" s="285"/>
      <c r="K31" s="281"/>
      <c r="L31" s="140"/>
      <c r="M31" s="140"/>
      <c r="N31" s="140"/>
      <c r="O31" s="281"/>
      <c r="P31" s="140"/>
      <c r="Q31" s="140"/>
      <c r="R31" s="140"/>
      <c r="S31" s="140"/>
      <c r="T31" s="140"/>
      <c r="U31" s="140"/>
      <c r="V31" s="140"/>
      <c r="W31" s="140"/>
      <c r="X31" s="140"/>
      <c r="Y31" s="140"/>
      <c r="Z31" s="140"/>
    </row>
    <row r="32" spans="1:26" ht="15.75" customHeight="1" x14ac:dyDescent="0.25">
      <c r="A32" s="284"/>
      <c r="B32" s="285"/>
      <c r="C32" s="140"/>
      <c r="D32" s="140"/>
      <c r="E32" s="140"/>
      <c r="F32" s="285"/>
      <c r="G32" s="140"/>
      <c r="H32" s="140"/>
      <c r="I32" s="285"/>
      <c r="J32" s="285"/>
      <c r="K32" s="281"/>
      <c r="L32" s="140"/>
      <c r="M32" s="140"/>
      <c r="N32" s="140"/>
      <c r="O32" s="281"/>
      <c r="P32" s="140"/>
      <c r="Q32" s="140"/>
      <c r="R32" s="140"/>
      <c r="S32" s="140"/>
      <c r="T32" s="140"/>
      <c r="U32" s="140"/>
      <c r="V32" s="140"/>
      <c r="W32" s="140"/>
      <c r="X32" s="140"/>
      <c r="Y32" s="140"/>
      <c r="Z32" s="140"/>
    </row>
    <row r="33" spans="1:26" ht="15.75" customHeight="1" x14ac:dyDescent="0.25">
      <c r="A33" s="284"/>
      <c r="B33" s="285"/>
      <c r="C33" s="140"/>
      <c r="D33" s="140"/>
      <c r="E33" s="140"/>
      <c r="F33" s="285"/>
      <c r="G33" s="140"/>
      <c r="H33" s="140"/>
      <c r="I33" s="285"/>
      <c r="J33" s="285"/>
      <c r="K33" s="281"/>
      <c r="L33" s="140"/>
      <c r="M33" s="140"/>
      <c r="N33" s="140"/>
      <c r="O33" s="281"/>
      <c r="P33" s="140"/>
      <c r="Q33" s="140"/>
      <c r="R33" s="140"/>
      <c r="S33" s="140"/>
      <c r="T33" s="140"/>
      <c r="U33" s="140"/>
      <c r="V33" s="140"/>
      <c r="W33" s="140"/>
      <c r="X33" s="140"/>
      <c r="Y33" s="140"/>
      <c r="Z33" s="140"/>
    </row>
    <row r="34" spans="1:26" ht="15.75" customHeight="1" x14ac:dyDescent="0.25">
      <c r="A34" s="284"/>
      <c r="B34" s="285"/>
      <c r="C34" s="140"/>
      <c r="D34" s="140"/>
      <c r="E34" s="140"/>
      <c r="F34" s="285"/>
      <c r="G34" s="140"/>
      <c r="H34" s="140"/>
      <c r="I34" s="285"/>
      <c r="J34" s="285"/>
      <c r="K34" s="281"/>
      <c r="L34" s="140"/>
      <c r="M34" s="140"/>
      <c r="N34" s="140"/>
      <c r="O34" s="281"/>
      <c r="P34" s="140"/>
      <c r="Q34" s="140"/>
      <c r="R34" s="140"/>
      <c r="S34" s="140"/>
      <c r="T34" s="140"/>
      <c r="U34" s="140"/>
      <c r="V34" s="140"/>
      <c r="W34" s="140"/>
      <c r="X34" s="140"/>
      <c r="Y34" s="140"/>
      <c r="Z34" s="140"/>
    </row>
    <row r="35" spans="1:26" ht="15.75" customHeight="1" x14ac:dyDescent="0.25">
      <c r="A35" s="284"/>
      <c r="B35" s="285"/>
      <c r="C35" s="140"/>
      <c r="D35" s="140"/>
      <c r="E35" s="140"/>
      <c r="F35" s="285"/>
      <c r="G35" s="140"/>
      <c r="H35" s="140"/>
      <c r="I35" s="285"/>
      <c r="J35" s="285"/>
      <c r="K35" s="281"/>
      <c r="L35" s="140"/>
      <c r="M35" s="140"/>
      <c r="N35" s="140"/>
      <c r="O35" s="281"/>
      <c r="P35" s="140"/>
      <c r="Q35" s="140"/>
      <c r="R35" s="140"/>
      <c r="S35" s="140"/>
      <c r="T35" s="140"/>
      <c r="U35" s="140"/>
      <c r="V35" s="140"/>
      <c r="W35" s="140"/>
      <c r="X35" s="140"/>
      <c r="Y35" s="140"/>
      <c r="Z35" s="140"/>
    </row>
    <row r="36" spans="1:26" ht="15.75" customHeight="1" x14ac:dyDescent="0.25">
      <c r="A36" s="284"/>
      <c r="B36" s="285"/>
      <c r="C36" s="140"/>
      <c r="D36" s="140"/>
      <c r="E36" s="140"/>
      <c r="F36" s="285"/>
      <c r="G36" s="140"/>
      <c r="H36" s="140"/>
      <c r="I36" s="285"/>
      <c r="J36" s="285"/>
      <c r="K36" s="281"/>
      <c r="L36" s="140"/>
      <c r="M36" s="140"/>
      <c r="N36" s="140"/>
      <c r="O36" s="281"/>
      <c r="P36" s="140"/>
      <c r="Q36" s="140"/>
      <c r="R36" s="140"/>
      <c r="S36" s="140"/>
      <c r="T36" s="140"/>
      <c r="U36" s="140"/>
      <c r="V36" s="140"/>
      <c r="W36" s="140"/>
      <c r="X36" s="140"/>
      <c r="Y36" s="140"/>
      <c r="Z36" s="140"/>
    </row>
    <row r="37" spans="1:26" ht="15.75" customHeight="1" x14ac:dyDescent="0.25">
      <c r="A37" s="284"/>
      <c r="B37" s="285"/>
      <c r="C37" s="140"/>
      <c r="D37" s="140"/>
      <c r="E37" s="140"/>
      <c r="F37" s="285"/>
      <c r="G37" s="140"/>
      <c r="H37" s="140"/>
      <c r="I37" s="285"/>
      <c r="J37" s="285"/>
      <c r="K37" s="281"/>
      <c r="L37" s="140"/>
      <c r="M37" s="140"/>
      <c r="N37" s="140"/>
      <c r="O37" s="281"/>
      <c r="P37" s="140"/>
      <c r="Q37" s="140"/>
      <c r="R37" s="140"/>
      <c r="S37" s="140"/>
      <c r="T37" s="140"/>
      <c r="U37" s="140"/>
      <c r="V37" s="140"/>
      <c r="W37" s="140"/>
      <c r="X37" s="140"/>
      <c r="Y37" s="140"/>
      <c r="Z37" s="140"/>
    </row>
    <row r="38" spans="1:26" ht="15.75" customHeight="1" x14ac:dyDescent="0.25">
      <c r="A38" s="284"/>
      <c r="B38" s="285"/>
      <c r="C38" s="140"/>
      <c r="D38" s="140"/>
      <c r="E38" s="140"/>
      <c r="F38" s="285"/>
      <c r="G38" s="140"/>
      <c r="H38" s="140"/>
      <c r="I38" s="285"/>
      <c r="J38" s="285"/>
      <c r="K38" s="281"/>
      <c r="L38" s="140"/>
      <c r="M38" s="140"/>
      <c r="N38" s="140"/>
      <c r="O38" s="281"/>
      <c r="P38" s="140"/>
      <c r="Q38" s="140"/>
      <c r="R38" s="140"/>
      <c r="S38" s="140"/>
      <c r="T38" s="140"/>
      <c r="U38" s="140"/>
      <c r="V38" s="140"/>
      <c r="W38" s="140"/>
      <c r="X38" s="140"/>
      <c r="Y38" s="140"/>
      <c r="Z38" s="140"/>
    </row>
    <row r="39" spans="1:26" ht="15.75" customHeight="1" x14ac:dyDescent="0.25">
      <c r="A39" s="284"/>
      <c r="B39" s="285"/>
      <c r="C39" s="140"/>
      <c r="D39" s="140"/>
      <c r="E39" s="140"/>
      <c r="F39" s="285"/>
      <c r="G39" s="140"/>
      <c r="H39" s="140"/>
      <c r="I39" s="285"/>
      <c r="J39" s="285"/>
      <c r="K39" s="281"/>
      <c r="L39" s="140"/>
      <c r="M39" s="140"/>
      <c r="N39" s="140"/>
      <c r="O39" s="281"/>
      <c r="P39" s="140"/>
      <c r="Q39" s="140"/>
      <c r="R39" s="140"/>
      <c r="S39" s="140"/>
      <c r="T39" s="140"/>
      <c r="U39" s="140"/>
      <c r="V39" s="140"/>
      <c r="W39" s="140"/>
      <c r="X39" s="140"/>
      <c r="Y39" s="140"/>
      <c r="Z39" s="140"/>
    </row>
    <row r="40" spans="1:26" ht="15.75" customHeight="1" x14ac:dyDescent="0.25">
      <c r="A40" s="284"/>
      <c r="B40" s="285"/>
      <c r="C40" s="140"/>
      <c r="D40" s="140"/>
      <c r="E40" s="140"/>
      <c r="F40" s="285"/>
      <c r="G40" s="140"/>
      <c r="H40" s="140"/>
      <c r="I40" s="285"/>
      <c r="J40" s="285"/>
      <c r="K40" s="281"/>
      <c r="L40" s="140"/>
      <c r="M40" s="140"/>
      <c r="N40" s="140"/>
      <c r="O40" s="281"/>
      <c r="P40" s="140"/>
      <c r="Q40" s="140"/>
      <c r="R40" s="140"/>
      <c r="S40" s="140"/>
      <c r="T40" s="140"/>
      <c r="U40" s="140"/>
      <c r="V40" s="140"/>
      <c r="W40" s="140"/>
      <c r="X40" s="140"/>
      <c r="Y40" s="140"/>
      <c r="Z40" s="140"/>
    </row>
    <row r="41" spans="1:26" ht="15.75" customHeight="1" x14ac:dyDescent="0.25">
      <c r="A41" s="284"/>
      <c r="B41" s="285"/>
      <c r="C41" s="140"/>
      <c r="D41" s="140"/>
      <c r="E41" s="140"/>
      <c r="F41" s="285"/>
      <c r="G41" s="140"/>
      <c r="H41" s="140"/>
      <c r="I41" s="285"/>
      <c r="J41" s="285"/>
      <c r="K41" s="281"/>
      <c r="L41" s="140"/>
      <c r="M41" s="140"/>
      <c r="N41" s="140"/>
      <c r="O41" s="281"/>
      <c r="P41" s="140"/>
      <c r="Q41" s="140"/>
      <c r="R41" s="140"/>
      <c r="S41" s="140"/>
      <c r="T41" s="140"/>
      <c r="U41" s="140"/>
      <c r="V41" s="140"/>
      <c r="W41" s="140"/>
      <c r="X41" s="140"/>
      <c r="Y41" s="140"/>
      <c r="Z41" s="140"/>
    </row>
    <row r="42" spans="1:26" ht="15.75" customHeight="1" x14ac:dyDescent="0.25">
      <c r="A42" s="284"/>
      <c r="B42" s="285"/>
      <c r="C42" s="140"/>
      <c r="D42" s="140"/>
      <c r="E42" s="140"/>
      <c r="F42" s="285"/>
      <c r="G42" s="140"/>
      <c r="H42" s="140"/>
      <c r="I42" s="285"/>
      <c r="J42" s="285"/>
      <c r="K42" s="281"/>
      <c r="L42" s="140"/>
      <c r="M42" s="140"/>
      <c r="N42" s="140"/>
      <c r="O42" s="281"/>
      <c r="P42" s="140"/>
      <c r="Q42" s="140"/>
      <c r="R42" s="140"/>
      <c r="S42" s="140"/>
      <c r="T42" s="140"/>
      <c r="U42" s="140"/>
      <c r="V42" s="140"/>
      <c r="W42" s="140"/>
      <c r="X42" s="140"/>
      <c r="Y42" s="140"/>
      <c r="Z42" s="140"/>
    </row>
    <row r="43" spans="1:26" ht="15.75" customHeight="1" x14ac:dyDescent="0.25">
      <c r="A43" s="284"/>
      <c r="B43" s="285"/>
      <c r="C43" s="140"/>
      <c r="D43" s="140"/>
      <c r="E43" s="140"/>
      <c r="F43" s="285"/>
      <c r="G43" s="140"/>
      <c r="H43" s="140"/>
      <c r="I43" s="285"/>
      <c r="J43" s="285"/>
      <c r="K43" s="281"/>
      <c r="L43" s="140"/>
      <c r="M43" s="140"/>
      <c r="N43" s="140"/>
      <c r="O43" s="281"/>
      <c r="P43" s="140"/>
      <c r="Q43" s="140"/>
      <c r="R43" s="140"/>
      <c r="S43" s="140"/>
      <c r="T43" s="140"/>
      <c r="U43" s="140"/>
      <c r="V43" s="140"/>
      <c r="W43" s="140"/>
      <c r="X43" s="140"/>
      <c r="Y43" s="140"/>
      <c r="Z43" s="140"/>
    </row>
    <row r="44" spans="1:26" ht="15.75" customHeight="1" x14ac:dyDescent="0.25">
      <c r="A44" s="284"/>
      <c r="B44" s="285"/>
      <c r="C44" s="140"/>
      <c r="D44" s="140"/>
      <c r="E44" s="140"/>
      <c r="F44" s="285"/>
      <c r="G44" s="140"/>
      <c r="H44" s="140"/>
      <c r="I44" s="285"/>
      <c r="J44" s="285"/>
      <c r="K44" s="281"/>
      <c r="L44" s="140"/>
      <c r="M44" s="140"/>
      <c r="N44" s="140"/>
      <c r="O44" s="281"/>
      <c r="P44" s="140"/>
      <c r="Q44" s="140"/>
      <c r="R44" s="140"/>
      <c r="S44" s="140"/>
      <c r="T44" s="140"/>
      <c r="U44" s="140"/>
      <c r="V44" s="140"/>
      <c r="W44" s="140"/>
      <c r="X44" s="140"/>
      <c r="Y44" s="140"/>
      <c r="Z44" s="140"/>
    </row>
    <row r="45" spans="1:26" ht="15.75" customHeight="1" x14ac:dyDescent="0.25">
      <c r="A45" s="284"/>
      <c r="B45" s="285"/>
      <c r="C45" s="140"/>
      <c r="D45" s="140"/>
      <c r="E45" s="140"/>
      <c r="F45" s="285"/>
      <c r="G45" s="140"/>
      <c r="H45" s="140"/>
      <c r="I45" s="285"/>
      <c r="J45" s="285"/>
      <c r="K45" s="281"/>
      <c r="L45" s="140"/>
      <c r="M45" s="140"/>
      <c r="N45" s="140"/>
      <c r="O45" s="281"/>
      <c r="P45" s="140"/>
      <c r="Q45" s="140"/>
      <c r="R45" s="140"/>
      <c r="S45" s="140"/>
      <c r="T45" s="140"/>
      <c r="U45" s="140"/>
      <c r="V45" s="140"/>
      <c r="W45" s="140"/>
      <c r="X45" s="140"/>
      <c r="Y45" s="140"/>
      <c r="Z45" s="140"/>
    </row>
    <row r="46" spans="1:26" ht="15.75" customHeight="1" x14ac:dyDescent="0.25">
      <c r="A46" s="284"/>
      <c r="B46" s="285"/>
      <c r="C46" s="140"/>
      <c r="D46" s="140"/>
      <c r="E46" s="140"/>
      <c r="F46" s="285"/>
      <c r="G46" s="140"/>
      <c r="H46" s="140"/>
      <c r="I46" s="285"/>
      <c r="J46" s="285"/>
      <c r="K46" s="281"/>
      <c r="L46" s="140"/>
      <c r="M46" s="140"/>
      <c r="N46" s="140"/>
      <c r="O46" s="281"/>
      <c r="P46" s="140"/>
      <c r="Q46" s="140"/>
      <c r="R46" s="140"/>
      <c r="S46" s="140"/>
      <c r="T46" s="140"/>
      <c r="U46" s="140"/>
      <c r="V46" s="140"/>
      <c r="W46" s="140"/>
      <c r="X46" s="140"/>
      <c r="Y46" s="140"/>
      <c r="Z46" s="140"/>
    </row>
    <row r="47" spans="1:26" ht="15.75" customHeight="1" x14ac:dyDescent="0.25">
      <c r="A47" s="284"/>
      <c r="B47" s="285"/>
      <c r="C47" s="140"/>
      <c r="D47" s="140"/>
      <c r="E47" s="140"/>
      <c r="F47" s="285"/>
      <c r="G47" s="140"/>
      <c r="H47" s="140"/>
      <c r="I47" s="285"/>
      <c r="J47" s="285"/>
      <c r="K47" s="281"/>
      <c r="L47" s="140"/>
      <c r="M47" s="140"/>
      <c r="N47" s="140"/>
      <c r="O47" s="281"/>
      <c r="P47" s="140"/>
      <c r="Q47" s="140"/>
      <c r="R47" s="140"/>
      <c r="S47" s="140"/>
      <c r="T47" s="140"/>
      <c r="U47" s="140"/>
      <c r="V47" s="140"/>
      <c r="W47" s="140"/>
      <c r="X47" s="140"/>
      <c r="Y47" s="140"/>
      <c r="Z47" s="140"/>
    </row>
    <row r="48" spans="1:26" ht="15.75" customHeight="1" x14ac:dyDescent="0.25">
      <c r="A48" s="284"/>
      <c r="B48" s="285"/>
      <c r="C48" s="140"/>
      <c r="D48" s="140"/>
      <c r="E48" s="140"/>
      <c r="F48" s="285"/>
      <c r="G48" s="140"/>
      <c r="H48" s="140"/>
      <c r="I48" s="285"/>
      <c r="J48" s="285"/>
      <c r="K48" s="281"/>
      <c r="L48" s="140"/>
      <c r="M48" s="140"/>
      <c r="N48" s="140"/>
      <c r="O48" s="281"/>
      <c r="P48" s="140"/>
      <c r="Q48" s="140"/>
      <c r="R48" s="140"/>
      <c r="S48" s="140"/>
      <c r="T48" s="140"/>
      <c r="U48" s="140"/>
      <c r="V48" s="140"/>
      <c r="W48" s="140"/>
      <c r="X48" s="140"/>
      <c r="Y48" s="140"/>
      <c r="Z48" s="140"/>
    </row>
    <row r="49" spans="1:26" ht="15.75" customHeight="1" x14ac:dyDescent="0.25">
      <c r="A49" s="284"/>
      <c r="B49" s="285"/>
      <c r="C49" s="140"/>
      <c r="D49" s="140"/>
      <c r="E49" s="140"/>
      <c r="F49" s="285"/>
      <c r="G49" s="140"/>
      <c r="H49" s="140"/>
      <c r="I49" s="285"/>
      <c r="J49" s="285"/>
      <c r="K49" s="281"/>
      <c r="L49" s="140"/>
      <c r="M49" s="140"/>
      <c r="N49" s="140"/>
      <c r="O49" s="281"/>
      <c r="P49" s="140"/>
      <c r="Q49" s="140"/>
      <c r="R49" s="140"/>
      <c r="S49" s="140"/>
      <c r="T49" s="140"/>
      <c r="U49" s="140"/>
      <c r="V49" s="140"/>
      <c r="W49" s="140"/>
      <c r="X49" s="140"/>
      <c r="Y49" s="140"/>
      <c r="Z49" s="140"/>
    </row>
    <row r="50" spans="1:26" ht="15.75" customHeight="1" x14ac:dyDescent="0.25">
      <c r="A50" s="284"/>
      <c r="B50" s="285"/>
      <c r="C50" s="140"/>
      <c r="D50" s="140"/>
      <c r="E50" s="140"/>
      <c r="F50" s="285"/>
      <c r="G50" s="140"/>
      <c r="H50" s="140"/>
      <c r="I50" s="285"/>
      <c r="J50" s="285"/>
      <c r="K50" s="281"/>
      <c r="L50" s="140"/>
      <c r="M50" s="140"/>
      <c r="N50" s="140"/>
      <c r="O50" s="281"/>
      <c r="P50" s="140"/>
      <c r="Q50" s="140"/>
      <c r="R50" s="140"/>
      <c r="S50" s="140"/>
      <c r="T50" s="140"/>
      <c r="U50" s="140"/>
      <c r="V50" s="140"/>
      <c r="W50" s="140"/>
      <c r="X50" s="140"/>
      <c r="Y50" s="140"/>
      <c r="Z50" s="140"/>
    </row>
    <row r="51" spans="1:26" ht="15.75" customHeight="1" x14ac:dyDescent="0.25">
      <c r="A51" s="284"/>
      <c r="B51" s="285"/>
      <c r="C51" s="140"/>
      <c r="D51" s="140"/>
      <c r="E51" s="140"/>
      <c r="F51" s="285"/>
      <c r="G51" s="140"/>
      <c r="H51" s="140"/>
      <c r="I51" s="285"/>
      <c r="J51" s="285"/>
      <c r="K51" s="281"/>
      <c r="L51" s="140"/>
      <c r="M51" s="140"/>
      <c r="N51" s="140"/>
      <c r="O51" s="281"/>
      <c r="P51" s="140"/>
      <c r="Q51" s="140"/>
      <c r="R51" s="140"/>
      <c r="S51" s="140"/>
      <c r="T51" s="140"/>
      <c r="U51" s="140"/>
      <c r="V51" s="140"/>
      <c r="W51" s="140"/>
      <c r="X51" s="140"/>
      <c r="Y51" s="140"/>
      <c r="Z51" s="140"/>
    </row>
    <row r="52" spans="1:26" ht="15.75" customHeight="1" x14ac:dyDescent="0.25">
      <c r="A52" s="284"/>
      <c r="B52" s="285"/>
      <c r="C52" s="140"/>
      <c r="D52" s="140"/>
      <c r="E52" s="140"/>
      <c r="F52" s="285"/>
      <c r="G52" s="140"/>
      <c r="H52" s="140"/>
      <c r="I52" s="285"/>
      <c r="J52" s="285"/>
      <c r="K52" s="281"/>
      <c r="L52" s="140"/>
      <c r="M52" s="140"/>
      <c r="N52" s="140"/>
      <c r="O52" s="281"/>
      <c r="P52" s="140"/>
      <c r="Q52" s="140"/>
      <c r="R52" s="140"/>
      <c r="S52" s="140"/>
      <c r="T52" s="140"/>
      <c r="U52" s="140"/>
      <c r="V52" s="140"/>
      <c r="W52" s="140"/>
      <c r="X52" s="140"/>
      <c r="Y52" s="140"/>
      <c r="Z52" s="140"/>
    </row>
    <row r="53" spans="1:26" ht="15.75" customHeight="1" x14ac:dyDescent="0.25">
      <c r="A53" s="284"/>
      <c r="B53" s="285"/>
      <c r="C53" s="140"/>
      <c r="D53" s="140"/>
      <c r="E53" s="140"/>
      <c r="F53" s="285"/>
      <c r="G53" s="140"/>
      <c r="H53" s="140"/>
      <c r="I53" s="285"/>
      <c r="J53" s="285"/>
      <c r="K53" s="281"/>
      <c r="L53" s="140"/>
      <c r="M53" s="140"/>
      <c r="N53" s="140"/>
      <c r="O53" s="281"/>
      <c r="P53" s="140"/>
      <c r="Q53" s="140"/>
      <c r="R53" s="140"/>
      <c r="S53" s="140"/>
      <c r="T53" s="140"/>
      <c r="U53" s="140"/>
      <c r="V53" s="140"/>
      <c r="W53" s="140"/>
      <c r="X53" s="140"/>
      <c r="Y53" s="140"/>
      <c r="Z53" s="140"/>
    </row>
    <row r="54" spans="1:26" ht="15.75" customHeight="1" x14ac:dyDescent="0.25">
      <c r="A54" s="284"/>
      <c r="B54" s="285"/>
      <c r="C54" s="140"/>
      <c r="D54" s="140"/>
      <c r="E54" s="140"/>
      <c r="F54" s="285"/>
      <c r="G54" s="140"/>
      <c r="H54" s="140"/>
      <c r="I54" s="285"/>
      <c r="J54" s="285"/>
      <c r="K54" s="281"/>
      <c r="L54" s="140"/>
      <c r="M54" s="140"/>
      <c r="N54" s="140"/>
      <c r="O54" s="281"/>
      <c r="P54" s="140"/>
      <c r="Q54" s="140"/>
      <c r="R54" s="140"/>
      <c r="S54" s="140"/>
      <c r="T54" s="140"/>
      <c r="U54" s="140"/>
      <c r="V54" s="140"/>
      <c r="W54" s="140"/>
      <c r="X54" s="140"/>
      <c r="Y54" s="140"/>
      <c r="Z54" s="140"/>
    </row>
    <row r="55" spans="1:26" ht="15.75" customHeight="1" x14ac:dyDescent="0.25">
      <c r="A55" s="284"/>
      <c r="B55" s="285"/>
      <c r="C55" s="140"/>
      <c r="D55" s="140"/>
      <c r="E55" s="140"/>
      <c r="F55" s="285"/>
      <c r="G55" s="140"/>
      <c r="H55" s="140"/>
      <c r="I55" s="285"/>
      <c r="J55" s="285"/>
      <c r="K55" s="281"/>
      <c r="L55" s="140"/>
      <c r="M55" s="140"/>
      <c r="N55" s="140"/>
      <c r="O55" s="281"/>
      <c r="P55" s="140"/>
      <c r="Q55" s="140"/>
      <c r="R55" s="140"/>
      <c r="S55" s="140"/>
      <c r="T55" s="140"/>
      <c r="U55" s="140"/>
      <c r="V55" s="140"/>
      <c r="W55" s="140"/>
      <c r="X55" s="140"/>
      <c r="Y55" s="140"/>
      <c r="Z55" s="140"/>
    </row>
    <row r="56" spans="1:26" ht="15.75" customHeight="1" x14ac:dyDescent="0.25">
      <c r="A56" s="284"/>
      <c r="B56" s="285"/>
      <c r="C56" s="140"/>
      <c r="D56" s="140"/>
      <c r="E56" s="140"/>
      <c r="F56" s="285"/>
      <c r="G56" s="140"/>
      <c r="H56" s="140"/>
      <c r="I56" s="285"/>
      <c r="J56" s="285"/>
      <c r="K56" s="281"/>
      <c r="L56" s="140"/>
      <c r="M56" s="140"/>
      <c r="N56" s="140"/>
      <c r="O56" s="281"/>
      <c r="P56" s="140"/>
      <c r="Q56" s="140"/>
      <c r="R56" s="140"/>
      <c r="S56" s="140"/>
      <c r="T56" s="140"/>
      <c r="U56" s="140"/>
      <c r="V56" s="140"/>
      <c r="W56" s="140"/>
      <c r="X56" s="140"/>
      <c r="Y56" s="140"/>
      <c r="Z56" s="140"/>
    </row>
    <row r="57" spans="1:26" ht="15.75" customHeight="1" x14ac:dyDescent="0.25">
      <c r="A57" s="284"/>
      <c r="B57" s="285"/>
      <c r="C57" s="140"/>
      <c r="D57" s="140"/>
      <c r="E57" s="140"/>
      <c r="F57" s="285"/>
      <c r="G57" s="140"/>
      <c r="H57" s="140"/>
      <c r="I57" s="285"/>
      <c r="J57" s="285"/>
      <c r="K57" s="281"/>
      <c r="L57" s="140"/>
      <c r="M57" s="140"/>
      <c r="N57" s="140"/>
      <c r="O57" s="281"/>
      <c r="P57" s="140"/>
      <c r="Q57" s="140"/>
      <c r="R57" s="140"/>
      <c r="S57" s="140"/>
      <c r="T57" s="140"/>
      <c r="U57" s="140"/>
      <c r="V57" s="140"/>
      <c r="W57" s="140"/>
      <c r="X57" s="140"/>
      <c r="Y57" s="140"/>
      <c r="Z57" s="140"/>
    </row>
    <row r="58" spans="1:26" ht="15.75" customHeight="1" x14ac:dyDescent="0.25">
      <c r="A58" s="284"/>
      <c r="B58" s="285"/>
      <c r="C58" s="140"/>
      <c r="D58" s="140"/>
      <c r="E58" s="140"/>
      <c r="F58" s="285"/>
      <c r="G58" s="140"/>
      <c r="H58" s="140"/>
      <c r="I58" s="285"/>
      <c r="J58" s="285"/>
      <c r="K58" s="281"/>
      <c r="L58" s="140"/>
      <c r="M58" s="140"/>
      <c r="N58" s="140"/>
      <c r="O58" s="281"/>
      <c r="P58" s="140"/>
      <c r="Q58" s="140"/>
      <c r="R58" s="140"/>
      <c r="S58" s="140"/>
      <c r="T58" s="140"/>
      <c r="U58" s="140"/>
      <c r="V58" s="140"/>
      <c r="W58" s="140"/>
      <c r="X58" s="140"/>
      <c r="Y58" s="140"/>
      <c r="Z58" s="140"/>
    </row>
    <row r="59" spans="1:26" ht="15.75" customHeight="1" x14ac:dyDescent="0.25">
      <c r="A59" s="284"/>
      <c r="B59" s="285"/>
      <c r="C59" s="140"/>
      <c r="D59" s="140"/>
      <c r="E59" s="140"/>
      <c r="F59" s="285"/>
      <c r="G59" s="140"/>
      <c r="H59" s="140"/>
      <c r="I59" s="285"/>
      <c r="J59" s="285"/>
      <c r="K59" s="281"/>
      <c r="L59" s="140"/>
      <c r="M59" s="140"/>
      <c r="N59" s="140"/>
      <c r="O59" s="281"/>
      <c r="P59" s="140"/>
      <c r="Q59" s="140"/>
      <c r="R59" s="140"/>
      <c r="S59" s="140"/>
      <c r="T59" s="140"/>
      <c r="U59" s="140"/>
      <c r="V59" s="140"/>
      <c r="W59" s="140"/>
      <c r="X59" s="140"/>
      <c r="Y59" s="140"/>
      <c r="Z59" s="140"/>
    </row>
    <row r="60" spans="1:26" ht="15.75" customHeight="1" x14ac:dyDescent="0.25">
      <c r="A60" s="284"/>
      <c r="B60" s="285"/>
      <c r="C60" s="140"/>
      <c r="D60" s="140"/>
      <c r="E60" s="140"/>
      <c r="F60" s="285"/>
      <c r="G60" s="140"/>
      <c r="H60" s="140"/>
      <c r="I60" s="285"/>
      <c r="J60" s="285"/>
      <c r="K60" s="281"/>
      <c r="L60" s="140"/>
      <c r="M60" s="140"/>
      <c r="N60" s="140"/>
      <c r="O60" s="281"/>
      <c r="P60" s="140"/>
      <c r="Q60" s="140"/>
      <c r="R60" s="140"/>
      <c r="S60" s="140"/>
      <c r="T60" s="140"/>
      <c r="U60" s="140"/>
      <c r="V60" s="140"/>
      <c r="W60" s="140"/>
      <c r="X60" s="140"/>
      <c r="Y60" s="140"/>
      <c r="Z60" s="140"/>
    </row>
    <row r="61" spans="1:26" ht="15.75" customHeight="1" x14ac:dyDescent="0.25">
      <c r="A61" s="284"/>
      <c r="B61" s="285"/>
      <c r="C61" s="140"/>
      <c r="D61" s="140"/>
      <c r="E61" s="140"/>
      <c r="F61" s="285"/>
      <c r="G61" s="140"/>
      <c r="H61" s="140"/>
      <c r="I61" s="285"/>
      <c r="J61" s="285"/>
      <c r="K61" s="281"/>
      <c r="L61" s="140"/>
      <c r="M61" s="140"/>
      <c r="N61" s="140"/>
      <c r="O61" s="281"/>
      <c r="P61" s="140"/>
      <c r="Q61" s="140"/>
      <c r="R61" s="140"/>
      <c r="S61" s="140"/>
      <c r="T61" s="140"/>
      <c r="U61" s="140"/>
      <c r="V61" s="140"/>
      <c r="W61" s="140"/>
      <c r="X61" s="140"/>
      <c r="Y61" s="140"/>
      <c r="Z61" s="140"/>
    </row>
    <row r="62" spans="1:26" ht="15.75" customHeight="1" x14ac:dyDescent="0.25">
      <c r="A62" s="284"/>
      <c r="B62" s="285"/>
      <c r="C62" s="140"/>
      <c r="D62" s="140"/>
      <c r="E62" s="140"/>
      <c r="F62" s="285"/>
      <c r="G62" s="140"/>
      <c r="H62" s="140"/>
      <c r="I62" s="285"/>
      <c r="J62" s="285"/>
      <c r="K62" s="281"/>
      <c r="L62" s="140"/>
      <c r="M62" s="140"/>
      <c r="N62" s="140"/>
      <c r="O62" s="281"/>
      <c r="P62" s="140"/>
      <c r="Q62" s="140"/>
      <c r="R62" s="140"/>
      <c r="S62" s="140"/>
      <c r="T62" s="140"/>
      <c r="U62" s="140"/>
      <c r="V62" s="140"/>
      <c r="W62" s="140"/>
      <c r="X62" s="140"/>
      <c r="Y62" s="140"/>
      <c r="Z62" s="140"/>
    </row>
    <row r="63" spans="1:26" ht="15.75" customHeight="1" x14ac:dyDescent="0.25">
      <c r="A63" s="284"/>
      <c r="B63" s="285"/>
      <c r="C63" s="140"/>
      <c r="D63" s="140"/>
      <c r="E63" s="140"/>
      <c r="F63" s="285"/>
      <c r="G63" s="140"/>
      <c r="H63" s="140"/>
      <c r="I63" s="285"/>
      <c r="J63" s="285"/>
      <c r="K63" s="281"/>
      <c r="L63" s="140"/>
      <c r="M63" s="140"/>
      <c r="N63" s="140"/>
      <c r="O63" s="281"/>
      <c r="P63" s="140"/>
      <c r="Q63" s="140"/>
      <c r="R63" s="140"/>
      <c r="S63" s="140"/>
      <c r="T63" s="140"/>
      <c r="U63" s="140"/>
      <c r="V63" s="140"/>
      <c r="W63" s="140"/>
      <c r="X63" s="140"/>
      <c r="Y63" s="140"/>
      <c r="Z63" s="140"/>
    </row>
    <row r="64" spans="1:26" ht="15.75" customHeight="1" x14ac:dyDescent="0.25">
      <c r="A64" s="284"/>
      <c r="B64" s="285"/>
      <c r="C64" s="140"/>
      <c r="D64" s="140"/>
      <c r="E64" s="140"/>
      <c r="F64" s="285"/>
      <c r="G64" s="140"/>
      <c r="H64" s="140"/>
      <c r="I64" s="285"/>
      <c r="J64" s="285"/>
      <c r="K64" s="281"/>
      <c r="L64" s="140"/>
      <c r="M64" s="140"/>
      <c r="N64" s="140"/>
      <c r="O64" s="281"/>
      <c r="P64" s="140"/>
      <c r="Q64" s="140"/>
      <c r="R64" s="140"/>
      <c r="S64" s="140"/>
      <c r="T64" s="140"/>
      <c r="U64" s="140"/>
      <c r="V64" s="140"/>
      <c r="W64" s="140"/>
      <c r="X64" s="140"/>
      <c r="Y64" s="140"/>
      <c r="Z64" s="140"/>
    </row>
    <row r="65" spans="1:26" ht="15.75" customHeight="1" x14ac:dyDescent="0.25">
      <c r="A65" s="284"/>
      <c r="B65" s="285"/>
      <c r="C65" s="140"/>
      <c r="D65" s="140"/>
      <c r="E65" s="140"/>
      <c r="F65" s="285"/>
      <c r="G65" s="140"/>
      <c r="H65" s="140"/>
      <c r="I65" s="285"/>
      <c r="J65" s="285"/>
      <c r="K65" s="281"/>
      <c r="L65" s="140"/>
      <c r="M65" s="140"/>
      <c r="N65" s="140"/>
      <c r="O65" s="281"/>
      <c r="P65" s="140"/>
      <c r="Q65" s="140"/>
      <c r="R65" s="140"/>
      <c r="S65" s="140"/>
      <c r="T65" s="140"/>
      <c r="U65" s="140"/>
      <c r="V65" s="140"/>
      <c r="W65" s="140"/>
      <c r="X65" s="140"/>
      <c r="Y65" s="140"/>
      <c r="Z65" s="140"/>
    </row>
    <row r="66" spans="1:26" ht="15.75" customHeight="1" x14ac:dyDescent="0.25">
      <c r="A66" s="284"/>
      <c r="B66" s="285"/>
      <c r="C66" s="140"/>
      <c r="D66" s="140"/>
      <c r="E66" s="140"/>
      <c r="F66" s="285"/>
      <c r="G66" s="140"/>
      <c r="H66" s="140"/>
      <c r="I66" s="285"/>
      <c r="J66" s="285"/>
      <c r="K66" s="281"/>
      <c r="L66" s="140"/>
      <c r="M66" s="140"/>
      <c r="N66" s="140"/>
      <c r="O66" s="281"/>
      <c r="P66" s="140"/>
      <c r="Q66" s="140"/>
      <c r="R66" s="140"/>
      <c r="S66" s="140"/>
      <c r="T66" s="140"/>
      <c r="U66" s="140"/>
      <c r="V66" s="140"/>
      <c r="W66" s="140"/>
      <c r="X66" s="140"/>
      <c r="Y66" s="140"/>
      <c r="Z66" s="140"/>
    </row>
    <row r="67" spans="1:26" ht="15.75" customHeight="1" x14ac:dyDescent="0.25">
      <c r="A67" s="284"/>
      <c r="B67" s="285"/>
      <c r="C67" s="140"/>
      <c r="D67" s="140"/>
      <c r="E67" s="140"/>
      <c r="F67" s="285"/>
      <c r="G67" s="140"/>
      <c r="H67" s="140"/>
      <c r="I67" s="285"/>
      <c r="J67" s="285"/>
      <c r="K67" s="281"/>
      <c r="L67" s="140"/>
      <c r="M67" s="140"/>
      <c r="N67" s="140"/>
      <c r="O67" s="281"/>
      <c r="P67" s="140"/>
      <c r="Q67" s="140"/>
      <c r="R67" s="140"/>
      <c r="S67" s="140"/>
      <c r="T67" s="140"/>
      <c r="U67" s="140"/>
      <c r="V67" s="140"/>
      <c r="W67" s="140"/>
      <c r="X67" s="140"/>
      <c r="Y67" s="140"/>
      <c r="Z67" s="140"/>
    </row>
    <row r="68" spans="1:26" ht="15.75" customHeight="1" x14ac:dyDescent="0.25">
      <c r="A68" s="284"/>
      <c r="B68" s="285"/>
      <c r="C68" s="140"/>
      <c r="D68" s="140"/>
      <c r="E68" s="140"/>
      <c r="F68" s="285"/>
      <c r="G68" s="140"/>
      <c r="H68" s="140"/>
      <c r="I68" s="285"/>
      <c r="J68" s="285"/>
      <c r="K68" s="281"/>
      <c r="L68" s="140"/>
      <c r="M68" s="140"/>
      <c r="N68" s="140"/>
      <c r="O68" s="281"/>
      <c r="P68" s="140"/>
      <c r="Q68" s="140"/>
      <c r="R68" s="140"/>
      <c r="S68" s="140"/>
      <c r="T68" s="140"/>
      <c r="U68" s="140"/>
      <c r="V68" s="140"/>
      <c r="W68" s="140"/>
      <c r="X68" s="140"/>
      <c r="Y68" s="140"/>
      <c r="Z68" s="140"/>
    </row>
    <row r="69" spans="1:26" ht="15.75" customHeight="1" x14ac:dyDescent="0.25">
      <c r="A69" s="284"/>
      <c r="B69" s="285"/>
      <c r="C69" s="140"/>
      <c r="D69" s="140"/>
      <c r="E69" s="140"/>
      <c r="F69" s="285"/>
      <c r="G69" s="140"/>
      <c r="H69" s="140"/>
      <c r="I69" s="285"/>
      <c r="J69" s="285"/>
      <c r="K69" s="281"/>
      <c r="L69" s="140"/>
      <c r="M69" s="140"/>
      <c r="N69" s="140"/>
      <c r="O69" s="281"/>
      <c r="P69" s="140"/>
      <c r="Q69" s="140"/>
      <c r="R69" s="140"/>
      <c r="S69" s="140"/>
      <c r="T69" s="140"/>
      <c r="U69" s="140"/>
      <c r="V69" s="140"/>
      <c r="W69" s="140"/>
      <c r="X69" s="140"/>
      <c r="Y69" s="140"/>
      <c r="Z69" s="140"/>
    </row>
    <row r="70" spans="1:26" ht="15.75" customHeight="1" x14ac:dyDescent="0.25">
      <c r="A70" s="284"/>
      <c r="B70" s="285"/>
      <c r="C70" s="140"/>
      <c r="D70" s="140"/>
      <c r="E70" s="140"/>
      <c r="F70" s="285"/>
      <c r="G70" s="140"/>
      <c r="H70" s="140"/>
      <c r="I70" s="285"/>
      <c r="J70" s="285"/>
      <c r="K70" s="281"/>
      <c r="L70" s="140"/>
      <c r="M70" s="140"/>
      <c r="N70" s="140"/>
      <c r="O70" s="281"/>
      <c r="P70" s="140"/>
      <c r="Q70" s="140"/>
      <c r="R70" s="140"/>
      <c r="S70" s="140"/>
      <c r="T70" s="140"/>
      <c r="U70" s="140"/>
      <c r="V70" s="140"/>
      <c r="W70" s="140"/>
      <c r="X70" s="140"/>
      <c r="Y70" s="140"/>
      <c r="Z70" s="140"/>
    </row>
    <row r="71" spans="1:26" ht="15.75" customHeight="1" x14ac:dyDescent="0.25">
      <c r="A71" s="284"/>
      <c r="B71" s="285"/>
      <c r="C71" s="140"/>
      <c r="D71" s="140"/>
      <c r="E71" s="140"/>
      <c r="F71" s="285"/>
      <c r="G71" s="140"/>
      <c r="H71" s="140"/>
      <c r="I71" s="285"/>
      <c r="J71" s="285"/>
      <c r="K71" s="281"/>
      <c r="L71" s="140"/>
      <c r="M71" s="140"/>
      <c r="N71" s="140"/>
      <c r="O71" s="281"/>
      <c r="P71" s="140"/>
      <c r="Q71" s="140"/>
      <c r="R71" s="140"/>
      <c r="S71" s="140"/>
      <c r="T71" s="140"/>
      <c r="U71" s="140"/>
      <c r="V71" s="140"/>
      <c r="W71" s="140"/>
      <c r="X71" s="140"/>
      <c r="Y71" s="140"/>
      <c r="Z71" s="140"/>
    </row>
    <row r="72" spans="1:26" ht="15.75" customHeight="1" x14ac:dyDescent="0.25">
      <c r="A72" s="284"/>
      <c r="B72" s="285"/>
      <c r="C72" s="140"/>
      <c r="D72" s="140"/>
      <c r="E72" s="140"/>
      <c r="F72" s="285"/>
      <c r="G72" s="140"/>
      <c r="H72" s="140"/>
      <c r="I72" s="285"/>
      <c r="J72" s="285"/>
      <c r="K72" s="281"/>
      <c r="L72" s="140"/>
      <c r="M72" s="140"/>
      <c r="N72" s="140"/>
      <c r="O72" s="281"/>
      <c r="P72" s="140"/>
      <c r="Q72" s="140"/>
      <c r="R72" s="140"/>
      <c r="S72" s="140"/>
      <c r="T72" s="140"/>
      <c r="U72" s="140"/>
      <c r="V72" s="140"/>
      <c r="W72" s="140"/>
      <c r="X72" s="140"/>
      <c r="Y72" s="140"/>
      <c r="Z72" s="140"/>
    </row>
    <row r="73" spans="1:26" ht="15.75" customHeight="1" x14ac:dyDescent="0.25">
      <c r="A73" s="284"/>
      <c r="B73" s="285"/>
      <c r="C73" s="140"/>
      <c r="D73" s="140"/>
      <c r="E73" s="140"/>
      <c r="F73" s="285"/>
      <c r="G73" s="140"/>
      <c r="H73" s="140"/>
      <c r="I73" s="285"/>
      <c r="J73" s="285"/>
      <c r="K73" s="281"/>
      <c r="L73" s="140"/>
      <c r="M73" s="140"/>
      <c r="N73" s="140"/>
      <c r="O73" s="281"/>
      <c r="P73" s="140"/>
      <c r="Q73" s="140"/>
      <c r="R73" s="140"/>
      <c r="S73" s="140"/>
      <c r="T73" s="140"/>
      <c r="U73" s="140"/>
      <c r="V73" s="140"/>
      <c r="W73" s="140"/>
      <c r="X73" s="140"/>
      <c r="Y73" s="140"/>
      <c r="Z73" s="140"/>
    </row>
    <row r="74" spans="1:26" ht="15.75" customHeight="1" x14ac:dyDescent="0.25">
      <c r="A74" s="284"/>
      <c r="B74" s="285"/>
      <c r="C74" s="140"/>
      <c r="D74" s="140"/>
      <c r="E74" s="140"/>
      <c r="F74" s="285"/>
      <c r="G74" s="140"/>
      <c r="H74" s="140"/>
      <c r="I74" s="285"/>
      <c r="J74" s="285"/>
      <c r="K74" s="281"/>
      <c r="L74" s="140"/>
      <c r="M74" s="140"/>
      <c r="N74" s="140"/>
      <c r="O74" s="281"/>
      <c r="P74" s="140"/>
      <c r="Q74" s="140"/>
      <c r="R74" s="140"/>
      <c r="S74" s="140"/>
      <c r="T74" s="140"/>
      <c r="U74" s="140"/>
      <c r="V74" s="140"/>
      <c r="W74" s="140"/>
      <c r="X74" s="140"/>
      <c r="Y74" s="140"/>
      <c r="Z74" s="140"/>
    </row>
    <row r="75" spans="1:26" ht="15.75" customHeight="1" x14ac:dyDescent="0.25">
      <c r="A75" s="284"/>
      <c r="B75" s="285"/>
      <c r="C75" s="140"/>
      <c r="D75" s="140"/>
      <c r="E75" s="140"/>
      <c r="F75" s="285"/>
      <c r="G75" s="140"/>
      <c r="H75" s="140"/>
      <c r="I75" s="285"/>
      <c r="J75" s="285"/>
      <c r="K75" s="281"/>
      <c r="L75" s="140"/>
      <c r="M75" s="140"/>
      <c r="N75" s="140"/>
      <c r="O75" s="281"/>
      <c r="P75" s="140"/>
      <c r="Q75" s="140"/>
      <c r="R75" s="140"/>
      <c r="S75" s="140"/>
      <c r="T75" s="140"/>
      <c r="U75" s="140"/>
      <c r="V75" s="140"/>
      <c r="W75" s="140"/>
      <c r="X75" s="140"/>
      <c r="Y75" s="140"/>
      <c r="Z75" s="140"/>
    </row>
    <row r="76" spans="1:26" ht="15.75" customHeight="1" x14ac:dyDescent="0.25">
      <c r="A76" s="284"/>
      <c r="B76" s="285"/>
      <c r="C76" s="140"/>
      <c r="D76" s="140"/>
      <c r="E76" s="140"/>
      <c r="F76" s="285"/>
      <c r="G76" s="140"/>
      <c r="H76" s="140"/>
      <c r="I76" s="285"/>
      <c r="J76" s="285"/>
      <c r="K76" s="281"/>
      <c r="L76" s="140"/>
      <c r="M76" s="140"/>
      <c r="N76" s="140"/>
      <c r="O76" s="281"/>
      <c r="P76" s="140"/>
      <c r="Q76" s="140"/>
      <c r="R76" s="140"/>
      <c r="S76" s="140"/>
      <c r="T76" s="140"/>
      <c r="U76" s="140"/>
      <c r="V76" s="140"/>
      <c r="W76" s="140"/>
      <c r="X76" s="140"/>
      <c r="Y76" s="140"/>
      <c r="Z76" s="140"/>
    </row>
    <row r="77" spans="1:26" ht="15.75" customHeight="1" x14ac:dyDescent="0.25">
      <c r="A77" s="284"/>
      <c r="B77" s="285"/>
      <c r="C77" s="140"/>
      <c r="D77" s="140"/>
      <c r="E77" s="140"/>
      <c r="F77" s="285"/>
      <c r="G77" s="140"/>
      <c r="H77" s="140"/>
      <c r="I77" s="285"/>
      <c r="J77" s="285"/>
      <c r="K77" s="281"/>
      <c r="L77" s="140"/>
      <c r="M77" s="140"/>
      <c r="N77" s="140"/>
      <c r="O77" s="281"/>
      <c r="P77" s="140"/>
      <c r="Q77" s="140"/>
      <c r="R77" s="140"/>
      <c r="S77" s="140"/>
      <c r="T77" s="140"/>
      <c r="U77" s="140"/>
      <c r="V77" s="140"/>
      <c r="W77" s="140"/>
      <c r="X77" s="140"/>
      <c r="Y77" s="140"/>
      <c r="Z77" s="140"/>
    </row>
    <row r="78" spans="1:26" ht="15.75" customHeight="1" x14ac:dyDescent="0.25">
      <c r="A78" s="284"/>
      <c r="B78" s="285"/>
      <c r="C78" s="140"/>
      <c r="D78" s="140"/>
      <c r="E78" s="140"/>
      <c r="F78" s="285"/>
      <c r="G78" s="140"/>
      <c r="H78" s="140"/>
      <c r="I78" s="285"/>
      <c r="J78" s="285"/>
      <c r="K78" s="281"/>
      <c r="L78" s="140"/>
      <c r="M78" s="140"/>
      <c r="N78" s="140"/>
      <c r="O78" s="281"/>
      <c r="P78" s="140"/>
      <c r="Q78" s="140"/>
      <c r="R78" s="140"/>
      <c r="S78" s="140"/>
      <c r="T78" s="140"/>
      <c r="U78" s="140"/>
      <c r="V78" s="140"/>
      <c r="W78" s="140"/>
      <c r="X78" s="140"/>
      <c r="Y78" s="140"/>
      <c r="Z78" s="140"/>
    </row>
    <row r="79" spans="1:26" ht="15.75" customHeight="1" x14ac:dyDescent="0.25">
      <c r="A79" s="284"/>
      <c r="B79" s="285"/>
      <c r="C79" s="140"/>
      <c r="D79" s="140"/>
      <c r="E79" s="140"/>
      <c r="F79" s="285"/>
      <c r="G79" s="140"/>
      <c r="H79" s="140"/>
      <c r="I79" s="285"/>
      <c r="J79" s="285"/>
      <c r="K79" s="281"/>
      <c r="L79" s="140"/>
      <c r="M79" s="140"/>
      <c r="N79" s="140"/>
      <c r="O79" s="281"/>
      <c r="P79" s="140"/>
      <c r="Q79" s="140"/>
      <c r="R79" s="140"/>
      <c r="S79" s="140"/>
      <c r="T79" s="140"/>
      <c r="U79" s="140"/>
      <c r="V79" s="140"/>
      <c r="W79" s="140"/>
      <c r="X79" s="140"/>
      <c r="Y79" s="140"/>
      <c r="Z79" s="140"/>
    </row>
    <row r="80" spans="1:26" ht="15.75" customHeight="1" x14ac:dyDescent="0.25">
      <c r="A80" s="284"/>
      <c r="B80" s="285"/>
      <c r="C80" s="140"/>
      <c r="D80" s="140"/>
      <c r="E80" s="140"/>
      <c r="F80" s="285"/>
      <c r="G80" s="140"/>
      <c r="H80" s="140"/>
      <c r="I80" s="285"/>
      <c r="J80" s="285"/>
      <c r="K80" s="281"/>
      <c r="L80" s="140"/>
      <c r="M80" s="140"/>
      <c r="N80" s="140"/>
      <c r="O80" s="281"/>
      <c r="P80" s="140"/>
      <c r="Q80" s="140"/>
      <c r="R80" s="140"/>
      <c r="S80" s="140"/>
      <c r="T80" s="140"/>
      <c r="U80" s="140"/>
      <c r="V80" s="140"/>
      <c r="W80" s="140"/>
      <c r="X80" s="140"/>
      <c r="Y80" s="140"/>
      <c r="Z80" s="140"/>
    </row>
    <row r="81" spans="1:26" ht="15.75" customHeight="1" x14ac:dyDescent="0.25">
      <c r="A81" s="284"/>
      <c r="B81" s="285"/>
      <c r="C81" s="140"/>
      <c r="D81" s="140"/>
      <c r="E81" s="140"/>
      <c r="F81" s="285"/>
      <c r="G81" s="140"/>
      <c r="H81" s="140"/>
      <c r="I81" s="285"/>
      <c r="J81" s="285"/>
      <c r="K81" s="281"/>
      <c r="L81" s="140"/>
      <c r="M81" s="140"/>
      <c r="N81" s="140"/>
      <c r="O81" s="281"/>
      <c r="P81" s="140"/>
      <c r="Q81" s="140"/>
      <c r="R81" s="140"/>
      <c r="S81" s="140"/>
      <c r="T81" s="140"/>
      <c r="U81" s="140"/>
      <c r="V81" s="140"/>
      <c r="W81" s="140"/>
      <c r="X81" s="140"/>
      <c r="Y81" s="140"/>
      <c r="Z81" s="140"/>
    </row>
    <row r="82" spans="1:26" ht="15.75" customHeight="1" x14ac:dyDescent="0.25">
      <c r="A82" s="284"/>
      <c r="B82" s="285"/>
      <c r="C82" s="140"/>
      <c r="D82" s="140"/>
      <c r="E82" s="140"/>
      <c r="F82" s="285"/>
      <c r="G82" s="140"/>
      <c r="H82" s="140"/>
      <c r="I82" s="285"/>
      <c r="J82" s="285"/>
      <c r="K82" s="281"/>
      <c r="L82" s="140"/>
      <c r="M82" s="140"/>
      <c r="N82" s="140"/>
      <c r="O82" s="281"/>
      <c r="P82" s="140"/>
      <c r="Q82" s="140"/>
      <c r="R82" s="140"/>
      <c r="S82" s="140"/>
      <c r="T82" s="140"/>
      <c r="U82" s="140"/>
      <c r="V82" s="140"/>
      <c r="W82" s="140"/>
      <c r="X82" s="140"/>
      <c r="Y82" s="140"/>
      <c r="Z82" s="140"/>
    </row>
    <row r="83" spans="1:26" ht="15.75" customHeight="1" x14ac:dyDescent="0.25">
      <c r="A83" s="284"/>
      <c r="B83" s="285"/>
      <c r="C83" s="140"/>
      <c r="D83" s="140"/>
      <c r="E83" s="140"/>
      <c r="F83" s="285"/>
      <c r="G83" s="140"/>
      <c r="H83" s="140"/>
      <c r="I83" s="285"/>
      <c r="J83" s="285"/>
      <c r="K83" s="281"/>
      <c r="L83" s="140"/>
      <c r="M83" s="140"/>
      <c r="N83" s="140"/>
      <c r="O83" s="281"/>
      <c r="P83" s="140"/>
      <c r="Q83" s="140"/>
      <c r="R83" s="140"/>
      <c r="S83" s="140"/>
      <c r="T83" s="140"/>
      <c r="U83" s="140"/>
      <c r="V83" s="140"/>
      <c r="W83" s="140"/>
      <c r="X83" s="140"/>
      <c r="Y83" s="140"/>
      <c r="Z83" s="140"/>
    </row>
    <row r="84" spans="1:26" ht="15.75" customHeight="1" x14ac:dyDescent="0.25">
      <c r="A84" s="284"/>
      <c r="B84" s="285"/>
      <c r="C84" s="140"/>
      <c r="D84" s="140"/>
      <c r="E84" s="140"/>
      <c r="F84" s="285"/>
      <c r="G84" s="140"/>
      <c r="H84" s="140"/>
      <c r="I84" s="285"/>
      <c r="J84" s="285"/>
      <c r="K84" s="281"/>
      <c r="L84" s="140"/>
      <c r="M84" s="140"/>
      <c r="N84" s="140"/>
      <c r="O84" s="281"/>
      <c r="P84" s="140"/>
      <c r="Q84" s="140"/>
      <c r="R84" s="140"/>
      <c r="S84" s="140"/>
      <c r="T84" s="140"/>
      <c r="U84" s="140"/>
      <c r="V84" s="140"/>
      <c r="W84" s="140"/>
      <c r="X84" s="140"/>
      <c r="Y84" s="140"/>
      <c r="Z84" s="140"/>
    </row>
    <row r="85" spans="1:26" ht="15.75" customHeight="1" x14ac:dyDescent="0.25">
      <c r="A85" s="284"/>
      <c r="B85" s="285"/>
      <c r="C85" s="140"/>
      <c r="D85" s="140"/>
      <c r="E85" s="140"/>
      <c r="F85" s="285"/>
      <c r="G85" s="140"/>
      <c r="H85" s="140"/>
      <c r="I85" s="285"/>
      <c r="J85" s="285"/>
      <c r="K85" s="281"/>
      <c r="L85" s="140"/>
      <c r="M85" s="140"/>
      <c r="N85" s="140"/>
      <c r="O85" s="281"/>
      <c r="P85" s="140"/>
      <c r="Q85" s="140"/>
      <c r="R85" s="140"/>
      <c r="S85" s="140"/>
      <c r="T85" s="140"/>
      <c r="U85" s="140"/>
      <c r="V85" s="140"/>
      <c r="W85" s="140"/>
      <c r="X85" s="140"/>
      <c r="Y85" s="140"/>
      <c r="Z85" s="140"/>
    </row>
    <row r="86" spans="1:26" ht="15.75" customHeight="1" x14ac:dyDescent="0.25">
      <c r="A86" s="284"/>
      <c r="B86" s="285"/>
      <c r="C86" s="140"/>
      <c r="D86" s="140"/>
      <c r="E86" s="140"/>
      <c r="F86" s="285"/>
      <c r="G86" s="140"/>
      <c r="H86" s="140"/>
      <c r="I86" s="285"/>
      <c r="J86" s="285"/>
      <c r="K86" s="281"/>
      <c r="L86" s="140"/>
      <c r="M86" s="140"/>
      <c r="N86" s="140"/>
      <c r="O86" s="281"/>
      <c r="P86" s="140"/>
      <c r="Q86" s="140"/>
      <c r="R86" s="140"/>
      <c r="S86" s="140"/>
      <c r="T86" s="140"/>
      <c r="U86" s="140"/>
      <c r="V86" s="140"/>
      <c r="W86" s="140"/>
      <c r="X86" s="140"/>
      <c r="Y86" s="140"/>
      <c r="Z86" s="140"/>
    </row>
    <row r="87" spans="1:26" ht="15.75" customHeight="1" x14ac:dyDescent="0.25">
      <c r="A87" s="284"/>
      <c r="B87" s="285"/>
      <c r="C87" s="140"/>
      <c r="D87" s="140"/>
      <c r="E87" s="140"/>
      <c r="F87" s="285"/>
      <c r="G87" s="140"/>
      <c r="H87" s="140"/>
      <c r="I87" s="285"/>
      <c r="J87" s="285"/>
      <c r="K87" s="281"/>
      <c r="L87" s="140"/>
      <c r="M87" s="140"/>
      <c r="N87" s="140"/>
      <c r="O87" s="281"/>
      <c r="P87" s="140"/>
      <c r="Q87" s="140"/>
      <c r="R87" s="140"/>
      <c r="S87" s="140"/>
      <c r="T87" s="140"/>
      <c r="U87" s="140"/>
      <c r="V87" s="140"/>
      <c r="W87" s="140"/>
      <c r="X87" s="140"/>
      <c r="Y87" s="140"/>
      <c r="Z87" s="140"/>
    </row>
    <row r="88" spans="1:26" ht="15.75" customHeight="1" x14ac:dyDescent="0.25">
      <c r="A88" s="284"/>
      <c r="B88" s="285"/>
      <c r="C88" s="140"/>
      <c r="D88" s="140"/>
      <c r="E88" s="140"/>
      <c r="F88" s="285"/>
      <c r="G88" s="140"/>
      <c r="H88" s="140"/>
      <c r="I88" s="285"/>
      <c r="J88" s="285"/>
      <c r="K88" s="281"/>
      <c r="L88" s="140"/>
      <c r="M88" s="140"/>
      <c r="N88" s="140"/>
      <c r="O88" s="281"/>
      <c r="P88" s="140"/>
      <c r="Q88" s="140"/>
      <c r="R88" s="140"/>
      <c r="S88" s="140"/>
      <c r="T88" s="140"/>
      <c r="U88" s="140"/>
      <c r="V88" s="140"/>
      <c r="W88" s="140"/>
      <c r="X88" s="140"/>
      <c r="Y88" s="140"/>
      <c r="Z88" s="140"/>
    </row>
    <row r="89" spans="1:26" ht="15.75" customHeight="1" x14ac:dyDescent="0.25">
      <c r="A89" s="284"/>
      <c r="B89" s="285"/>
      <c r="C89" s="140"/>
      <c r="D89" s="140"/>
      <c r="E89" s="140"/>
      <c r="F89" s="285"/>
      <c r="G89" s="140"/>
      <c r="H89" s="140"/>
      <c r="I89" s="285"/>
      <c r="J89" s="285"/>
      <c r="K89" s="281"/>
      <c r="L89" s="140"/>
      <c r="M89" s="140"/>
      <c r="N89" s="140"/>
      <c r="O89" s="281"/>
      <c r="P89" s="140"/>
      <c r="Q89" s="140"/>
      <c r="R89" s="140"/>
      <c r="S89" s="140"/>
      <c r="T89" s="140"/>
      <c r="U89" s="140"/>
      <c r="V89" s="140"/>
      <c r="W89" s="140"/>
      <c r="X89" s="140"/>
      <c r="Y89" s="140"/>
      <c r="Z89" s="140"/>
    </row>
    <row r="90" spans="1:26" ht="15.75" customHeight="1" x14ac:dyDescent="0.25">
      <c r="A90" s="284"/>
      <c r="B90" s="285"/>
      <c r="C90" s="140"/>
      <c r="D90" s="140"/>
      <c r="E90" s="140"/>
      <c r="F90" s="285"/>
      <c r="G90" s="140"/>
      <c r="H90" s="140"/>
      <c r="I90" s="285"/>
      <c r="J90" s="285"/>
      <c r="K90" s="281"/>
      <c r="L90" s="140"/>
      <c r="M90" s="140"/>
      <c r="N90" s="140"/>
      <c r="O90" s="281"/>
      <c r="P90" s="140"/>
      <c r="Q90" s="140"/>
      <c r="R90" s="140"/>
      <c r="S90" s="140"/>
      <c r="T90" s="140"/>
      <c r="U90" s="140"/>
      <c r="V90" s="140"/>
      <c r="W90" s="140"/>
      <c r="X90" s="140"/>
      <c r="Y90" s="140"/>
      <c r="Z90" s="140"/>
    </row>
    <row r="91" spans="1:26" ht="15.75" customHeight="1" x14ac:dyDescent="0.25">
      <c r="A91" s="284"/>
      <c r="B91" s="285"/>
      <c r="C91" s="140"/>
      <c r="D91" s="140"/>
      <c r="E91" s="140"/>
      <c r="F91" s="285"/>
      <c r="G91" s="140"/>
      <c r="H91" s="140"/>
      <c r="I91" s="285"/>
      <c r="J91" s="285"/>
      <c r="K91" s="281"/>
      <c r="L91" s="140"/>
      <c r="M91" s="140"/>
      <c r="N91" s="140"/>
      <c r="O91" s="281"/>
      <c r="P91" s="140"/>
      <c r="Q91" s="140"/>
      <c r="R91" s="140"/>
      <c r="S91" s="140"/>
      <c r="T91" s="140"/>
      <c r="U91" s="140"/>
      <c r="V91" s="140"/>
      <c r="W91" s="140"/>
      <c r="X91" s="140"/>
      <c r="Y91" s="140"/>
      <c r="Z91" s="140"/>
    </row>
    <row r="92" spans="1:26" ht="15.75" customHeight="1" x14ac:dyDescent="0.25">
      <c r="A92" s="284"/>
      <c r="B92" s="285"/>
      <c r="C92" s="140"/>
      <c r="D92" s="140"/>
      <c r="E92" s="140"/>
      <c r="F92" s="285"/>
      <c r="G92" s="140"/>
      <c r="H92" s="140"/>
      <c r="I92" s="285"/>
      <c r="J92" s="285"/>
      <c r="K92" s="281"/>
      <c r="L92" s="140"/>
      <c r="M92" s="140"/>
      <c r="N92" s="140"/>
      <c r="O92" s="281"/>
      <c r="P92" s="140"/>
      <c r="Q92" s="140"/>
      <c r="R92" s="140"/>
      <c r="S92" s="140"/>
      <c r="T92" s="140"/>
      <c r="U92" s="140"/>
      <c r="V92" s="140"/>
      <c r="W92" s="140"/>
      <c r="X92" s="140"/>
      <c r="Y92" s="140"/>
      <c r="Z92" s="140"/>
    </row>
    <row r="93" spans="1:26" ht="15.75" customHeight="1" x14ac:dyDescent="0.25">
      <c r="A93" s="284"/>
      <c r="B93" s="285"/>
      <c r="C93" s="140"/>
      <c r="D93" s="140"/>
      <c r="E93" s="140"/>
      <c r="F93" s="285"/>
      <c r="G93" s="140"/>
      <c r="H93" s="140"/>
      <c r="I93" s="285"/>
      <c r="J93" s="285"/>
      <c r="K93" s="281"/>
      <c r="L93" s="140"/>
      <c r="M93" s="140"/>
      <c r="N93" s="140"/>
      <c r="O93" s="281"/>
      <c r="P93" s="140"/>
      <c r="Q93" s="140"/>
      <c r="R93" s="140"/>
      <c r="S93" s="140"/>
      <c r="T93" s="140"/>
      <c r="U93" s="140"/>
      <c r="V93" s="140"/>
      <c r="W93" s="140"/>
      <c r="X93" s="140"/>
      <c r="Y93" s="140"/>
      <c r="Z93" s="140"/>
    </row>
    <row r="94" spans="1:26" ht="15.75" customHeight="1" x14ac:dyDescent="0.25">
      <c r="A94" s="284"/>
      <c r="B94" s="285"/>
      <c r="C94" s="140"/>
      <c r="D94" s="140"/>
      <c r="E94" s="140"/>
      <c r="F94" s="285"/>
      <c r="G94" s="140"/>
      <c r="H94" s="140"/>
      <c r="I94" s="285"/>
      <c r="J94" s="285"/>
      <c r="K94" s="281"/>
      <c r="L94" s="140"/>
      <c r="M94" s="140"/>
      <c r="N94" s="140"/>
      <c r="O94" s="281"/>
      <c r="P94" s="140"/>
      <c r="Q94" s="140"/>
      <c r="R94" s="140"/>
      <c r="S94" s="140"/>
      <c r="T94" s="140"/>
      <c r="U94" s="140"/>
      <c r="V94" s="140"/>
      <c r="W94" s="140"/>
      <c r="X94" s="140"/>
      <c r="Y94" s="140"/>
      <c r="Z94" s="140"/>
    </row>
    <row r="95" spans="1:26" ht="15.75" customHeight="1" x14ac:dyDescent="0.25">
      <c r="A95" s="284"/>
      <c r="B95" s="285"/>
      <c r="C95" s="140"/>
      <c r="D95" s="140"/>
      <c r="E95" s="140"/>
      <c r="F95" s="285"/>
      <c r="G95" s="140"/>
      <c r="H95" s="140"/>
      <c r="I95" s="285"/>
      <c r="J95" s="285"/>
      <c r="K95" s="281"/>
      <c r="L95" s="140"/>
      <c r="M95" s="140"/>
      <c r="N95" s="140"/>
      <c r="O95" s="281"/>
      <c r="P95" s="140"/>
      <c r="Q95" s="140"/>
      <c r="R95" s="140"/>
      <c r="S95" s="140"/>
      <c r="T95" s="140"/>
      <c r="U95" s="140"/>
      <c r="V95" s="140"/>
      <c r="W95" s="140"/>
      <c r="X95" s="140"/>
      <c r="Y95" s="140"/>
      <c r="Z95" s="140"/>
    </row>
    <row r="96" spans="1:26" ht="15.75" customHeight="1" x14ac:dyDescent="0.25">
      <c r="A96" s="284"/>
      <c r="B96" s="285"/>
      <c r="C96" s="140"/>
      <c r="D96" s="140"/>
      <c r="E96" s="140"/>
      <c r="F96" s="285"/>
      <c r="G96" s="140"/>
      <c r="H96" s="140"/>
      <c r="I96" s="285"/>
      <c r="J96" s="285"/>
      <c r="K96" s="281"/>
      <c r="L96" s="140"/>
      <c r="M96" s="140"/>
      <c r="N96" s="140"/>
      <c r="O96" s="281"/>
      <c r="P96" s="140"/>
      <c r="Q96" s="140"/>
      <c r="R96" s="140"/>
      <c r="S96" s="140"/>
      <c r="T96" s="140"/>
      <c r="U96" s="140"/>
      <c r="V96" s="140"/>
      <c r="W96" s="140"/>
      <c r="X96" s="140"/>
      <c r="Y96" s="140"/>
      <c r="Z96" s="140"/>
    </row>
    <row r="97" spans="1:26" ht="15.75" customHeight="1" x14ac:dyDescent="0.25">
      <c r="A97" s="284"/>
      <c r="B97" s="285"/>
      <c r="C97" s="140"/>
      <c r="D97" s="140"/>
      <c r="E97" s="140"/>
      <c r="F97" s="285"/>
      <c r="G97" s="140"/>
      <c r="H97" s="140"/>
      <c r="I97" s="285"/>
      <c r="J97" s="285"/>
      <c r="K97" s="281"/>
      <c r="L97" s="140"/>
      <c r="M97" s="140"/>
      <c r="N97" s="140"/>
      <c r="O97" s="281"/>
      <c r="P97" s="140"/>
      <c r="Q97" s="140"/>
      <c r="R97" s="140"/>
      <c r="S97" s="140"/>
      <c r="T97" s="140"/>
      <c r="U97" s="140"/>
      <c r="V97" s="140"/>
      <c r="W97" s="140"/>
      <c r="X97" s="140"/>
      <c r="Y97" s="140"/>
      <c r="Z97" s="140"/>
    </row>
    <row r="98" spans="1:26" ht="15.75" customHeight="1" x14ac:dyDescent="0.25">
      <c r="A98" s="284"/>
      <c r="B98" s="285"/>
      <c r="C98" s="140"/>
      <c r="D98" s="140"/>
      <c r="E98" s="140"/>
      <c r="F98" s="285"/>
      <c r="G98" s="140"/>
      <c r="H98" s="140"/>
      <c r="I98" s="285"/>
      <c r="J98" s="285"/>
      <c r="K98" s="281"/>
      <c r="L98" s="140"/>
      <c r="M98" s="140"/>
      <c r="N98" s="140"/>
      <c r="O98" s="281"/>
      <c r="P98" s="140"/>
      <c r="Q98" s="140"/>
      <c r="R98" s="140"/>
      <c r="S98" s="140"/>
      <c r="T98" s="140"/>
      <c r="U98" s="140"/>
      <c r="V98" s="140"/>
      <c r="W98" s="140"/>
      <c r="X98" s="140"/>
      <c r="Y98" s="140"/>
      <c r="Z98" s="140"/>
    </row>
    <row r="99" spans="1:26" ht="15.75" customHeight="1" x14ac:dyDescent="0.25">
      <c r="A99" s="284"/>
      <c r="B99" s="285"/>
      <c r="C99" s="140"/>
      <c r="D99" s="140"/>
      <c r="E99" s="140"/>
      <c r="F99" s="285"/>
      <c r="G99" s="140"/>
      <c r="H99" s="140"/>
      <c r="I99" s="285"/>
      <c r="J99" s="285"/>
      <c r="K99" s="281"/>
      <c r="L99" s="140"/>
      <c r="M99" s="140"/>
      <c r="N99" s="140"/>
      <c r="O99" s="281"/>
      <c r="P99" s="140"/>
      <c r="Q99" s="140"/>
      <c r="R99" s="140"/>
      <c r="S99" s="140"/>
      <c r="T99" s="140"/>
      <c r="U99" s="140"/>
      <c r="V99" s="140"/>
      <c r="W99" s="140"/>
      <c r="X99" s="140"/>
      <c r="Y99" s="140"/>
      <c r="Z99" s="140"/>
    </row>
    <row r="100" spans="1:26" ht="15.75" customHeight="1" x14ac:dyDescent="0.25">
      <c r="A100" s="284"/>
      <c r="B100" s="285"/>
      <c r="C100" s="140"/>
      <c r="D100" s="140"/>
      <c r="E100" s="140"/>
      <c r="F100" s="285"/>
      <c r="G100" s="140"/>
      <c r="H100" s="140"/>
      <c r="I100" s="285"/>
      <c r="J100" s="285"/>
      <c r="K100" s="281"/>
      <c r="L100" s="140"/>
      <c r="M100" s="140"/>
      <c r="N100" s="140"/>
      <c r="O100" s="281"/>
      <c r="P100" s="140"/>
      <c r="Q100" s="140"/>
      <c r="R100" s="140"/>
      <c r="S100" s="140"/>
      <c r="T100" s="140"/>
      <c r="U100" s="140"/>
      <c r="V100" s="140"/>
      <c r="W100" s="140"/>
      <c r="X100" s="140"/>
      <c r="Y100" s="140"/>
      <c r="Z100" s="140"/>
    </row>
    <row r="101" spans="1:26" ht="15.75" customHeight="1" x14ac:dyDescent="0.25">
      <c r="A101" s="284"/>
      <c r="B101" s="285"/>
      <c r="C101" s="140"/>
      <c r="D101" s="140"/>
      <c r="E101" s="140"/>
      <c r="F101" s="285"/>
      <c r="G101" s="140"/>
      <c r="H101" s="140"/>
      <c r="I101" s="285"/>
      <c r="J101" s="285"/>
      <c r="K101" s="281"/>
      <c r="L101" s="140"/>
      <c r="M101" s="140"/>
      <c r="N101" s="140"/>
      <c r="O101" s="281"/>
      <c r="P101" s="140"/>
      <c r="Q101" s="140"/>
      <c r="R101" s="140"/>
      <c r="S101" s="140"/>
      <c r="T101" s="140"/>
      <c r="U101" s="140"/>
      <c r="V101" s="140"/>
      <c r="W101" s="140"/>
      <c r="X101" s="140"/>
      <c r="Y101" s="140"/>
      <c r="Z101" s="140"/>
    </row>
    <row r="102" spans="1:26" ht="15.75" customHeight="1" x14ac:dyDescent="0.25">
      <c r="A102" s="284"/>
      <c r="B102" s="285"/>
      <c r="C102" s="140"/>
      <c r="D102" s="140"/>
      <c r="E102" s="140"/>
      <c r="F102" s="285"/>
      <c r="G102" s="140"/>
      <c r="H102" s="140"/>
      <c r="I102" s="285"/>
      <c r="J102" s="285"/>
      <c r="K102" s="281"/>
      <c r="L102" s="140"/>
      <c r="M102" s="140"/>
      <c r="N102" s="140"/>
      <c r="O102" s="281"/>
      <c r="P102" s="140"/>
      <c r="Q102" s="140"/>
      <c r="R102" s="140"/>
      <c r="S102" s="140"/>
      <c r="T102" s="140"/>
      <c r="U102" s="140"/>
      <c r="V102" s="140"/>
      <c r="W102" s="140"/>
      <c r="X102" s="140"/>
      <c r="Y102" s="140"/>
      <c r="Z102" s="140"/>
    </row>
    <row r="103" spans="1:26" ht="15.75" customHeight="1" x14ac:dyDescent="0.25">
      <c r="A103" s="284"/>
      <c r="B103" s="285"/>
      <c r="C103" s="140"/>
      <c r="D103" s="140"/>
      <c r="E103" s="140"/>
      <c r="F103" s="285"/>
      <c r="G103" s="140"/>
      <c r="H103" s="140"/>
      <c r="I103" s="285"/>
      <c r="J103" s="285"/>
      <c r="K103" s="281"/>
      <c r="L103" s="140"/>
      <c r="M103" s="140"/>
      <c r="N103" s="140"/>
      <c r="O103" s="281"/>
      <c r="P103" s="140"/>
      <c r="Q103" s="140"/>
      <c r="R103" s="140"/>
      <c r="S103" s="140"/>
      <c r="T103" s="140"/>
      <c r="U103" s="140"/>
      <c r="V103" s="140"/>
      <c r="W103" s="140"/>
      <c r="X103" s="140"/>
      <c r="Y103" s="140"/>
      <c r="Z103" s="140"/>
    </row>
    <row r="104" spans="1:26" ht="15.75" customHeight="1" x14ac:dyDescent="0.25">
      <c r="A104" s="284"/>
      <c r="B104" s="285"/>
      <c r="C104" s="140"/>
      <c r="D104" s="140"/>
      <c r="E104" s="140"/>
      <c r="F104" s="285"/>
      <c r="G104" s="140"/>
      <c r="H104" s="140"/>
      <c r="I104" s="285"/>
      <c r="J104" s="285"/>
      <c r="K104" s="281"/>
      <c r="L104" s="140"/>
      <c r="M104" s="140"/>
      <c r="N104" s="140"/>
      <c r="O104" s="281"/>
      <c r="P104" s="140"/>
      <c r="Q104" s="140"/>
      <c r="R104" s="140"/>
      <c r="S104" s="140"/>
      <c r="T104" s="140"/>
      <c r="U104" s="140"/>
      <c r="V104" s="140"/>
      <c r="W104" s="140"/>
      <c r="X104" s="140"/>
      <c r="Y104" s="140"/>
      <c r="Z104" s="140"/>
    </row>
    <row r="105" spans="1:26" ht="15.75" customHeight="1" x14ac:dyDescent="0.25">
      <c r="A105" s="284"/>
      <c r="B105" s="285"/>
      <c r="C105" s="140"/>
      <c r="D105" s="140"/>
      <c r="E105" s="140"/>
      <c r="F105" s="285"/>
      <c r="G105" s="140"/>
      <c r="H105" s="140"/>
      <c r="I105" s="285"/>
      <c r="J105" s="285"/>
      <c r="K105" s="281"/>
      <c r="L105" s="140"/>
      <c r="M105" s="140"/>
      <c r="N105" s="140"/>
      <c r="O105" s="281"/>
      <c r="P105" s="140"/>
      <c r="Q105" s="140"/>
      <c r="R105" s="140"/>
      <c r="S105" s="140"/>
      <c r="T105" s="140"/>
      <c r="U105" s="140"/>
      <c r="V105" s="140"/>
      <c r="W105" s="140"/>
      <c r="X105" s="140"/>
      <c r="Y105" s="140"/>
      <c r="Z105" s="140"/>
    </row>
    <row r="106" spans="1:26" ht="15.75" customHeight="1" x14ac:dyDescent="0.25">
      <c r="A106" s="284"/>
      <c r="B106" s="285"/>
      <c r="C106" s="140"/>
      <c r="D106" s="140"/>
      <c r="E106" s="140"/>
      <c r="F106" s="285"/>
      <c r="G106" s="140"/>
      <c r="H106" s="140"/>
      <c r="I106" s="285"/>
      <c r="J106" s="285"/>
      <c r="K106" s="281"/>
      <c r="L106" s="140"/>
      <c r="M106" s="140"/>
      <c r="N106" s="140"/>
      <c r="O106" s="281"/>
      <c r="P106" s="140"/>
      <c r="Q106" s="140"/>
      <c r="R106" s="140"/>
      <c r="S106" s="140"/>
      <c r="T106" s="140"/>
      <c r="U106" s="140"/>
      <c r="V106" s="140"/>
      <c r="W106" s="140"/>
      <c r="X106" s="140"/>
      <c r="Y106" s="140"/>
      <c r="Z106" s="140"/>
    </row>
    <row r="107" spans="1:26" ht="15.75" customHeight="1" x14ac:dyDescent="0.25">
      <c r="A107" s="284"/>
      <c r="B107" s="285"/>
      <c r="C107" s="140"/>
      <c r="D107" s="140"/>
      <c r="E107" s="140"/>
      <c r="F107" s="285"/>
      <c r="G107" s="140"/>
      <c r="H107" s="140"/>
      <c r="I107" s="285"/>
      <c r="J107" s="285"/>
      <c r="K107" s="281"/>
      <c r="L107" s="140"/>
      <c r="M107" s="140"/>
      <c r="N107" s="140"/>
      <c r="O107" s="281"/>
      <c r="P107" s="140"/>
      <c r="Q107" s="140"/>
      <c r="R107" s="140"/>
      <c r="S107" s="140"/>
      <c r="T107" s="140"/>
      <c r="U107" s="140"/>
      <c r="V107" s="140"/>
      <c r="W107" s="140"/>
      <c r="X107" s="140"/>
      <c r="Y107" s="140"/>
      <c r="Z107" s="140"/>
    </row>
    <row r="108" spans="1:26" ht="15.75" customHeight="1" x14ac:dyDescent="0.25">
      <c r="A108" s="284"/>
      <c r="B108" s="285"/>
      <c r="C108" s="140"/>
      <c r="D108" s="140"/>
      <c r="E108" s="140"/>
      <c r="F108" s="285"/>
      <c r="G108" s="140"/>
      <c r="H108" s="140"/>
      <c r="I108" s="285"/>
      <c r="J108" s="285"/>
      <c r="K108" s="281"/>
      <c r="L108" s="140"/>
      <c r="M108" s="140"/>
      <c r="N108" s="140"/>
      <c r="O108" s="281"/>
      <c r="P108" s="140"/>
      <c r="Q108" s="140"/>
      <c r="R108" s="140"/>
      <c r="S108" s="140"/>
      <c r="T108" s="140"/>
      <c r="U108" s="140"/>
      <c r="V108" s="140"/>
      <c r="W108" s="140"/>
      <c r="X108" s="140"/>
      <c r="Y108" s="140"/>
      <c r="Z108" s="140"/>
    </row>
    <row r="109" spans="1:26" ht="15.75" customHeight="1" x14ac:dyDescent="0.25">
      <c r="A109" s="284"/>
      <c r="B109" s="285"/>
      <c r="C109" s="140"/>
      <c r="D109" s="140"/>
      <c r="E109" s="140"/>
      <c r="F109" s="285"/>
      <c r="G109" s="140"/>
      <c r="H109" s="140"/>
      <c r="I109" s="285"/>
      <c r="J109" s="285"/>
      <c r="K109" s="281"/>
      <c r="L109" s="140"/>
      <c r="M109" s="140"/>
      <c r="N109" s="140"/>
      <c r="O109" s="281"/>
      <c r="P109" s="140"/>
      <c r="Q109" s="140"/>
      <c r="R109" s="140"/>
      <c r="S109" s="140"/>
      <c r="T109" s="140"/>
      <c r="U109" s="140"/>
      <c r="V109" s="140"/>
      <c r="W109" s="140"/>
      <c r="X109" s="140"/>
      <c r="Y109" s="140"/>
      <c r="Z109" s="140"/>
    </row>
    <row r="110" spans="1:26" ht="15.75" customHeight="1" x14ac:dyDescent="0.25">
      <c r="A110" s="284"/>
      <c r="B110" s="285"/>
      <c r="C110" s="140"/>
      <c r="D110" s="140"/>
      <c r="E110" s="140"/>
      <c r="F110" s="285"/>
      <c r="G110" s="140"/>
      <c r="H110" s="140"/>
      <c r="I110" s="285"/>
      <c r="J110" s="285"/>
      <c r="K110" s="281"/>
      <c r="L110" s="140"/>
      <c r="M110" s="140"/>
      <c r="N110" s="140"/>
      <c r="O110" s="281"/>
      <c r="P110" s="140"/>
      <c r="Q110" s="140"/>
      <c r="R110" s="140"/>
      <c r="S110" s="140"/>
      <c r="T110" s="140"/>
      <c r="U110" s="140"/>
      <c r="V110" s="140"/>
      <c r="W110" s="140"/>
      <c r="X110" s="140"/>
      <c r="Y110" s="140"/>
      <c r="Z110" s="140"/>
    </row>
    <row r="111" spans="1:26" ht="15.75" customHeight="1" x14ac:dyDescent="0.25">
      <c r="A111" s="284"/>
      <c r="B111" s="285"/>
      <c r="C111" s="140"/>
      <c r="D111" s="140"/>
      <c r="E111" s="140"/>
      <c r="F111" s="285"/>
      <c r="G111" s="140"/>
      <c r="H111" s="140"/>
      <c r="I111" s="285"/>
      <c r="J111" s="285"/>
      <c r="K111" s="281"/>
      <c r="L111" s="140"/>
      <c r="M111" s="140"/>
      <c r="N111" s="140"/>
      <c r="O111" s="281"/>
      <c r="P111" s="140"/>
      <c r="Q111" s="140"/>
      <c r="R111" s="140"/>
      <c r="S111" s="140"/>
      <c r="T111" s="140"/>
      <c r="U111" s="140"/>
      <c r="V111" s="140"/>
      <c r="W111" s="140"/>
      <c r="X111" s="140"/>
      <c r="Y111" s="140"/>
      <c r="Z111" s="140"/>
    </row>
    <row r="112" spans="1:26" ht="15.75" customHeight="1" x14ac:dyDescent="0.25">
      <c r="A112" s="284"/>
      <c r="B112" s="285"/>
      <c r="C112" s="140"/>
      <c r="D112" s="140"/>
      <c r="E112" s="140"/>
      <c r="F112" s="285"/>
      <c r="G112" s="140"/>
      <c r="H112" s="140"/>
      <c r="I112" s="285"/>
      <c r="J112" s="285"/>
      <c r="K112" s="281"/>
      <c r="L112" s="140"/>
      <c r="M112" s="140"/>
      <c r="N112" s="140"/>
      <c r="O112" s="281"/>
      <c r="P112" s="140"/>
      <c r="Q112" s="140"/>
      <c r="R112" s="140"/>
      <c r="S112" s="140"/>
      <c r="T112" s="140"/>
      <c r="U112" s="140"/>
      <c r="V112" s="140"/>
      <c r="W112" s="140"/>
      <c r="X112" s="140"/>
      <c r="Y112" s="140"/>
      <c r="Z112" s="140"/>
    </row>
    <row r="113" spans="1:26" ht="15.75" customHeight="1" x14ac:dyDescent="0.25">
      <c r="A113" s="284"/>
      <c r="B113" s="285"/>
      <c r="C113" s="140"/>
      <c r="D113" s="140"/>
      <c r="E113" s="140"/>
      <c r="F113" s="285"/>
      <c r="G113" s="140"/>
      <c r="H113" s="140"/>
      <c r="I113" s="285"/>
      <c r="J113" s="285"/>
      <c r="K113" s="281"/>
      <c r="L113" s="140"/>
      <c r="M113" s="140"/>
      <c r="N113" s="140"/>
      <c r="O113" s="281"/>
      <c r="P113" s="140"/>
      <c r="Q113" s="140"/>
      <c r="R113" s="140"/>
      <c r="S113" s="140"/>
      <c r="T113" s="140"/>
      <c r="U113" s="140"/>
      <c r="V113" s="140"/>
      <c r="W113" s="140"/>
      <c r="X113" s="140"/>
      <c r="Y113" s="140"/>
      <c r="Z113" s="140"/>
    </row>
    <row r="114" spans="1:26" ht="15.75" customHeight="1" x14ac:dyDescent="0.25">
      <c r="A114" s="284"/>
      <c r="B114" s="285"/>
      <c r="C114" s="140"/>
      <c r="D114" s="140"/>
      <c r="E114" s="140"/>
      <c r="F114" s="285"/>
      <c r="G114" s="140"/>
      <c r="H114" s="140"/>
      <c r="I114" s="285"/>
      <c r="J114" s="285"/>
      <c r="K114" s="281"/>
      <c r="L114" s="140"/>
      <c r="M114" s="140"/>
      <c r="N114" s="140"/>
      <c r="O114" s="281"/>
      <c r="P114" s="140"/>
      <c r="Q114" s="140"/>
      <c r="R114" s="140"/>
      <c r="S114" s="140"/>
      <c r="T114" s="140"/>
      <c r="U114" s="140"/>
      <c r="V114" s="140"/>
      <c r="W114" s="140"/>
      <c r="X114" s="140"/>
      <c r="Y114" s="140"/>
      <c r="Z114" s="140"/>
    </row>
    <row r="115" spans="1:26" ht="15.75" customHeight="1" x14ac:dyDescent="0.25">
      <c r="A115" s="284"/>
      <c r="B115" s="285"/>
      <c r="C115" s="140"/>
      <c r="D115" s="140"/>
      <c r="E115" s="140"/>
      <c r="F115" s="285"/>
      <c r="G115" s="140"/>
      <c r="H115" s="140"/>
      <c r="I115" s="285"/>
      <c r="J115" s="285"/>
      <c r="K115" s="281"/>
      <c r="L115" s="140"/>
      <c r="M115" s="140"/>
      <c r="N115" s="140"/>
      <c r="O115" s="281"/>
      <c r="P115" s="140"/>
      <c r="Q115" s="140"/>
      <c r="R115" s="140"/>
      <c r="S115" s="140"/>
      <c r="T115" s="140"/>
      <c r="U115" s="140"/>
      <c r="V115" s="140"/>
      <c r="W115" s="140"/>
      <c r="X115" s="140"/>
      <c r="Y115" s="140"/>
      <c r="Z115" s="140"/>
    </row>
    <row r="116" spans="1:26" ht="15.75" customHeight="1" x14ac:dyDescent="0.25">
      <c r="A116" s="284"/>
      <c r="B116" s="285"/>
      <c r="C116" s="140"/>
      <c r="D116" s="140"/>
      <c r="E116" s="140"/>
      <c r="F116" s="285"/>
      <c r="G116" s="140"/>
      <c r="H116" s="140"/>
      <c r="I116" s="285"/>
      <c r="J116" s="285"/>
      <c r="K116" s="281"/>
      <c r="L116" s="140"/>
      <c r="M116" s="140"/>
      <c r="N116" s="140"/>
      <c r="O116" s="281"/>
      <c r="P116" s="140"/>
      <c r="Q116" s="140"/>
      <c r="R116" s="140"/>
      <c r="S116" s="140"/>
      <c r="T116" s="140"/>
      <c r="U116" s="140"/>
      <c r="V116" s="140"/>
      <c r="W116" s="140"/>
      <c r="X116" s="140"/>
      <c r="Y116" s="140"/>
      <c r="Z116" s="140"/>
    </row>
    <row r="117" spans="1:26" ht="15.75" customHeight="1" x14ac:dyDescent="0.25">
      <c r="A117" s="284"/>
      <c r="B117" s="285"/>
      <c r="C117" s="140"/>
      <c r="D117" s="140"/>
      <c r="E117" s="140"/>
      <c r="F117" s="285"/>
      <c r="G117" s="140"/>
      <c r="H117" s="140"/>
      <c r="I117" s="285"/>
      <c r="J117" s="285"/>
      <c r="K117" s="281"/>
      <c r="L117" s="140"/>
      <c r="M117" s="140"/>
      <c r="N117" s="140"/>
      <c r="O117" s="281"/>
      <c r="P117" s="140"/>
      <c r="Q117" s="140"/>
      <c r="R117" s="140"/>
      <c r="S117" s="140"/>
      <c r="T117" s="140"/>
      <c r="U117" s="140"/>
      <c r="V117" s="140"/>
      <c r="W117" s="140"/>
      <c r="X117" s="140"/>
      <c r="Y117" s="140"/>
      <c r="Z117" s="140"/>
    </row>
    <row r="118" spans="1:26" ht="15.75" customHeight="1" x14ac:dyDescent="0.25">
      <c r="A118" s="284"/>
      <c r="B118" s="285"/>
      <c r="C118" s="140"/>
      <c r="D118" s="140"/>
      <c r="E118" s="140"/>
      <c r="F118" s="285"/>
      <c r="G118" s="140"/>
      <c r="H118" s="140"/>
      <c r="I118" s="285"/>
      <c r="J118" s="285"/>
      <c r="K118" s="281"/>
      <c r="L118" s="140"/>
      <c r="M118" s="140"/>
      <c r="N118" s="140"/>
      <c r="O118" s="281"/>
      <c r="P118" s="140"/>
      <c r="Q118" s="140"/>
      <c r="R118" s="140"/>
      <c r="S118" s="140"/>
      <c r="T118" s="140"/>
      <c r="U118" s="140"/>
      <c r="V118" s="140"/>
      <c r="W118" s="140"/>
      <c r="X118" s="140"/>
      <c r="Y118" s="140"/>
      <c r="Z118" s="140"/>
    </row>
    <row r="119" spans="1:26" ht="15.75" customHeight="1" x14ac:dyDescent="0.25">
      <c r="A119" s="284"/>
      <c r="B119" s="285"/>
      <c r="C119" s="140"/>
      <c r="D119" s="140"/>
      <c r="E119" s="140"/>
      <c r="F119" s="285"/>
      <c r="G119" s="140"/>
      <c r="H119" s="140"/>
      <c r="I119" s="285"/>
      <c r="J119" s="285"/>
      <c r="K119" s="281"/>
      <c r="L119" s="140"/>
      <c r="M119" s="140"/>
      <c r="N119" s="140"/>
      <c r="O119" s="281"/>
      <c r="P119" s="140"/>
      <c r="Q119" s="140"/>
      <c r="R119" s="140"/>
      <c r="S119" s="140"/>
      <c r="T119" s="140"/>
      <c r="U119" s="140"/>
      <c r="V119" s="140"/>
      <c r="W119" s="140"/>
      <c r="X119" s="140"/>
      <c r="Y119" s="140"/>
      <c r="Z119" s="140"/>
    </row>
    <row r="120" spans="1:26" ht="15.75" customHeight="1" x14ac:dyDescent="0.25">
      <c r="A120" s="284"/>
      <c r="B120" s="285"/>
      <c r="C120" s="140"/>
      <c r="D120" s="140"/>
      <c r="E120" s="140"/>
      <c r="F120" s="285"/>
      <c r="G120" s="140"/>
      <c r="H120" s="140"/>
      <c r="I120" s="285"/>
      <c r="J120" s="285"/>
      <c r="K120" s="281"/>
      <c r="L120" s="140"/>
      <c r="M120" s="140"/>
      <c r="N120" s="140"/>
      <c r="O120" s="281"/>
      <c r="P120" s="140"/>
      <c r="Q120" s="140"/>
      <c r="R120" s="140"/>
      <c r="S120" s="140"/>
      <c r="T120" s="140"/>
      <c r="U120" s="140"/>
      <c r="V120" s="140"/>
      <c r="W120" s="140"/>
      <c r="X120" s="140"/>
      <c r="Y120" s="140"/>
      <c r="Z120" s="140"/>
    </row>
    <row r="121" spans="1:26" ht="15.75" customHeight="1" x14ac:dyDescent="0.25">
      <c r="A121" s="284"/>
      <c r="B121" s="285"/>
      <c r="C121" s="140"/>
      <c r="D121" s="140"/>
      <c r="E121" s="140"/>
      <c r="F121" s="285"/>
      <c r="G121" s="140"/>
      <c r="H121" s="140"/>
      <c r="I121" s="285"/>
      <c r="J121" s="285"/>
      <c r="K121" s="281"/>
      <c r="L121" s="140"/>
      <c r="M121" s="140"/>
      <c r="N121" s="140"/>
      <c r="O121" s="281"/>
      <c r="P121" s="140"/>
      <c r="Q121" s="140"/>
      <c r="R121" s="140"/>
      <c r="S121" s="140"/>
      <c r="T121" s="140"/>
      <c r="U121" s="140"/>
      <c r="V121" s="140"/>
      <c r="W121" s="140"/>
      <c r="X121" s="140"/>
      <c r="Y121" s="140"/>
      <c r="Z121" s="140"/>
    </row>
    <row r="122" spans="1:26" ht="15.75" customHeight="1" x14ac:dyDescent="0.25">
      <c r="A122" s="284"/>
      <c r="B122" s="285"/>
      <c r="C122" s="140"/>
      <c r="D122" s="140"/>
      <c r="E122" s="140"/>
      <c r="F122" s="285"/>
      <c r="G122" s="140"/>
      <c r="H122" s="140"/>
      <c r="I122" s="285"/>
      <c r="J122" s="285"/>
      <c r="K122" s="281"/>
      <c r="L122" s="140"/>
      <c r="M122" s="140"/>
      <c r="N122" s="140"/>
      <c r="O122" s="281"/>
      <c r="P122" s="140"/>
      <c r="Q122" s="140"/>
      <c r="R122" s="140"/>
      <c r="S122" s="140"/>
      <c r="T122" s="140"/>
      <c r="U122" s="140"/>
      <c r="V122" s="140"/>
      <c r="W122" s="140"/>
      <c r="X122" s="140"/>
      <c r="Y122" s="140"/>
      <c r="Z122" s="140"/>
    </row>
    <row r="123" spans="1:26" ht="15.75" customHeight="1" x14ac:dyDescent="0.25">
      <c r="A123" s="284"/>
      <c r="B123" s="285"/>
      <c r="C123" s="140"/>
      <c r="D123" s="140"/>
      <c r="E123" s="140"/>
      <c r="F123" s="285"/>
      <c r="G123" s="140"/>
      <c r="H123" s="140"/>
      <c r="I123" s="285"/>
      <c r="J123" s="285"/>
      <c r="K123" s="281"/>
      <c r="L123" s="140"/>
      <c r="M123" s="140"/>
      <c r="N123" s="140"/>
      <c r="O123" s="281"/>
      <c r="P123" s="140"/>
      <c r="Q123" s="140"/>
      <c r="R123" s="140"/>
      <c r="S123" s="140"/>
      <c r="T123" s="140"/>
      <c r="U123" s="140"/>
      <c r="V123" s="140"/>
      <c r="W123" s="140"/>
      <c r="X123" s="140"/>
      <c r="Y123" s="140"/>
      <c r="Z123" s="140"/>
    </row>
    <row r="124" spans="1:26" ht="15.75" customHeight="1" x14ac:dyDescent="0.25">
      <c r="A124" s="284"/>
      <c r="B124" s="285"/>
      <c r="C124" s="140"/>
      <c r="D124" s="140"/>
      <c r="E124" s="140"/>
      <c r="F124" s="285"/>
      <c r="G124" s="140"/>
      <c r="H124" s="140"/>
      <c r="I124" s="285"/>
      <c r="J124" s="285"/>
      <c r="K124" s="281"/>
      <c r="L124" s="140"/>
      <c r="M124" s="140"/>
      <c r="N124" s="140"/>
      <c r="O124" s="281"/>
      <c r="P124" s="140"/>
      <c r="Q124" s="140"/>
      <c r="R124" s="140"/>
      <c r="S124" s="140"/>
      <c r="T124" s="140"/>
      <c r="U124" s="140"/>
      <c r="V124" s="140"/>
      <c r="W124" s="140"/>
      <c r="X124" s="140"/>
      <c r="Y124" s="140"/>
      <c r="Z124" s="140"/>
    </row>
    <row r="125" spans="1:26" ht="15.75" customHeight="1" x14ac:dyDescent="0.25">
      <c r="A125" s="284"/>
      <c r="B125" s="285"/>
      <c r="C125" s="140"/>
      <c r="D125" s="140"/>
      <c r="E125" s="140"/>
      <c r="F125" s="285"/>
      <c r="G125" s="140"/>
      <c r="H125" s="140"/>
      <c r="I125" s="285"/>
      <c r="J125" s="285"/>
      <c r="K125" s="281"/>
      <c r="L125" s="140"/>
      <c r="M125" s="140"/>
      <c r="N125" s="140"/>
      <c r="O125" s="281"/>
      <c r="P125" s="140"/>
      <c r="Q125" s="140"/>
      <c r="R125" s="140"/>
      <c r="S125" s="140"/>
      <c r="T125" s="140"/>
      <c r="U125" s="140"/>
      <c r="V125" s="140"/>
      <c r="W125" s="140"/>
      <c r="X125" s="140"/>
      <c r="Y125" s="140"/>
      <c r="Z125" s="140"/>
    </row>
    <row r="126" spans="1:26" ht="15.75" customHeight="1" x14ac:dyDescent="0.25">
      <c r="A126" s="284"/>
      <c r="B126" s="285"/>
      <c r="C126" s="140"/>
      <c r="D126" s="140"/>
      <c r="E126" s="140"/>
      <c r="F126" s="285"/>
      <c r="G126" s="140"/>
      <c r="H126" s="140"/>
      <c r="I126" s="285"/>
      <c r="J126" s="285"/>
      <c r="K126" s="281"/>
      <c r="L126" s="140"/>
      <c r="M126" s="140"/>
      <c r="N126" s="140"/>
      <c r="O126" s="281"/>
      <c r="P126" s="140"/>
      <c r="Q126" s="140"/>
      <c r="R126" s="140"/>
      <c r="S126" s="140"/>
      <c r="T126" s="140"/>
      <c r="U126" s="140"/>
      <c r="V126" s="140"/>
      <c r="W126" s="140"/>
      <c r="X126" s="140"/>
      <c r="Y126" s="140"/>
      <c r="Z126" s="140"/>
    </row>
    <row r="127" spans="1:26" ht="15.75" customHeight="1" x14ac:dyDescent="0.25">
      <c r="A127" s="284"/>
      <c r="B127" s="285"/>
      <c r="C127" s="140"/>
      <c r="D127" s="140"/>
      <c r="E127" s="140"/>
      <c r="F127" s="285"/>
      <c r="G127" s="140"/>
      <c r="H127" s="140"/>
      <c r="I127" s="285"/>
      <c r="J127" s="285"/>
      <c r="K127" s="281"/>
      <c r="L127" s="140"/>
      <c r="M127" s="140"/>
      <c r="N127" s="140"/>
      <c r="O127" s="281"/>
      <c r="P127" s="140"/>
      <c r="Q127" s="140"/>
      <c r="R127" s="140"/>
      <c r="S127" s="140"/>
      <c r="T127" s="140"/>
      <c r="U127" s="140"/>
      <c r="V127" s="140"/>
      <c r="W127" s="140"/>
      <c r="X127" s="140"/>
      <c r="Y127" s="140"/>
      <c r="Z127" s="140"/>
    </row>
    <row r="128" spans="1:26" ht="15.75" customHeight="1" x14ac:dyDescent="0.25">
      <c r="A128" s="284"/>
      <c r="B128" s="285"/>
      <c r="C128" s="140"/>
      <c r="D128" s="140"/>
      <c r="E128" s="140"/>
      <c r="F128" s="285"/>
      <c r="G128" s="140"/>
      <c r="H128" s="140"/>
      <c r="I128" s="285"/>
      <c r="J128" s="285"/>
      <c r="K128" s="281"/>
      <c r="L128" s="140"/>
      <c r="M128" s="140"/>
      <c r="N128" s="140"/>
      <c r="O128" s="281"/>
      <c r="P128" s="140"/>
      <c r="Q128" s="140"/>
      <c r="R128" s="140"/>
      <c r="S128" s="140"/>
      <c r="T128" s="140"/>
      <c r="U128" s="140"/>
      <c r="V128" s="140"/>
      <c r="W128" s="140"/>
      <c r="X128" s="140"/>
      <c r="Y128" s="140"/>
      <c r="Z128" s="140"/>
    </row>
    <row r="129" spans="1:26" ht="15.75" customHeight="1" x14ac:dyDescent="0.25">
      <c r="A129" s="284"/>
      <c r="B129" s="285"/>
      <c r="C129" s="140"/>
      <c r="D129" s="140"/>
      <c r="E129" s="140"/>
      <c r="F129" s="285"/>
      <c r="G129" s="140"/>
      <c r="H129" s="140"/>
      <c r="I129" s="285"/>
      <c r="J129" s="285"/>
      <c r="K129" s="281"/>
      <c r="L129" s="140"/>
      <c r="M129" s="140"/>
      <c r="N129" s="140"/>
      <c r="O129" s="281"/>
      <c r="P129" s="140"/>
      <c r="Q129" s="140"/>
      <c r="R129" s="140"/>
      <c r="S129" s="140"/>
      <c r="T129" s="140"/>
      <c r="U129" s="140"/>
      <c r="V129" s="140"/>
      <c r="W129" s="140"/>
      <c r="X129" s="140"/>
      <c r="Y129" s="140"/>
      <c r="Z129" s="140"/>
    </row>
    <row r="130" spans="1:26" ht="15.75" customHeight="1" x14ac:dyDescent="0.25">
      <c r="A130" s="284"/>
      <c r="B130" s="285"/>
      <c r="C130" s="140"/>
      <c r="D130" s="140"/>
      <c r="E130" s="140"/>
      <c r="F130" s="285"/>
      <c r="G130" s="140"/>
      <c r="H130" s="140"/>
      <c r="I130" s="285"/>
      <c r="J130" s="285"/>
      <c r="K130" s="281"/>
      <c r="L130" s="140"/>
      <c r="M130" s="140"/>
      <c r="N130" s="140"/>
      <c r="O130" s="281"/>
      <c r="P130" s="140"/>
      <c r="Q130" s="140"/>
      <c r="R130" s="140"/>
      <c r="S130" s="140"/>
      <c r="T130" s="140"/>
      <c r="U130" s="140"/>
      <c r="V130" s="140"/>
      <c r="W130" s="140"/>
      <c r="X130" s="140"/>
      <c r="Y130" s="140"/>
      <c r="Z130" s="140"/>
    </row>
    <row r="131" spans="1:26" ht="15.75" customHeight="1" x14ac:dyDescent="0.25">
      <c r="A131" s="284"/>
      <c r="B131" s="285"/>
      <c r="C131" s="140"/>
      <c r="D131" s="140"/>
      <c r="E131" s="140"/>
      <c r="F131" s="285"/>
      <c r="G131" s="140"/>
      <c r="H131" s="140"/>
      <c r="I131" s="285"/>
      <c r="J131" s="285"/>
      <c r="K131" s="281"/>
      <c r="L131" s="140"/>
      <c r="M131" s="140"/>
      <c r="N131" s="140"/>
      <c r="O131" s="281"/>
      <c r="P131" s="140"/>
      <c r="Q131" s="140"/>
      <c r="R131" s="140"/>
      <c r="S131" s="140"/>
      <c r="T131" s="140"/>
      <c r="U131" s="140"/>
      <c r="V131" s="140"/>
      <c r="W131" s="140"/>
      <c r="X131" s="140"/>
      <c r="Y131" s="140"/>
      <c r="Z131" s="140"/>
    </row>
    <row r="132" spans="1:26" ht="15.75" customHeight="1" x14ac:dyDescent="0.25">
      <c r="A132" s="284"/>
      <c r="B132" s="285"/>
      <c r="C132" s="140"/>
      <c r="D132" s="140"/>
      <c r="E132" s="140"/>
      <c r="F132" s="285"/>
      <c r="G132" s="140"/>
      <c r="H132" s="140"/>
      <c r="I132" s="285"/>
      <c r="J132" s="285"/>
      <c r="K132" s="281"/>
      <c r="L132" s="140"/>
      <c r="M132" s="140"/>
      <c r="N132" s="140"/>
      <c r="O132" s="281"/>
      <c r="P132" s="140"/>
      <c r="Q132" s="140"/>
      <c r="R132" s="140"/>
      <c r="S132" s="140"/>
      <c r="T132" s="140"/>
      <c r="U132" s="140"/>
      <c r="V132" s="140"/>
      <c r="W132" s="140"/>
      <c r="X132" s="140"/>
      <c r="Y132" s="140"/>
      <c r="Z132" s="140"/>
    </row>
    <row r="133" spans="1:26" ht="15.75" customHeight="1" x14ac:dyDescent="0.25">
      <c r="A133" s="284"/>
      <c r="B133" s="285"/>
      <c r="C133" s="140"/>
      <c r="D133" s="140"/>
      <c r="E133" s="140"/>
      <c r="F133" s="285"/>
      <c r="G133" s="140"/>
      <c r="H133" s="140"/>
      <c r="I133" s="285"/>
      <c r="J133" s="285"/>
      <c r="K133" s="281"/>
      <c r="L133" s="140"/>
      <c r="M133" s="140"/>
      <c r="N133" s="140"/>
      <c r="O133" s="281"/>
      <c r="P133" s="140"/>
      <c r="Q133" s="140"/>
      <c r="R133" s="140"/>
      <c r="S133" s="140"/>
      <c r="T133" s="140"/>
      <c r="U133" s="140"/>
      <c r="V133" s="140"/>
      <c r="W133" s="140"/>
      <c r="X133" s="140"/>
      <c r="Y133" s="140"/>
      <c r="Z133" s="140"/>
    </row>
    <row r="134" spans="1:26" ht="15.75" customHeight="1" x14ac:dyDescent="0.25">
      <c r="A134" s="284"/>
      <c r="B134" s="285"/>
      <c r="C134" s="140"/>
      <c r="D134" s="140"/>
      <c r="E134" s="140"/>
      <c r="F134" s="285"/>
      <c r="G134" s="140"/>
      <c r="H134" s="140"/>
      <c r="I134" s="285"/>
      <c r="J134" s="285"/>
      <c r="K134" s="281"/>
      <c r="L134" s="140"/>
      <c r="M134" s="140"/>
      <c r="N134" s="140"/>
      <c r="O134" s="281"/>
      <c r="P134" s="140"/>
      <c r="Q134" s="140"/>
      <c r="R134" s="140"/>
      <c r="S134" s="140"/>
      <c r="T134" s="140"/>
      <c r="U134" s="140"/>
      <c r="V134" s="140"/>
      <c r="W134" s="140"/>
      <c r="X134" s="140"/>
      <c r="Y134" s="140"/>
      <c r="Z134" s="140"/>
    </row>
    <row r="135" spans="1:26" ht="15.75" customHeight="1" x14ac:dyDescent="0.25">
      <c r="A135" s="284"/>
      <c r="B135" s="285"/>
      <c r="C135" s="140"/>
      <c r="D135" s="140"/>
      <c r="E135" s="140"/>
      <c r="F135" s="285"/>
      <c r="G135" s="140"/>
      <c r="H135" s="140"/>
      <c r="I135" s="285"/>
      <c r="J135" s="285"/>
      <c r="K135" s="281"/>
      <c r="L135" s="140"/>
      <c r="M135" s="140"/>
      <c r="N135" s="140"/>
      <c r="O135" s="281"/>
      <c r="P135" s="140"/>
      <c r="Q135" s="140"/>
      <c r="R135" s="140"/>
      <c r="S135" s="140"/>
      <c r="T135" s="140"/>
      <c r="U135" s="140"/>
      <c r="V135" s="140"/>
      <c r="W135" s="140"/>
      <c r="X135" s="140"/>
      <c r="Y135" s="140"/>
      <c r="Z135" s="140"/>
    </row>
    <row r="136" spans="1:26" ht="15.75" customHeight="1" x14ac:dyDescent="0.25">
      <c r="A136" s="284"/>
      <c r="B136" s="285"/>
      <c r="C136" s="140"/>
      <c r="D136" s="140"/>
      <c r="E136" s="140"/>
      <c r="F136" s="285"/>
      <c r="G136" s="140"/>
      <c r="H136" s="140"/>
      <c r="I136" s="285"/>
      <c r="J136" s="285"/>
      <c r="K136" s="281"/>
      <c r="L136" s="140"/>
      <c r="M136" s="140"/>
      <c r="N136" s="140"/>
      <c r="O136" s="281"/>
      <c r="P136" s="140"/>
      <c r="Q136" s="140"/>
      <c r="R136" s="140"/>
      <c r="S136" s="140"/>
      <c r="T136" s="140"/>
      <c r="U136" s="140"/>
      <c r="V136" s="140"/>
      <c r="W136" s="140"/>
      <c r="X136" s="140"/>
      <c r="Y136" s="140"/>
      <c r="Z136" s="140"/>
    </row>
    <row r="137" spans="1:26" ht="15.75" customHeight="1" x14ac:dyDescent="0.25">
      <c r="A137" s="284"/>
      <c r="B137" s="285"/>
      <c r="C137" s="140"/>
      <c r="D137" s="140"/>
      <c r="E137" s="140"/>
      <c r="F137" s="285"/>
      <c r="G137" s="140"/>
      <c r="H137" s="140"/>
      <c r="I137" s="285"/>
      <c r="J137" s="285"/>
      <c r="K137" s="281"/>
      <c r="L137" s="140"/>
      <c r="M137" s="140"/>
      <c r="N137" s="140"/>
      <c r="O137" s="281"/>
      <c r="P137" s="140"/>
      <c r="Q137" s="140"/>
      <c r="R137" s="140"/>
      <c r="S137" s="140"/>
      <c r="T137" s="140"/>
      <c r="U137" s="140"/>
      <c r="V137" s="140"/>
      <c r="W137" s="140"/>
      <c r="X137" s="140"/>
      <c r="Y137" s="140"/>
      <c r="Z137" s="140"/>
    </row>
    <row r="138" spans="1:26" ht="15.75" customHeight="1" x14ac:dyDescent="0.25">
      <c r="A138" s="284"/>
      <c r="B138" s="285"/>
      <c r="C138" s="140"/>
      <c r="D138" s="140"/>
      <c r="E138" s="140"/>
      <c r="F138" s="285"/>
      <c r="G138" s="140"/>
      <c r="H138" s="140"/>
      <c r="I138" s="285"/>
      <c r="J138" s="285"/>
      <c r="K138" s="281"/>
      <c r="L138" s="140"/>
      <c r="M138" s="140"/>
      <c r="N138" s="140"/>
      <c r="O138" s="281"/>
      <c r="P138" s="140"/>
      <c r="Q138" s="140"/>
      <c r="R138" s="140"/>
      <c r="S138" s="140"/>
      <c r="T138" s="140"/>
      <c r="U138" s="140"/>
      <c r="V138" s="140"/>
      <c r="W138" s="140"/>
      <c r="X138" s="140"/>
      <c r="Y138" s="140"/>
      <c r="Z138" s="140"/>
    </row>
    <row r="139" spans="1:26" ht="15.75" customHeight="1" x14ac:dyDescent="0.25">
      <c r="A139" s="284"/>
      <c r="B139" s="285"/>
      <c r="C139" s="140"/>
      <c r="D139" s="140"/>
      <c r="E139" s="140"/>
      <c r="F139" s="285"/>
      <c r="G139" s="140"/>
      <c r="H139" s="140"/>
      <c r="I139" s="285"/>
      <c r="J139" s="285"/>
      <c r="K139" s="281"/>
      <c r="L139" s="140"/>
      <c r="M139" s="140"/>
      <c r="N139" s="140"/>
      <c r="O139" s="281"/>
      <c r="P139" s="140"/>
      <c r="Q139" s="140"/>
      <c r="R139" s="140"/>
      <c r="S139" s="140"/>
      <c r="T139" s="140"/>
      <c r="U139" s="140"/>
      <c r="V139" s="140"/>
      <c r="W139" s="140"/>
      <c r="X139" s="140"/>
      <c r="Y139" s="140"/>
      <c r="Z139" s="140"/>
    </row>
    <row r="140" spans="1:26" ht="15.75" customHeight="1" x14ac:dyDescent="0.25">
      <c r="A140" s="284"/>
      <c r="B140" s="285"/>
      <c r="C140" s="140"/>
      <c r="D140" s="140"/>
      <c r="E140" s="140"/>
      <c r="F140" s="285"/>
      <c r="G140" s="140"/>
      <c r="H140" s="140"/>
      <c r="I140" s="285"/>
      <c r="J140" s="285"/>
      <c r="K140" s="281"/>
      <c r="L140" s="140"/>
      <c r="M140" s="140"/>
      <c r="N140" s="140"/>
      <c r="O140" s="281"/>
      <c r="P140" s="140"/>
      <c r="Q140" s="140"/>
      <c r="R140" s="140"/>
      <c r="S140" s="140"/>
      <c r="T140" s="140"/>
      <c r="U140" s="140"/>
      <c r="V140" s="140"/>
      <c r="W140" s="140"/>
      <c r="X140" s="140"/>
      <c r="Y140" s="140"/>
      <c r="Z140" s="140"/>
    </row>
    <row r="141" spans="1:26" ht="15.75" customHeight="1" x14ac:dyDescent="0.25">
      <c r="A141" s="284"/>
      <c r="B141" s="285"/>
      <c r="C141" s="140"/>
      <c r="D141" s="140"/>
      <c r="E141" s="140"/>
      <c r="F141" s="285"/>
      <c r="G141" s="140"/>
      <c r="H141" s="140"/>
      <c r="I141" s="285"/>
      <c r="J141" s="285"/>
      <c r="K141" s="281"/>
      <c r="L141" s="140"/>
      <c r="M141" s="140"/>
      <c r="N141" s="140"/>
      <c r="O141" s="281"/>
      <c r="P141" s="140"/>
      <c r="Q141" s="140"/>
      <c r="R141" s="140"/>
      <c r="S141" s="140"/>
      <c r="T141" s="140"/>
      <c r="U141" s="140"/>
      <c r="V141" s="140"/>
      <c r="W141" s="140"/>
      <c r="X141" s="140"/>
      <c r="Y141" s="140"/>
      <c r="Z141" s="140"/>
    </row>
    <row r="142" spans="1:26" ht="15.75" customHeight="1" x14ac:dyDescent="0.25">
      <c r="A142" s="284"/>
      <c r="B142" s="285"/>
      <c r="C142" s="140"/>
      <c r="D142" s="140"/>
      <c r="E142" s="140"/>
      <c r="F142" s="285"/>
      <c r="G142" s="140"/>
      <c r="H142" s="140"/>
      <c r="I142" s="285"/>
      <c r="J142" s="285"/>
      <c r="K142" s="281"/>
      <c r="L142" s="140"/>
      <c r="M142" s="140"/>
      <c r="N142" s="140"/>
      <c r="O142" s="281"/>
      <c r="P142" s="140"/>
      <c r="Q142" s="140"/>
      <c r="R142" s="140"/>
      <c r="S142" s="140"/>
      <c r="T142" s="140"/>
      <c r="U142" s="140"/>
      <c r="V142" s="140"/>
      <c r="W142" s="140"/>
      <c r="X142" s="140"/>
      <c r="Y142" s="140"/>
      <c r="Z142" s="140"/>
    </row>
    <row r="143" spans="1:26" ht="15.75" customHeight="1" x14ac:dyDescent="0.25">
      <c r="A143" s="284"/>
      <c r="B143" s="285"/>
      <c r="C143" s="140"/>
      <c r="D143" s="140"/>
      <c r="E143" s="140"/>
      <c r="F143" s="285"/>
      <c r="G143" s="140"/>
      <c r="H143" s="140"/>
      <c r="I143" s="285"/>
      <c r="J143" s="285"/>
      <c r="K143" s="281"/>
      <c r="L143" s="140"/>
      <c r="M143" s="140"/>
      <c r="N143" s="140"/>
      <c r="O143" s="281"/>
      <c r="P143" s="140"/>
      <c r="Q143" s="140"/>
      <c r="R143" s="140"/>
      <c r="S143" s="140"/>
      <c r="T143" s="140"/>
      <c r="U143" s="140"/>
      <c r="V143" s="140"/>
      <c r="W143" s="140"/>
      <c r="X143" s="140"/>
      <c r="Y143" s="140"/>
      <c r="Z143" s="140"/>
    </row>
    <row r="144" spans="1:26" ht="15.75" customHeight="1" x14ac:dyDescent="0.25">
      <c r="A144" s="284"/>
      <c r="B144" s="285"/>
      <c r="C144" s="140"/>
      <c r="D144" s="140"/>
      <c r="E144" s="140"/>
      <c r="F144" s="285"/>
      <c r="G144" s="140"/>
      <c r="H144" s="140"/>
      <c r="I144" s="285"/>
      <c r="J144" s="285"/>
      <c r="K144" s="281"/>
      <c r="L144" s="140"/>
      <c r="M144" s="140"/>
      <c r="N144" s="140"/>
      <c r="O144" s="281"/>
      <c r="P144" s="140"/>
      <c r="Q144" s="140"/>
      <c r="R144" s="140"/>
      <c r="S144" s="140"/>
      <c r="T144" s="140"/>
      <c r="U144" s="140"/>
      <c r="V144" s="140"/>
      <c r="W144" s="140"/>
      <c r="X144" s="140"/>
      <c r="Y144" s="140"/>
      <c r="Z144" s="140"/>
    </row>
    <row r="145" spans="1:26" ht="15.75" customHeight="1" x14ac:dyDescent="0.25">
      <c r="A145" s="284"/>
      <c r="B145" s="285"/>
      <c r="C145" s="140"/>
      <c r="D145" s="140"/>
      <c r="E145" s="140"/>
      <c r="F145" s="285"/>
      <c r="G145" s="140"/>
      <c r="H145" s="140"/>
      <c r="I145" s="285"/>
      <c r="J145" s="285"/>
      <c r="K145" s="281"/>
      <c r="L145" s="140"/>
      <c r="M145" s="140"/>
      <c r="N145" s="140"/>
      <c r="O145" s="281"/>
      <c r="P145" s="140"/>
      <c r="Q145" s="140"/>
      <c r="R145" s="140"/>
      <c r="S145" s="140"/>
      <c r="T145" s="140"/>
      <c r="U145" s="140"/>
      <c r="V145" s="140"/>
      <c r="W145" s="140"/>
      <c r="X145" s="140"/>
      <c r="Y145" s="140"/>
      <c r="Z145" s="140"/>
    </row>
    <row r="146" spans="1:26" ht="15.75" customHeight="1" x14ac:dyDescent="0.25">
      <c r="A146" s="284"/>
      <c r="B146" s="285"/>
      <c r="C146" s="140"/>
      <c r="D146" s="140"/>
      <c r="E146" s="140"/>
      <c r="F146" s="285"/>
      <c r="G146" s="140"/>
      <c r="H146" s="140"/>
      <c r="I146" s="285"/>
      <c r="J146" s="285"/>
      <c r="K146" s="281"/>
      <c r="L146" s="140"/>
      <c r="M146" s="140"/>
      <c r="N146" s="140"/>
      <c r="O146" s="281"/>
      <c r="P146" s="140"/>
      <c r="Q146" s="140"/>
      <c r="R146" s="140"/>
      <c r="S146" s="140"/>
      <c r="T146" s="140"/>
      <c r="U146" s="140"/>
      <c r="V146" s="140"/>
      <c r="W146" s="140"/>
      <c r="X146" s="140"/>
      <c r="Y146" s="140"/>
      <c r="Z146" s="140"/>
    </row>
    <row r="147" spans="1:26" ht="15.75" customHeight="1" x14ac:dyDescent="0.25">
      <c r="A147" s="284"/>
      <c r="B147" s="285"/>
      <c r="C147" s="140"/>
      <c r="D147" s="140"/>
      <c r="E147" s="140"/>
      <c r="F147" s="285"/>
      <c r="G147" s="140"/>
      <c r="H147" s="140"/>
      <c r="I147" s="285"/>
      <c r="J147" s="285"/>
      <c r="K147" s="281"/>
      <c r="L147" s="140"/>
      <c r="M147" s="140"/>
      <c r="N147" s="140"/>
      <c r="O147" s="281"/>
      <c r="P147" s="140"/>
      <c r="Q147" s="140"/>
      <c r="R147" s="140"/>
      <c r="S147" s="140"/>
      <c r="T147" s="140"/>
      <c r="U147" s="140"/>
      <c r="V147" s="140"/>
      <c r="W147" s="140"/>
      <c r="X147" s="140"/>
      <c r="Y147" s="140"/>
      <c r="Z147" s="140"/>
    </row>
    <row r="148" spans="1:26" ht="15.75" customHeight="1" x14ac:dyDescent="0.25">
      <c r="A148" s="284"/>
      <c r="B148" s="285"/>
      <c r="C148" s="140"/>
      <c r="D148" s="140"/>
      <c r="E148" s="140"/>
      <c r="F148" s="285"/>
      <c r="G148" s="140"/>
      <c r="H148" s="140"/>
      <c r="I148" s="285"/>
      <c r="J148" s="285"/>
      <c r="K148" s="281"/>
      <c r="L148" s="140"/>
      <c r="M148" s="140"/>
      <c r="N148" s="140"/>
      <c r="O148" s="281"/>
      <c r="P148" s="140"/>
      <c r="Q148" s="140"/>
      <c r="R148" s="140"/>
      <c r="S148" s="140"/>
      <c r="T148" s="140"/>
      <c r="U148" s="140"/>
      <c r="V148" s="140"/>
      <c r="W148" s="140"/>
      <c r="X148" s="140"/>
      <c r="Y148" s="140"/>
      <c r="Z148" s="140"/>
    </row>
    <row r="149" spans="1:26" ht="15.75" customHeight="1" x14ac:dyDescent="0.25">
      <c r="A149" s="284"/>
      <c r="B149" s="285"/>
      <c r="C149" s="140"/>
      <c r="D149" s="140"/>
      <c r="E149" s="140"/>
      <c r="F149" s="285"/>
      <c r="G149" s="140"/>
      <c r="H149" s="140"/>
      <c r="I149" s="285"/>
      <c r="J149" s="285"/>
      <c r="K149" s="281"/>
      <c r="L149" s="140"/>
      <c r="M149" s="140"/>
      <c r="N149" s="140"/>
      <c r="O149" s="281"/>
      <c r="P149" s="140"/>
      <c r="Q149" s="140"/>
      <c r="R149" s="140"/>
      <c r="S149" s="140"/>
      <c r="T149" s="140"/>
      <c r="U149" s="140"/>
      <c r="V149" s="140"/>
      <c r="W149" s="140"/>
      <c r="X149" s="140"/>
      <c r="Y149" s="140"/>
      <c r="Z149" s="140"/>
    </row>
    <row r="150" spans="1:26" ht="15.75" customHeight="1" x14ac:dyDescent="0.25">
      <c r="A150" s="284"/>
      <c r="B150" s="285"/>
      <c r="C150" s="140"/>
      <c r="D150" s="140"/>
      <c r="E150" s="140"/>
      <c r="F150" s="285"/>
      <c r="G150" s="140"/>
      <c r="H150" s="140"/>
      <c r="I150" s="285"/>
      <c r="J150" s="285"/>
      <c r="K150" s="281"/>
      <c r="L150" s="140"/>
      <c r="M150" s="140"/>
      <c r="N150" s="140"/>
      <c r="O150" s="281"/>
      <c r="P150" s="140"/>
      <c r="Q150" s="140"/>
      <c r="R150" s="140"/>
      <c r="S150" s="140"/>
      <c r="T150" s="140"/>
      <c r="U150" s="140"/>
      <c r="V150" s="140"/>
      <c r="W150" s="140"/>
      <c r="X150" s="140"/>
      <c r="Y150" s="140"/>
      <c r="Z150" s="140"/>
    </row>
    <row r="151" spans="1:26" ht="15.75" customHeight="1" x14ac:dyDescent="0.25">
      <c r="A151" s="284"/>
      <c r="B151" s="285"/>
      <c r="C151" s="140"/>
      <c r="D151" s="140"/>
      <c r="E151" s="140"/>
      <c r="F151" s="285"/>
      <c r="G151" s="140"/>
      <c r="H151" s="140"/>
      <c r="I151" s="285"/>
      <c r="J151" s="285"/>
      <c r="K151" s="281"/>
      <c r="L151" s="140"/>
      <c r="M151" s="140"/>
      <c r="N151" s="140"/>
      <c r="O151" s="281"/>
      <c r="P151" s="140"/>
      <c r="Q151" s="140"/>
      <c r="R151" s="140"/>
      <c r="S151" s="140"/>
      <c r="T151" s="140"/>
      <c r="U151" s="140"/>
      <c r="V151" s="140"/>
      <c r="W151" s="140"/>
      <c r="X151" s="140"/>
      <c r="Y151" s="140"/>
      <c r="Z151" s="140"/>
    </row>
    <row r="152" spans="1:26" ht="15.75" customHeight="1" x14ac:dyDescent="0.25">
      <c r="A152" s="284"/>
      <c r="B152" s="285"/>
      <c r="C152" s="140"/>
      <c r="D152" s="140"/>
      <c r="E152" s="140"/>
      <c r="F152" s="285"/>
      <c r="G152" s="140"/>
      <c r="H152" s="140"/>
      <c r="I152" s="285"/>
      <c r="J152" s="285"/>
      <c r="K152" s="281"/>
      <c r="L152" s="140"/>
      <c r="M152" s="140"/>
      <c r="N152" s="140"/>
      <c r="O152" s="281"/>
      <c r="P152" s="140"/>
      <c r="Q152" s="140"/>
      <c r="R152" s="140"/>
      <c r="S152" s="140"/>
      <c r="T152" s="140"/>
      <c r="U152" s="140"/>
      <c r="V152" s="140"/>
      <c r="W152" s="140"/>
      <c r="X152" s="140"/>
      <c r="Y152" s="140"/>
      <c r="Z152" s="140"/>
    </row>
    <row r="153" spans="1:26" ht="15.75" customHeight="1" x14ac:dyDescent="0.25">
      <c r="A153" s="284"/>
      <c r="B153" s="285"/>
      <c r="C153" s="140"/>
      <c r="D153" s="140"/>
      <c r="E153" s="140"/>
      <c r="F153" s="285"/>
      <c r="G153" s="140"/>
      <c r="H153" s="140"/>
      <c r="I153" s="285"/>
      <c r="J153" s="285"/>
      <c r="K153" s="281"/>
      <c r="L153" s="140"/>
      <c r="M153" s="140"/>
      <c r="N153" s="140"/>
      <c r="O153" s="281"/>
      <c r="P153" s="140"/>
      <c r="Q153" s="140"/>
      <c r="R153" s="140"/>
      <c r="S153" s="140"/>
      <c r="T153" s="140"/>
      <c r="U153" s="140"/>
      <c r="V153" s="140"/>
      <c r="W153" s="140"/>
      <c r="X153" s="140"/>
      <c r="Y153" s="140"/>
      <c r="Z153" s="140"/>
    </row>
    <row r="154" spans="1:26" ht="15.75" customHeight="1" x14ac:dyDescent="0.25">
      <c r="A154" s="284"/>
      <c r="B154" s="285"/>
      <c r="C154" s="140"/>
      <c r="D154" s="140"/>
      <c r="E154" s="140"/>
      <c r="F154" s="285"/>
      <c r="G154" s="140"/>
      <c r="H154" s="140"/>
      <c r="I154" s="285"/>
      <c r="J154" s="285"/>
      <c r="K154" s="281"/>
      <c r="L154" s="140"/>
      <c r="M154" s="140"/>
      <c r="N154" s="140"/>
      <c r="O154" s="281"/>
      <c r="P154" s="140"/>
      <c r="Q154" s="140"/>
      <c r="R154" s="140"/>
      <c r="S154" s="140"/>
      <c r="T154" s="140"/>
      <c r="U154" s="140"/>
      <c r="V154" s="140"/>
      <c r="W154" s="140"/>
      <c r="X154" s="140"/>
      <c r="Y154" s="140"/>
      <c r="Z154" s="140"/>
    </row>
    <row r="155" spans="1:26" ht="15.75" customHeight="1" x14ac:dyDescent="0.25">
      <c r="A155" s="284"/>
      <c r="B155" s="285"/>
      <c r="C155" s="140"/>
      <c r="D155" s="140"/>
      <c r="E155" s="140"/>
      <c r="F155" s="285"/>
      <c r="G155" s="140"/>
      <c r="H155" s="140"/>
      <c r="I155" s="285"/>
      <c r="J155" s="285"/>
      <c r="K155" s="281"/>
      <c r="L155" s="140"/>
      <c r="M155" s="140"/>
      <c r="N155" s="140"/>
      <c r="O155" s="281"/>
      <c r="P155" s="140"/>
      <c r="Q155" s="140"/>
      <c r="R155" s="140"/>
      <c r="S155" s="140"/>
      <c r="T155" s="140"/>
      <c r="U155" s="140"/>
      <c r="V155" s="140"/>
      <c r="W155" s="140"/>
      <c r="X155" s="140"/>
      <c r="Y155" s="140"/>
      <c r="Z155" s="140"/>
    </row>
    <row r="156" spans="1:26" ht="15.75" customHeight="1" x14ac:dyDescent="0.25">
      <c r="A156" s="284"/>
      <c r="B156" s="285"/>
      <c r="C156" s="140"/>
      <c r="D156" s="140"/>
      <c r="E156" s="140"/>
      <c r="F156" s="285"/>
      <c r="G156" s="140"/>
      <c r="H156" s="140"/>
      <c r="I156" s="285"/>
      <c r="J156" s="285"/>
      <c r="K156" s="281"/>
      <c r="L156" s="140"/>
      <c r="M156" s="140"/>
      <c r="N156" s="140"/>
      <c r="O156" s="281"/>
      <c r="P156" s="140"/>
      <c r="Q156" s="140"/>
      <c r="R156" s="140"/>
      <c r="S156" s="140"/>
      <c r="T156" s="140"/>
      <c r="U156" s="140"/>
      <c r="V156" s="140"/>
      <c r="W156" s="140"/>
      <c r="X156" s="140"/>
      <c r="Y156" s="140"/>
      <c r="Z156" s="140"/>
    </row>
    <row r="157" spans="1:26" ht="15.75" customHeight="1" x14ac:dyDescent="0.25">
      <c r="A157" s="284"/>
      <c r="B157" s="285"/>
      <c r="C157" s="140"/>
      <c r="D157" s="140"/>
      <c r="E157" s="140"/>
      <c r="F157" s="285"/>
      <c r="G157" s="140"/>
      <c r="H157" s="140"/>
      <c r="I157" s="285"/>
      <c r="J157" s="285"/>
      <c r="K157" s="281"/>
      <c r="L157" s="140"/>
      <c r="M157" s="140"/>
      <c r="N157" s="140"/>
      <c r="O157" s="281"/>
      <c r="P157" s="140"/>
      <c r="Q157" s="140"/>
      <c r="R157" s="140"/>
      <c r="S157" s="140"/>
      <c r="T157" s="140"/>
      <c r="U157" s="140"/>
      <c r="V157" s="140"/>
      <c r="W157" s="140"/>
      <c r="X157" s="140"/>
      <c r="Y157" s="140"/>
      <c r="Z157" s="140"/>
    </row>
    <row r="158" spans="1:26" ht="15.75" customHeight="1" x14ac:dyDescent="0.25">
      <c r="A158" s="284"/>
      <c r="B158" s="285"/>
      <c r="C158" s="140"/>
      <c r="D158" s="140"/>
      <c r="E158" s="140"/>
      <c r="F158" s="285"/>
      <c r="G158" s="140"/>
      <c r="H158" s="140"/>
      <c r="I158" s="285"/>
      <c r="J158" s="285"/>
      <c r="K158" s="281"/>
      <c r="L158" s="140"/>
      <c r="M158" s="140"/>
      <c r="N158" s="140"/>
      <c r="O158" s="281"/>
      <c r="P158" s="140"/>
      <c r="Q158" s="140"/>
      <c r="R158" s="140"/>
      <c r="S158" s="140"/>
      <c r="T158" s="140"/>
      <c r="U158" s="140"/>
      <c r="V158" s="140"/>
      <c r="W158" s="140"/>
      <c r="X158" s="140"/>
      <c r="Y158" s="140"/>
      <c r="Z158" s="140"/>
    </row>
    <row r="159" spans="1:26" ht="15.75" customHeight="1" x14ac:dyDescent="0.25">
      <c r="A159" s="284"/>
      <c r="B159" s="285"/>
      <c r="C159" s="140"/>
      <c r="D159" s="140"/>
      <c r="E159" s="140"/>
      <c r="F159" s="285"/>
      <c r="G159" s="140"/>
      <c r="H159" s="140"/>
      <c r="I159" s="285"/>
      <c r="J159" s="285"/>
      <c r="K159" s="281"/>
      <c r="L159" s="140"/>
      <c r="M159" s="140"/>
      <c r="N159" s="140"/>
      <c r="O159" s="281"/>
      <c r="P159" s="140"/>
      <c r="Q159" s="140"/>
      <c r="R159" s="140"/>
      <c r="S159" s="140"/>
      <c r="T159" s="140"/>
      <c r="U159" s="140"/>
      <c r="V159" s="140"/>
      <c r="W159" s="140"/>
      <c r="X159" s="140"/>
      <c r="Y159" s="140"/>
      <c r="Z159" s="140"/>
    </row>
    <row r="160" spans="1:26" ht="15.75" customHeight="1" x14ac:dyDescent="0.25">
      <c r="A160" s="284"/>
      <c r="B160" s="285"/>
      <c r="C160" s="140"/>
      <c r="D160" s="140"/>
      <c r="E160" s="140"/>
      <c r="F160" s="285"/>
      <c r="G160" s="140"/>
      <c r="H160" s="140"/>
      <c r="I160" s="285"/>
      <c r="J160" s="285"/>
      <c r="K160" s="281"/>
      <c r="L160" s="140"/>
      <c r="M160" s="140"/>
      <c r="N160" s="140"/>
      <c r="O160" s="281"/>
      <c r="P160" s="140"/>
      <c r="Q160" s="140"/>
      <c r="R160" s="140"/>
      <c r="S160" s="140"/>
      <c r="T160" s="140"/>
      <c r="U160" s="140"/>
      <c r="V160" s="140"/>
      <c r="W160" s="140"/>
      <c r="X160" s="140"/>
      <c r="Y160" s="140"/>
      <c r="Z160" s="140"/>
    </row>
    <row r="161" spans="1:26" ht="15.75" customHeight="1" x14ac:dyDescent="0.25">
      <c r="A161" s="284"/>
      <c r="B161" s="285"/>
      <c r="C161" s="140"/>
      <c r="D161" s="140"/>
      <c r="E161" s="140"/>
      <c r="F161" s="285"/>
      <c r="G161" s="140"/>
      <c r="H161" s="140"/>
      <c r="I161" s="285"/>
      <c r="J161" s="285"/>
      <c r="K161" s="281"/>
      <c r="L161" s="140"/>
      <c r="M161" s="140"/>
      <c r="N161" s="140"/>
      <c r="O161" s="281"/>
      <c r="P161" s="140"/>
      <c r="Q161" s="140"/>
      <c r="R161" s="140"/>
      <c r="S161" s="140"/>
      <c r="T161" s="140"/>
      <c r="U161" s="140"/>
      <c r="V161" s="140"/>
      <c r="W161" s="140"/>
      <c r="X161" s="140"/>
      <c r="Y161" s="140"/>
      <c r="Z161" s="140"/>
    </row>
    <row r="162" spans="1:26" ht="15.75" customHeight="1" x14ac:dyDescent="0.25">
      <c r="A162" s="284"/>
      <c r="B162" s="285"/>
      <c r="C162" s="140"/>
      <c r="D162" s="140"/>
      <c r="E162" s="140"/>
      <c r="F162" s="285"/>
      <c r="G162" s="140"/>
      <c r="H162" s="140"/>
      <c r="I162" s="285"/>
      <c r="J162" s="285"/>
      <c r="K162" s="281"/>
      <c r="L162" s="140"/>
      <c r="M162" s="140"/>
      <c r="N162" s="140"/>
      <c r="O162" s="281"/>
      <c r="P162" s="140"/>
      <c r="Q162" s="140"/>
      <c r="R162" s="140"/>
      <c r="S162" s="140"/>
      <c r="T162" s="140"/>
      <c r="U162" s="140"/>
      <c r="V162" s="140"/>
      <c r="W162" s="140"/>
      <c r="X162" s="140"/>
      <c r="Y162" s="140"/>
      <c r="Z162" s="140"/>
    </row>
    <row r="163" spans="1:26" ht="15.75" customHeight="1" x14ac:dyDescent="0.25">
      <c r="A163" s="284"/>
      <c r="B163" s="285"/>
      <c r="C163" s="140"/>
      <c r="D163" s="140"/>
      <c r="E163" s="140"/>
      <c r="F163" s="285"/>
      <c r="G163" s="140"/>
      <c r="H163" s="140"/>
      <c r="I163" s="285"/>
      <c r="J163" s="285"/>
      <c r="K163" s="281"/>
      <c r="L163" s="140"/>
      <c r="M163" s="140"/>
      <c r="N163" s="140"/>
      <c r="O163" s="281"/>
      <c r="P163" s="140"/>
      <c r="Q163" s="140"/>
      <c r="R163" s="140"/>
      <c r="S163" s="140"/>
      <c r="T163" s="140"/>
      <c r="U163" s="140"/>
      <c r="V163" s="140"/>
      <c r="W163" s="140"/>
      <c r="X163" s="140"/>
      <c r="Y163" s="140"/>
      <c r="Z163" s="140"/>
    </row>
    <row r="164" spans="1:26" ht="15.75" customHeight="1" x14ac:dyDescent="0.25">
      <c r="A164" s="284"/>
      <c r="B164" s="285"/>
      <c r="C164" s="140"/>
      <c r="D164" s="140"/>
      <c r="E164" s="140"/>
      <c r="F164" s="285"/>
      <c r="G164" s="140"/>
      <c r="H164" s="140"/>
      <c r="I164" s="285"/>
      <c r="J164" s="285"/>
      <c r="K164" s="281"/>
      <c r="L164" s="140"/>
      <c r="M164" s="140"/>
      <c r="N164" s="140"/>
      <c r="O164" s="281"/>
      <c r="P164" s="140"/>
      <c r="Q164" s="140"/>
      <c r="R164" s="140"/>
      <c r="S164" s="140"/>
      <c r="T164" s="140"/>
      <c r="U164" s="140"/>
      <c r="V164" s="140"/>
      <c r="W164" s="140"/>
      <c r="X164" s="140"/>
      <c r="Y164" s="140"/>
      <c r="Z164" s="140"/>
    </row>
    <row r="165" spans="1:26" ht="15.75" customHeight="1" x14ac:dyDescent="0.25">
      <c r="A165" s="284"/>
      <c r="B165" s="285"/>
      <c r="C165" s="140"/>
      <c r="D165" s="140"/>
      <c r="E165" s="140"/>
      <c r="F165" s="285"/>
      <c r="G165" s="140"/>
      <c r="H165" s="140"/>
      <c r="I165" s="285"/>
      <c r="J165" s="285"/>
      <c r="K165" s="281"/>
      <c r="L165" s="140"/>
      <c r="M165" s="140"/>
      <c r="N165" s="140"/>
      <c r="O165" s="281"/>
      <c r="P165" s="140"/>
      <c r="Q165" s="140"/>
      <c r="R165" s="140"/>
      <c r="S165" s="140"/>
      <c r="T165" s="140"/>
      <c r="U165" s="140"/>
      <c r="V165" s="140"/>
      <c r="W165" s="140"/>
      <c r="X165" s="140"/>
      <c r="Y165" s="140"/>
      <c r="Z165" s="140"/>
    </row>
    <row r="166" spans="1:26" ht="15.75" customHeight="1" x14ac:dyDescent="0.25">
      <c r="A166" s="284"/>
      <c r="B166" s="285"/>
      <c r="C166" s="140"/>
      <c r="D166" s="140"/>
      <c r="E166" s="140"/>
      <c r="F166" s="285"/>
      <c r="G166" s="140"/>
      <c r="H166" s="140"/>
      <c r="I166" s="285"/>
      <c r="J166" s="285"/>
      <c r="K166" s="281"/>
      <c r="L166" s="140"/>
      <c r="M166" s="140"/>
      <c r="N166" s="140"/>
      <c r="O166" s="281"/>
      <c r="P166" s="140"/>
      <c r="Q166" s="140"/>
      <c r="R166" s="140"/>
      <c r="S166" s="140"/>
      <c r="T166" s="140"/>
      <c r="U166" s="140"/>
      <c r="V166" s="140"/>
      <c r="W166" s="140"/>
      <c r="X166" s="140"/>
      <c r="Y166" s="140"/>
      <c r="Z166" s="140"/>
    </row>
    <row r="167" spans="1:26" ht="15.75" customHeight="1" x14ac:dyDescent="0.25">
      <c r="A167" s="284"/>
      <c r="B167" s="285"/>
      <c r="C167" s="140"/>
      <c r="D167" s="140"/>
      <c r="E167" s="140"/>
      <c r="F167" s="285"/>
      <c r="G167" s="140"/>
      <c r="H167" s="140"/>
      <c r="I167" s="285"/>
      <c r="J167" s="285"/>
      <c r="K167" s="281"/>
      <c r="L167" s="140"/>
      <c r="M167" s="140"/>
      <c r="N167" s="140"/>
      <c r="O167" s="281"/>
      <c r="P167" s="140"/>
      <c r="Q167" s="140"/>
      <c r="R167" s="140"/>
      <c r="S167" s="140"/>
      <c r="T167" s="140"/>
      <c r="U167" s="140"/>
      <c r="V167" s="140"/>
      <c r="W167" s="140"/>
      <c r="X167" s="140"/>
      <c r="Y167" s="140"/>
      <c r="Z167" s="140"/>
    </row>
    <row r="168" spans="1:26" ht="15.75" customHeight="1" x14ac:dyDescent="0.25">
      <c r="A168" s="284"/>
      <c r="B168" s="285"/>
      <c r="C168" s="140"/>
      <c r="D168" s="140"/>
      <c r="E168" s="140"/>
      <c r="F168" s="285"/>
      <c r="G168" s="140"/>
      <c r="H168" s="140"/>
      <c r="I168" s="285"/>
      <c r="J168" s="285"/>
      <c r="K168" s="281"/>
      <c r="L168" s="140"/>
      <c r="M168" s="140"/>
      <c r="N168" s="140"/>
      <c r="O168" s="281"/>
      <c r="P168" s="140"/>
      <c r="Q168" s="140"/>
      <c r="R168" s="140"/>
      <c r="S168" s="140"/>
      <c r="T168" s="140"/>
      <c r="U168" s="140"/>
      <c r="V168" s="140"/>
      <c r="W168" s="140"/>
      <c r="X168" s="140"/>
      <c r="Y168" s="140"/>
      <c r="Z168" s="140"/>
    </row>
    <row r="169" spans="1:26" ht="15.75" customHeight="1" x14ac:dyDescent="0.25">
      <c r="A169" s="284"/>
      <c r="B169" s="285"/>
      <c r="C169" s="140"/>
      <c r="D169" s="140"/>
      <c r="E169" s="140"/>
      <c r="F169" s="285"/>
      <c r="G169" s="140"/>
      <c r="H169" s="140"/>
      <c r="I169" s="285"/>
      <c r="J169" s="285"/>
      <c r="K169" s="281"/>
      <c r="L169" s="140"/>
      <c r="M169" s="140"/>
      <c r="N169" s="140"/>
      <c r="O169" s="281"/>
      <c r="P169" s="140"/>
      <c r="Q169" s="140"/>
      <c r="R169" s="140"/>
      <c r="S169" s="140"/>
      <c r="T169" s="140"/>
      <c r="U169" s="140"/>
      <c r="V169" s="140"/>
      <c r="W169" s="140"/>
      <c r="X169" s="140"/>
      <c r="Y169" s="140"/>
      <c r="Z169" s="140"/>
    </row>
    <row r="170" spans="1:26" ht="15.75" customHeight="1" x14ac:dyDescent="0.25">
      <c r="A170" s="284"/>
      <c r="B170" s="285"/>
      <c r="C170" s="140"/>
      <c r="D170" s="140"/>
      <c r="E170" s="140"/>
      <c r="F170" s="285"/>
      <c r="G170" s="140"/>
      <c r="H170" s="140"/>
      <c r="I170" s="285"/>
      <c r="J170" s="285"/>
      <c r="K170" s="281"/>
      <c r="L170" s="140"/>
      <c r="M170" s="140"/>
      <c r="N170" s="140"/>
      <c r="O170" s="281"/>
      <c r="P170" s="140"/>
      <c r="Q170" s="140"/>
      <c r="R170" s="140"/>
      <c r="S170" s="140"/>
      <c r="T170" s="140"/>
      <c r="U170" s="140"/>
      <c r="V170" s="140"/>
      <c r="W170" s="140"/>
      <c r="X170" s="140"/>
      <c r="Y170" s="140"/>
      <c r="Z170" s="140"/>
    </row>
    <row r="171" spans="1:26" ht="15.75" customHeight="1" x14ac:dyDescent="0.25">
      <c r="A171" s="284"/>
      <c r="B171" s="285"/>
      <c r="C171" s="140"/>
      <c r="D171" s="140"/>
      <c r="E171" s="140"/>
      <c r="F171" s="285"/>
      <c r="G171" s="140"/>
      <c r="H171" s="140"/>
      <c r="I171" s="285"/>
      <c r="J171" s="285"/>
      <c r="K171" s="281"/>
      <c r="L171" s="140"/>
      <c r="M171" s="140"/>
      <c r="N171" s="140"/>
      <c r="O171" s="281"/>
      <c r="P171" s="140"/>
      <c r="Q171" s="140"/>
      <c r="R171" s="140"/>
      <c r="S171" s="140"/>
      <c r="T171" s="140"/>
      <c r="U171" s="140"/>
      <c r="V171" s="140"/>
      <c r="W171" s="140"/>
      <c r="X171" s="140"/>
      <c r="Y171" s="140"/>
      <c r="Z171" s="140"/>
    </row>
    <row r="172" spans="1:26" ht="15.75" customHeight="1" x14ac:dyDescent="0.25">
      <c r="A172" s="284"/>
      <c r="B172" s="285"/>
      <c r="C172" s="140"/>
      <c r="D172" s="140"/>
      <c r="E172" s="140"/>
      <c r="F172" s="285"/>
      <c r="G172" s="140"/>
      <c r="H172" s="140"/>
      <c r="I172" s="285"/>
      <c r="J172" s="285"/>
      <c r="K172" s="281"/>
      <c r="L172" s="140"/>
      <c r="M172" s="140"/>
      <c r="N172" s="140"/>
      <c r="O172" s="281"/>
      <c r="P172" s="140"/>
      <c r="Q172" s="140"/>
      <c r="R172" s="140"/>
      <c r="S172" s="140"/>
      <c r="T172" s="140"/>
      <c r="U172" s="140"/>
      <c r="V172" s="140"/>
      <c r="W172" s="140"/>
      <c r="X172" s="140"/>
      <c r="Y172" s="140"/>
      <c r="Z172" s="140"/>
    </row>
    <row r="173" spans="1:26" ht="15.75" customHeight="1" x14ac:dyDescent="0.25">
      <c r="A173" s="284"/>
      <c r="B173" s="285"/>
      <c r="C173" s="140"/>
      <c r="D173" s="140"/>
      <c r="E173" s="140"/>
      <c r="F173" s="285"/>
      <c r="G173" s="140"/>
      <c r="H173" s="140"/>
      <c r="I173" s="285"/>
      <c r="J173" s="285"/>
      <c r="K173" s="281"/>
      <c r="L173" s="140"/>
      <c r="M173" s="140"/>
      <c r="N173" s="140"/>
      <c r="O173" s="281"/>
      <c r="P173" s="140"/>
      <c r="Q173" s="140"/>
      <c r="R173" s="140"/>
      <c r="S173" s="140"/>
      <c r="T173" s="140"/>
      <c r="U173" s="140"/>
      <c r="V173" s="140"/>
      <c r="W173" s="140"/>
      <c r="X173" s="140"/>
      <c r="Y173" s="140"/>
      <c r="Z173" s="140"/>
    </row>
    <row r="174" spans="1:26" ht="15.75" customHeight="1" x14ac:dyDescent="0.25">
      <c r="A174" s="284"/>
      <c r="B174" s="285"/>
      <c r="C174" s="140"/>
      <c r="D174" s="140"/>
      <c r="E174" s="140"/>
      <c r="F174" s="285"/>
      <c r="G174" s="140"/>
      <c r="H174" s="140"/>
      <c r="I174" s="285"/>
      <c r="J174" s="285"/>
      <c r="K174" s="281"/>
      <c r="L174" s="140"/>
      <c r="M174" s="140"/>
      <c r="N174" s="140"/>
      <c r="O174" s="281"/>
      <c r="P174" s="140"/>
      <c r="Q174" s="140"/>
      <c r="R174" s="140"/>
      <c r="S174" s="140"/>
      <c r="T174" s="140"/>
      <c r="U174" s="140"/>
      <c r="V174" s="140"/>
      <c r="W174" s="140"/>
      <c r="X174" s="140"/>
      <c r="Y174" s="140"/>
      <c r="Z174" s="140"/>
    </row>
    <row r="175" spans="1:26" ht="15.75" customHeight="1" x14ac:dyDescent="0.25">
      <c r="A175" s="284"/>
      <c r="B175" s="285"/>
      <c r="C175" s="140"/>
      <c r="D175" s="140"/>
      <c r="E175" s="140"/>
      <c r="F175" s="285"/>
      <c r="G175" s="140"/>
      <c r="H175" s="140"/>
      <c r="I175" s="285"/>
      <c r="J175" s="285"/>
      <c r="K175" s="281"/>
      <c r="L175" s="140"/>
      <c r="M175" s="140"/>
      <c r="N175" s="140"/>
      <c r="O175" s="281"/>
      <c r="P175" s="140"/>
      <c r="Q175" s="140"/>
      <c r="R175" s="140"/>
      <c r="S175" s="140"/>
      <c r="T175" s="140"/>
      <c r="U175" s="140"/>
      <c r="V175" s="140"/>
      <c r="W175" s="140"/>
      <c r="X175" s="140"/>
      <c r="Y175" s="140"/>
      <c r="Z175" s="140"/>
    </row>
    <row r="176" spans="1:26" ht="15.75" customHeight="1" x14ac:dyDescent="0.25">
      <c r="A176" s="284"/>
      <c r="B176" s="285"/>
      <c r="C176" s="140"/>
      <c r="D176" s="140"/>
      <c r="E176" s="140"/>
      <c r="F176" s="285"/>
      <c r="G176" s="140"/>
      <c r="H176" s="140"/>
      <c r="I176" s="285"/>
      <c r="J176" s="285"/>
      <c r="K176" s="281"/>
      <c r="L176" s="140"/>
      <c r="M176" s="140"/>
      <c r="N176" s="140"/>
      <c r="O176" s="281"/>
      <c r="P176" s="140"/>
      <c r="Q176" s="140"/>
      <c r="R176" s="140"/>
      <c r="S176" s="140"/>
      <c r="T176" s="140"/>
      <c r="U176" s="140"/>
      <c r="V176" s="140"/>
      <c r="W176" s="140"/>
      <c r="X176" s="140"/>
      <c r="Y176" s="140"/>
      <c r="Z176" s="140"/>
    </row>
    <row r="177" spans="1:26" ht="15.75" customHeight="1" x14ac:dyDescent="0.25">
      <c r="A177" s="284"/>
      <c r="B177" s="285"/>
      <c r="C177" s="140"/>
      <c r="D177" s="140"/>
      <c r="E177" s="140"/>
      <c r="F177" s="285"/>
      <c r="G177" s="140"/>
      <c r="H177" s="140"/>
      <c r="I177" s="285"/>
      <c r="J177" s="285"/>
      <c r="K177" s="281"/>
      <c r="L177" s="140"/>
      <c r="M177" s="140"/>
      <c r="N177" s="140"/>
      <c r="O177" s="281"/>
      <c r="P177" s="140"/>
      <c r="Q177" s="140"/>
      <c r="R177" s="140"/>
      <c r="S177" s="140"/>
      <c r="T177" s="140"/>
      <c r="U177" s="140"/>
      <c r="V177" s="140"/>
      <c r="W177" s="140"/>
      <c r="X177" s="140"/>
      <c r="Y177" s="140"/>
      <c r="Z177" s="140"/>
    </row>
    <row r="178" spans="1:26" ht="15.75" customHeight="1" x14ac:dyDescent="0.25">
      <c r="A178" s="284"/>
      <c r="B178" s="285"/>
      <c r="C178" s="140"/>
      <c r="D178" s="140"/>
      <c r="E178" s="140"/>
      <c r="F178" s="285"/>
      <c r="G178" s="140"/>
      <c r="H178" s="140"/>
      <c r="I178" s="285"/>
      <c r="J178" s="285"/>
      <c r="K178" s="281"/>
      <c r="L178" s="140"/>
      <c r="M178" s="140"/>
      <c r="N178" s="140"/>
      <c r="O178" s="281"/>
      <c r="P178" s="140"/>
      <c r="Q178" s="140"/>
      <c r="R178" s="140"/>
      <c r="S178" s="140"/>
      <c r="T178" s="140"/>
      <c r="U178" s="140"/>
      <c r="V178" s="140"/>
      <c r="W178" s="140"/>
      <c r="X178" s="140"/>
      <c r="Y178" s="140"/>
      <c r="Z178" s="140"/>
    </row>
    <row r="179" spans="1:26" ht="15.75" customHeight="1" x14ac:dyDescent="0.25">
      <c r="A179" s="284"/>
      <c r="B179" s="285"/>
      <c r="C179" s="140"/>
      <c r="D179" s="140"/>
      <c r="E179" s="140"/>
      <c r="F179" s="285"/>
      <c r="G179" s="140"/>
      <c r="H179" s="140"/>
      <c r="I179" s="285"/>
      <c r="J179" s="285"/>
      <c r="K179" s="281"/>
      <c r="L179" s="140"/>
      <c r="M179" s="140"/>
      <c r="N179" s="140"/>
      <c r="O179" s="281"/>
      <c r="P179" s="140"/>
      <c r="Q179" s="140"/>
      <c r="R179" s="140"/>
      <c r="S179" s="140"/>
      <c r="T179" s="140"/>
      <c r="U179" s="140"/>
      <c r="V179" s="140"/>
      <c r="W179" s="140"/>
      <c r="X179" s="140"/>
      <c r="Y179" s="140"/>
      <c r="Z179" s="140"/>
    </row>
    <row r="180" spans="1:26" ht="15.75" customHeight="1" x14ac:dyDescent="0.25">
      <c r="A180" s="284"/>
      <c r="B180" s="285"/>
      <c r="C180" s="140"/>
      <c r="D180" s="140"/>
      <c r="E180" s="140"/>
      <c r="F180" s="285"/>
      <c r="G180" s="140"/>
      <c r="H180" s="140"/>
      <c r="I180" s="285"/>
      <c r="J180" s="285"/>
      <c r="K180" s="281"/>
      <c r="L180" s="140"/>
      <c r="M180" s="140"/>
      <c r="N180" s="140"/>
      <c r="O180" s="281"/>
      <c r="P180" s="140"/>
      <c r="Q180" s="140"/>
      <c r="R180" s="140"/>
      <c r="S180" s="140"/>
      <c r="T180" s="140"/>
      <c r="U180" s="140"/>
      <c r="V180" s="140"/>
      <c r="W180" s="140"/>
      <c r="X180" s="140"/>
      <c r="Y180" s="140"/>
      <c r="Z180" s="140"/>
    </row>
    <row r="181" spans="1:26" ht="15.75" customHeight="1" x14ac:dyDescent="0.25">
      <c r="A181" s="284"/>
      <c r="B181" s="285"/>
      <c r="C181" s="140"/>
      <c r="D181" s="140"/>
      <c r="E181" s="140"/>
      <c r="F181" s="285"/>
      <c r="G181" s="140"/>
      <c r="H181" s="140"/>
      <c r="I181" s="285"/>
      <c r="J181" s="285"/>
      <c r="K181" s="281"/>
      <c r="L181" s="140"/>
      <c r="M181" s="140"/>
      <c r="N181" s="140"/>
      <c r="O181" s="281"/>
      <c r="P181" s="140"/>
      <c r="Q181" s="140"/>
      <c r="R181" s="140"/>
      <c r="S181" s="140"/>
      <c r="T181" s="140"/>
      <c r="U181" s="140"/>
      <c r="V181" s="140"/>
      <c r="W181" s="140"/>
      <c r="X181" s="140"/>
      <c r="Y181" s="140"/>
      <c r="Z181" s="140"/>
    </row>
    <row r="182" spans="1:26" ht="15.75" customHeight="1" x14ac:dyDescent="0.25">
      <c r="A182" s="284"/>
      <c r="B182" s="285"/>
      <c r="C182" s="140"/>
      <c r="D182" s="140"/>
      <c r="E182" s="140"/>
      <c r="F182" s="285"/>
      <c r="G182" s="140"/>
      <c r="H182" s="140"/>
      <c r="I182" s="285"/>
      <c r="J182" s="285"/>
      <c r="K182" s="281"/>
      <c r="L182" s="140"/>
      <c r="M182" s="140"/>
      <c r="N182" s="140"/>
      <c r="O182" s="281"/>
      <c r="P182" s="140"/>
      <c r="Q182" s="140"/>
      <c r="R182" s="140"/>
      <c r="S182" s="140"/>
      <c r="T182" s="140"/>
      <c r="U182" s="140"/>
      <c r="V182" s="140"/>
      <c r="W182" s="140"/>
      <c r="X182" s="140"/>
      <c r="Y182" s="140"/>
      <c r="Z182" s="140"/>
    </row>
    <row r="183" spans="1:26" ht="15.75" customHeight="1" x14ac:dyDescent="0.25">
      <c r="A183" s="284"/>
      <c r="B183" s="285"/>
      <c r="C183" s="140"/>
      <c r="D183" s="140"/>
      <c r="E183" s="140"/>
      <c r="F183" s="285"/>
      <c r="G183" s="140"/>
      <c r="H183" s="140"/>
      <c r="I183" s="285"/>
      <c r="J183" s="285"/>
      <c r="K183" s="281"/>
      <c r="L183" s="140"/>
      <c r="M183" s="140"/>
      <c r="N183" s="140"/>
      <c r="O183" s="281"/>
      <c r="P183" s="140"/>
      <c r="Q183" s="140"/>
      <c r="R183" s="140"/>
      <c r="S183" s="140"/>
      <c r="T183" s="140"/>
      <c r="U183" s="140"/>
      <c r="V183" s="140"/>
      <c r="W183" s="140"/>
      <c r="X183" s="140"/>
      <c r="Y183" s="140"/>
      <c r="Z183" s="140"/>
    </row>
    <row r="184" spans="1:26" ht="15.75" customHeight="1" x14ac:dyDescent="0.25">
      <c r="A184" s="284"/>
      <c r="B184" s="285"/>
      <c r="C184" s="140"/>
      <c r="D184" s="140"/>
      <c r="E184" s="140"/>
      <c r="F184" s="285"/>
      <c r="G184" s="140"/>
      <c r="H184" s="140"/>
      <c r="I184" s="285"/>
      <c r="J184" s="285"/>
      <c r="K184" s="281"/>
      <c r="L184" s="140"/>
      <c r="M184" s="140"/>
      <c r="N184" s="140"/>
      <c r="O184" s="281"/>
      <c r="P184" s="140"/>
      <c r="Q184" s="140"/>
      <c r="R184" s="140"/>
      <c r="S184" s="140"/>
      <c r="T184" s="140"/>
      <c r="U184" s="140"/>
      <c r="V184" s="140"/>
      <c r="W184" s="140"/>
      <c r="X184" s="140"/>
      <c r="Y184" s="140"/>
      <c r="Z184" s="140"/>
    </row>
    <row r="185" spans="1:26" ht="15.75" customHeight="1" x14ac:dyDescent="0.25">
      <c r="A185" s="284"/>
      <c r="B185" s="285"/>
      <c r="C185" s="140"/>
      <c r="D185" s="140"/>
      <c r="E185" s="140"/>
      <c r="F185" s="285"/>
      <c r="G185" s="140"/>
      <c r="H185" s="140"/>
      <c r="I185" s="285"/>
      <c r="J185" s="285"/>
      <c r="K185" s="281"/>
      <c r="L185" s="140"/>
      <c r="M185" s="140"/>
      <c r="N185" s="140"/>
      <c r="O185" s="281"/>
      <c r="P185" s="140"/>
      <c r="Q185" s="140"/>
      <c r="R185" s="140"/>
      <c r="S185" s="140"/>
      <c r="T185" s="140"/>
      <c r="U185" s="140"/>
      <c r="V185" s="140"/>
      <c r="W185" s="140"/>
      <c r="X185" s="140"/>
      <c r="Y185" s="140"/>
      <c r="Z185" s="140"/>
    </row>
    <row r="186" spans="1:26" ht="15.75" customHeight="1" x14ac:dyDescent="0.25">
      <c r="A186" s="284"/>
      <c r="B186" s="285"/>
      <c r="C186" s="140"/>
      <c r="D186" s="140"/>
      <c r="E186" s="140"/>
      <c r="F186" s="285"/>
      <c r="G186" s="140"/>
      <c r="H186" s="140"/>
      <c r="I186" s="285"/>
      <c r="J186" s="285"/>
      <c r="K186" s="281"/>
      <c r="L186" s="140"/>
      <c r="M186" s="140"/>
      <c r="N186" s="140"/>
      <c r="O186" s="281"/>
      <c r="P186" s="140"/>
      <c r="Q186" s="140"/>
      <c r="R186" s="140"/>
      <c r="S186" s="140"/>
      <c r="T186" s="140"/>
      <c r="U186" s="140"/>
      <c r="V186" s="140"/>
      <c r="W186" s="140"/>
      <c r="X186" s="140"/>
      <c r="Y186" s="140"/>
      <c r="Z186" s="140"/>
    </row>
    <row r="187" spans="1:26" ht="15.75" customHeight="1" x14ac:dyDescent="0.25">
      <c r="A187" s="284"/>
      <c r="B187" s="285"/>
      <c r="C187" s="140"/>
      <c r="D187" s="140"/>
      <c r="E187" s="140"/>
      <c r="F187" s="285"/>
      <c r="G187" s="140"/>
      <c r="H187" s="140"/>
      <c r="I187" s="285"/>
      <c r="J187" s="285"/>
      <c r="K187" s="281"/>
      <c r="L187" s="140"/>
      <c r="M187" s="140"/>
      <c r="N187" s="140"/>
      <c r="O187" s="281"/>
      <c r="P187" s="140"/>
      <c r="Q187" s="140"/>
      <c r="R187" s="140"/>
      <c r="S187" s="140"/>
      <c r="T187" s="140"/>
      <c r="U187" s="140"/>
      <c r="V187" s="140"/>
      <c r="W187" s="140"/>
      <c r="X187" s="140"/>
      <c r="Y187" s="140"/>
      <c r="Z187" s="140"/>
    </row>
    <row r="188" spans="1:26" ht="15.75" customHeight="1" x14ac:dyDescent="0.25">
      <c r="A188" s="284"/>
      <c r="B188" s="285"/>
      <c r="C188" s="140"/>
      <c r="D188" s="140"/>
      <c r="E188" s="140"/>
      <c r="F188" s="285"/>
      <c r="G188" s="140"/>
      <c r="H188" s="140"/>
      <c r="I188" s="285"/>
      <c r="J188" s="285"/>
      <c r="K188" s="281"/>
      <c r="L188" s="140"/>
      <c r="M188" s="140"/>
      <c r="N188" s="140"/>
      <c r="O188" s="281"/>
      <c r="P188" s="140"/>
      <c r="Q188" s="140"/>
      <c r="R188" s="140"/>
      <c r="S188" s="140"/>
      <c r="T188" s="140"/>
      <c r="U188" s="140"/>
      <c r="V188" s="140"/>
      <c r="W188" s="140"/>
      <c r="X188" s="140"/>
      <c r="Y188" s="140"/>
      <c r="Z188" s="140"/>
    </row>
    <row r="189" spans="1:26" ht="15.75" customHeight="1" x14ac:dyDescent="0.25">
      <c r="A189" s="284"/>
      <c r="B189" s="285"/>
      <c r="C189" s="140"/>
      <c r="D189" s="140"/>
      <c r="E189" s="140"/>
      <c r="F189" s="285"/>
      <c r="G189" s="140"/>
      <c r="H189" s="140"/>
      <c r="I189" s="285"/>
      <c r="J189" s="285"/>
      <c r="K189" s="281"/>
      <c r="L189" s="140"/>
      <c r="M189" s="140"/>
      <c r="N189" s="140"/>
      <c r="O189" s="281"/>
      <c r="P189" s="140"/>
      <c r="Q189" s="140"/>
      <c r="R189" s="140"/>
      <c r="S189" s="140"/>
      <c r="T189" s="140"/>
      <c r="U189" s="140"/>
      <c r="V189" s="140"/>
      <c r="W189" s="140"/>
      <c r="X189" s="140"/>
      <c r="Y189" s="140"/>
      <c r="Z189" s="140"/>
    </row>
    <row r="190" spans="1:26" ht="15.75" customHeight="1" x14ac:dyDescent="0.25">
      <c r="A190" s="284"/>
      <c r="B190" s="285"/>
      <c r="C190" s="140"/>
      <c r="D190" s="140"/>
      <c r="E190" s="140"/>
      <c r="F190" s="285"/>
      <c r="G190" s="140"/>
      <c r="H190" s="140"/>
      <c r="I190" s="285"/>
      <c r="J190" s="285"/>
      <c r="K190" s="281"/>
      <c r="L190" s="140"/>
      <c r="M190" s="140"/>
      <c r="N190" s="140"/>
      <c r="O190" s="281"/>
      <c r="P190" s="140"/>
      <c r="Q190" s="140"/>
      <c r="R190" s="140"/>
      <c r="S190" s="140"/>
      <c r="T190" s="140"/>
      <c r="U190" s="140"/>
      <c r="V190" s="140"/>
      <c r="W190" s="140"/>
      <c r="X190" s="140"/>
      <c r="Y190" s="140"/>
      <c r="Z190" s="140"/>
    </row>
    <row r="191" spans="1:26" ht="15.75" customHeight="1" x14ac:dyDescent="0.25">
      <c r="A191" s="284"/>
      <c r="B191" s="285"/>
      <c r="C191" s="140"/>
      <c r="D191" s="140"/>
      <c r="E191" s="140"/>
      <c r="F191" s="285"/>
      <c r="G191" s="140"/>
      <c r="H191" s="140"/>
      <c r="I191" s="285"/>
      <c r="J191" s="285"/>
      <c r="K191" s="281"/>
      <c r="L191" s="140"/>
      <c r="M191" s="140"/>
      <c r="N191" s="140"/>
      <c r="O191" s="281"/>
      <c r="P191" s="140"/>
      <c r="Q191" s="140"/>
      <c r="R191" s="140"/>
      <c r="S191" s="140"/>
      <c r="T191" s="140"/>
      <c r="U191" s="140"/>
      <c r="V191" s="140"/>
      <c r="W191" s="140"/>
      <c r="X191" s="140"/>
      <c r="Y191" s="140"/>
      <c r="Z191" s="140"/>
    </row>
    <row r="192" spans="1:26" ht="15.75" customHeight="1" x14ac:dyDescent="0.25">
      <c r="A192" s="284"/>
      <c r="B192" s="285"/>
      <c r="C192" s="140"/>
      <c r="D192" s="140"/>
      <c r="E192" s="140"/>
      <c r="F192" s="285"/>
      <c r="G192" s="140"/>
      <c r="H192" s="140"/>
      <c r="I192" s="285"/>
      <c r="J192" s="285"/>
      <c r="K192" s="281"/>
      <c r="L192" s="140"/>
      <c r="M192" s="140"/>
      <c r="N192" s="140"/>
      <c r="O192" s="281"/>
      <c r="P192" s="140"/>
      <c r="Q192" s="140"/>
      <c r="R192" s="140"/>
      <c r="S192" s="140"/>
      <c r="T192" s="140"/>
      <c r="U192" s="140"/>
      <c r="V192" s="140"/>
      <c r="W192" s="140"/>
      <c r="X192" s="140"/>
      <c r="Y192" s="140"/>
      <c r="Z192" s="140"/>
    </row>
    <row r="193" spans="1:26" ht="15.75" customHeight="1" x14ac:dyDescent="0.25">
      <c r="A193" s="284"/>
      <c r="B193" s="285"/>
      <c r="C193" s="140"/>
      <c r="D193" s="140"/>
      <c r="E193" s="140"/>
      <c r="F193" s="285"/>
      <c r="G193" s="140"/>
      <c r="H193" s="140"/>
      <c r="I193" s="285"/>
      <c r="J193" s="285"/>
      <c r="K193" s="281"/>
      <c r="L193" s="140"/>
      <c r="M193" s="140"/>
      <c r="N193" s="140"/>
      <c r="O193" s="281"/>
      <c r="P193" s="140"/>
      <c r="Q193" s="140"/>
      <c r="R193" s="140"/>
      <c r="S193" s="140"/>
      <c r="T193" s="140"/>
      <c r="U193" s="140"/>
      <c r="V193" s="140"/>
      <c r="W193" s="140"/>
      <c r="X193" s="140"/>
      <c r="Y193" s="140"/>
      <c r="Z193" s="140"/>
    </row>
    <row r="194" spans="1:26" ht="15.75" customHeight="1" x14ac:dyDescent="0.25">
      <c r="A194" s="284"/>
      <c r="B194" s="285"/>
      <c r="C194" s="140"/>
      <c r="D194" s="140"/>
      <c r="E194" s="140"/>
      <c r="F194" s="285"/>
      <c r="G194" s="140"/>
      <c r="H194" s="140"/>
      <c r="I194" s="285"/>
      <c r="J194" s="285"/>
      <c r="K194" s="281"/>
      <c r="L194" s="140"/>
      <c r="M194" s="140"/>
      <c r="N194" s="140"/>
      <c r="O194" s="281"/>
      <c r="P194" s="140"/>
      <c r="Q194" s="140"/>
      <c r="R194" s="140"/>
      <c r="S194" s="140"/>
      <c r="T194" s="140"/>
      <c r="U194" s="140"/>
      <c r="V194" s="140"/>
      <c r="W194" s="140"/>
      <c r="X194" s="140"/>
      <c r="Y194" s="140"/>
      <c r="Z194" s="140"/>
    </row>
    <row r="195" spans="1:26" ht="15.75" customHeight="1" x14ac:dyDescent="0.25">
      <c r="A195" s="284"/>
      <c r="B195" s="285"/>
      <c r="C195" s="140"/>
      <c r="D195" s="140"/>
      <c r="E195" s="140"/>
      <c r="F195" s="285"/>
      <c r="G195" s="140"/>
      <c r="H195" s="140"/>
      <c r="I195" s="285"/>
      <c r="J195" s="285"/>
      <c r="K195" s="281"/>
      <c r="L195" s="140"/>
      <c r="M195" s="140"/>
      <c r="N195" s="140"/>
      <c r="O195" s="281"/>
      <c r="P195" s="140"/>
      <c r="Q195" s="140"/>
      <c r="R195" s="140"/>
      <c r="S195" s="140"/>
      <c r="T195" s="140"/>
      <c r="U195" s="140"/>
      <c r="V195" s="140"/>
      <c r="W195" s="140"/>
      <c r="X195" s="140"/>
      <c r="Y195" s="140"/>
      <c r="Z195" s="140"/>
    </row>
    <row r="196" spans="1:26" ht="15.75" customHeight="1" x14ac:dyDescent="0.25">
      <c r="A196" s="284"/>
      <c r="B196" s="285"/>
      <c r="C196" s="140"/>
      <c r="D196" s="140"/>
      <c r="E196" s="140"/>
      <c r="F196" s="285"/>
      <c r="G196" s="140"/>
      <c r="H196" s="140"/>
      <c r="I196" s="285"/>
      <c r="J196" s="285"/>
      <c r="K196" s="281"/>
      <c r="L196" s="140"/>
      <c r="M196" s="140"/>
      <c r="N196" s="140"/>
      <c r="O196" s="281"/>
      <c r="P196" s="140"/>
      <c r="Q196" s="140"/>
      <c r="R196" s="140"/>
      <c r="S196" s="140"/>
      <c r="T196" s="140"/>
      <c r="U196" s="140"/>
      <c r="V196" s="140"/>
      <c r="W196" s="140"/>
      <c r="X196" s="140"/>
      <c r="Y196" s="140"/>
      <c r="Z196" s="140"/>
    </row>
    <row r="197" spans="1:26" ht="15.75" customHeight="1" x14ac:dyDescent="0.25">
      <c r="A197" s="284"/>
      <c r="B197" s="285"/>
      <c r="C197" s="140"/>
      <c r="D197" s="140"/>
      <c r="E197" s="140"/>
      <c r="F197" s="285"/>
      <c r="G197" s="140"/>
      <c r="H197" s="140"/>
      <c r="I197" s="285"/>
      <c r="J197" s="285"/>
      <c r="K197" s="281"/>
      <c r="L197" s="140"/>
      <c r="M197" s="140"/>
      <c r="N197" s="140"/>
      <c r="O197" s="281"/>
      <c r="P197" s="140"/>
      <c r="Q197" s="140"/>
      <c r="R197" s="140"/>
      <c r="S197" s="140"/>
      <c r="T197" s="140"/>
      <c r="U197" s="140"/>
      <c r="V197" s="140"/>
      <c r="W197" s="140"/>
      <c r="X197" s="140"/>
      <c r="Y197" s="140"/>
      <c r="Z197" s="140"/>
    </row>
    <row r="198" spans="1:26" ht="15.75" customHeight="1" x14ac:dyDescent="0.25">
      <c r="A198" s="284"/>
      <c r="B198" s="285"/>
      <c r="C198" s="140"/>
      <c r="D198" s="140"/>
      <c r="E198" s="140"/>
      <c r="F198" s="285"/>
      <c r="G198" s="140"/>
      <c r="H198" s="140"/>
      <c r="I198" s="285"/>
      <c r="J198" s="285"/>
      <c r="K198" s="281"/>
      <c r="L198" s="140"/>
      <c r="M198" s="140"/>
      <c r="N198" s="140"/>
      <c r="O198" s="281"/>
      <c r="P198" s="140"/>
      <c r="Q198" s="140"/>
      <c r="R198" s="140"/>
      <c r="S198" s="140"/>
      <c r="T198" s="140"/>
      <c r="U198" s="140"/>
      <c r="V198" s="140"/>
      <c r="W198" s="140"/>
      <c r="X198" s="140"/>
      <c r="Y198" s="140"/>
      <c r="Z198" s="140"/>
    </row>
    <row r="199" spans="1:26" ht="15.75" customHeight="1" x14ac:dyDescent="0.25">
      <c r="A199" s="284"/>
      <c r="B199" s="285"/>
      <c r="C199" s="140"/>
      <c r="D199" s="140"/>
      <c r="E199" s="140"/>
      <c r="F199" s="285"/>
      <c r="G199" s="140"/>
      <c r="H199" s="140"/>
      <c r="I199" s="285"/>
      <c r="J199" s="285"/>
      <c r="K199" s="281"/>
      <c r="L199" s="140"/>
      <c r="M199" s="140"/>
      <c r="N199" s="140"/>
      <c r="O199" s="281"/>
      <c r="P199" s="140"/>
      <c r="Q199" s="140"/>
      <c r="R199" s="140"/>
      <c r="S199" s="140"/>
      <c r="T199" s="140"/>
      <c r="U199" s="140"/>
      <c r="V199" s="140"/>
      <c r="W199" s="140"/>
      <c r="X199" s="140"/>
      <c r="Y199" s="140"/>
      <c r="Z199" s="140"/>
    </row>
    <row r="200" spans="1:26" ht="15.75" customHeight="1" x14ac:dyDescent="0.25">
      <c r="A200" s="284"/>
      <c r="B200" s="285"/>
      <c r="C200" s="140"/>
      <c r="D200" s="140"/>
      <c r="E200" s="140"/>
      <c r="F200" s="285"/>
      <c r="G200" s="140"/>
      <c r="H200" s="140"/>
      <c r="I200" s="285"/>
      <c r="J200" s="285"/>
      <c r="K200" s="281"/>
      <c r="L200" s="140"/>
      <c r="M200" s="140"/>
      <c r="N200" s="140"/>
      <c r="O200" s="281"/>
      <c r="P200" s="140"/>
      <c r="Q200" s="140"/>
      <c r="R200" s="140"/>
      <c r="S200" s="140"/>
      <c r="T200" s="140"/>
      <c r="U200" s="140"/>
      <c r="V200" s="140"/>
      <c r="W200" s="140"/>
      <c r="X200" s="140"/>
      <c r="Y200" s="140"/>
      <c r="Z200" s="140"/>
    </row>
    <row r="201" spans="1:26" ht="15.75" customHeight="1" x14ac:dyDescent="0.25">
      <c r="A201" s="284"/>
      <c r="B201" s="285"/>
      <c r="C201" s="140"/>
      <c r="D201" s="140"/>
      <c r="E201" s="140"/>
      <c r="F201" s="285"/>
      <c r="G201" s="140"/>
      <c r="H201" s="140"/>
      <c r="I201" s="285"/>
      <c r="J201" s="285"/>
      <c r="K201" s="281"/>
      <c r="L201" s="140"/>
      <c r="M201" s="140"/>
      <c r="N201" s="140"/>
      <c r="O201" s="281"/>
      <c r="P201" s="140"/>
      <c r="Q201" s="140"/>
      <c r="R201" s="140"/>
      <c r="S201" s="140"/>
      <c r="T201" s="140"/>
      <c r="U201" s="140"/>
      <c r="V201" s="140"/>
      <c r="W201" s="140"/>
      <c r="X201" s="140"/>
      <c r="Y201" s="140"/>
      <c r="Z201" s="140"/>
    </row>
    <row r="202" spans="1:26" ht="15.75" customHeight="1" x14ac:dyDescent="0.25">
      <c r="A202" s="284"/>
      <c r="B202" s="285"/>
      <c r="C202" s="140"/>
      <c r="D202" s="140"/>
      <c r="E202" s="140"/>
      <c r="F202" s="285"/>
      <c r="G202" s="140"/>
      <c r="H202" s="140"/>
      <c r="I202" s="285"/>
      <c r="J202" s="285"/>
      <c r="K202" s="281"/>
      <c r="L202" s="140"/>
      <c r="M202" s="140"/>
      <c r="N202" s="140"/>
      <c r="O202" s="281"/>
      <c r="P202" s="140"/>
      <c r="Q202" s="140"/>
      <c r="R202" s="140"/>
      <c r="S202" s="140"/>
      <c r="T202" s="140"/>
      <c r="U202" s="140"/>
      <c r="V202" s="140"/>
      <c r="W202" s="140"/>
      <c r="X202" s="140"/>
      <c r="Y202" s="140"/>
      <c r="Z202" s="140"/>
    </row>
    <row r="203" spans="1:26" ht="15.75" customHeight="1" x14ac:dyDescent="0.25">
      <c r="A203" s="284"/>
      <c r="B203" s="285"/>
      <c r="C203" s="140"/>
      <c r="D203" s="140"/>
      <c r="E203" s="140"/>
      <c r="F203" s="285"/>
      <c r="G203" s="140"/>
      <c r="H203" s="140"/>
      <c r="I203" s="285"/>
      <c r="J203" s="285"/>
      <c r="K203" s="281"/>
      <c r="L203" s="140"/>
      <c r="M203" s="140"/>
      <c r="N203" s="140"/>
      <c r="O203" s="281"/>
      <c r="P203" s="140"/>
      <c r="Q203" s="140"/>
      <c r="R203" s="140"/>
      <c r="S203" s="140"/>
      <c r="T203" s="140"/>
      <c r="U203" s="140"/>
      <c r="V203" s="140"/>
      <c r="W203" s="140"/>
      <c r="X203" s="140"/>
      <c r="Y203" s="140"/>
      <c r="Z203" s="140"/>
    </row>
    <row r="204" spans="1:26" ht="15.75" customHeight="1" x14ac:dyDescent="0.25">
      <c r="A204" s="284"/>
      <c r="B204" s="285"/>
      <c r="C204" s="140"/>
      <c r="D204" s="140"/>
      <c r="E204" s="140"/>
      <c r="F204" s="285"/>
      <c r="G204" s="140"/>
      <c r="H204" s="140"/>
      <c r="I204" s="285"/>
      <c r="J204" s="285"/>
      <c r="K204" s="281"/>
      <c r="L204" s="140"/>
      <c r="M204" s="140"/>
      <c r="N204" s="140"/>
      <c r="O204" s="281"/>
      <c r="P204" s="140"/>
      <c r="Q204" s="140"/>
      <c r="R204" s="140"/>
      <c r="S204" s="140"/>
      <c r="T204" s="140"/>
      <c r="U204" s="140"/>
      <c r="V204" s="140"/>
      <c r="W204" s="140"/>
      <c r="X204" s="140"/>
      <c r="Y204" s="140"/>
      <c r="Z204" s="140"/>
    </row>
    <row r="205" spans="1:26" ht="15.75" customHeight="1" x14ac:dyDescent="0.25">
      <c r="A205" s="284"/>
      <c r="B205" s="285"/>
      <c r="C205" s="140"/>
      <c r="D205" s="140"/>
      <c r="E205" s="140"/>
      <c r="F205" s="285"/>
      <c r="G205" s="140"/>
      <c r="H205" s="140"/>
      <c r="I205" s="285"/>
      <c r="J205" s="285"/>
      <c r="K205" s="281"/>
      <c r="L205" s="140"/>
      <c r="M205" s="140"/>
      <c r="N205" s="140"/>
      <c r="O205" s="281"/>
      <c r="P205" s="140"/>
      <c r="Q205" s="140"/>
      <c r="R205" s="140"/>
      <c r="S205" s="140"/>
      <c r="T205" s="140"/>
      <c r="U205" s="140"/>
      <c r="V205" s="140"/>
      <c r="W205" s="140"/>
      <c r="X205" s="140"/>
      <c r="Y205" s="140"/>
      <c r="Z205" s="140"/>
    </row>
    <row r="206" spans="1:26" ht="15.75" customHeight="1" x14ac:dyDescent="0.25">
      <c r="A206" s="284"/>
      <c r="B206" s="285"/>
      <c r="C206" s="140"/>
      <c r="D206" s="140"/>
      <c r="E206" s="140"/>
      <c r="F206" s="285"/>
      <c r="G206" s="140"/>
      <c r="H206" s="140"/>
      <c r="I206" s="285"/>
      <c r="J206" s="285"/>
      <c r="K206" s="281"/>
      <c r="L206" s="140"/>
      <c r="M206" s="140"/>
      <c r="N206" s="140"/>
      <c r="O206" s="281"/>
      <c r="P206" s="140"/>
      <c r="Q206" s="140"/>
      <c r="R206" s="140"/>
      <c r="S206" s="140"/>
      <c r="T206" s="140"/>
      <c r="U206" s="140"/>
      <c r="V206" s="140"/>
      <c r="W206" s="140"/>
      <c r="X206" s="140"/>
      <c r="Y206" s="140"/>
      <c r="Z206" s="140"/>
    </row>
    <row r="207" spans="1:26" ht="15.75" customHeight="1" x14ac:dyDescent="0.25">
      <c r="A207" s="284"/>
      <c r="B207" s="285"/>
      <c r="C207" s="140"/>
      <c r="D207" s="140"/>
      <c r="E207" s="140"/>
      <c r="F207" s="285"/>
      <c r="G207" s="140"/>
      <c r="H207" s="140"/>
      <c r="I207" s="285"/>
      <c r="J207" s="285"/>
      <c r="K207" s="281"/>
      <c r="L207" s="140"/>
      <c r="M207" s="140"/>
      <c r="N207" s="140"/>
      <c r="O207" s="281"/>
      <c r="P207" s="140"/>
      <c r="Q207" s="140"/>
      <c r="R207" s="140"/>
      <c r="S207" s="140"/>
      <c r="T207" s="140"/>
      <c r="U207" s="140"/>
      <c r="V207" s="140"/>
      <c r="W207" s="140"/>
      <c r="X207" s="140"/>
      <c r="Y207" s="140"/>
      <c r="Z207" s="140"/>
    </row>
    <row r="208" spans="1:26" ht="15.75" customHeight="1" x14ac:dyDescent="0.25">
      <c r="A208" s="284"/>
      <c r="B208" s="285"/>
      <c r="C208" s="140"/>
      <c r="D208" s="140"/>
      <c r="E208" s="140"/>
      <c r="F208" s="285"/>
      <c r="G208" s="140"/>
      <c r="H208" s="140"/>
      <c r="I208" s="285"/>
      <c r="J208" s="285"/>
      <c r="K208" s="281"/>
      <c r="L208" s="140"/>
      <c r="M208" s="140"/>
      <c r="N208" s="140"/>
      <c r="O208" s="281"/>
      <c r="P208" s="140"/>
      <c r="Q208" s="140"/>
      <c r="R208" s="140"/>
      <c r="S208" s="140"/>
      <c r="T208" s="140"/>
      <c r="U208" s="140"/>
      <c r="V208" s="140"/>
      <c r="W208" s="140"/>
      <c r="X208" s="140"/>
      <c r="Y208" s="140"/>
      <c r="Z208" s="140"/>
    </row>
    <row r="209" spans="1:26" ht="15.75" customHeight="1" x14ac:dyDescent="0.25">
      <c r="A209" s="284"/>
      <c r="B209" s="285"/>
      <c r="C209" s="140"/>
      <c r="D209" s="140"/>
      <c r="E209" s="140"/>
      <c r="F209" s="285"/>
      <c r="G209" s="140"/>
      <c r="H209" s="140"/>
      <c r="I209" s="285"/>
      <c r="J209" s="285"/>
      <c r="K209" s="281"/>
      <c r="L209" s="140"/>
      <c r="M209" s="140"/>
      <c r="N209" s="140"/>
      <c r="O209" s="281"/>
      <c r="P209" s="140"/>
      <c r="Q209" s="140"/>
      <c r="R209" s="140"/>
      <c r="S209" s="140"/>
      <c r="T209" s="140"/>
      <c r="U209" s="140"/>
      <c r="V209" s="140"/>
      <c r="W209" s="140"/>
      <c r="X209" s="140"/>
      <c r="Y209" s="140"/>
      <c r="Z209" s="140"/>
    </row>
    <row r="210" spans="1:26" ht="15.75" customHeight="1" x14ac:dyDescent="0.25">
      <c r="A210" s="284"/>
      <c r="B210" s="285"/>
      <c r="C210" s="140"/>
      <c r="D210" s="140"/>
      <c r="E210" s="140"/>
      <c r="F210" s="285"/>
      <c r="G210" s="140"/>
      <c r="H210" s="140"/>
      <c r="I210" s="285"/>
      <c r="J210" s="285"/>
      <c r="K210" s="281"/>
      <c r="L210" s="140"/>
      <c r="M210" s="140"/>
      <c r="N210" s="140"/>
      <c r="O210" s="281"/>
      <c r="P210" s="140"/>
      <c r="Q210" s="140"/>
      <c r="R210" s="140"/>
      <c r="S210" s="140"/>
      <c r="T210" s="140"/>
      <c r="U210" s="140"/>
      <c r="V210" s="140"/>
      <c r="W210" s="140"/>
      <c r="X210" s="140"/>
      <c r="Y210" s="140"/>
      <c r="Z210" s="140"/>
    </row>
    <row r="211" spans="1:26" ht="15.75" customHeight="1" x14ac:dyDescent="0.25">
      <c r="A211" s="284"/>
      <c r="B211" s="285"/>
      <c r="C211" s="140"/>
      <c r="D211" s="140"/>
      <c r="E211" s="140"/>
      <c r="F211" s="285"/>
      <c r="G211" s="140"/>
      <c r="H211" s="140"/>
      <c r="I211" s="285"/>
      <c r="J211" s="285"/>
      <c r="K211" s="281"/>
      <c r="L211" s="140"/>
      <c r="M211" s="140"/>
      <c r="N211" s="140"/>
      <c r="O211" s="281"/>
      <c r="P211" s="140"/>
      <c r="Q211" s="140"/>
      <c r="R211" s="140"/>
      <c r="S211" s="140"/>
      <c r="T211" s="140"/>
      <c r="U211" s="140"/>
      <c r="V211" s="140"/>
      <c r="W211" s="140"/>
      <c r="X211" s="140"/>
      <c r="Y211" s="140"/>
      <c r="Z211" s="140"/>
    </row>
    <row r="212" spans="1:26" ht="15.75" customHeight="1" x14ac:dyDescent="0.25">
      <c r="A212" s="284"/>
      <c r="B212" s="285"/>
      <c r="C212" s="140"/>
      <c r="D212" s="140"/>
      <c r="E212" s="140"/>
      <c r="F212" s="285"/>
      <c r="G212" s="140"/>
      <c r="H212" s="140"/>
      <c r="I212" s="285"/>
      <c r="J212" s="285"/>
      <c r="K212" s="281"/>
      <c r="L212" s="140"/>
      <c r="M212" s="140"/>
      <c r="N212" s="140"/>
      <c r="O212" s="281"/>
      <c r="P212" s="140"/>
      <c r="Q212" s="140"/>
      <c r="R212" s="140"/>
      <c r="S212" s="140"/>
      <c r="T212" s="140"/>
      <c r="U212" s="140"/>
      <c r="V212" s="140"/>
      <c r="W212" s="140"/>
      <c r="X212" s="140"/>
      <c r="Y212" s="140"/>
      <c r="Z212" s="140"/>
    </row>
    <row r="213" spans="1:26" ht="15.75" customHeight="1" x14ac:dyDescent="0.25">
      <c r="A213" s="284"/>
      <c r="B213" s="285"/>
      <c r="C213" s="140"/>
      <c r="D213" s="140"/>
      <c r="E213" s="140"/>
      <c r="F213" s="285"/>
      <c r="G213" s="140"/>
      <c r="H213" s="140"/>
      <c r="I213" s="285"/>
      <c r="J213" s="285"/>
      <c r="K213" s="281"/>
      <c r="L213" s="140"/>
      <c r="M213" s="140"/>
      <c r="N213" s="140"/>
      <c r="O213" s="281"/>
      <c r="P213" s="140"/>
      <c r="Q213" s="140"/>
      <c r="R213" s="140"/>
      <c r="S213" s="140"/>
      <c r="T213" s="140"/>
      <c r="U213" s="140"/>
      <c r="V213" s="140"/>
      <c r="W213" s="140"/>
      <c r="X213" s="140"/>
      <c r="Y213" s="140"/>
      <c r="Z213" s="140"/>
    </row>
    <row r="214" spans="1:26" ht="15.75" customHeight="1" x14ac:dyDescent="0.25">
      <c r="A214" s="284"/>
      <c r="B214" s="285"/>
      <c r="C214" s="140"/>
      <c r="D214" s="140"/>
      <c r="E214" s="140"/>
      <c r="F214" s="285"/>
      <c r="G214" s="140"/>
      <c r="H214" s="140"/>
      <c r="I214" s="285"/>
      <c r="J214" s="285"/>
      <c r="K214" s="281"/>
      <c r="L214" s="140"/>
      <c r="M214" s="140"/>
      <c r="N214" s="140"/>
      <c r="O214" s="281"/>
      <c r="P214" s="140"/>
      <c r="Q214" s="140"/>
      <c r="R214" s="140"/>
      <c r="S214" s="140"/>
      <c r="T214" s="140"/>
      <c r="U214" s="140"/>
      <c r="V214" s="140"/>
      <c r="W214" s="140"/>
      <c r="X214" s="140"/>
      <c r="Y214" s="140"/>
      <c r="Z214" s="140"/>
    </row>
    <row r="215" spans="1:26" ht="15.75" customHeight="1" x14ac:dyDescent="0.25">
      <c r="A215" s="284"/>
      <c r="B215" s="285"/>
      <c r="C215" s="140"/>
      <c r="D215" s="140"/>
      <c r="E215" s="140"/>
      <c r="F215" s="285"/>
      <c r="G215" s="140"/>
      <c r="H215" s="140"/>
      <c r="I215" s="285"/>
      <c r="J215" s="285"/>
      <c r="K215" s="281"/>
      <c r="L215" s="140"/>
      <c r="M215" s="140"/>
      <c r="N215" s="140"/>
      <c r="O215" s="281"/>
      <c r="P215" s="140"/>
      <c r="Q215" s="140"/>
      <c r="R215" s="140"/>
      <c r="S215" s="140"/>
      <c r="T215" s="140"/>
      <c r="U215" s="140"/>
      <c r="V215" s="140"/>
      <c r="W215" s="140"/>
      <c r="X215" s="140"/>
      <c r="Y215" s="140"/>
      <c r="Z215" s="140"/>
    </row>
    <row r="216" spans="1:26" ht="15.75" customHeight="1" x14ac:dyDescent="0.25">
      <c r="A216" s="284"/>
      <c r="B216" s="285"/>
      <c r="C216" s="140"/>
      <c r="D216" s="140"/>
      <c r="E216" s="140"/>
      <c r="F216" s="285"/>
      <c r="G216" s="140"/>
      <c r="H216" s="140"/>
      <c r="I216" s="285"/>
      <c r="J216" s="285"/>
      <c r="K216" s="281"/>
      <c r="L216" s="140"/>
      <c r="M216" s="140"/>
      <c r="N216" s="140"/>
      <c r="O216" s="281"/>
      <c r="P216" s="140"/>
      <c r="Q216" s="140"/>
      <c r="R216" s="140"/>
      <c r="S216" s="140"/>
      <c r="T216" s="140"/>
      <c r="U216" s="140"/>
      <c r="V216" s="140"/>
      <c r="W216" s="140"/>
      <c r="X216" s="140"/>
      <c r="Y216" s="140"/>
      <c r="Z216" s="140"/>
    </row>
    <row r="217" spans="1:26"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row>
    <row r="218" spans="1:26"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row>
    <row r="219" spans="1:26"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row>
    <row r="220" spans="1:26"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row>
    <row r="221" spans="1:26"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row>
    <row r="222" spans="1:26"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row>
    <row r="223" spans="1:26"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row>
    <row r="224" spans="1:26"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row>
    <row r="225" spans="1:26"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row>
    <row r="226" spans="1:26"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row>
    <row r="227" spans="1:26"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row>
    <row r="228" spans="1:26"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row>
    <row r="229" spans="1:26"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row>
    <row r="230" spans="1:26"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row>
    <row r="231" spans="1:26"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row>
    <row r="232" spans="1:26"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row>
    <row r="233" spans="1:26"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row>
    <row r="234" spans="1:26"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row>
    <row r="235" spans="1:26"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row>
    <row r="236" spans="1:26"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row>
    <row r="237" spans="1:26"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row>
    <row r="238" spans="1:26"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row>
    <row r="239" spans="1:26"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row>
    <row r="240" spans="1:26"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row>
    <row r="241" spans="1:26"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row>
    <row r="242" spans="1:26"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row>
    <row r="243" spans="1:26"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row>
    <row r="244" spans="1:26"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row>
    <row r="245" spans="1:26"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row>
    <row r="246" spans="1:26"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row>
    <row r="247" spans="1:26"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row>
    <row r="248" spans="1:26"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row>
    <row r="249" spans="1:26"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row>
    <row r="250" spans="1:26"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row>
    <row r="251" spans="1:26"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row>
    <row r="252" spans="1:26"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row>
    <row r="253" spans="1:26"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row>
    <row r="254" spans="1:26"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row>
    <row r="255" spans="1:26"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row>
    <row r="256" spans="1:26"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row>
    <row r="257" spans="1:26"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row>
    <row r="258" spans="1:26"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row>
    <row r="259" spans="1:26"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row>
    <row r="260" spans="1:26"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row>
    <row r="261" spans="1:26"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row>
    <row r="262" spans="1:26"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row>
    <row r="263" spans="1:26"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row>
    <row r="264" spans="1:26"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row>
    <row r="265" spans="1:26"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row>
    <row r="266" spans="1:26"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row>
    <row r="267" spans="1:26"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row>
    <row r="268" spans="1:26"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row>
    <row r="269" spans="1:26"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row>
    <row r="270" spans="1:26"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row>
    <row r="271" spans="1:26"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row>
    <row r="272" spans="1:26"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row>
    <row r="273" spans="1:26"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row>
    <row r="274" spans="1:26"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row>
    <row r="275" spans="1:26"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row>
    <row r="276" spans="1:26"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row>
    <row r="277" spans="1:26"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row>
    <row r="278" spans="1:26"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row>
    <row r="279" spans="1:26"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row>
    <row r="280" spans="1:26"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row>
    <row r="281" spans="1:26"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row>
    <row r="282" spans="1:26"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row>
    <row r="283" spans="1:26"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row>
    <row r="284" spans="1:26"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row>
    <row r="285" spans="1:26"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row>
    <row r="286" spans="1:26"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row>
    <row r="287" spans="1:26"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row>
    <row r="288" spans="1:26"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row>
    <row r="289" spans="1:26"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row>
    <row r="290" spans="1:26"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row>
    <row r="291" spans="1:26"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row>
    <row r="292" spans="1:26"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row>
    <row r="293" spans="1:26"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row>
    <row r="294" spans="1:26"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row>
    <row r="295" spans="1:26"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row>
    <row r="296" spans="1:26"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row>
    <row r="297" spans="1:26"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row>
    <row r="298" spans="1:26"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row>
    <row r="299" spans="1:26"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row>
    <row r="300" spans="1:26"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row>
    <row r="301" spans="1:26"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row>
    <row r="302" spans="1:26"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row>
    <row r="303" spans="1:26"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row>
    <row r="304" spans="1:26"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row>
    <row r="305" spans="1:26"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row>
    <row r="306" spans="1:26"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row>
    <row r="307" spans="1:26"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row>
    <row r="308" spans="1:26"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row>
    <row r="309" spans="1:26"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row>
    <row r="310" spans="1:26"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row>
    <row r="311" spans="1:26"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row>
    <row r="312" spans="1:26"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row>
    <row r="313" spans="1:26"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row>
    <row r="314" spans="1:26"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row>
    <row r="315" spans="1:26"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row>
    <row r="316" spans="1:26"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row>
    <row r="317" spans="1:26"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row>
    <row r="318" spans="1:26"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row>
    <row r="319" spans="1:26"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row>
    <row r="320" spans="1:26"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row>
    <row r="321" spans="1:26"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row>
    <row r="322" spans="1:26"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row>
    <row r="323" spans="1:26"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row>
    <row r="324" spans="1:26"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row>
    <row r="325" spans="1:26"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row>
    <row r="326" spans="1:26"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row>
    <row r="327" spans="1:26"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row>
    <row r="328" spans="1:26"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row>
    <row r="329" spans="1:26"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row>
    <row r="330" spans="1:26"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row>
    <row r="331" spans="1:26"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row>
    <row r="332" spans="1:26"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row>
    <row r="333" spans="1:26"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row>
    <row r="334" spans="1:26"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row>
    <row r="335" spans="1:26"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row>
    <row r="336" spans="1:26"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row>
    <row r="337" spans="1:26"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row>
    <row r="338" spans="1:26"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row>
    <row r="339" spans="1:26"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row>
    <row r="340" spans="1:26"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row>
    <row r="341" spans="1:26"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row>
    <row r="342" spans="1:26"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row>
    <row r="343" spans="1:26"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row>
    <row r="344" spans="1:26"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row>
    <row r="345" spans="1:26"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row>
    <row r="346" spans="1:26"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row>
    <row r="347" spans="1:26"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row>
    <row r="348" spans="1:26"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row>
    <row r="349" spans="1:26"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row>
    <row r="350" spans="1:26"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row>
    <row r="351" spans="1:26"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row>
    <row r="352" spans="1:26"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row>
    <row r="353" spans="1:26"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row>
    <row r="354" spans="1:26"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row>
    <row r="355" spans="1:26"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row>
    <row r="356" spans="1:26"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row>
    <row r="357" spans="1:26"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row>
    <row r="358" spans="1:26"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row>
    <row r="359" spans="1:26"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row>
    <row r="360" spans="1:26"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row>
    <row r="361" spans="1:26"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row>
    <row r="362" spans="1:26"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row>
    <row r="363" spans="1:26"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row>
    <row r="364" spans="1:26"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row>
    <row r="365" spans="1:26"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row>
    <row r="366" spans="1:26"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row>
    <row r="367" spans="1:26"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row>
    <row r="368" spans="1:26"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row>
    <row r="369" spans="1:26"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row>
    <row r="370" spans="1:26"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row>
    <row r="371" spans="1:26"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row>
    <row r="372" spans="1:26"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row>
    <row r="373" spans="1:26"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row>
    <row r="374" spans="1:26"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row>
    <row r="375" spans="1:26"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row>
    <row r="376" spans="1:26"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row>
    <row r="377" spans="1:26"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row>
    <row r="378" spans="1:26"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row>
    <row r="379" spans="1:26"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row>
    <row r="380" spans="1:26"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row>
    <row r="381" spans="1:26"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row>
    <row r="382" spans="1:26"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row>
    <row r="383" spans="1:26"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row>
    <row r="384" spans="1:26"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row>
    <row r="385" spans="1:26"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row>
    <row r="386" spans="1:26"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row>
    <row r="387" spans="1:26"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row>
    <row r="388" spans="1:26"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row>
    <row r="389" spans="1:26"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row>
    <row r="390" spans="1:26"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row>
    <row r="391" spans="1:26"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row>
    <row r="392" spans="1:26"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row>
    <row r="393" spans="1:26"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row>
    <row r="394" spans="1:26"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row>
    <row r="395" spans="1:26"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row>
    <row r="396" spans="1:26"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row>
    <row r="397" spans="1:26"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row>
    <row r="398" spans="1:26"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row>
    <row r="399" spans="1:26"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row>
    <row r="400" spans="1:26"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row>
    <row r="401" spans="1:26"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row>
    <row r="402" spans="1:26"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row>
    <row r="403" spans="1:26"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row>
    <row r="404" spans="1:26"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row>
    <row r="405" spans="1:26"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row>
    <row r="406" spans="1:26"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row>
    <row r="407" spans="1:26"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row>
    <row r="408" spans="1:26"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row>
    <row r="409" spans="1:26"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row>
    <row r="410" spans="1:26"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row>
    <row r="411" spans="1:26"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row>
    <row r="412" spans="1:26"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row>
    <row r="413" spans="1:26"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row>
    <row r="414" spans="1:26"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row>
    <row r="415" spans="1:26"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row>
    <row r="416" spans="1:26"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row>
    <row r="417" spans="1:26"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row>
    <row r="418" spans="1:26"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row>
    <row r="419" spans="1:26"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row>
    <row r="420" spans="1:26"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row>
    <row r="421" spans="1:26"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row>
    <row r="422" spans="1:26"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row>
    <row r="423" spans="1:26"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row>
    <row r="424" spans="1:26"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row>
    <row r="425" spans="1:26"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row>
    <row r="426" spans="1:26"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row>
    <row r="427" spans="1:26"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row>
    <row r="428" spans="1:26"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row>
    <row r="429" spans="1:26"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row>
    <row r="430" spans="1:26"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row>
    <row r="431" spans="1:26"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row>
    <row r="432" spans="1:26"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row>
    <row r="433" spans="1:26"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row>
    <row r="434" spans="1:26"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row>
    <row r="435" spans="1:26"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row>
    <row r="436" spans="1:26"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row>
    <row r="437" spans="1:26"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row>
    <row r="438" spans="1:26"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row>
    <row r="439" spans="1:26"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row>
    <row r="440" spans="1:26"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row>
    <row r="441" spans="1:26"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row>
    <row r="442" spans="1:26"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row>
    <row r="443" spans="1:26"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row>
    <row r="444" spans="1:26"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row>
    <row r="445" spans="1:26"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row>
    <row r="446" spans="1:26"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row>
    <row r="447" spans="1:26"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row>
    <row r="448" spans="1:26"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row>
    <row r="449" spans="1:26"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row>
    <row r="450" spans="1:26"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row>
    <row r="451" spans="1:26"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row>
    <row r="452" spans="1:26"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row>
    <row r="453" spans="1:26"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row>
    <row r="454" spans="1:26"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row>
    <row r="455" spans="1:26"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row>
    <row r="456" spans="1:26"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row>
    <row r="457" spans="1:26"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row>
    <row r="458" spans="1:26"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row>
    <row r="459" spans="1:26"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row>
    <row r="460" spans="1:26"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row>
    <row r="461" spans="1:26"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row>
    <row r="462" spans="1:26"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row>
    <row r="463" spans="1:26"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row>
    <row r="464" spans="1:26"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row>
    <row r="465" spans="1:26"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row>
    <row r="466" spans="1:26"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row>
    <row r="467" spans="1:26"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row>
    <row r="468" spans="1:26"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row>
    <row r="469" spans="1:26"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row>
    <row r="470" spans="1:26"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row>
    <row r="471" spans="1:26"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row>
    <row r="472" spans="1:26"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row>
    <row r="473" spans="1:26"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row>
    <row r="474" spans="1:26"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row>
    <row r="475" spans="1:26"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row>
    <row r="476" spans="1:26"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row>
    <row r="477" spans="1:26"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row>
    <row r="478" spans="1:26"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row>
    <row r="479" spans="1:26"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row>
    <row r="480" spans="1:26"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row>
    <row r="481" spans="1:26"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row>
    <row r="482" spans="1:26"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row>
    <row r="483" spans="1:26"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row>
    <row r="484" spans="1:26"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row>
    <row r="485" spans="1:26"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row>
    <row r="486" spans="1:26"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row>
    <row r="487" spans="1:26"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row>
    <row r="488" spans="1:26"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row>
    <row r="489" spans="1:26"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row>
    <row r="490" spans="1:26"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row>
    <row r="491" spans="1:26"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row>
    <row r="492" spans="1:26"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row>
    <row r="493" spans="1:26"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row>
    <row r="494" spans="1:26"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row>
    <row r="495" spans="1:26"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row>
    <row r="496" spans="1:26"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row>
    <row r="497" spans="1:26"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row>
    <row r="498" spans="1:26"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row>
    <row r="499" spans="1:26"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row>
    <row r="500" spans="1:26"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row>
    <row r="501" spans="1:26"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row>
    <row r="502" spans="1:26"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row>
    <row r="503" spans="1:26"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row>
    <row r="504" spans="1:26"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row>
    <row r="505" spans="1:26"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row>
    <row r="506" spans="1:26"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row>
    <row r="507" spans="1:26"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row>
    <row r="508" spans="1:26"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row>
    <row r="509" spans="1:26"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row>
    <row r="510" spans="1:26"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row>
    <row r="511" spans="1:26"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row>
    <row r="512" spans="1:26"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row>
    <row r="513" spans="1:26"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row>
    <row r="514" spans="1:26"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row>
    <row r="515" spans="1:26"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row>
    <row r="516" spans="1:26"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row>
    <row r="517" spans="1:26"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row>
    <row r="518" spans="1:26"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row>
    <row r="519" spans="1:26"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row>
    <row r="520" spans="1:26"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row>
    <row r="521" spans="1:26"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row>
    <row r="522" spans="1:26"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row>
    <row r="523" spans="1:26"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row>
    <row r="524" spans="1:26"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row>
    <row r="525" spans="1:26"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row>
    <row r="526" spans="1:26"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row>
    <row r="527" spans="1:26"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row>
    <row r="528" spans="1:26"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row>
    <row r="529" spans="1:26"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row>
    <row r="530" spans="1:26"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row>
    <row r="531" spans="1:26"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row>
    <row r="532" spans="1:26"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row>
    <row r="533" spans="1:26"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row>
    <row r="534" spans="1:26"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row>
    <row r="535" spans="1:26"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row>
    <row r="536" spans="1:26"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row>
    <row r="537" spans="1:26"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row>
    <row r="538" spans="1:26"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row>
    <row r="539" spans="1:26"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row>
    <row r="540" spans="1:26"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row>
    <row r="541" spans="1:26"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row>
    <row r="542" spans="1:26"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row>
    <row r="543" spans="1:26"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row>
    <row r="544" spans="1:26"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row>
    <row r="545" spans="1:26"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row>
    <row r="546" spans="1:26"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row>
    <row r="547" spans="1:26"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row>
    <row r="548" spans="1:26"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row>
    <row r="549" spans="1:26"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row>
    <row r="550" spans="1:26"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row>
    <row r="551" spans="1:26"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row>
    <row r="552" spans="1:26"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row>
    <row r="553" spans="1:26"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row>
    <row r="554" spans="1:26"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row>
    <row r="555" spans="1:26"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row>
    <row r="556" spans="1:26"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row>
    <row r="557" spans="1:26"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row>
    <row r="558" spans="1:26"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row>
    <row r="559" spans="1:26"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row>
    <row r="560" spans="1:26"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row>
    <row r="561" spans="1:26"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row>
    <row r="562" spans="1:26"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row>
    <row r="563" spans="1:26"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row>
    <row r="564" spans="1:26"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row>
    <row r="565" spans="1:26"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row>
    <row r="566" spans="1:26"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row>
    <row r="567" spans="1:26"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row>
    <row r="568" spans="1:26"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row>
    <row r="569" spans="1:26"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row>
    <row r="570" spans="1:26"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row>
    <row r="571" spans="1:26"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row>
    <row r="572" spans="1:26"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row>
    <row r="573" spans="1:26"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row>
    <row r="574" spans="1:26"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row>
    <row r="575" spans="1:26"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row>
    <row r="576" spans="1:26"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row>
    <row r="577" spans="1:26"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row>
    <row r="578" spans="1:26"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row>
    <row r="579" spans="1:26"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row>
    <row r="580" spans="1:26"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row>
    <row r="581" spans="1:26"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row>
    <row r="582" spans="1:26"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row>
    <row r="583" spans="1:26"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row>
    <row r="584" spans="1:26"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row>
    <row r="585" spans="1:26"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row>
    <row r="586" spans="1:26"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row>
    <row r="587" spans="1:26"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row>
    <row r="588" spans="1:26"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row>
    <row r="589" spans="1:26"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row>
    <row r="590" spans="1:26"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row>
    <row r="591" spans="1:26"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row>
    <row r="592" spans="1:26"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row>
    <row r="593" spans="1:26"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row>
    <row r="594" spans="1:26"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row>
    <row r="595" spans="1:26"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row>
    <row r="596" spans="1:26"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row>
    <row r="597" spans="1:26"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row>
    <row r="598" spans="1:26"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row>
    <row r="599" spans="1:26"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row>
    <row r="600" spans="1:26"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row>
    <row r="601" spans="1:26"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row>
    <row r="602" spans="1:26"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row>
    <row r="603" spans="1:26"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row>
    <row r="604" spans="1:26"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row>
    <row r="605" spans="1:26"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row>
    <row r="606" spans="1:26"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row>
    <row r="607" spans="1:26"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row>
    <row r="608" spans="1:26"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row>
    <row r="609" spans="1:26"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row>
    <row r="610" spans="1:26"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row>
    <row r="611" spans="1:26"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row>
    <row r="612" spans="1:26"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row>
    <row r="613" spans="1:26"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row>
    <row r="614" spans="1:26"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row>
    <row r="615" spans="1:26"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row>
    <row r="616" spans="1:26"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row>
    <row r="617" spans="1:26"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row>
    <row r="618" spans="1:26"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row>
    <row r="619" spans="1:26"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row>
    <row r="620" spans="1:26"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row>
    <row r="621" spans="1:26"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row>
    <row r="622" spans="1:26"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row>
    <row r="623" spans="1:26"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row>
    <row r="624" spans="1:26"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row>
    <row r="625" spans="1:26"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row>
    <row r="626" spans="1:26"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row>
    <row r="627" spans="1:26"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row>
    <row r="628" spans="1:26"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row>
    <row r="629" spans="1:26"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row>
    <row r="630" spans="1:26"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row>
    <row r="631" spans="1:26"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row>
    <row r="632" spans="1:26"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row>
    <row r="633" spans="1:26"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row>
    <row r="634" spans="1:26"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row>
    <row r="635" spans="1:26"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row>
    <row r="636" spans="1:26"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row>
    <row r="637" spans="1:26"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row>
    <row r="638" spans="1:26"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row>
    <row r="639" spans="1:26"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row>
    <row r="640" spans="1:26"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row>
    <row r="641" spans="1:26"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row>
    <row r="642" spans="1:26"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row>
    <row r="643" spans="1:26"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row>
    <row r="644" spans="1:26"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row>
    <row r="645" spans="1:26"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row>
    <row r="646" spans="1:26"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row>
    <row r="647" spans="1:26"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row>
    <row r="648" spans="1:26"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row>
    <row r="649" spans="1:26"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row>
    <row r="650" spans="1:26"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row>
    <row r="651" spans="1:26"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row>
    <row r="652" spans="1:26"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row>
    <row r="653" spans="1:26"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row>
    <row r="654" spans="1:26"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row>
    <row r="655" spans="1:26"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row>
    <row r="656" spans="1:26"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row>
    <row r="657" spans="1:26"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row>
    <row r="658" spans="1:26"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row>
    <row r="659" spans="1:26"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row>
    <row r="660" spans="1:26"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row>
    <row r="661" spans="1:26"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row>
    <row r="662" spans="1:26"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row>
    <row r="663" spans="1:26"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row>
    <row r="664" spans="1:26"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row>
    <row r="665" spans="1:26"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row>
    <row r="666" spans="1:26"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row>
    <row r="667" spans="1:26"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row>
    <row r="668" spans="1:26"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row>
    <row r="669" spans="1:26"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row>
    <row r="670" spans="1:26"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row>
    <row r="671" spans="1:26"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row>
    <row r="672" spans="1:26"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row>
    <row r="673" spans="1:26"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row>
    <row r="674" spans="1:26"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row>
    <row r="675" spans="1:26"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row>
    <row r="676" spans="1:26"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row>
    <row r="677" spans="1:26"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row>
    <row r="678" spans="1:26"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row>
    <row r="679" spans="1:26"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row>
    <row r="680" spans="1:26"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row>
    <row r="681" spans="1:26"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row>
    <row r="682" spans="1:26"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row>
    <row r="683" spans="1:26"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row>
    <row r="684" spans="1:26"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row>
    <row r="685" spans="1:26"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row>
    <row r="686" spans="1:26"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row>
    <row r="687" spans="1:26"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row>
    <row r="688" spans="1:26"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row>
    <row r="689" spans="1:26"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row>
    <row r="690" spans="1:26"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row>
    <row r="691" spans="1:26"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row>
    <row r="692" spans="1:26"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row>
    <row r="693" spans="1:26"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row>
    <row r="694" spans="1:26"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row>
    <row r="695" spans="1:26"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row>
    <row r="696" spans="1:26"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row>
    <row r="697" spans="1:26"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row>
    <row r="698" spans="1:26"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row>
    <row r="699" spans="1:26"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row>
    <row r="700" spans="1:26"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row>
    <row r="701" spans="1:26"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row>
    <row r="702" spans="1:26"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row>
    <row r="703" spans="1:26"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row>
    <row r="704" spans="1:26"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row>
    <row r="705" spans="1:26"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row>
    <row r="706" spans="1:26"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row>
    <row r="707" spans="1:26"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row>
    <row r="708" spans="1:26"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row>
    <row r="709" spans="1:26"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row>
    <row r="710" spans="1:26"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row>
    <row r="711" spans="1:26"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row>
    <row r="712" spans="1:26"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row>
    <row r="713" spans="1:26"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row>
    <row r="714" spans="1:26"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row>
    <row r="715" spans="1:26"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row>
    <row r="716" spans="1:26"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row>
    <row r="717" spans="1:26"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row>
    <row r="718" spans="1:26"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row>
    <row r="719" spans="1:26"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row>
    <row r="720" spans="1:26"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row>
    <row r="721" spans="1:26"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row>
    <row r="722" spans="1:26"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row>
    <row r="723" spans="1:26"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row>
    <row r="724" spans="1:26"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row>
    <row r="725" spans="1:26"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row>
    <row r="726" spans="1:26"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row>
    <row r="727" spans="1:26"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row>
    <row r="728" spans="1:26"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row>
    <row r="729" spans="1:26"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row>
    <row r="730" spans="1:26"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row>
    <row r="731" spans="1:26"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row>
    <row r="732" spans="1:26"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row>
    <row r="733" spans="1:26"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row>
    <row r="734" spans="1:26"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row>
    <row r="735" spans="1:26"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row>
    <row r="736" spans="1:26"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row>
    <row r="737" spans="1:26"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row>
    <row r="738" spans="1:26"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row>
    <row r="739" spans="1:26"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row>
    <row r="740" spans="1:26"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row>
    <row r="741" spans="1:26"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row>
    <row r="742" spans="1:26"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row>
    <row r="743" spans="1:26"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row>
    <row r="744" spans="1:26"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row>
    <row r="745" spans="1:26"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row>
    <row r="746" spans="1:26"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row>
    <row r="747" spans="1:26"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row>
    <row r="748" spans="1:26"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row>
    <row r="749" spans="1:26"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row>
    <row r="750" spans="1:26"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row>
    <row r="751" spans="1:26"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row>
    <row r="752" spans="1:26"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row>
    <row r="753" spans="1:26"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row>
    <row r="754" spans="1:26"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row>
    <row r="755" spans="1:26"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row>
    <row r="756" spans="1:26"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row>
    <row r="757" spans="1:26"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row>
    <row r="758" spans="1:26"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row>
    <row r="759" spans="1:26"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row>
    <row r="760" spans="1:26"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row>
    <row r="761" spans="1:26"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row>
    <row r="762" spans="1:26"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row>
    <row r="763" spans="1:26"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row>
    <row r="764" spans="1:26"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row>
    <row r="765" spans="1:26"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row>
    <row r="766" spans="1:26"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row>
    <row r="767" spans="1:26"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row>
    <row r="768" spans="1:26"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row>
    <row r="769" spans="1:26"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row>
    <row r="770" spans="1:26"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row>
    <row r="771" spans="1:26"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row>
    <row r="772" spans="1:26"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row>
    <row r="773" spans="1:26"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row>
    <row r="774" spans="1:26"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row>
    <row r="775" spans="1:26"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row>
    <row r="776" spans="1:26"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row>
    <row r="777" spans="1:26"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row>
    <row r="778" spans="1:26"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row>
    <row r="779" spans="1:26"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row>
    <row r="780" spans="1:26"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row>
    <row r="781" spans="1:26"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row>
    <row r="782" spans="1:26"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row>
    <row r="783" spans="1:26"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row>
    <row r="784" spans="1:26"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row>
    <row r="785" spans="1:26"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row>
    <row r="786" spans="1:26"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row>
    <row r="787" spans="1:26"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row>
    <row r="788" spans="1:26"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row>
    <row r="789" spans="1:26"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row>
    <row r="790" spans="1:26"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row>
    <row r="791" spans="1:26"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row>
    <row r="792" spans="1:26"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row>
    <row r="793" spans="1:26"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row>
    <row r="794" spans="1:26"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row>
    <row r="795" spans="1:26"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row>
    <row r="796" spans="1:26"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row>
    <row r="797" spans="1:26"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row>
    <row r="798" spans="1:26"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row>
    <row r="799" spans="1:26"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row>
    <row r="800" spans="1:26"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row>
    <row r="801" spans="1:26"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row>
    <row r="802" spans="1:26"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row>
    <row r="803" spans="1:26"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row>
    <row r="804" spans="1:26"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row>
    <row r="805" spans="1:26"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row>
    <row r="806" spans="1:26"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row>
    <row r="807" spans="1:26"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row>
    <row r="808" spans="1:26"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row>
    <row r="809" spans="1:26"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row>
    <row r="810" spans="1:26"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row>
    <row r="811" spans="1:26"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row>
    <row r="812" spans="1:26"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row>
    <row r="813" spans="1:26"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row>
    <row r="814" spans="1:26"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row>
    <row r="815" spans="1:26"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row>
    <row r="816" spans="1:26"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row>
    <row r="817" spans="1:26"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row>
    <row r="818" spans="1:26"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row>
    <row r="819" spans="1:26"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row>
    <row r="820" spans="1:26"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row>
    <row r="821" spans="1:26"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row>
    <row r="822" spans="1:26"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row>
    <row r="823" spans="1:26"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row>
    <row r="824" spans="1:26"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row>
    <row r="825" spans="1:26"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row>
    <row r="826" spans="1:26"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row>
    <row r="827" spans="1:26"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row>
    <row r="828" spans="1:26"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row>
    <row r="829" spans="1:26"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row>
    <row r="830" spans="1:26"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row>
    <row r="831" spans="1:26"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row>
    <row r="832" spans="1:26"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row>
    <row r="833" spans="1:26"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row>
    <row r="834" spans="1:26"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row>
    <row r="835" spans="1:26"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row>
    <row r="836" spans="1:26"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row>
    <row r="837" spans="1:26"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row>
    <row r="838" spans="1:26"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row>
    <row r="839" spans="1:26"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row>
    <row r="840" spans="1:26"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row>
    <row r="841" spans="1:26"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row>
    <row r="842" spans="1:26"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row>
    <row r="843" spans="1:26"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row>
    <row r="844" spans="1:26"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row>
    <row r="845" spans="1:26"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row>
    <row r="846" spans="1:26"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row>
    <row r="847" spans="1:26"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row>
    <row r="848" spans="1:26"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row>
    <row r="849" spans="1:26"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row>
    <row r="850" spans="1:26"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row>
    <row r="851" spans="1:26"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row>
    <row r="852" spans="1:26"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row>
    <row r="853" spans="1:26"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row>
    <row r="854" spans="1:26"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row>
    <row r="855" spans="1:26"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row>
    <row r="856" spans="1:26"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row>
    <row r="857" spans="1:26"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row>
    <row r="858" spans="1:26"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row>
    <row r="859" spans="1:26"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row>
    <row r="860" spans="1:26"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row>
    <row r="861" spans="1:26"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row>
    <row r="862" spans="1:26"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row>
    <row r="863" spans="1:26"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row>
    <row r="864" spans="1:26"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row>
    <row r="865" spans="1:26"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row>
    <row r="866" spans="1:26"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row>
    <row r="867" spans="1:26"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row>
    <row r="868" spans="1:26"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row>
    <row r="869" spans="1:26"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row>
    <row r="870" spans="1:26"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row>
    <row r="871" spans="1:26"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row>
    <row r="872" spans="1:26"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row>
    <row r="873" spans="1:26"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row>
    <row r="874" spans="1:26"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row>
    <row r="875" spans="1:26"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row>
    <row r="876" spans="1:26"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row>
    <row r="877" spans="1:26"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row>
    <row r="878" spans="1:26"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row>
    <row r="879" spans="1:26"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row>
    <row r="880" spans="1:26"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row>
    <row r="881" spans="1:26"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row>
    <row r="882" spans="1:26"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row>
    <row r="883" spans="1:26"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row>
    <row r="884" spans="1:26"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row>
    <row r="885" spans="1:26"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row>
    <row r="886" spans="1:26"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row>
    <row r="887" spans="1:26"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row>
    <row r="888" spans="1:26"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row>
    <row r="889" spans="1:26"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row>
    <row r="890" spans="1:26"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row>
    <row r="891" spans="1:26"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row>
    <row r="892" spans="1:26"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row>
    <row r="893" spans="1:26"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row>
    <row r="894" spans="1:26"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row>
    <row r="895" spans="1:26"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row>
    <row r="896" spans="1:26"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row>
    <row r="897" spans="1:26"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row>
    <row r="898" spans="1:26"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row>
    <row r="899" spans="1:26"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row>
    <row r="900" spans="1:26"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row>
    <row r="901" spans="1:26"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row>
    <row r="902" spans="1:26"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row>
    <row r="903" spans="1:26"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row>
    <row r="904" spans="1:26"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row>
    <row r="905" spans="1:26"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row>
    <row r="906" spans="1:26"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row>
    <row r="907" spans="1:26"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row>
    <row r="908" spans="1:26"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row>
    <row r="909" spans="1:26"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row>
    <row r="910" spans="1:26"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row>
    <row r="911" spans="1:26"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row>
    <row r="912" spans="1:26"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row>
    <row r="913" spans="1:26"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row>
    <row r="914" spans="1:26"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row>
    <row r="915" spans="1:26"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row>
    <row r="916" spans="1:26"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row>
    <row r="917" spans="1:26"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row>
    <row r="918" spans="1:26"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row>
    <row r="919" spans="1:26"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row>
    <row r="920" spans="1:26"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row>
    <row r="921" spans="1:26"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row>
    <row r="922" spans="1:26"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row>
    <row r="923" spans="1:26"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row>
    <row r="924" spans="1:26"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row>
    <row r="925" spans="1:26"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row>
    <row r="926" spans="1:26"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row>
    <row r="927" spans="1:26"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row>
    <row r="928" spans="1:26"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row>
    <row r="929" spans="1:26"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row>
    <row r="930" spans="1:26"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row>
    <row r="931" spans="1:26"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row>
    <row r="932" spans="1:26"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row>
    <row r="933" spans="1:26"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row>
    <row r="934" spans="1:26"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row>
    <row r="935" spans="1:26"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row>
    <row r="936" spans="1:26"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row>
    <row r="937" spans="1:26"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row>
    <row r="938" spans="1:26"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row>
    <row r="939" spans="1:26"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row>
    <row r="940" spans="1:26"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row>
    <row r="941" spans="1:26"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row>
    <row r="942" spans="1:26"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row>
    <row r="943" spans="1:26"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row>
    <row r="944" spans="1:26"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row>
    <row r="945" spans="1:26"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row>
    <row r="946" spans="1:26"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row>
    <row r="947" spans="1:26"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row>
    <row r="948" spans="1:26"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row>
    <row r="949" spans="1:26"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row>
    <row r="950" spans="1:26"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row>
    <row r="951" spans="1:26"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row>
    <row r="952" spans="1:26"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row>
    <row r="953" spans="1:26"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row>
    <row r="954" spans="1:26"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row>
    <row r="955" spans="1:26"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row>
    <row r="956" spans="1:26"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row>
    <row r="957" spans="1:26"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row>
    <row r="958" spans="1:26"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row>
    <row r="959" spans="1:26"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row>
    <row r="960" spans="1:26"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row>
    <row r="961" spans="1:26"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row>
    <row r="962" spans="1:26"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row>
    <row r="963" spans="1:26"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row>
    <row r="964" spans="1:26"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row>
    <row r="965" spans="1:26"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row>
    <row r="966" spans="1:26"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row>
    <row r="967" spans="1:26"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row>
    <row r="968" spans="1:26"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row>
    <row r="969" spans="1:26"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row>
    <row r="970" spans="1:26"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row>
    <row r="971" spans="1:26"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row>
    <row r="972" spans="1:26"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row>
    <row r="973" spans="1:26"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row>
    <row r="974" spans="1:26"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row>
    <row r="975" spans="1:26"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row>
    <row r="976" spans="1:26"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row>
    <row r="977" spans="1:26"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row>
    <row r="978" spans="1:26"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row>
    <row r="979" spans="1:26"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row>
    <row r="980" spans="1:26"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row>
    <row r="981" spans="1:26"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row>
    <row r="982" spans="1:26"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row>
    <row r="983" spans="1:26"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row>
    <row r="984" spans="1:26"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row>
    <row r="985" spans="1:26"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row>
    <row r="986" spans="1:26"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row>
    <row r="987" spans="1:26" ht="15.75" customHeight="1" x14ac:dyDescent="0.25">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row>
    <row r="988" spans="1:26" ht="15.75" customHeight="1" x14ac:dyDescent="0.25">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row>
    <row r="989" spans="1:26" ht="15.75" customHeight="1" x14ac:dyDescent="0.25">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row>
    <row r="990" spans="1:26" ht="15.75" customHeight="1" x14ac:dyDescent="0.25">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row>
    <row r="991" spans="1:26" ht="15.75" customHeight="1" x14ac:dyDescent="0.25">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row>
    <row r="992" spans="1:26" ht="15.75" customHeight="1" x14ac:dyDescent="0.25">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row>
    <row r="993" spans="1:26" ht="15.75" customHeight="1" x14ac:dyDescent="0.25">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row>
    <row r="994" spans="1:26" ht="15.75" customHeight="1" x14ac:dyDescent="0.25">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row>
    <row r="995" spans="1:26" ht="15.75" customHeight="1" x14ac:dyDescent="0.25">
      <c r="A995" s="140"/>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row>
    <row r="996" spans="1:26" ht="15.75" customHeight="1" x14ac:dyDescent="0.25">
      <c r="A996" s="140"/>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row>
  </sheetData>
  <mergeCells count="12">
    <mergeCell ref="O3:P3"/>
    <mergeCell ref="A1:D1"/>
    <mergeCell ref="A3:A4"/>
    <mergeCell ref="B3:B4"/>
    <mergeCell ref="C3:C4"/>
    <mergeCell ref="D3:D4"/>
    <mergeCell ref="E3:E4"/>
    <mergeCell ref="F3:F4"/>
    <mergeCell ref="G3:G4"/>
    <mergeCell ref="H3:H4"/>
    <mergeCell ref="I3:I4"/>
    <mergeCell ref="J3:N3"/>
  </mergeCells>
  <conditionalFormatting sqref="D3:D4">
    <cfRule type="containsText" dxfId="8" priority="1" operator="containsText" text="Chính Thức">
      <formula>NOT(ISERROR(SEARCH(("Chính Thức"),(D3))))</formula>
    </cfRule>
    <cfRule type="containsText" dxfId="7" priority="2" operator="containsText" text="Nghỉ Việc">
      <formula>NOT(ISERROR(SEARCH(("Nghỉ Việc"),(D3))))</formula>
    </cfRule>
    <cfRule type="containsText" dxfId="6" priority="3" operator="containsText" text="Học Việc">
      <formula>NOT(ISERROR(SEARCH(("Học Việc"),(D3))))</formula>
    </cfRule>
    <cfRule type="containsText" dxfId="5" priority="4" operator="containsText" text="Part Time">
      <formula>NOT(ISERROR(SEARCH(("Part Time"),(D3))))</formula>
    </cfRule>
    <cfRule type="containsText" dxfId="4" priority="5" operator="containsText" text="Thử Việc">
      <formula>NOT(ISERROR(SEARCH(("Thử Việc"),(D3))))</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AD1000"/>
  <sheetViews>
    <sheetView showGridLines="0" topLeftCell="A6" zoomScale="53" zoomScaleNormal="53" workbookViewId="0">
      <selection activeCell="I21" sqref="I21:J21"/>
    </sheetView>
  </sheetViews>
  <sheetFormatPr defaultColWidth="12.6640625" defaultRowHeight="15" customHeight="1" x14ac:dyDescent="0.25"/>
  <cols>
    <col min="1" max="1" width="2.88671875" customWidth="1"/>
    <col min="2" max="4" width="3" customWidth="1"/>
    <col min="5" max="5" width="7.33203125" customWidth="1"/>
    <col min="6" max="6" width="10.109375" customWidth="1"/>
    <col min="7" max="7" width="13.88671875" customWidth="1"/>
    <col min="8" max="8" width="18.33203125" customWidth="1"/>
    <col min="9" max="9" width="13.88671875" customWidth="1"/>
    <col min="10" max="10" width="21" customWidth="1"/>
    <col min="11" max="11" width="8.21875" customWidth="1"/>
    <col min="12" max="17" width="2.88671875" customWidth="1"/>
  </cols>
  <sheetData>
    <row r="1" spans="1:30" ht="22.5" customHeight="1" x14ac:dyDescent="0.3">
      <c r="A1" s="286"/>
      <c r="B1" s="41"/>
      <c r="C1" s="41"/>
      <c r="D1" s="41"/>
      <c r="E1" s="41"/>
      <c r="F1" s="287"/>
      <c r="G1" s="287"/>
      <c r="H1" s="287"/>
      <c r="I1" s="287"/>
      <c r="J1" s="287"/>
      <c r="K1" s="287"/>
      <c r="L1" s="287"/>
      <c r="M1" s="287"/>
      <c r="N1" s="287"/>
      <c r="O1" s="287"/>
      <c r="P1" s="287"/>
      <c r="Q1" s="287"/>
      <c r="R1" s="192"/>
      <c r="S1" s="192"/>
      <c r="T1" s="192"/>
      <c r="U1" s="192"/>
      <c r="V1" s="192"/>
      <c r="W1" s="192"/>
      <c r="X1" s="192"/>
      <c r="Y1" s="192"/>
      <c r="Z1" s="192"/>
      <c r="AA1" s="192"/>
      <c r="AB1" s="192"/>
      <c r="AC1" s="192"/>
      <c r="AD1" s="192"/>
    </row>
    <row r="2" spans="1:30" ht="15" customHeight="1" x14ac:dyDescent="0.3">
      <c r="A2" s="288"/>
      <c r="B2" s="289"/>
      <c r="C2" s="290"/>
      <c r="D2" s="290"/>
      <c r="E2" s="694" t="s">
        <v>328</v>
      </c>
      <c r="F2" s="653"/>
      <c r="G2" s="653"/>
      <c r="H2" s="653"/>
      <c r="I2" s="653"/>
      <c r="J2" s="653"/>
      <c r="K2" s="654"/>
      <c r="L2" s="291"/>
      <c r="M2" s="287"/>
      <c r="N2" s="287"/>
      <c r="O2" s="287"/>
      <c r="P2" s="287"/>
      <c r="Q2" s="287"/>
      <c r="R2" s="192"/>
      <c r="S2" s="292"/>
      <c r="T2" s="292"/>
      <c r="U2" s="292"/>
      <c r="V2" s="292"/>
      <c r="W2" s="292"/>
      <c r="X2" s="292"/>
      <c r="Y2" s="292"/>
      <c r="Z2" s="292"/>
      <c r="AA2" s="292"/>
      <c r="AB2" s="292"/>
      <c r="AC2" s="292"/>
      <c r="AD2" s="292"/>
    </row>
    <row r="3" spans="1:30" ht="22.5" customHeight="1" x14ac:dyDescent="0.3">
      <c r="A3" s="288"/>
      <c r="B3" s="293"/>
      <c r="C3" s="192"/>
      <c r="D3" s="192"/>
      <c r="E3" s="502"/>
      <c r="F3" s="502"/>
      <c r="G3" s="502"/>
      <c r="H3" s="502"/>
      <c r="I3" s="502"/>
      <c r="J3" s="502"/>
      <c r="K3" s="690"/>
      <c r="L3" s="291"/>
      <c r="M3" s="287"/>
      <c r="N3" s="287"/>
      <c r="O3" s="287"/>
      <c r="P3" s="287"/>
      <c r="Q3" s="287"/>
      <c r="R3" s="192"/>
      <c r="S3" s="192"/>
      <c r="T3" s="192"/>
      <c r="U3" s="192"/>
      <c r="V3" s="192"/>
      <c r="W3" s="192"/>
      <c r="X3" s="192"/>
      <c r="Y3" s="192"/>
      <c r="Z3" s="192"/>
      <c r="AA3" s="192"/>
      <c r="AB3" s="192"/>
      <c r="AC3" s="192"/>
      <c r="AD3" s="192"/>
    </row>
    <row r="4" spans="1:30" ht="22.5" customHeight="1" x14ac:dyDescent="0.3">
      <c r="A4" s="288"/>
      <c r="B4" s="293"/>
      <c r="C4" s="192"/>
      <c r="D4" s="192"/>
      <c r="E4" s="502"/>
      <c r="F4" s="502"/>
      <c r="G4" s="502"/>
      <c r="H4" s="502"/>
      <c r="I4" s="502"/>
      <c r="J4" s="502"/>
      <c r="K4" s="690"/>
      <c r="L4" s="291"/>
      <c r="M4" s="287"/>
      <c r="N4" s="287"/>
      <c r="O4" s="287"/>
      <c r="P4" s="287"/>
      <c r="Q4" s="287"/>
      <c r="R4" s="192"/>
      <c r="S4" s="192"/>
      <c r="T4" s="192"/>
      <c r="U4" s="192"/>
      <c r="V4" s="192"/>
      <c r="W4" s="192"/>
      <c r="X4" s="192"/>
      <c r="Y4" s="192"/>
      <c r="Z4" s="192"/>
      <c r="AA4" s="192"/>
      <c r="AB4" s="192"/>
      <c r="AC4" s="192"/>
      <c r="AD4" s="192"/>
    </row>
    <row r="5" spans="1:30" ht="15.75" customHeight="1" x14ac:dyDescent="0.3">
      <c r="A5" s="288"/>
      <c r="B5" s="294"/>
      <c r="C5" s="295"/>
      <c r="D5" s="295"/>
      <c r="E5" s="514"/>
      <c r="F5" s="514"/>
      <c r="G5" s="514"/>
      <c r="H5" s="514"/>
      <c r="I5" s="514"/>
      <c r="J5" s="514"/>
      <c r="K5" s="656"/>
      <c r="L5" s="296"/>
      <c r="M5" s="287"/>
      <c r="N5" s="287"/>
      <c r="O5" s="287"/>
      <c r="P5" s="287"/>
      <c r="Q5" s="287"/>
      <c r="R5" s="297"/>
      <c r="S5" s="297"/>
      <c r="T5" s="297"/>
      <c r="U5" s="297"/>
      <c r="V5" s="297"/>
      <c r="W5" s="297"/>
      <c r="X5" s="297"/>
      <c r="Y5" s="297"/>
      <c r="Z5" s="297"/>
      <c r="AA5" s="297"/>
      <c r="AB5" s="297"/>
      <c r="AC5" s="297"/>
      <c r="AD5" s="297"/>
    </row>
    <row r="6" spans="1:30" ht="23.25" customHeight="1" x14ac:dyDescent="0.3">
      <c r="A6" s="288"/>
      <c r="B6" s="298"/>
      <c r="C6" s="695" t="s">
        <v>386</v>
      </c>
      <c r="D6" s="696"/>
      <c r="E6" s="696"/>
      <c r="F6" s="696"/>
      <c r="G6" s="696"/>
      <c r="H6" s="696"/>
      <c r="I6" s="696"/>
      <c r="J6" s="696"/>
      <c r="K6" s="299"/>
      <c r="L6" s="300"/>
      <c r="M6" s="286"/>
      <c r="N6" s="286"/>
      <c r="O6" s="286"/>
      <c r="P6" s="286"/>
      <c r="Q6" s="286"/>
      <c r="R6" s="192"/>
      <c r="S6" s="192"/>
      <c r="T6" s="192"/>
      <c r="U6" s="192"/>
      <c r="V6" s="192"/>
      <c r="W6" s="192"/>
      <c r="X6" s="192"/>
      <c r="Y6" s="192"/>
      <c r="Z6" s="192"/>
      <c r="AA6" s="192"/>
      <c r="AB6" s="192"/>
      <c r="AC6" s="192"/>
      <c r="AD6" s="192"/>
    </row>
    <row r="7" spans="1:30" ht="15.75" customHeight="1" x14ac:dyDescent="0.3">
      <c r="A7" s="288"/>
      <c r="B7" s="301"/>
      <c r="C7" s="302"/>
      <c r="D7" s="302"/>
      <c r="E7" s="302"/>
      <c r="F7" s="303"/>
      <c r="G7" s="303"/>
      <c r="H7" s="302"/>
      <c r="I7" s="302"/>
      <c r="J7" s="304"/>
      <c r="K7" s="305"/>
      <c r="L7" s="300"/>
      <c r="M7" s="286"/>
      <c r="N7" s="286"/>
      <c r="O7" s="286"/>
      <c r="P7" s="286"/>
      <c r="Q7" s="286"/>
      <c r="R7" s="192"/>
      <c r="S7" s="192"/>
      <c r="T7" s="192"/>
      <c r="U7" s="192"/>
      <c r="V7" s="192"/>
      <c r="W7" s="192"/>
      <c r="X7" s="192"/>
      <c r="Y7" s="192"/>
      <c r="Z7" s="192"/>
      <c r="AA7" s="192"/>
      <c r="AB7" s="192"/>
      <c r="AC7" s="192"/>
      <c r="AD7" s="192"/>
    </row>
    <row r="8" spans="1:30" ht="26.25" customHeight="1" x14ac:dyDescent="0.3">
      <c r="A8" s="306"/>
      <c r="B8" s="307"/>
      <c r="C8" s="697" t="s">
        <v>277</v>
      </c>
      <c r="D8" s="508"/>
      <c r="E8" s="508"/>
      <c r="F8" s="698" t="s">
        <v>349</v>
      </c>
      <c r="G8" s="699"/>
      <c r="H8" s="700" t="s">
        <v>278</v>
      </c>
      <c r="I8" s="532"/>
      <c r="J8" s="308">
        <f>'6.Bảng lương  '!$G$4</f>
        <v>22</v>
      </c>
      <c r="K8" s="309"/>
      <c r="L8" s="310"/>
      <c r="M8" s="311"/>
      <c r="N8" s="311"/>
      <c r="O8" s="311"/>
      <c r="P8" s="311"/>
      <c r="Q8" s="311"/>
      <c r="R8" s="192"/>
      <c r="S8" s="192"/>
      <c r="T8" s="192"/>
      <c r="U8" s="192"/>
      <c r="V8" s="192"/>
      <c r="W8" s="192"/>
      <c r="X8" s="192"/>
      <c r="Y8" s="192"/>
      <c r="Z8" s="192"/>
      <c r="AA8" s="192"/>
      <c r="AB8" s="192"/>
      <c r="AC8" s="192"/>
      <c r="AD8" s="192"/>
    </row>
    <row r="9" spans="1:30" ht="30.75" customHeight="1" x14ac:dyDescent="0.3">
      <c r="A9" s="306"/>
      <c r="B9" s="307"/>
      <c r="C9" s="703" t="s">
        <v>279</v>
      </c>
      <c r="D9" s="531"/>
      <c r="E9" s="531"/>
      <c r="F9" s="701" t="str">
        <f>VLOOKUP($F$8,'6.Bảng lương  '!$B$11:$AV$48,2,0)</f>
        <v>Nguyễn Ánh Hồng</v>
      </c>
      <c r="G9" s="531"/>
      <c r="H9" s="702" t="s">
        <v>280</v>
      </c>
      <c r="I9" s="532"/>
      <c r="J9" s="312">
        <f>IF($F$12="Chính Thức",VLOOKUP($F$8,'3. BẢNG CHẤM CÔNG'!$B$11:$AU$30,38,0)+VLOOKUP($F$8,'3. BẢNG CHẤM CÔNG'!$B$11:$AU$30,39,0),"")</f>
        <v>19</v>
      </c>
      <c r="K9" s="309"/>
      <c r="L9" s="310"/>
      <c r="M9" s="311"/>
      <c r="N9" s="311"/>
      <c r="O9" s="311"/>
      <c r="P9" s="311"/>
      <c r="Q9" s="311"/>
      <c r="R9" s="192"/>
      <c r="S9" s="192"/>
      <c r="T9" s="192"/>
      <c r="U9" s="192"/>
      <c r="V9" s="192"/>
      <c r="W9" s="192"/>
      <c r="X9" s="192"/>
      <c r="Y9" s="192"/>
      <c r="Z9" s="192"/>
      <c r="AA9" s="192"/>
      <c r="AB9" s="192"/>
      <c r="AC9" s="192"/>
      <c r="AD9" s="192"/>
    </row>
    <row r="10" spans="1:30" ht="26.25" customHeight="1" x14ac:dyDescent="0.3">
      <c r="A10" s="306"/>
      <c r="B10" s="307"/>
      <c r="C10" s="703" t="s">
        <v>94</v>
      </c>
      <c r="D10" s="531"/>
      <c r="E10" s="531"/>
      <c r="F10" s="704" t="str">
        <f>VLOOKUP($F$8,'6.Bảng lương  '!$B$11:$AV$48,3,0)</f>
        <v>Giáo viên</v>
      </c>
      <c r="G10" s="531"/>
      <c r="H10" s="705" t="s">
        <v>281</v>
      </c>
      <c r="I10" s="532"/>
      <c r="J10" s="313">
        <f>IF($F$12="Thử Việc",VLOOKUP($F$8,'3. BẢNG CHẤM CÔNG'!$B$11:$AU$46,38,0)+VLOOKUP($F$8,'3. BẢNG CHẤM CÔNG'!$B$11:$AU$46,39,0),0)</f>
        <v>0</v>
      </c>
      <c r="K10" s="309"/>
      <c r="L10" s="310"/>
      <c r="M10" s="311"/>
      <c r="N10" s="311"/>
      <c r="O10" s="311"/>
      <c r="P10" s="311"/>
      <c r="Q10" s="311"/>
      <c r="R10" s="192"/>
      <c r="S10" s="192"/>
      <c r="T10" s="192"/>
      <c r="U10" s="192"/>
      <c r="V10" s="192"/>
      <c r="W10" s="192"/>
      <c r="X10" s="192"/>
      <c r="Y10" s="192"/>
      <c r="Z10" s="192"/>
      <c r="AA10" s="192"/>
      <c r="AB10" s="192"/>
      <c r="AC10" s="192"/>
      <c r="AD10" s="192"/>
    </row>
    <row r="11" spans="1:30" ht="39" customHeight="1" x14ac:dyDescent="0.3">
      <c r="A11" s="306"/>
      <c r="B11" s="307"/>
      <c r="C11" s="703" t="s">
        <v>107</v>
      </c>
      <c r="D11" s="531"/>
      <c r="E11" s="531"/>
      <c r="F11" s="701" t="str">
        <f>VLOOKUP($F$8,'6.Bảng lương  '!$B$11:$AV$48,4,0)</f>
        <v>Giáo viên mầm non</v>
      </c>
      <c r="G11" s="531"/>
      <c r="H11" s="705" t="s">
        <v>282</v>
      </c>
      <c r="I11" s="532"/>
      <c r="J11" s="313">
        <f>VLOOKUP($F$8,'3. BẢNG CHẤM CÔNG'!$B$11:$AU$46,44,0)</f>
        <v>2</v>
      </c>
      <c r="K11" s="309"/>
      <c r="L11" s="310"/>
      <c r="M11" s="311"/>
      <c r="N11" s="311"/>
      <c r="O11" s="311"/>
      <c r="P11" s="192"/>
      <c r="Q11" s="192"/>
      <c r="R11" s="192"/>
      <c r="S11" s="192"/>
      <c r="T11" s="192"/>
      <c r="U11" s="192"/>
      <c r="V11" s="192"/>
      <c r="W11" s="192"/>
      <c r="X11" s="192"/>
      <c r="Y11" s="192"/>
      <c r="Z11" s="192"/>
      <c r="AA11" s="192"/>
      <c r="AB11" s="192"/>
      <c r="AC11" s="192"/>
      <c r="AD11" s="192"/>
    </row>
    <row r="12" spans="1:30" ht="27.75" customHeight="1" x14ac:dyDescent="0.3">
      <c r="A12" s="306"/>
      <c r="B12" s="307"/>
      <c r="C12" s="703" t="s">
        <v>283</v>
      </c>
      <c r="D12" s="531"/>
      <c r="E12" s="531"/>
      <c r="F12" s="708" t="str">
        <f>VLOOKUP($F$8,'6.Bảng lương  '!$B$11:$AV$48,5,0)</f>
        <v>Chính Thức</v>
      </c>
      <c r="G12" s="531"/>
      <c r="H12" s="705" t="s">
        <v>284</v>
      </c>
      <c r="I12" s="532"/>
      <c r="J12" s="313">
        <f>VLOOKUP($F$8,'3. BẢNG CHẤM CÔNG'!$B$11:$AU$46,42,0)</f>
        <v>1</v>
      </c>
      <c r="K12" s="309"/>
      <c r="L12" s="310"/>
      <c r="M12" s="311"/>
      <c r="N12" s="311"/>
      <c r="O12" s="311"/>
      <c r="P12" s="311"/>
      <c r="Q12" s="311"/>
      <c r="R12" s="192"/>
      <c r="S12" s="192"/>
      <c r="T12" s="192"/>
      <c r="U12" s="192"/>
      <c r="V12" s="192"/>
      <c r="W12" s="192"/>
      <c r="X12" s="192"/>
      <c r="Y12" s="192"/>
      <c r="Z12" s="192"/>
      <c r="AA12" s="192"/>
      <c r="AB12" s="192"/>
      <c r="AC12" s="192"/>
      <c r="AD12" s="192"/>
    </row>
    <row r="13" spans="1:30" ht="28.5" customHeight="1" x14ac:dyDescent="0.3">
      <c r="A13" s="306"/>
      <c r="B13" s="307"/>
      <c r="C13" s="706" t="s">
        <v>285</v>
      </c>
      <c r="D13" s="679"/>
      <c r="E13" s="679"/>
      <c r="F13" s="709">
        <v>1</v>
      </c>
      <c r="G13" s="710"/>
      <c r="H13" s="705" t="s">
        <v>286</v>
      </c>
      <c r="I13" s="532"/>
      <c r="J13" s="313">
        <f>VLOOKUP($F$8,'3. BẢNG CHẤM CÔNG'!$B$11:$AU$46,45,0)</f>
        <v>0</v>
      </c>
      <c r="K13" s="309"/>
      <c r="L13" s="310"/>
      <c r="M13" s="311"/>
      <c r="N13" s="311"/>
      <c r="O13" s="311"/>
      <c r="P13" s="311"/>
      <c r="Q13" s="311"/>
      <c r="R13" s="192"/>
      <c r="S13" s="192"/>
      <c r="T13" s="192"/>
      <c r="U13" s="192"/>
      <c r="V13" s="192"/>
      <c r="W13" s="192"/>
      <c r="X13" s="192"/>
      <c r="Y13" s="192"/>
      <c r="Z13" s="192"/>
      <c r="AA13" s="192"/>
      <c r="AB13" s="192"/>
      <c r="AC13" s="192"/>
      <c r="AD13" s="192"/>
    </row>
    <row r="14" spans="1:30" ht="15.75" customHeight="1" x14ac:dyDescent="0.3">
      <c r="A14" s="288"/>
      <c r="B14" s="314"/>
      <c r="C14" s="315"/>
      <c r="D14" s="316"/>
      <c r="E14" s="316"/>
      <c r="F14" s="316"/>
      <c r="G14" s="316"/>
      <c r="H14" s="316"/>
      <c r="I14" s="316"/>
      <c r="J14" s="316"/>
      <c r="K14" s="305"/>
      <c r="L14" s="300"/>
      <c r="M14" s="286"/>
      <c r="N14" s="286"/>
      <c r="O14" s="286"/>
      <c r="P14" s="286"/>
      <c r="Q14" s="286"/>
      <c r="R14" s="192"/>
      <c r="S14" s="192"/>
      <c r="T14" s="192"/>
      <c r="U14" s="192"/>
      <c r="V14" s="192"/>
      <c r="W14" s="192"/>
      <c r="X14" s="192"/>
      <c r="Y14" s="192"/>
      <c r="Z14" s="192"/>
      <c r="AA14" s="192"/>
      <c r="AB14" s="192"/>
      <c r="AC14" s="192"/>
      <c r="AD14" s="192"/>
    </row>
    <row r="15" spans="1:30" ht="24.75" customHeight="1" x14ac:dyDescent="0.3">
      <c r="A15" s="306"/>
      <c r="B15" s="307"/>
      <c r="C15" s="711" t="s">
        <v>287</v>
      </c>
      <c r="D15" s="531"/>
      <c r="E15" s="531"/>
      <c r="F15" s="531"/>
      <c r="G15" s="531"/>
      <c r="H15" s="532"/>
      <c r="I15" s="711" t="s">
        <v>288</v>
      </c>
      <c r="J15" s="532"/>
      <c r="K15" s="309"/>
      <c r="L15" s="310"/>
      <c r="M15" s="311"/>
      <c r="N15" s="311"/>
      <c r="O15" s="311"/>
      <c r="P15" s="311"/>
      <c r="Q15" s="311"/>
      <c r="R15" s="192"/>
      <c r="S15" s="192"/>
      <c r="T15" s="192"/>
      <c r="U15" s="192"/>
      <c r="V15" s="192"/>
      <c r="W15" s="192"/>
      <c r="X15" s="192"/>
      <c r="Y15" s="192"/>
      <c r="Z15" s="192"/>
      <c r="AA15" s="192"/>
      <c r="AB15" s="192"/>
      <c r="AC15" s="192"/>
      <c r="AD15" s="192"/>
    </row>
    <row r="16" spans="1:30" ht="22.5" customHeight="1" x14ac:dyDescent="0.3">
      <c r="A16" s="288"/>
      <c r="B16" s="314"/>
      <c r="C16" s="707" t="s">
        <v>289</v>
      </c>
      <c r="D16" s="665"/>
      <c r="E16" s="712" t="s">
        <v>290</v>
      </c>
      <c r="F16" s="514"/>
      <c r="G16" s="514"/>
      <c r="H16" s="514"/>
      <c r="I16" s="687">
        <f>VLOOKUP($F$8,'6.Bảng lương  '!$B$11:$AV$48,11,0)</f>
        <v>5500000</v>
      </c>
      <c r="J16" s="532"/>
      <c r="K16" s="317"/>
      <c r="L16" s="300"/>
      <c r="M16" s="286"/>
      <c r="N16" s="286"/>
      <c r="O16" s="286"/>
      <c r="P16" s="286"/>
      <c r="Q16" s="286"/>
      <c r="R16" s="192"/>
      <c r="S16" s="192"/>
      <c r="T16" s="192"/>
      <c r="U16" s="192"/>
      <c r="V16" s="192"/>
      <c r="W16" s="192"/>
      <c r="X16" s="192"/>
      <c r="Y16" s="192"/>
      <c r="Z16" s="192"/>
      <c r="AA16" s="192"/>
      <c r="AB16" s="192"/>
      <c r="AC16" s="192"/>
      <c r="AD16" s="192"/>
    </row>
    <row r="17" spans="1:30" ht="22.5" customHeight="1" x14ac:dyDescent="0.3">
      <c r="A17" s="288"/>
      <c r="B17" s="314"/>
      <c r="C17" s="562"/>
      <c r="D17" s="665"/>
      <c r="E17" s="713" t="s">
        <v>291</v>
      </c>
      <c r="F17" s="531"/>
      <c r="G17" s="531"/>
      <c r="H17" s="531"/>
      <c r="I17" s="687">
        <f>VLOOKUP($F$8,'6.Bảng lương  '!$B$11:$AV$48,29,0)</f>
        <v>1620000</v>
      </c>
      <c r="J17" s="532"/>
      <c r="K17" s="317"/>
      <c r="L17" s="318"/>
      <c r="M17" s="286"/>
      <c r="N17" s="286"/>
      <c r="O17" s="286"/>
      <c r="P17" s="286"/>
      <c r="Q17" s="286"/>
      <c r="R17" s="192"/>
      <c r="S17" s="192"/>
      <c r="T17" s="192"/>
      <c r="U17" s="192"/>
      <c r="V17" s="192"/>
      <c r="W17" s="192"/>
      <c r="X17" s="192"/>
      <c r="Y17" s="192"/>
      <c r="Z17" s="192"/>
      <c r="AA17" s="192"/>
      <c r="AB17" s="192"/>
      <c r="AC17" s="192"/>
      <c r="AD17" s="192"/>
    </row>
    <row r="18" spans="1:30" ht="22.5" customHeight="1" x14ac:dyDescent="0.3">
      <c r="A18" s="288"/>
      <c r="B18" s="314"/>
      <c r="C18" s="562"/>
      <c r="D18" s="665"/>
      <c r="E18" s="713" t="s">
        <v>292</v>
      </c>
      <c r="F18" s="531"/>
      <c r="G18" s="531"/>
      <c r="H18" s="532"/>
      <c r="I18" s="687">
        <f>VLOOKUP($F$8,'6.Bảng lương  '!$B$11:$AV$48,14,0)</f>
        <v>1880000</v>
      </c>
      <c r="J18" s="532"/>
      <c r="K18" s="317"/>
      <c r="L18" s="318"/>
      <c r="M18" s="286"/>
      <c r="N18" s="286"/>
      <c r="O18" s="286"/>
      <c r="P18" s="286"/>
      <c r="Q18" s="286"/>
      <c r="R18" s="192"/>
      <c r="S18" s="192"/>
      <c r="T18" s="192"/>
      <c r="U18" s="192"/>
      <c r="V18" s="192"/>
      <c r="W18" s="192"/>
      <c r="X18" s="192"/>
      <c r="Y18" s="192"/>
      <c r="Z18" s="192"/>
      <c r="AA18" s="192"/>
      <c r="AB18" s="192"/>
      <c r="AC18" s="192"/>
      <c r="AD18" s="192"/>
    </row>
    <row r="19" spans="1:30" ht="22.5" customHeight="1" x14ac:dyDescent="0.3">
      <c r="A19" s="288"/>
      <c r="B19" s="314"/>
      <c r="C19" s="562"/>
      <c r="D19" s="665"/>
      <c r="E19" s="714" t="s">
        <v>293</v>
      </c>
      <c r="F19" s="531"/>
      <c r="G19" s="531"/>
      <c r="H19" s="531"/>
      <c r="I19" s="687">
        <f>VLOOKUP($F$8,'6.Bảng lương  '!$B$11:$AV$48,18,0)</f>
        <v>0</v>
      </c>
      <c r="J19" s="532"/>
      <c r="K19" s="317"/>
      <c r="L19" s="318"/>
      <c r="M19" s="286"/>
      <c r="N19" s="286"/>
      <c r="O19" s="286"/>
      <c r="P19" s="286"/>
      <c r="Q19" s="286"/>
      <c r="R19" s="192"/>
      <c r="S19" s="192"/>
      <c r="T19" s="192"/>
      <c r="U19" s="192"/>
      <c r="V19" s="192"/>
      <c r="W19" s="192"/>
      <c r="X19" s="192"/>
      <c r="Y19" s="192"/>
      <c r="Z19" s="192"/>
      <c r="AA19" s="192"/>
      <c r="AB19" s="192"/>
      <c r="AC19" s="192"/>
      <c r="AD19" s="192"/>
    </row>
    <row r="20" spans="1:30" ht="22.5" customHeight="1" x14ac:dyDescent="0.3">
      <c r="A20" s="288"/>
      <c r="B20" s="314"/>
      <c r="C20" s="562"/>
      <c r="D20" s="665"/>
      <c r="E20" s="714" t="s">
        <v>294</v>
      </c>
      <c r="F20" s="531"/>
      <c r="G20" s="531"/>
      <c r="H20" s="531"/>
      <c r="I20" s="687">
        <f>VLOOKUP($F$8,'6.Bảng lương  '!$B$11:$AV$48,19,0)</f>
        <v>0</v>
      </c>
      <c r="J20" s="532"/>
      <c r="K20" s="317"/>
      <c r="L20" s="318"/>
      <c r="M20" s="286"/>
      <c r="N20" s="286"/>
      <c r="O20" s="286"/>
      <c r="P20" s="286"/>
      <c r="Q20" s="286"/>
      <c r="R20" s="192"/>
      <c r="S20" s="192"/>
      <c r="T20" s="192"/>
      <c r="U20" s="192"/>
      <c r="V20" s="192"/>
      <c r="W20" s="192"/>
      <c r="X20" s="192"/>
      <c r="Y20" s="192"/>
      <c r="Z20" s="192"/>
      <c r="AA20" s="192"/>
      <c r="AB20" s="192"/>
      <c r="AC20" s="192"/>
      <c r="AD20" s="192"/>
    </row>
    <row r="21" spans="1:30" ht="22.5" customHeight="1" x14ac:dyDescent="0.3">
      <c r="A21" s="288"/>
      <c r="B21" s="314"/>
      <c r="C21" s="562"/>
      <c r="D21" s="665"/>
      <c r="E21" s="714" t="s">
        <v>191</v>
      </c>
      <c r="F21" s="531"/>
      <c r="G21" s="531"/>
      <c r="H21" s="531"/>
      <c r="I21" s="687">
        <f>VLOOKUP($F$8,'6.Bảng lương  '!$B$11:$AV$48,20,0)</f>
        <v>0</v>
      </c>
      <c r="J21" s="532"/>
      <c r="K21" s="317"/>
      <c r="L21" s="318"/>
      <c r="M21" s="286"/>
      <c r="N21" s="286"/>
      <c r="O21" s="286"/>
      <c r="P21" s="286"/>
      <c r="Q21" s="286"/>
      <c r="R21" s="192"/>
      <c r="S21" s="192"/>
      <c r="T21" s="192"/>
      <c r="U21" s="192"/>
      <c r="V21" s="192"/>
      <c r="W21" s="192"/>
      <c r="X21" s="192"/>
      <c r="Y21" s="192"/>
      <c r="Z21" s="192"/>
      <c r="AA21" s="192"/>
      <c r="AB21" s="192"/>
      <c r="AC21" s="192"/>
      <c r="AD21" s="192"/>
    </row>
    <row r="22" spans="1:30" ht="22.5" customHeight="1" x14ac:dyDescent="0.3">
      <c r="A22" s="288"/>
      <c r="B22" s="314"/>
      <c r="C22" s="549"/>
      <c r="D22" s="550"/>
      <c r="E22" s="715" t="s">
        <v>295</v>
      </c>
      <c r="F22" s="679"/>
      <c r="G22" s="679"/>
      <c r="H22" s="679"/>
      <c r="I22" s="687">
        <v>0</v>
      </c>
      <c r="J22" s="532"/>
      <c r="K22" s="317"/>
      <c r="L22" s="318"/>
      <c r="M22" s="286"/>
      <c r="N22" s="286"/>
      <c r="O22" s="286"/>
      <c r="P22" s="286"/>
      <c r="Q22" s="286"/>
      <c r="R22" s="192"/>
      <c r="S22" s="192"/>
      <c r="T22" s="192"/>
      <c r="U22" s="192"/>
      <c r="V22" s="192"/>
      <c r="W22" s="192"/>
      <c r="X22" s="192"/>
      <c r="Y22" s="192"/>
      <c r="Z22" s="192"/>
      <c r="AA22" s="192"/>
      <c r="AB22" s="192"/>
      <c r="AC22" s="192"/>
      <c r="AD22" s="192"/>
    </row>
    <row r="23" spans="1:30" ht="22.5" customHeight="1" x14ac:dyDescent="0.3">
      <c r="A23" s="288"/>
      <c r="B23" s="314"/>
      <c r="C23" s="319"/>
      <c r="D23" s="319"/>
      <c r="E23" s="320"/>
      <c r="F23" s="320"/>
      <c r="G23" s="320"/>
      <c r="H23" s="320"/>
      <c r="I23" s="321"/>
      <c r="J23" s="321"/>
      <c r="K23" s="317"/>
      <c r="L23" s="318"/>
      <c r="M23" s="286"/>
      <c r="N23" s="286"/>
      <c r="O23" s="286"/>
      <c r="P23" s="286"/>
      <c r="Q23" s="286"/>
      <c r="R23" s="192"/>
      <c r="S23" s="192"/>
      <c r="T23" s="192"/>
      <c r="U23" s="192"/>
      <c r="V23" s="192"/>
      <c r="W23" s="192"/>
      <c r="X23" s="192"/>
      <c r="Y23" s="192"/>
      <c r="Z23" s="192"/>
      <c r="AA23" s="192"/>
      <c r="AB23" s="192"/>
      <c r="AC23" s="192"/>
      <c r="AD23" s="192"/>
    </row>
    <row r="24" spans="1:30" ht="22.5" customHeight="1" x14ac:dyDescent="0.3">
      <c r="A24" s="288"/>
      <c r="B24" s="314"/>
      <c r="C24" s="688" t="s">
        <v>296</v>
      </c>
      <c r="D24" s="689"/>
      <c r="E24" s="716" t="s">
        <v>297</v>
      </c>
      <c r="F24" s="508"/>
      <c r="G24" s="508"/>
      <c r="H24" s="508"/>
      <c r="I24" s="687">
        <f>VLOOKUP($F$8,'6.Bảng lương  '!$B$11:$AV$48,39,0)</f>
        <v>577500</v>
      </c>
      <c r="J24" s="532"/>
      <c r="K24" s="317"/>
      <c r="L24" s="318"/>
      <c r="M24" s="286"/>
      <c r="N24" s="286"/>
      <c r="O24" s="286"/>
      <c r="P24" s="286"/>
      <c r="Q24" s="286"/>
      <c r="R24" s="192"/>
      <c r="S24" s="192"/>
      <c r="T24" s="192"/>
      <c r="U24" s="192"/>
      <c r="V24" s="192"/>
      <c r="W24" s="192"/>
      <c r="X24" s="192"/>
      <c r="Y24" s="192"/>
      <c r="Z24" s="192"/>
      <c r="AA24" s="192"/>
      <c r="AB24" s="192"/>
      <c r="AC24" s="192"/>
      <c r="AD24" s="192"/>
    </row>
    <row r="25" spans="1:30" ht="22.5" customHeight="1" x14ac:dyDescent="0.3">
      <c r="A25" s="288"/>
      <c r="B25" s="314"/>
      <c r="C25" s="562"/>
      <c r="D25" s="690"/>
      <c r="E25" s="693" t="s">
        <v>298</v>
      </c>
      <c r="F25" s="531"/>
      <c r="G25" s="531"/>
      <c r="H25" s="531"/>
      <c r="I25" s="687">
        <f>VLOOKUP($F$8,'6.Bảng lương  '!$B$11:$AV$48,45,0)</f>
        <v>0</v>
      </c>
      <c r="J25" s="532"/>
      <c r="K25" s="317"/>
      <c r="L25" s="318"/>
      <c r="M25" s="286"/>
      <c r="N25" s="286"/>
      <c r="O25" s="286"/>
      <c r="P25" s="286"/>
      <c r="Q25" s="286"/>
      <c r="R25" s="192"/>
      <c r="S25" s="192"/>
      <c r="T25" s="192"/>
      <c r="U25" s="192"/>
      <c r="V25" s="192"/>
      <c r="W25" s="192"/>
      <c r="X25" s="192"/>
      <c r="Y25" s="192"/>
      <c r="Z25" s="192"/>
      <c r="AA25" s="192"/>
      <c r="AB25" s="192"/>
      <c r="AC25" s="192"/>
      <c r="AD25" s="192"/>
    </row>
    <row r="26" spans="1:30" ht="22.5" customHeight="1" x14ac:dyDescent="0.3">
      <c r="A26" s="288"/>
      <c r="B26" s="314"/>
      <c r="C26" s="562"/>
      <c r="D26" s="690"/>
      <c r="E26" s="693" t="s">
        <v>299</v>
      </c>
      <c r="F26" s="531"/>
      <c r="G26" s="531"/>
      <c r="H26" s="531"/>
      <c r="I26" s="683">
        <v>0</v>
      </c>
      <c r="J26" s="532"/>
      <c r="K26" s="317"/>
      <c r="L26" s="318"/>
      <c r="M26" s="286"/>
      <c r="N26" s="286"/>
      <c r="O26" s="286"/>
      <c r="P26" s="286"/>
      <c r="Q26" s="286"/>
      <c r="R26" s="192"/>
      <c r="S26" s="192"/>
      <c r="T26" s="192"/>
      <c r="U26" s="192"/>
      <c r="V26" s="192"/>
      <c r="W26" s="192"/>
      <c r="X26" s="192"/>
      <c r="Y26" s="192"/>
      <c r="Z26" s="192"/>
      <c r="AA26" s="192"/>
      <c r="AB26" s="192"/>
      <c r="AC26" s="192"/>
      <c r="AD26" s="192"/>
    </row>
    <row r="27" spans="1:30" ht="30.75" customHeight="1" x14ac:dyDescent="0.3">
      <c r="A27" s="288"/>
      <c r="B27" s="314"/>
      <c r="C27" s="562"/>
      <c r="D27" s="690"/>
      <c r="E27" s="681" t="s">
        <v>180</v>
      </c>
      <c r="F27" s="531"/>
      <c r="G27" s="531"/>
      <c r="H27" s="531"/>
      <c r="I27" s="687">
        <f>VLOOKUP($F$8,'6.Bảng lương  '!$B$11:$AV$48,46,0)</f>
        <v>0</v>
      </c>
      <c r="J27" s="532"/>
      <c r="K27" s="317"/>
      <c r="L27" s="318"/>
      <c r="M27" s="286"/>
      <c r="N27" s="286"/>
      <c r="O27" s="286"/>
      <c r="P27" s="286"/>
      <c r="Q27" s="286"/>
      <c r="R27" s="192"/>
      <c r="S27" s="192"/>
      <c r="T27" s="192"/>
      <c r="U27" s="192"/>
      <c r="V27" s="192"/>
      <c r="W27" s="192"/>
      <c r="X27" s="192"/>
      <c r="Y27" s="192"/>
      <c r="Z27" s="192"/>
      <c r="AA27" s="192"/>
      <c r="AB27" s="192"/>
      <c r="AC27" s="192"/>
      <c r="AD27" s="192"/>
    </row>
    <row r="28" spans="1:30" ht="22.5" customHeight="1" x14ac:dyDescent="0.3">
      <c r="A28" s="288"/>
      <c r="B28" s="314"/>
      <c r="C28" s="549"/>
      <c r="D28" s="691"/>
      <c r="E28" s="682" t="s">
        <v>300</v>
      </c>
      <c r="F28" s="679"/>
      <c r="G28" s="679"/>
      <c r="H28" s="679"/>
      <c r="I28" s="683">
        <v>0</v>
      </c>
      <c r="J28" s="532"/>
      <c r="K28" s="317"/>
      <c r="L28" s="318"/>
      <c r="M28" s="286"/>
      <c r="N28" s="286"/>
      <c r="O28" s="286"/>
      <c r="P28" s="286"/>
      <c r="Q28" s="286"/>
      <c r="R28" s="192"/>
      <c r="S28" s="192"/>
      <c r="T28" s="192"/>
      <c r="U28" s="192"/>
      <c r="V28" s="192"/>
      <c r="W28" s="192"/>
      <c r="X28" s="192"/>
      <c r="Y28" s="192"/>
      <c r="Z28" s="192"/>
      <c r="AA28" s="192"/>
      <c r="AB28" s="192"/>
      <c r="AC28" s="192"/>
      <c r="AD28" s="192"/>
    </row>
    <row r="29" spans="1:30" ht="15.75" customHeight="1" x14ac:dyDescent="0.3">
      <c r="A29" s="288"/>
      <c r="B29" s="322"/>
      <c r="C29" s="323"/>
      <c r="D29" s="323"/>
      <c r="E29" s="323"/>
      <c r="F29" s="323"/>
      <c r="G29" s="323"/>
      <c r="H29" s="324"/>
      <c r="I29" s="325"/>
      <c r="J29" s="325"/>
      <c r="K29" s="317"/>
      <c r="L29" s="318"/>
      <c r="M29" s="286"/>
      <c r="N29" s="286"/>
      <c r="O29" s="286"/>
      <c r="P29" s="286"/>
      <c r="Q29" s="286"/>
      <c r="R29" s="192"/>
      <c r="S29" s="192"/>
      <c r="T29" s="192"/>
      <c r="U29" s="192"/>
      <c r="V29" s="192"/>
      <c r="W29" s="192"/>
      <c r="X29" s="192"/>
      <c r="Y29" s="192"/>
      <c r="Z29" s="192"/>
      <c r="AA29" s="192"/>
      <c r="AB29" s="192"/>
      <c r="AC29" s="192"/>
      <c r="AD29" s="192"/>
    </row>
    <row r="30" spans="1:30" ht="49.5" customHeight="1" x14ac:dyDescent="0.3">
      <c r="A30" s="288"/>
      <c r="B30" s="314"/>
      <c r="C30" s="692" t="s">
        <v>301</v>
      </c>
      <c r="D30" s="561"/>
      <c r="E30" s="684" t="s">
        <v>302</v>
      </c>
      <c r="F30" s="653"/>
      <c r="G30" s="653"/>
      <c r="H30" s="654"/>
      <c r="I30" s="685">
        <f>ROUND(SUM(I16:J22)-I24-I25-I26+I27-I28,-2)</f>
        <v>8422500</v>
      </c>
      <c r="J30" s="532"/>
      <c r="K30" s="317"/>
      <c r="L30" s="318"/>
      <c r="M30" s="286"/>
      <c r="N30" s="286"/>
      <c r="O30" s="286"/>
      <c r="P30" s="286"/>
      <c r="Q30" s="286"/>
      <c r="R30" s="192"/>
      <c r="S30" s="192"/>
      <c r="T30" s="192"/>
      <c r="U30" s="192"/>
      <c r="V30" s="192"/>
      <c r="W30" s="192"/>
      <c r="X30" s="192"/>
      <c r="Y30" s="192"/>
      <c r="Z30" s="192"/>
      <c r="AA30" s="192"/>
      <c r="AB30" s="192"/>
      <c r="AC30" s="192"/>
      <c r="AD30" s="192"/>
    </row>
    <row r="31" spans="1:30" ht="22.5" customHeight="1" x14ac:dyDescent="0.3">
      <c r="A31" s="306"/>
      <c r="B31" s="307"/>
      <c r="C31" s="686" t="s">
        <v>303</v>
      </c>
      <c r="D31" s="508"/>
      <c r="E31" s="508"/>
      <c r="F31" s="508"/>
      <c r="G31" s="508"/>
      <c r="H31" s="508"/>
      <c r="I31" s="687">
        <f>VLOOKUP($F$8,'6.Bảng lương  '!$B$11:$AV$48,35,0)</f>
        <v>1182500</v>
      </c>
      <c r="J31" s="532"/>
      <c r="K31" s="309"/>
      <c r="L31" s="326"/>
      <c r="M31" s="311"/>
      <c r="N31" s="311"/>
      <c r="O31" s="311"/>
      <c r="P31" s="311"/>
      <c r="Q31" s="311"/>
      <c r="R31" s="192"/>
      <c r="S31" s="192"/>
      <c r="T31" s="192"/>
      <c r="U31" s="192"/>
      <c r="V31" s="192"/>
      <c r="W31" s="192"/>
      <c r="X31" s="192"/>
      <c r="Y31" s="192"/>
      <c r="Z31" s="192"/>
      <c r="AA31" s="192"/>
      <c r="AB31" s="192"/>
      <c r="AC31" s="192"/>
      <c r="AD31" s="192"/>
    </row>
    <row r="32" spans="1:30" ht="27.75" customHeight="1" x14ac:dyDescent="0.3">
      <c r="A32" s="306"/>
      <c r="B32" s="307"/>
      <c r="C32" s="678" t="s">
        <v>304</v>
      </c>
      <c r="D32" s="679"/>
      <c r="E32" s="679"/>
      <c r="F32" s="679"/>
      <c r="G32" s="679"/>
      <c r="H32" s="679"/>
      <c r="I32" s="680">
        <f>I30+I31</f>
        <v>9605000</v>
      </c>
      <c r="J32" s="532"/>
      <c r="K32" s="309"/>
      <c r="L32" s="326"/>
      <c r="M32" s="311"/>
      <c r="N32" s="311"/>
      <c r="O32" s="311"/>
      <c r="P32" s="311"/>
      <c r="Q32" s="311"/>
      <c r="R32" s="192"/>
      <c r="S32" s="192"/>
      <c r="T32" s="192"/>
      <c r="U32" s="192"/>
      <c r="V32" s="192"/>
      <c r="W32" s="192"/>
      <c r="X32" s="192"/>
      <c r="Y32" s="192"/>
      <c r="Z32" s="192"/>
      <c r="AA32" s="192"/>
      <c r="AB32" s="192"/>
      <c r="AC32" s="192"/>
      <c r="AD32" s="192"/>
    </row>
    <row r="33" spans="1:30" ht="15.75" customHeight="1" x14ac:dyDescent="0.3">
      <c r="A33" s="288"/>
      <c r="B33" s="327"/>
      <c r="C33" s="328"/>
      <c r="D33" s="328"/>
      <c r="E33" s="328"/>
      <c r="F33" s="328"/>
      <c r="G33" s="328"/>
      <c r="H33" s="328"/>
      <c r="I33" s="328"/>
      <c r="J33" s="328"/>
      <c r="K33" s="329"/>
      <c r="L33" s="318"/>
      <c r="M33" s="286"/>
      <c r="N33" s="286"/>
      <c r="O33" s="286"/>
      <c r="P33" s="286"/>
      <c r="Q33" s="286"/>
      <c r="R33" s="192"/>
      <c r="S33" s="192"/>
      <c r="T33" s="192"/>
      <c r="U33" s="192"/>
      <c r="V33" s="192"/>
      <c r="W33" s="192"/>
      <c r="X33" s="192"/>
      <c r="Y33" s="192"/>
      <c r="Z33" s="192"/>
      <c r="AA33" s="192"/>
      <c r="AB33" s="192"/>
      <c r="AC33" s="192"/>
      <c r="AD33" s="192"/>
    </row>
    <row r="34" spans="1:30" ht="15.75" customHeight="1" x14ac:dyDescent="0.3">
      <c r="A34" s="330"/>
      <c r="B34" s="331"/>
      <c r="C34" s="331"/>
      <c r="D34" s="331"/>
      <c r="E34" s="331"/>
      <c r="F34" s="331"/>
      <c r="G34" s="331"/>
      <c r="H34" s="331"/>
      <c r="I34" s="331"/>
      <c r="J34" s="331"/>
      <c r="K34" s="331"/>
      <c r="L34" s="330"/>
      <c r="M34" s="286"/>
      <c r="N34" s="286"/>
      <c r="O34" s="286"/>
      <c r="P34" s="286"/>
      <c r="Q34" s="286"/>
      <c r="R34" s="192"/>
      <c r="S34" s="192"/>
      <c r="T34" s="192"/>
      <c r="U34" s="192"/>
      <c r="V34" s="192"/>
      <c r="W34" s="192"/>
      <c r="X34" s="192"/>
      <c r="Y34" s="192"/>
      <c r="Z34" s="192"/>
      <c r="AA34" s="192"/>
      <c r="AB34" s="192"/>
      <c r="AC34" s="192"/>
      <c r="AD34" s="192"/>
    </row>
    <row r="35" spans="1:30" ht="15.75" customHeight="1" x14ac:dyDescent="0.3">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D35" s="192"/>
    </row>
    <row r="36" spans="1:30" ht="15.75" customHeight="1" x14ac:dyDescent="0.3">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c r="AA36" s="192"/>
      <c r="AB36" s="192"/>
      <c r="AC36" s="192"/>
      <c r="AD36" s="192"/>
    </row>
    <row r="37" spans="1:30" ht="15.75" customHeight="1" x14ac:dyDescent="0.3">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c r="AA37" s="192"/>
      <c r="AB37" s="192"/>
      <c r="AC37" s="192"/>
      <c r="AD37" s="192"/>
    </row>
    <row r="38" spans="1:30" ht="15.75" customHeight="1" x14ac:dyDescent="0.3">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row>
    <row r="39" spans="1:30" ht="15.75" customHeight="1" x14ac:dyDescent="0.3">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c r="AA39" s="192"/>
      <c r="AB39" s="192"/>
      <c r="AC39" s="192"/>
      <c r="AD39" s="192"/>
    </row>
    <row r="40" spans="1:30" ht="15.75" customHeight="1" x14ac:dyDescent="0.3">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c r="AA40" s="192"/>
      <c r="AB40" s="192"/>
      <c r="AC40" s="192"/>
      <c r="AD40" s="192"/>
    </row>
    <row r="41" spans="1:30" ht="15.75" customHeight="1" x14ac:dyDescent="0.3">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row>
    <row r="42" spans="1:30" ht="15.75" customHeight="1" x14ac:dyDescent="0.3">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c r="AA42" s="192"/>
      <c r="AB42" s="192"/>
      <c r="AC42" s="192"/>
      <c r="AD42" s="192"/>
    </row>
    <row r="43" spans="1:30" ht="15.75" customHeight="1" x14ac:dyDescent="0.3">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c r="AB43" s="192"/>
      <c r="AC43" s="192"/>
      <c r="AD43" s="192"/>
    </row>
    <row r="44" spans="1:30" ht="15.75" customHeight="1" x14ac:dyDescent="0.3">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row>
    <row r="45" spans="1:30" ht="15.75" customHeight="1" x14ac:dyDescent="0.3">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row>
    <row r="46" spans="1:30" ht="15.75" customHeight="1" x14ac:dyDescent="0.3">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c r="AA46" s="192"/>
      <c r="AB46" s="192"/>
      <c r="AC46" s="192"/>
      <c r="AD46" s="192"/>
    </row>
    <row r="47" spans="1:30" ht="15.75" customHeight="1" x14ac:dyDescent="0.3">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row>
    <row r="48" spans="1:30" ht="15.75" customHeight="1" x14ac:dyDescent="0.3">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row>
    <row r="49" spans="1:30" ht="15.75" customHeight="1" x14ac:dyDescent="0.3">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c r="AB49" s="192"/>
      <c r="AC49" s="192"/>
      <c r="AD49" s="192"/>
    </row>
    <row r="50" spans="1:30" ht="15.75" customHeight="1" x14ac:dyDescent="0.3">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row>
    <row r="51" spans="1:30" ht="15.75" customHeight="1" x14ac:dyDescent="0.3">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row>
    <row r="52" spans="1:30" ht="15.75" customHeight="1" x14ac:dyDescent="0.3">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row>
    <row r="53" spans="1:30" ht="15.75" customHeight="1" x14ac:dyDescent="0.3">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row>
    <row r="54" spans="1:30" ht="15.75" customHeight="1" x14ac:dyDescent="0.3">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row>
    <row r="55" spans="1:30" ht="15.75" customHeight="1" x14ac:dyDescent="0.3">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row>
    <row r="56" spans="1:30" ht="15.75" customHeight="1" x14ac:dyDescent="0.3">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row>
    <row r="57" spans="1:30" ht="15.75" customHeight="1" x14ac:dyDescent="0.3">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row>
    <row r="58" spans="1:30" ht="15.75" customHeight="1" x14ac:dyDescent="0.3">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row>
    <row r="59" spans="1:30" ht="15.75" customHeight="1" x14ac:dyDescent="0.3">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row>
    <row r="60" spans="1:30" ht="15.75" customHeight="1" x14ac:dyDescent="0.3">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c r="AB60" s="192"/>
      <c r="AC60" s="192"/>
      <c r="AD60" s="192"/>
    </row>
    <row r="61" spans="1:30" ht="15.75" customHeight="1" x14ac:dyDescent="0.3">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row>
    <row r="62" spans="1:30" ht="15.75" customHeight="1" x14ac:dyDescent="0.3">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row>
    <row r="63" spans="1:30" ht="15.75" customHeight="1" x14ac:dyDescent="0.3">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row>
    <row r="64" spans="1:30" ht="15.75" customHeight="1" x14ac:dyDescent="0.3">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row>
    <row r="65" spans="1:30" ht="15.75" customHeight="1" x14ac:dyDescent="0.3">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row>
    <row r="66" spans="1:30" ht="15.75" customHeight="1" x14ac:dyDescent="0.3">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row>
    <row r="67" spans="1:30" ht="15.75" customHeight="1" x14ac:dyDescent="0.3">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row>
    <row r="68" spans="1:30" ht="15.75" customHeight="1" x14ac:dyDescent="0.3">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row>
    <row r="69" spans="1:30" ht="15.75" customHeight="1" x14ac:dyDescent="0.3">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row>
    <row r="70" spans="1:30" ht="15.75" customHeight="1" x14ac:dyDescent="0.3">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row>
    <row r="71" spans="1:30" ht="15.75" customHeight="1" x14ac:dyDescent="0.3">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row>
    <row r="72" spans="1:30" ht="15.75" customHeight="1" x14ac:dyDescent="0.3">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row>
    <row r="73" spans="1:30" ht="15.75" customHeight="1" x14ac:dyDescent="0.3">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row>
    <row r="74" spans="1:30" ht="15.75" customHeight="1" x14ac:dyDescent="0.3">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row>
    <row r="75" spans="1:30" ht="15.75" customHeight="1" x14ac:dyDescent="0.3">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row>
    <row r="76" spans="1:30" ht="15.75" customHeight="1" x14ac:dyDescent="0.3">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row>
    <row r="77" spans="1:30" ht="15.75" customHeight="1" x14ac:dyDescent="0.3">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row>
    <row r="78" spans="1:30" ht="15.75" customHeight="1" x14ac:dyDescent="0.3">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row>
    <row r="79" spans="1:30" ht="15.75" customHeight="1" x14ac:dyDescent="0.3">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row>
    <row r="80" spans="1:30" ht="15.75" customHeight="1" x14ac:dyDescent="0.3">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row>
    <row r="81" spans="1:30" ht="15.75" customHeight="1" x14ac:dyDescent="0.3">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row>
    <row r="82" spans="1:30" ht="15.75" customHeight="1" x14ac:dyDescent="0.3">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row>
    <row r="83" spans="1:30" ht="15.75" customHeight="1" x14ac:dyDescent="0.3">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row>
    <row r="84" spans="1:30" ht="15.75" customHeight="1" x14ac:dyDescent="0.3">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row>
    <row r="85" spans="1:30" ht="15.75" customHeight="1" x14ac:dyDescent="0.3">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row>
    <row r="86" spans="1:30" ht="15.75" customHeight="1" x14ac:dyDescent="0.3">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row>
    <row r="87" spans="1:30" ht="15.75" customHeight="1" x14ac:dyDescent="0.3">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row>
    <row r="88" spans="1:30" ht="15.75" customHeight="1" x14ac:dyDescent="0.3">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row>
    <row r="89" spans="1:30" ht="15.75" customHeight="1" x14ac:dyDescent="0.3">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row>
    <row r="90" spans="1:30" ht="15.75" customHeight="1" x14ac:dyDescent="0.3">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row>
    <row r="91" spans="1:30" ht="15.75" customHeight="1" x14ac:dyDescent="0.3">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row>
    <row r="92" spans="1:30" ht="15.75" customHeight="1" x14ac:dyDescent="0.3">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row>
    <row r="93" spans="1:30" ht="15.75" customHeight="1" x14ac:dyDescent="0.3">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row>
    <row r="94" spans="1:30" ht="15.75" customHeight="1" x14ac:dyDescent="0.3">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row>
    <row r="95" spans="1:30" ht="15.75" customHeight="1" x14ac:dyDescent="0.3">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row>
    <row r="96" spans="1:30" ht="15.75" customHeight="1" x14ac:dyDescent="0.3">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row>
    <row r="97" spans="1:30" ht="15.75" customHeight="1" x14ac:dyDescent="0.3">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row>
    <row r="98" spans="1:30" ht="15.75" customHeight="1" x14ac:dyDescent="0.3">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row>
    <row r="99" spans="1:30" ht="15.75" customHeight="1" x14ac:dyDescent="0.3">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row>
    <row r="100" spans="1:30" ht="15.75" customHeight="1" x14ac:dyDescent="0.3">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row>
    <row r="101" spans="1:30" ht="15.75" customHeight="1" x14ac:dyDescent="0.3">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row>
    <row r="102" spans="1:30" ht="15.75" customHeight="1" x14ac:dyDescent="0.3">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row>
    <row r="103" spans="1:30" ht="15.75" customHeight="1" x14ac:dyDescent="0.3">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row>
    <row r="104" spans="1:30" ht="15.75" customHeight="1" x14ac:dyDescent="0.3">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row>
    <row r="105" spans="1:30" ht="15.75" customHeight="1" x14ac:dyDescent="0.3">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row>
    <row r="106" spans="1:30" ht="15.75" customHeight="1" x14ac:dyDescent="0.3">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row>
    <row r="107" spans="1:30" ht="15.75" customHeight="1" x14ac:dyDescent="0.3">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row>
    <row r="108" spans="1:30" ht="15.75" customHeight="1" x14ac:dyDescent="0.3">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row>
    <row r="109" spans="1:30" ht="15.75" customHeight="1" x14ac:dyDescent="0.3">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row>
    <row r="110" spans="1:30" ht="15.75" customHeight="1" x14ac:dyDescent="0.3">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row>
    <row r="111" spans="1:30" ht="15.75" customHeight="1" x14ac:dyDescent="0.3">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row>
    <row r="112" spans="1:30" ht="15.75" customHeight="1" x14ac:dyDescent="0.3">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row>
    <row r="113" spans="1:30" ht="15.75" customHeight="1" x14ac:dyDescent="0.3">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row>
    <row r="114" spans="1:30" ht="15.75" customHeight="1" x14ac:dyDescent="0.3">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row>
    <row r="115" spans="1:30" ht="15.75" customHeight="1" x14ac:dyDescent="0.3">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row>
    <row r="116" spans="1:30" ht="15.75" customHeight="1" x14ac:dyDescent="0.3">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row>
    <row r="117" spans="1:30" ht="15.75" customHeight="1" x14ac:dyDescent="0.3">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row>
    <row r="118" spans="1:30" ht="15.75" customHeight="1" x14ac:dyDescent="0.3">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row>
    <row r="119" spans="1:30" ht="15.75" customHeight="1" x14ac:dyDescent="0.3">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row>
    <row r="120" spans="1:30" ht="15.75" customHeight="1" x14ac:dyDescent="0.3">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row>
    <row r="121" spans="1:30" ht="15.75" customHeight="1" x14ac:dyDescent="0.3">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row>
    <row r="122" spans="1:30" ht="15.75" customHeight="1" x14ac:dyDescent="0.3">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row>
    <row r="123" spans="1:30" ht="15.75" customHeight="1" x14ac:dyDescent="0.3">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row>
    <row r="124" spans="1:30" ht="15.75" customHeight="1" x14ac:dyDescent="0.3">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row>
    <row r="125" spans="1:30" ht="15.75" customHeight="1" x14ac:dyDescent="0.3">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row>
    <row r="126" spans="1:30" ht="15.75" customHeight="1" x14ac:dyDescent="0.3">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row>
    <row r="127" spans="1:30" ht="15.75" customHeight="1" x14ac:dyDescent="0.3">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row>
    <row r="128" spans="1:30" ht="15.75" customHeight="1" x14ac:dyDescent="0.3">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row>
    <row r="129" spans="1:30" ht="15.75" customHeight="1" x14ac:dyDescent="0.3">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row>
    <row r="130" spans="1:30" ht="15.75" customHeight="1" x14ac:dyDescent="0.3">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row>
    <row r="131" spans="1:30" ht="15.75" customHeight="1" x14ac:dyDescent="0.3">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row>
    <row r="132" spans="1:30" ht="15.75" customHeight="1" x14ac:dyDescent="0.3">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row>
    <row r="133" spans="1:30" ht="15.75" customHeight="1" x14ac:dyDescent="0.3">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row>
    <row r="134" spans="1:30" ht="15.75" customHeight="1" x14ac:dyDescent="0.3">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row>
    <row r="135" spans="1:30" ht="15.75" customHeight="1" x14ac:dyDescent="0.3">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row>
    <row r="136" spans="1:30" ht="15.75" customHeight="1" x14ac:dyDescent="0.3">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row>
    <row r="137" spans="1:30" ht="15.75" customHeight="1" x14ac:dyDescent="0.3">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row>
    <row r="138" spans="1:30" ht="15.75" customHeight="1" x14ac:dyDescent="0.3">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row>
    <row r="139" spans="1:30" ht="15.75" customHeight="1" x14ac:dyDescent="0.3">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row>
    <row r="140" spans="1:30" ht="15.75" customHeight="1" x14ac:dyDescent="0.3">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row>
    <row r="141" spans="1:30" ht="15.75" customHeight="1" x14ac:dyDescent="0.3">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row>
    <row r="142" spans="1:30" ht="15.75" customHeight="1" x14ac:dyDescent="0.3">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row>
    <row r="143" spans="1:30" ht="15.75" customHeight="1" x14ac:dyDescent="0.3">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row>
    <row r="144" spans="1:30" ht="15.75" customHeight="1" x14ac:dyDescent="0.3">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row>
    <row r="145" spans="1:30" ht="15.75" customHeight="1" x14ac:dyDescent="0.3">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row>
    <row r="146" spans="1:30" ht="15.75" customHeight="1" x14ac:dyDescent="0.3">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row>
    <row r="147" spans="1:30" ht="15.75" customHeight="1" x14ac:dyDescent="0.3">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row>
    <row r="148" spans="1:30" ht="15.75" customHeight="1" x14ac:dyDescent="0.3">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row>
    <row r="149" spans="1:30" ht="15.75" customHeight="1" x14ac:dyDescent="0.3">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row>
    <row r="150" spans="1:30" ht="15.75" customHeight="1" x14ac:dyDescent="0.3">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row>
    <row r="151" spans="1:30" ht="15.75" customHeight="1" x14ac:dyDescent="0.3">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row>
    <row r="152" spans="1:30" ht="15.75" customHeight="1" x14ac:dyDescent="0.3">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row>
    <row r="153" spans="1:30" ht="15.75" customHeight="1" x14ac:dyDescent="0.3">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row>
    <row r="154" spans="1:30" ht="15.75" customHeight="1" x14ac:dyDescent="0.3">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row>
    <row r="155" spans="1:30" ht="15.75" customHeight="1" x14ac:dyDescent="0.3">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row>
    <row r="156" spans="1:30" ht="15.75" customHeight="1" x14ac:dyDescent="0.3">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row>
    <row r="157" spans="1:30" ht="15.75" customHeight="1" x14ac:dyDescent="0.3">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row>
    <row r="158" spans="1:30" ht="15.75" customHeight="1" x14ac:dyDescent="0.3">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row>
    <row r="159" spans="1:30" ht="15.75" customHeight="1" x14ac:dyDescent="0.3">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row>
    <row r="160" spans="1:30" ht="15.75" customHeight="1" x14ac:dyDescent="0.3">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row>
    <row r="161" spans="1:30" ht="15.75" customHeight="1" x14ac:dyDescent="0.3">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row>
    <row r="162" spans="1:30" ht="15.75" customHeight="1" x14ac:dyDescent="0.3">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row>
    <row r="163" spans="1:30" ht="15.75" customHeight="1" x14ac:dyDescent="0.3">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row>
    <row r="164" spans="1:30" ht="15.75" customHeight="1" x14ac:dyDescent="0.3">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row>
    <row r="165" spans="1:30" ht="15.75" customHeight="1" x14ac:dyDescent="0.3">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row>
    <row r="166" spans="1:30" ht="15.75" customHeight="1" x14ac:dyDescent="0.3">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row>
    <row r="167" spans="1:30" ht="15.75" customHeight="1" x14ac:dyDescent="0.3">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row>
    <row r="168" spans="1:30" ht="15.75" customHeight="1" x14ac:dyDescent="0.3">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row>
    <row r="169" spans="1:30" ht="15.75" customHeight="1" x14ac:dyDescent="0.3">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row>
    <row r="170" spans="1:30" ht="15.75" customHeight="1" x14ac:dyDescent="0.3">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row>
    <row r="171" spans="1:30" ht="15.75" customHeight="1" x14ac:dyDescent="0.3">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row>
    <row r="172" spans="1:30" ht="15.75" customHeight="1" x14ac:dyDescent="0.3">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row>
    <row r="173" spans="1:30" ht="15.75" customHeight="1" x14ac:dyDescent="0.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row>
    <row r="174" spans="1:30" ht="15.75" customHeight="1" x14ac:dyDescent="0.3">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row>
    <row r="175" spans="1:30" ht="15.75" customHeight="1" x14ac:dyDescent="0.3">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row>
    <row r="176" spans="1:30" ht="15.75" customHeight="1" x14ac:dyDescent="0.3">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row>
    <row r="177" spans="1:30" ht="15.75" customHeight="1" x14ac:dyDescent="0.3">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row>
    <row r="178" spans="1:30" ht="15.75" customHeight="1" x14ac:dyDescent="0.3">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row>
    <row r="179" spans="1:30" ht="15.75" customHeight="1" x14ac:dyDescent="0.3">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row>
    <row r="180" spans="1:30" ht="15.75" customHeight="1" x14ac:dyDescent="0.3">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row>
    <row r="181" spans="1:30" ht="15.75" customHeight="1" x14ac:dyDescent="0.3">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row>
    <row r="182" spans="1:30" ht="15.75" customHeight="1" x14ac:dyDescent="0.3">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row>
    <row r="183" spans="1:30" ht="15.75" customHeight="1" x14ac:dyDescent="0.3">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row>
    <row r="184" spans="1:30" ht="15.75" customHeight="1" x14ac:dyDescent="0.3">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row>
    <row r="185" spans="1:30" ht="15.75" customHeight="1" x14ac:dyDescent="0.3">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row>
    <row r="186" spans="1:30" ht="15.75" customHeight="1" x14ac:dyDescent="0.3">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row>
    <row r="187" spans="1:30" ht="15.75" customHeight="1" x14ac:dyDescent="0.3">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row>
    <row r="188" spans="1:30" ht="15.75" customHeight="1" x14ac:dyDescent="0.3">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row>
    <row r="189" spans="1:30" ht="15.75" customHeight="1" x14ac:dyDescent="0.3">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row>
    <row r="190" spans="1:30" ht="15.75" customHeight="1" x14ac:dyDescent="0.3">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row>
    <row r="191" spans="1:30" ht="15.75" customHeight="1" x14ac:dyDescent="0.3">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row>
    <row r="192" spans="1:30" ht="15.75" customHeight="1" x14ac:dyDescent="0.3">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row>
    <row r="193" spans="1:30" ht="15.75" customHeight="1" x14ac:dyDescent="0.3">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row>
    <row r="194" spans="1:30" ht="15.75" customHeight="1" x14ac:dyDescent="0.3">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row>
    <row r="195" spans="1:30" ht="15.75" customHeight="1" x14ac:dyDescent="0.3">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row>
    <row r="196" spans="1:30" ht="15.75" customHeight="1" x14ac:dyDescent="0.3">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row>
    <row r="197" spans="1:30" ht="15.75" customHeight="1" x14ac:dyDescent="0.3">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row>
    <row r="198" spans="1:30" ht="15.75" customHeight="1" x14ac:dyDescent="0.3">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row>
    <row r="199" spans="1:30" ht="15.75" customHeight="1" x14ac:dyDescent="0.3">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row>
    <row r="200" spans="1:30" ht="15.75" customHeight="1" x14ac:dyDescent="0.3">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row>
    <row r="201" spans="1:30" ht="15.75" customHeight="1" x14ac:dyDescent="0.3">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row>
    <row r="202" spans="1:30" ht="15.75" customHeight="1" x14ac:dyDescent="0.3">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row>
    <row r="203" spans="1:30" ht="15.75" customHeight="1" x14ac:dyDescent="0.3">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row>
    <row r="204" spans="1:30" ht="15.75" customHeight="1" x14ac:dyDescent="0.3">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row>
    <row r="205" spans="1:30" ht="15.75" customHeight="1" x14ac:dyDescent="0.3">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row>
    <row r="206" spans="1:30" ht="15.75" customHeight="1" x14ac:dyDescent="0.3">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row>
    <row r="207" spans="1:30" ht="15.75" customHeight="1" x14ac:dyDescent="0.3">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row>
    <row r="208" spans="1:30" ht="15.75" customHeight="1" x14ac:dyDescent="0.3">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row>
    <row r="209" spans="1:30" ht="15.75" customHeight="1" x14ac:dyDescent="0.3">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row>
    <row r="210" spans="1:30" ht="15.75" customHeight="1" x14ac:dyDescent="0.3">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row>
    <row r="211" spans="1:30" ht="15.75" customHeight="1" x14ac:dyDescent="0.3">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row>
    <row r="212" spans="1:30" ht="15.75" customHeight="1" x14ac:dyDescent="0.3">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row>
    <row r="213" spans="1:30" ht="15.75" customHeight="1" x14ac:dyDescent="0.3">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row>
    <row r="214" spans="1:30" ht="15.75" customHeight="1" x14ac:dyDescent="0.3">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row>
    <row r="215" spans="1:30" ht="15.75" customHeight="1" x14ac:dyDescent="0.3">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row>
    <row r="216" spans="1:30" ht="15.75" customHeight="1" x14ac:dyDescent="0.3">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row>
    <row r="217" spans="1:30" ht="15.75" customHeight="1" x14ac:dyDescent="0.3">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row>
    <row r="218" spans="1:30" ht="15.75" customHeight="1" x14ac:dyDescent="0.3">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row>
    <row r="219" spans="1:30" ht="15.75" customHeight="1" x14ac:dyDescent="0.3">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row>
    <row r="220" spans="1:30" ht="15.75" customHeight="1" x14ac:dyDescent="0.3">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row>
    <row r="221" spans="1:30" ht="15.75" customHeight="1" x14ac:dyDescent="0.3">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row>
    <row r="222" spans="1:30" ht="15.75" customHeight="1" x14ac:dyDescent="0.3">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row>
    <row r="223" spans="1:30" ht="15.75" customHeight="1" x14ac:dyDescent="0.3">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row>
    <row r="224" spans="1:30" ht="15.75" customHeight="1" x14ac:dyDescent="0.3">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row>
    <row r="225" spans="1:30" ht="15.75" customHeight="1" x14ac:dyDescent="0.3">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row>
    <row r="226" spans="1:30" ht="15.75" customHeight="1" x14ac:dyDescent="0.3">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row>
    <row r="227" spans="1:30" ht="15.75" customHeight="1" x14ac:dyDescent="0.3">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row>
    <row r="228" spans="1:30" ht="15.75" customHeight="1" x14ac:dyDescent="0.3">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row>
    <row r="229" spans="1:30" ht="15.75" customHeight="1" x14ac:dyDescent="0.3">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row>
    <row r="230" spans="1:30" ht="15.75" customHeight="1" x14ac:dyDescent="0.3">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row>
    <row r="231" spans="1:30" ht="15.75" customHeight="1" x14ac:dyDescent="0.3">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row>
    <row r="232" spans="1:30" ht="15.75" customHeight="1" x14ac:dyDescent="0.3">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row>
    <row r="233" spans="1:30" ht="15.75" customHeight="1" x14ac:dyDescent="0.3">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row>
    <row r="234" spans="1:30" ht="15.75" customHeight="1" x14ac:dyDescent="0.3">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row>
    <row r="235" spans="1:30" ht="15.75" customHeight="1" x14ac:dyDescent="0.3">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row>
    <row r="236" spans="1:30" ht="15.75" customHeight="1" x14ac:dyDescent="0.3">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row>
    <row r="237" spans="1:30" ht="15.75" customHeight="1" x14ac:dyDescent="0.3">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row>
    <row r="238" spans="1:30" ht="15.75" customHeight="1" x14ac:dyDescent="0.3">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row>
    <row r="239" spans="1:30" ht="15.75" customHeight="1" x14ac:dyDescent="0.3">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row>
    <row r="240" spans="1:30" ht="15.75" customHeight="1" x14ac:dyDescent="0.3">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row>
    <row r="241" spans="1:30" ht="15.75" customHeight="1" x14ac:dyDescent="0.3">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row>
    <row r="242" spans="1:30" ht="15.75" customHeight="1" x14ac:dyDescent="0.3">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row>
    <row r="243" spans="1:30" ht="15.75" customHeight="1" x14ac:dyDescent="0.3">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row>
    <row r="244" spans="1:30" ht="15.75" customHeight="1" x14ac:dyDescent="0.3">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row>
    <row r="245" spans="1:30" ht="15.75" customHeight="1" x14ac:dyDescent="0.3">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row>
    <row r="246" spans="1:30" ht="15.75" customHeight="1" x14ac:dyDescent="0.3">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row>
    <row r="247" spans="1:30" ht="15.75" customHeight="1" x14ac:dyDescent="0.3">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row>
    <row r="248" spans="1:30" ht="15.75" customHeight="1" x14ac:dyDescent="0.3">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row>
    <row r="249" spans="1:30" ht="15.75" customHeight="1" x14ac:dyDescent="0.3">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row>
    <row r="250" spans="1:30" ht="15.75" customHeight="1" x14ac:dyDescent="0.3">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row>
    <row r="251" spans="1:30" ht="15.75" customHeight="1" x14ac:dyDescent="0.3">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row>
    <row r="252" spans="1:30" ht="15.75" customHeight="1" x14ac:dyDescent="0.3">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row>
    <row r="253" spans="1:30" ht="15.75" customHeight="1" x14ac:dyDescent="0.3">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row>
    <row r="254" spans="1:30" ht="15.75" customHeight="1" x14ac:dyDescent="0.3">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row>
    <row r="255" spans="1:30" ht="15.75" customHeight="1" x14ac:dyDescent="0.3">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row>
    <row r="256" spans="1:30" ht="15.75" customHeight="1" x14ac:dyDescent="0.3">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row>
    <row r="257" spans="1:30" ht="15.75" customHeight="1" x14ac:dyDescent="0.3">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row>
    <row r="258" spans="1:30" ht="15.75" customHeight="1" x14ac:dyDescent="0.3">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row>
    <row r="259" spans="1:30" ht="15.75" customHeight="1" x14ac:dyDescent="0.3">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row>
    <row r="260" spans="1:30" ht="15.75" customHeight="1" x14ac:dyDescent="0.3">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row>
    <row r="261" spans="1:30" ht="15.75" customHeight="1" x14ac:dyDescent="0.3">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row>
    <row r="262" spans="1:30" ht="15.75" customHeight="1" x14ac:dyDescent="0.3">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row>
    <row r="263" spans="1:30" ht="15.75" customHeight="1" x14ac:dyDescent="0.3">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row>
    <row r="264" spans="1:30" ht="15.75" customHeight="1" x14ac:dyDescent="0.3">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row>
    <row r="265" spans="1:30" ht="15.75" customHeight="1" x14ac:dyDescent="0.3">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row>
    <row r="266" spans="1:30" ht="15.75" customHeight="1" x14ac:dyDescent="0.3">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row>
    <row r="267" spans="1:30" ht="15.75" customHeight="1" x14ac:dyDescent="0.3">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row>
    <row r="268" spans="1:30" ht="15.75" customHeight="1" x14ac:dyDescent="0.3">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row>
    <row r="269" spans="1:30" ht="15.75" customHeight="1" x14ac:dyDescent="0.3">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row>
    <row r="270" spans="1:30" ht="15.75" customHeight="1" x14ac:dyDescent="0.3">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row>
    <row r="271" spans="1:30" ht="15.75" customHeight="1" x14ac:dyDescent="0.3">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row>
    <row r="272" spans="1:30" ht="15.75" customHeight="1" x14ac:dyDescent="0.3">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row>
    <row r="273" spans="1:30" ht="15.75" customHeight="1" x14ac:dyDescent="0.3">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row>
    <row r="274" spans="1:30" ht="15.75" customHeight="1" x14ac:dyDescent="0.3">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row>
    <row r="275" spans="1:30" ht="15.75" customHeight="1" x14ac:dyDescent="0.3">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row>
    <row r="276" spans="1:30" ht="15.75" customHeight="1" x14ac:dyDescent="0.3">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row>
    <row r="277" spans="1:30" ht="15.75" customHeight="1" x14ac:dyDescent="0.3">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row>
    <row r="278" spans="1:30" ht="15.75" customHeight="1" x14ac:dyDescent="0.3">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row>
    <row r="279" spans="1:30" ht="15.75" customHeight="1" x14ac:dyDescent="0.3">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row>
    <row r="280" spans="1:30" ht="15.75" customHeight="1" x14ac:dyDescent="0.3">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row>
    <row r="281" spans="1:30" ht="15.75" customHeight="1" x14ac:dyDescent="0.3">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row>
    <row r="282" spans="1:30" ht="15.75" customHeight="1" x14ac:dyDescent="0.3">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row>
    <row r="283" spans="1:30" ht="15.75" customHeight="1" x14ac:dyDescent="0.3">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row>
    <row r="284" spans="1:30" ht="15.75" customHeight="1" x14ac:dyDescent="0.3">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row>
    <row r="285" spans="1:30" ht="15.75" customHeight="1" x14ac:dyDescent="0.3">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row>
    <row r="286" spans="1:30" ht="15.75" customHeight="1" x14ac:dyDescent="0.3">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row>
    <row r="287" spans="1:30" ht="15.75" customHeight="1" x14ac:dyDescent="0.3">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row>
    <row r="288" spans="1:30" ht="15.75" customHeight="1" x14ac:dyDescent="0.3">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row>
    <row r="289" spans="1:30" ht="15.75" customHeight="1" x14ac:dyDescent="0.3">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row>
    <row r="290" spans="1:30" ht="15.75" customHeight="1" x14ac:dyDescent="0.3">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row>
    <row r="291" spans="1:30" ht="15.75" customHeight="1" x14ac:dyDescent="0.3">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row>
    <row r="292" spans="1:30" ht="15.75" customHeight="1" x14ac:dyDescent="0.3">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row>
    <row r="293" spans="1:30" ht="15.75" customHeight="1" x14ac:dyDescent="0.3">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row>
    <row r="294" spans="1:30" ht="15.75" customHeight="1" x14ac:dyDescent="0.3">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row>
    <row r="295" spans="1:30" ht="15.75" customHeight="1" x14ac:dyDescent="0.3">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row>
    <row r="296" spans="1:30" ht="15.75" customHeight="1" x14ac:dyDescent="0.3">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row>
    <row r="297" spans="1:30" ht="15.75" customHeight="1" x14ac:dyDescent="0.3">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row>
    <row r="298" spans="1:30" ht="15.75" customHeight="1" x14ac:dyDescent="0.3">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row>
    <row r="299" spans="1:30" ht="15.75" customHeight="1" x14ac:dyDescent="0.3">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row>
    <row r="300" spans="1:30" ht="15.75" customHeight="1" x14ac:dyDescent="0.3">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row>
    <row r="301" spans="1:30" ht="15.75" customHeight="1" x14ac:dyDescent="0.3">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row>
    <row r="302" spans="1:30" ht="15.75" customHeight="1" x14ac:dyDescent="0.3">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row>
    <row r="303" spans="1:30" ht="15.75" customHeight="1" x14ac:dyDescent="0.3">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row>
    <row r="304" spans="1:30" ht="15.75" customHeight="1" x14ac:dyDescent="0.3">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row>
    <row r="305" spans="1:30" ht="15.75" customHeight="1" x14ac:dyDescent="0.3">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row>
    <row r="306" spans="1:30" ht="15.75" customHeight="1" x14ac:dyDescent="0.3">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row>
    <row r="307" spans="1:30" ht="15.75" customHeight="1" x14ac:dyDescent="0.3">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row>
    <row r="308" spans="1:30" ht="15.75" customHeight="1" x14ac:dyDescent="0.3">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row>
    <row r="309" spans="1:30" ht="15.75" customHeight="1" x14ac:dyDescent="0.3">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row>
    <row r="310" spans="1:30" ht="15.75" customHeight="1" x14ac:dyDescent="0.3">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row>
    <row r="311" spans="1:30" ht="15.75" customHeight="1" x14ac:dyDescent="0.3">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row>
    <row r="312" spans="1:30" ht="15.75" customHeight="1" x14ac:dyDescent="0.3">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row>
    <row r="313" spans="1:30" ht="15.75" customHeight="1" x14ac:dyDescent="0.3">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row>
    <row r="314" spans="1:30" ht="15.75" customHeight="1" x14ac:dyDescent="0.3">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row>
    <row r="315" spans="1:30" ht="15.75" customHeight="1" x14ac:dyDescent="0.3">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row>
    <row r="316" spans="1:30" ht="15.75" customHeight="1" x14ac:dyDescent="0.3">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row>
    <row r="317" spans="1:30" ht="15.75" customHeight="1" x14ac:dyDescent="0.3">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row>
    <row r="318" spans="1:30" ht="15.75" customHeight="1" x14ac:dyDescent="0.3">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row>
    <row r="319" spans="1:30" ht="15.75" customHeight="1" x14ac:dyDescent="0.3">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row>
    <row r="320" spans="1:30" ht="15.75" customHeight="1" x14ac:dyDescent="0.3">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row>
    <row r="321" spans="1:30" ht="15.75" customHeight="1" x14ac:dyDescent="0.3">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row>
    <row r="322" spans="1:30" ht="15.75" customHeight="1" x14ac:dyDescent="0.3">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row>
    <row r="323" spans="1:30" ht="15.75" customHeight="1" x14ac:dyDescent="0.3">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row>
    <row r="324" spans="1:30" ht="15.75" customHeight="1" x14ac:dyDescent="0.3">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row>
    <row r="325" spans="1:30" ht="15.75" customHeight="1" x14ac:dyDescent="0.3">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row>
    <row r="326" spans="1:30" ht="15.75" customHeight="1" x14ac:dyDescent="0.3">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row>
    <row r="327" spans="1:30" ht="15.75" customHeight="1" x14ac:dyDescent="0.3">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row>
    <row r="328" spans="1:30" ht="15.75" customHeight="1" x14ac:dyDescent="0.3">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row>
    <row r="329" spans="1:30" ht="15.75" customHeight="1" x14ac:dyDescent="0.3">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row>
    <row r="330" spans="1:30" ht="15.75" customHeight="1" x14ac:dyDescent="0.3">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row>
    <row r="331" spans="1:30" ht="15.75" customHeight="1" x14ac:dyDescent="0.3">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row>
    <row r="332" spans="1:30" ht="15.75" customHeight="1" x14ac:dyDescent="0.3">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row>
    <row r="333" spans="1:30" ht="15.75" customHeight="1" x14ac:dyDescent="0.3">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row>
    <row r="334" spans="1:30" ht="15.75" customHeight="1" x14ac:dyDescent="0.3">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row>
    <row r="335" spans="1:30" ht="15.75" customHeight="1" x14ac:dyDescent="0.3">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row>
    <row r="336" spans="1:30" ht="15.75" customHeight="1" x14ac:dyDescent="0.3">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row>
    <row r="337" spans="1:30" ht="15.75" customHeight="1" x14ac:dyDescent="0.3">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row>
    <row r="338" spans="1:30" ht="15.75" customHeight="1" x14ac:dyDescent="0.3">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row>
    <row r="339" spans="1:30" ht="15.75" customHeight="1" x14ac:dyDescent="0.3">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row>
    <row r="340" spans="1:30" ht="15.75" customHeight="1" x14ac:dyDescent="0.3">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row>
    <row r="341" spans="1:30" ht="15.75" customHeight="1" x14ac:dyDescent="0.3">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row>
    <row r="342" spans="1:30" ht="15.75" customHeight="1" x14ac:dyDescent="0.3">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row>
    <row r="343" spans="1:30" ht="15.75" customHeight="1" x14ac:dyDescent="0.3">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row>
    <row r="344" spans="1:30" ht="15.75" customHeight="1" x14ac:dyDescent="0.3">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row>
    <row r="345" spans="1:30" ht="15.75" customHeight="1" x14ac:dyDescent="0.3">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row>
    <row r="346" spans="1:30" ht="15.75" customHeight="1" x14ac:dyDescent="0.3">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row>
    <row r="347" spans="1:30" ht="15.75" customHeight="1" x14ac:dyDescent="0.3">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row>
    <row r="348" spans="1:30" ht="15.75" customHeight="1" x14ac:dyDescent="0.3">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row>
    <row r="349" spans="1:30" ht="15.75" customHeight="1" x14ac:dyDescent="0.3">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row>
    <row r="350" spans="1:30" ht="15.75" customHeight="1" x14ac:dyDescent="0.3">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row>
    <row r="351" spans="1:30" ht="15.75" customHeight="1" x14ac:dyDescent="0.3">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row>
    <row r="352" spans="1:30" ht="15.75" customHeight="1" x14ac:dyDescent="0.3">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row>
    <row r="353" spans="1:30" ht="15.75" customHeight="1" x14ac:dyDescent="0.3">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row>
    <row r="354" spans="1:30" ht="15.75" customHeight="1" x14ac:dyDescent="0.3">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row>
    <row r="355" spans="1:30" ht="15.75" customHeight="1" x14ac:dyDescent="0.3">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row>
    <row r="356" spans="1:30" ht="15.75" customHeight="1" x14ac:dyDescent="0.3">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row>
    <row r="357" spans="1:30" ht="15.75" customHeight="1" x14ac:dyDescent="0.3">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row>
    <row r="358" spans="1:30" ht="15.75" customHeight="1" x14ac:dyDescent="0.3">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row>
    <row r="359" spans="1:30" ht="15.75" customHeight="1" x14ac:dyDescent="0.3">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row>
    <row r="360" spans="1:30" ht="15.75" customHeight="1" x14ac:dyDescent="0.3">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row>
    <row r="361" spans="1:30" ht="15.75" customHeight="1" x14ac:dyDescent="0.3">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row>
    <row r="362" spans="1:30" ht="15.75" customHeight="1" x14ac:dyDescent="0.3">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row>
    <row r="363" spans="1:30" ht="15.75" customHeight="1" x14ac:dyDescent="0.3">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row>
    <row r="364" spans="1:30" ht="15.75" customHeight="1" x14ac:dyDescent="0.3">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row>
    <row r="365" spans="1:30" ht="15.75" customHeight="1" x14ac:dyDescent="0.3">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row>
    <row r="366" spans="1:30" ht="15.75" customHeight="1" x14ac:dyDescent="0.3">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row>
    <row r="367" spans="1:30" ht="15.75" customHeight="1" x14ac:dyDescent="0.3">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row>
    <row r="368" spans="1:30" ht="15.75" customHeight="1" x14ac:dyDescent="0.3">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row>
    <row r="369" spans="1:30" ht="15.75" customHeight="1" x14ac:dyDescent="0.3">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row>
    <row r="370" spans="1:30" ht="15.75" customHeight="1" x14ac:dyDescent="0.3">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row>
    <row r="371" spans="1:30" ht="15.75" customHeight="1" x14ac:dyDescent="0.3">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row>
    <row r="372" spans="1:30" ht="15.75" customHeight="1" x14ac:dyDescent="0.3">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row>
    <row r="373" spans="1:30" ht="15.75" customHeight="1" x14ac:dyDescent="0.3">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row>
    <row r="374" spans="1:30" ht="15.75" customHeight="1" x14ac:dyDescent="0.3">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row>
    <row r="375" spans="1:30" ht="15.75" customHeight="1" x14ac:dyDescent="0.3">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row>
    <row r="376" spans="1:30" ht="15.75" customHeight="1" x14ac:dyDescent="0.3">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row>
    <row r="377" spans="1:30" ht="15.75" customHeight="1" x14ac:dyDescent="0.3">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row>
    <row r="378" spans="1:30" ht="15.75" customHeight="1" x14ac:dyDescent="0.3">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row>
    <row r="379" spans="1:30" ht="15.75" customHeight="1" x14ac:dyDescent="0.3">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row>
    <row r="380" spans="1:30" ht="15.75" customHeight="1" x14ac:dyDescent="0.3">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row>
    <row r="381" spans="1:30" ht="15.75" customHeight="1" x14ac:dyDescent="0.3">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row>
    <row r="382" spans="1:30" ht="15.75" customHeight="1" x14ac:dyDescent="0.3">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row>
    <row r="383" spans="1:30" ht="15.75" customHeight="1" x14ac:dyDescent="0.3">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row>
    <row r="384" spans="1:30" ht="15.75" customHeight="1" x14ac:dyDescent="0.3">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row>
    <row r="385" spans="1:30" ht="15.75" customHeight="1" x14ac:dyDescent="0.3">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row>
    <row r="386" spans="1:30" ht="15.75" customHeight="1" x14ac:dyDescent="0.3">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row>
    <row r="387" spans="1:30" ht="15.75" customHeight="1" x14ac:dyDescent="0.3">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row>
    <row r="388" spans="1:30" ht="15.75" customHeight="1" x14ac:dyDescent="0.3">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row>
    <row r="389" spans="1:30" ht="15.75" customHeight="1" x14ac:dyDescent="0.3">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row>
    <row r="390" spans="1:30" ht="15.75" customHeight="1" x14ac:dyDescent="0.3">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row>
    <row r="391" spans="1:30" ht="15.75" customHeight="1" x14ac:dyDescent="0.3">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row>
    <row r="392" spans="1:30" ht="15.75" customHeight="1" x14ac:dyDescent="0.3">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row>
    <row r="393" spans="1:30" ht="15.75" customHeight="1" x14ac:dyDescent="0.3">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row>
    <row r="394" spans="1:30" ht="15.75" customHeight="1" x14ac:dyDescent="0.3">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row>
    <row r="395" spans="1:30" ht="15.75" customHeight="1" x14ac:dyDescent="0.3">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row>
    <row r="396" spans="1:30" ht="15.75" customHeight="1" x14ac:dyDescent="0.3">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row>
    <row r="397" spans="1:30" ht="15.75" customHeight="1" x14ac:dyDescent="0.3">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row>
    <row r="398" spans="1:30" ht="15.75" customHeight="1" x14ac:dyDescent="0.3">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row>
    <row r="399" spans="1:30" ht="15.75" customHeight="1" x14ac:dyDescent="0.3">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row>
    <row r="400" spans="1:30" ht="15.75" customHeight="1" x14ac:dyDescent="0.3">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row>
    <row r="401" spans="1:30" ht="15.75" customHeight="1" x14ac:dyDescent="0.3">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row>
    <row r="402" spans="1:30" ht="15.75" customHeight="1" x14ac:dyDescent="0.3">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row>
    <row r="403" spans="1:30" ht="15.75" customHeight="1" x14ac:dyDescent="0.3">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row>
    <row r="404" spans="1:30" ht="15.75" customHeight="1" x14ac:dyDescent="0.3">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row>
    <row r="405" spans="1:30" ht="15.75" customHeight="1" x14ac:dyDescent="0.3">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row>
    <row r="406" spans="1:30" ht="15.75" customHeight="1" x14ac:dyDescent="0.3">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row>
    <row r="407" spans="1:30" ht="15.75" customHeight="1" x14ac:dyDescent="0.3">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row>
    <row r="408" spans="1:30" ht="15.75" customHeight="1" x14ac:dyDescent="0.3">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row>
    <row r="409" spans="1:30" ht="15.75" customHeight="1" x14ac:dyDescent="0.3">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row>
    <row r="410" spans="1:30" ht="15.75" customHeight="1" x14ac:dyDescent="0.3">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row>
    <row r="411" spans="1:30" ht="15.75" customHeight="1" x14ac:dyDescent="0.3">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row>
    <row r="412" spans="1:30" ht="15.75" customHeight="1" x14ac:dyDescent="0.3">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row>
    <row r="413" spans="1:30" ht="15.75" customHeight="1" x14ac:dyDescent="0.3">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row>
    <row r="414" spans="1:30" ht="15.75" customHeight="1" x14ac:dyDescent="0.3">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row>
    <row r="415" spans="1:30" ht="15.75" customHeight="1" x14ac:dyDescent="0.3">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row>
    <row r="416" spans="1:30" ht="15.75" customHeight="1" x14ac:dyDescent="0.3">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row>
    <row r="417" spans="1:30" ht="15.75" customHeight="1" x14ac:dyDescent="0.3">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row>
    <row r="418" spans="1:30" ht="15.75" customHeight="1" x14ac:dyDescent="0.3">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row>
    <row r="419" spans="1:30" ht="15.75" customHeight="1" x14ac:dyDescent="0.3">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row>
    <row r="420" spans="1:30" ht="15.75" customHeight="1" x14ac:dyDescent="0.3">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row>
    <row r="421" spans="1:30" ht="15.75" customHeight="1" x14ac:dyDescent="0.3">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row>
    <row r="422" spans="1:30" ht="15.75" customHeight="1" x14ac:dyDescent="0.3">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row>
    <row r="423" spans="1:30" ht="15.75" customHeight="1" x14ac:dyDescent="0.3">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row>
    <row r="424" spans="1:30" ht="15.75" customHeight="1" x14ac:dyDescent="0.3">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row>
    <row r="425" spans="1:30" ht="15.75" customHeight="1" x14ac:dyDescent="0.3">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row>
    <row r="426" spans="1:30" ht="15.75" customHeight="1" x14ac:dyDescent="0.3">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row>
    <row r="427" spans="1:30" ht="15.75" customHeight="1" x14ac:dyDescent="0.3">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row>
    <row r="428" spans="1:30" ht="15.75" customHeight="1" x14ac:dyDescent="0.3">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row>
    <row r="429" spans="1:30" ht="15.75" customHeight="1" x14ac:dyDescent="0.3">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row>
    <row r="430" spans="1:30" ht="15.75" customHeight="1" x14ac:dyDescent="0.3">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row>
    <row r="431" spans="1:30" ht="15.75" customHeight="1" x14ac:dyDescent="0.3">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row>
    <row r="432" spans="1:30" ht="15.75" customHeight="1" x14ac:dyDescent="0.3">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row>
    <row r="433" spans="1:30" ht="15.75" customHeight="1" x14ac:dyDescent="0.3">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row>
    <row r="434" spans="1:30" ht="15.75" customHeight="1" x14ac:dyDescent="0.3">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row>
    <row r="435" spans="1:30" ht="15.75" customHeight="1" x14ac:dyDescent="0.3">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row>
    <row r="436" spans="1:30" ht="15.75" customHeight="1" x14ac:dyDescent="0.3">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row>
    <row r="437" spans="1:30" ht="15.75" customHeight="1" x14ac:dyDescent="0.3">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row>
    <row r="438" spans="1:30" ht="15.75" customHeight="1" x14ac:dyDescent="0.3">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row>
    <row r="439" spans="1:30" ht="15.75" customHeight="1" x14ac:dyDescent="0.3">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row>
    <row r="440" spans="1:30" ht="15.75" customHeight="1" x14ac:dyDescent="0.3">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row>
    <row r="441" spans="1:30" ht="15.75" customHeight="1" x14ac:dyDescent="0.3">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row>
    <row r="442" spans="1:30" ht="15.75" customHeight="1" x14ac:dyDescent="0.3">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row>
    <row r="443" spans="1:30" ht="15.75" customHeight="1" x14ac:dyDescent="0.3">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row>
    <row r="444" spans="1:30" ht="15.75" customHeight="1" x14ac:dyDescent="0.3">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row>
    <row r="445" spans="1:30" ht="15.75" customHeight="1" x14ac:dyDescent="0.3">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row>
    <row r="446" spans="1:30" ht="15.75" customHeight="1" x14ac:dyDescent="0.3">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row>
    <row r="447" spans="1:30" ht="15.75" customHeight="1" x14ac:dyDescent="0.3">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row>
    <row r="448" spans="1:30" ht="15.75" customHeight="1" x14ac:dyDescent="0.3">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row>
    <row r="449" spans="1:30" ht="15.75" customHeight="1" x14ac:dyDescent="0.3">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row>
    <row r="450" spans="1:30" ht="15.75" customHeight="1" x14ac:dyDescent="0.3">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row>
    <row r="451" spans="1:30" ht="15.75" customHeight="1" x14ac:dyDescent="0.3">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row>
    <row r="452" spans="1:30" ht="15.75" customHeight="1" x14ac:dyDescent="0.3">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row>
    <row r="453" spans="1:30" ht="15.75" customHeight="1" x14ac:dyDescent="0.3">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row>
    <row r="454" spans="1:30" ht="15.75" customHeight="1" x14ac:dyDescent="0.3">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row>
    <row r="455" spans="1:30" ht="15.75" customHeight="1" x14ac:dyDescent="0.3">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row>
    <row r="456" spans="1:30" ht="15.75" customHeight="1" x14ac:dyDescent="0.3">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row>
    <row r="457" spans="1:30" ht="15.75" customHeight="1" x14ac:dyDescent="0.3">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row>
    <row r="458" spans="1:30" ht="15.75" customHeight="1" x14ac:dyDescent="0.3">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row>
    <row r="459" spans="1:30" ht="15.75" customHeight="1" x14ac:dyDescent="0.3">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row>
    <row r="460" spans="1:30" ht="15.75" customHeight="1" x14ac:dyDescent="0.3">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row>
    <row r="461" spans="1:30" ht="15.75" customHeight="1" x14ac:dyDescent="0.3">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row>
    <row r="462" spans="1:30" ht="15.75" customHeight="1" x14ac:dyDescent="0.3">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row>
    <row r="463" spans="1:30" ht="15.75" customHeight="1" x14ac:dyDescent="0.3">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row>
    <row r="464" spans="1:30" ht="15.75" customHeight="1" x14ac:dyDescent="0.3">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row>
    <row r="465" spans="1:30" ht="15.75" customHeight="1" x14ac:dyDescent="0.3">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row>
    <row r="466" spans="1:30" ht="15.75" customHeight="1" x14ac:dyDescent="0.3">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row>
    <row r="467" spans="1:30" ht="15.75" customHeight="1" x14ac:dyDescent="0.3">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row>
    <row r="468" spans="1:30" ht="15.75" customHeight="1" x14ac:dyDescent="0.3">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row>
    <row r="469" spans="1:30" ht="15.75" customHeight="1" x14ac:dyDescent="0.3">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row>
    <row r="470" spans="1:30" ht="15.75" customHeight="1" x14ac:dyDescent="0.3">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row>
    <row r="471" spans="1:30" ht="15.75" customHeight="1" x14ac:dyDescent="0.3">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row>
    <row r="472" spans="1:30" ht="15.75" customHeight="1" x14ac:dyDescent="0.3">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row>
    <row r="473" spans="1:30" ht="15.75" customHeight="1" x14ac:dyDescent="0.3">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row>
    <row r="474" spans="1:30" ht="15.75" customHeight="1" x14ac:dyDescent="0.3">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row>
    <row r="475" spans="1:30" ht="15.75" customHeight="1" x14ac:dyDescent="0.3">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row>
    <row r="476" spans="1:30" ht="15.75" customHeight="1" x14ac:dyDescent="0.3">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row>
    <row r="477" spans="1:30" ht="15.75" customHeight="1" x14ac:dyDescent="0.3">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row>
    <row r="478" spans="1:30" ht="15.75" customHeight="1" x14ac:dyDescent="0.3">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row>
    <row r="479" spans="1:30" ht="15.75" customHeight="1" x14ac:dyDescent="0.3">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row>
    <row r="480" spans="1:30" ht="15.75" customHeight="1" x14ac:dyDescent="0.3">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row>
    <row r="481" spans="1:30" ht="15.75" customHeight="1" x14ac:dyDescent="0.3">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row>
    <row r="482" spans="1:30" ht="15.75" customHeight="1" x14ac:dyDescent="0.3">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row>
    <row r="483" spans="1:30" ht="15.75" customHeight="1" x14ac:dyDescent="0.3">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row>
    <row r="484" spans="1:30" ht="15.75" customHeight="1" x14ac:dyDescent="0.3">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row>
    <row r="485" spans="1:30" ht="15.75" customHeight="1" x14ac:dyDescent="0.3">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row>
    <row r="486" spans="1:30" ht="15.75" customHeight="1" x14ac:dyDescent="0.3">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row>
    <row r="487" spans="1:30" ht="15.75" customHeight="1" x14ac:dyDescent="0.3">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row>
    <row r="488" spans="1:30" ht="15.75" customHeight="1" x14ac:dyDescent="0.3">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row>
    <row r="489" spans="1:30" ht="15.75" customHeight="1" x14ac:dyDescent="0.3">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row>
    <row r="490" spans="1:30" ht="15.75" customHeight="1" x14ac:dyDescent="0.3">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row>
    <row r="491" spans="1:30" ht="15.75" customHeight="1" x14ac:dyDescent="0.3">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row>
    <row r="492" spans="1:30" ht="15.75" customHeight="1" x14ac:dyDescent="0.3">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row>
    <row r="493" spans="1:30" ht="15.75" customHeight="1" x14ac:dyDescent="0.3">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row>
    <row r="494" spans="1:30" ht="15.75" customHeight="1" x14ac:dyDescent="0.3">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row>
    <row r="495" spans="1:30" ht="15.75" customHeight="1" x14ac:dyDescent="0.3">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row>
    <row r="496" spans="1:30" ht="15.75" customHeight="1" x14ac:dyDescent="0.3">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row>
    <row r="497" spans="1:30" ht="15.75" customHeight="1" x14ac:dyDescent="0.3">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row>
    <row r="498" spans="1:30" ht="15.75" customHeight="1" x14ac:dyDescent="0.3">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row>
    <row r="499" spans="1:30" ht="15.75" customHeight="1" x14ac:dyDescent="0.3">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row>
    <row r="500" spans="1:30" ht="15.75" customHeight="1" x14ac:dyDescent="0.3">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row>
    <row r="501" spans="1:30" ht="15.75" customHeight="1" x14ac:dyDescent="0.3">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row>
    <row r="502" spans="1:30" ht="15.75" customHeight="1" x14ac:dyDescent="0.3">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row>
    <row r="503" spans="1:30" ht="15.75" customHeight="1" x14ac:dyDescent="0.3">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row>
    <row r="504" spans="1:30" ht="15.75" customHeight="1" x14ac:dyDescent="0.3">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row>
    <row r="505" spans="1:30" ht="15.75" customHeight="1" x14ac:dyDescent="0.3">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row>
    <row r="506" spans="1:30" ht="15.75" customHeight="1" x14ac:dyDescent="0.3">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row>
    <row r="507" spans="1:30" ht="15.75" customHeight="1" x14ac:dyDescent="0.3">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row>
    <row r="508" spans="1:30" ht="15.75" customHeight="1" x14ac:dyDescent="0.3">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row>
    <row r="509" spans="1:30" ht="15.75" customHeight="1" x14ac:dyDescent="0.3">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row>
    <row r="510" spans="1:30" ht="15.75" customHeight="1" x14ac:dyDescent="0.3">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row>
    <row r="511" spans="1:30" ht="15.75" customHeight="1" x14ac:dyDescent="0.3">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row>
    <row r="512" spans="1:30" ht="15.75" customHeight="1" x14ac:dyDescent="0.3">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row>
    <row r="513" spans="1:30" ht="15.75" customHeight="1" x14ac:dyDescent="0.3">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row>
    <row r="514" spans="1:30" ht="15.75" customHeight="1" x14ac:dyDescent="0.3">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row>
    <row r="515" spans="1:30" ht="15.75" customHeight="1" x14ac:dyDescent="0.3">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row>
    <row r="516" spans="1:30" ht="15.75" customHeight="1" x14ac:dyDescent="0.3">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row>
    <row r="517" spans="1:30" ht="15.75" customHeight="1" x14ac:dyDescent="0.3">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row>
    <row r="518" spans="1:30" ht="15.75" customHeight="1" x14ac:dyDescent="0.3">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row>
    <row r="519" spans="1:30" ht="15.75" customHeight="1" x14ac:dyDescent="0.3">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row>
    <row r="520" spans="1:30" ht="15.75" customHeight="1" x14ac:dyDescent="0.3">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row>
    <row r="521" spans="1:30" ht="15.75" customHeight="1" x14ac:dyDescent="0.3">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row>
    <row r="522" spans="1:30" ht="15.75" customHeight="1" x14ac:dyDescent="0.3">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row>
    <row r="523" spans="1:30" ht="15.75" customHeight="1" x14ac:dyDescent="0.3">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row>
    <row r="524" spans="1:30" ht="15.75" customHeight="1" x14ac:dyDescent="0.3">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row>
    <row r="525" spans="1:30" ht="15.75" customHeight="1" x14ac:dyDescent="0.3">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row>
    <row r="526" spans="1:30" ht="15.75" customHeight="1" x14ac:dyDescent="0.3">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row>
    <row r="527" spans="1:30" ht="15.75" customHeight="1" x14ac:dyDescent="0.3">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row>
    <row r="528" spans="1:30" ht="15.75" customHeight="1" x14ac:dyDescent="0.3">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row>
    <row r="529" spans="1:30" ht="15.75" customHeight="1" x14ac:dyDescent="0.3">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row>
    <row r="530" spans="1:30" ht="15.75" customHeight="1" x14ac:dyDescent="0.3">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row>
    <row r="531" spans="1:30" ht="15.75" customHeight="1" x14ac:dyDescent="0.3">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row>
    <row r="532" spans="1:30" ht="15.75" customHeight="1" x14ac:dyDescent="0.3">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row>
    <row r="533" spans="1:30" ht="15.75" customHeight="1" x14ac:dyDescent="0.3">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row>
    <row r="534" spans="1:30" ht="15.75" customHeight="1" x14ac:dyDescent="0.3">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row>
    <row r="535" spans="1:30" ht="15.75" customHeight="1" x14ac:dyDescent="0.3">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row>
    <row r="536" spans="1:30" ht="15.75" customHeight="1" x14ac:dyDescent="0.3">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row>
    <row r="537" spans="1:30" ht="15.75" customHeight="1" x14ac:dyDescent="0.3">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row>
    <row r="538" spans="1:30" ht="15.75" customHeight="1" x14ac:dyDescent="0.3">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row>
    <row r="539" spans="1:30" ht="15.75" customHeight="1" x14ac:dyDescent="0.3">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row>
    <row r="540" spans="1:30" ht="15.75" customHeight="1" x14ac:dyDescent="0.3">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row>
    <row r="541" spans="1:30" ht="15.75" customHeight="1" x14ac:dyDescent="0.3">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row>
    <row r="542" spans="1:30" ht="15.75" customHeight="1" x14ac:dyDescent="0.3">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row>
    <row r="543" spans="1:30" ht="15.75" customHeight="1" x14ac:dyDescent="0.3">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row>
    <row r="544" spans="1:30" ht="15.75" customHeight="1" x14ac:dyDescent="0.3">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row>
    <row r="545" spans="1:30" ht="15.75" customHeight="1" x14ac:dyDescent="0.3">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row>
    <row r="546" spans="1:30" ht="15.75" customHeight="1" x14ac:dyDescent="0.3">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row>
    <row r="547" spans="1:30" ht="15.75" customHeight="1" x14ac:dyDescent="0.3">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row>
    <row r="548" spans="1:30" ht="15.75" customHeight="1" x14ac:dyDescent="0.3">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row>
    <row r="549" spans="1:30" ht="15.75" customHeight="1" x14ac:dyDescent="0.3">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row>
    <row r="550" spans="1:30" ht="15.75" customHeight="1" x14ac:dyDescent="0.3">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row>
    <row r="551" spans="1:30" ht="15.75" customHeight="1" x14ac:dyDescent="0.3">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row>
    <row r="552" spans="1:30" ht="15.75" customHeight="1" x14ac:dyDescent="0.3">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row>
    <row r="553" spans="1:30" ht="15.75" customHeight="1" x14ac:dyDescent="0.3">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row>
    <row r="554" spans="1:30" ht="15.75" customHeight="1" x14ac:dyDescent="0.3">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row>
    <row r="555" spans="1:30" ht="15.75" customHeight="1" x14ac:dyDescent="0.3">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row>
    <row r="556" spans="1:30" ht="15.75" customHeight="1" x14ac:dyDescent="0.3">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row>
    <row r="557" spans="1:30" ht="15.75" customHeight="1" x14ac:dyDescent="0.3">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row>
    <row r="558" spans="1:30" ht="15.75" customHeight="1" x14ac:dyDescent="0.3">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row>
    <row r="559" spans="1:30" ht="15.75" customHeight="1" x14ac:dyDescent="0.3">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row>
    <row r="560" spans="1:30" ht="15.75" customHeight="1" x14ac:dyDescent="0.3">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row>
    <row r="561" spans="1:30" ht="15.75" customHeight="1" x14ac:dyDescent="0.3">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row>
    <row r="562" spans="1:30" ht="15.75" customHeight="1" x14ac:dyDescent="0.3">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row>
    <row r="563" spans="1:30" ht="15.75" customHeight="1" x14ac:dyDescent="0.3">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row>
    <row r="564" spans="1:30" ht="15.75" customHeight="1" x14ac:dyDescent="0.3">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row>
    <row r="565" spans="1:30" ht="15.75" customHeight="1" x14ac:dyDescent="0.3">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row>
    <row r="566" spans="1:30" ht="15.75" customHeight="1" x14ac:dyDescent="0.3">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row>
    <row r="567" spans="1:30" ht="15.75" customHeight="1" x14ac:dyDescent="0.3">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row>
    <row r="568" spans="1:30" ht="15.75" customHeight="1" x14ac:dyDescent="0.3">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row>
    <row r="569" spans="1:30" ht="15.75" customHeight="1" x14ac:dyDescent="0.3">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row>
    <row r="570" spans="1:30" ht="15.75" customHeight="1" x14ac:dyDescent="0.3">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row>
    <row r="571" spans="1:30" ht="15.75" customHeight="1" x14ac:dyDescent="0.3">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row>
    <row r="572" spans="1:30" ht="15.75" customHeight="1" x14ac:dyDescent="0.3">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row>
    <row r="573" spans="1:30" ht="15.75" customHeight="1" x14ac:dyDescent="0.3">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row>
    <row r="574" spans="1:30" ht="15.75" customHeight="1" x14ac:dyDescent="0.3">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row>
    <row r="575" spans="1:30" ht="15.75" customHeight="1" x14ac:dyDescent="0.3">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row>
    <row r="576" spans="1:30" ht="15.75" customHeight="1" x14ac:dyDescent="0.3">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row>
    <row r="577" spans="1:30" ht="15.75" customHeight="1" x14ac:dyDescent="0.3">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row>
    <row r="578" spans="1:30" ht="15.75" customHeight="1" x14ac:dyDescent="0.3">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row>
    <row r="579" spans="1:30" ht="15.75" customHeight="1" x14ac:dyDescent="0.3">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row>
    <row r="580" spans="1:30" ht="15.75" customHeight="1" x14ac:dyDescent="0.3">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row>
    <row r="581" spans="1:30" ht="15.75" customHeight="1" x14ac:dyDescent="0.3">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row>
    <row r="582" spans="1:30" ht="15.75" customHeight="1" x14ac:dyDescent="0.3">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row>
    <row r="583" spans="1:30" ht="15.75" customHeight="1" x14ac:dyDescent="0.3">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row>
    <row r="584" spans="1:30" ht="15.75" customHeight="1" x14ac:dyDescent="0.3">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row>
    <row r="585" spans="1:30" ht="15.75" customHeight="1" x14ac:dyDescent="0.3">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row>
    <row r="586" spans="1:30" ht="15.75" customHeight="1" x14ac:dyDescent="0.3">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row>
    <row r="587" spans="1:30" ht="15.75" customHeight="1" x14ac:dyDescent="0.3">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row>
    <row r="588" spans="1:30" ht="15.75" customHeight="1" x14ac:dyDescent="0.3">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row>
    <row r="589" spans="1:30" ht="15.75" customHeight="1" x14ac:dyDescent="0.3">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row>
    <row r="590" spans="1:30" ht="15.75" customHeight="1" x14ac:dyDescent="0.3">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row>
    <row r="591" spans="1:30" ht="15.75" customHeight="1" x14ac:dyDescent="0.3">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row>
    <row r="592" spans="1:30" ht="15.75" customHeight="1" x14ac:dyDescent="0.3">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row>
    <row r="593" spans="1:30" ht="15.75" customHeight="1" x14ac:dyDescent="0.3">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row>
    <row r="594" spans="1:30" ht="15.75" customHeight="1" x14ac:dyDescent="0.3">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row>
    <row r="595" spans="1:30" ht="15.75" customHeight="1" x14ac:dyDescent="0.3">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row>
    <row r="596" spans="1:30" ht="15.75" customHeight="1" x14ac:dyDescent="0.3">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row>
    <row r="597" spans="1:30" ht="15.75" customHeight="1" x14ac:dyDescent="0.3">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row>
    <row r="598" spans="1:30" ht="15.75" customHeight="1" x14ac:dyDescent="0.3">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row>
    <row r="599" spans="1:30" ht="15.75" customHeight="1" x14ac:dyDescent="0.3">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row>
    <row r="600" spans="1:30" ht="15.75" customHeight="1" x14ac:dyDescent="0.3">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row>
    <row r="601" spans="1:30" ht="15.75" customHeight="1" x14ac:dyDescent="0.3">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row>
    <row r="602" spans="1:30" ht="15.75" customHeight="1" x14ac:dyDescent="0.3">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row>
    <row r="603" spans="1:30" ht="15.75" customHeight="1" x14ac:dyDescent="0.3">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row>
    <row r="604" spans="1:30" ht="15.75" customHeight="1" x14ac:dyDescent="0.3">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row>
    <row r="605" spans="1:30" ht="15.75" customHeight="1" x14ac:dyDescent="0.3">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row>
    <row r="606" spans="1:30" ht="15.75" customHeight="1" x14ac:dyDescent="0.3">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row>
    <row r="607" spans="1:30" ht="15.75" customHeight="1" x14ac:dyDescent="0.3">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row>
    <row r="608" spans="1:30" ht="15.75" customHeight="1" x14ac:dyDescent="0.3">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row>
    <row r="609" spans="1:30" ht="15.75" customHeight="1" x14ac:dyDescent="0.3">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row>
    <row r="610" spans="1:30" ht="15.75" customHeight="1" x14ac:dyDescent="0.3">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row>
    <row r="611" spans="1:30" ht="15.75" customHeight="1" x14ac:dyDescent="0.3">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row>
    <row r="612" spans="1:30" ht="15.75" customHeight="1" x14ac:dyDescent="0.3">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row>
    <row r="613" spans="1:30" ht="15.75" customHeight="1" x14ac:dyDescent="0.3">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row>
    <row r="614" spans="1:30" ht="15.75" customHeight="1" x14ac:dyDescent="0.3">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row>
    <row r="615" spans="1:30" ht="15.75" customHeight="1" x14ac:dyDescent="0.3">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row>
    <row r="616" spans="1:30" ht="15.75" customHeight="1" x14ac:dyDescent="0.3">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row>
    <row r="617" spans="1:30" ht="15.75" customHeight="1" x14ac:dyDescent="0.3">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row>
    <row r="618" spans="1:30" ht="15.75" customHeight="1" x14ac:dyDescent="0.3">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row>
    <row r="619" spans="1:30" ht="15.75" customHeight="1" x14ac:dyDescent="0.3">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row>
    <row r="620" spans="1:30" ht="15.75" customHeight="1" x14ac:dyDescent="0.3">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row>
    <row r="621" spans="1:30" ht="15.75" customHeight="1" x14ac:dyDescent="0.3">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row>
    <row r="622" spans="1:30" ht="15.75" customHeight="1" x14ac:dyDescent="0.3">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row>
    <row r="623" spans="1:30" ht="15.75" customHeight="1" x14ac:dyDescent="0.3">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row>
    <row r="624" spans="1:30" ht="15.75" customHeight="1" x14ac:dyDescent="0.3">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row>
    <row r="625" spans="1:30" ht="15.75" customHeight="1" x14ac:dyDescent="0.3">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row>
    <row r="626" spans="1:30" ht="15.75" customHeight="1" x14ac:dyDescent="0.3">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row>
    <row r="627" spans="1:30" ht="15.75" customHeight="1" x14ac:dyDescent="0.3">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row>
    <row r="628" spans="1:30" ht="15.75" customHeight="1" x14ac:dyDescent="0.3">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row>
    <row r="629" spans="1:30" ht="15.75" customHeight="1" x14ac:dyDescent="0.3">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row>
    <row r="630" spans="1:30" ht="15.75" customHeight="1" x14ac:dyDescent="0.3">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row>
    <row r="631" spans="1:30" ht="15.75" customHeight="1" x14ac:dyDescent="0.3">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row>
    <row r="632" spans="1:30" ht="15.75" customHeight="1" x14ac:dyDescent="0.3">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row>
    <row r="633" spans="1:30" ht="15.75" customHeight="1" x14ac:dyDescent="0.3">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row>
    <row r="634" spans="1:30" ht="15.75" customHeight="1" x14ac:dyDescent="0.3">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row>
    <row r="635" spans="1:30" ht="15.75" customHeight="1" x14ac:dyDescent="0.3">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row>
    <row r="636" spans="1:30" ht="15.75" customHeight="1" x14ac:dyDescent="0.3">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row>
    <row r="637" spans="1:30" ht="15.75" customHeight="1" x14ac:dyDescent="0.3">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row>
    <row r="638" spans="1:30" ht="15.75" customHeight="1" x14ac:dyDescent="0.3">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row>
    <row r="639" spans="1:30" ht="15.75" customHeight="1" x14ac:dyDescent="0.3">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row>
    <row r="640" spans="1:30" ht="15.75" customHeight="1" x14ac:dyDescent="0.3">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row>
    <row r="641" spans="1:30" ht="15.75" customHeight="1" x14ac:dyDescent="0.3">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row>
    <row r="642" spans="1:30" ht="15.75" customHeight="1" x14ac:dyDescent="0.3">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row>
    <row r="643" spans="1:30" ht="15.75" customHeight="1" x14ac:dyDescent="0.3">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row>
    <row r="644" spans="1:30" ht="15.75" customHeight="1" x14ac:dyDescent="0.3">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row>
    <row r="645" spans="1:30" ht="15.75" customHeight="1" x14ac:dyDescent="0.3">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row>
    <row r="646" spans="1:30" ht="15.75" customHeight="1" x14ac:dyDescent="0.3">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row>
    <row r="647" spans="1:30" ht="15.75" customHeight="1" x14ac:dyDescent="0.3">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row>
    <row r="648" spans="1:30" ht="15.75" customHeight="1" x14ac:dyDescent="0.3">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row>
    <row r="649" spans="1:30" ht="15.75" customHeight="1" x14ac:dyDescent="0.3">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row>
    <row r="650" spans="1:30" ht="15.75" customHeight="1" x14ac:dyDescent="0.3">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row>
    <row r="651" spans="1:30" ht="15.75" customHeight="1" x14ac:dyDescent="0.3">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row>
    <row r="652" spans="1:30" ht="15.75" customHeight="1" x14ac:dyDescent="0.3">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row>
    <row r="653" spans="1:30" ht="15.75" customHeight="1" x14ac:dyDescent="0.3">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row>
    <row r="654" spans="1:30" ht="15.75" customHeight="1" x14ac:dyDescent="0.3">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row>
    <row r="655" spans="1:30" ht="15.75" customHeight="1" x14ac:dyDescent="0.3">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row>
    <row r="656" spans="1:30" ht="15.75" customHeight="1" x14ac:dyDescent="0.3">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row>
    <row r="657" spans="1:30" ht="15.75" customHeight="1" x14ac:dyDescent="0.3">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row>
    <row r="658" spans="1:30" ht="15.75" customHeight="1" x14ac:dyDescent="0.3">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row>
    <row r="659" spans="1:30" ht="15.75" customHeight="1" x14ac:dyDescent="0.3">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row>
    <row r="660" spans="1:30" ht="15.75" customHeight="1" x14ac:dyDescent="0.3">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row>
    <row r="661" spans="1:30" ht="15.75" customHeight="1" x14ac:dyDescent="0.3">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row>
    <row r="662" spans="1:30" ht="15.75" customHeight="1" x14ac:dyDescent="0.3">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row>
    <row r="663" spans="1:30" ht="15.75" customHeight="1" x14ac:dyDescent="0.3">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row>
    <row r="664" spans="1:30" ht="15.75" customHeight="1" x14ac:dyDescent="0.3">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row>
    <row r="665" spans="1:30" ht="15.75" customHeight="1" x14ac:dyDescent="0.3">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row>
    <row r="666" spans="1:30" ht="15.75" customHeight="1" x14ac:dyDescent="0.3">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row>
    <row r="667" spans="1:30" ht="15.75" customHeight="1" x14ac:dyDescent="0.3">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row>
    <row r="668" spans="1:30" ht="15.75" customHeight="1" x14ac:dyDescent="0.3">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row>
    <row r="669" spans="1:30" ht="15.75" customHeight="1" x14ac:dyDescent="0.3">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row>
    <row r="670" spans="1:30" ht="15.75" customHeight="1" x14ac:dyDescent="0.3">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row>
    <row r="671" spans="1:30" ht="15.75" customHeight="1" x14ac:dyDescent="0.3">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row>
    <row r="672" spans="1:30" ht="15.75" customHeight="1" x14ac:dyDescent="0.3">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row>
    <row r="673" spans="1:30" ht="15.75" customHeight="1" x14ac:dyDescent="0.3">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row>
    <row r="674" spans="1:30" ht="15.75" customHeight="1" x14ac:dyDescent="0.3">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row>
    <row r="675" spans="1:30" ht="15.75" customHeight="1" x14ac:dyDescent="0.3">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row>
    <row r="676" spans="1:30" ht="15.75" customHeight="1" x14ac:dyDescent="0.3">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row>
    <row r="677" spans="1:30" ht="15.75" customHeight="1" x14ac:dyDescent="0.3">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row>
    <row r="678" spans="1:30" ht="15.75" customHeight="1" x14ac:dyDescent="0.3">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row>
    <row r="679" spans="1:30" ht="15.75" customHeight="1" x14ac:dyDescent="0.3">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row>
    <row r="680" spans="1:30" ht="15.75" customHeight="1" x14ac:dyDescent="0.3">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row>
    <row r="681" spans="1:30" ht="15.75" customHeight="1" x14ac:dyDescent="0.3">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row>
    <row r="682" spans="1:30" ht="15.75" customHeight="1" x14ac:dyDescent="0.3">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row>
    <row r="683" spans="1:30" ht="15.75" customHeight="1" x14ac:dyDescent="0.3">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row>
    <row r="684" spans="1:30" ht="15.75" customHeight="1" x14ac:dyDescent="0.3">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row>
    <row r="685" spans="1:30" ht="15.75" customHeight="1" x14ac:dyDescent="0.3">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row>
    <row r="686" spans="1:30" ht="15.75" customHeight="1" x14ac:dyDescent="0.3">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row>
    <row r="687" spans="1:30" ht="15.75" customHeight="1" x14ac:dyDescent="0.3">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row>
    <row r="688" spans="1:30" ht="15.75" customHeight="1" x14ac:dyDescent="0.3">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row>
    <row r="689" spans="1:30" ht="15.75" customHeight="1" x14ac:dyDescent="0.3">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row>
    <row r="690" spans="1:30" ht="15.75" customHeight="1" x14ac:dyDescent="0.3">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row>
    <row r="691" spans="1:30" ht="15.75" customHeight="1" x14ac:dyDescent="0.3">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row>
    <row r="692" spans="1:30" ht="15.75" customHeight="1" x14ac:dyDescent="0.3">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row>
    <row r="693" spans="1:30" ht="15.75" customHeight="1" x14ac:dyDescent="0.3">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row>
    <row r="694" spans="1:30" ht="15.75" customHeight="1" x14ac:dyDescent="0.3">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row>
    <row r="695" spans="1:30" ht="15.75" customHeight="1" x14ac:dyDescent="0.3">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row>
    <row r="696" spans="1:30" ht="15.75" customHeight="1" x14ac:dyDescent="0.3">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row>
    <row r="697" spans="1:30" ht="15.75" customHeight="1" x14ac:dyDescent="0.3">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row>
    <row r="698" spans="1:30" ht="15.75" customHeight="1" x14ac:dyDescent="0.3">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row>
    <row r="699" spans="1:30" ht="15.75" customHeight="1" x14ac:dyDescent="0.3">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row>
    <row r="700" spans="1:30" ht="15.75" customHeight="1" x14ac:dyDescent="0.3">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row>
    <row r="701" spans="1:30" ht="15.75" customHeight="1" x14ac:dyDescent="0.3">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row>
    <row r="702" spans="1:30" ht="15.75" customHeight="1" x14ac:dyDescent="0.3">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row>
    <row r="703" spans="1:30" ht="15.75" customHeight="1" x14ac:dyDescent="0.3">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row>
    <row r="704" spans="1:30" ht="15.75" customHeight="1" x14ac:dyDescent="0.3">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row>
    <row r="705" spans="1:30" ht="15.75" customHeight="1" x14ac:dyDescent="0.3">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row>
    <row r="706" spans="1:30" ht="15.75" customHeight="1" x14ac:dyDescent="0.3">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row>
    <row r="707" spans="1:30" ht="15.75" customHeight="1" x14ac:dyDescent="0.3">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row>
    <row r="708" spans="1:30" ht="15.75" customHeight="1" x14ac:dyDescent="0.3">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row>
    <row r="709" spans="1:30" ht="15.75" customHeight="1" x14ac:dyDescent="0.3">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row>
    <row r="710" spans="1:30" ht="15.75" customHeight="1" x14ac:dyDescent="0.3">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row>
    <row r="711" spans="1:30" ht="15.75" customHeight="1" x14ac:dyDescent="0.3">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row>
    <row r="712" spans="1:30" ht="15.75" customHeight="1" x14ac:dyDescent="0.3">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row>
    <row r="713" spans="1:30" ht="15.75" customHeight="1" x14ac:dyDescent="0.3">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row>
    <row r="714" spans="1:30" ht="15.75" customHeight="1" x14ac:dyDescent="0.3">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row>
    <row r="715" spans="1:30" ht="15.75" customHeight="1" x14ac:dyDescent="0.3">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row>
    <row r="716" spans="1:30" ht="15.75" customHeight="1" x14ac:dyDescent="0.3">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row>
    <row r="717" spans="1:30" ht="15.75" customHeight="1" x14ac:dyDescent="0.3">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row>
    <row r="718" spans="1:30" ht="15.75" customHeight="1" x14ac:dyDescent="0.3">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row>
    <row r="719" spans="1:30" ht="15.75" customHeight="1" x14ac:dyDescent="0.3">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row>
    <row r="720" spans="1:30" ht="15.75" customHeight="1" x14ac:dyDescent="0.3">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row>
    <row r="721" spans="1:30" ht="15.75" customHeight="1" x14ac:dyDescent="0.3">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row>
    <row r="722" spans="1:30" ht="15.75" customHeight="1" x14ac:dyDescent="0.3">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row>
    <row r="723" spans="1:30" ht="15.75" customHeight="1" x14ac:dyDescent="0.3">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row>
    <row r="724" spans="1:30" ht="15.75" customHeight="1" x14ac:dyDescent="0.3">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row>
    <row r="725" spans="1:30" ht="15.75" customHeight="1" x14ac:dyDescent="0.3">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row>
    <row r="726" spans="1:30" ht="15.75" customHeight="1" x14ac:dyDescent="0.3">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row>
    <row r="727" spans="1:30" ht="15.75" customHeight="1" x14ac:dyDescent="0.3">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row>
    <row r="728" spans="1:30" ht="15.75" customHeight="1" x14ac:dyDescent="0.3">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row>
    <row r="729" spans="1:30" ht="15.75" customHeight="1" x14ac:dyDescent="0.3">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row>
    <row r="730" spans="1:30" ht="15.75" customHeight="1" x14ac:dyDescent="0.3">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row>
    <row r="731" spans="1:30" ht="15.75" customHeight="1" x14ac:dyDescent="0.3">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row>
    <row r="732" spans="1:30" ht="15.75" customHeight="1" x14ac:dyDescent="0.3">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row>
    <row r="733" spans="1:30" ht="15.75" customHeight="1" x14ac:dyDescent="0.3">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row>
    <row r="734" spans="1:30" ht="15.75" customHeight="1" x14ac:dyDescent="0.3">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row>
    <row r="735" spans="1:30" ht="15.75" customHeight="1" x14ac:dyDescent="0.3">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row>
    <row r="736" spans="1:30" ht="15.75" customHeight="1" x14ac:dyDescent="0.3">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row>
    <row r="737" spans="1:30" ht="15.75" customHeight="1" x14ac:dyDescent="0.3">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row>
    <row r="738" spans="1:30" ht="15.75" customHeight="1" x14ac:dyDescent="0.3">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row>
    <row r="739" spans="1:30" ht="15.75" customHeight="1" x14ac:dyDescent="0.3">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row>
    <row r="740" spans="1:30" ht="15.75" customHeight="1" x14ac:dyDescent="0.3">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row>
    <row r="741" spans="1:30" ht="15.75" customHeight="1" x14ac:dyDescent="0.3">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row>
    <row r="742" spans="1:30" ht="15.75" customHeight="1" x14ac:dyDescent="0.3">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row>
    <row r="743" spans="1:30" ht="15.75" customHeight="1" x14ac:dyDescent="0.3">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row>
    <row r="744" spans="1:30" ht="15.75" customHeight="1" x14ac:dyDescent="0.3">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row>
    <row r="745" spans="1:30" ht="15.75" customHeight="1" x14ac:dyDescent="0.3">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row>
    <row r="746" spans="1:30" ht="15.75" customHeight="1" x14ac:dyDescent="0.3">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row>
    <row r="747" spans="1:30" ht="15.75" customHeight="1" x14ac:dyDescent="0.3">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row>
    <row r="748" spans="1:30" ht="15.75" customHeight="1" x14ac:dyDescent="0.3">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row>
    <row r="749" spans="1:30" ht="15.75" customHeight="1" x14ac:dyDescent="0.3">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row>
    <row r="750" spans="1:30" ht="15.75" customHeight="1" x14ac:dyDescent="0.3">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row>
    <row r="751" spans="1:30" ht="15.75" customHeight="1" x14ac:dyDescent="0.3">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row>
    <row r="752" spans="1:30" ht="15.75" customHeight="1" x14ac:dyDescent="0.3">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row>
    <row r="753" spans="1:30" ht="15.75" customHeight="1" x14ac:dyDescent="0.3">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row>
    <row r="754" spans="1:30" ht="15.75" customHeight="1" x14ac:dyDescent="0.3">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row>
    <row r="755" spans="1:30" ht="15.75" customHeight="1" x14ac:dyDescent="0.3">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row>
    <row r="756" spans="1:30" ht="15.75" customHeight="1" x14ac:dyDescent="0.3">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row>
    <row r="757" spans="1:30" ht="15.75" customHeight="1" x14ac:dyDescent="0.3">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row>
    <row r="758" spans="1:30" ht="15.75" customHeight="1" x14ac:dyDescent="0.3">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row>
    <row r="759" spans="1:30" ht="15.75" customHeight="1" x14ac:dyDescent="0.3">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row>
    <row r="760" spans="1:30" ht="15.75" customHeight="1" x14ac:dyDescent="0.3">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row>
    <row r="761" spans="1:30" ht="15.75" customHeight="1" x14ac:dyDescent="0.3">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row>
    <row r="762" spans="1:30" ht="15.75" customHeight="1" x14ac:dyDescent="0.3">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row>
    <row r="763" spans="1:30" ht="15.75" customHeight="1" x14ac:dyDescent="0.3">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row>
    <row r="764" spans="1:30" ht="15.75" customHeight="1" x14ac:dyDescent="0.3">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row>
    <row r="765" spans="1:30" ht="15.75" customHeight="1" x14ac:dyDescent="0.3">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row>
    <row r="766" spans="1:30" ht="15.75" customHeight="1" x14ac:dyDescent="0.3">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row>
    <row r="767" spans="1:30" ht="15.75" customHeight="1" x14ac:dyDescent="0.3">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row>
    <row r="768" spans="1:30" ht="15.75" customHeight="1" x14ac:dyDescent="0.3">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row>
    <row r="769" spans="1:30" ht="15.75" customHeight="1" x14ac:dyDescent="0.3">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row>
    <row r="770" spans="1:30" ht="15.75" customHeight="1" x14ac:dyDescent="0.3">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row>
    <row r="771" spans="1:30" ht="15.75" customHeight="1" x14ac:dyDescent="0.3">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row>
    <row r="772" spans="1:30" ht="15.75" customHeight="1" x14ac:dyDescent="0.3">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row>
    <row r="773" spans="1:30" ht="15.75" customHeight="1" x14ac:dyDescent="0.3">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row>
    <row r="774" spans="1:30" ht="15.75" customHeight="1" x14ac:dyDescent="0.3">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row>
    <row r="775" spans="1:30" ht="15.75" customHeight="1" x14ac:dyDescent="0.3">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row>
    <row r="776" spans="1:30" ht="15.75" customHeight="1" x14ac:dyDescent="0.3">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row>
    <row r="777" spans="1:30" ht="15.75" customHeight="1" x14ac:dyDescent="0.3">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row>
    <row r="778" spans="1:30" ht="15.75" customHeight="1" x14ac:dyDescent="0.3">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row>
    <row r="779" spans="1:30" ht="15.75" customHeight="1" x14ac:dyDescent="0.3">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row>
    <row r="780" spans="1:30" ht="15.75" customHeight="1" x14ac:dyDescent="0.3">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row>
    <row r="781" spans="1:30" ht="15.75" customHeight="1" x14ac:dyDescent="0.3">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row>
    <row r="782" spans="1:30" ht="15.75" customHeight="1" x14ac:dyDescent="0.3">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row>
    <row r="783" spans="1:30" ht="15.75" customHeight="1" x14ac:dyDescent="0.3">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row>
    <row r="784" spans="1:30" ht="15.75" customHeight="1" x14ac:dyDescent="0.3">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row>
    <row r="785" spans="1:30" ht="15.75" customHeight="1" x14ac:dyDescent="0.3">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row>
    <row r="786" spans="1:30" ht="15.75" customHeight="1" x14ac:dyDescent="0.3">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row>
    <row r="787" spans="1:30" ht="15.75" customHeight="1" x14ac:dyDescent="0.3">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row>
    <row r="788" spans="1:30" ht="15.75" customHeight="1" x14ac:dyDescent="0.3">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row>
    <row r="789" spans="1:30" ht="15.75" customHeight="1" x14ac:dyDescent="0.3">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row>
    <row r="790" spans="1:30" ht="15.75" customHeight="1" x14ac:dyDescent="0.3">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row>
    <row r="791" spans="1:30" ht="15.75" customHeight="1" x14ac:dyDescent="0.3">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row>
    <row r="792" spans="1:30" ht="15.75" customHeight="1" x14ac:dyDescent="0.3">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row>
    <row r="793" spans="1:30" ht="15.75" customHeight="1" x14ac:dyDescent="0.3">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row>
    <row r="794" spans="1:30" ht="15.75" customHeight="1" x14ac:dyDescent="0.3">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row>
    <row r="795" spans="1:30" ht="15.75" customHeight="1" x14ac:dyDescent="0.3">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row>
    <row r="796" spans="1:30" ht="15.75" customHeight="1" x14ac:dyDescent="0.3">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row>
    <row r="797" spans="1:30" ht="15.75" customHeight="1" x14ac:dyDescent="0.3">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row>
    <row r="798" spans="1:30" ht="15.75" customHeight="1" x14ac:dyDescent="0.3">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row>
    <row r="799" spans="1:30" ht="15.75" customHeight="1" x14ac:dyDescent="0.3">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row>
    <row r="800" spans="1:30" ht="15.75" customHeight="1" x14ac:dyDescent="0.3">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row>
    <row r="801" spans="1:30" ht="15.75" customHeight="1" x14ac:dyDescent="0.3">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row>
    <row r="802" spans="1:30" ht="15.75" customHeight="1" x14ac:dyDescent="0.3">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row>
    <row r="803" spans="1:30" ht="15.75" customHeight="1" x14ac:dyDescent="0.3">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row>
    <row r="804" spans="1:30" ht="15.75" customHeight="1" x14ac:dyDescent="0.3">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row>
    <row r="805" spans="1:30" ht="15.75" customHeight="1" x14ac:dyDescent="0.3">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row>
    <row r="806" spans="1:30" ht="15.75" customHeight="1" x14ac:dyDescent="0.3">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row>
    <row r="807" spans="1:30" ht="15.75" customHeight="1" x14ac:dyDescent="0.3">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row>
    <row r="808" spans="1:30" ht="15.75" customHeight="1" x14ac:dyDescent="0.3">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row>
    <row r="809" spans="1:30" ht="15.75" customHeight="1" x14ac:dyDescent="0.3">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row>
    <row r="810" spans="1:30" ht="15.75" customHeight="1" x14ac:dyDescent="0.3">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row>
    <row r="811" spans="1:30" ht="15.75" customHeight="1" x14ac:dyDescent="0.3">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row>
    <row r="812" spans="1:30" ht="15.75" customHeight="1" x14ac:dyDescent="0.3">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row>
    <row r="813" spans="1:30" ht="15.75" customHeight="1" x14ac:dyDescent="0.3">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row>
    <row r="814" spans="1:30" ht="15.75" customHeight="1" x14ac:dyDescent="0.3">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row>
    <row r="815" spans="1:30" ht="15.75" customHeight="1" x14ac:dyDescent="0.3">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row>
    <row r="816" spans="1:30" ht="15.75" customHeight="1" x14ac:dyDescent="0.3">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row>
    <row r="817" spans="1:30" ht="15.75" customHeight="1" x14ac:dyDescent="0.3">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row>
    <row r="818" spans="1:30" ht="15.75" customHeight="1" x14ac:dyDescent="0.3">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row>
    <row r="819" spans="1:30" ht="15.75" customHeight="1" x14ac:dyDescent="0.3">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row>
    <row r="820" spans="1:30" ht="15.75" customHeight="1" x14ac:dyDescent="0.3">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row>
    <row r="821" spans="1:30" ht="15.75" customHeight="1" x14ac:dyDescent="0.3">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row>
    <row r="822" spans="1:30" ht="15.75" customHeight="1" x14ac:dyDescent="0.3">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row>
    <row r="823" spans="1:30" ht="15.75" customHeight="1" x14ac:dyDescent="0.3">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row>
    <row r="824" spans="1:30" ht="15.75" customHeight="1" x14ac:dyDescent="0.3">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row>
    <row r="825" spans="1:30" ht="15.75" customHeight="1" x14ac:dyDescent="0.3">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row>
    <row r="826" spans="1:30" ht="15.75" customHeight="1" x14ac:dyDescent="0.3">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row>
    <row r="827" spans="1:30" ht="15.75" customHeight="1" x14ac:dyDescent="0.3">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row>
    <row r="828" spans="1:30" ht="15.75" customHeight="1" x14ac:dyDescent="0.3">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row>
    <row r="829" spans="1:30" ht="15.75" customHeight="1" x14ac:dyDescent="0.3">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row>
    <row r="830" spans="1:30" ht="15.75" customHeight="1" x14ac:dyDescent="0.3">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row>
    <row r="831" spans="1:30" ht="15.75" customHeight="1" x14ac:dyDescent="0.3">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row>
    <row r="832" spans="1:30" ht="15.75" customHeight="1" x14ac:dyDescent="0.3">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row>
    <row r="833" spans="1:30" ht="15.75" customHeight="1" x14ac:dyDescent="0.3">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row>
    <row r="834" spans="1:30" ht="15.75" customHeight="1" x14ac:dyDescent="0.3">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row>
    <row r="835" spans="1:30" ht="15.75" customHeight="1" x14ac:dyDescent="0.3">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row>
    <row r="836" spans="1:30" ht="15.75" customHeight="1" x14ac:dyDescent="0.3">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row>
    <row r="837" spans="1:30" ht="15.75" customHeight="1" x14ac:dyDescent="0.3">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row>
    <row r="838" spans="1:30" ht="15.75" customHeight="1" x14ac:dyDescent="0.3">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row>
    <row r="839" spans="1:30" ht="15.75" customHeight="1" x14ac:dyDescent="0.3">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row>
    <row r="840" spans="1:30" ht="15.75" customHeight="1" x14ac:dyDescent="0.3">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row>
    <row r="841" spans="1:30" ht="15.75" customHeight="1" x14ac:dyDescent="0.3">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row>
    <row r="842" spans="1:30" ht="15.75" customHeight="1" x14ac:dyDescent="0.3">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row>
    <row r="843" spans="1:30" ht="15.75" customHeight="1" x14ac:dyDescent="0.3">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row>
    <row r="844" spans="1:30" ht="15.75" customHeight="1" x14ac:dyDescent="0.3">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row>
    <row r="845" spans="1:30" ht="15.75" customHeight="1" x14ac:dyDescent="0.3">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row>
    <row r="846" spans="1:30" ht="15.75" customHeight="1" x14ac:dyDescent="0.3">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row>
    <row r="847" spans="1:30" ht="15.75" customHeight="1" x14ac:dyDescent="0.3">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row>
    <row r="848" spans="1:30" ht="15.75" customHeight="1" x14ac:dyDescent="0.3">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row>
    <row r="849" spans="1:30" ht="15.75" customHeight="1" x14ac:dyDescent="0.3">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row>
    <row r="850" spans="1:30" ht="15.75" customHeight="1" x14ac:dyDescent="0.3">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row>
    <row r="851" spans="1:30" ht="15.75" customHeight="1" x14ac:dyDescent="0.3">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row>
    <row r="852" spans="1:30" ht="15.75" customHeight="1" x14ac:dyDescent="0.3">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row>
    <row r="853" spans="1:30" ht="15.75" customHeight="1" x14ac:dyDescent="0.3">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row>
    <row r="854" spans="1:30" ht="15.75" customHeight="1" x14ac:dyDescent="0.3">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row>
    <row r="855" spans="1:30" ht="15.75" customHeight="1" x14ac:dyDescent="0.3">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row>
    <row r="856" spans="1:30" ht="15.75" customHeight="1" x14ac:dyDescent="0.3">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row>
    <row r="857" spans="1:30" ht="15.75" customHeight="1" x14ac:dyDescent="0.3">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row>
    <row r="858" spans="1:30" ht="15.75" customHeight="1" x14ac:dyDescent="0.3">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row>
    <row r="859" spans="1:30" ht="15.75" customHeight="1" x14ac:dyDescent="0.3">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row>
    <row r="860" spans="1:30" ht="15.75" customHeight="1" x14ac:dyDescent="0.3">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row>
    <row r="861" spans="1:30" ht="15.75" customHeight="1" x14ac:dyDescent="0.3">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row>
    <row r="862" spans="1:30" ht="15.75" customHeight="1" x14ac:dyDescent="0.3">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row>
    <row r="863" spans="1:30" ht="15.75" customHeight="1" x14ac:dyDescent="0.3">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row>
    <row r="864" spans="1:30" ht="15.75" customHeight="1" x14ac:dyDescent="0.3">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row>
    <row r="865" spans="1:30" ht="15.75" customHeight="1" x14ac:dyDescent="0.3">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row>
    <row r="866" spans="1:30" ht="15.75" customHeight="1" x14ac:dyDescent="0.3">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row>
    <row r="867" spans="1:30" ht="15.75" customHeight="1" x14ac:dyDescent="0.3">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row>
    <row r="868" spans="1:30" ht="15.75" customHeight="1" x14ac:dyDescent="0.3">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row>
    <row r="869" spans="1:30" ht="15.75" customHeight="1" x14ac:dyDescent="0.3">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row>
    <row r="870" spans="1:30" ht="15.75" customHeight="1" x14ac:dyDescent="0.3">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row>
    <row r="871" spans="1:30" ht="15.75" customHeight="1" x14ac:dyDescent="0.3">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row>
    <row r="872" spans="1:30" ht="15.75" customHeight="1" x14ac:dyDescent="0.3">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row>
    <row r="873" spans="1:30" ht="15.75" customHeight="1" x14ac:dyDescent="0.3">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row>
    <row r="874" spans="1:30" ht="15.75" customHeight="1" x14ac:dyDescent="0.3">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row>
    <row r="875" spans="1:30" ht="15.75" customHeight="1" x14ac:dyDescent="0.3">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row>
    <row r="876" spans="1:30" ht="15.75" customHeight="1" x14ac:dyDescent="0.3">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row>
    <row r="877" spans="1:30" ht="15.75" customHeight="1" x14ac:dyDescent="0.3">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row>
    <row r="878" spans="1:30" ht="15.75" customHeight="1" x14ac:dyDescent="0.3">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row>
    <row r="879" spans="1:30" ht="15.75" customHeight="1" x14ac:dyDescent="0.3">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row>
    <row r="880" spans="1:30" ht="15.75" customHeight="1" x14ac:dyDescent="0.3">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row>
    <row r="881" spans="1:30" ht="15.75" customHeight="1" x14ac:dyDescent="0.3">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row>
    <row r="882" spans="1:30" ht="15.75" customHeight="1" x14ac:dyDescent="0.3">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row>
    <row r="883" spans="1:30" ht="15.75" customHeight="1" x14ac:dyDescent="0.3">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row>
    <row r="884" spans="1:30" ht="15.75" customHeight="1" x14ac:dyDescent="0.3">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row>
    <row r="885" spans="1:30" ht="15.75" customHeight="1" x14ac:dyDescent="0.3">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row>
    <row r="886" spans="1:30" ht="15.75" customHeight="1" x14ac:dyDescent="0.3">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row>
    <row r="887" spans="1:30" ht="15.75" customHeight="1" x14ac:dyDescent="0.3">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row>
    <row r="888" spans="1:30" ht="15.75" customHeight="1" x14ac:dyDescent="0.3">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row>
    <row r="889" spans="1:30" ht="15.75" customHeight="1" x14ac:dyDescent="0.3">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row>
    <row r="890" spans="1:30" ht="15.75" customHeight="1" x14ac:dyDescent="0.3">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row>
    <row r="891" spans="1:30" ht="15.75" customHeight="1" x14ac:dyDescent="0.3">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row>
    <row r="892" spans="1:30" ht="15.75" customHeight="1" x14ac:dyDescent="0.3">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row>
    <row r="893" spans="1:30" ht="15.75" customHeight="1" x14ac:dyDescent="0.3">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row>
    <row r="894" spans="1:30" ht="15.75" customHeight="1" x14ac:dyDescent="0.3">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row>
    <row r="895" spans="1:30" ht="15.75" customHeight="1" x14ac:dyDescent="0.3">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row>
    <row r="896" spans="1:30" ht="15.75" customHeight="1" x14ac:dyDescent="0.3">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row>
    <row r="897" spans="1:30" ht="15.75" customHeight="1" x14ac:dyDescent="0.3">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row>
    <row r="898" spans="1:30" ht="15.75" customHeight="1" x14ac:dyDescent="0.3">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row>
    <row r="899" spans="1:30" ht="15.75" customHeight="1" x14ac:dyDescent="0.3">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row>
    <row r="900" spans="1:30" ht="15.75" customHeight="1" x14ac:dyDescent="0.3">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row>
    <row r="901" spans="1:30" ht="15.75" customHeight="1" x14ac:dyDescent="0.3">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row>
    <row r="902" spans="1:30" ht="15.75" customHeight="1" x14ac:dyDescent="0.3">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row>
    <row r="903" spans="1:30" ht="15.75" customHeight="1" x14ac:dyDescent="0.3">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row>
    <row r="904" spans="1:30" ht="15.75" customHeight="1" x14ac:dyDescent="0.3">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row>
    <row r="905" spans="1:30" ht="15.75" customHeight="1" x14ac:dyDescent="0.3">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row>
    <row r="906" spans="1:30" ht="15.75" customHeight="1" x14ac:dyDescent="0.3">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row>
    <row r="907" spans="1:30" ht="15.75" customHeight="1" x14ac:dyDescent="0.3">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row>
    <row r="908" spans="1:30" ht="15.75" customHeight="1" x14ac:dyDescent="0.3">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row>
    <row r="909" spans="1:30" ht="15.75" customHeight="1" x14ac:dyDescent="0.3">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row>
    <row r="910" spans="1:30" ht="15.75" customHeight="1" x14ac:dyDescent="0.3">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row>
    <row r="911" spans="1:30" ht="15.75" customHeight="1" x14ac:dyDescent="0.3">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row>
    <row r="912" spans="1:30" ht="15.75" customHeight="1" x14ac:dyDescent="0.3">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row>
    <row r="913" spans="1:30" ht="15.75" customHeight="1" x14ac:dyDescent="0.3">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row>
    <row r="914" spans="1:30" ht="15.75" customHeight="1" x14ac:dyDescent="0.3">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row>
    <row r="915" spans="1:30" ht="15.75" customHeight="1" x14ac:dyDescent="0.3">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row>
    <row r="916" spans="1:30" ht="15.75" customHeight="1" x14ac:dyDescent="0.3">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row>
    <row r="917" spans="1:30" ht="15.75" customHeight="1" x14ac:dyDescent="0.3">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row>
    <row r="918" spans="1:30" ht="15.75" customHeight="1" x14ac:dyDescent="0.3">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row>
    <row r="919" spans="1:30" ht="15.75" customHeight="1" x14ac:dyDescent="0.3">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row>
    <row r="920" spans="1:30" ht="15.75" customHeight="1" x14ac:dyDescent="0.3">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row>
    <row r="921" spans="1:30" ht="15.75" customHeight="1" x14ac:dyDescent="0.3">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row>
    <row r="922" spans="1:30" ht="15.75" customHeight="1" x14ac:dyDescent="0.3">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row>
    <row r="923" spans="1:30" ht="15.75" customHeight="1" x14ac:dyDescent="0.3">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row>
    <row r="924" spans="1:30" ht="15.75" customHeight="1" x14ac:dyDescent="0.3">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row>
    <row r="925" spans="1:30" ht="15.75" customHeight="1" x14ac:dyDescent="0.3">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row>
    <row r="926" spans="1:30" ht="15.75" customHeight="1" x14ac:dyDescent="0.3">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row>
    <row r="927" spans="1:30" ht="15.75" customHeight="1" x14ac:dyDescent="0.3">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row>
    <row r="928" spans="1:30" ht="15.75" customHeight="1" x14ac:dyDescent="0.3">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row>
    <row r="929" spans="1:30" ht="15.75" customHeight="1" x14ac:dyDescent="0.3">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row>
    <row r="930" spans="1:30" ht="15.75" customHeight="1" x14ac:dyDescent="0.3">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row>
    <row r="931" spans="1:30" ht="15.75" customHeight="1" x14ac:dyDescent="0.3">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row>
    <row r="932" spans="1:30" ht="15.75" customHeight="1" x14ac:dyDescent="0.3">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row>
    <row r="933" spans="1:30" ht="15.75" customHeight="1" x14ac:dyDescent="0.3">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row>
    <row r="934" spans="1:30" ht="15.75" customHeight="1" x14ac:dyDescent="0.3">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row>
    <row r="935" spans="1:30" ht="15.75" customHeight="1" x14ac:dyDescent="0.3">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row>
    <row r="936" spans="1:30" ht="15.75" customHeight="1" x14ac:dyDescent="0.3">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row>
    <row r="937" spans="1:30" ht="15.75" customHeight="1" x14ac:dyDescent="0.3">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row>
    <row r="938" spans="1:30" ht="15.75" customHeight="1" x14ac:dyDescent="0.3">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row>
    <row r="939" spans="1:30" ht="15.75" customHeight="1" x14ac:dyDescent="0.3">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row>
    <row r="940" spans="1:30" ht="15.75" customHeight="1" x14ac:dyDescent="0.3">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row>
    <row r="941" spans="1:30" ht="15.75" customHeight="1" x14ac:dyDescent="0.3">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row>
    <row r="942" spans="1:30" ht="15.75" customHeight="1" x14ac:dyDescent="0.3">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row>
    <row r="943" spans="1:30" ht="15.75" customHeight="1" x14ac:dyDescent="0.3">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row>
    <row r="944" spans="1:30" ht="15.75" customHeight="1" x14ac:dyDescent="0.3">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row>
    <row r="945" spans="1:30" ht="15.75" customHeight="1" x14ac:dyDescent="0.3">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row>
    <row r="946" spans="1:30" ht="15.75" customHeight="1" x14ac:dyDescent="0.3">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row>
    <row r="947" spans="1:30" ht="15.75" customHeight="1" x14ac:dyDescent="0.3">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row>
    <row r="948" spans="1:30" ht="15.75" customHeight="1" x14ac:dyDescent="0.3">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row>
    <row r="949" spans="1:30" ht="15.75" customHeight="1" x14ac:dyDescent="0.3">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row>
    <row r="950" spans="1:30" ht="15.75" customHeight="1" x14ac:dyDescent="0.3">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row>
    <row r="951" spans="1:30" ht="15.75" customHeight="1" x14ac:dyDescent="0.3">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row>
    <row r="952" spans="1:30" ht="15.75" customHeight="1" x14ac:dyDescent="0.3">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row>
    <row r="953" spans="1:30" ht="15.75" customHeight="1" x14ac:dyDescent="0.3">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row>
    <row r="954" spans="1:30" ht="15.75" customHeight="1" x14ac:dyDescent="0.3">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row>
    <row r="955" spans="1:30" ht="15.75" customHeight="1" x14ac:dyDescent="0.3">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row>
    <row r="956" spans="1:30" ht="15.75" customHeight="1" x14ac:dyDescent="0.3">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row>
    <row r="957" spans="1:30" ht="15.75" customHeight="1" x14ac:dyDescent="0.3">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row>
    <row r="958" spans="1:30" ht="15.75" customHeight="1" x14ac:dyDescent="0.3">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row>
    <row r="959" spans="1:30" ht="15.75" customHeight="1" x14ac:dyDescent="0.3">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row>
    <row r="960" spans="1:30" ht="15.75" customHeight="1" x14ac:dyDescent="0.3">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row>
    <row r="961" spans="1:30" ht="15.75" customHeight="1" x14ac:dyDescent="0.3">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row>
    <row r="962" spans="1:30" ht="15.75" customHeight="1" x14ac:dyDescent="0.3">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row>
    <row r="963" spans="1:30" ht="15.75" customHeight="1" x14ac:dyDescent="0.3">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row>
    <row r="964" spans="1:30" ht="15.75" customHeight="1" x14ac:dyDescent="0.3">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row>
    <row r="965" spans="1:30" ht="15.75" customHeight="1" x14ac:dyDescent="0.3">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row>
    <row r="966" spans="1:30" ht="15.75" customHeight="1" x14ac:dyDescent="0.3">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row>
    <row r="967" spans="1:30" ht="15.75" customHeight="1" x14ac:dyDescent="0.3">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row>
    <row r="968" spans="1:30" ht="15.75" customHeight="1" x14ac:dyDescent="0.3">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row>
    <row r="969" spans="1:30" ht="15.75" customHeight="1" x14ac:dyDescent="0.3">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row>
    <row r="970" spans="1:30" ht="15.75" customHeight="1" x14ac:dyDescent="0.3">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row>
    <row r="971" spans="1:30" ht="15.75" customHeight="1" x14ac:dyDescent="0.3">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row>
    <row r="972" spans="1:30" ht="15.75" customHeight="1" x14ac:dyDescent="0.3">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row>
    <row r="973" spans="1:30" ht="15.75" customHeight="1" x14ac:dyDescent="0.3">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row>
    <row r="974" spans="1:30" ht="15.75" customHeight="1" x14ac:dyDescent="0.3">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row>
    <row r="975" spans="1:30" ht="15.75" customHeight="1" x14ac:dyDescent="0.3">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row>
    <row r="976" spans="1:30" ht="15.75" customHeight="1" x14ac:dyDescent="0.3">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row>
    <row r="977" spans="1:30" ht="15.75" customHeight="1" x14ac:dyDescent="0.3">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row>
    <row r="978" spans="1:30" ht="15.75" customHeight="1" x14ac:dyDescent="0.3">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row>
    <row r="979" spans="1:30" ht="15.75" customHeight="1" x14ac:dyDescent="0.3">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row>
    <row r="980" spans="1:30" ht="15.75" customHeight="1" x14ac:dyDescent="0.3">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row>
    <row r="981" spans="1:30" ht="15.75" customHeight="1" x14ac:dyDescent="0.3">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row>
    <row r="982" spans="1:30" ht="15.75" customHeight="1" x14ac:dyDescent="0.3">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row>
    <row r="983" spans="1:30" ht="15.75" customHeight="1" x14ac:dyDescent="0.3">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row>
    <row r="984" spans="1:30" ht="15.75" customHeight="1" x14ac:dyDescent="0.3">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row>
    <row r="985" spans="1:30" ht="15.75" customHeight="1" x14ac:dyDescent="0.3">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row>
    <row r="986" spans="1:30" ht="15.75" customHeight="1" x14ac:dyDescent="0.3">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row>
    <row r="987" spans="1:30" ht="15.75" customHeight="1" x14ac:dyDescent="0.3">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row>
    <row r="988" spans="1:30" ht="15.75" customHeight="1" x14ac:dyDescent="0.3">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row>
    <row r="989" spans="1:30" ht="15.75" customHeight="1" x14ac:dyDescent="0.3">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row>
    <row r="990" spans="1:30" ht="15.75" customHeight="1" x14ac:dyDescent="0.3">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row>
    <row r="991" spans="1:30" ht="15.75" customHeight="1" x14ac:dyDescent="0.3">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row>
    <row r="992" spans="1:30" ht="15.75" customHeight="1" x14ac:dyDescent="0.3">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c r="AB992" s="192"/>
      <c r="AC992" s="192"/>
      <c r="AD992" s="192"/>
    </row>
    <row r="993" spans="1:30" ht="15.75" customHeight="1" x14ac:dyDescent="0.3">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c r="AB993" s="192"/>
      <c r="AC993" s="192"/>
      <c r="AD993" s="192"/>
    </row>
    <row r="994" spans="1:30" ht="15.75" customHeight="1" x14ac:dyDescent="0.3">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c r="AB994" s="192"/>
      <c r="AC994" s="192"/>
      <c r="AD994" s="192"/>
    </row>
    <row r="995" spans="1:30" ht="15.75" customHeight="1" x14ac:dyDescent="0.3">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c r="AB995" s="192"/>
      <c r="AC995" s="192"/>
      <c r="AD995" s="192"/>
    </row>
    <row r="996" spans="1:30" ht="15.75" customHeight="1" x14ac:dyDescent="0.3">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c r="AB996" s="192"/>
      <c r="AC996" s="192"/>
      <c r="AD996" s="192"/>
    </row>
    <row r="997" spans="1:30" ht="15.75" customHeight="1" x14ac:dyDescent="0.3">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c r="AB997" s="192"/>
      <c r="AC997" s="192"/>
      <c r="AD997" s="192"/>
    </row>
    <row r="998" spans="1:30" ht="15.75" customHeight="1" x14ac:dyDescent="0.3">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c r="AB998" s="192"/>
      <c r="AC998" s="192"/>
      <c r="AD998" s="192"/>
    </row>
    <row r="999" spans="1:30" ht="15.75" customHeight="1" x14ac:dyDescent="0.3">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c r="AB999" s="192"/>
      <c r="AC999" s="192"/>
      <c r="AD999" s="192"/>
    </row>
    <row r="1000" spans="1:30" ht="15.75" customHeight="1" x14ac:dyDescent="0.3">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c r="AB1000" s="192"/>
      <c r="AC1000" s="192"/>
      <c r="AD1000" s="192"/>
    </row>
  </sheetData>
  <mergeCells count="55">
    <mergeCell ref="E21:H21"/>
    <mergeCell ref="I21:J21"/>
    <mergeCell ref="E22:H22"/>
    <mergeCell ref="I22:J22"/>
    <mergeCell ref="E24:H24"/>
    <mergeCell ref="I24:J24"/>
    <mergeCell ref="E18:H18"/>
    <mergeCell ref="I18:J18"/>
    <mergeCell ref="I19:J19"/>
    <mergeCell ref="E19:H19"/>
    <mergeCell ref="E20:H20"/>
    <mergeCell ref="I20:J20"/>
    <mergeCell ref="C11:E11"/>
    <mergeCell ref="F11:G11"/>
    <mergeCell ref="H11:I11"/>
    <mergeCell ref="C13:E13"/>
    <mergeCell ref="C16:D22"/>
    <mergeCell ref="C12:E12"/>
    <mergeCell ref="F12:G12"/>
    <mergeCell ref="H12:I12"/>
    <mergeCell ref="F13:G13"/>
    <mergeCell ref="H13:I13"/>
    <mergeCell ref="C15:H15"/>
    <mergeCell ref="I15:J15"/>
    <mergeCell ref="E16:H16"/>
    <mergeCell ref="I16:J16"/>
    <mergeCell ref="E17:H17"/>
    <mergeCell ref="I17:J17"/>
    <mergeCell ref="F9:G9"/>
    <mergeCell ref="H9:I9"/>
    <mergeCell ref="C9:E9"/>
    <mergeCell ref="C10:E10"/>
    <mergeCell ref="F10:G10"/>
    <mergeCell ref="H10:I10"/>
    <mergeCell ref="E2:K5"/>
    <mergeCell ref="C6:J6"/>
    <mergeCell ref="C8:E8"/>
    <mergeCell ref="F8:G8"/>
    <mergeCell ref="H8:I8"/>
    <mergeCell ref="C32:H32"/>
    <mergeCell ref="I32:J32"/>
    <mergeCell ref="E27:H27"/>
    <mergeCell ref="E28:H28"/>
    <mergeCell ref="I28:J28"/>
    <mergeCell ref="E30:H30"/>
    <mergeCell ref="I30:J30"/>
    <mergeCell ref="C31:H31"/>
    <mergeCell ref="I31:J31"/>
    <mergeCell ref="C24:D28"/>
    <mergeCell ref="C30:D30"/>
    <mergeCell ref="E25:H25"/>
    <mergeCell ref="I25:J25"/>
    <mergeCell ref="E26:H26"/>
    <mergeCell ref="I26:J26"/>
    <mergeCell ref="I27:J27"/>
  </mergeCells>
  <printOptions horizontalCentered="1" gridLines="1"/>
  <pageMargins left="0.7" right="0.7" top="0.75" bottom="0.75" header="0" footer="0"/>
  <pageSetup paperSize="9" fitToHeight="0" pageOrder="overThenDown" orientation="portrait"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outlinePr summaryBelow="0" summaryRight="0"/>
    <pageSetUpPr fitToPage="1"/>
  </sheetPr>
  <dimension ref="A1:AJ1000"/>
  <sheetViews>
    <sheetView showGridLines="0" workbookViewId="0"/>
  </sheetViews>
  <sheetFormatPr defaultColWidth="12.6640625" defaultRowHeight="15" customHeight="1" x14ac:dyDescent="0.25"/>
  <cols>
    <col min="1" max="1" width="2.88671875" customWidth="1"/>
    <col min="2" max="12" width="3" customWidth="1"/>
    <col min="13" max="13" width="4" customWidth="1"/>
    <col min="14" max="14" width="3.6640625" customWidth="1"/>
    <col min="15" max="19" width="3" customWidth="1"/>
    <col min="20" max="20" width="4.88671875" customWidth="1"/>
    <col min="21" max="21" width="3" customWidth="1"/>
    <col min="22" max="22" width="3.88671875" customWidth="1"/>
    <col min="23" max="26" width="3" customWidth="1"/>
    <col min="27" max="27" width="2.6640625" customWidth="1"/>
    <col min="28" max="30" width="3" customWidth="1"/>
    <col min="31" max="36" width="2.88671875" customWidth="1"/>
  </cols>
  <sheetData>
    <row r="1" spans="1:36" ht="22.5" customHeight="1" x14ac:dyDescent="0.25">
      <c r="A1" s="332"/>
      <c r="B1" s="333"/>
      <c r="C1" s="333"/>
      <c r="D1" s="333"/>
      <c r="E1" s="333"/>
      <c r="F1" s="334"/>
      <c r="G1" s="334"/>
      <c r="H1" s="334"/>
      <c r="I1" s="334"/>
      <c r="J1" s="334"/>
      <c r="K1" s="334"/>
      <c r="L1" s="334"/>
      <c r="M1" s="334"/>
      <c r="N1" s="334"/>
      <c r="O1" s="334"/>
      <c r="P1" s="334"/>
      <c r="Q1" s="334"/>
      <c r="R1" s="334"/>
      <c r="S1" s="334"/>
      <c r="T1" s="334"/>
      <c r="U1" s="334"/>
      <c r="V1" s="334"/>
      <c r="W1" s="334"/>
      <c r="X1" s="334"/>
      <c r="Y1" s="334"/>
      <c r="Z1" s="334"/>
      <c r="AA1" s="334"/>
      <c r="AB1" s="334"/>
      <c r="AC1" s="334"/>
      <c r="AD1" s="334"/>
      <c r="AE1" s="335"/>
      <c r="AF1" s="335"/>
      <c r="AG1" s="335"/>
      <c r="AH1" s="335"/>
      <c r="AI1" s="335"/>
      <c r="AJ1" s="335"/>
    </row>
    <row r="2" spans="1:36" ht="15" customHeight="1" x14ac:dyDescent="0.25">
      <c r="A2" s="336"/>
      <c r="B2" s="748"/>
      <c r="C2" s="561"/>
      <c r="D2" s="561"/>
      <c r="E2" s="749"/>
      <c r="F2" s="753" t="s">
        <v>305</v>
      </c>
      <c r="G2" s="561"/>
      <c r="H2" s="561"/>
      <c r="I2" s="561"/>
      <c r="J2" s="561"/>
      <c r="K2" s="561"/>
      <c r="L2" s="561"/>
      <c r="M2" s="561"/>
      <c r="N2" s="561"/>
      <c r="O2" s="561"/>
      <c r="P2" s="561"/>
      <c r="Q2" s="561"/>
      <c r="R2" s="561"/>
      <c r="S2" s="561"/>
      <c r="T2" s="561"/>
      <c r="U2" s="561"/>
      <c r="V2" s="561"/>
      <c r="W2" s="561"/>
      <c r="X2" s="561"/>
      <c r="Y2" s="561"/>
      <c r="Z2" s="561"/>
      <c r="AA2" s="561"/>
      <c r="AB2" s="561"/>
      <c r="AC2" s="561"/>
      <c r="AD2" s="548"/>
      <c r="AE2" s="337"/>
      <c r="AF2" s="335"/>
      <c r="AG2" s="335"/>
      <c r="AH2" s="335"/>
      <c r="AI2" s="335"/>
      <c r="AJ2" s="335"/>
    </row>
    <row r="3" spans="1:36" ht="22.5" customHeight="1" x14ac:dyDescent="0.25">
      <c r="A3" s="336"/>
      <c r="B3" s="562"/>
      <c r="C3" s="502"/>
      <c r="D3" s="502"/>
      <c r="E3" s="750"/>
      <c r="F3" s="502"/>
      <c r="G3" s="502"/>
      <c r="H3" s="502"/>
      <c r="I3" s="502"/>
      <c r="J3" s="502"/>
      <c r="K3" s="502"/>
      <c r="L3" s="502"/>
      <c r="M3" s="502"/>
      <c r="N3" s="502"/>
      <c r="O3" s="502"/>
      <c r="P3" s="502"/>
      <c r="Q3" s="502"/>
      <c r="R3" s="502"/>
      <c r="S3" s="502"/>
      <c r="T3" s="502"/>
      <c r="U3" s="502"/>
      <c r="V3" s="502"/>
      <c r="W3" s="502"/>
      <c r="X3" s="502"/>
      <c r="Y3" s="502"/>
      <c r="Z3" s="502"/>
      <c r="AA3" s="502"/>
      <c r="AB3" s="502"/>
      <c r="AC3" s="502"/>
      <c r="AD3" s="665"/>
      <c r="AE3" s="337"/>
      <c r="AF3" s="335"/>
      <c r="AG3" s="335"/>
      <c r="AH3" s="335"/>
      <c r="AI3" s="335"/>
      <c r="AJ3" s="335"/>
    </row>
    <row r="4" spans="1:36" ht="22.5" customHeight="1" x14ac:dyDescent="0.25">
      <c r="A4" s="336"/>
      <c r="B4" s="562"/>
      <c r="C4" s="502"/>
      <c r="D4" s="502"/>
      <c r="E4" s="750"/>
      <c r="F4" s="502"/>
      <c r="G4" s="502"/>
      <c r="H4" s="502"/>
      <c r="I4" s="502"/>
      <c r="J4" s="502"/>
      <c r="K4" s="502"/>
      <c r="L4" s="502"/>
      <c r="M4" s="502"/>
      <c r="N4" s="502"/>
      <c r="O4" s="502"/>
      <c r="P4" s="502"/>
      <c r="Q4" s="502"/>
      <c r="R4" s="502"/>
      <c r="S4" s="502"/>
      <c r="T4" s="502"/>
      <c r="U4" s="502"/>
      <c r="V4" s="502"/>
      <c r="W4" s="502"/>
      <c r="X4" s="502"/>
      <c r="Y4" s="502"/>
      <c r="Z4" s="502"/>
      <c r="AA4" s="502"/>
      <c r="AB4" s="502"/>
      <c r="AC4" s="502"/>
      <c r="AD4" s="665"/>
      <c r="AE4" s="337"/>
      <c r="AF4" s="335"/>
      <c r="AG4" s="335"/>
      <c r="AH4" s="335"/>
      <c r="AI4" s="335"/>
      <c r="AJ4" s="335"/>
    </row>
    <row r="5" spans="1:36" ht="15.75" customHeight="1" x14ac:dyDescent="0.25">
      <c r="A5" s="336"/>
      <c r="B5" s="751"/>
      <c r="C5" s="696"/>
      <c r="D5" s="696"/>
      <c r="E5" s="752"/>
      <c r="F5" s="696"/>
      <c r="G5" s="696"/>
      <c r="H5" s="696"/>
      <c r="I5" s="696"/>
      <c r="J5" s="696"/>
      <c r="K5" s="696"/>
      <c r="L5" s="696"/>
      <c r="M5" s="696"/>
      <c r="N5" s="696"/>
      <c r="O5" s="696"/>
      <c r="P5" s="696"/>
      <c r="Q5" s="696"/>
      <c r="R5" s="696"/>
      <c r="S5" s="696"/>
      <c r="T5" s="696"/>
      <c r="U5" s="696"/>
      <c r="V5" s="696"/>
      <c r="W5" s="696"/>
      <c r="X5" s="696"/>
      <c r="Y5" s="696"/>
      <c r="Z5" s="696"/>
      <c r="AA5" s="696"/>
      <c r="AB5" s="696"/>
      <c r="AC5" s="696"/>
      <c r="AD5" s="754"/>
      <c r="AE5" s="338"/>
      <c r="AF5" s="335"/>
      <c r="AG5" s="335"/>
      <c r="AH5" s="335"/>
      <c r="AI5" s="335"/>
      <c r="AJ5" s="335"/>
    </row>
    <row r="6" spans="1:36" ht="15.75" customHeight="1" x14ac:dyDescent="0.25">
      <c r="A6" s="336"/>
      <c r="B6" s="339"/>
      <c r="C6" s="755" t="s">
        <v>306</v>
      </c>
      <c r="D6" s="696"/>
      <c r="E6" s="696"/>
      <c r="F6" s="696"/>
      <c r="G6" s="696"/>
      <c r="H6" s="696"/>
      <c r="I6" s="696"/>
      <c r="J6" s="696"/>
      <c r="K6" s="696"/>
      <c r="L6" s="696"/>
      <c r="M6" s="696"/>
      <c r="N6" s="696"/>
      <c r="O6" s="696"/>
      <c r="P6" s="696"/>
      <c r="Q6" s="696"/>
      <c r="R6" s="696"/>
      <c r="S6" s="696"/>
      <c r="T6" s="696"/>
      <c r="U6" s="696"/>
      <c r="V6" s="696"/>
      <c r="W6" s="696"/>
      <c r="X6" s="696"/>
      <c r="Y6" s="696"/>
      <c r="Z6" s="696"/>
      <c r="AA6" s="696"/>
      <c r="AB6" s="696"/>
      <c r="AC6" s="752"/>
      <c r="AD6" s="340"/>
      <c r="AE6" s="341"/>
      <c r="AF6" s="332"/>
      <c r="AG6" s="332"/>
      <c r="AH6" s="332"/>
      <c r="AI6" s="332"/>
      <c r="AJ6" s="332"/>
    </row>
    <row r="7" spans="1:36" ht="15.75" customHeight="1" x14ac:dyDescent="0.35">
      <c r="A7" s="336"/>
      <c r="B7" s="342"/>
      <c r="C7" s="343"/>
      <c r="D7" s="343"/>
      <c r="E7" s="343"/>
      <c r="F7" s="343"/>
      <c r="G7" s="344"/>
      <c r="H7" s="344"/>
      <c r="I7" s="344"/>
      <c r="J7" s="344"/>
      <c r="K7" s="344"/>
      <c r="L7" s="344"/>
      <c r="M7" s="344"/>
      <c r="N7" s="344"/>
      <c r="O7" s="345"/>
      <c r="P7" s="345"/>
      <c r="Q7" s="345"/>
      <c r="R7" s="345"/>
      <c r="S7" s="345"/>
      <c r="T7" s="345"/>
      <c r="U7" s="345"/>
      <c r="V7" s="345"/>
      <c r="W7" s="346"/>
      <c r="X7" s="346"/>
      <c r="Y7" s="346"/>
      <c r="Z7" s="346"/>
      <c r="AA7" s="346"/>
      <c r="AB7" s="346"/>
      <c r="AC7" s="346"/>
      <c r="AD7" s="340"/>
      <c r="AE7" s="341"/>
      <c r="AF7" s="332"/>
      <c r="AG7" s="332"/>
      <c r="AH7" s="332"/>
      <c r="AI7" s="332"/>
      <c r="AJ7" s="332"/>
    </row>
    <row r="8" spans="1:36" ht="26.25" customHeight="1" x14ac:dyDescent="0.25">
      <c r="A8" s="347"/>
      <c r="B8" s="348"/>
      <c r="C8" s="756" t="s">
        <v>277</v>
      </c>
      <c r="D8" s="508"/>
      <c r="E8" s="508"/>
      <c r="F8" s="734"/>
      <c r="G8" s="698" t="s">
        <v>307</v>
      </c>
      <c r="H8" s="508"/>
      <c r="I8" s="508"/>
      <c r="J8" s="508"/>
      <c r="K8" s="508"/>
      <c r="L8" s="508"/>
      <c r="M8" s="508"/>
      <c r="N8" s="508"/>
      <c r="O8" s="508"/>
      <c r="P8" s="508"/>
      <c r="Q8" s="508"/>
      <c r="R8" s="508"/>
      <c r="S8" s="508"/>
      <c r="T8" s="508"/>
      <c r="U8" s="508"/>
      <c r="V8" s="508"/>
      <c r="W8" s="508"/>
      <c r="X8" s="508"/>
      <c r="Y8" s="508"/>
      <c r="Z8" s="508"/>
      <c r="AA8" s="508"/>
      <c r="AB8" s="508"/>
      <c r="AC8" s="734"/>
      <c r="AD8" s="349"/>
      <c r="AE8" s="350"/>
      <c r="AF8" s="351"/>
      <c r="AG8" s="351"/>
      <c r="AH8" s="351"/>
      <c r="AI8" s="351"/>
      <c r="AJ8" s="351"/>
    </row>
    <row r="9" spans="1:36" ht="26.25" customHeight="1" x14ac:dyDescent="0.25">
      <c r="A9" s="347"/>
      <c r="B9" s="348"/>
      <c r="C9" s="725" t="s">
        <v>279</v>
      </c>
      <c r="D9" s="531"/>
      <c r="E9" s="531"/>
      <c r="F9" s="532"/>
      <c r="G9" s="757" t="e">
        <f>VLOOKUP($G$8,'6.Bảng lương  '!$B$16:$AW59,2,0)</f>
        <v>#N/A</v>
      </c>
      <c r="H9" s="531"/>
      <c r="I9" s="531"/>
      <c r="J9" s="531"/>
      <c r="K9" s="531"/>
      <c r="L9" s="531"/>
      <c r="M9" s="531"/>
      <c r="N9" s="531"/>
      <c r="O9" s="531"/>
      <c r="P9" s="531"/>
      <c r="Q9" s="531"/>
      <c r="R9" s="531"/>
      <c r="S9" s="531"/>
      <c r="T9" s="531"/>
      <c r="U9" s="531"/>
      <c r="V9" s="531"/>
      <c r="W9" s="531"/>
      <c r="X9" s="531"/>
      <c r="Y9" s="531"/>
      <c r="Z9" s="531"/>
      <c r="AA9" s="531"/>
      <c r="AB9" s="531"/>
      <c r="AC9" s="532"/>
      <c r="AD9" s="349"/>
      <c r="AE9" s="350"/>
      <c r="AF9" s="351"/>
      <c r="AG9" s="351"/>
      <c r="AH9" s="351"/>
      <c r="AI9" s="351"/>
      <c r="AJ9" s="351"/>
    </row>
    <row r="10" spans="1:36" ht="26.25" customHeight="1" x14ac:dyDescent="0.25">
      <c r="A10" s="347"/>
      <c r="B10" s="348"/>
      <c r="C10" s="725" t="s">
        <v>94</v>
      </c>
      <c r="D10" s="531"/>
      <c r="E10" s="531"/>
      <c r="F10" s="532"/>
      <c r="G10" s="761" t="e">
        <f>VLOOKUP($G$8,'6.Bảng lương  '!$B$16:$AW59,3,0)</f>
        <v>#N/A</v>
      </c>
      <c r="H10" s="531"/>
      <c r="I10" s="531"/>
      <c r="J10" s="531"/>
      <c r="K10" s="531"/>
      <c r="L10" s="531"/>
      <c r="M10" s="531"/>
      <c r="N10" s="531"/>
      <c r="O10" s="531"/>
      <c r="P10" s="531"/>
      <c r="Q10" s="531"/>
      <c r="R10" s="531"/>
      <c r="S10" s="531"/>
      <c r="T10" s="531"/>
      <c r="U10" s="531"/>
      <c r="V10" s="531"/>
      <c r="W10" s="531"/>
      <c r="X10" s="531"/>
      <c r="Y10" s="531"/>
      <c r="Z10" s="531"/>
      <c r="AA10" s="531"/>
      <c r="AB10" s="531"/>
      <c r="AC10" s="532"/>
      <c r="AD10" s="349"/>
      <c r="AE10" s="350"/>
      <c r="AF10" s="351"/>
      <c r="AG10" s="351"/>
      <c r="AH10" s="351"/>
      <c r="AI10" s="351"/>
      <c r="AJ10" s="351"/>
    </row>
    <row r="11" spans="1:36" ht="39" customHeight="1" x14ac:dyDescent="0.25">
      <c r="A11" s="347"/>
      <c r="B11" s="348"/>
      <c r="C11" s="725" t="s">
        <v>107</v>
      </c>
      <c r="D11" s="531"/>
      <c r="E11" s="531"/>
      <c r="F11" s="532"/>
      <c r="G11" s="761" t="e">
        <f>VLOOKUP($G$8,'6.Bảng lương  '!$B$16:$AW59,4,0)</f>
        <v>#N/A</v>
      </c>
      <c r="H11" s="531"/>
      <c r="I11" s="531"/>
      <c r="J11" s="531"/>
      <c r="K11" s="531"/>
      <c r="L11" s="531"/>
      <c r="M11" s="531"/>
      <c r="N11" s="531"/>
      <c r="O11" s="531"/>
      <c r="P11" s="531"/>
      <c r="Q11" s="531"/>
      <c r="R11" s="531"/>
      <c r="S11" s="531"/>
      <c r="T11" s="531"/>
      <c r="U11" s="531"/>
      <c r="V11" s="531"/>
      <c r="W11" s="531"/>
      <c r="X11" s="531"/>
      <c r="Y11" s="531"/>
      <c r="Z11" s="531"/>
      <c r="AA11" s="531"/>
      <c r="AB11" s="531"/>
      <c r="AC11" s="532"/>
      <c r="AD11" s="349"/>
      <c r="AE11" s="350"/>
      <c r="AF11" s="351"/>
      <c r="AG11" s="351"/>
      <c r="AH11" s="351"/>
      <c r="AI11" s="351"/>
      <c r="AJ11" s="351"/>
    </row>
    <row r="12" spans="1:36" ht="27.75" hidden="1" customHeight="1" x14ac:dyDescent="0.25">
      <c r="A12" s="347"/>
      <c r="B12" s="348"/>
      <c r="C12" s="725" t="s">
        <v>283</v>
      </c>
      <c r="D12" s="531"/>
      <c r="E12" s="531"/>
      <c r="F12" s="532"/>
      <c r="G12" s="762" t="s">
        <v>308</v>
      </c>
      <c r="H12" s="531"/>
      <c r="I12" s="531"/>
      <c r="J12" s="531"/>
      <c r="K12" s="531"/>
      <c r="L12" s="531"/>
      <c r="M12" s="531"/>
      <c r="N12" s="532"/>
      <c r="O12" s="763"/>
      <c r="P12" s="531"/>
      <c r="Q12" s="531"/>
      <c r="R12" s="531"/>
      <c r="S12" s="531"/>
      <c r="T12" s="531"/>
      <c r="U12" s="531"/>
      <c r="V12" s="532"/>
      <c r="W12" s="764"/>
      <c r="X12" s="531"/>
      <c r="Y12" s="531"/>
      <c r="Z12" s="531"/>
      <c r="AA12" s="531"/>
      <c r="AB12" s="531"/>
      <c r="AC12" s="723"/>
      <c r="AD12" s="349"/>
      <c r="AE12" s="350"/>
      <c r="AF12" s="351"/>
      <c r="AG12" s="351"/>
      <c r="AH12" s="351"/>
      <c r="AI12" s="351"/>
      <c r="AJ12" s="351"/>
    </row>
    <row r="13" spans="1:36" ht="28.5" hidden="1" customHeight="1" x14ac:dyDescent="0.25">
      <c r="A13" s="347"/>
      <c r="B13" s="348"/>
      <c r="C13" s="726" t="s">
        <v>285</v>
      </c>
      <c r="D13" s="679"/>
      <c r="E13" s="679"/>
      <c r="F13" s="718"/>
      <c r="G13" s="727" t="e">
        <f>VLOOKUP($G$8,'3. BẢNG CHẤM CÔNG'!$B$10:$AV48,47,0)</f>
        <v>#N/A</v>
      </c>
      <c r="H13" s="679"/>
      <c r="I13" s="679"/>
      <c r="J13" s="679"/>
      <c r="K13" s="679"/>
      <c r="L13" s="679"/>
      <c r="M13" s="679"/>
      <c r="N13" s="718"/>
      <c r="O13" s="728" t="s">
        <v>309</v>
      </c>
      <c r="P13" s="679"/>
      <c r="Q13" s="679"/>
      <c r="R13" s="679"/>
      <c r="S13" s="679"/>
      <c r="T13" s="679"/>
      <c r="U13" s="679"/>
      <c r="V13" s="679"/>
      <c r="W13" s="679"/>
      <c r="X13" s="679"/>
      <c r="Y13" s="679"/>
      <c r="Z13" s="710"/>
      <c r="AA13" s="729" t="e">
        <f>VLOOKUP($G$8,'3. BẢNG CHẤM CÔNG'!$B$12:$AV48,46,0)</f>
        <v>#N/A</v>
      </c>
      <c r="AB13" s="679"/>
      <c r="AC13" s="720"/>
      <c r="AD13" s="349"/>
      <c r="AE13" s="350"/>
      <c r="AF13" s="351"/>
      <c r="AG13" s="351"/>
      <c r="AH13" s="351"/>
      <c r="AI13" s="351"/>
      <c r="AJ13" s="351"/>
    </row>
    <row r="14" spans="1:36" ht="15.75" customHeight="1" x14ac:dyDescent="0.25">
      <c r="A14" s="336"/>
      <c r="B14" s="352"/>
      <c r="C14" s="353"/>
      <c r="D14" s="354"/>
      <c r="E14" s="354"/>
      <c r="F14" s="354"/>
      <c r="G14" s="354"/>
      <c r="H14" s="354"/>
      <c r="I14" s="354"/>
      <c r="J14" s="354"/>
      <c r="K14" s="354"/>
      <c r="L14" s="354"/>
      <c r="M14" s="354"/>
      <c r="N14" s="354"/>
      <c r="O14" s="354"/>
      <c r="P14" s="354"/>
      <c r="Q14" s="355"/>
      <c r="R14" s="355"/>
      <c r="S14" s="355"/>
      <c r="T14" s="355"/>
      <c r="U14" s="355"/>
      <c r="V14" s="355"/>
      <c r="W14" s="355"/>
      <c r="X14" s="355"/>
      <c r="Y14" s="355"/>
      <c r="Z14" s="355"/>
      <c r="AA14" s="355"/>
      <c r="AB14" s="355"/>
      <c r="AC14" s="355"/>
      <c r="AD14" s="340"/>
      <c r="AE14" s="341"/>
      <c r="AF14" s="332"/>
      <c r="AG14" s="332"/>
      <c r="AH14" s="332"/>
      <c r="AI14" s="332"/>
      <c r="AJ14" s="332"/>
    </row>
    <row r="15" spans="1:36" ht="24.75" customHeight="1" x14ac:dyDescent="0.25">
      <c r="A15" s="347"/>
      <c r="B15" s="348"/>
      <c r="C15" s="356"/>
      <c r="D15" s="357"/>
      <c r="E15" s="357"/>
      <c r="F15" s="357"/>
      <c r="G15" s="357"/>
      <c r="H15" s="357"/>
      <c r="I15" s="357"/>
      <c r="J15" s="357"/>
      <c r="K15" s="357"/>
      <c r="L15" s="357"/>
      <c r="M15" s="357"/>
      <c r="N15" s="357"/>
      <c r="O15" s="357"/>
      <c r="P15" s="358"/>
      <c r="Q15" s="730" t="s">
        <v>288</v>
      </c>
      <c r="R15" s="561"/>
      <c r="S15" s="561"/>
      <c r="T15" s="561"/>
      <c r="U15" s="561"/>
      <c r="V15" s="561"/>
      <c r="W15" s="561"/>
      <c r="X15" s="561"/>
      <c r="Y15" s="561"/>
      <c r="Z15" s="561"/>
      <c r="AA15" s="561"/>
      <c r="AB15" s="561"/>
      <c r="AC15" s="548"/>
      <c r="AD15" s="349"/>
      <c r="AE15" s="350"/>
      <c r="AF15" s="351"/>
      <c r="AG15" s="351"/>
      <c r="AH15" s="351"/>
      <c r="AI15" s="351"/>
      <c r="AJ15" s="351"/>
    </row>
    <row r="16" spans="1:36" ht="22.5" customHeight="1" x14ac:dyDescent="0.25">
      <c r="A16" s="336"/>
      <c r="B16" s="352"/>
      <c r="C16" s="731" t="s">
        <v>289</v>
      </c>
      <c r="D16" s="548"/>
      <c r="E16" s="758" t="s">
        <v>290</v>
      </c>
      <c r="F16" s="508"/>
      <c r="G16" s="508"/>
      <c r="H16" s="508"/>
      <c r="I16" s="508"/>
      <c r="J16" s="508"/>
      <c r="K16" s="508"/>
      <c r="L16" s="508"/>
      <c r="M16" s="508"/>
      <c r="N16" s="508"/>
      <c r="O16" s="508"/>
      <c r="P16" s="734"/>
      <c r="Q16" s="759" t="e">
        <f>VLOOKUP($G$8,'6.Bảng lương  '!$B$16:$AW59,10,0)</f>
        <v>#N/A</v>
      </c>
      <c r="R16" s="508"/>
      <c r="S16" s="508"/>
      <c r="T16" s="508"/>
      <c r="U16" s="508"/>
      <c r="V16" s="508"/>
      <c r="W16" s="508"/>
      <c r="X16" s="508"/>
      <c r="Y16" s="508"/>
      <c r="Z16" s="508"/>
      <c r="AA16" s="508"/>
      <c r="AB16" s="508"/>
      <c r="AC16" s="509"/>
      <c r="AD16" s="359"/>
      <c r="AE16" s="341"/>
      <c r="AF16" s="332"/>
      <c r="AG16" s="332"/>
      <c r="AH16" s="332"/>
      <c r="AI16" s="332"/>
      <c r="AJ16" s="332"/>
    </row>
    <row r="17" spans="1:36" ht="22.5" customHeight="1" x14ac:dyDescent="0.25">
      <c r="A17" s="336"/>
      <c r="B17" s="352"/>
      <c r="C17" s="562"/>
      <c r="D17" s="665"/>
      <c r="E17" s="738" t="s">
        <v>310</v>
      </c>
      <c r="F17" s="531"/>
      <c r="G17" s="531"/>
      <c r="H17" s="531"/>
      <c r="I17" s="531"/>
      <c r="J17" s="531"/>
      <c r="K17" s="531"/>
      <c r="L17" s="531"/>
      <c r="M17" s="531"/>
      <c r="N17" s="531"/>
      <c r="O17" s="531"/>
      <c r="P17" s="532"/>
      <c r="Q17" s="760">
        <v>2620000</v>
      </c>
      <c r="R17" s="531"/>
      <c r="S17" s="531"/>
      <c r="T17" s="531"/>
      <c r="U17" s="531"/>
      <c r="V17" s="531"/>
      <c r="W17" s="531"/>
      <c r="X17" s="531"/>
      <c r="Y17" s="531"/>
      <c r="Z17" s="531"/>
      <c r="AA17" s="531"/>
      <c r="AB17" s="531"/>
      <c r="AC17" s="723"/>
      <c r="AD17" s="359"/>
      <c r="AE17" s="360"/>
      <c r="AF17" s="332"/>
      <c r="AG17" s="332"/>
      <c r="AH17" s="332"/>
      <c r="AI17" s="332"/>
      <c r="AJ17" s="332"/>
    </row>
    <row r="18" spans="1:36" ht="22.5" customHeight="1" x14ac:dyDescent="0.25">
      <c r="A18" s="336"/>
      <c r="B18" s="352"/>
      <c r="C18" s="562"/>
      <c r="D18" s="665"/>
      <c r="E18" s="738" t="s">
        <v>311</v>
      </c>
      <c r="F18" s="531"/>
      <c r="G18" s="531"/>
      <c r="H18" s="531"/>
      <c r="I18" s="531"/>
      <c r="J18" s="531"/>
      <c r="K18" s="531"/>
      <c r="L18" s="531"/>
      <c r="M18" s="531"/>
      <c r="N18" s="531"/>
      <c r="O18" s="531"/>
      <c r="P18" s="532"/>
      <c r="Q18" s="760">
        <v>27380000</v>
      </c>
      <c r="R18" s="531"/>
      <c r="S18" s="531"/>
      <c r="T18" s="531"/>
      <c r="U18" s="531"/>
      <c r="V18" s="531"/>
      <c r="W18" s="531"/>
      <c r="X18" s="531"/>
      <c r="Y18" s="531"/>
      <c r="Z18" s="531"/>
      <c r="AA18" s="531"/>
      <c r="AB18" s="531"/>
      <c r="AC18" s="723"/>
      <c r="AD18" s="359"/>
      <c r="AE18" s="360"/>
      <c r="AF18" s="332"/>
      <c r="AG18" s="332"/>
      <c r="AH18" s="332"/>
      <c r="AI18" s="332"/>
      <c r="AJ18" s="332"/>
    </row>
    <row r="19" spans="1:36" ht="22.5" customHeight="1" x14ac:dyDescent="0.25">
      <c r="A19" s="336"/>
      <c r="B19" s="352"/>
      <c r="C19" s="562"/>
      <c r="D19" s="665"/>
      <c r="E19" s="765" t="s">
        <v>293</v>
      </c>
      <c r="F19" s="531"/>
      <c r="G19" s="531"/>
      <c r="H19" s="531"/>
      <c r="I19" s="531"/>
      <c r="J19" s="531"/>
      <c r="K19" s="531"/>
      <c r="L19" s="531"/>
      <c r="M19" s="531"/>
      <c r="N19" s="531"/>
      <c r="O19" s="531"/>
      <c r="P19" s="532"/>
      <c r="Q19" s="766" t="e">
        <f>VLOOKUP($G$8,'6.Bảng lương  '!$B$16:$AW59,19,0)</f>
        <v>#N/A</v>
      </c>
      <c r="R19" s="531"/>
      <c r="S19" s="531"/>
      <c r="T19" s="531"/>
      <c r="U19" s="531"/>
      <c r="V19" s="531"/>
      <c r="W19" s="531"/>
      <c r="X19" s="531"/>
      <c r="Y19" s="531"/>
      <c r="Z19" s="531"/>
      <c r="AA19" s="531"/>
      <c r="AB19" s="531"/>
      <c r="AC19" s="723"/>
      <c r="AD19" s="359"/>
      <c r="AE19" s="360"/>
      <c r="AF19" s="332"/>
      <c r="AG19" s="332"/>
      <c r="AH19" s="332"/>
      <c r="AI19" s="332"/>
      <c r="AJ19" s="332"/>
    </row>
    <row r="20" spans="1:36" ht="22.5" customHeight="1" x14ac:dyDescent="0.25">
      <c r="A20" s="336"/>
      <c r="B20" s="352"/>
      <c r="C20" s="562"/>
      <c r="D20" s="665"/>
      <c r="E20" s="765" t="s">
        <v>312</v>
      </c>
      <c r="F20" s="531"/>
      <c r="G20" s="531"/>
      <c r="H20" s="531"/>
      <c r="I20" s="531"/>
      <c r="J20" s="531"/>
      <c r="K20" s="531"/>
      <c r="L20" s="531"/>
      <c r="M20" s="531"/>
      <c r="N20" s="531"/>
      <c r="O20" s="531"/>
      <c r="P20" s="532"/>
      <c r="Q20" s="766" t="e">
        <f>VLOOKUP($G$8,'6.Bảng lương  '!$B$16:$AW59,24,0)</f>
        <v>#N/A</v>
      </c>
      <c r="R20" s="531"/>
      <c r="S20" s="531"/>
      <c r="T20" s="531"/>
      <c r="U20" s="531"/>
      <c r="V20" s="531"/>
      <c r="W20" s="531"/>
      <c r="X20" s="531"/>
      <c r="Y20" s="531"/>
      <c r="Z20" s="531"/>
      <c r="AA20" s="531"/>
      <c r="AB20" s="531"/>
      <c r="AC20" s="723"/>
      <c r="AD20" s="359"/>
      <c r="AE20" s="360"/>
      <c r="AF20" s="332"/>
      <c r="AG20" s="332"/>
      <c r="AH20" s="332"/>
      <c r="AI20" s="332"/>
      <c r="AJ20" s="332"/>
    </row>
    <row r="21" spans="1:36" ht="22.5" customHeight="1" x14ac:dyDescent="0.25">
      <c r="A21" s="336"/>
      <c r="B21" s="352"/>
      <c r="C21" s="562"/>
      <c r="D21" s="665"/>
      <c r="E21" s="765" t="s">
        <v>294</v>
      </c>
      <c r="F21" s="531"/>
      <c r="G21" s="531"/>
      <c r="H21" s="531"/>
      <c r="I21" s="531"/>
      <c r="J21" s="531"/>
      <c r="K21" s="531"/>
      <c r="L21" s="531"/>
      <c r="M21" s="531"/>
      <c r="N21" s="531"/>
      <c r="O21" s="531"/>
      <c r="P21" s="532"/>
      <c r="Q21" s="766" t="e">
        <f>VLOOKUP($G$8,'6.Bảng lương  '!$B$16:$AW59,25,0)</f>
        <v>#N/A</v>
      </c>
      <c r="R21" s="531"/>
      <c r="S21" s="531"/>
      <c r="T21" s="531"/>
      <c r="U21" s="531"/>
      <c r="V21" s="531"/>
      <c r="W21" s="531"/>
      <c r="X21" s="531"/>
      <c r="Y21" s="531"/>
      <c r="Z21" s="531"/>
      <c r="AA21" s="531"/>
      <c r="AB21" s="531"/>
      <c r="AC21" s="723"/>
      <c r="AD21" s="359"/>
      <c r="AE21" s="360"/>
      <c r="AF21" s="332"/>
      <c r="AG21" s="332"/>
      <c r="AH21" s="332"/>
      <c r="AI21" s="332"/>
      <c r="AJ21" s="332"/>
    </row>
    <row r="22" spans="1:36" ht="22.5" customHeight="1" x14ac:dyDescent="0.25">
      <c r="A22" s="336"/>
      <c r="B22" s="352"/>
      <c r="C22" s="549"/>
      <c r="D22" s="550"/>
      <c r="E22" s="717" t="s">
        <v>295</v>
      </c>
      <c r="F22" s="679"/>
      <c r="G22" s="679"/>
      <c r="H22" s="679"/>
      <c r="I22" s="679"/>
      <c r="J22" s="679"/>
      <c r="K22" s="679"/>
      <c r="L22" s="679"/>
      <c r="M22" s="679"/>
      <c r="N22" s="679"/>
      <c r="O22" s="679"/>
      <c r="P22" s="718"/>
      <c r="Q22" s="719" t="e">
        <f>VLOOKUP($G$8,'6.Bảng lương  '!$B$16:$AW59,23,0)</f>
        <v>#N/A</v>
      </c>
      <c r="R22" s="679"/>
      <c r="S22" s="679"/>
      <c r="T22" s="679"/>
      <c r="U22" s="679"/>
      <c r="V22" s="679"/>
      <c r="W22" s="679"/>
      <c r="X22" s="679"/>
      <c r="Y22" s="679"/>
      <c r="Z22" s="679"/>
      <c r="AA22" s="679"/>
      <c r="AB22" s="679"/>
      <c r="AC22" s="720"/>
      <c r="AD22" s="359"/>
      <c r="AE22" s="360"/>
      <c r="AF22" s="332"/>
      <c r="AG22" s="332"/>
      <c r="AH22" s="332"/>
      <c r="AI22" s="332"/>
      <c r="AJ22" s="332"/>
    </row>
    <row r="23" spans="1:36" ht="22.5" customHeight="1" x14ac:dyDescent="0.25">
      <c r="A23" s="336"/>
      <c r="B23" s="352"/>
      <c r="C23" s="361"/>
      <c r="D23" s="361"/>
      <c r="E23" s="362"/>
      <c r="F23" s="362"/>
      <c r="G23" s="362"/>
      <c r="H23" s="362"/>
      <c r="I23" s="362"/>
      <c r="J23" s="362"/>
      <c r="K23" s="362"/>
      <c r="L23" s="362"/>
      <c r="M23" s="362"/>
      <c r="N23" s="362"/>
      <c r="O23" s="362"/>
      <c r="P23" s="362"/>
      <c r="Q23" s="363"/>
      <c r="R23" s="363"/>
      <c r="S23" s="363"/>
      <c r="T23" s="363"/>
      <c r="U23" s="363"/>
      <c r="V23" s="363"/>
      <c r="W23" s="363"/>
      <c r="X23" s="363"/>
      <c r="Y23" s="363"/>
      <c r="Z23" s="363"/>
      <c r="AA23" s="363"/>
      <c r="AB23" s="363"/>
      <c r="AC23" s="363"/>
      <c r="AD23" s="359"/>
      <c r="AE23" s="360"/>
      <c r="AF23" s="332"/>
      <c r="AG23" s="332"/>
      <c r="AH23" s="332"/>
      <c r="AI23" s="332"/>
      <c r="AJ23" s="332"/>
    </row>
    <row r="24" spans="1:36" ht="22.5" customHeight="1" x14ac:dyDescent="0.25">
      <c r="A24" s="336"/>
      <c r="B24" s="352"/>
      <c r="C24" s="732" t="s">
        <v>296</v>
      </c>
      <c r="D24" s="689"/>
      <c r="E24" s="733" t="s">
        <v>313</v>
      </c>
      <c r="F24" s="508"/>
      <c r="G24" s="508"/>
      <c r="H24" s="508"/>
      <c r="I24" s="508"/>
      <c r="J24" s="508"/>
      <c r="K24" s="508"/>
      <c r="L24" s="508"/>
      <c r="M24" s="508"/>
      <c r="N24" s="508"/>
      <c r="O24" s="508"/>
      <c r="P24" s="734"/>
      <c r="Q24" s="721" t="e">
        <f>VLOOKUP($G$8,'6.Bảng lương  '!$B$16:$AW59,46,0)</f>
        <v>#N/A</v>
      </c>
      <c r="R24" s="508"/>
      <c r="S24" s="508"/>
      <c r="T24" s="508"/>
      <c r="U24" s="508"/>
      <c r="V24" s="508"/>
      <c r="W24" s="508"/>
      <c r="X24" s="508"/>
      <c r="Y24" s="508"/>
      <c r="Z24" s="508"/>
      <c r="AA24" s="508"/>
      <c r="AB24" s="508"/>
      <c r="AC24" s="509"/>
      <c r="AD24" s="359"/>
      <c r="AE24" s="360"/>
      <c r="AF24" s="332"/>
      <c r="AG24" s="332"/>
      <c r="AH24" s="332"/>
      <c r="AI24" s="332"/>
      <c r="AJ24" s="332"/>
    </row>
    <row r="25" spans="1:36" ht="22.5" customHeight="1" x14ac:dyDescent="0.25">
      <c r="A25" s="336"/>
      <c r="B25" s="352"/>
      <c r="C25" s="562"/>
      <c r="D25" s="690"/>
      <c r="E25" s="735" t="s">
        <v>314</v>
      </c>
      <c r="F25" s="531"/>
      <c r="G25" s="531"/>
      <c r="H25" s="531"/>
      <c r="I25" s="531"/>
      <c r="J25" s="531"/>
      <c r="K25" s="531"/>
      <c r="L25" s="531"/>
      <c r="M25" s="531"/>
      <c r="N25" s="531"/>
      <c r="O25" s="531"/>
      <c r="P25" s="532"/>
      <c r="Q25" s="722" t="e">
        <f>VLOOKUP($G$8,'6.Bảng lương  '!$B$16:$AW59,52,0)</f>
        <v>#N/A</v>
      </c>
      <c r="R25" s="531"/>
      <c r="S25" s="531"/>
      <c r="T25" s="531"/>
      <c r="U25" s="531"/>
      <c r="V25" s="531"/>
      <c r="W25" s="531"/>
      <c r="X25" s="531"/>
      <c r="Y25" s="531"/>
      <c r="Z25" s="531"/>
      <c r="AA25" s="531"/>
      <c r="AB25" s="531"/>
      <c r="AC25" s="723"/>
      <c r="AD25" s="359"/>
      <c r="AE25" s="360"/>
      <c r="AF25" s="332"/>
      <c r="AG25" s="332"/>
      <c r="AH25" s="332"/>
      <c r="AI25" s="332"/>
      <c r="AJ25" s="332"/>
    </row>
    <row r="26" spans="1:36" ht="22.5" customHeight="1" x14ac:dyDescent="0.25">
      <c r="A26" s="336"/>
      <c r="B26" s="352"/>
      <c r="C26" s="562"/>
      <c r="D26" s="690"/>
      <c r="E26" s="735" t="s">
        <v>299</v>
      </c>
      <c r="F26" s="531"/>
      <c r="G26" s="531"/>
      <c r="H26" s="531"/>
      <c r="I26" s="531"/>
      <c r="J26" s="531"/>
      <c r="K26" s="531"/>
      <c r="L26" s="531"/>
      <c r="M26" s="531"/>
      <c r="N26" s="531"/>
      <c r="O26" s="531"/>
      <c r="P26" s="532"/>
      <c r="Q26" s="722">
        <v>0</v>
      </c>
      <c r="R26" s="531"/>
      <c r="S26" s="531"/>
      <c r="T26" s="531"/>
      <c r="U26" s="531"/>
      <c r="V26" s="531"/>
      <c r="W26" s="531"/>
      <c r="X26" s="531"/>
      <c r="Y26" s="531"/>
      <c r="Z26" s="531"/>
      <c r="AA26" s="531"/>
      <c r="AB26" s="531"/>
      <c r="AC26" s="723"/>
      <c r="AD26" s="359"/>
      <c r="AE26" s="360"/>
      <c r="AF26" s="332"/>
      <c r="AG26" s="332"/>
      <c r="AH26" s="332"/>
      <c r="AI26" s="332"/>
      <c r="AJ26" s="332"/>
    </row>
    <row r="27" spans="1:36" ht="30.75" customHeight="1" x14ac:dyDescent="0.25">
      <c r="A27" s="336"/>
      <c r="B27" s="352"/>
      <c r="C27" s="562"/>
      <c r="D27" s="690"/>
      <c r="E27" s="736" t="s">
        <v>315</v>
      </c>
      <c r="F27" s="531"/>
      <c r="G27" s="531"/>
      <c r="H27" s="531"/>
      <c r="I27" s="531"/>
      <c r="J27" s="531"/>
      <c r="K27" s="531"/>
      <c r="L27" s="531"/>
      <c r="M27" s="531"/>
      <c r="N27" s="531"/>
      <c r="O27" s="531"/>
      <c r="P27" s="532"/>
      <c r="Q27" s="722" t="e">
        <f>VLOOKUP($G$8,'6.Bảng lương  '!$B$16:$AW59,53,0)</f>
        <v>#N/A</v>
      </c>
      <c r="R27" s="531"/>
      <c r="S27" s="531"/>
      <c r="T27" s="531"/>
      <c r="U27" s="531"/>
      <c r="V27" s="531"/>
      <c r="W27" s="531"/>
      <c r="X27" s="531"/>
      <c r="Y27" s="531"/>
      <c r="Z27" s="531"/>
      <c r="AA27" s="531"/>
      <c r="AB27" s="531"/>
      <c r="AC27" s="723"/>
      <c r="AD27" s="359"/>
      <c r="AE27" s="360"/>
      <c r="AF27" s="332"/>
      <c r="AG27" s="332"/>
      <c r="AH27" s="332"/>
      <c r="AI27" s="332"/>
      <c r="AJ27" s="332"/>
    </row>
    <row r="28" spans="1:36" ht="22.5" customHeight="1" x14ac:dyDescent="0.25">
      <c r="A28" s="336"/>
      <c r="B28" s="352"/>
      <c r="C28" s="549"/>
      <c r="D28" s="691"/>
      <c r="E28" s="737" t="s">
        <v>300</v>
      </c>
      <c r="F28" s="679"/>
      <c r="G28" s="679"/>
      <c r="H28" s="679"/>
      <c r="I28" s="679"/>
      <c r="J28" s="679"/>
      <c r="K28" s="679"/>
      <c r="L28" s="679"/>
      <c r="M28" s="679"/>
      <c r="N28" s="679"/>
      <c r="O28" s="679"/>
      <c r="P28" s="718"/>
      <c r="Q28" s="724">
        <v>0</v>
      </c>
      <c r="R28" s="679"/>
      <c r="S28" s="679"/>
      <c r="T28" s="679"/>
      <c r="U28" s="679"/>
      <c r="V28" s="679"/>
      <c r="W28" s="679"/>
      <c r="X28" s="679"/>
      <c r="Y28" s="679"/>
      <c r="Z28" s="679"/>
      <c r="AA28" s="679"/>
      <c r="AB28" s="679"/>
      <c r="AC28" s="720"/>
      <c r="AD28" s="359"/>
      <c r="AE28" s="360"/>
      <c r="AF28" s="332"/>
      <c r="AG28" s="332"/>
      <c r="AH28" s="332"/>
      <c r="AI28" s="332"/>
      <c r="AJ28" s="332"/>
    </row>
    <row r="29" spans="1:36" ht="15.75" customHeight="1" x14ac:dyDescent="0.25">
      <c r="A29" s="336"/>
      <c r="B29" s="364"/>
      <c r="C29" s="365"/>
      <c r="D29" s="365"/>
      <c r="E29" s="366"/>
      <c r="F29" s="366"/>
      <c r="G29" s="366"/>
      <c r="H29" s="366"/>
      <c r="I29" s="366"/>
      <c r="J29" s="366"/>
      <c r="K29" s="366"/>
      <c r="L29" s="366"/>
      <c r="M29" s="366"/>
      <c r="N29" s="366"/>
      <c r="O29" s="366"/>
      <c r="P29" s="355"/>
      <c r="Q29" s="367"/>
      <c r="R29" s="367"/>
      <c r="S29" s="367"/>
      <c r="T29" s="367"/>
      <c r="U29" s="367"/>
      <c r="V29" s="367"/>
      <c r="W29" s="367"/>
      <c r="X29" s="367"/>
      <c r="Y29" s="367"/>
      <c r="Z29" s="367"/>
      <c r="AA29" s="367"/>
      <c r="AB29" s="367"/>
      <c r="AC29" s="367"/>
      <c r="AD29" s="340"/>
      <c r="AE29" s="360"/>
      <c r="AF29" s="332"/>
      <c r="AG29" s="332"/>
      <c r="AH29" s="332"/>
      <c r="AI29" s="332"/>
      <c r="AJ29" s="332"/>
    </row>
    <row r="30" spans="1:36" ht="15.75" customHeight="1" x14ac:dyDescent="0.25">
      <c r="A30" s="336"/>
      <c r="B30" s="352"/>
      <c r="C30" s="747" t="s">
        <v>301</v>
      </c>
      <c r="D30" s="548"/>
      <c r="E30" s="739" t="s">
        <v>302</v>
      </c>
      <c r="F30" s="561"/>
      <c r="G30" s="561"/>
      <c r="H30" s="561"/>
      <c r="I30" s="561"/>
      <c r="J30" s="561"/>
      <c r="K30" s="561"/>
      <c r="L30" s="561"/>
      <c r="M30" s="561"/>
      <c r="N30" s="561"/>
      <c r="O30" s="561"/>
      <c r="P30" s="561"/>
      <c r="Q30" s="561"/>
      <c r="R30" s="561"/>
      <c r="S30" s="561"/>
      <c r="T30" s="561"/>
      <c r="U30" s="561"/>
      <c r="V30" s="561"/>
      <c r="W30" s="689"/>
      <c r="X30" s="742" t="e">
        <f>VLOOKUP($G$8,'6.Bảng lương  '!$B$16:$AW59,55,0)</f>
        <v>#N/A</v>
      </c>
      <c r="Y30" s="561"/>
      <c r="Z30" s="561"/>
      <c r="AA30" s="561"/>
      <c r="AB30" s="561"/>
      <c r="AC30" s="548"/>
      <c r="AD30" s="359"/>
      <c r="AE30" s="360"/>
      <c r="AF30" s="332"/>
      <c r="AG30" s="332"/>
      <c r="AH30" s="332"/>
      <c r="AI30" s="332"/>
      <c r="AJ30" s="332"/>
    </row>
    <row r="31" spans="1:36" ht="15.75" customHeight="1" x14ac:dyDescent="0.25">
      <c r="A31" s="336"/>
      <c r="B31" s="352"/>
      <c r="C31" s="562"/>
      <c r="D31" s="665"/>
      <c r="E31" s="740"/>
      <c r="F31" s="502"/>
      <c r="G31" s="502"/>
      <c r="H31" s="502"/>
      <c r="I31" s="502"/>
      <c r="J31" s="502"/>
      <c r="K31" s="502"/>
      <c r="L31" s="502"/>
      <c r="M31" s="502"/>
      <c r="N31" s="502"/>
      <c r="O31" s="502"/>
      <c r="P31" s="502"/>
      <c r="Q31" s="502"/>
      <c r="R31" s="502"/>
      <c r="S31" s="502"/>
      <c r="T31" s="502"/>
      <c r="U31" s="502"/>
      <c r="V31" s="502"/>
      <c r="W31" s="690"/>
      <c r="X31" s="740"/>
      <c r="Y31" s="502"/>
      <c r="Z31" s="502"/>
      <c r="AA31" s="502"/>
      <c r="AB31" s="502"/>
      <c r="AC31" s="665"/>
      <c r="AD31" s="359"/>
      <c r="AE31" s="360"/>
      <c r="AF31" s="332"/>
      <c r="AG31" s="332"/>
      <c r="AH31" s="332"/>
      <c r="AI31" s="332"/>
      <c r="AJ31" s="332"/>
    </row>
    <row r="32" spans="1:36" ht="15.75" customHeight="1" x14ac:dyDescent="0.25">
      <c r="A32" s="336"/>
      <c r="B32" s="352"/>
      <c r="C32" s="562"/>
      <c r="D32" s="665"/>
      <c r="E32" s="740"/>
      <c r="F32" s="502"/>
      <c r="G32" s="502"/>
      <c r="H32" s="502"/>
      <c r="I32" s="502"/>
      <c r="J32" s="502"/>
      <c r="K32" s="502"/>
      <c r="L32" s="502"/>
      <c r="M32" s="502"/>
      <c r="N32" s="502"/>
      <c r="O32" s="502"/>
      <c r="P32" s="502"/>
      <c r="Q32" s="502"/>
      <c r="R32" s="502"/>
      <c r="S32" s="502"/>
      <c r="T32" s="502"/>
      <c r="U32" s="502"/>
      <c r="V32" s="502"/>
      <c r="W32" s="690"/>
      <c r="X32" s="740"/>
      <c r="Y32" s="502"/>
      <c r="Z32" s="502"/>
      <c r="AA32" s="502"/>
      <c r="AB32" s="502"/>
      <c r="AC32" s="665"/>
      <c r="AD32" s="359"/>
      <c r="AE32" s="360"/>
      <c r="AF32" s="332"/>
      <c r="AG32" s="332"/>
      <c r="AH32" s="332"/>
      <c r="AI32" s="332"/>
      <c r="AJ32" s="332"/>
    </row>
    <row r="33" spans="1:36" ht="15.75" customHeight="1" x14ac:dyDescent="0.25">
      <c r="A33" s="336"/>
      <c r="B33" s="352"/>
      <c r="C33" s="562"/>
      <c r="D33" s="665"/>
      <c r="E33" s="740"/>
      <c r="F33" s="502"/>
      <c r="G33" s="502"/>
      <c r="H33" s="502"/>
      <c r="I33" s="502"/>
      <c r="J33" s="502"/>
      <c r="K33" s="502"/>
      <c r="L33" s="502"/>
      <c r="M33" s="502"/>
      <c r="N33" s="502"/>
      <c r="O33" s="502"/>
      <c r="P33" s="502"/>
      <c r="Q33" s="502"/>
      <c r="R33" s="502"/>
      <c r="S33" s="502"/>
      <c r="T33" s="502"/>
      <c r="U33" s="502"/>
      <c r="V33" s="502"/>
      <c r="W33" s="690"/>
      <c r="X33" s="740"/>
      <c r="Y33" s="502"/>
      <c r="Z33" s="502"/>
      <c r="AA33" s="502"/>
      <c r="AB33" s="502"/>
      <c r="AC33" s="665"/>
      <c r="AD33" s="359"/>
      <c r="AE33" s="360"/>
      <c r="AF33" s="332"/>
      <c r="AG33" s="332"/>
      <c r="AH33" s="332"/>
      <c r="AI33" s="332"/>
      <c r="AJ33" s="332"/>
    </row>
    <row r="34" spans="1:36" ht="15.75" customHeight="1" x14ac:dyDescent="0.25">
      <c r="A34" s="336"/>
      <c r="B34" s="352"/>
      <c r="C34" s="549"/>
      <c r="D34" s="550"/>
      <c r="E34" s="741"/>
      <c r="F34" s="663"/>
      <c r="G34" s="663"/>
      <c r="H34" s="663"/>
      <c r="I34" s="663"/>
      <c r="J34" s="663"/>
      <c r="K34" s="663"/>
      <c r="L34" s="663"/>
      <c r="M34" s="663"/>
      <c r="N34" s="663"/>
      <c r="O34" s="663"/>
      <c r="P34" s="663"/>
      <c r="Q34" s="663"/>
      <c r="R34" s="663"/>
      <c r="S34" s="663"/>
      <c r="T34" s="663"/>
      <c r="U34" s="663"/>
      <c r="V34" s="663"/>
      <c r="W34" s="691"/>
      <c r="X34" s="741"/>
      <c r="Y34" s="663"/>
      <c r="Z34" s="663"/>
      <c r="AA34" s="663"/>
      <c r="AB34" s="663"/>
      <c r="AC34" s="550"/>
      <c r="AD34" s="359"/>
      <c r="AE34" s="360"/>
      <c r="AF34" s="332"/>
      <c r="AG34" s="332"/>
      <c r="AH34" s="332"/>
      <c r="AI34" s="332"/>
      <c r="AJ34" s="332"/>
    </row>
    <row r="35" spans="1:36" ht="22.5" customHeight="1" x14ac:dyDescent="0.25">
      <c r="A35" s="347"/>
      <c r="B35" s="348"/>
      <c r="C35" s="745" t="s">
        <v>303</v>
      </c>
      <c r="D35" s="508"/>
      <c r="E35" s="508"/>
      <c r="F35" s="508"/>
      <c r="G35" s="508"/>
      <c r="H35" s="508"/>
      <c r="I35" s="508"/>
      <c r="J35" s="508"/>
      <c r="K35" s="508"/>
      <c r="L35" s="508"/>
      <c r="M35" s="508"/>
      <c r="N35" s="508"/>
      <c r="O35" s="508"/>
      <c r="P35" s="734"/>
      <c r="Q35" s="743" t="e">
        <f>VLOOKUP($G$8,'6.Bảng lương  '!$B$16:$AW59,42,0)</f>
        <v>#N/A</v>
      </c>
      <c r="R35" s="508"/>
      <c r="S35" s="508"/>
      <c r="T35" s="508"/>
      <c r="U35" s="508"/>
      <c r="V35" s="508"/>
      <c r="W35" s="508"/>
      <c r="X35" s="508"/>
      <c r="Y35" s="508"/>
      <c r="Z35" s="508"/>
      <c r="AA35" s="508"/>
      <c r="AB35" s="508"/>
      <c r="AC35" s="509"/>
      <c r="AD35" s="349"/>
      <c r="AE35" s="368"/>
      <c r="AF35" s="351"/>
      <c r="AG35" s="351"/>
      <c r="AH35" s="351"/>
      <c r="AI35" s="351"/>
      <c r="AJ35" s="351"/>
    </row>
    <row r="36" spans="1:36" ht="27.75" customHeight="1" x14ac:dyDescent="0.25">
      <c r="A36" s="347"/>
      <c r="B36" s="348"/>
      <c r="C36" s="746" t="s">
        <v>304</v>
      </c>
      <c r="D36" s="679"/>
      <c r="E36" s="679"/>
      <c r="F36" s="679"/>
      <c r="G36" s="679"/>
      <c r="H36" s="679"/>
      <c r="I36" s="679"/>
      <c r="J36" s="679"/>
      <c r="K36" s="679"/>
      <c r="L36" s="679"/>
      <c r="M36" s="679"/>
      <c r="N36" s="679"/>
      <c r="O36" s="679"/>
      <c r="P36" s="718"/>
      <c r="Q36" s="744" t="e">
        <f>SUM(Q16:AC22)+Q26+Q35</f>
        <v>#N/A</v>
      </c>
      <c r="R36" s="679"/>
      <c r="S36" s="679"/>
      <c r="T36" s="679"/>
      <c r="U36" s="679"/>
      <c r="V36" s="679"/>
      <c r="W36" s="679"/>
      <c r="X36" s="679"/>
      <c r="Y36" s="679"/>
      <c r="Z36" s="679"/>
      <c r="AA36" s="679"/>
      <c r="AB36" s="679"/>
      <c r="AC36" s="720"/>
      <c r="AD36" s="349"/>
      <c r="AE36" s="368"/>
      <c r="AF36" s="351"/>
      <c r="AG36" s="351"/>
      <c r="AH36" s="351"/>
      <c r="AI36" s="351"/>
      <c r="AJ36" s="351"/>
    </row>
    <row r="37" spans="1:36" ht="15.75" customHeight="1" x14ac:dyDescent="0.25">
      <c r="A37" s="336"/>
      <c r="B37" s="369"/>
      <c r="C37" s="370"/>
      <c r="D37" s="370"/>
      <c r="E37" s="370"/>
      <c r="F37" s="370"/>
      <c r="G37" s="370"/>
      <c r="H37" s="370"/>
      <c r="I37" s="370"/>
      <c r="J37" s="370"/>
      <c r="K37" s="370"/>
      <c r="L37" s="370"/>
      <c r="M37" s="370"/>
      <c r="N37" s="370"/>
      <c r="O37" s="370"/>
      <c r="P37" s="370"/>
      <c r="Q37" s="370"/>
      <c r="R37" s="370"/>
      <c r="S37" s="370"/>
      <c r="T37" s="370"/>
      <c r="U37" s="370"/>
      <c r="V37" s="370"/>
      <c r="W37" s="370"/>
      <c r="X37" s="370"/>
      <c r="Y37" s="370"/>
      <c r="Z37" s="370"/>
      <c r="AA37" s="370"/>
      <c r="AB37" s="370"/>
      <c r="AC37" s="370"/>
      <c r="AD37" s="371"/>
      <c r="AE37" s="360"/>
      <c r="AF37" s="332"/>
      <c r="AG37" s="332"/>
      <c r="AH37" s="332"/>
      <c r="AI37" s="332"/>
      <c r="AJ37" s="332"/>
    </row>
    <row r="38" spans="1:36" ht="15.75" customHeight="1" x14ac:dyDescent="0.25">
      <c r="A38" s="372"/>
      <c r="B38" s="354"/>
      <c r="C38" s="354"/>
      <c r="D38" s="354"/>
      <c r="E38" s="354"/>
      <c r="F38" s="354"/>
      <c r="G38" s="354"/>
      <c r="H38" s="354"/>
      <c r="I38" s="354"/>
      <c r="J38" s="354"/>
      <c r="K38" s="354"/>
      <c r="L38" s="354"/>
      <c r="M38" s="354"/>
      <c r="N38" s="354"/>
      <c r="O38" s="354"/>
      <c r="P38" s="354"/>
      <c r="Q38" s="354"/>
      <c r="R38" s="354"/>
      <c r="S38" s="354"/>
      <c r="T38" s="354"/>
      <c r="U38" s="354"/>
      <c r="V38" s="354"/>
      <c r="W38" s="354"/>
      <c r="X38" s="354"/>
      <c r="Y38" s="354"/>
      <c r="Z38" s="354"/>
      <c r="AA38" s="354"/>
      <c r="AB38" s="354"/>
      <c r="AC38" s="354"/>
      <c r="AD38" s="354"/>
      <c r="AE38" s="372"/>
      <c r="AF38" s="332"/>
      <c r="AG38" s="332"/>
      <c r="AH38" s="332"/>
      <c r="AI38" s="332"/>
      <c r="AJ38" s="332"/>
    </row>
    <row r="39" spans="1:36" ht="15.75" customHeight="1" x14ac:dyDescent="0.25"/>
    <row r="40" spans="1:36" ht="15.75" customHeight="1" x14ac:dyDescent="0.25"/>
    <row r="41" spans="1:36" ht="15.75" customHeight="1" x14ac:dyDescent="0.25"/>
    <row r="42" spans="1:36" ht="15.75" customHeight="1" x14ac:dyDescent="0.25"/>
    <row r="43" spans="1:36" ht="15.75" customHeight="1" x14ac:dyDescent="0.25"/>
    <row r="44" spans="1:36" ht="15.75" customHeight="1" x14ac:dyDescent="0.25"/>
    <row r="45" spans="1:36" ht="15.75" customHeight="1" x14ac:dyDescent="0.25"/>
    <row r="46" spans="1:36" ht="15.75" customHeight="1" x14ac:dyDescent="0.25"/>
    <row r="47" spans="1:36" ht="15.75" customHeight="1" x14ac:dyDescent="0.25"/>
    <row r="48" spans="1:3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3">
    <mergeCell ref="E21:P21"/>
    <mergeCell ref="Q21:AC21"/>
    <mergeCell ref="Q18:AC18"/>
    <mergeCell ref="E19:P19"/>
    <mergeCell ref="Q19:AC19"/>
    <mergeCell ref="E20:P20"/>
    <mergeCell ref="Q20:AC20"/>
    <mergeCell ref="C9:F9"/>
    <mergeCell ref="G9:AC9"/>
    <mergeCell ref="E16:P16"/>
    <mergeCell ref="Q16:AC16"/>
    <mergeCell ref="E17:P17"/>
    <mergeCell ref="Q17:AC17"/>
    <mergeCell ref="C10:F10"/>
    <mergeCell ref="G10:AC10"/>
    <mergeCell ref="C11:F11"/>
    <mergeCell ref="G11:AC11"/>
    <mergeCell ref="G12:N12"/>
    <mergeCell ref="O12:V12"/>
    <mergeCell ref="W12:AC12"/>
    <mergeCell ref="B2:E5"/>
    <mergeCell ref="F2:AD5"/>
    <mergeCell ref="C6:AC6"/>
    <mergeCell ref="C8:F8"/>
    <mergeCell ref="G8:AC8"/>
    <mergeCell ref="E30:W34"/>
    <mergeCell ref="X30:AC34"/>
    <mergeCell ref="Q35:AC35"/>
    <mergeCell ref="Q36:AC36"/>
    <mergeCell ref="C35:P35"/>
    <mergeCell ref="C36:P36"/>
    <mergeCell ref="C30:D34"/>
    <mergeCell ref="Q27:AC27"/>
    <mergeCell ref="Q28:AC28"/>
    <mergeCell ref="C12:F12"/>
    <mergeCell ref="C13:F13"/>
    <mergeCell ref="G13:N13"/>
    <mergeCell ref="O13:Z13"/>
    <mergeCell ref="AA13:AC13"/>
    <mergeCell ref="Q15:AC15"/>
    <mergeCell ref="C16:D22"/>
    <mergeCell ref="C24:D28"/>
    <mergeCell ref="E24:P24"/>
    <mergeCell ref="E25:P25"/>
    <mergeCell ref="E26:P26"/>
    <mergeCell ref="E27:P27"/>
    <mergeCell ref="E28:P28"/>
    <mergeCell ref="E18:P18"/>
    <mergeCell ref="E22:P22"/>
    <mergeCell ref="Q22:AC22"/>
    <mergeCell ref="Q24:AC24"/>
    <mergeCell ref="Q25:AC25"/>
    <mergeCell ref="Q26:AC26"/>
  </mergeCells>
  <conditionalFormatting sqref="G12:N12">
    <cfRule type="containsText" dxfId="3" priority="1" operator="containsText" text="Đã Nghỉ">
      <formula>NOT(ISERROR(SEARCH(("Đã Nghỉ"),(G12))))</formula>
    </cfRule>
    <cfRule type="containsText" dxfId="2" priority="2" operator="containsText" text="Chính Thức">
      <formula>NOT(ISERROR(SEARCH(("Chính Thức"),(G12))))</formula>
    </cfRule>
    <cfRule type="containsText" dxfId="1" priority="3" operator="containsText" text="Thử Việc">
      <formula>NOT(ISERROR(SEARCH(("Thử Việc"),(G12))))</formula>
    </cfRule>
    <cfRule type="containsText" dxfId="0" priority="4" operator="containsText" text="Học Việc">
      <formula>NOT(ISERROR(SEARCH(("Học Việc"),(G12))))</formula>
    </cfRule>
  </conditionalFormatting>
  <printOptions horizontalCentered="1" gridLines="1"/>
  <pageMargins left="0.7" right="0.7" top="0.75" bottom="0.75"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MỤC LỤC</vt:lpstr>
      <vt:lpstr>1.ĐNTT LẦN 1</vt:lpstr>
      <vt:lpstr>2. DS TKNH L1</vt:lpstr>
      <vt:lpstr>3. BẢNG CHẤM CÔNG</vt:lpstr>
      <vt:lpstr>4. Bảng phép năm 2026</vt:lpstr>
      <vt:lpstr> 5. Thông số TL</vt:lpstr>
      <vt:lpstr>5.1 Cộng tác viên</vt:lpstr>
      <vt:lpstr>6.Bảng lương  </vt:lpstr>
      <vt:lpstr>7. Thuế TNCN</vt:lpstr>
      <vt:lpstr>7.Danh sách NPT</vt:lpstr>
      <vt:lpstr>8. Phiếu lương</vt:lpstr>
      <vt:lpstr>Bản sao của 8. Phiếu lương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Hảo Nguyễn</cp:lastModifiedBy>
  <dcterms:created xsi:type="dcterms:W3CDTF">2024-12-10T06:15:49Z</dcterms:created>
  <dcterms:modified xsi:type="dcterms:W3CDTF">2026-05-12T06:31:22Z</dcterms:modified>
</cp:coreProperties>
</file>