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aong\Downloads\MS14\Lương và hợp đồng\Lương\Phiếu lương\Tháng 7.26\"/>
    </mc:Choice>
  </mc:AlternateContent>
  <xr:revisionPtr revIDLastSave="0" documentId="13_ncr:1_{9A5F33E4-4EB7-4B68-B194-61B5CA0CE521}" xr6:coauthVersionLast="47" xr6:coauthVersionMax="47" xr10:uidLastSave="{00000000-0000-0000-0000-000000000000}"/>
  <bookViews>
    <workbookView xWindow="-108" yWindow="-108" windowWidth="23256" windowHeight="12456" activeTab="1"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TL'!$A$11:$V$40</definedName>
    <definedName name="_xlnm._FilterDatabase" localSheetId="3" hidden="1">'3. BẢNG CHẤM CÔNG'!$A$10:$AV$28</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#REF!</definedName>
    <definedName name="Lop">'[19]Ma_hs '!$F$4:$F$1721</definedName>
    <definedName name="m">#REF!</definedName>
    <definedName name="ma_cty">[6]MASTER1!$C$1</definedName>
    <definedName name="ma_phi">[20]!tbl_ma_phi[ten_phi]</definedName>
    <definedName name="MAJ_CON_EQP">#REF!</definedName>
    <definedName name="mar">#REF!</definedName>
    <definedName name="MaVatTu">'[19]Ma Hàng'!$A$15:$A$235</definedName>
    <definedName name="MaVatTu1">[21]MaDP!$A$26:$A$57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[22]!Table1[Standard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CÔNG'!$A$10:$AV$11</definedName>
    <definedName name="Z_56E9B80D_243F_40B6_91B9_5464FF1EEE5D_.wvu.FilterData" localSheetId="3" hidden="1">'3. BẢNG CHẤM CÔNG'!$C$10:$H$11</definedName>
    <definedName name="Z_F001DCF7_7858_4452_B989_2BC2E25DF2FD_.wvu.FilterData" localSheetId="3" hidden="1">'3. BẢNG CHẤM CÔNG'!$C$10:$H$11</definedName>
    <definedName name="Z_F0D95686_377B_4362_ADF9_0A7D9547883D_.wvu.FilterData" localSheetId="3" hidden="1">'3. BẢNG CHẤM CÔNG'!$C$10:$H$11</definedName>
  </definedNames>
  <calcPr calcId="191029"/>
  <customWorkbookViews>
    <customWorkbookView name="Hub - JS" guid="{56E9B80D-243F-40B6-91B9-5464FF1EEE5D}" maximized="1" windowWidth="0" windowHeight="0" activeSheetId="0"/>
    <customWorkbookView name="HQ Play" guid="{F001DCF7-7858-4452-B989-2BC2E25DF2FD}" maximized="1" windowWidth="0" windowHeight="0" activeSheetId="0"/>
    <customWorkbookView name="Bộ lọc 1" guid="{3D93CEF9-49E9-4DC4-8F19-88A64F2D43A5}" maximized="1" windowWidth="0" windowHeight="0" activeSheetId="0"/>
    <customWorkbookView name="HQ Group" guid="{F0D95686-377B-4362-ADF9-0A7D9547883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G6" i="3" l="1"/>
  <c r="A17" i="3"/>
  <c r="AV21" i="9"/>
  <c r="AU21" i="9"/>
  <c r="AT21" i="9"/>
  <c r="AS21" i="9"/>
  <c r="AR21" i="9"/>
  <c r="AQ21" i="9"/>
  <c r="AP21" i="9"/>
  <c r="AO21" i="9"/>
  <c r="AN21" i="9"/>
  <c r="AM21" i="9"/>
  <c r="AL21" i="9"/>
  <c r="AK21" i="9"/>
  <c r="AJ21" i="9"/>
  <c r="AI21" i="9"/>
  <c r="AH21" i="9"/>
  <c r="AG21" i="9"/>
  <c r="AF21" i="9"/>
  <c r="AE21" i="9"/>
  <c r="AD21" i="9"/>
  <c r="AC21" i="9"/>
  <c r="AB21" i="9"/>
  <c r="AA21" i="9"/>
  <c r="Z21" i="9"/>
  <c r="Y21" i="9"/>
  <c r="X21" i="9"/>
  <c r="W21" i="9"/>
  <c r="V21" i="9"/>
  <c r="U21" i="9"/>
  <c r="T21" i="9"/>
  <c r="S21" i="9"/>
  <c r="R21" i="9"/>
  <c r="Q21" i="9"/>
  <c r="P21" i="9"/>
  <c r="O21" i="9"/>
  <c r="N21" i="9"/>
  <c r="M21" i="9"/>
  <c r="L21" i="9"/>
  <c r="K21" i="9"/>
  <c r="J21" i="9"/>
  <c r="A24" i="4"/>
  <c r="AQ27" i="9"/>
  <c r="V27" i="9"/>
  <c r="M27" i="9"/>
  <c r="J27" i="9"/>
  <c r="M3" i="2" l="1"/>
  <c r="AQ20" i="9"/>
  <c r="V20" i="9"/>
  <c r="M20" i="9"/>
  <c r="J20" i="9"/>
  <c r="AQ14" i="9"/>
  <c r="V14" i="9"/>
  <c r="M14" i="9"/>
  <c r="J14" i="9"/>
  <c r="AS24" i="4"/>
  <c r="H14" i="9" s="1"/>
  <c r="AQ24" i="4"/>
  <c r="AP24" i="4"/>
  <c r="AO24" i="4"/>
  <c r="AN24" i="4"/>
  <c r="AM24" i="4"/>
  <c r="AS23" i="4"/>
  <c r="H27" i="9" s="1"/>
  <c r="AQ23" i="4"/>
  <c r="AP23" i="4"/>
  <c r="AO23" i="4"/>
  <c r="AN23" i="4"/>
  <c r="AM23" i="4"/>
  <c r="AS22" i="4"/>
  <c r="H26" i="9" s="1"/>
  <c r="AQ22" i="4"/>
  <c r="AP22" i="4"/>
  <c r="AO22" i="4"/>
  <c r="AN22" i="4"/>
  <c r="AM22" i="4"/>
  <c r="AS21" i="4"/>
  <c r="H25" i="9" s="1"/>
  <c r="AQ21" i="4"/>
  <c r="AP21" i="4"/>
  <c r="AO21" i="4"/>
  <c r="AN21" i="4"/>
  <c r="AM21" i="4"/>
  <c r="F14" i="9"/>
  <c r="AO14" i="9" s="1"/>
  <c r="AR14" i="9" s="1"/>
  <c r="O33" i="7"/>
  <c r="S33" i="7"/>
  <c r="N33" i="7"/>
  <c r="A4" i="3"/>
  <c r="AQ26" i="9"/>
  <c r="V26" i="9"/>
  <c r="M26" i="9"/>
  <c r="J26" i="9"/>
  <c r="F27" i="9"/>
  <c r="F26" i="9"/>
  <c r="AO26" i="9" s="1"/>
  <c r="AR26" i="9" s="1"/>
  <c r="AQ25" i="9"/>
  <c r="V25" i="9"/>
  <c r="M25" i="9"/>
  <c r="J25" i="9"/>
  <c r="F25" i="9"/>
  <c r="AO25" i="9" s="1"/>
  <c r="AR25" i="9" s="1"/>
  <c r="A16" i="9"/>
  <c r="A13" i="9"/>
  <c r="A12" i="9"/>
  <c r="AO27" i="9" l="1"/>
  <c r="AR27" i="9" s="1"/>
  <c r="AR22" i="4"/>
  <c r="AT22" i="4" s="1"/>
  <c r="AR21" i="4"/>
  <c r="AT21" i="4" s="1"/>
  <c r="AR23" i="4"/>
  <c r="AR24" i="4"/>
  <c r="A23" i="4"/>
  <c r="O32" i="7"/>
  <c r="S32" i="7" s="1"/>
  <c r="N32" i="7"/>
  <c r="O30" i="7"/>
  <c r="S30" i="7" s="1"/>
  <c r="N31" i="7"/>
  <c r="O31" i="7" s="1"/>
  <c r="S31" i="7" s="1"/>
  <c r="N30" i="7"/>
  <c r="A31" i="7"/>
  <c r="A30" i="7"/>
  <c r="A29" i="7"/>
  <c r="A28" i="7"/>
  <c r="A27" i="7"/>
  <c r="A26" i="7"/>
  <c r="A25" i="7"/>
  <c r="A24" i="7"/>
  <c r="A23" i="7"/>
  <c r="A22" i="7"/>
  <c r="A21" i="7"/>
  <c r="A20" i="7"/>
  <c r="A19" i="7"/>
  <c r="A18" i="7"/>
  <c r="A17" i="7"/>
  <c r="A16" i="7"/>
  <c r="A15" i="7"/>
  <c r="A14" i="7"/>
  <c r="A13" i="7"/>
  <c r="A22" i="4"/>
  <c r="A21" i="4"/>
  <c r="A20" i="4"/>
  <c r="A19" i="4"/>
  <c r="A18" i="4"/>
  <c r="A17" i="4"/>
  <c r="A16" i="4"/>
  <c r="A15" i="4"/>
  <c r="A14" i="4"/>
  <c r="A13" i="4"/>
  <c r="A12" i="4"/>
  <c r="AT23" i="4" l="1"/>
  <c r="G27" i="9"/>
  <c r="G26" i="9"/>
  <c r="AG26" i="9" s="1"/>
  <c r="AH25" i="9"/>
  <c r="AT24" i="4"/>
  <c r="G14" i="9"/>
  <c r="AL27" i="9" l="1"/>
  <c r="AK27" i="9"/>
  <c r="AI27" i="9"/>
  <c r="AM27" i="9"/>
  <c r="AG27" i="9"/>
  <c r="AH27" i="9"/>
  <c r="AM26" i="9"/>
  <c r="AK26" i="9"/>
  <c r="AI26" i="9"/>
  <c r="AH26" i="9"/>
  <c r="AL26" i="9"/>
  <c r="AL25" i="9"/>
  <c r="AI25" i="9"/>
  <c r="AG25" i="9"/>
  <c r="AM25" i="9"/>
  <c r="AK25" i="9"/>
  <c r="AK14" i="9"/>
  <c r="AL14" i="9"/>
  <c r="AH14" i="9"/>
  <c r="AG14" i="9"/>
  <c r="AM14" i="9"/>
  <c r="AI14" i="9"/>
  <c r="AQ20" i="4"/>
  <c r="AQ19" i="4"/>
  <c r="AQ18" i="4"/>
  <c r="AQ17" i="4"/>
  <c r="AQ16" i="4"/>
  <c r="AQ15" i="4"/>
  <c r="AQ14" i="4"/>
  <c r="AQ13" i="4"/>
  <c r="AQ12" i="4"/>
  <c r="AS20" i="4"/>
  <c r="H20" i="9" s="1"/>
  <c r="AP20" i="4"/>
  <c r="AO20" i="4"/>
  <c r="AN20" i="4"/>
  <c r="AM20" i="4"/>
  <c r="F20" i="9"/>
  <c r="N29" i="7"/>
  <c r="O29" i="7" s="1"/>
  <c r="S29" i="7" s="1"/>
  <c r="AJ27" i="9" l="1"/>
  <c r="AN27" i="9"/>
  <c r="AJ26" i="9"/>
  <c r="AN26" i="9"/>
  <c r="AO20" i="9"/>
  <c r="AR20" i="9" s="1"/>
  <c r="AJ25" i="9"/>
  <c r="AN25" i="9"/>
  <c r="AN14" i="9"/>
  <c r="AJ14" i="9"/>
  <c r="AR20" i="4"/>
  <c r="AT20" i="4" l="1"/>
  <c r="G20" i="9"/>
  <c r="AL20" i="9" l="1"/>
  <c r="AG20" i="9"/>
  <c r="AH20" i="9"/>
  <c r="AI20" i="9"/>
  <c r="AM20" i="9"/>
  <c r="AK20" i="9"/>
  <c r="AN20" i="9" l="1"/>
  <c r="AJ20" i="9"/>
  <c r="AS18" i="4"/>
  <c r="H18" i="9" s="1"/>
  <c r="AP18" i="4"/>
  <c r="AO18" i="4"/>
  <c r="AN18" i="4"/>
  <c r="AM18" i="4"/>
  <c r="N28" i="7"/>
  <c r="O28" i="7" s="1"/>
  <c r="S28" i="7" s="1"/>
  <c r="N27" i="7"/>
  <c r="O27" i="7" s="1"/>
  <c r="S27" i="7" s="1"/>
  <c r="N26" i="7"/>
  <c r="O26" i="7" s="1"/>
  <c r="S26" i="7" s="1"/>
  <c r="AU25" i="4"/>
  <c r="C12" i="3"/>
  <c r="C11" i="3"/>
  <c r="C10" i="3"/>
  <c r="C9" i="3"/>
  <c r="AU15" i="9"/>
  <c r="AP15" i="9"/>
  <c r="AB15" i="9"/>
  <c r="U15" i="9"/>
  <c r="T15" i="9"/>
  <c r="S15" i="9"/>
  <c r="R15" i="9"/>
  <c r="Q15" i="9"/>
  <c r="P15" i="9"/>
  <c r="N15" i="9"/>
  <c r="AQ19" i="9"/>
  <c r="V19" i="9"/>
  <c r="M19" i="9"/>
  <c r="J19" i="9"/>
  <c r="F19" i="9"/>
  <c r="AQ18" i="9"/>
  <c r="V18" i="9"/>
  <c r="M18" i="9"/>
  <c r="J18" i="9"/>
  <c r="F18" i="9"/>
  <c r="AQ17" i="9"/>
  <c r="V17" i="9"/>
  <c r="M17" i="9"/>
  <c r="J17" i="9"/>
  <c r="F17" i="9"/>
  <c r="C19" i="9"/>
  <c r="C18" i="9"/>
  <c r="C17" i="9"/>
  <c r="AS19" i="4"/>
  <c r="H19" i="9" s="1"/>
  <c r="AP19" i="4"/>
  <c r="AO19" i="4"/>
  <c r="AN19" i="4"/>
  <c r="AM19" i="4"/>
  <c r="AS17" i="4"/>
  <c r="H17" i="9" s="1"/>
  <c r="AP17" i="4"/>
  <c r="AO17" i="4"/>
  <c r="AN17" i="4"/>
  <c r="AM17" i="4"/>
  <c r="N25" i="7"/>
  <c r="O25" i="7" s="1"/>
  <c r="S25" i="7" s="1"/>
  <c r="N24" i="7"/>
  <c r="O24" i="7" s="1"/>
  <c r="S24" i="7" s="1"/>
  <c r="N23" i="7"/>
  <c r="O23" i="7" s="1"/>
  <c r="S23" i="7" s="1"/>
  <c r="N22" i="7"/>
  <c r="O22" i="7" s="1"/>
  <c r="S22" i="7" s="1"/>
  <c r="N21" i="7"/>
  <c r="O21" i="7" s="1"/>
  <c r="S21" i="7" s="1"/>
  <c r="A26" i="9" l="1"/>
  <c r="A24" i="9"/>
  <c r="A25" i="9"/>
  <c r="A23" i="9"/>
  <c r="A22" i="9"/>
  <c r="A20" i="9"/>
  <c r="A17" i="9"/>
  <c r="A19" i="9"/>
  <c r="A18" i="9"/>
  <c r="AR18" i="4"/>
  <c r="AT18" i="4" s="1"/>
  <c r="AR17" i="4"/>
  <c r="AT17" i="4" s="1"/>
  <c r="AR19" i="4"/>
  <c r="AO17" i="9"/>
  <c r="AO18" i="9"/>
  <c r="AO19" i="9"/>
  <c r="AR19" i="9" s="1"/>
  <c r="AR17" i="9" l="1"/>
  <c r="AR18" i="9"/>
  <c r="G17" i="9"/>
  <c r="G18" i="9"/>
  <c r="AT19" i="4"/>
  <c r="G19" i="9"/>
  <c r="F24" i="9"/>
  <c r="AQ24" i="9"/>
  <c r="V24" i="9"/>
  <c r="M24" i="9"/>
  <c r="J24" i="9"/>
  <c r="AS16" i="4"/>
  <c r="AP16" i="4"/>
  <c r="AO16" i="4"/>
  <c r="AN16" i="4"/>
  <c r="AM16" i="4"/>
  <c r="H24" i="9" l="1"/>
  <c r="AM17" i="9"/>
  <c r="AG17" i="9"/>
  <c r="AL17" i="9"/>
  <c r="AI17" i="9"/>
  <c r="AK17" i="9"/>
  <c r="AH17" i="9"/>
  <c r="AH19" i="9"/>
  <c r="AL19" i="9"/>
  <c r="AG19" i="9"/>
  <c r="AI19" i="9"/>
  <c r="AM19" i="9"/>
  <c r="AK19" i="9"/>
  <c r="AI18" i="9"/>
  <c r="AH18" i="9"/>
  <c r="AM18" i="9"/>
  <c r="AG18" i="9"/>
  <c r="AK18" i="9"/>
  <c r="AL18" i="9"/>
  <c r="AR16" i="4"/>
  <c r="AO24" i="9"/>
  <c r="AR24" i="9" l="1"/>
  <c r="AJ17" i="9"/>
  <c r="AN17" i="9"/>
  <c r="AN19" i="9"/>
  <c r="AN18" i="9"/>
  <c r="AJ19" i="9"/>
  <c r="AJ18" i="9"/>
  <c r="AT16" i="4"/>
  <c r="G24" i="9"/>
  <c r="AS13" i="4"/>
  <c r="AP13" i="4"/>
  <c r="AO13" i="4"/>
  <c r="AN13" i="4"/>
  <c r="AM13" i="4"/>
  <c r="AL24" i="9" l="1"/>
  <c r="AK24" i="9"/>
  <c r="AG24" i="9"/>
  <c r="AM24" i="9"/>
  <c r="AH24" i="9"/>
  <c r="AI24" i="9"/>
  <c r="AR13" i="4"/>
  <c r="AT13" i="4" s="1"/>
  <c r="C8" i="3"/>
  <c r="C7" i="3"/>
  <c r="AN24" i="9" l="1"/>
  <c r="AJ24" i="9"/>
  <c r="AP11" i="9"/>
  <c r="AB11" i="9"/>
  <c r="U11" i="9"/>
  <c r="T11" i="9"/>
  <c r="T28" i="9" s="1"/>
  <c r="S11" i="9"/>
  <c r="R11" i="9"/>
  <c r="Q11" i="9"/>
  <c r="P11" i="9"/>
  <c r="N11" i="9"/>
  <c r="AU28" i="9"/>
  <c r="AB28" i="9" l="1"/>
  <c r="Q28" i="9"/>
  <c r="R28" i="9"/>
  <c r="S28" i="9"/>
  <c r="U28" i="9"/>
  <c r="N28" i="9"/>
  <c r="AP28" i="9"/>
  <c r="P28" i="9"/>
  <c r="AQ23" i="9"/>
  <c r="V23" i="9"/>
  <c r="M23" i="9"/>
  <c r="J23" i="9"/>
  <c r="F23" i="9"/>
  <c r="N19" i="7"/>
  <c r="O19" i="7" s="1"/>
  <c r="S19" i="7" s="1"/>
  <c r="AQ13" i="9"/>
  <c r="AR13" i="9" s="1"/>
  <c r="V13" i="9"/>
  <c r="M13" i="9"/>
  <c r="J13" i="9"/>
  <c r="AS14" i="4"/>
  <c r="H13" i="9" s="1"/>
  <c r="AP14" i="4"/>
  <c r="AO14" i="4"/>
  <c r="AN14" i="4"/>
  <c r="AM14" i="4"/>
  <c r="N18" i="7"/>
  <c r="O18" i="7" s="1"/>
  <c r="S18" i="7" s="1"/>
  <c r="H34" i="7"/>
  <c r="K34" i="7"/>
  <c r="N17" i="7"/>
  <c r="G34" i="7"/>
  <c r="AR14" i="4" l="1"/>
  <c r="G13" i="9" s="1"/>
  <c r="AO23" i="9"/>
  <c r="AR23" i="9" s="1"/>
  <c r="AT14" i="4" l="1"/>
  <c r="R9" i="6" l="1"/>
  <c r="D9" i="6"/>
  <c r="D8" i="6"/>
  <c r="D7" i="6"/>
  <c r="D6" i="6"/>
  <c r="C5" i="3"/>
  <c r="C6" i="3"/>
  <c r="S9" i="6" l="1"/>
  <c r="T9" i="6" s="1"/>
  <c r="R8" i="6"/>
  <c r="S8" i="6" s="1"/>
  <c r="T8" i="6" s="1"/>
  <c r="AS15" i="4"/>
  <c r="H12" i="9" s="1"/>
  <c r="AP15" i="4"/>
  <c r="AO15" i="4"/>
  <c r="AN15" i="4"/>
  <c r="AM15" i="4"/>
  <c r="AQ12" i="9"/>
  <c r="V12" i="9"/>
  <c r="M12" i="9"/>
  <c r="J12" i="9"/>
  <c r="F12" i="9"/>
  <c r="AR15" i="4" l="1"/>
  <c r="G12" i="9" s="1"/>
  <c r="AK12" i="9" s="1"/>
  <c r="AR12" i="9"/>
  <c r="I28" i="9"/>
  <c r="J34" i="7"/>
  <c r="I34" i="7"/>
  <c r="F22" i="9"/>
  <c r="N16" i="7"/>
  <c r="O16" i="7" s="1"/>
  <c r="S16" i="7" s="1"/>
  <c r="AQ22" i="9"/>
  <c r="V22" i="9"/>
  <c r="M22" i="9"/>
  <c r="J22" i="9"/>
  <c r="AG12" i="9" l="1"/>
  <c r="AM12" i="9"/>
  <c r="AI12" i="9"/>
  <c r="AH12" i="9"/>
  <c r="AL12" i="9"/>
  <c r="AT15" i="4"/>
  <c r="G22" i="9"/>
  <c r="H22" i="9"/>
  <c r="AO22" i="9"/>
  <c r="AR22" i="9" l="1"/>
  <c r="AJ12" i="9"/>
  <c r="AN12" i="9"/>
  <c r="N13" i="7"/>
  <c r="N14" i="7"/>
  <c r="O14" i="7" l="1"/>
  <c r="AP12" i="4"/>
  <c r="AO12" i="4"/>
  <c r="AN12" i="4"/>
  <c r="AS12" i="4"/>
  <c r="H23" i="9" s="1"/>
  <c r="S14" i="7" l="1"/>
  <c r="N15" i="7"/>
  <c r="O15" i="7" s="1"/>
  <c r="S15" i="7" s="1"/>
  <c r="F13" i="9"/>
  <c r="AM12" i="4"/>
  <c r="AR12" i="4" s="1"/>
  <c r="G23" i="9" l="1"/>
  <c r="AL23" i="9" s="1"/>
  <c r="AT12" i="4"/>
  <c r="AK13" i="9"/>
  <c r="AM13" i="9"/>
  <c r="AH13" i="9"/>
  <c r="AG13" i="9"/>
  <c r="AI13" i="9"/>
  <c r="AL13" i="9"/>
  <c r="C4" i="3"/>
  <c r="F11" i="12"/>
  <c r="F10" i="12"/>
  <c r="F9" i="12"/>
  <c r="AQ11" i="9"/>
  <c r="V11" i="9"/>
  <c r="M11" i="9"/>
  <c r="J11" i="9"/>
  <c r="A9" i="3" l="1"/>
  <c r="A8" i="3"/>
  <c r="A7" i="3"/>
  <c r="A12" i="3"/>
  <c r="A11" i="3"/>
  <c r="A16" i="3"/>
  <c r="A10" i="3"/>
  <c r="A15" i="3"/>
  <c r="A6" i="3"/>
  <c r="A5" i="3"/>
  <c r="A14" i="3"/>
  <c r="A13" i="3"/>
  <c r="AG23" i="9"/>
  <c r="AM23" i="9"/>
  <c r="AI23" i="9"/>
  <c r="AK23" i="9"/>
  <c r="AH23" i="9"/>
  <c r="AJ13" i="9"/>
  <c r="AN13" i="9"/>
  <c r="F12" i="12"/>
  <c r="AO11" i="9"/>
  <c r="AN23" i="9" l="1"/>
  <c r="AJ23" i="9"/>
  <c r="AR11" i="9"/>
  <c r="M34" i="7" l="1"/>
  <c r="L34" i="7"/>
  <c r="O13" i="7" l="1"/>
  <c r="S13" i="7" l="1"/>
  <c r="H8" i="4"/>
  <c r="E35" i="7" l="1"/>
  <c r="F35" i="7" s="1"/>
  <c r="G35" i="7" s="1"/>
  <c r="H35" i="7" s="1"/>
  <c r="I35" i="7" s="1"/>
  <c r="J35" i="7" s="1"/>
  <c r="K35" i="7" s="1"/>
  <c r="L35" i="7" s="1"/>
  <c r="M35"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AQ16" i="9"/>
  <c r="AQ15" i="9" s="1"/>
  <c r="V16" i="9"/>
  <c r="V15" i="9" s="1"/>
  <c r="M16" i="9"/>
  <c r="M15" i="9" s="1"/>
  <c r="J16" i="9"/>
  <c r="J15" i="9" s="1"/>
  <c r="F16" i="9"/>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35" i="7"/>
  <c r="R34" i="7"/>
  <c r="Q34" i="7"/>
  <c r="P34" i="7"/>
  <c r="N12" i="7"/>
  <c r="N34" i="7" s="1"/>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26" i="4"/>
  <c r="D26" i="4" s="1"/>
  <c r="E26" i="4" s="1"/>
  <c r="F26" i="4" s="1"/>
  <c r="G26" i="4" s="1"/>
  <c r="H26" i="4" s="1"/>
  <c r="I26" i="4" s="1"/>
  <c r="J26" i="4" s="1"/>
  <c r="K26" i="4" s="1"/>
  <c r="L26" i="4" s="1"/>
  <c r="M26" i="4" s="1"/>
  <c r="N26" i="4" s="1"/>
  <c r="O26" i="4" s="1"/>
  <c r="P26" i="4" s="1"/>
  <c r="Q26" i="4" s="1"/>
  <c r="R26" i="4" s="1"/>
  <c r="S26" i="4" s="1"/>
  <c r="T26" i="4" s="1"/>
  <c r="U26" i="4" s="1"/>
  <c r="V26" i="4" s="1"/>
  <c r="W26" i="4" s="1"/>
  <c r="X26" i="4" s="1"/>
  <c r="Y26" i="4" s="1"/>
  <c r="Z26" i="4" s="1"/>
  <c r="AA26" i="4" s="1"/>
  <c r="AB26" i="4" s="1"/>
  <c r="AC26" i="4" s="1"/>
  <c r="AD26" i="4" s="1"/>
  <c r="AE26" i="4" s="1"/>
  <c r="AF26" i="4" s="1"/>
  <c r="AG26" i="4" s="1"/>
  <c r="AH26" i="4" s="1"/>
  <c r="AI26" i="4" s="1"/>
  <c r="AJ26" i="4" s="1"/>
  <c r="AK26" i="4" s="1"/>
  <c r="AL26" i="4" s="1"/>
  <c r="AM26" i="4" s="1"/>
  <c r="AN26" i="4" s="1"/>
  <c r="AO26" i="4" s="1"/>
  <c r="AP26" i="4" s="1"/>
  <c r="AQ26" i="4" s="1"/>
  <c r="AR26" i="4" s="1"/>
  <c r="AS26" i="4" s="1"/>
  <c r="AT26" i="4" s="1"/>
  <c r="AU26" i="4" s="1"/>
  <c r="AV26" i="4" s="1"/>
  <c r="J12" i="12"/>
  <c r="AS11" i="4"/>
  <c r="AQ11" i="4"/>
  <c r="F6" i="6" s="1"/>
  <c r="AP11" i="4"/>
  <c r="AO11" i="4"/>
  <c r="AN11" i="4"/>
  <c r="AM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AS25" i="4" l="1"/>
  <c r="AP25" i="4"/>
  <c r="AN25" i="4"/>
  <c r="AO25" i="4"/>
  <c r="AQ28" i="9"/>
  <c r="M28" i="9"/>
  <c r="J28" i="9"/>
  <c r="H16" i="9"/>
  <c r="H28" i="9" s="1"/>
  <c r="AO16" i="9"/>
  <c r="AO15" i="9" s="1"/>
  <c r="O12" i="7"/>
  <c r="O34" i="7" s="1"/>
  <c r="T7" i="10"/>
  <c r="AV41" i="9"/>
  <c r="AQ25" i="4"/>
  <c r="S10" i="10"/>
  <c r="O10" i="10"/>
  <c r="Q36" i="13"/>
  <c r="G5" i="6"/>
  <c r="N10" i="10"/>
  <c r="J11" i="10"/>
  <c r="T9" i="10"/>
  <c r="K8" i="4"/>
  <c r="J9" i="4"/>
  <c r="I9" i="4"/>
  <c r="F5" i="6"/>
  <c r="R6" i="6"/>
  <c r="AM25" i="4"/>
  <c r="H9" i="4"/>
  <c r="J11" i="12"/>
  <c r="G7" i="10"/>
  <c r="AR11" i="4"/>
  <c r="G16" i="9" s="1"/>
  <c r="G28" i="9" l="1"/>
  <c r="AT11" i="4"/>
  <c r="AR25" i="4"/>
  <c r="AR10" i="4" s="1"/>
  <c r="V28" i="9"/>
  <c r="AV36" i="9" s="1"/>
  <c r="AM11" i="9"/>
  <c r="AG11" i="9"/>
  <c r="AH11" i="9"/>
  <c r="AI11" i="9"/>
  <c r="AL11" i="9"/>
  <c r="AO28" i="9"/>
  <c r="AR16" i="9"/>
  <c r="AR15" i="9" s="1"/>
  <c r="S12" i="7"/>
  <c r="S34" i="7" s="1"/>
  <c r="T8" i="10"/>
  <c r="T11" i="10" s="1"/>
  <c r="R5" i="6"/>
  <c r="T5" i="6"/>
  <c r="J9" i="12"/>
  <c r="J10" i="12"/>
  <c r="I7" i="10"/>
  <c r="K9" i="4"/>
  <c r="L8" i="4"/>
  <c r="G8" i="10"/>
  <c r="AJ11" i="9" l="1"/>
  <c r="AN11" i="9"/>
  <c r="AK11" i="9"/>
  <c r="AR28" i="9"/>
  <c r="AI16" i="9"/>
  <c r="AI15" i="9" s="1"/>
  <c r="G9" i="10"/>
  <c r="AM16" i="9"/>
  <c r="AM15" i="9" s="1"/>
  <c r="AH16" i="9"/>
  <c r="AH15" i="9" s="1"/>
  <c r="AL16" i="9"/>
  <c r="AL15" i="9" s="1"/>
  <c r="AG16" i="9"/>
  <c r="AG15" i="9" s="1"/>
  <c r="AK16" i="9"/>
  <c r="AK15" i="9" s="1"/>
  <c r="H7" i="10"/>
  <c r="O7" i="10" s="1"/>
  <c r="I8" i="10"/>
  <c r="I11" i="10" s="1"/>
  <c r="L9" i="4"/>
  <c r="M8" i="4"/>
  <c r="G11" i="10"/>
  <c r="AM28" i="9" l="1"/>
  <c r="AI28" i="9"/>
  <c r="AH28" i="9"/>
  <c r="AK28" i="9"/>
  <c r="AG28" i="9"/>
  <c r="AL28" i="9"/>
  <c r="AN16" i="9"/>
  <c r="AN15" i="9" s="1"/>
  <c r="AJ16" i="9"/>
  <c r="AJ15" i="9" s="1"/>
  <c r="K7" i="10"/>
  <c r="H9" i="10"/>
  <c r="H11" i="10"/>
  <c r="M9" i="4"/>
  <c r="N8" i="4"/>
  <c r="AN28" i="9" l="1"/>
  <c r="AJ28" i="9"/>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39" i="9" l="1"/>
  <c r="G4" i="9" l="1"/>
  <c r="W27" i="9" l="1"/>
  <c r="X27" i="9"/>
  <c r="O27" i="9"/>
  <c r="K27" i="9"/>
  <c r="L27" i="9" s="1"/>
  <c r="Y27" i="9"/>
  <c r="AA27" i="9"/>
  <c r="AC27" i="9" s="1"/>
  <c r="K14" i="9"/>
  <c r="L14" i="9" s="1"/>
  <c r="Y14" i="9"/>
  <c r="X14" i="9"/>
  <c r="O14" i="9"/>
  <c r="W14" i="9"/>
  <c r="AA14" i="9"/>
  <c r="AC14" i="9" s="1"/>
  <c r="O20" i="9"/>
  <c r="Y20" i="9"/>
  <c r="W20" i="9"/>
  <c r="K20" i="9"/>
  <c r="L20" i="9" s="1"/>
  <c r="AA20" i="9"/>
  <c r="AC20" i="9" s="1"/>
  <c r="X20" i="9"/>
  <c r="O26" i="9"/>
  <c r="X25" i="9"/>
  <c r="W26" i="9"/>
  <c r="K26" i="9"/>
  <c r="L26" i="9" s="1"/>
  <c r="K25" i="9"/>
  <c r="L25" i="9" s="1"/>
  <c r="O25" i="9"/>
  <c r="AA25" i="9"/>
  <c r="AC25" i="9" s="1"/>
  <c r="AA26" i="9"/>
  <c r="AC26" i="9" s="1"/>
  <c r="Y26" i="9"/>
  <c r="W25" i="9"/>
  <c r="Y25" i="9"/>
  <c r="X26" i="9"/>
  <c r="X19" i="9"/>
  <c r="W17" i="9"/>
  <c r="X18" i="9"/>
  <c r="Y18" i="9"/>
  <c r="Y19" i="9"/>
  <c r="X17" i="9"/>
  <c r="O19" i="9"/>
  <c r="K19" i="9"/>
  <c r="L19" i="9" s="1"/>
  <c r="W18" i="9"/>
  <c r="AA17" i="9"/>
  <c r="AC17" i="9" s="1"/>
  <c r="AA18" i="9"/>
  <c r="K17" i="9"/>
  <c r="L17" i="9" s="1"/>
  <c r="O17" i="9"/>
  <c r="K18" i="9"/>
  <c r="W19" i="9"/>
  <c r="Y17" i="9"/>
  <c r="AA19" i="9"/>
  <c r="AC19" i="9" s="1"/>
  <c r="O18" i="9"/>
  <c r="W24" i="9"/>
  <c r="AA24" i="9"/>
  <c r="AC24" i="9" s="1"/>
  <c r="O24" i="9"/>
  <c r="Y24" i="9"/>
  <c r="K24" i="9"/>
  <c r="L24" i="9" s="1"/>
  <c r="X24" i="9"/>
  <c r="AA23" i="9"/>
  <c r="AC23" i="9" s="1"/>
  <c r="K23" i="9"/>
  <c r="Y23" i="9"/>
  <c r="X23" i="9"/>
  <c r="W23" i="9"/>
  <c r="O23" i="9"/>
  <c r="Y13" i="9"/>
  <c r="AA13" i="9"/>
  <c r="AC13" i="9" s="1"/>
  <c r="W13" i="9"/>
  <c r="K13" i="9"/>
  <c r="L13" i="9" s="1"/>
  <c r="O13" i="9"/>
  <c r="X13" i="9"/>
  <c r="O12" i="9"/>
  <c r="X12" i="9"/>
  <c r="K12" i="9"/>
  <c r="Y12" i="9"/>
  <c r="W12" i="9"/>
  <c r="AA12" i="9"/>
  <c r="K22" i="9"/>
  <c r="O22" i="9"/>
  <c r="X22" i="9"/>
  <c r="AA22" i="9"/>
  <c r="W22" i="9"/>
  <c r="Y22" i="9"/>
  <c r="J8" i="12"/>
  <c r="Y16" i="9"/>
  <c r="X16" i="9"/>
  <c r="K16" i="9"/>
  <c r="O16" i="9"/>
  <c r="AA16" i="9"/>
  <c r="W16" i="9"/>
  <c r="Z27" i="9" l="1"/>
  <c r="AD27" i="9"/>
  <c r="AE27" i="9" s="1"/>
  <c r="AF27" i="9" s="1"/>
  <c r="AS27" i="9" s="1"/>
  <c r="AT27" i="9" s="1"/>
  <c r="AV27" i="9" s="1"/>
  <c r="Z14" i="9"/>
  <c r="AD14" i="9" s="1"/>
  <c r="AE14" i="9" s="1"/>
  <c r="AF14" i="9" s="1"/>
  <c r="AS14" i="9" s="1"/>
  <c r="AT14" i="9" s="1"/>
  <c r="AV14" i="9" s="1"/>
  <c r="G17" i="3" s="1"/>
  <c r="Z20" i="9"/>
  <c r="AD20" i="9" s="1"/>
  <c r="AE20" i="9" s="1"/>
  <c r="AF20" i="9" s="1"/>
  <c r="AS20" i="9" s="1"/>
  <c r="AT20" i="9" s="1"/>
  <c r="AV20" i="9" s="1"/>
  <c r="Z25" i="9"/>
  <c r="AD25" i="9" s="1"/>
  <c r="AE25" i="9" s="1"/>
  <c r="AF25" i="9" s="1"/>
  <c r="AS25" i="9" s="1"/>
  <c r="AT25" i="9" s="1"/>
  <c r="AV25" i="9" s="1"/>
  <c r="G14" i="3" s="1"/>
  <c r="Z26" i="9"/>
  <c r="AD26" i="9" s="1"/>
  <c r="AE26" i="9" s="1"/>
  <c r="AF26" i="9" s="1"/>
  <c r="AS26" i="9" s="1"/>
  <c r="AT26" i="9" s="1"/>
  <c r="AV26" i="9" s="1"/>
  <c r="G15" i="3" s="1"/>
  <c r="L18" i="9"/>
  <c r="AC18" i="9"/>
  <c r="AT25" i="4"/>
  <c r="AT10" i="4" s="1"/>
  <c r="Z19" i="9"/>
  <c r="AD19" i="9" s="1"/>
  <c r="AE19" i="9" s="1"/>
  <c r="AF19" i="9" s="1"/>
  <c r="AS19" i="9" s="1"/>
  <c r="AT19" i="9" s="1"/>
  <c r="AV19" i="9" s="1"/>
  <c r="G12" i="3" s="1"/>
  <c r="Z18" i="9"/>
  <c r="Z17" i="9"/>
  <c r="AD17" i="9" s="1"/>
  <c r="AE17" i="9" s="1"/>
  <c r="AF17" i="9" s="1"/>
  <c r="AS17" i="9" s="1"/>
  <c r="AT17" i="9" s="1"/>
  <c r="AV17" i="9" s="1"/>
  <c r="G10" i="3" s="1"/>
  <c r="Z24" i="9"/>
  <c r="AD24" i="9" s="1"/>
  <c r="AE24" i="9" s="1"/>
  <c r="AF24" i="9" s="1"/>
  <c r="AS24" i="9" s="1"/>
  <c r="AT24" i="9" s="1"/>
  <c r="AV24" i="9" s="1"/>
  <c r="G9" i="3" s="1"/>
  <c r="L22" i="9"/>
  <c r="O11" i="9"/>
  <c r="Y11" i="9"/>
  <c r="W11" i="9"/>
  <c r="X11" i="9"/>
  <c r="K11" i="9"/>
  <c r="J13" i="12"/>
  <c r="Z23" i="9"/>
  <c r="AD23" i="9" s="1"/>
  <c r="L23" i="9"/>
  <c r="AC22" i="9"/>
  <c r="Z13" i="9"/>
  <c r="AD13" i="9" s="1"/>
  <c r="AE13" i="9" s="1"/>
  <c r="AF13" i="9" s="1"/>
  <c r="AS13" i="9" s="1"/>
  <c r="AT13" i="9" s="1"/>
  <c r="AV13" i="9" s="1"/>
  <c r="G8" i="3" s="1"/>
  <c r="AC12" i="9"/>
  <c r="AA11" i="9"/>
  <c r="AC16" i="9"/>
  <c r="L12" i="9"/>
  <c r="Z12" i="9"/>
  <c r="Z22" i="9"/>
  <c r="L16" i="9"/>
  <c r="I9" i="10"/>
  <c r="O9" i="10" s="1"/>
  <c r="K9" i="10"/>
  <c r="Z16" i="9"/>
  <c r="K15" i="9" l="1"/>
  <c r="K28" i="9" s="1"/>
  <c r="AA15" i="9"/>
  <c r="AA28" i="9" s="1"/>
  <c r="X15" i="9"/>
  <c r="X28" i="9" s="1"/>
  <c r="W15" i="9"/>
  <c r="W28" i="9" s="1"/>
  <c r="O15" i="9"/>
  <c r="O28" i="9" s="1"/>
  <c r="AV35" i="9" s="1"/>
  <c r="Y15" i="9"/>
  <c r="Y28" i="9" s="1"/>
  <c r="AC15" i="9"/>
  <c r="AD18" i="9"/>
  <c r="L15" i="9"/>
  <c r="I16" i="12"/>
  <c r="L11" i="9"/>
  <c r="Z11" i="9"/>
  <c r="I21" i="12"/>
  <c r="I20" i="12"/>
  <c r="I19" i="12"/>
  <c r="I18" i="12"/>
  <c r="AC11" i="9"/>
  <c r="AD12" i="9"/>
  <c r="AD22" i="9"/>
  <c r="AE23" i="9"/>
  <c r="H8" i="10"/>
  <c r="O8" i="10" s="1"/>
  <c r="U8" i="10" s="1"/>
  <c r="AD16" i="9"/>
  <c r="Z15" i="9" l="1"/>
  <c r="Z28" i="9" s="1"/>
  <c r="AE18" i="9"/>
  <c r="AC28" i="9"/>
  <c r="L28" i="9"/>
  <c r="AV34" i="9" s="1"/>
  <c r="AF23" i="9"/>
  <c r="AS23" i="9" s="1"/>
  <c r="AT23" i="9" s="1"/>
  <c r="K8" i="10"/>
  <c r="AE22" i="9"/>
  <c r="AE12" i="9"/>
  <c r="AD11" i="9"/>
  <c r="I17" i="12"/>
  <c r="U11" i="10"/>
  <c r="V8" i="10"/>
  <c r="V11" i="10" s="1"/>
  <c r="AE16" i="9"/>
  <c r="AD15" i="9" l="1"/>
  <c r="AD28" i="9" s="1"/>
  <c r="AV37" i="9" s="1"/>
  <c r="AV38" i="9" s="1"/>
  <c r="AF18" i="9"/>
  <c r="I31" i="12"/>
  <c r="I24" i="12"/>
  <c r="AV23" i="9"/>
  <c r="G7" i="3" s="1"/>
  <c r="AE11" i="9"/>
  <c r="AF12" i="9"/>
  <c r="AF22" i="9"/>
  <c r="M8" i="10"/>
  <c r="AF16" i="9"/>
  <c r="AE15" i="9" l="1"/>
  <c r="AE28" i="9" s="1"/>
  <c r="AS18" i="9"/>
  <c r="AS12" i="9"/>
  <c r="AF11" i="9"/>
  <c r="AS22" i="9"/>
  <c r="L8" i="10"/>
  <c r="N8" i="10" s="1"/>
  <c r="AS16" i="9"/>
  <c r="AF15" i="9" l="1"/>
  <c r="AF28" i="9" s="1"/>
  <c r="AT18" i="9"/>
  <c r="AT22" i="9"/>
  <c r="AT16" i="9"/>
  <c r="AT12" i="9"/>
  <c r="AS11" i="9"/>
  <c r="I27" i="12"/>
  <c r="G13" i="3" l="1"/>
  <c r="AS15" i="9"/>
  <c r="AS28" i="9" s="1"/>
  <c r="AV18" i="9"/>
  <c r="G11" i="3" s="1"/>
  <c r="AV12" i="9"/>
  <c r="AV11" i="9" s="1"/>
  <c r="AT11" i="9"/>
  <c r="AV16" i="9"/>
  <c r="AV22" i="9"/>
  <c r="I25" i="12"/>
  <c r="I30" i="12" s="1"/>
  <c r="I32" i="12" s="1"/>
  <c r="AW28" i="9"/>
  <c r="G16" i="3" l="1"/>
  <c r="AV15" i="9"/>
  <c r="AT15" i="9"/>
  <c r="AT28" i="9" s="1"/>
  <c r="G5" i="3"/>
  <c r="G4" i="3"/>
  <c r="AV28" i="9" l="1"/>
  <c r="G18" i="3"/>
  <c r="O17" i="7"/>
  <c r="S17" i="7" s="1"/>
  <c r="N12" i="2" l="1"/>
  <c r="N13" i="2" s="1"/>
  <c r="AV40" i="9"/>
  <c r="AV42" i="9" s="1"/>
  <c r="AV43" i="9" l="1"/>
  <c r="N20" i="7" l="1"/>
  <c r="O20" i="7" s="1"/>
  <c r="S2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tc={391BB089-DB75-401C-A259-20E78A630D2F}</author>
  </authors>
  <commentList>
    <comment ref="S7" authorId="0" shapeId="0" xr:uid="{00000000-0006-0000-0400-00000100000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<sst xmlns="http://schemas.openxmlformats.org/spreadsheetml/2006/main" count="1006" uniqueCount="408">
  <si>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</si>
  <si>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</si>
  <si>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</si>
  <si>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</si>
  <si>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</si>
  <si>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</si>
  <si>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</si>
  <si>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</si>
  <si>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</si>
  <si>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</si>
  <si>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</si>
  <si>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</si>
  <si>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</si>
  <si>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</si>
  <si>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</si>
  <si>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</si>
  <si>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</si>
  <si>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</si>
  <si>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</si>
  <si>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</si>
  <si>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</si>
  <si>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</si>
  <si>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</si>
  <si>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</si>
  <si>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</si>
  <si>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</si>
  <si>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</si>
  <si>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</si>
  <si>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</si>
  <si>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</si>
  <si>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</si>
  <si>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</si>
  <si>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</si>
  <si>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</si>
  <si>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</si>
  <si>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</si>
  <si>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</si>
  <si>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</si>
  <si>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</si>
  <si>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</si>
  <si>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</si>
  <si>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</si>
  <si>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</si>
  <si>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</si>
  <si>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</si>
  <si>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</si>
  <si>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</si>
  <si>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</si>
  <si>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</si>
  <si>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</si>
  <si>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</si>
  <si>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</si>
  <si>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</si>
  <si>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</si>
  <si>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</si>
  <si>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</si>
  <si>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</si>
  <si>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</si>
  <si>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</si>
  <si>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</si>
  <si>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</si>
  <si>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</si>
  <si>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</si>
  <si>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</si>
  <si>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</si>
  <si>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</si>
  <si>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</si>
  <si>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</si>
  <si>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</si>
  <si>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</si>
  <si>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</si>
  <si>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</si>
  <si>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</si>
  <si>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</si>
  <si>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</si>
  <si>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</si>
  <si>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</si>
  <si>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</si>
  <si>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</si>
  <si>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</si>
  <si>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</si>
  <si>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</si>
  <si>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</si>
  <si>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</si>
  <si>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</si>
  <si>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</si>
  <si>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</si>
  <si>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</si>
  <si>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</si>
  <si>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</si>
  <si>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</si>
  <si>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</si>
  <si>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</si>
  <si>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</si>
  <si>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</si>
  <si>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</si>
  <si>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</si>
  <si>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</si>
  <si>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</si>
  <si>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</si>
  <si>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</si>
  <si>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</si>
  <si>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</si>
  <si>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</si>
  <si>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</si>
  <si>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</si>
  <si>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</si>
  <si>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</si>
  <si>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</si>
  <si>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</si>
  <si>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</si>
  <si>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</si>
  <si>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</si>
  <si>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</si>
  <si>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</si>
  <si>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</si>
  <si>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</si>
  <si>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</si>
  <si>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</si>
  <si>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</si>
  <si>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</si>
  <si>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</si>
  <si>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</si>
  <si>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</si>
  <si>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</si>
  <si>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</si>
  <si>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</si>
  <si>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</si>
  <si>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</si>
  <si>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</si>
  <si>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</si>
  <si>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</si>
  <si>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</si>
  <si>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</si>
  <si>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</si>
  <si>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</si>
  <si>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</si>
  <si>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</si>
  <si>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</si>
  <si>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</si>
  <si>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</si>
  <si>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</si>
  <si>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</si>
  <si>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</si>
  <si>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</si>
  <si>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</si>
  <si>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</si>
  <si>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</si>
  <si>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</si>
  <si>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</si>
  <si>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</si>
  <si>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</si>
  <si>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</si>
  <si>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</si>
  <si>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</si>
  <si>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</si>
  <si>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</si>
  <si>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</si>
  <si>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</si>
  <si>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</si>
  <si>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</si>
  <si>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</si>
  <si>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</si>
  <si>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</si>
  <si>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</si>
  <si>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</si>
  <si>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</si>
  <si>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</si>
  <si>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</si>
  <si>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</si>
  <si>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</si>
  <si>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</si>
  <si>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</si>
  <si>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</si>
  <si>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</si>
  <si>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</si>
  <si>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</si>
  <si>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</si>
  <si>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</si>
  <si>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</si>
  <si>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</si>
  <si>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</si>
  <si>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</si>
  <si>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</si>
  <si>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</si>
  <si>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</si>
  <si>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</si>
  <si>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</si>
  <si>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</si>
  <si>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</si>
  <si>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</si>
  <si>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</si>
  <si>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</si>
  <si>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</si>
  <si>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</si>
  <si>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</si>
  <si>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</si>
  <si>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</si>
  <si>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</si>
  <si>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</si>
  <si>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</si>
  <si>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</si>
  <si>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</si>
  <si>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</si>
  <si>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</si>
  <si>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</si>
  <si>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</si>
  <si>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</si>
  <si>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</si>
  <si>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</si>
  <si>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</si>
  <si>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</si>
  <si>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</si>
  <si>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</si>
  <si>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</si>
  <si>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</si>
  <si>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</si>
  <si>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</si>
  <si>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</si>
  <si>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</si>
  <si>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</si>
  <si>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</si>
  <si>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</si>
  <si>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</si>
  <si>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</si>
  <si>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</si>
  <si>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</si>
  <si>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</si>
  <si>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</si>
  <si>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</si>
  <si>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</si>
  <si>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</si>
  <si>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</si>
  <si>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</si>
  <si>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</si>
  <si>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</si>
  <si>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</si>
  <si>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</si>
  <si>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</si>
  <si>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</si>
  <si>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</si>
  <si>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</si>
  <si>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</si>
  <si>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</si>
  <si>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</si>
  <si>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</si>
  <si>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</si>
  <si>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</si>
  <si>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</si>
  <si>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</si>
  <si>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</si>
  <si>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</si>
  <si>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</si>
  <si>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</si>
  <si>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</si>
  <si>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</si>
  <si>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</si>
  <si>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</si>
  <si>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</si>
  <si>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</si>
  <si>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</si>
  <si>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</si>
  <si>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</si>
  <si>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</si>
  <si>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</si>
  <si>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</si>
  <si>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</si>
  <si>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</si>
  <si>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</si>
  <si>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</si>
  <si>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</si>
  <si>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</si>
  <si>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</si>
  <si>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</si>
  <si>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</si>
  <si>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</si>
  <si>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</si>
  <si>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</si>
  <si>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</si>
  <si>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</si>
  <si>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</si>
  <si>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</si>
  <si>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</si>
  <si>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</si>
  <si>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</si>
  <si>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</si>
  <si>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</si>
  <si>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</si>
  <si>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</si>
  <si>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</si>
  <si>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</si>
  <si>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</si>
  <si>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</si>
  <si>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</si>
  <si>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</si>
  <si>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</si>
  <si>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</si>
  <si>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</si>
  <si>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</si>
  <si>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</si>
  <si>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</si>
  <si>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</si>
  <si>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</si>
  <si>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</si>
  <si>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</si>
  <si>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</si>
  <si>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</si>
  <si>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</si>
  <si>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</si>
  <si>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</si>
  <si>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</si>
  <si>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</si>
  <si>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</si>
  <si>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</si>
  <si>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</si>
  <si>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</si>
  <si>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</si>
  <si>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</si>
  <si>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</si>
  <si>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</si>
  <si>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BGH</t>
  </si>
  <si>
    <t>Trưởng phòng vận hành</t>
  </si>
  <si>
    <t>MS04</t>
  </si>
  <si>
    <t>MS03</t>
  </si>
  <si>
    <t>Hiệu phó cơ sở</t>
  </si>
  <si>
    <t>Lê Thị Kim Liên</t>
  </si>
  <si>
    <t>Ban Giám hiệu</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</si>
  <si>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</si>
  <si>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</si>
  <si>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</si>
  <si>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</si>
  <si>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</si>
  <si>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</si>
  <si>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MS05</t>
  </si>
  <si>
    <t>Hoàng Thị Hoa</t>
  </si>
  <si>
    <t>MS06</t>
  </si>
  <si>
    <t>Giáo viên nước ngoài</t>
  </si>
  <si>
    <t>Eugene</t>
  </si>
  <si>
    <t>Giáo viên</t>
  </si>
  <si>
    <t>MS02</t>
  </si>
  <si>
    <t>Bùi Thanh Anh</t>
  </si>
  <si>
    <t>Hiệu trưởng ̣(kiêm nhiệm)</t>
  </si>
  <si>
    <t>Hiệu trưởng</t>
  </si>
  <si>
    <t>Hiệu trưởng kiêm nhiệm</t>
  </si>
  <si>
    <t>ACB</t>
  </si>
  <si>
    <t>Vietcombank</t>
  </si>
  <si>
    <t>Hà Nội, ngày ..... tháng ..... năm 2026</t>
  </si>
  <si>
    <t>Ban giám hiệu</t>
  </si>
  <si>
    <t>MS07</t>
  </si>
  <si>
    <t>Giáo viên mầm non</t>
  </si>
  <si>
    <t>MS08</t>
  </si>
  <si>
    <t>Hoàng Thị Hương Li</t>
  </si>
  <si>
    <t>Quản lý chương trình TA</t>
  </si>
  <si>
    <t>MS09</t>
  </si>
  <si>
    <t>Nguyễn Thị Thu</t>
  </si>
  <si>
    <t>CVG - BẢNG THEO DÕI PHÉP NĂM 2026</t>
  </si>
  <si>
    <t>Số phép đã nghỉ (phép năm 2026)</t>
  </si>
  <si>
    <t>Tổng phép đã nghỉ năm 2026</t>
  </si>
  <si>
    <t>MS10</t>
  </si>
  <si>
    <t>Giáo viên TA VN</t>
  </si>
  <si>
    <t>Bùi Thị Thương</t>
  </si>
  <si>
    <t>Phùng Thị Lụa</t>
  </si>
  <si>
    <t>MS11</t>
  </si>
  <si>
    <t>HK</t>
  </si>
  <si>
    <t>MS12</t>
  </si>
  <si>
    <t>Đinh Thị Bích Ngọc</t>
  </si>
  <si>
    <t>MS13</t>
  </si>
  <si>
    <t>Lương Văn Châm</t>
  </si>
  <si>
    <t>MS14</t>
  </si>
  <si>
    <t>Nguyễn Thị Phúc</t>
  </si>
  <si>
    <t>MS15</t>
  </si>
  <si>
    <t>Nguyễn Thị Thuỳ Trang</t>
  </si>
  <si>
    <t>Bảo vệ</t>
  </si>
  <si>
    <t>Y tế</t>
  </si>
  <si>
    <t xml:space="preserve">0563250894 </t>
  </si>
  <si>
    <t>MB</t>
  </si>
  <si>
    <t>VCB</t>
  </si>
  <si>
    <t>Nguyễn Ánh Hồng</t>
  </si>
  <si>
    <t>Kế toán</t>
  </si>
  <si>
    <t>MS16</t>
  </si>
  <si>
    <t>Phạm Thị Hương Thuỷ</t>
  </si>
  <si>
    <t>MS17</t>
  </si>
  <si>
    <t>Lê Thị Bích Hường</t>
  </si>
  <si>
    <t>MS18</t>
  </si>
  <si>
    <t>Nguyễn Hương Thảo</t>
  </si>
  <si>
    <t>Nhân viên bếp</t>
  </si>
  <si>
    <t>NV Bếp</t>
  </si>
  <si>
    <t>MS20</t>
  </si>
  <si>
    <t>Nguyễn Thị Thu Hiền</t>
  </si>
  <si>
    <t>MS14 - BẢNG CHẤM CÔNG THÁNG 06/2026</t>
  </si>
  <si>
    <t>MS21</t>
  </si>
  <si>
    <t>MS22</t>
  </si>
  <si>
    <t>Triệu Thị Thu</t>
  </si>
  <si>
    <t>Nguyễn Thị Hằng</t>
  </si>
  <si>
    <t>MS23</t>
  </si>
  <si>
    <t>Hoàng Thị Ánh Mão</t>
  </si>
  <si>
    <t>Thử Việc</t>
  </si>
  <si>
    <t>PHIẾU LƯƠNG THÁNG 06.2026</t>
  </si>
  <si>
    <t>MS24</t>
  </si>
  <si>
    <t>Trương Hoàng Diễm</t>
  </si>
  <si>
    <t>VPBank</t>
  </si>
  <si>
    <t>Nội dung thanh toán: MS14 thanh toán lương CBNV MS14 tháng 07/2026</t>
  </si>
  <si>
    <t>MS14 thanh toán lương CBNV MS14 tháng 07/2026
Danh sách cụ thể đính kèm.</t>
  </si>
  <si>
    <t>BẢNG KÊ DANH SÁCH THANH TOÁN LƯƠNG THÁNG 07.2026</t>
  </si>
  <si>
    <t>Nội dung: MS14 thanh toán lương cho nhân sự MS14 Tháng 07.2026</t>
  </si>
  <si>
    <t>Hà Nội, ngày  05 tháng  08  năm 2026</t>
  </si>
  <si>
    <t>BẢNG TÍNH THU NHẬP THÁNG 07/2026</t>
  </si>
  <si>
    <t>Giữ lại 7.717.000 tiền phí dịch vụ làm WP, TRC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</si>
</sst>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0.00_-;\-* #,##0.00_-;_-* &quot;-&quot;??_-;_-@_-"/>
    <numFmt numFmtId="165" formatCode="&quot;Hà Nội, Ngày &quot;dd&quot; tháng &quot;mm&quot; năm &quot;yyyy"/>
    <numFmt numFmtId="166" formatCode="_-* #,##0_-;\-* #,##0_-;_-* &quot;-&quot;??_-;_-@"/>
    <numFmt numFmtId="167" formatCode="dd"/>
    <numFmt numFmtId="168" formatCode="#,##0.0"/>
    <numFmt numFmtId="169" formatCode="_-* #,##0.0_-;\-* #,##0.0_-;_-* &quot;-&quot;??_-;_-@"/>
    <numFmt numFmtId="170" formatCode="_(* #,##0_);_(* \(#,##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99"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s>
  <fills count="26">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
      <patternFill patternType="solid">
        <fgColor theme="0"/>
        <bgColor rgb="FFFFFFFF"/>
      </patternFill>
    </fill>
  </fills>
  <borders count="13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63"/>
    <xf numFmtId="164" fontId="98" fillId="0" borderId="0" applyFont="0" applyFill="0" applyBorder="0" applyAlignment="0" applyProtection="0"/>
  </cellStyleXfs>
  <cellXfs count="753">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5"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6"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7" fontId="58" fillId="8" borderId="46" xfId="0" applyNumberFormat="1" applyFont="1" applyFill="1" applyBorder="1" applyAlignment="1">
      <alignment horizontal="center" vertical="center"/>
    </xf>
    <xf numFmtId="167" fontId="58" fillId="8" borderId="47" xfId="0" applyNumberFormat="1" applyFont="1" applyFill="1" applyBorder="1" applyAlignment="1">
      <alignment horizontal="center" vertical="center"/>
    </xf>
    <xf numFmtId="167" fontId="58" fillId="8" borderId="48" xfId="0" applyNumberFormat="1" applyFont="1" applyFill="1" applyBorder="1" applyAlignment="1">
      <alignment horizontal="center" vertical="center"/>
    </xf>
    <xf numFmtId="167" fontId="58" fillId="8" borderId="49" xfId="0" applyNumberFormat="1" applyFont="1" applyFill="1" applyBorder="1" applyAlignment="1">
      <alignment horizontal="center" vertical="center"/>
    </xf>
    <xf numFmtId="167" fontId="58" fillId="8" borderId="50" xfId="0" applyNumberFormat="1" applyFont="1" applyFill="1" applyBorder="1" applyAlignment="1">
      <alignment horizontal="center" vertical="center"/>
    </xf>
    <xf numFmtId="167"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8"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8" fontId="68" fillId="0" borderId="5" xfId="0" applyNumberFormat="1" applyFont="1" applyBorder="1" applyAlignment="1">
      <alignment horizontal="center" vertical="center"/>
    </xf>
    <xf numFmtId="168"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8"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8"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8"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168"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8"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8"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8"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70" fontId="3" fillId="3" borderId="13" xfId="0" applyNumberFormat="1" applyFont="1" applyFill="1" applyBorder="1"/>
    <xf numFmtId="170" fontId="83" fillId="3" borderId="13" xfId="0" applyNumberFormat="1" applyFont="1" applyFill="1" applyBorder="1"/>
    <xf numFmtId="0" fontId="1" fillId="15" borderId="5" xfId="0" applyFont="1" applyFill="1" applyBorder="1" applyAlignment="1">
      <alignment horizontal="center" vertical="center" wrapText="1"/>
    </xf>
    <xf numFmtId="170"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70" fontId="1" fillId="17" borderId="27" xfId="0" applyNumberFormat="1" applyFont="1" applyFill="1" applyBorder="1" applyAlignment="1">
      <alignment horizontal="center" vertical="center" wrapText="1"/>
    </xf>
    <xf numFmtId="0" fontId="6" fillId="0" borderId="87" xfId="0" applyFont="1" applyBorder="1"/>
    <xf numFmtId="170"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6" fontId="3" fillId="3" borderId="5" xfId="0" applyNumberFormat="1" applyFont="1" applyFill="1" applyBorder="1" applyAlignment="1">
      <alignment horizontal="right" vertical="center"/>
    </xf>
    <xf numFmtId="166" fontId="3" fillId="3" borderId="78" xfId="0" applyNumberFormat="1" applyFont="1" applyFill="1" applyBorder="1" applyAlignment="1">
      <alignment horizontal="right" vertical="center"/>
    </xf>
    <xf numFmtId="166" fontId="3" fillId="3" borderId="5" xfId="0" applyNumberFormat="1" applyFont="1" applyFill="1" applyBorder="1" applyAlignment="1">
      <alignment vertical="center"/>
    </xf>
    <xf numFmtId="0" fontId="6" fillId="0" borderId="66" xfId="0" applyFont="1" applyBorder="1" applyAlignment="1">
      <alignment vertical="center"/>
    </xf>
    <xf numFmtId="170" fontId="3" fillId="3" borderId="5" xfId="0" applyNumberFormat="1" applyFont="1" applyFill="1" applyBorder="1" applyAlignment="1">
      <alignment vertical="center"/>
    </xf>
    <xf numFmtId="0" fontId="24" fillId="0" borderId="0" xfId="0" applyFont="1" applyAlignment="1">
      <alignment vertical="center"/>
    </xf>
    <xf numFmtId="166"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70" fontId="3" fillId="0" borderId="0" xfId="0" applyNumberFormat="1" applyFont="1"/>
    <xf numFmtId="170" fontId="21" fillId="0" borderId="0" xfId="0" applyNumberFormat="1" applyFont="1"/>
    <xf numFmtId="0" fontId="85" fillId="0" borderId="0" xfId="0" applyFont="1"/>
    <xf numFmtId="43" fontId="85" fillId="0" borderId="0" xfId="0" applyNumberFormat="1" applyFont="1"/>
    <xf numFmtId="170" fontId="85" fillId="0" borderId="0" xfId="0" applyNumberFormat="1" applyFont="1"/>
    <xf numFmtId="170" fontId="83" fillId="0" borderId="0" xfId="0" applyNumberFormat="1" applyFont="1"/>
    <xf numFmtId="170" fontId="24" fillId="0" borderId="0" xfId="0" applyNumberFormat="1" applyFont="1"/>
    <xf numFmtId="0" fontId="86" fillId="0" borderId="0" xfId="0" applyFont="1"/>
    <xf numFmtId="0" fontId="21" fillId="0" borderId="0" xfId="0" applyFont="1"/>
    <xf numFmtId="170" fontId="1" fillId="0" borderId="0" xfId="0" applyNumberFormat="1" applyFont="1"/>
    <xf numFmtId="170" fontId="20" fillId="0" borderId="0" xfId="0" applyNumberFormat="1" applyFont="1"/>
    <xf numFmtId="170" fontId="1" fillId="3" borderId="13" xfId="0" applyNumberFormat="1" applyFont="1" applyFill="1" applyBorder="1"/>
    <xf numFmtId="166" fontId="80" fillId="0" borderId="0" xfId="0" applyNumberFormat="1" applyFont="1"/>
    <xf numFmtId="166" fontId="21" fillId="0" borderId="5" xfId="0" applyNumberFormat="1" applyFont="1" applyBorder="1" applyAlignment="1">
      <alignment vertical="center"/>
    </xf>
    <xf numFmtId="166" fontId="80" fillId="0" borderId="0" xfId="0" applyNumberFormat="1" applyFont="1" applyAlignment="1">
      <alignment vertical="center"/>
    </xf>
    <xf numFmtId="166" fontId="1" fillId="2" borderId="5" xfId="0" applyNumberFormat="1" applyFont="1" applyFill="1" applyBorder="1" applyAlignment="1">
      <alignment horizontal="center" vertical="center"/>
    </xf>
    <xf numFmtId="166"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43"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6"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70"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70"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6"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70" fontId="89" fillId="0" borderId="5" xfId="0" applyNumberFormat="1" applyFont="1" applyBorder="1" applyAlignment="1">
      <alignment horizontal="center" vertical="center" wrapText="1"/>
    </xf>
    <xf numFmtId="3" fontId="34" fillId="15" borderId="5" xfId="0" applyNumberFormat="1" applyFont="1" applyFill="1" applyBorder="1" applyAlignment="1">
      <alignment horizontal="center" vertical="center" wrapText="1"/>
    </xf>
    <xf numFmtId="170"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70"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70" fontId="1" fillId="0" borderId="0" xfId="0" applyNumberFormat="1" applyFont="1" applyAlignment="1">
      <alignment horizontal="center" vertical="center" wrapText="1"/>
    </xf>
    <xf numFmtId="170"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70" fontId="3" fillId="0" borderId="5" xfId="0" applyNumberFormat="1" applyFont="1" applyBorder="1" applyAlignment="1">
      <alignment horizontal="center" vertical="center" wrapText="1"/>
    </xf>
    <xf numFmtId="170" fontId="3" fillId="0" borderId="5" xfId="0" applyNumberFormat="1" applyFont="1" applyBorder="1" applyAlignment="1">
      <alignment horizontal="left" vertical="center" wrapText="1"/>
    </xf>
    <xf numFmtId="170"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70"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6"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6"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8"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8" fontId="3" fillId="3" borderId="133" xfId="0" applyNumberFormat="1" applyFont="1" applyFill="1" applyBorder="1" applyAlignment="1">
      <alignment horizontal="center" vertical="center"/>
    </xf>
    <xf numFmtId="169"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21" fillId="3" borderId="93" xfId="0" applyFont="1" applyFill="1" applyBorder="1" applyAlignment="1">
      <alignment vertical="center" wrapText="1"/>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6" fontId="3" fillId="3" borderId="28" xfId="0" applyNumberFormat="1" applyFont="1" applyFill="1" applyBorder="1" applyAlignment="1">
      <alignment horizontal="right" vertical="center"/>
    </xf>
    <xf numFmtId="166" fontId="3" fillId="3" borderId="82" xfId="0" applyNumberFormat="1" applyFont="1" applyFill="1" applyBorder="1" applyAlignment="1">
      <alignment horizontal="right" vertical="center"/>
    </xf>
    <xf numFmtId="166" fontId="3" fillId="3" borderId="28" xfId="0" applyNumberFormat="1" applyFont="1" applyFill="1" applyBorder="1" applyAlignment="1">
      <alignment vertical="center"/>
    </xf>
    <xf numFmtId="0" fontId="6" fillId="0" borderId="90" xfId="0" applyFont="1" applyBorder="1" applyAlignment="1">
      <alignment vertical="center"/>
    </xf>
    <xf numFmtId="170"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49" fontId="23" fillId="3" borderId="133" xfId="0" applyNumberFormat="1" applyFont="1" applyFill="1" applyBorder="1" applyAlignment="1">
      <alignment horizontal="center" vertical="center"/>
    </xf>
    <xf numFmtId="0" fontId="6" fillId="0" borderId="133" xfId="0" applyFont="1" applyBorder="1" applyAlignment="1">
      <alignment vertical="center"/>
    </xf>
    <xf numFmtId="166" fontId="3" fillId="3" borderId="133" xfId="0" applyNumberFormat="1" applyFont="1" applyFill="1" applyBorder="1" applyAlignment="1">
      <alignment horizontal="right" vertical="center"/>
    </xf>
    <xf numFmtId="166" fontId="3" fillId="3" borderId="133" xfId="0" applyNumberFormat="1" applyFont="1" applyFill="1" applyBorder="1" applyAlignment="1">
      <alignment vertical="center"/>
    </xf>
    <xf numFmtId="170" fontId="3" fillId="3" borderId="133" xfId="0" applyNumberFormat="1" applyFont="1" applyFill="1" applyBorder="1" applyAlignment="1">
      <alignment vertical="center"/>
    </xf>
    <xf numFmtId="0" fontId="1" fillId="2" borderId="133" xfId="0" applyFont="1" applyFill="1" applyBorder="1" applyAlignment="1">
      <alignment horizontal="center" vertical="center"/>
    </xf>
    <xf numFmtId="166" fontId="1" fillId="2" borderId="133" xfId="0" applyNumberFormat="1" applyFont="1" applyFill="1" applyBorder="1" applyAlignment="1">
      <alignment horizontal="center" vertical="center"/>
    </xf>
    <xf numFmtId="170" fontId="65" fillId="0" borderId="78" xfId="0" applyNumberFormat="1" applyFont="1" applyBorder="1" applyAlignment="1">
      <alignment horizontal="center" vertical="center" wrapText="1"/>
    </xf>
    <xf numFmtId="0" fontId="65" fillId="0" borderId="28" xfId="0" applyFont="1" applyBorder="1" applyAlignment="1">
      <alignment horizontal="center" vertical="center" wrapText="1"/>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23" fillId="3" borderId="81" xfId="0" applyFont="1" applyFill="1" applyBorder="1" applyAlignment="1">
      <alignment vertical="center" wrapText="1"/>
    </xf>
    <xf numFmtId="170" fontId="65" fillId="0" borderId="28" xfId="0" applyNumberFormat="1" applyFont="1" applyBorder="1" applyAlignment="1">
      <alignment horizontal="center" vertical="center" wrapText="1"/>
    </xf>
    <xf numFmtId="173" fontId="65" fillId="0" borderId="28" xfId="0" applyNumberFormat="1" applyFont="1" applyBorder="1" applyAlignment="1">
      <alignment horizontal="center" vertical="center" wrapText="1"/>
    </xf>
    <xf numFmtId="3" fontId="34" fillId="15" borderId="66" xfId="0" applyNumberFormat="1" applyFont="1" applyFill="1" applyBorder="1" applyAlignment="1">
      <alignment horizontal="center" vertical="center" wrapText="1"/>
    </xf>
    <xf numFmtId="0" fontId="65" fillId="0" borderId="133" xfId="0" applyFont="1" applyBorder="1" applyAlignment="1">
      <alignment horizontal="center" vertical="center" wrapText="1"/>
    </xf>
    <xf numFmtId="49" fontId="77"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170" fontId="65" fillId="0" borderId="133" xfId="0" applyNumberFormat="1" applyFont="1" applyBorder="1" applyAlignment="1">
      <alignment horizontal="center" vertical="center" wrapText="1"/>
    </xf>
    <xf numFmtId="173" fontId="65" fillId="0" borderId="133" xfId="0" applyNumberFormat="1" applyFont="1" applyBorder="1" applyAlignment="1">
      <alignment horizontal="center" vertical="center" wrapText="1"/>
    </xf>
    <xf numFmtId="170" fontId="34" fillId="0" borderId="133" xfId="0" applyNumberFormat="1" applyFont="1" applyBorder="1" applyAlignment="1">
      <alignment horizontal="center" vertical="center" wrapText="1"/>
    </xf>
    <xf numFmtId="171" fontId="65" fillId="0" borderId="133" xfId="0" applyNumberFormat="1" applyFont="1" applyBorder="1" applyAlignment="1">
      <alignment horizontal="center" vertical="center" wrapText="1"/>
    </xf>
    <xf numFmtId="10" fontId="65" fillId="0" borderId="133" xfId="0" applyNumberFormat="1" applyFont="1" applyBorder="1" applyAlignment="1">
      <alignment horizontal="center" vertical="center" wrapText="1"/>
    </xf>
    <xf numFmtId="174" fontId="65" fillId="0" borderId="133" xfId="0" applyNumberFormat="1" applyFont="1" applyBorder="1" applyAlignment="1">
      <alignment horizontal="right" vertical="center" wrapText="1"/>
    </xf>
    <xf numFmtId="166" fontId="65" fillId="0" borderId="133" xfId="0" applyNumberFormat="1" applyFont="1" applyBorder="1" applyAlignment="1">
      <alignment horizontal="center" vertical="center" wrapText="1"/>
    </xf>
    <xf numFmtId="3" fontId="65" fillId="0" borderId="133" xfId="0" applyNumberFormat="1" applyFont="1" applyBorder="1" applyAlignment="1">
      <alignment horizontal="center" vertical="center" wrapText="1"/>
    </xf>
    <xf numFmtId="170" fontId="89" fillId="0" borderId="133" xfId="0" applyNumberFormat="1" applyFont="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6"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6"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3" fillId="3" borderId="133"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78" xfId="0" applyFont="1" applyFill="1" applyBorder="1" applyAlignment="1">
      <alignment vertical="center" wrapText="1"/>
    </xf>
    <xf numFmtId="0" fontId="21" fillId="3" borderId="82" xfId="0" applyFont="1" applyFill="1" applyBorder="1" applyAlignment="1">
      <alignment vertical="center" wrapText="1"/>
    </xf>
    <xf numFmtId="0" fontId="21" fillId="3" borderId="136" xfId="0" applyFont="1" applyFill="1" applyBorder="1" applyAlignment="1">
      <alignment vertical="center" wrapText="1"/>
    </xf>
    <xf numFmtId="0" fontId="64" fillId="0" borderId="133" xfId="0" applyFont="1" applyBorder="1" applyAlignment="1">
      <alignment horizontal="center" vertical="center"/>
    </xf>
    <xf numFmtId="3" fontId="0" fillId="0" borderId="0" xfId="0" applyNumberFormat="1"/>
    <xf numFmtId="170" fontId="0" fillId="0" borderId="0" xfId="0" applyNumberFormat="1"/>
    <xf numFmtId="0" fontId="77" fillId="3" borderId="89" xfId="0" applyFont="1" applyFill="1" applyBorder="1" applyAlignment="1">
      <alignment horizontal="left" vertical="center"/>
    </xf>
    <xf numFmtId="170" fontId="89" fillId="0" borderId="28" xfId="0" applyNumberFormat="1" applyFont="1" applyBorder="1" applyAlignment="1">
      <alignment horizontal="center" vertical="center" wrapText="1"/>
    </xf>
    <xf numFmtId="0" fontId="1" fillId="0" borderId="66" xfId="0" applyFont="1" applyBorder="1" applyAlignment="1">
      <alignment horizontal="center" vertical="center"/>
    </xf>
    <xf numFmtId="168" fontId="71" fillId="14" borderId="78" xfId="0" applyNumberFormat="1" applyFont="1" applyFill="1" applyBorder="1" applyAlignment="1">
      <alignment horizontal="center" vertical="center"/>
    </xf>
    <xf numFmtId="0" fontId="64" fillId="0" borderId="89" xfId="0" applyFont="1" applyBorder="1" applyAlignment="1">
      <alignment horizontal="center" vertical="center"/>
    </xf>
    <xf numFmtId="0" fontId="21" fillId="3" borderId="89" xfId="0" applyFont="1" applyFill="1" applyBorder="1" applyAlignment="1">
      <alignment vertical="center" wrapText="1"/>
    </xf>
    <xf numFmtId="0" fontId="21" fillId="3" borderId="137" xfId="0" applyFont="1" applyFill="1" applyBorder="1" applyAlignment="1">
      <alignment horizontal="left" vertical="center"/>
    </xf>
    <xf numFmtId="0" fontId="58" fillId="3" borderId="91" xfId="0" applyFont="1" applyFill="1" applyBorder="1" applyAlignment="1">
      <alignment horizontal="center" vertical="center"/>
    </xf>
    <xf numFmtId="0" fontId="75" fillId="0" borderId="91" xfId="0" applyFont="1" applyBorder="1" applyAlignment="1">
      <alignment horizontal="center" vertical="center"/>
    </xf>
    <xf numFmtId="0" fontId="76" fillId="3" borderId="91" xfId="0" applyFont="1" applyFill="1" applyBorder="1" applyAlignment="1">
      <alignment horizontal="center" vertical="center"/>
    </xf>
    <xf numFmtId="168" fontId="58" fillId="0" borderId="66" xfId="0" applyNumberFormat="1" applyFont="1" applyBorder="1" applyAlignment="1">
      <alignment horizontal="center" vertical="center"/>
    </xf>
    <xf numFmtId="49" fontId="65" fillId="3" borderId="133" xfId="0" applyNumberFormat="1" applyFont="1" applyFill="1" applyBorder="1" applyAlignment="1">
      <alignment horizontal="center" vertical="center"/>
    </xf>
    <xf numFmtId="0" fontId="21" fillId="3" borderId="133" xfId="0" applyFont="1" applyFill="1" applyBorder="1" applyAlignment="1">
      <alignment horizontal="center" vertical="center" wrapText="1"/>
    </xf>
    <xf numFmtId="0" fontId="66" fillId="3" borderId="133" xfId="0" applyFont="1" applyFill="1" applyBorder="1" applyAlignment="1">
      <alignment horizontal="center" vertical="center"/>
    </xf>
    <xf numFmtId="0" fontId="67" fillId="0" borderId="133" xfId="0" applyFont="1" applyBorder="1" applyAlignment="1">
      <alignment horizontal="center" vertical="center"/>
    </xf>
    <xf numFmtId="168" fontId="68" fillId="0" borderId="133" xfId="0" applyNumberFormat="1" applyFont="1" applyBorder="1" applyAlignment="1">
      <alignment horizontal="center" vertical="center"/>
    </xf>
    <xf numFmtId="168" fontId="67" fillId="0" borderId="133" xfId="0" applyNumberFormat="1" applyFont="1" applyBorder="1" applyAlignment="1">
      <alignment horizontal="center" vertical="center"/>
    </xf>
    <xf numFmtId="0" fontId="69" fillId="0" borderId="133" xfId="0" applyFont="1" applyBorder="1" applyAlignment="1">
      <alignment horizontal="center" vertical="center"/>
    </xf>
    <xf numFmtId="168" fontId="71" fillId="7" borderId="133" xfId="0" applyNumberFormat="1" applyFont="1" applyFill="1" applyBorder="1" applyAlignment="1">
      <alignment horizontal="center" vertical="center"/>
    </xf>
    <xf numFmtId="0" fontId="72" fillId="0" borderId="133" xfId="0" applyFont="1" applyBorder="1" applyAlignment="1">
      <alignment horizontal="center" vertical="center"/>
    </xf>
    <xf numFmtId="168" fontId="73" fillId="0" borderId="133" xfId="0" applyNumberFormat="1" applyFont="1" applyBorder="1" applyAlignment="1">
      <alignment horizontal="center" vertical="center"/>
    </xf>
    <xf numFmtId="0" fontId="21" fillId="25" borderId="133" xfId="0" applyFont="1" applyFill="1" applyBorder="1" applyAlignment="1">
      <alignment horizontal="left" vertical="center"/>
    </xf>
    <xf numFmtId="0" fontId="70" fillId="0" borderId="133" xfId="0" applyFont="1" applyBorder="1" applyAlignment="1">
      <alignment horizontal="center" vertical="center"/>
    </xf>
    <xf numFmtId="0" fontId="21" fillId="3" borderId="137" xfId="0" applyFont="1" applyFill="1" applyBorder="1" applyAlignment="1">
      <alignment horizontal="center" vertical="center" wrapText="1"/>
    </xf>
    <xf numFmtId="49" fontId="23" fillId="3" borderId="137" xfId="0" applyNumberFormat="1" applyFont="1" applyFill="1" applyBorder="1" applyAlignment="1">
      <alignment horizontal="center" vertical="center"/>
    </xf>
    <xf numFmtId="0" fontId="23" fillId="3" borderId="137" xfId="0" applyFont="1" applyFill="1" applyBorder="1" applyAlignment="1">
      <alignment vertical="center" wrapText="1"/>
    </xf>
    <xf numFmtId="170" fontId="65" fillId="0" borderId="137" xfId="0" applyNumberFormat="1" applyFont="1" applyBorder="1" applyAlignment="1">
      <alignment horizontal="center" vertical="center" wrapText="1"/>
    </xf>
    <xf numFmtId="173" fontId="65" fillId="0" borderId="137" xfId="0" applyNumberFormat="1" applyFont="1" applyBorder="1" applyAlignment="1">
      <alignment horizontal="center" vertical="center" wrapText="1"/>
    </xf>
    <xf numFmtId="170" fontId="34" fillId="0" borderId="137" xfId="0" applyNumberFormat="1" applyFont="1" applyBorder="1" applyAlignment="1">
      <alignment horizontal="center" vertical="center" wrapText="1"/>
    </xf>
    <xf numFmtId="171" fontId="65" fillId="0" borderId="137" xfId="0" applyNumberFormat="1" applyFont="1" applyBorder="1" applyAlignment="1">
      <alignment horizontal="center" vertical="center" wrapText="1"/>
    </xf>
    <xf numFmtId="10" fontId="65" fillId="0" borderId="137" xfId="0" applyNumberFormat="1" applyFont="1" applyBorder="1" applyAlignment="1">
      <alignment horizontal="center" vertical="center" wrapText="1"/>
    </xf>
    <xf numFmtId="174" fontId="65" fillId="0" borderId="137" xfId="0" applyNumberFormat="1" applyFont="1" applyBorder="1" applyAlignment="1">
      <alignment horizontal="right" vertical="center" wrapText="1"/>
    </xf>
    <xf numFmtId="166" fontId="65" fillId="0" borderId="137" xfId="0" applyNumberFormat="1" applyFont="1" applyBorder="1" applyAlignment="1">
      <alignment horizontal="center" vertical="center" wrapText="1"/>
    </xf>
    <xf numFmtId="3" fontId="65" fillId="0" borderId="137" xfId="0" applyNumberFormat="1" applyFont="1" applyBorder="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2" fillId="0" borderId="11" xfId="0" applyFont="1" applyBorder="1"/>
    <xf numFmtId="0" fontId="2" fillId="0" borderId="12" xfId="0" applyFont="1" applyBorder="1"/>
    <xf numFmtId="0" fontId="78" fillId="3" borderId="10" xfId="0" applyFont="1" applyFill="1" applyBorder="1" applyAlignment="1">
      <alignment vertical="center" wrapText="1"/>
    </xf>
    <xf numFmtId="0" fontId="55"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38" fillId="3" borderId="37" xfId="0" applyFont="1" applyFill="1" applyBorder="1" applyAlignment="1">
      <alignment horizontal="center" vertical="center"/>
    </xf>
    <xf numFmtId="0" fontId="2" fillId="0" borderId="39" xfId="0" applyFont="1" applyBorder="1"/>
    <xf numFmtId="0" fontId="60" fillId="7" borderId="57" xfId="0" applyFont="1" applyFill="1" applyBorder="1" applyAlignment="1">
      <alignment horizontal="center" vertical="center" wrapText="1"/>
    </xf>
    <xf numFmtId="0" fontId="2" fillId="0" borderId="70" xfId="0" applyFont="1" applyBorder="1"/>
    <xf numFmtId="0" fontId="31" fillId="3" borderId="36" xfId="0" applyFont="1" applyFill="1" applyBorder="1" applyAlignment="1">
      <alignment horizontal="center" vertical="center"/>
    </xf>
    <xf numFmtId="0" fontId="2" fillId="0" borderId="38" xfId="0" applyFont="1" applyBorder="1"/>
    <xf numFmtId="0" fontId="54" fillId="3" borderId="29" xfId="0" applyFont="1" applyFill="1" applyBorder="1" applyAlignment="1">
      <alignment horizontal="center" vertical="center" wrapText="1"/>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0" fillId="0" borderId="0" xfId="0"/>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35" fillId="0" borderId="29" xfId="0" applyFont="1" applyBorder="1" applyAlignment="1">
      <alignment horizontal="center" vertical="center"/>
    </xf>
    <xf numFmtId="0" fontId="36" fillId="6" borderId="29" xfId="0" applyFont="1" applyFill="1" applyBorder="1" applyAlignment="1">
      <alignment horizontal="center" vertical="center"/>
    </xf>
    <xf numFmtId="0" fontId="40" fillId="7" borderId="29"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2" fillId="0" borderId="30" xfId="0" applyFont="1" applyBorder="1"/>
    <xf numFmtId="0" fontId="2" fillId="0" borderId="33" xfId="0" applyFont="1" applyBorder="1"/>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47" fillId="3" borderId="29" xfId="0" applyFont="1" applyFill="1" applyBorder="1" applyAlignment="1">
      <alignment horizontal="center" vertical="center" wrapText="1"/>
    </xf>
    <xf numFmtId="0" fontId="44" fillId="0" borderId="36" xfId="0" applyFont="1" applyBorder="1" applyAlignment="1">
      <alignment horizontal="center" vertical="center" wrapText="1"/>
    </xf>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0" fillId="3" borderId="10" xfId="0" applyFont="1" applyFill="1" applyBorder="1" applyAlignment="1">
      <alignment horizontal="center" vertical="center"/>
    </xf>
    <xf numFmtId="0" fontId="9" fillId="0" borderId="0" xfId="0" applyFont="1" applyAlignment="1">
      <alignment vertical="center"/>
    </xf>
    <xf numFmtId="0" fontId="18" fillId="0" borderId="0" xfId="0" applyFont="1" applyAlignment="1">
      <alignment horizontal="center" vertical="center" wrapText="1"/>
    </xf>
    <xf numFmtId="0" fontId="19" fillId="3" borderId="14" xfId="0" applyFont="1" applyFill="1" applyBorder="1" applyAlignment="1">
      <alignment horizontal="left" vertical="center" wrapText="1"/>
    </xf>
    <xf numFmtId="0" fontId="2" fillId="0" borderId="15" xfId="0" applyFont="1" applyBorder="1"/>
    <xf numFmtId="0" fontId="2" fillId="0" borderId="16" xfId="0" applyFont="1" applyBorder="1"/>
    <xf numFmtId="166"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6"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18" fillId="4" borderId="17" xfId="0" applyFont="1" applyFill="1" applyBorder="1" applyAlignment="1">
      <alignment horizontal="center" vertical="center"/>
    </xf>
    <xf numFmtId="0" fontId="7"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5" fontId="12" fillId="0" borderId="0" xfId="0" applyNumberFormat="1" applyFont="1" applyAlignment="1">
      <alignment horizontal="right"/>
    </xf>
    <xf numFmtId="0" fontId="1" fillId="0" borderId="0" xfId="0" applyFont="1" applyAlignment="1">
      <alignment horizontal="center" vertical="center"/>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168"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8"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170" fontId="87" fillId="0" borderId="0" xfId="0" applyNumberFormat="1" applyFont="1" applyAlignment="1">
      <alignment horizontal="center"/>
    </xf>
    <xf numFmtId="170" fontId="1" fillId="0" borderId="0" xfId="0" applyNumberFormat="1" applyFont="1" applyAlignment="1">
      <alignment horizontal="center"/>
    </xf>
    <xf numFmtId="0" fontId="3" fillId="0" borderId="0" xfId="0" applyFont="1"/>
    <xf numFmtId="170"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0" fontId="56" fillId="3" borderId="40" xfId="0" applyFont="1" applyFill="1" applyBorder="1" applyAlignment="1">
      <alignment horizontal="left" vertical="center"/>
    </xf>
    <xf numFmtId="170"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70"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70" fontId="1" fillId="16" borderId="28" xfId="0" applyNumberFormat="1" applyFont="1" applyFill="1" applyBorder="1" applyAlignment="1">
      <alignment horizontal="center" vertical="center" wrapText="1"/>
    </xf>
    <xf numFmtId="170" fontId="1" fillId="16" borderId="66" xfId="0" applyNumberFormat="1" applyFont="1" applyFill="1" applyBorder="1" applyAlignment="1">
      <alignment horizontal="center" vertical="center" wrapText="1"/>
    </xf>
    <xf numFmtId="170" fontId="84" fillId="16" borderId="28" xfId="0" applyNumberFormat="1" applyFont="1" applyFill="1" applyBorder="1" applyAlignment="1">
      <alignment horizontal="center" vertical="center" wrapText="1"/>
    </xf>
    <xf numFmtId="170" fontId="84" fillId="16" borderId="90" xfId="0" applyNumberFormat="1" applyFont="1" applyFill="1" applyBorder="1" applyAlignment="1">
      <alignment horizontal="center" vertical="center" wrapText="1"/>
    </xf>
    <xf numFmtId="170" fontId="84" fillId="16" borderId="66" xfId="0" applyNumberFormat="1" applyFont="1" applyFill="1" applyBorder="1" applyAlignment="1">
      <alignment horizontal="center" vertical="center" wrapText="1"/>
    </xf>
    <xf numFmtId="170" fontId="1" fillId="18" borderId="28" xfId="0" applyNumberFormat="1" applyFont="1" applyFill="1" applyBorder="1" applyAlignment="1">
      <alignment horizontal="center" vertical="center" wrapText="1"/>
    </xf>
    <xf numFmtId="170" fontId="1" fillId="18" borderId="90" xfId="0" applyNumberFormat="1" applyFont="1" applyFill="1" applyBorder="1" applyAlignment="1">
      <alignment horizontal="center" vertical="center" wrapText="1"/>
    </xf>
    <xf numFmtId="170" fontId="1" fillId="18" borderId="66"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0" fontId="2" fillId="0" borderId="84" xfId="0" applyFont="1" applyBorder="1"/>
    <xf numFmtId="166" fontId="62" fillId="19" borderId="28" xfId="0" applyNumberFormat="1" applyFont="1" applyFill="1" applyBorder="1" applyAlignment="1">
      <alignment horizontal="center" vertical="center" wrapText="1"/>
    </xf>
    <xf numFmtId="170"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6" borderId="28" xfId="0" applyFont="1" applyFill="1" applyBorder="1" applyAlignment="1">
      <alignment horizontal="center" vertical="center" wrapText="1"/>
    </xf>
    <xf numFmtId="0" fontId="1" fillId="5" borderId="89" xfId="0" applyFont="1" applyFill="1" applyBorder="1" applyAlignment="1">
      <alignment horizontal="center" vertical="center" wrapText="1"/>
    </xf>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2" fillId="0" borderId="0" xfId="0" applyFont="1" applyAlignment="1">
      <alignment horizontal="center" vertical="center" wrapText="1"/>
    </xf>
    <xf numFmtId="171" fontId="1" fillId="5" borderId="28" xfId="0" applyNumberFormat="1" applyFont="1" applyFill="1" applyBorder="1" applyAlignment="1">
      <alignment horizontal="center" vertical="center" wrapText="1"/>
    </xf>
    <xf numFmtId="170" fontId="1" fillId="5" borderId="28" xfId="0" applyNumberFormat="1" applyFont="1" applyFill="1" applyBorder="1" applyAlignment="1">
      <alignment horizontal="center" vertical="center" wrapText="1"/>
    </xf>
    <xf numFmtId="3" fontId="34" fillId="15" borderId="87" xfId="0" applyNumberFormat="1"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0" fontId="1" fillId="20" borderId="80" xfId="0" applyFont="1" applyFill="1" applyBorder="1" applyAlignment="1">
      <alignment horizontal="center" vertical="center" wrapText="1"/>
    </xf>
    <xf numFmtId="3" fontId="1" fillId="5" borderId="14" xfId="0" applyNumberFormat="1" applyFont="1" applyFill="1" applyBorder="1" applyAlignment="1">
      <alignment horizontal="center" vertical="center"/>
    </xf>
    <xf numFmtId="3" fontId="1" fillId="5" borderId="28" xfId="0" applyNumberFormat="1" applyFont="1" applyFill="1" applyBorder="1" applyAlignment="1">
      <alignment horizontal="center" vertical="center" wrapText="1"/>
    </xf>
    <xf numFmtId="3" fontId="1" fillId="5" borderId="28" xfId="0" applyNumberFormat="1" applyFont="1" applyFill="1" applyBorder="1" applyAlignment="1">
      <alignment horizontal="center" vertical="center"/>
    </xf>
    <xf numFmtId="49" fontId="1" fillId="5" borderId="14" xfId="0" applyNumberFormat="1" applyFont="1" applyFill="1" applyBorder="1" applyAlignment="1">
      <alignment horizontal="center" vertical="center" wrapText="1"/>
    </xf>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0" fontId="2" fillId="0" borderId="93" xfId="0" applyFont="1" applyBorder="1"/>
    <xf numFmtId="0" fontId="1" fillId="5" borderId="14" xfId="0" applyFont="1" applyFill="1" applyBorder="1" applyAlignment="1">
      <alignment horizontal="center" vertical="center"/>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5" xfId="0" applyNumberFormat="1" applyFont="1" applyBorder="1" applyAlignment="1">
      <alignment vertical="center"/>
    </xf>
    <xf numFmtId="166" fontId="1" fillId="0" borderId="14" xfId="0" applyNumberFormat="1" applyFont="1" applyBorder="1" applyAlignment="1">
      <alignment horizontal="right" vertical="center"/>
    </xf>
    <xf numFmtId="49" fontId="20" fillId="0" borderId="109" xfId="0" applyNumberFormat="1" applyFont="1" applyBorder="1" applyAlignment="1">
      <alignment vertical="center"/>
    </xf>
    <xf numFmtId="0" fontId="2" fillId="0" borderId="109" xfId="0" applyFont="1" applyBorder="1"/>
    <xf numFmtId="49" fontId="20" fillId="0" borderId="20" xfId="0" applyNumberFormat="1" applyFont="1" applyBorder="1" applyAlignment="1">
      <alignment vertical="center"/>
    </xf>
    <xf numFmtId="49" fontId="20" fillId="0" borderId="75" xfId="0" applyNumberFormat="1" applyFont="1" applyBorder="1" applyAlignment="1">
      <alignment vertical="center"/>
    </xf>
    <xf numFmtId="49" fontId="1" fillId="0" borderId="75" xfId="0" applyNumberFormat="1" applyFont="1" applyBorder="1" applyAlignment="1">
      <alignment vertical="center"/>
    </xf>
    <xf numFmtId="0" fontId="1" fillId="0" borderId="14" xfId="0" applyFont="1" applyBorder="1" applyAlignment="1">
      <alignment horizontal="left" vertical="center" wrapText="1"/>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70" fontId="1" fillId="0" borderId="14" xfId="0" applyNumberFormat="1" applyFont="1" applyBorder="1" applyAlignment="1">
      <alignment horizontal="left" vertical="center"/>
    </xf>
    <xf numFmtId="168"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1" fillId="0" borderId="14" xfId="0" applyNumberFormat="1" applyFont="1" applyBorder="1" applyAlignment="1">
      <alignment vertical="center" wrapText="1"/>
    </xf>
    <xf numFmtId="0" fontId="1" fillId="0" borderId="14" xfId="0" applyFont="1" applyBorder="1" applyAlignment="1">
      <alignment horizontal="left" vertical="center"/>
    </xf>
    <xf numFmtId="0" fontId="27" fillId="0" borderId="79" xfId="0" applyFont="1" applyBorder="1" applyAlignment="1">
      <alignment horizontal="left" vertical="center" wrapText="1"/>
    </xf>
    <xf numFmtId="0" fontId="2" fillId="0" borderId="86" xfId="0" applyFont="1" applyBorder="1"/>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49" fontId="20" fillId="0" borderId="108" xfId="0" applyNumberFormat="1" applyFont="1" applyBorder="1" applyAlignment="1">
      <alignment vertical="center"/>
    </xf>
    <xf numFmtId="166"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6"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49" fontId="49" fillId="0" borderId="15" xfId="0" applyNumberFormat="1" applyFont="1" applyBorder="1"/>
    <xf numFmtId="177" fontId="95" fillId="0" borderId="14" xfId="0" applyNumberFormat="1" applyFont="1" applyBorder="1" applyAlignment="1">
      <alignment horizontal="right"/>
    </xf>
    <xf numFmtId="0" fontId="2" fillId="0" borderId="126" xfId="0" applyFont="1" applyBorder="1"/>
    <xf numFmtId="177" fontId="52" fillId="0" borderId="14" xfId="0" applyNumberFormat="1" applyFont="1" applyBorder="1" applyAlignment="1">
      <alignment horizontal="right"/>
    </xf>
    <xf numFmtId="49" fontId="94" fillId="0" borderId="75"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0" fontId="2" fillId="0" borderId="54" xfId="0" applyFont="1" applyBorder="1"/>
    <xf numFmtId="177" fontId="52" fillId="0" borderId="20" xfId="0" applyNumberFormat="1" applyFont="1" applyBorder="1" applyAlignment="1">
      <alignment horizontal="right"/>
    </xf>
    <xf numFmtId="49" fontId="49" fillId="0" borderId="75" xfId="0" applyNumberFormat="1" applyFont="1" applyBorder="1"/>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8" fontId="49" fillId="4" borderId="14" xfId="0" applyNumberFormat="1" applyFont="1" applyFill="1" applyBorder="1" applyAlignment="1">
      <alignment horizontal="center" vertical="center"/>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0" fontId="2" fillId="0" borderId="128" xfId="0" applyFont="1" applyBorder="1"/>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0" fontId="2" fillId="0" borderId="68" xfId="0" applyFont="1" applyBorder="1"/>
    <xf numFmtId="49" fontId="60" fillId="23" borderId="29" xfId="0" applyNumberFormat="1" applyFont="1" applyFill="1" applyBorder="1" applyAlignment="1">
      <alignment horizontal="center" vertical="center" textRotation="90"/>
    </xf>
    <xf numFmtId="177" fontId="31" fillId="0" borderId="14" xfId="0" applyNumberFormat="1" applyFont="1" applyBorder="1" applyAlignment="1">
      <alignment horizontal="right"/>
    </xf>
    <xf numFmtId="177" fontId="31" fillId="0" borderId="110" xfId="0" applyNumberFormat="1" applyFont="1" applyBorder="1" applyAlignment="1">
      <alignment horizontal="right"/>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109" xfId="0" applyNumberFormat="1" applyFont="1" applyBorder="1"/>
    <xf numFmtId="177" fontId="95" fillId="0" borderId="110" xfId="0" applyNumberFormat="1" applyFont="1" applyBorder="1" applyAlignment="1">
      <alignment horizontal="right"/>
    </xf>
    <xf numFmtId="177" fontId="31" fillId="0" borderId="20" xfId="0" applyNumberFormat="1" applyFont="1" applyBorder="1" applyAlignment="1">
      <alignment horizontal="right"/>
    </xf>
    <xf numFmtId="166" fontId="0" fillId="0" borderId="0" xfId="0" applyNumberFormat="1"/>
  </cellXfs>
  <cellStyles count="3">
    <cellStyle name="Bình thường 2" xfId="1" xr:uid="{00000000-0005-0000-0000-000000000000}"/>
    <cellStyle name="Comma" xfId="2" builtinId="3"/>
    <cellStyle name="Normal" xfId="0" builtinId="0"/>
  </cellStyles>
  <dxfs count="441">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FFFF"/>
      </font>
      <fill>
        <patternFill patternType="solid">
          <fgColor rgb="FFEA4335"/>
          <bgColor rgb="FFEA4335"/>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theme="5"/>
          <bgColor theme="5"/>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color theme="0"/>
      </font>
      <fill>
        <patternFill patternType="solid">
          <fgColor rgb="FF4A86E8"/>
          <bgColor rgb="FF4A86E8"/>
        </patternFill>
      </fill>
    </dxf>
    <dxf>
      <font>
        <b/>
        <color rgb="FF000000"/>
      </font>
      <fill>
        <patternFill patternType="solid">
          <fgColor rgb="FFFFFF00"/>
          <bgColor rgb="FFFFFF00"/>
        </patternFill>
      </fill>
    </dxf>
    <dxf>
      <font>
        <b/>
        <color rgb="FFFFFFFF"/>
      </font>
      <fill>
        <patternFill patternType="solid">
          <fgColor rgb="FFFF0000"/>
          <bgColor rgb="FFFF0000"/>
        </patternFill>
      </fill>
    </dxf>
    <dxf>
      <font>
        <b/>
        <color rgb="FFFFFFFF"/>
      </font>
      <fill>
        <patternFill patternType="solid">
          <fgColor rgb="FF4285F4"/>
          <bgColor rgb="FF4285F4"/>
        </patternFill>
      </fill>
    </dxf>
    <dxf>
      <font>
        <b/>
        <color rgb="FFFFFFFF"/>
      </font>
      <fill>
        <patternFill patternType="solid">
          <fgColor theme="4"/>
          <bgColor theme="4"/>
        </patternFill>
      </fill>
    </dxf>
    <dxf>
      <font>
        <b/>
        <color rgb="FFFFFFFF"/>
      </font>
      <fill>
        <patternFill patternType="solid">
          <fgColor theme="7"/>
          <bgColor theme="7"/>
        </patternFill>
      </fill>
    </dxf>
    <dxf>
      <font>
        <b/>
        <color rgb="FFFFFFFF"/>
      </font>
      <fill>
        <patternFill patternType="solid">
          <fgColor theme="8"/>
          <bgColor theme="8"/>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alcChain" Target="calcChain.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C7" sqref="C7"/>
    </sheetView>
  </sheetViews>
  <sheetFormatPr defaultColWidth="12.6640625" defaultRowHeight="15" customHeight="1" x14ac:dyDescent="0.25"/>
  <cols>
    <col min="1" max="1" width="7.6640625" customWidth="1"/>
    <col min="2" max="2" width="36.109375" customWidth="1"/>
    <col min="3" max="3" width="38.21875" customWidth="1"/>
  </cols>
  <sheetData>
    <row r="1" spans="1:3" ht="33.75" customHeight="1" x14ac:dyDescent="0.25">
      <c r="A1" s="542" t="s">
        <v>0</v>
      </c>
      <c r="B1" s="543"/>
      <c r="C1" s="544"/>
    </row>
    <row r="2" spans="1:3" ht="31.5" customHeight="1" x14ac:dyDescent="0.25">
      <c r="A2" s="1" t="s">
        <v>1</v>
      </c>
      <c r="B2" s="2" t="s">
        <v>2</v>
      </c>
      <c r="C2" s="3" t="s">
        <v>3</v>
      </c>
    </row>
    <row r="3" spans="1:3" ht="30" customHeight="1" x14ac:dyDescent="0.3">
      <c r="A3" s="4">
        <v>1</v>
      </c>
      <c r="B3" s="5" t="s">
        <v>4</v>
      </c>
      <c r="C3" s="6" t="s">
        <v>5</v>
      </c>
    </row>
    <row r="4" spans="1:3" ht="30" customHeight="1" x14ac:dyDescent="0.3">
      <c r="A4" s="4">
        <v>2</v>
      </c>
      <c r="B4" s="5" t="s">
        <v>6</v>
      </c>
      <c r="C4" s="6" t="s">
        <v>7</v>
      </c>
    </row>
    <row r="5" spans="1:3" ht="30" customHeight="1" x14ac:dyDescent="0.3">
      <c r="A5" s="4">
        <v>3</v>
      </c>
      <c r="B5" s="5" t="s">
        <v>8</v>
      </c>
      <c r="C5" s="6" t="s">
        <v>9</v>
      </c>
    </row>
    <row r="6" spans="1:3" ht="30" customHeight="1" x14ac:dyDescent="0.3">
      <c r="A6" s="4">
        <v>4</v>
      </c>
      <c r="B6" s="5" t="s">
        <v>316</v>
      </c>
      <c r="C6" s="7" t="s">
        <v>10</v>
      </c>
    </row>
    <row r="7" spans="1:3" ht="30" customHeight="1" x14ac:dyDescent="0.3">
      <c r="A7" s="4">
        <v>5</v>
      </c>
      <c r="B7" s="5" t="s">
        <v>11</v>
      </c>
      <c r="C7" s="6" t="s">
        <v>12</v>
      </c>
    </row>
    <row r="8" spans="1:3" ht="30" customHeight="1" x14ac:dyDescent="0.3">
      <c r="A8" s="4">
        <v>6</v>
      </c>
      <c r="B8" s="5" t="s">
        <v>13</v>
      </c>
      <c r="C8" s="6" t="s">
        <v>14</v>
      </c>
    </row>
    <row r="9" spans="1:3" ht="30" customHeight="1" x14ac:dyDescent="0.3">
      <c r="A9" s="4">
        <v>7</v>
      </c>
      <c r="B9" s="5" t="s">
        <v>15</v>
      </c>
      <c r="C9" s="7" t="s">
        <v>16</v>
      </c>
    </row>
    <row r="10" spans="1:3" ht="30" customHeight="1" x14ac:dyDescent="0.3">
      <c r="A10" s="4">
        <v>8</v>
      </c>
      <c r="B10" s="5" t="s">
        <v>17</v>
      </c>
      <c r="C10" s="7" t="s">
        <v>17</v>
      </c>
    </row>
    <row r="11" spans="1:3" ht="30" customHeight="1" x14ac:dyDescent="0.3">
      <c r="A11" s="8"/>
      <c r="B11" s="9"/>
      <c r="C11" s="10"/>
    </row>
    <row r="12" spans="1:3" ht="13.2" x14ac:dyDescent="0.25">
      <c r="A12" s="11"/>
    </row>
    <row r="13" spans="1:3" ht="13.2" x14ac:dyDescent="0.25">
      <c r="A13" s="11"/>
    </row>
    <row r="14" spans="1:3" ht="13.2" x14ac:dyDescent="0.25">
      <c r="A14" s="11"/>
    </row>
    <row r="15" spans="1:3" ht="13.2" x14ac:dyDescent="0.25">
      <c r="A15" s="11"/>
    </row>
    <row r="16" spans="1:3" ht="13.2" x14ac:dyDescent="0.25">
      <c r="A16" s="11"/>
    </row>
    <row r="17" spans="1:1" ht="13.2" x14ac:dyDescent="0.25">
      <c r="A17" s="11"/>
    </row>
    <row r="18" spans="1:1" ht="13.2" x14ac:dyDescent="0.25">
      <c r="A18" s="11"/>
    </row>
    <row r="19" spans="1:1" ht="13.2" x14ac:dyDescent="0.25">
      <c r="A19" s="11"/>
    </row>
    <row r="20" spans="1:1" ht="13.2" x14ac:dyDescent="0.25">
      <c r="A20" s="11"/>
    </row>
    <row r="21" spans="1:1" ht="15.75" customHeight="1" x14ac:dyDescent="0.25">
      <c r="A21" s="11"/>
    </row>
    <row r="22" spans="1:1" ht="15.75" customHeight="1" x14ac:dyDescent="0.25">
      <c r="A22" s="11"/>
    </row>
    <row r="23" spans="1:1" ht="15.75" customHeight="1" x14ac:dyDescent="0.25">
      <c r="A23" s="11"/>
    </row>
    <row r="24" spans="1:1" ht="15.75" customHeight="1" x14ac:dyDescent="0.25">
      <c r="A24" s="11"/>
    </row>
    <row r="25" spans="1:1" ht="15.75" customHeight="1" x14ac:dyDescent="0.25">
      <c r="A25" s="11"/>
    </row>
    <row r="26" spans="1:1" ht="15.75" customHeight="1" x14ac:dyDescent="0.25">
      <c r="A26" s="11"/>
    </row>
    <row r="27" spans="1:1" ht="15.75" customHeight="1" x14ac:dyDescent="0.25">
      <c r="A27" s="11"/>
    </row>
    <row r="28" spans="1:1" ht="15.75" customHeight="1" x14ac:dyDescent="0.25">
      <c r="A28" s="11"/>
    </row>
    <row r="29" spans="1:1" ht="15.75" customHeight="1" x14ac:dyDescent="0.25">
      <c r="A29" s="11"/>
    </row>
    <row r="30" spans="1:1" ht="15.75" customHeight="1" x14ac:dyDescent="0.25">
      <c r="A30" s="11"/>
    </row>
    <row r="31" spans="1:1" ht="15.75" customHeight="1" x14ac:dyDescent="0.25">
      <c r="A31" s="11"/>
    </row>
    <row r="32" spans="1:1" ht="15.75" customHeight="1" x14ac:dyDescent="0.25">
      <c r="A32" s="11"/>
    </row>
    <row r="33" spans="1:1" ht="15.75" customHeight="1" x14ac:dyDescent="0.25">
      <c r="A33" s="11"/>
    </row>
    <row r="34" spans="1:1" ht="15.75" customHeight="1" x14ac:dyDescent="0.25">
      <c r="A34" s="11"/>
    </row>
    <row r="35" spans="1:1" ht="15.75" customHeight="1" x14ac:dyDescent="0.25">
      <c r="A35" s="11"/>
    </row>
    <row r="36" spans="1:1" ht="15.75" customHeight="1" x14ac:dyDescent="0.25">
      <c r="A36" s="11"/>
    </row>
    <row r="37" spans="1:1" ht="15.75" customHeight="1" x14ac:dyDescent="0.25">
      <c r="A37" s="11"/>
    </row>
    <row r="38" spans="1:1" ht="15.75" customHeight="1" x14ac:dyDescent="0.25">
      <c r="A38" s="11"/>
    </row>
    <row r="39" spans="1:1" ht="15.75" customHeight="1" x14ac:dyDescent="0.25">
      <c r="A39" s="11"/>
    </row>
    <row r="40" spans="1:1" ht="15.75" customHeight="1" x14ac:dyDescent="0.25">
      <c r="A40" s="11"/>
    </row>
    <row r="41" spans="1:1" ht="15.75" customHeight="1" x14ac:dyDescent="0.25">
      <c r="A41" s="11"/>
    </row>
    <row r="42" spans="1:1" ht="15.75" customHeight="1" x14ac:dyDescent="0.25">
      <c r="A42" s="11"/>
    </row>
    <row r="43" spans="1:1" ht="15.75" customHeight="1" x14ac:dyDescent="0.25">
      <c r="A43" s="11"/>
    </row>
    <row r="44" spans="1:1" ht="15.75" customHeight="1" x14ac:dyDescent="0.25">
      <c r="A44" s="11"/>
    </row>
    <row r="45" spans="1:1" ht="15.75" customHeight="1" x14ac:dyDescent="0.25">
      <c r="A45" s="11"/>
    </row>
    <row r="46" spans="1:1" ht="15.75" customHeight="1" x14ac:dyDescent="0.25">
      <c r="A46" s="11"/>
    </row>
    <row r="47" spans="1:1" ht="15.75" customHeight="1" x14ac:dyDescent="0.25">
      <c r="A47" s="11"/>
    </row>
    <row r="48" spans="1:1" ht="15.75" customHeight="1" x14ac:dyDescent="0.25">
      <c r="A48" s="11"/>
    </row>
    <row r="49" spans="1:1" ht="15.75" customHeight="1" x14ac:dyDescent="0.25">
      <c r="A49" s="11"/>
    </row>
    <row r="50" spans="1:1" ht="15.75" customHeight="1" x14ac:dyDescent="0.25">
      <c r="A50" s="11"/>
    </row>
    <row r="51" spans="1:1" ht="15.75" customHeight="1" x14ac:dyDescent="0.25">
      <c r="A51" s="11"/>
    </row>
    <row r="52" spans="1:1" ht="15.75" customHeight="1" x14ac:dyDescent="0.25">
      <c r="A52" s="11"/>
    </row>
    <row r="53" spans="1:1" ht="15.75" customHeight="1" x14ac:dyDescent="0.25">
      <c r="A53" s="11"/>
    </row>
    <row r="54" spans="1:1" ht="15.75" customHeight="1" x14ac:dyDescent="0.25">
      <c r="A54" s="11"/>
    </row>
    <row r="55" spans="1:1" ht="15.75" customHeight="1" x14ac:dyDescent="0.25">
      <c r="A55" s="11"/>
    </row>
    <row r="56" spans="1:1" ht="15.75" customHeight="1" x14ac:dyDescent="0.25">
      <c r="A56" s="11"/>
    </row>
    <row r="57" spans="1:1" ht="15.75" customHeight="1" x14ac:dyDescent="0.25">
      <c r="A57" s="11"/>
    </row>
    <row r="58" spans="1:1" ht="15.75" customHeight="1" x14ac:dyDescent="0.25">
      <c r="A58" s="11"/>
    </row>
    <row r="59" spans="1:1" ht="15.75" customHeight="1" x14ac:dyDescent="0.25">
      <c r="A59" s="11"/>
    </row>
    <row r="60" spans="1:1" ht="15.75" customHeight="1" x14ac:dyDescent="0.25">
      <c r="A60" s="11"/>
    </row>
    <row r="61" spans="1:1" ht="15.75" customHeight="1" x14ac:dyDescent="0.25">
      <c r="A61" s="11"/>
    </row>
    <row r="62" spans="1:1" ht="15.75" customHeight="1" x14ac:dyDescent="0.25">
      <c r="A62" s="11"/>
    </row>
    <row r="63" spans="1:1" ht="15.75" customHeight="1" x14ac:dyDescent="0.25">
      <c r="A63" s="11"/>
    </row>
    <row r="64" spans="1:1" ht="15.75" customHeight="1" x14ac:dyDescent="0.25">
      <c r="A64" s="11"/>
    </row>
    <row r="65" spans="1:1" ht="15.75" customHeight="1" x14ac:dyDescent="0.25">
      <c r="A65" s="11"/>
    </row>
    <row r="66" spans="1:1" ht="15.75" customHeight="1" x14ac:dyDescent="0.25">
      <c r="A66" s="11"/>
    </row>
    <row r="67" spans="1:1" ht="15.75" customHeight="1" x14ac:dyDescent="0.25">
      <c r="A67" s="11"/>
    </row>
    <row r="68" spans="1:1" ht="15.75" customHeight="1" x14ac:dyDescent="0.25">
      <c r="A68" s="11"/>
    </row>
    <row r="69" spans="1:1" ht="15.75" customHeight="1" x14ac:dyDescent="0.25">
      <c r="A69" s="11"/>
    </row>
    <row r="70" spans="1:1" ht="15.75" customHeight="1" x14ac:dyDescent="0.25">
      <c r="A70" s="11"/>
    </row>
    <row r="71" spans="1:1" ht="15.75" customHeight="1" x14ac:dyDescent="0.25">
      <c r="A71" s="11"/>
    </row>
    <row r="72" spans="1:1" ht="15.75" customHeight="1" x14ac:dyDescent="0.25">
      <c r="A72" s="11"/>
    </row>
    <row r="73" spans="1:1" ht="15.75" customHeight="1" x14ac:dyDescent="0.25">
      <c r="A73" s="11"/>
    </row>
    <row r="74" spans="1:1" ht="15.75" customHeight="1" x14ac:dyDescent="0.25">
      <c r="A74" s="11"/>
    </row>
    <row r="75" spans="1:1" ht="15.75" customHeight="1" x14ac:dyDescent="0.25">
      <c r="A75" s="11"/>
    </row>
    <row r="76" spans="1:1" ht="15.75" customHeight="1" x14ac:dyDescent="0.25">
      <c r="A76" s="11"/>
    </row>
    <row r="77" spans="1:1" ht="15.75" customHeight="1" x14ac:dyDescent="0.25">
      <c r="A77" s="11"/>
    </row>
    <row r="78" spans="1:1" ht="15.75" customHeight="1" x14ac:dyDescent="0.25">
      <c r="A78" s="11"/>
    </row>
    <row r="79" spans="1:1" ht="15.75" customHeight="1" x14ac:dyDescent="0.25">
      <c r="A79" s="11"/>
    </row>
    <row r="80" spans="1:1" ht="15.75" customHeight="1" x14ac:dyDescent="0.25">
      <c r="A80" s="11"/>
    </row>
    <row r="81" spans="1:1" ht="15.75" customHeight="1" x14ac:dyDescent="0.25">
      <c r="A81" s="11"/>
    </row>
    <row r="82" spans="1:1" ht="15.75" customHeight="1" x14ac:dyDescent="0.25">
      <c r="A82" s="11"/>
    </row>
    <row r="83" spans="1:1" ht="15.75" customHeight="1" x14ac:dyDescent="0.25">
      <c r="A83" s="11"/>
    </row>
    <row r="84" spans="1:1" ht="15.75" customHeight="1" x14ac:dyDescent="0.25">
      <c r="A84" s="11"/>
    </row>
    <row r="85" spans="1:1" ht="15.75" customHeight="1" x14ac:dyDescent="0.25">
      <c r="A85" s="11"/>
    </row>
    <row r="86" spans="1:1" ht="15.75" customHeight="1" x14ac:dyDescent="0.25">
      <c r="A86" s="11"/>
    </row>
    <row r="87" spans="1:1" ht="15.75" customHeight="1" x14ac:dyDescent="0.25">
      <c r="A87" s="11"/>
    </row>
    <row r="88" spans="1:1" ht="15.75" customHeight="1" x14ac:dyDescent="0.25">
      <c r="A88" s="11"/>
    </row>
    <row r="89" spans="1:1" ht="15.75" customHeight="1" x14ac:dyDescent="0.25">
      <c r="A89" s="11"/>
    </row>
    <row r="90" spans="1:1" ht="15.75" customHeight="1" x14ac:dyDescent="0.25">
      <c r="A90" s="11"/>
    </row>
    <row r="91" spans="1:1" ht="15.75" customHeight="1" x14ac:dyDescent="0.25">
      <c r="A91" s="11"/>
    </row>
    <row r="92" spans="1:1" ht="15.75" customHeight="1" x14ac:dyDescent="0.25">
      <c r="A92" s="11"/>
    </row>
    <row r="93" spans="1:1" ht="15.75" customHeight="1" x14ac:dyDescent="0.25">
      <c r="A93" s="11"/>
    </row>
    <row r="94" spans="1:1" ht="15.75" customHeight="1" x14ac:dyDescent="0.25">
      <c r="A94" s="11"/>
    </row>
    <row r="95" spans="1:1" ht="15.75" customHeight="1" x14ac:dyDescent="0.25">
      <c r="A95" s="11"/>
    </row>
    <row r="96" spans="1:1" ht="15.75" customHeight="1" x14ac:dyDescent="0.25">
      <c r="A96" s="11"/>
    </row>
    <row r="97" spans="1:1" ht="15.75" customHeight="1" x14ac:dyDescent="0.25">
      <c r="A97" s="11"/>
    </row>
    <row r="98" spans="1:1" ht="15.75" customHeight="1" x14ac:dyDescent="0.25">
      <c r="A98" s="11"/>
    </row>
    <row r="99" spans="1:1" ht="15.75" customHeight="1" x14ac:dyDescent="0.25">
      <c r="A99" s="11"/>
    </row>
    <row r="100" spans="1:1" ht="15.75" customHeight="1" x14ac:dyDescent="0.25">
      <c r="A100" s="11"/>
    </row>
    <row r="101" spans="1:1" ht="15.75" customHeight="1" x14ac:dyDescent="0.25">
      <c r="A101" s="11"/>
    </row>
    <row r="102" spans="1:1" ht="15.75" customHeight="1" x14ac:dyDescent="0.25">
      <c r="A102" s="11"/>
    </row>
    <row r="103" spans="1:1" ht="15.75" customHeight="1" x14ac:dyDescent="0.25">
      <c r="A103" s="11"/>
    </row>
    <row r="104" spans="1:1" ht="15.75" customHeight="1" x14ac:dyDescent="0.25">
      <c r="A104" s="11"/>
    </row>
    <row r="105" spans="1:1" ht="15.75" customHeight="1" x14ac:dyDescent="0.25">
      <c r="A105" s="11"/>
    </row>
    <row r="106" spans="1:1" ht="15.75" customHeight="1" x14ac:dyDescent="0.25">
      <c r="A106" s="11"/>
    </row>
    <row r="107" spans="1:1" ht="15.75" customHeight="1" x14ac:dyDescent="0.25">
      <c r="A107" s="11"/>
    </row>
    <row r="108" spans="1:1" ht="15.75" customHeight="1" x14ac:dyDescent="0.25">
      <c r="A108" s="11"/>
    </row>
    <row r="109" spans="1:1" ht="15.75" customHeight="1" x14ac:dyDescent="0.25">
      <c r="A109" s="11"/>
    </row>
    <row r="110" spans="1:1" ht="15.75" customHeight="1" x14ac:dyDescent="0.25">
      <c r="A110" s="11"/>
    </row>
    <row r="111" spans="1:1" ht="15.75" customHeight="1" x14ac:dyDescent="0.25">
      <c r="A111" s="11"/>
    </row>
    <row r="112" spans="1:1" ht="15.75" customHeight="1" x14ac:dyDescent="0.25">
      <c r="A112" s="11"/>
    </row>
    <row r="113" spans="1:1" ht="15.75" customHeight="1" x14ac:dyDescent="0.25">
      <c r="A113" s="11"/>
    </row>
    <row r="114" spans="1:1" ht="15.75" customHeight="1" x14ac:dyDescent="0.25">
      <c r="A114" s="11"/>
    </row>
    <row r="115" spans="1:1" ht="15.75" customHeight="1" x14ac:dyDescent="0.25">
      <c r="A115" s="11"/>
    </row>
    <row r="116" spans="1:1" ht="15.75" customHeight="1" x14ac:dyDescent="0.25">
      <c r="A116" s="11"/>
    </row>
    <row r="117" spans="1:1" ht="15.75" customHeight="1" x14ac:dyDescent="0.25">
      <c r="A117" s="11"/>
    </row>
    <row r="118" spans="1:1" ht="15.75" customHeight="1" x14ac:dyDescent="0.25">
      <c r="A118" s="11"/>
    </row>
    <row r="119" spans="1:1" ht="15.75" customHeight="1" x14ac:dyDescent="0.25">
      <c r="A119" s="11"/>
    </row>
    <row r="120" spans="1:1" ht="15.75" customHeight="1" x14ac:dyDescent="0.25">
      <c r="A120" s="11"/>
    </row>
    <row r="121" spans="1:1" ht="15.75" customHeight="1" x14ac:dyDescent="0.25">
      <c r="A121" s="11"/>
    </row>
    <row r="122" spans="1:1" ht="15.75" customHeight="1" x14ac:dyDescent="0.25">
      <c r="A122" s="11"/>
    </row>
    <row r="123" spans="1:1" ht="15.75" customHeight="1" x14ac:dyDescent="0.25">
      <c r="A123" s="11"/>
    </row>
    <row r="124" spans="1:1" ht="15.75" customHeight="1" x14ac:dyDescent="0.25">
      <c r="A124" s="11"/>
    </row>
    <row r="125" spans="1:1" ht="15.75" customHeight="1" x14ac:dyDescent="0.25">
      <c r="A125" s="11"/>
    </row>
    <row r="126" spans="1:1" ht="15.75" customHeight="1" x14ac:dyDescent="0.25">
      <c r="A126" s="11"/>
    </row>
    <row r="127" spans="1:1" ht="15.75" customHeight="1" x14ac:dyDescent="0.25">
      <c r="A127" s="11"/>
    </row>
    <row r="128" spans="1:1" ht="15.75" customHeight="1" x14ac:dyDescent="0.25">
      <c r="A128" s="11"/>
    </row>
    <row r="129" spans="1:1" ht="15.75" customHeight="1" x14ac:dyDescent="0.25">
      <c r="A129" s="11"/>
    </row>
    <row r="130" spans="1:1" ht="15.75" customHeight="1" x14ac:dyDescent="0.25">
      <c r="A130" s="11"/>
    </row>
    <row r="131" spans="1:1" ht="15.75" customHeight="1" x14ac:dyDescent="0.25">
      <c r="A131" s="11"/>
    </row>
    <row r="132" spans="1:1" ht="15.75" customHeight="1" x14ac:dyDescent="0.25">
      <c r="A132" s="11"/>
    </row>
    <row r="133" spans="1:1" ht="15.75" customHeight="1" x14ac:dyDescent="0.25">
      <c r="A133" s="11"/>
    </row>
    <row r="134" spans="1:1" ht="15.75" customHeight="1" x14ac:dyDescent="0.25">
      <c r="A134" s="11"/>
    </row>
    <row r="135" spans="1:1" ht="15.75" customHeight="1" x14ac:dyDescent="0.25">
      <c r="A135" s="11"/>
    </row>
    <row r="136" spans="1:1" ht="15.75" customHeight="1" x14ac:dyDescent="0.25">
      <c r="A136" s="11"/>
    </row>
    <row r="137" spans="1:1" ht="15.75" customHeight="1" x14ac:dyDescent="0.25">
      <c r="A137" s="11"/>
    </row>
    <row r="138" spans="1:1" ht="15.75" customHeight="1" x14ac:dyDescent="0.25">
      <c r="A138" s="11"/>
    </row>
    <row r="139" spans="1:1" ht="15.75" customHeight="1" x14ac:dyDescent="0.25">
      <c r="A139" s="11"/>
    </row>
    <row r="140" spans="1:1" ht="15.75" customHeight="1" x14ac:dyDescent="0.25">
      <c r="A140" s="11"/>
    </row>
    <row r="141" spans="1:1" ht="15.75" customHeight="1" x14ac:dyDescent="0.25">
      <c r="A141" s="11"/>
    </row>
    <row r="142" spans="1:1" ht="15.75" customHeight="1" x14ac:dyDescent="0.25">
      <c r="A142" s="11"/>
    </row>
    <row r="143" spans="1:1" ht="15.75" customHeight="1" x14ac:dyDescent="0.25">
      <c r="A143" s="11"/>
    </row>
    <row r="144" spans="1:1" ht="15.75" customHeight="1" x14ac:dyDescent="0.25">
      <c r="A144" s="11"/>
    </row>
    <row r="145" spans="1:1" ht="15.75" customHeight="1" x14ac:dyDescent="0.25">
      <c r="A145" s="11"/>
    </row>
    <row r="146" spans="1:1" ht="15.75" customHeight="1" x14ac:dyDescent="0.25">
      <c r="A146" s="11"/>
    </row>
    <row r="147" spans="1:1" ht="15.75" customHeight="1" x14ac:dyDescent="0.25">
      <c r="A147" s="11"/>
    </row>
    <row r="148" spans="1:1" ht="15.75" customHeight="1" x14ac:dyDescent="0.25">
      <c r="A148" s="11"/>
    </row>
    <row r="149" spans="1:1" ht="15.75" customHeight="1" x14ac:dyDescent="0.25">
      <c r="A149" s="11"/>
    </row>
    <row r="150" spans="1:1" ht="15.75" customHeight="1" x14ac:dyDescent="0.25">
      <c r="A150" s="11"/>
    </row>
    <row r="151" spans="1:1" ht="15.75" customHeight="1" x14ac:dyDescent="0.25">
      <c r="A151" s="11"/>
    </row>
    <row r="152" spans="1:1" ht="15.75" customHeight="1" x14ac:dyDescent="0.25">
      <c r="A152" s="11"/>
    </row>
    <row r="153" spans="1:1" ht="15.75" customHeight="1" x14ac:dyDescent="0.25">
      <c r="A153" s="11"/>
    </row>
    <row r="154" spans="1:1" ht="15.75" customHeight="1" x14ac:dyDescent="0.25">
      <c r="A154" s="11"/>
    </row>
    <row r="155" spans="1:1" ht="15.75" customHeight="1" x14ac:dyDescent="0.25">
      <c r="A155" s="11"/>
    </row>
    <row r="156" spans="1:1" ht="15.75" customHeight="1" x14ac:dyDescent="0.25">
      <c r="A156" s="11"/>
    </row>
    <row r="157" spans="1:1" ht="15.75" customHeight="1" x14ac:dyDescent="0.25">
      <c r="A157" s="11"/>
    </row>
    <row r="158" spans="1:1" ht="15.75" customHeight="1" x14ac:dyDescent="0.25">
      <c r="A158" s="11"/>
    </row>
    <row r="159" spans="1:1" ht="15.75" customHeight="1" x14ac:dyDescent="0.25">
      <c r="A159" s="11"/>
    </row>
    <row r="160" spans="1:1" ht="15.75" customHeight="1" x14ac:dyDescent="0.25">
      <c r="A160" s="11"/>
    </row>
    <row r="161" spans="1:1" ht="15.75" customHeight="1" x14ac:dyDescent="0.25">
      <c r="A161" s="11"/>
    </row>
    <row r="162" spans="1:1" ht="15.75" customHeight="1" x14ac:dyDescent="0.25">
      <c r="A162" s="11"/>
    </row>
    <row r="163" spans="1:1" ht="15.75" customHeight="1" x14ac:dyDescent="0.25">
      <c r="A163" s="11"/>
    </row>
    <row r="164" spans="1:1" ht="15.75" customHeight="1" x14ac:dyDescent="0.25">
      <c r="A164" s="11"/>
    </row>
    <row r="165" spans="1:1" ht="15.75" customHeight="1" x14ac:dyDescent="0.25">
      <c r="A165" s="11"/>
    </row>
    <row r="166" spans="1:1" ht="15.75" customHeight="1" x14ac:dyDescent="0.25">
      <c r="A166" s="11"/>
    </row>
    <row r="167" spans="1:1" ht="15.75" customHeight="1" x14ac:dyDescent="0.25">
      <c r="A167" s="11"/>
    </row>
    <row r="168" spans="1:1" ht="15.75" customHeight="1" x14ac:dyDescent="0.25">
      <c r="A168" s="11"/>
    </row>
    <row r="169" spans="1:1" ht="15.75" customHeight="1" x14ac:dyDescent="0.25">
      <c r="A169" s="11"/>
    </row>
    <row r="170" spans="1:1" ht="15.75" customHeight="1" x14ac:dyDescent="0.25">
      <c r="A170" s="11"/>
    </row>
    <row r="171" spans="1:1" ht="15.75" customHeight="1" x14ac:dyDescent="0.25">
      <c r="A171" s="11"/>
    </row>
    <row r="172" spans="1:1" ht="15.75" customHeight="1" x14ac:dyDescent="0.25">
      <c r="A172" s="11"/>
    </row>
    <row r="173" spans="1:1" ht="15.75" customHeight="1" x14ac:dyDescent="0.25">
      <c r="A173" s="11"/>
    </row>
    <row r="174" spans="1:1" ht="15.75" customHeight="1" x14ac:dyDescent="0.25">
      <c r="A174" s="11"/>
    </row>
    <row r="175" spans="1:1" ht="15.75" customHeight="1" x14ac:dyDescent="0.25">
      <c r="A175" s="11"/>
    </row>
    <row r="176" spans="1:1" ht="15.75" customHeight="1" x14ac:dyDescent="0.25">
      <c r="A176" s="11"/>
    </row>
    <row r="177" spans="1:1" ht="15.75" customHeight="1" x14ac:dyDescent="0.25">
      <c r="A177" s="11"/>
    </row>
    <row r="178" spans="1:1" ht="15.75" customHeight="1" x14ac:dyDescent="0.25">
      <c r="A178" s="11"/>
    </row>
    <row r="179" spans="1:1" ht="15.75" customHeight="1" x14ac:dyDescent="0.25">
      <c r="A179" s="11"/>
    </row>
    <row r="180" spans="1:1" ht="15.75" customHeight="1" x14ac:dyDescent="0.25">
      <c r="A180" s="11"/>
    </row>
    <row r="181" spans="1:1" ht="15.75" customHeight="1" x14ac:dyDescent="0.25">
      <c r="A181" s="11"/>
    </row>
    <row r="182" spans="1:1" ht="15.75" customHeight="1" x14ac:dyDescent="0.25">
      <c r="A182" s="11"/>
    </row>
    <row r="183" spans="1:1" ht="15.75" customHeight="1" x14ac:dyDescent="0.25">
      <c r="A183" s="11"/>
    </row>
    <row r="184" spans="1:1" ht="15.75" customHeight="1" x14ac:dyDescent="0.25">
      <c r="A184" s="11"/>
    </row>
    <row r="185" spans="1:1" ht="15.75" customHeight="1" x14ac:dyDescent="0.25">
      <c r="A185" s="11"/>
    </row>
    <row r="186" spans="1:1" ht="15.75" customHeight="1" x14ac:dyDescent="0.25">
      <c r="A186" s="11"/>
    </row>
    <row r="187" spans="1:1" ht="15.75" customHeight="1" x14ac:dyDescent="0.25">
      <c r="A187" s="11"/>
    </row>
    <row r="188" spans="1:1" ht="15.75" customHeight="1" x14ac:dyDescent="0.25">
      <c r="A188" s="11"/>
    </row>
    <row r="189" spans="1:1" ht="15.75" customHeight="1" x14ac:dyDescent="0.25">
      <c r="A189" s="11"/>
    </row>
    <row r="190" spans="1:1" ht="15.75" customHeight="1" x14ac:dyDescent="0.25">
      <c r="A190" s="11"/>
    </row>
    <row r="191" spans="1:1" ht="15.75" customHeight="1" x14ac:dyDescent="0.25">
      <c r="A191" s="11"/>
    </row>
    <row r="192" spans="1:1" ht="15.75" customHeight="1" x14ac:dyDescent="0.25">
      <c r="A192" s="11"/>
    </row>
    <row r="193" spans="1:1" ht="15.75" customHeight="1" x14ac:dyDescent="0.25">
      <c r="A193" s="11"/>
    </row>
    <row r="194" spans="1:1" ht="15.75" customHeight="1" x14ac:dyDescent="0.25">
      <c r="A194" s="11"/>
    </row>
    <row r="195" spans="1:1" ht="15.75" customHeight="1" x14ac:dyDescent="0.25">
      <c r="A195" s="11"/>
    </row>
    <row r="196" spans="1:1" ht="15.75" customHeight="1" x14ac:dyDescent="0.25">
      <c r="A196" s="11"/>
    </row>
    <row r="197" spans="1:1" ht="15.75" customHeight="1" x14ac:dyDescent="0.25">
      <c r="A197" s="11"/>
    </row>
    <row r="198" spans="1:1" ht="15.75" customHeight="1" x14ac:dyDescent="0.25">
      <c r="A198" s="11"/>
    </row>
    <row r="199" spans="1:1" ht="15.75" customHeight="1" x14ac:dyDescent="0.25">
      <c r="A199" s="11"/>
    </row>
    <row r="200" spans="1:1" ht="15.75" customHeight="1" x14ac:dyDescent="0.25">
      <c r="A200" s="11"/>
    </row>
    <row r="201" spans="1:1" ht="15.75" customHeight="1" x14ac:dyDescent="0.25">
      <c r="A201" s="11"/>
    </row>
    <row r="202" spans="1:1" ht="15.75" customHeight="1" x14ac:dyDescent="0.25">
      <c r="A202" s="11"/>
    </row>
    <row r="203" spans="1:1" ht="15.75" customHeight="1" x14ac:dyDescent="0.25">
      <c r="A203" s="11"/>
    </row>
    <row r="204" spans="1:1" ht="15.75" customHeight="1" x14ac:dyDescent="0.25">
      <c r="A204" s="11"/>
    </row>
    <row r="205" spans="1:1" ht="15.75" customHeight="1" x14ac:dyDescent="0.25">
      <c r="A205" s="11"/>
    </row>
    <row r="206" spans="1:1" ht="15.75" customHeight="1" x14ac:dyDescent="0.25">
      <c r="A206" s="11"/>
    </row>
    <row r="207" spans="1:1" ht="15.75" customHeight="1" x14ac:dyDescent="0.25">
      <c r="A207" s="11"/>
    </row>
    <row r="208" spans="1:1" ht="15.75" customHeight="1" x14ac:dyDescent="0.25">
      <c r="A208" s="11"/>
    </row>
    <row r="209" spans="1:1" ht="15.75" customHeight="1" x14ac:dyDescent="0.25">
      <c r="A209" s="11"/>
    </row>
    <row r="210" spans="1:1" ht="15.75" customHeight="1" x14ac:dyDescent="0.25">
      <c r="A210" s="11"/>
    </row>
    <row r="211" spans="1:1" ht="15.75" customHeight="1" x14ac:dyDescent="0.25">
      <c r="A211" s="11"/>
    </row>
    <row r="212" spans="1:1" ht="15.75" customHeight="1" x14ac:dyDescent="0.25">
      <c r="A212" s="11"/>
    </row>
    <row r="213" spans="1:1" ht="15.75" customHeight="1" x14ac:dyDescent="0.25">
      <c r="A213" s="11"/>
    </row>
    <row r="214" spans="1:1" ht="15.75" customHeight="1" x14ac:dyDescent="0.25">
      <c r="A214" s="11"/>
    </row>
    <row r="215" spans="1:1" ht="15.75" customHeight="1" x14ac:dyDescent="0.25">
      <c r="A215" s="11"/>
    </row>
    <row r="216" spans="1:1" ht="15.75" customHeight="1" x14ac:dyDescent="0.25">
      <c r="A216" s="11"/>
    </row>
    <row r="217" spans="1:1" ht="15.75" customHeight="1" x14ac:dyDescent="0.25">
      <c r="A217" s="11"/>
    </row>
    <row r="218" spans="1:1" ht="15.75" customHeight="1" x14ac:dyDescent="0.25">
      <c r="A218" s="11"/>
    </row>
    <row r="219" spans="1:1" ht="15.75" customHeight="1" x14ac:dyDescent="0.25">
      <c r="A219" s="11"/>
    </row>
    <row r="220" spans="1:1" ht="15.75" customHeight="1" x14ac:dyDescent="0.25">
      <c r="A220" s="1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B1000"/>
  <sheetViews>
    <sheetView showGridLines="0" tabSelected="1" topLeftCell="A6" zoomScale="99" workbookViewId="0">
      <selection activeCell="AD12" sqref="AD12"/>
    </sheetView>
  </sheetViews>
  <sheetFormatPr defaultColWidth="12.6640625" defaultRowHeight="15" customHeight="1" x14ac:dyDescent="0.25"/>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8" ht="65.25" customHeight="1" x14ac:dyDescent="0.25">
      <c r="A1" s="566"/>
      <c r="B1" s="491"/>
      <c r="C1" s="492"/>
      <c r="D1" s="567" t="s">
        <v>18</v>
      </c>
      <c r="E1" s="491"/>
      <c r="F1" s="491"/>
      <c r="G1" s="491"/>
      <c r="H1" s="491"/>
      <c r="I1" s="491"/>
      <c r="J1" s="491"/>
      <c r="K1" s="491"/>
      <c r="L1" s="491"/>
      <c r="M1" s="491"/>
      <c r="N1" s="491"/>
      <c r="O1" s="491"/>
      <c r="P1" s="491"/>
      <c r="Q1" s="491"/>
      <c r="R1" s="491"/>
      <c r="S1" s="491"/>
      <c r="T1" s="491"/>
      <c r="U1" s="491"/>
      <c r="V1" s="491"/>
      <c r="W1" s="491"/>
      <c r="X1" s="491"/>
      <c r="Y1" s="491"/>
      <c r="Z1" s="492"/>
      <c r="AA1" s="12"/>
    </row>
    <row r="2" spans="1:28" ht="12.75" customHeight="1" x14ac:dyDescent="0.25">
      <c r="A2" s="13"/>
      <c r="B2" s="13"/>
      <c r="C2" s="14"/>
      <c r="D2" s="568" t="s">
        <v>19</v>
      </c>
      <c r="E2" s="491"/>
      <c r="F2" s="491"/>
      <c r="G2" s="491"/>
      <c r="H2" s="491"/>
      <c r="I2" s="491"/>
      <c r="J2" s="491"/>
      <c r="K2" s="491"/>
      <c r="L2" s="491"/>
      <c r="M2" s="491"/>
      <c r="N2" s="491"/>
      <c r="O2" s="491"/>
      <c r="P2" s="491"/>
      <c r="Q2" s="491"/>
      <c r="R2" s="491"/>
      <c r="S2" s="491"/>
      <c r="T2" s="491"/>
      <c r="U2" s="491"/>
      <c r="V2" s="491"/>
      <c r="W2" s="491"/>
      <c r="X2" s="491"/>
      <c r="Y2" s="491"/>
      <c r="Z2" s="492"/>
      <c r="AA2" s="13"/>
    </row>
    <row r="3" spans="1:28" ht="22.5" customHeight="1" x14ac:dyDescent="0.35">
      <c r="A3" s="15"/>
      <c r="B3" s="15"/>
      <c r="C3" s="569"/>
      <c r="D3" s="509"/>
      <c r="E3" s="16"/>
      <c r="F3" s="17"/>
      <c r="G3" s="16"/>
      <c r="H3" s="16"/>
      <c r="I3" s="16"/>
      <c r="J3" s="16"/>
      <c r="K3" s="18"/>
      <c r="L3" s="15"/>
      <c r="M3" s="570" t="str">
        <f>IF(E3="","Hà Nội, Ngày 05 Tháng 08 Năm 2026",VLOOKUP(E3,'[23]NHẬP LIỆU'!B1:M29,2,0))</f>
        <v>Hà Nội, Ngày 05 Tháng 08 Năm 2026</v>
      </c>
      <c r="N3" s="509"/>
      <c r="O3" s="509"/>
      <c r="P3" s="509"/>
      <c r="Q3" s="509"/>
      <c r="R3" s="509"/>
      <c r="S3" s="509"/>
      <c r="T3" s="509"/>
      <c r="U3" s="509"/>
      <c r="V3" s="509"/>
      <c r="W3" s="509"/>
      <c r="X3" s="509"/>
      <c r="Y3" s="509"/>
      <c r="Z3" s="509"/>
      <c r="AA3" s="19"/>
    </row>
    <row r="4" spans="1:28" ht="10.5" customHeight="1" x14ac:dyDescent="0.45">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8" ht="24" customHeight="1" x14ac:dyDescent="0.25">
      <c r="A5" s="13"/>
      <c r="B5" s="13"/>
      <c r="C5" s="22"/>
      <c r="D5" s="22"/>
      <c r="E5" s="22"/>
      <c r="F5" s="22"/>
      <c r="G5" s="23"/>
      <c r="H5" s="560" t="s">
        <v>5</v>
      </c>
      <c r="I5" s="509"/>
      <c r="J5" s="509"/>
      <c r="K5" s="509"/>
      <c r="L5" s="509"/>
      <c r="M5" s="509"/>
      <c r="N5" s="509"/>
      <c r="O5" s="509"/>
      <c r="P5" s="509"/>
      <c r="Q5" s="509"/>
      <c r="R5" s="509"/>
      <c r="S5" s="509"/>
      <c r="T5" s="22"/>
      <c r="U5" s="22"/>
      <c r="V5" s="22"/>
      <c r="W5" s="22"/>
      <c r="X5" s="22"/>
      <c r="Y5" s="22"/>
      <c r="Z5" s="22"/>
      <c r="AA5" s="22"/>
    </row>
    <row r="6" spans="1:28" ht="37.5" customHeight="1" x14ac:dyDescent="0.25">
      <c r="A6" s="24"/>
      <c r="B6" s="24"/>
      <c r="C6" s="25" t="s">
        <v>20</v>
      </c>
      <c r="D6" s="561" t="s">
        <v>330</v>
      </c>
      <c r="E6" s="509"/>
      <c r="F6" s="509"/>
      <c r="G6" s="509"/>
      <c r="H6" s="509"/>
      <c r="I6" s="509"/>
      <c r="J6" s="509"/>
      <c r="K6" s="509"/>
      <c r="L6" s="509"/>
      <c r="M6" s="509"/>
      <c r="N6" s="509"/>
      <c r="O6" s="509"/>
      <c r="P6" s="509"/>
      <c r="Q6" s="509"/>
      <c r="R6" s="509"/>
      <c r="S6" s="509"/>
      <c r="T6" s="509"/>
      <c r="U6" s="509"/>
      <c r="V6" s="509"/>
      <c r="W6" s="509"/>
      <c r="X6" s="509"/>
      <c r="Y6" s="509"/>
      <c r="Z6" s="26"/>
      <c r="AA6" s="26"/>
    </row>
    <row r="7" spans="1:28" ht="21.75" customHeight="1" x14ac:dyDescent="0.25">
      <c r="A7" s="24"/>
      <c r="B7" s="24"/>
      <c r="C7" s="25" t="s">
        <v>331</v>
      </c>
      <c r="K7" s="24"/>
      <c r="L7" s="24"/>
      <c r="M7" s="24"/>
      <c r="N7" s="24"/>
      <c r="O7" s="24"/>
      <c r="P7" s="24"/>
      <c r="Q7" s="24"/>
      <c r="R7" s="24"/>
      <c r="S7" s="24"/>
      <c r="T7" s="24" t="s">
        <v>21</v>
      </c>
      <c r="U7" s="24"/>
      <c r="V7" s="24"/>
      <c r="W7" s="24"/>
      <c r="X7" s="24"/>
      <c r="Y7" s="24"/>
      <c r="Z7" s="24"/>
      <c r="AA7" s="24"/>
    </row>
    <row r="8" spans="1:28" ht="22.5" customHeight="1" x14ac:dyDescent="0.25">
      <c r="A8" s="24"/>
      <c r="B8" s="24"/>
      <c r="C8" s="25" t="s">
        <v>22</v>
      </c>
      <c r="D8" s="562" t="s">
        <v>319</v>
      </c>
      <c r="E8" s="491"/>
      <c r="F8" s="491"/>
      <c r="G8" s="491"/>
      <c r="H8" s="491"/>
      <c r="I8" s="492"/>
      <c r="J8" s="24"/>
      <c r="K8" s="24"/>
      <c r="L8" s="24"/>
      <c r="M8" s="24"/>
      <c r="N8" s="24"/>
      <c r="O8" s="24"/>
      <c r="P8" s="24"/>
      <c r="Q8" s="24"/>
      <c r="R8" s="24"/>
      <c r="S8" s="24"/>
      <c r="T8" s="24"/>
      <c r="U8" s="24"/>
      <c r="V8" s="24"/>
      <c r="W8" s="24"/>
      <c r="X8" s="24"/>
      <c r="Y8" s="24"/>
      <c r="Z8" s="24"/>
      <c r="AA8" s="24"/>
    </row>
    <row r="9" spans="1:28" ht="27" customHeight="1" x14ac:dyDescent="0.25">
      <c r="A9" s="24"/>
      <c r="B9" s="24"/>
      <c r="C9" s="563" t="s">
        <v>401</v>
      </c>
      <c r="D9" s="509"/>
      <c r="E9" s="509"/>
      <c r="F9" s="509"/>
      <c r="G9" s="509"/>
      <c r="H9" s="509"/>
      <c r="I9" s="509"/>
      <c r="J9" s="509"/>
      <c r="K9" s="509"/>
      <c r="L9" s="509"/>
      <c r="M9" s="509"/>
      <c r="N9" s="509"/>
      <c r="O9" s="509"/>
      <c r="P9" s="509"/>
      <c r="Q9" s="509"/>
      <c r="R9" s="509"/>
      <c r="S9" s="509"/>
      <c r="T9" s="509"/>
      <c r="U9" s="509"/>
      <c r="V9" s="509"/>
      <c r="W9" s="509"/>
      <c r="X9" s="509"/>
      <c r="Y9" s="509"/>
      <c r="Z9" s="27"/>
      <c r="AA9" s="27"/>
    </row>
    <row r="10" spans="1:28" ht="10.5" customHeight="1"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8" ht="25.5" customHeight="1" x14ac:dyDescent="0.25">
      <c r="A11" s="24"/>
      <c r="B11" s="24"/>
      <c r="C11" s="564" t="s">
        <v>23</v>
      </c>
      <c r="D11" s="551"/>
      <c r="E11" s="551"/>
      <c r="F11" s="551"/>
      <c r="G11" s="551"/>
      <c r="H11" s="551"/>
      <c r="I11" s="551"/>
      <c r="J11" s="551"/>
      <c r="K11" s="551"/>
      <c r="L11" s="551"/>
      <c r="M11" s="552"/>
      <c r="N11" s="565" t="s">
        <v>24</v>
      </c>
      <c r="O11" s="551"/>
      <c r="P11" s="551"/>
      <c r="Q11" s="551"/>
      <c r="R11" s="551"/>
      <c r="S11" s="551"/>
      <c r="T11" s="551"/>
      <c r="U11" s="551"/>
      <c r="V11" s="551"/>
      <c r="W11" s="551"/>
      <c r="X11" s="551"/>
      <c r="Y11" s="551"/>
      <c r="Z11" s="552"/>
      <c r="AA11" s="24"/>
    </row>
    <row r="12" spans="1:28" ht="51.75" customHeight="1" x14ac:dyDescent="0.25">
      <c r="A12" s="24"/>
      <c r="B12" s="24"/>
      <c r="C12" s="550" t="s">
        <v>402</v>
      </c>
      <c r="D12" s="551"/>
      <c r="E12" s="551"/>
      <c r="F12" s="551"/>
      <c r="G12" s="551"/>
      <c r="H12" s="551"/>
      <c r="I12" s="551"/>
      <c r="J12" s="551"/>
      <c r="K12" s="551"/>
      <c r="L12" s="551"/>
      <c r="M12" s="552"/>
      <c r="N12" s="553">
        <f>'2. DS TKNH L1'!G18</f>
        <v>168977100</v>
      </c>
      <c r="O12" s="551"/>
      <c r="P12" s="551"/>
      <c r="Q12" s="551"/>
      <c r="R12" s="551"/>
      <c r="S12" s="551"/>
      <c r="T12" s="551"/>
      <c r="U12" s="551"/>
      <c r="V12" s="551"/>
      <c r="W12" s="551"/>
      <c r="X12" s="551"/>
      <c r="Y12" s="551"/>
      <c r="Z12" s="552"/>
      <c r="AA12" s="24"/>
      <c r="AB12" s="752"/>
    </row>
    <row r="13" spans="1:28" ht="25.5" customHeight="1" x14ac:dyDescent="0.25">
      <c r="A13" s="24"/>
      <c r="B13" s="24"/>
      <c r="C13" s="554" t="s">
        <v>25</v>
      </c>
      <c r="D13" s="551"/>
      <c r="E13" s="551"/>
      <c r="F13" s="551"/>
      <c r="G13" s="551"/>
      <c r="H13" s="551"/>
      <c r="I13" s="551"/>
      <c r="J13" s="551"/>
      <c r="K13" s="551"/>
      <c r="L13" s="551"/>
      <c r="M13" s="552"/>
      <c r="N13" s="556">
        <f>N12</f>
        <v>168977100</v>
      </c>
      <c r="O13" s="551"/>
      <c r="P13" s="551"/>
      <c r="Q13" s="551"/>
      <c r="R13" s="551"/>
      <c r="S13" s="551"/>
      <c r="T13" s="551"/>
      <c r="U13" s="551"/>
      <c r="V13" s="551"/>
      <c r="W13" s="551"/>
      <c r="X13" s="551"/>
      <c r="Y13" s="551"/>
      <c r="Z13" s="552"/>
      <c r="AA13" s="24"/>
    </row>
    <row r="14" spans="1:28" ht="31.5" customHeight="1" x14ac:dyDescent="0.25">
      <c r="A14" s="24"/>
      <c r="B14" s="24"/>
      <c r="C14" s="28" t="s">
        <v>26</v>
      </c>
      <c r="D14" s="557"/>
      <c r="E14" s="509"/>
      <c r="F14" s="509"/>
      <c r="G14" s="509"/>
      <c r="H14" s="509"/>
      <c r="I14" s="509"/>
      <c r="J14" s="509"/>
      <c r="K14" s="509"/>
      <c r="L14" s="509"/>
      <c r="M14" s="509"/>
      <c r="N14" s="509"/>
      <c r="O14" s="509"/>
      <c r="P14" s="509"/>
      <c r="Q14" s="509"/>
      <c r="R14" s="509"/>
      <c r="S14" s="509"/>
      <c r="T14" s="509"/>
      <c r="U14" s="509"/>
      <c r="V14" s="509"/>
      <c r="W14" s="509"/>
      <c r="X14" s="509"/>
      <c r="Y14" s="509"/>
      <c r="Z14" s="509"/>
      <c r="AA14" s="28"/>
    </row>
    <row r="15" spans="1:28" ht="39.75" customHeight="1" x14ac:dyDescent="0.25">
      <c r="A15" s="24"/>
      <c r="B15" s="24"/>
      <c r="C15" s="558"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509"/>
      <c r="E15" s="509"/>
      <c r="F15" s="509"/>
      <c r="G15" s="509"/>
      <c r="H15" s="509"/>
      <c r="I15" s="509"/>
      <c r="J15" s="509"/>
      <c r="K15" s="509"/>
      <c r="L15" s="509"/>
      <c r="M15" s="509"/>
      <c r="N15" s="509"/>
      <c r="O15" s="509"/>
      <c r="P15" s="509"/>
      <c r="Q15" s="509"/>
      <c r="R15" s="509"/>
      <c r="S15" s="509"/>
      <c r="T15" s="509"/>
      <c r="U15" s="509"/>
      <c r="V15" s="509"/>
      <c r="W15" s="509"/>
      <c r="X15" s="509"/>
      <c r="Y15" s="509"/>
      <c r="Z15" s="509"/>
      <c r="AA15" s="26"/>
    </row>
    <row r="16" spans="1:28" ht="22.5" customHeight="1" x14ac:dyDescent="0.25">
      <c r="A16" s="24"/>
      <c r="B16" s="24"/>
      <c r="C16" s="548" t="s">
        <v>27</v>
      </c>
      <c r="D16" s="509"/>
      <c r="E16" s="509"/>
      <c r="F16" s="509"/>
      <c r="G16" s="509"/>
      <c r="H16" s="29" t="s">
        <v>28</v>
      </c>
      <c r="I16" s="30"/>
      <c r="J16" s="30"/>
      <c r="K16" s="30"/>
      <c r="L16" s="559" t="b">
        <v>0</v>
      </c>
      <c r="M16" s="509"/>
      <c r="N16" s="509"/>
      <c r="O16" s="30"/>
      <c r="P16" s="30"/>
      <c r="Q16" s="30"/>
      <c r="R16" s="30"/>
      <c r="S16" s="30"/>
      <c r="T16" s="30"/>
      <c r="U16" s="30"/>
      <c r="V16" s="30"/>
      <c r="W16" s="30"/>
      <c r="X16" s="30"/>
      <c r="Y16" s="24"/>
      <c r="Z16" s="24"/>
      <c r="AA16" s="24"/>
    </row>
    <row r="17" spans="1:27" ht="24" customHeight="1" x14ac:dyDescent="0.25">
      <c r="A17" s="24"/>
      <c r="B17" s="24"/>
      <c r="C17" s="509"/>
      <c r="D17" s="509"/>
      <c r="E17" s="509"/>
      <c r="F17" s="509"/>
      <c r="G17" s="509"/>
      <c r="H17" s="29" t="s">
        <v>29</v>
      </c>
      <c r="I17" s="30"/>
      <c r="J17" s="30"/>
      <c r="K17" s="30"/>
      <c r="L17" s="559" t="b">
        <v>1</v>
      </c>
      <c r="M17" s="509"/>
      <c r="N17" s="509"/>
      <c r="O17" s="30"/>
      <c r="P17" s="30"/>
      <c r="Q17" s="30"/>
      <c r="R17" s="30"/>
      <c r="S17" s="30"/>
      <c r="T17" s="30"/>
      <c r="U17" s="30"/>
      <c r="V17" s="30"/>
      <c r="W17" s="30"/>
      <c r="X17" s="30"/>
      <c r="Y17" s="24"/>
      <c r="Z17" s="24"/>
      <c r="AA17" s="24"/>
    </row>
    <row r="18" spans="1:27" ht="20.25" customHeight="1" x14ac:dyDescent="0.25">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5">
      <c r="A19" s="24"/>
      <c r="B19" s="24"/>
      <c r="C19" s="548" t="s">
        <v>31</v>
      </c>
      <c r="D19" s="509"/>
      <c r="E19" s="509"/>
      <c r="F19" s="555" t="s">
        <v>32</v>
      </c>
      <c r="G19" s="509"/>
      <c r="H19" s="509"/>
      <c r="I19" s="509"/>
      <c r="J19" s="509"/>
      <c r="K19" s="509"/>
      <c r="L19" s="509"/>
      <c r="M19" s="509"/>
      <c r="N19" s="509"/>
      <c r="O19" s="509"/>
      <c r="P19" s="509"/>
      <c r="Q19" s="509"/>
      <c r="R19" s="509"/>
      <c r="S19" s="509"/>
      <c r="T19" s="509"/>
      <c r="U19" s="509"/>
      <c r="V19" s="509"/>
      <c r="W19" s="509"/>
      <c r="X19" s="509"/>
      <c r="Y19" s="24"/>
      <c r="Z19" s="24"/>
      <c r="AA19" s="24"/>
    </row>
    <row r="20" spans="1:27" ht="15.75" customHeight="1" x14ac:dyDescent="0.25">
      <c r="A20" s="24"/>
      <c r="B20" s="24"/>
      <c r="C20" s="548" t="s">
        <v>33</v>
      </c>
      <c r="D20" s="509"/>
      <c r="E20" s="509"/>
      <c r="F20" s="555" t="s">
        <v>32</v>
      </c>
      <c r="G20" s="509"/>
      <c r="H20" s="509"/>
      <c r="I20" s="509"/>
      <c r="J20" s="509"/>
      <c r="K20" s="509"/>
      <c r="L20" s="509"/>
      <c r="M20" s="509"/>
      <c r="N20" s="509"/>
      <c r="O20" s="509"/>
      <c r="P20" s="509"/>
      <c r="Q20" s="509"/>
      <c r="R20" s="509"/>
      <c r="S20" s="509"/>
      <c r="T20" s="509"/>
      <c r="U20" s="509"/>
      <c r="V20" s="509"/>
      <c r="W20" s="509"/>
      <c r="X20" s="509"/>
      <c r="Y20" s="24"/>
      <c r="Z20" s="24"/>
      <c r="AA20" s="24"/>
    </row>
    <row r="21" spans="1:27" ht="15.75" customHeight="1" x14ac:dyDescent="0.25">
      <c r="A21" s="24"/>
      <c r="B21" s="24"/>
      <c r="C21" s="548" t="s">
        <v>34</v>
      </c>
      <c r="D21" s="509"/>
      <c r="E21" s="509"/>
      <c r="F21" s="555" t="s">
        <v>32</v>
      </c>
      <c r="G21" s="509"/>
      <c r="H21" s="509"/>
      <c r="I21" s="509"/>
      <c r="J21" s="509"/>
      <c r="K21" s="509"/>
      <c r="L21" s="509"/>
      <c r="M21" s="509"/>
      <c r="N21" s="509"/>
      <c r="O21" s="509"/>
      <c r="P21" s="509"/>
      <c r="Q21" s="509"/>
      <c r="R21" s="509"/>
      <c r="S21" s="509"/>
      <c r="T21" s="509"/>
      <c r="U21" s="509"/>
      <c r="V21" s="509"/>
      <c r="W21" s="509"/>
      <c r="X21" s="509"/>
      <c r="Y21" s="24"/>
      <c r="Z21" s="24"/>
      <c r="AA21" s="24"/>
    </row>
    <row r="22" spans="1:27"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5">
      <c r="A23" s="545" t="s">
        <v>35</v>
      </c>
      <c r="B23" s="509"/>
      <c r="C23" s="509"/>
      <c r="D23" s="509"/>
      <c r="E23" s="509"/>
      <c r="F23" s="549" t="s">
        <v>36</v>
      </c>
      <c r="G23" s="509"/>
      <c r="H23" s="509"/>
      <c r="I23" s="509"/>
      <c r="J23" s="509"/>
      <c r="K23" s="509"/>
      <c r="L23" s="509"/>
      <c r="M23" s="31"/>
      <c r="N23" s="549" t="s">
        <v>37</v>
      </c>
      <c r="O23" s="509"/>
      <c r="P23" s="509"/>
      <c r="Q23" s="509"/>
      <c r="R23" s="509"/>
      <c r="S23" s="509"/>
      <c r="T23" s="509"/>
      <c r="U23" s="31"/>
      <c r="V23" s="549" t="s">
        <v>38</v>
      </c>
      <c r="W23" s="509"/>
      <c r="X23" s="509"/>
      <c r="Y23" s="509"/>
      <c r="Z23" s="509"/>
    </row>
    <row r="24" spans="1:27" ht="15.75" customHeight="1" x14ac:dyDescent="0.25">
      <c r="A24" s="509"/>
      <c r="B24" s="509"/>
      <c r="C24" s="509"/>
      <c r="D24" s="509"/>
      <c r="E24" s="509"/>
      <c r="F24" s="509"/>
      <c r="G24" s="509"/>
      <c r="H24" s="509"/>
      <c r="I24" s="509"/>
      <c r="J24" s="509"/>
      <c r="K24" s="509"/>
      <c r="L24" s="509"/>
      <c r="M24" s="31"/>
      <c r="N24" s="509"/>
      <c r="O24" s="509"/>
      <c r="P24" s="509"/>
      <c r="Q24" s="509"/>
      <c r="R24" s="509"/>
      <c r="S24" s="509"/>
      <c r="T24" s="509"/>
      <c r="U24" s="31"/>
      <c r="V24" s="509"/>
      <c r="W24" s="509"/>
      <c r="X24" s="509"/>
      <c r="Y24" s="509"/>
      <c r="Z24" s="509"/>
    </row>
    <row r="25" spans="1:27"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5">
      <c r="A29" s="545"/>
      <c r="B29" s="509"/>
      <c r="C29" s="509"/>
      <c r="D29" s="509"/>
      <c r="E29" s="509"/>
      <c r="F29" s="546"/>
      <c r="G29" s="491"/>
      <c r="H29" s="491"/>
      <c r="I29" s="491"/>
      <c r="J29" s="491"/>
      <c r="K29" s="491"/>
      <c r="L29" s="492"/>
      <c r="M29" s="32"/>
      <c r="N29" s="547"/>
      <c r="O29" s="491"/>
      <c r="P29" s="491"/>
      <c r="Q29" s="491"/>
      <c r="R29" s="491"/>
      <c r="S29" s="491"/>
      <c r="T29" s="492"/>
      <c r="U29" s="547"/>
      <c r="V29" s="491"/>
      <c r="W29" s="491"/>
      <c r="X29" s="491"/>
      <c r="Y29" s="491"/>
      <c r="Z29" s="491"/>
      <c r="AA29" s="492"/>
    </row>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A1:C1"/>
    <mergeCell ref="D1:Z1"/>
    <mergeCell ref="D2:Z2"/>
    <mergeCell ref="C3:D3"/>
    <mergeCell ref="M3:Z3"/>
    <mergeCell ref="H5:S5"/>
    <mergeCell ref="D6:Y6"/>
    <mergeCell ref="D8:I8"/>
    <mergeCell ref="C9:Y9"/>
    <mergeCell ref="C11:M11"/>
    <mergeCell ref="N11:Z11"/>
    <mergeCell ref="C12:M12"/>
    <mergeCell ref="N12:Z12"/>
    <mergeCell ref="C13:M13"/>
    <mergeCell ref="F20:X20"/>
    <mergeCell ref="F21:X21"/>
    <mergeCell ref="N13:Z13"/>
    <mergeCell ref="D14:Z14"/>
    <mergeCell ref="C15:Z15"/>
    <mergeCell ref="C16:G17"/>
    <mergeCell ref="L16:N16"/>
    <mergeCell ref="L17:N17"/>
    <mergeCell ref="F19:X19"/>
    <mergeCell ref="A29:E29"/>
    <mergeCell ref="F29:L29"/>
    <mergeCell ref="N29:T29"/>
    <mergeCell ref="U29:AA29"/>
    <mergeCell ref="C19:E19"/>
    <mergeCell ref="C20:E20"/>
    <mergeCell ref="C21:E21"/>
    <mergeCell ref="A23:E24"/>
    <mergeCell ref="F23:L24"/>
    <mergeCell ref="N23:T24"/>
    <mergeCell ref="V23:Z24"/>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J997"/>
  <sheetViews>
    <sheetView showGridLines="0" topLeftCell="A3" workbookViewId="0">
      <selection activeCell="F8" sqref="F8"/>
    </sheetView>
  </sheetViews>
  <sheetFormatPr defaultColWidth="12.6640625" defaultRowHeight="15" customHeight="1" x14ac:dyDescent="0.25"/>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8" ht="43.5" customHeight="1" x14ac:dyDescent="0.25">
      <c r="A1" s="572"/>
      <c r="B1" s="573"/>
      <c r="C1" s="576" t="s">
        <v>403</v>
      </c>
      <c r="D1" s="543"/>
      <c r="E1" s="543"/>
      <c r="F1" s="543"/>
      <c r="G1" s="544"/>
    </row>
    <row r="2" spans="1:8" ht="42" customHeight="1" x14ac:dyDescent="0.25">
      <c r="A2" s="574"/>
      <c r="B2" s="575"/>
      <c r="C2" s="577" t="s">
        <v>404</v>
      </c>
      <c r="D2" s="578"/>
      <c r="E2" s="578"/>
      <c r="F2" s="578"/>
      <c r="G2" s="579"/>
    </row>
    <row r="3" spans="1:8" ht="44.25" customHeight="1" x14ac:dyDescent="0.25">
      <c r="A3" s="417" t="s">
        <v>1</v>
      </c>
      <c r="B3" s="418" t="s">
        <v>40</v>
      </c>
      <c r="C3" s="418" t="s">
        <v>41</v>
      </c>
      <c r="D3" s="419" t="s">
        <v>42</v>
      </c>
      <c r="E3" s="418" t="s">
        <v>43</v>
      </c>
      <c r="F3" s="418" t="s">
        <v>44</v>
      </c>
      <c r="G3" s="420" t="s">
        <v>45</v>
      </c>
    </row>
    <row r="4" spans="1:8" ht="26.25" customHeight="1" x14ac:dyDescent="0.25">
      <c r="A4" s="100">
        <f>SUBTOTAL(3,$C$3:C3)</f>
        <v>1</v>
      </c>
      <c r="B4" s="422" t="s">
        <v>322</v>
      </c>
      <c r="C4" s="374" t="str">
        <f>VLOOKUP(B4,'6.Bảng lương  '!B15:$C$16,2,0)</f>
        <v>Nguyễn Thị Thu Hảo</v>
      </c>
      <c r="D4" s="426">
        <v>19035531863010</v>
      </c>
      <c r="E4" s="424" t="s">
        <v>332</v>
      </c>
      <c r="F4" s="422"/>
      <c r="G4" s="425">
        <f>VLOOKUP($B4,'6.Bảng lương  '!$B$11:$AV$30,47,0)</f>
        <v>12082100</v>
      </c>
    </row>
    <row r="5" spans="1:8" ht="26.25" customHeight="1" x14ac:dyDescent="0.25">
      <c r="A5" s="100">
        <f>SUBTOTAL(3,$C$3:C4)</f>
        <v>2</v>
      </c>
      <c r="B5" s="422" t="s">
        <v>339</v>
      </c>
      <c r="C5" s="374" t="str">
        <f>VLOOKUP(B5,'6.Bảng lương  '!B12:$C$12,2,0)</f>
        <v>Bùi Thanh Anh</v>
      </c>
      <c r="D5" s="426">
        <v>1978555558</v>
      </c>
      <c r="E5" s="424" t="s">
        <v>344</v>
      </c>
      <c r="F5" s="422"/>
      <c r="G5" s="425">
        <f>VLOOKUP($B5,'6.Bảng lương  '!$B$11:$AV$30,47,0)</f>
        <v>15000000</v>
      </c>
    </row>
    <row r="6" spans="1:8" ht="26.25" customHeight="1" x14ac:dyDescent="0.25">
      <c r="A6" s="100">
        <f>SUBTOTAL(3,$C$3:C5)</f>
        <v>3</v>
      </c>
      <c r="B6" s="422" t="s">
        <v>335</v>
      </c>
      <c r="C6" s="374" t="str">
        <f>VLOOKUP(B6,'6.Bảng lương  '!B$16:$C22,2,0)</f>
        <v>Eugene</v>
      </c>
      <c r="D6" s="426">
        <v>1045887952</v>
      </c>
      <c r="E6" s="424" t="s">
        <v>345</v>
      </c>
      <c r="F6" s="422"/>
      <c r="G6" s="425">
        <f>VLOOKUP($B6,'6.Bảng lương  '!$B$11:$AV$30,47,0)-7717000</f>
        <v>32921700</v>
      </c>
      <c r="H6" s="151" t="s">
        <v>407</v>
      </c>
    </row>
    <row r="7" spans="1:8" ht="26.25" customHeight="1" x14ac:dyDescent="0.25">
      <c r="A7" s="100">
        <f>SUBTOTAL(3,$C$3:C6)</f>
        <v>4</v>
      </c>
      <c r="B7" s="422" t="s">
        <v>348</v>
      </c>
      <c r="C7" s="374" t="str">
        <f>VLOOKUP(B7,'6.Bảng lương  '!B$16:$C23,2,0)</f>
        <v>Nguyễn Ánh Hồng</v>
      </c>
      <c r="D7" s="426">
        <v>1033638061</v>
      </c>
      <c r="E7" s="424" t="s">
        <v>345</v>
      </c>
      <c r="F7" s="422"/>
      <c r="G7" s="425">
        <f>VLOOKUP($B7,'6.Bảng lương  '!$B$11:$AV$30,47,0)</f>
        <v>9000000</v>
      </c>
    </row>
    <row r="8" spans="1:8" ht="26.25" customHeight="1" x14ac:dyDescent="0.25">
      <c r="A8" s="100">
        <f>SUBTOTAL(3,$C$3:C7)</f>
        <v>5</v>
      </c>
      <c r="B8" s="422" t="s">
        <v>353</v>
      </c>
      <c r="C8" s="374" t="str">
        <f>VLOOKUP(B8,'6.Bảng lương  '!$B$12:$C$23,2,0)</f>
        <v>Nguyễn Thị Thu</v>
      </c>
      <c r="D8" s="426">
        <v>1991555558</v>
      </c>
      <c r="E8" s="424" t="s">
        <v>344</v>
      </c>
      <c r="F8" s="422"/>
      <c r="G8" s="425">
        <f>VLOOKUP($B8,'6.Bảng lương  '!$B$11:$AV$30,47,0)</f>
        <v>8000000</v>
      </c>
    </row>
    <row r="9" spans="1:8" ht="26.25" customHeight="1" x14ac:dyDescent="0.25">
      <c r="A9" s="100">
        <f>SUBTOTAL(3,$C$3:C8)</f>
        <v>6</v>
      </c>
      <c r="B9" s="422" t="s">
        <v>362</v>
      </c>
      <c r="C9" s="374" t="str">
        <f>VLOOKUP(B9,' 5. Thông số TL'!$D$12:$E$25,2,0)</f>
        <v>Phùng Thị Lụa</v>
      </c>
      <c r="D9" s="423" t="s">
        <v>374</v>
      </c>
      <c r="E9" s="424" t="s">
        <v>375</v>
      </c>
      <c r="F9" s="422"/>
      <c r="G9" s="425">
        <f>VLOOKUP($B9,'6.Bảng lương  '!$B$11:$AV$30,47,0)</f>
        <v>9000000</v>
      </c>
    </row>
    <row r="10" spans="1:8" ht="26.25" customHeight="1" x14ac:dyDescent="0.25">
      <c r="A10" s="100">
        <f>SUBTOTAL(3,$C$3:C9)</f>
        <v>7</v>
      </c>
      <c r="B10" s="422" t="s">
        <v>364</v>
      </c>
      <c r="C10" s="374" t="str">
        <f>VLOOKUP(B10,' 5. Thông số TL'!$D$12:$E$25,2,0)</f>
        <v>Đinh Thị Bích Ngọc</v>
      </c>
      <c r="D10" s="426">
        <v>19032824127018</v>
      </c>
      <c r="E10" s="424" t="s">
        <v>332</v>
      </c>
      <c r="F10" s="422"/>
      <c r="G10" s="425">
        <f>VLOOKUP($B10,'6.Bảng lương  '!$B$11:$AV$30,47,0)</f>
        <v>7000000</v>
      </c>
    </row>
    <row r="11" spans="1:8" ht="26.25" customHeight="1" x14ac:dyDescent="0.25">
      <c r="A11" s="100">
        <f>SUBTOTAL(3,$C$3:C10)</f>
        <v>8</v>
      </c>
      <c r="B11" s="422" t="s">
        <v>366</v>
      </c>
      <c r="C11" s="374" t="str">
        <f>VLOOKUP(B11,' 5. Thông số TL'!$D$12:$E$25,2,0)</f>
        <v>Lương Văn Châm</v>
      </c>
      <c r="D11" s="426">
        <v>9904677976</v>
      </c>
      <c r="E11" s="424" t="s">
        <v>332</v>
      </c>
      <c r="F11" s="422"/>
      <c r="G11" s="425">
        <f>VLOOKUP($B11,'6.Bảng lương  '!$B$11:$AV$30,47,0)</f>
        <v>10000000</v>
      </c>
    </row>
    <row r="12" spans="1:8" ht="26.25" customHeight="1" x14ac:dyDescent="0.25">
      <c r="A12" s="100">
        <f>SUBTOTAL(3,$C$3:C11)</f>
        <v>9</v>
      </c>
      <c r="B12" s="422" t="s">
        <v>368</v>
      </c>
      <c r="C12" s="374" t="str">
        <f>VLOOKUP(B12,' 5. Thông số TL'!$D$12:$E$25,2,0)</f>
        <v>Nguyễn Thị Phúc</v>
      </c>
      <c r="D12" s="426">
        <v>1036236348</v>
      </c>
      <c r="E12" s="424" t="s">
        <v>376</v>
      </c>
      <c r="F12" s="422"/>
      <c r="G12" s="425">
        <f>VLOOKUP($B12,'6.Bảng lương  '!$B$11:$AV$30,47,0)</f>
        <v>10000000</v>
      </c>
    </row>
    <row r="13" spans="1:8" ht="26.25" customHeight="1" x14ac:dyDescent="0.25">
      <c r="A13" s="449">
        <f>SUBTOTAL(3,$C$3:C12)</f>
        <v>10</v>
      </c>
      <c r="B13" s="422" t="s">
        <v>387</v>
      </c>
      <c r="C13" s="473" t="s">
        <v>388</v>
      </c>
      <c r="D13" s="423">
        <v>19021081619016</v>
      </c>
      <c r="E13" s="424" t="s">
        <v>332</v>
      </c>
      <c r="F13" s="422"/>
      <c r="G13" s="425">
        <f>VLOOKUP($B13,'6.Bảng lương  '!$B$11:$AV$30,47,0)</f>
        <v>9000000</v>
      </c>
    </row>
    <row r="14" spans="1:8" ht="26.25" customHeight="1" x14ac:dyDescent="0.25">
      <c r="A14" s="449">
        <f>SUBTOTAL(3,$C$3:C13)</f>
        <v>11</v>
      </c>
      <c r="B14" s="422" t="s">
        <v>390</v>
      </c>
      <c r="C14" s="473" t="s">
        <v>392</v>
      </c>
      <c r="D14" s="423">
        <v>150822666999</v>
      </c>
      <c r="E14" s="424" t="s">
        <v>332</v>
      </c>
      <c r="F14" s="422"/>
      <c r="G14" s="425">
        <f>VLOOKUP($B14,'6.Bảng lương  '!$B$11:$AV$30,47,0)</f>
        <v>12000000</v>
      </c>
    </row>
    <row r="15" spans="1:8" ht="26.25" customHeight="1" x14ac:dyDescent="0.25">
      <c r="A15" s="449">
        <f>SUBTOTAL(3,$C$3:C14)</f>
        <v>12</v>
      </c>
      <c r="B15" s="422" t="s">
        <v>391</v>
      </c>
      <c r="C15" s="473" t="s">
        <v>393</v>
      </c>
      <c r="D15" s="423">
        <v>19031171516025</v>
      </c>
      <c r="E15" s="424" t="s">
        <v>332</v>
      </c>
      <c r="F15" s="422"/>
      <c r="G15" s="425">
        <f>VLOOKUP($B15,'6.Bảng lương  '!$B$11:$AV$30,47,0)</f>
        <v>11000000</v>
      </c>
    </row>
    <row r="16" spans="1:8" ht="26.25" customHeight="1" x14ac:dyDescent="0.25">
      <c r="A16" s="449">
        <f>SUBTOTAL(3,$C$3:C15)</f>
        <v>13</v>
      </c>
      <c r="B16" s="422" t="s">
        <v>394</v>
      </c>
      <c r="C16" s="473" t="s">
        <v>395</v>
      </c>
      <c r="D16" s="423">
        <v>19024964658010</v>
      </c>
      <c r="E16" s="424" t="s">
        <v>332</v>
      </c>
      <c r="F16" s="422"/>
      <c r="G16" s="425">
        <f>VLOOKUP($B16,'6.Bảng lương  '!$B$11:$AV$30,47,0)</f>
        <v>9505700</v>
      </c>
    </row>
    <row r="17" spans="1:10" ht="26.25" customHeight="1" x14ac:dyDescent="0.25">
      <c r="A17" s="449">
        <f>SUBTOTAL(3,$C$3:C16)</f>
        <v>14</v>
      </c>
      <c r="B17" s="422" t="s">
        <v>398</v>
      </c>
      <c r="C17" s="473" t="s">
        <v>399</v>
      </c>
      <c r="D17" s="423">
        <v>8819922368</v>
      </c>
      <c r="E17" s="424" t="s">
        <v>400</v>
      </c>
      <c r="F17" s="422"/>
      <c r="G17" s="425">
        <f>VLOOKUP($B17,'6.Bảng lương  '!$B$11:$AV$30,47,0)</f>
        <v>14467600</v>
      </c>
    </row>
    <row r="18" spans="1:10" ht="25.5" customHeight="1" x14ac:dyDescent="0.25">
      <c r="A18" s="580" t="s">
        <v>51</v>
      </c>
      <c r="B18" s="581"/>
      <c r="C18" s="581"/>
      <c r="D18" s="581"/>
      <c r="E18" s="581"/>
      <c r="F18" s="582"/>
      <c r="G18" s="421">
        <f>SUM(G4:G17)</f>
        <v>168977100</v>
      </c>
      <c r="H18" s="450"/>
    </row>
    <row r="19" spans="1:10" ht="15.75" customHeight="1" x14ac:dyDescent="0.3">
      <c r="A19" s="39"/>
      <c r="B19" s="39"/>
      <c r="C19" s="40"/>
      <c r="D19" s="41"/>
      <c r="E19" s="39"/>
      <c r="F19" s="40"/>
      <c r="G19" s="40"/>
      <c r="J19" s="42"/>
    </row>
    <row r="20" spans="1:10" ht="3.75" customHeight="1" x14ac:dyDescent="0.3">
      <c r="A20" s="39"/>
      <c r="B20" s="39"/>
      <c r="C20" s="40"/>
      <c r="D20" s="41"/>
      <c r="E20" s="39"/>
      <c r="F20" s="40"/>
      <c r="G20" s="40"/>
      <c r="J20" s="43"/>
    </row>
    <row r="21" spans="1:10" ht="15.75" customHeight="1" x14ac:dyDescent="0.3">
      <c r="A21" s="39"/>
      <c r="B21" s="39"/>
      <c r="C21" s="40"/>
      <c r="D21" s="41"/>
      <c r="E21" s="583" t="s">
        <v>405</v>
      </c>
      <c r="F21" s="509"/>
      <c r="G21" s="509"/>
    </row>
    <row r="22" spans="1:10" ht="15.75" customHeight="1" x14ac:dyDescent="0.3">
      <c r="A22" s="39"/>
      <c r="B22" s="39"/>
      <c r="C22" s="40"/>
      <c r="D22" s="41"/>
      <c r="E22" s="39"/>
      <c r="F22" s="40"/>
      <c r="G22" s="40"/>
    </row>
    <row r="23" spans="1:10" ht="18.75" customHeight="1" x14ac:dyDescent="0.25">
      <c r="A23" s="571" t="s">
        <v>52</v>
      </c>
      <c r="B23" s="509"/>
      <c r="C23" s="584" t="s">
        <v>53</v>
      </c>
      <c r="D23" s="509"/>
      <c r="E23" s="44" t="s">
        <v>54</v>
      </c>
      <c r="F23" s="571" t="s">
        <v>55</v>
      </c>
      <c r="G23" s="509"/>
    </row>
    <row r="24" spans="1:10" ht="18.75" customHeight="1" x14ac:dyDescent="0.3">
      <c r="A24" s="39"/>
      <c r="B24" s="39"/>
      <c r="C24" s="40"/>
      <c r="D24" s="36"/>
      <c r="E24" s="39"/>
      <c r="F24" s="40"/>
      <c r="G24" s="40"/>
    </row>
    <row r="25" spans="1:10" ht="18.75" customHeight="1" x14ac:dyDescent="0.3">
      <c r="A25" s="39"/>
      <c r="B25" s="39"/>
      <c r="C25" s="40"/>
      <c r="D25" s="41"/>
      <c r="E25" s="39"/>
      <c r="F25" s="40"/>
      <c r="G25" s="40"/>
    </row>
    <row r="26" spans="1:10" ht="18.75" customHeight="1" x14ac:dyDescent="0.3">
      <c r="A26" s="39"/>
      <c r="B26" s="39"/>
      <c r="C26" s="40"/>
      <c r="D26" s="41"/>
      <c r="E26" s="39"/>
      <c r="F26" s="40"/>
      <c r="G26" s="40"/>
    </row>
    <row r="27" spans="1:10" ht="18.75" customHeight="1" x14ac:dyDescent="0.3">
      <c r="A27" s="39"/>
      <c r="B27" s="39"/>
      <c r="C27" s="40"/>
      <c r="D27" s="41"/>
      <c r="E27" s="39"/>
      <c r="F27" s="40"/>
      <c r="G27" s="40"/>
    </row>
    <row r="28" spans="1:10" ht="18.75" customHeight="1" x14ac:dyDescent="0.3">
      <c r="A28" s="46"/>
      <c r="B28" s="46"/>
      <c r="C28" s="47"/>
      <c r="D28" s="48"/>
      <c r="E28" s="46"/>
      <c r="F28" s="47"/>
      <c r="G28" s="47"/>
    </row>
    <row r="29" spans="1:10" ht="18.75" customHeight="1" x14ac:dyDescent="0.25">
      <c r="A29" s="571"/>
      <c r="B29" s="509"/>
      <c r="C29" s="571"/>
      <c r="D29" s="509"/>
      <c r="E29" s="49"/>
      <c r="F29" s="571"/>
      <c r="G29" s="509"/>
    </row>
    <row r="30" spans="1:10" ht="15.75" customHeight="1" x14ac:dyDescent="0.25">
      <c r="A30" s="50"/>
      <c r="B30" s="50"/>
      <c r="C30" s="51"/>
      <c r="D30" s="52"/>
      <c r="E30" s="50"/>
      <c r="F30" s="51"/>
      <c r="G30" s="51"/>
    </row>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11">
    <mergeCell ref="A23:B23"/>
    <mergeCell ref="A29:B29"/>
    <mergeCell ref="C29:D29"/>
    <mergeCell ref="F29:G29"/>
    <mergeCell ref="A1:B2"/>
    <mergeCell ref="C1:G1"/>
    <mergeCell ref="C2:G2"/>
    <mergeCell ref="A18:F18"/>
    <mergeCell ref="E21:G21"/>
    <mergeCell ref="C23:D23"/>
    <mergeCell ref="F23:G23"/>
  </mergeCells>
  <pageMargins left="0.59321432058873147" right="0.59321432058873147" top="0.80798138869005032" bottom="0.81737652111667869"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94"/>
  <sheetViews>
    <sheetView showGridLines="0" topLeftCell="F25" zoomScale="70" zoomScaleNormal="70" workbookViewId="0">
      <selection activeCell="F24" sqref="F11:F24"/>
    </sheetView>
  </sheetViews>
  <sheetFormatPr defaultColWidth="12.6640625" defaultRowHeight="15" customHeight="1" x14ac:dyDescent="0.25"/>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4.44140625"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8" width="5.109375" customWidth="1"/>
    <col min="39" max="39" width="6.88671875" customWidth="1"/>
    <col min="40" max="40" width="9.109375" customWidth="1"/>
    <col min="41" max="41" width="5.33203125" customWidth="1"/>
    <col min="42" max="42" width="9.6640625" bestFit="1"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x14ac:dyDescent="0.8">
      <c r="A1" s="524"/>
      <c r="B1" s="509"/>
      <c r="C1" s="525" t="s">
        <v>327</v>
      </c>
      <c r="D1" s="491"/>
      <c r="E1" s="491"/>
      <c r="F1" s="491"/>
      <c r="G1" s="492"/>
      <c r="H1" s="526"/>
      <c r="I1" s="509"/>
      <c r="J1" s="509"/>
      <c r="K1" s="509"/>
      <c r="L1" s="509"/>
      <c r="M1" s="509"/>
      <c r="N1" s="509"/>
      <c r="O1" s="509"/>
      <c r="P1" s="509"/>
      <c r="Q1" s="509"/>
      <c r="R1" s="509"/>
      <c r="S1" s="509"/>
      <c r="T1" s="509"/>
      <c r="U1" s="509"/>
      <c r="V1" s="509"/>
      <c r="W1" s="509"/>
      <c r="X1" s="509"/>
      <c r="Y1" s="509"/>
      <c r="Z1" s="509"/>
      <c r="AA1" s="509"/>
      <c r="AB1" s="509"/>
      <c r="AC1" s="509"/>
      <c r="AH1" s="527"/>
      <c r="AI1" s="492"/>
      <c r="AJ1" s="54"/>
      <c r="AK1" s="54"/>
      <c r="AL1" s="54"/>
      <c r="AM1" s="55"/>
      <c r="AS1" s="56"/>
      <c r="AU1" s="57"/>
      <c r="AV1" s="58"/>
    </row>
    <row r="2" spans="1:48" ht="22.5" customHeight="1" thickBot="1" x14ac:dyDescent="0.3">
      <c r="A2" s="59"/>
      <c r="B2" s="60"/>
      <c r="C2" s="59"/>
      <c r="D2" s="59"/>
      <c r="E2" s="59"/>
      <c r="F2" s="59"/>
      <c r="G2" s="59"/>
      <c r="I2" s="515" t="s">
        <v>56</v>
      </c>
      <c r="J2" s="528"/>
      <c r="K2" s="516">
        <v>7</v>
      </c>
      <c r="L2" s="495"/>
      <c r="M2" s="530" t="s">
        <v>57</v>
      </c>
      <c r="N2" s="491"/>
      <c r="O2" s="491"/>
      <c r="P2" s="491"/>
      <c r="Q2" s="491"/>
      <c r="R2" s="491"/>
      <c r="S2" s="491"/>
      <c r="T2" s="491"/>
      <c r="U2" s="491"/>
      <c r="V2" s="491"/>
      <c r="W2" s="491"/>
      <c r="X2" s="491"/>
      <c r="Y2" s="491"/>
      <c r="Z2" s="491"/>
      <c r="AA2" s="491"/>
      <c r="AB2" s="491"/>
      <c r="AC2" s="492"/>
      <c r="AH2" s="61"/>
      <c r="AI2" s="61"/>
      <c r="AJ2" s="61"/>
      <c r="AK2" s="61"/>
      <c r="AL2" s="61"/>
      <c r="AS2" s="56"/>
      <c r="AU2" s="57"/>
      <c r="AV2" s="62"/>
    </row>
    <row r="3" spans="1:48" ht="18" customHeight="1" thickBot="1" x14ac:dyDescent="0.3">
      <c r="A3" s="59"/>
      <c r="B3" s="60"/>
      <c r="C3" s="59"/>
      <c r="D3" s="59"/>
      <c r="E3" s="59"/>
      <c r="F3" s="59"/>
      <c r="G3" s="59"/>
      <c r="I3" s="529"/>
      <c r="J3" s="509"/>
      <c r="K3" s="496"/>
      <c r="L3" s="497"/>
      <c r="M3" s="517" t="s">
        <v>58</v>
      </c>
      <c r="N3" s="495"/>
      <c r="O3" s="532" t="s">
        <v>59</v>
      </c>
      <c r="P3" s="533" t="s">
        <v>60</v>
      </c>
      <c r="Q3" s="534" t="s">
        <v>61</v>
      </c>
      <c r="R3" s="535" t="s">
        <v>62</v>
      </c>
      <c r="S3" s="536" t="s">
        <v>63</v>
      </c>
      <c r="T3" s="538" t="s">
        <v>64</v>
      </c>
      <c r="U3" s="539" t="s">
        <v>65</v>
      </c>
      <c r="V3" s="540" t="s">
        <v>66</v>
      </c>
      <c r="W3" s="495"/>
      <c r="X3" s="541" t="s">
        <v>67</v>
      </c>
      <c r="Y3" s="541" t="s">
        <v>68</v>
      </c>
      <c r="Z3" s="537" t="s">
        <v>69</v>
      </c>
      <c r="AA3" s="495"/>
      <c r="AB3" s="531" t="s">
        <v>70</v>
      </c>
      <c r="AC3" s="495"/>
      <c r="AH3" s="498"/>
      <c r="AI3" s="498"/>
      <c r="AJ3" s="61"/>
      <c r="AK3" s="61"/>
      <c r="AL3" s="61"/>
      <c r="AS3" s="56"/>
      <c r="AU3" s="57"/>
      <c r="AV3" s="62"/>
    </row>
    <row r="4" spans="1:48" ht="27.75" customHeight="1" thickBot="1" x14ac:dyDescent="0.3">
      <c r="A4" s="59"/>
      <c r="B4" s="60"/>
      <c r="C4" s="59"/>
      <c r="D4" s="59"/>
      <c r="E4" s="59"/>
      <c r="F4" s="59"/>
      <c r="G4" s="59"/>
      <c r="I4" s="515" t="s">
        <v>71</v>
      </c>
      <c r="J4" s="495"/>
      <c r="K4" s="516">
        <v>2026</v>
      </c>
      <c r="L4" s="495"/>
      <c r="M4" s="496"/>
      <c r="N4" s="497"/>
      <c r="O4" s="503"/>
      <c r="P4" s="503"/>
      <c r="Q4" s="503"/>
      <c r="R4" s="503"/>
      <c r="S4" s="503"/>
      <c r="T4" s="503"/>
      <c r="U4" s="503"/>
      <c r="V4" s="496"/>
      <c r="W4" s="497"/>
      <c r="X4" s="503"/>
      <c r="Y4" s="503"/>
      <c r="Z4" s="496"/>
      <c r="AA4" s="497"/>
      <c r="AB4" s="496"/>
      <c r="AC4" s="497"/>
      <c r="AH4" s="499"/>
      <c r="AI4" s="499"/>
      <c r="AJ4" s="61"/>
      <c r="AK4" s="61"/>
      <c r="AL4" s="61"/>
      <c r="AS4" s="56"/>
      <c r="AU4" s="57"/>
      <c r="AV4" s="62"/>
    </row>
    <row r="5" spans="1:48" ht="24" customHeight="1" thickBot="1" x14ac:dyDescent="0.3">
      <c r="A5" s="59"/>
      <c r="B5" s="60"/>
      <c r="C5" s="59"/>
      <c r="D5" s="59"/>
      <c r="E5" s="59"/>
      <c r="F5" s="59"/>
      <c r="G5" s="59"/>
      <c r="I5" s="496"/>
      <c r="J5" s="497"/>
      <c r="K5" s="496"/>
      <c r="L5" s="497"/>
      <c r="M5" s="517" t="s">
        <v>72</v>
      </c>
      <c r="N5" s="495"/>
      <c r="O5" s="518" t="s">
        <v>73</v>
      </c>
      <c r="P5" s="519" t="s">
        <v>74</v>
      </c>
      <c r="Q5" s="520" t="s">
        <v>75</v>
      </c>
      <c r="R5" s="520" t="s">
        <v>76</v>
      </c>
      <c r="S5" s="521" t="s">
        <v>77</v>
      </c>
      <c r="T5" s="521" t="s">
        <v>78</v>
      </c>
      <c r="U5" s="522" t="s">
        <v>79</v>
      </c>
      <c r="V5" s="523" t="s">
        <v>80</v>
      </c>
      <c r="W5" s="495"/>
      <c r="X5" s="502" t="s">
        <v>81</v>
      </c>
      <c r="Y5" s="502" t="s">
        <v>82</v>
      </c>
      <c r="Z5" s="504" t="s">
        <v>83</v>
      </c>
      <c r="AA5" s="495"/>
      <c r="AB5" s="494" t="s">
        <v>84</v>
      </c>
      <c r="AC5" s="495"/>
      <c r="AH5" s="498"/>
      <c r="AI5" s="498"/>
      <c r="AJ5" s="61"/>
      <c r="AK5" s="61"/>
      <c r="AL5" s="61"/>
      <c r="AS5" s="56"/>
      <c r="AU5" s="57"/>
      <c r="AV5" s="62"/>
    </row>
    <row r="6" spans="1:48" ht="14.25" customHeight="1" thickBot="1" x14ac:dyDescent="0.3">
      <c r="A6" s="505" t="s">
        <v>389</v>
      </c>
      <c r="B6" s="506"/>
      <c r="C6" s="506"/>
      <c r="D6" s="506"/>
      <c r="E6" s="506"/>
      <c r="F6" s="506"/>
      <c r="G6" s="507"/>
      <c r="I6" s="53"/>
      <c r="J6" s="53"/>
      <c r="K6" s="63"/>
      <c r="L6" s="64"/>
      <c r="M6" s="496"/>
      <c r="N6" s="497"/>
      <c r="O6" s="503"/>
      <c r="P6" s="503"/>
      <c r="Q6" s="503"/>
      <c r="R6" s="503"/>
      <c r="S6" s="503"/>
      <c r="T6" s="503"/>
      <c r="U6" s="503"/>
      <c r="V6" s="496"/>
      <c r="W6" s="497"/>
      <c r="X6" s="503"/>
      <c r="Y6" s="503"/>
      <c r="Z6" s="496"/>
      <c r="AA6" s="497"/>
      <c r="AB6" s="496"/>
      <c r="AC6" s="497"/>
      <c r="AH6" s="499"/>
      <c r="AI6" s="499"/>
      <c r="AJ6" s="61"/>
      <c r="AK6" s="61"/>
      <c r="AL6" s="61"/>
      <c r="AS6" s="56"/>
      <c r="AU6" s="57"/>
      <c r="AV6" s="62"/>
    </row>
    <row r="7" spans="1:48" ht="25.5" customHeight="1" thickBot="1" x14ac:dyDescent="0.3">
      <c r="A7" s="508"/>
      <c r="B7" s="509"/>
      <c r="C7" s="509"/>
      <c r="D7" s="509"/>
      <c r="E7" s="509"/>
      <c r="F7" s="509"/>
      <c r="G7" s="510"/>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x14ac:dyDescent="0.3">
      <c r="A8" s="508"/>
      <c r="B8" s="509"/>
      <c r="C8" s="509"/>
      <c r="D8" s="509"/>
      <c r="E8" s="509"/>
      <c r="F8" s="509"/>
      <c r="G8" s="510"/>
      <c r="H8" s="66">
        <f>DATE(K4,K2,1)</f>
        <v>46204</v>
      </c>
      <c r="I8" s="67">
        <f t="shared" ref="I8:AL8" si="2">H8+1</f>
        <v>46205</v>
      </c>
      <c r="J8" s="67">
        <f t="shared" si="2"/>
        <v>46206</v>
      </c>
      <c r="K8" s="67">
        <f t="shared" si="2"/>
        <v>46207</v>
      </c>
      <c r="L8" s="67">
        <f t="shared" si="2"/>
        <v>46208</v>
      </c>
      <c r="M8" s="67">
        <f t="shared" si="2"/>
        <v>46209</v>
      </c>
      <c r="N8" s="67">
        <f t="shared" si="2"/>
        <v>46210</v>
      </c>
      <c r="O8" s="67">
        <f t="shared" si="2"/>
        <v>46211</v>
      </c>
      <c r="P8" s="67">
        <f t="shared" si="2"/>
        <v>46212</v>
      </c>
      <c r="Q8" s="67">
        <f t="shared" si="2"/>
        <v>46213</v>
      </c>
      <c r="R8" s="67">
        <f t="shared" si="2"/>
        <v>46214</v>
      </c>
      <c r="S8" s="67">
        <f t="shared" si="2"/>
        <v>46215</v>
      </c>
      <c r="T8" s="67">
        <f t="shared" si="2"/>
        <v>46216</v>
      </c>
      <c r="U8" s="67">
        <f t="shared" si="2"/>
        <v>46217</v>
      </c>
      <c r="V8" s="67">
        <f t="shared" si="2"/>
        <v>46218</v>
      </c>
      <c r="W8" s="67">
        <f t="shared" si="2"/>
        <v>46219</v>
      </c>
      <c r="X8" s="67">
        <f t="shared" si="2"/>
        <v>46220</v>
      </c>
      <c r="Y8" s="67">
        <f t="shared" si="2"/>
        <v>46221</v>
      </c>
      <c r="Z8" s="67">
        <f t="shared" si="2"/>
        <v>46222</v>
      </c>
      <c r="AA8" s="67">
        <f t="shared" si="2"/>
        <v>46223</v>
      </c>
      <c r="AB8" s="67">
        <f t="shared" si="2"/>
        <v>46224</v>
      </c>
      <c r="AC8" s="67">
        <f t="shared" si="2"/>
        <v>46225</v>
      </c>
      <c r="AD8" s="67">
        <f t="shared" si="2"/>
        <v>46226</v>
      </c>
      <c r="AE8" s="67">
        <f t="shared" si="2"/>
        <v>46227</v>
      </c>
      <c r="AF8" s="67">
        <f t="shared" si="2"/>
        <v>46228</v>
      </c>
      <c r="AG8" s="68">
        <f t="shared" si="2"/>
        <v>46229</v>
      </c>
      <c r="AH8" s="69">
        <f t="shared" si="2"/>
        <v>46230</v>
      </c>
      <c r="AI8" s="70">
        <f t="shared" si="2"/>
        <v>46231</v>
      </c>
      <c r="AJ8" s="71">
        <f t="shared" si="2"/>
        <v>46232</v>
      </c>
      <c r="AK8" s="70">
        <f t="shared" si="2"/>
        <v>46233</v>
      </c>
      <c r="AL8" s="70">
        <f t="shared" si="2"/>
        <v>46234</v>
      </c>
      <c r="AM8" s="72" t="s">
        <v>73</v>
      </c>
      <c r="AN8" s="73" t="s">
        <v>74</v>
      </c>
      <c r="AO8" s="74" t="s">
        <v>85</v>
      </c>
      <c r="AP8" s="75" t="s">
        <v>79</v>
      </c>
      <c r="AQ8" s="76" t="s">
        <v>86</v>
      </c>
      <c r="AR8" s="500" t="s">
        <v>87</v>
      </c>
      <c r="AS8" s="77" t="s">
        <v>81</v>
      </c>
      <c r="AT8" s="78" t="s">
        <v>83</v>
      </c>
      <c r="AU8" s="486" t="s">
        <v>88</v>
      </c>
      <c r="AV8" s="488" t="str">
        <f>"Phép Tồn năm 2023 tính đến T."&amp;K2</f>
        <v>Phép Tồn năm 2023 tính đến T.7</v>
      </c>
    </row>
    <row r="9" spans="1:48" ht="45.75" customHeight="1" thickBot="1" x14ac:dyDescent="0.3">
      <c r="A9" s="511"/>
      <c r="B9" s="512"/>
      <c r="C9" s="512"/>
      <c r="D9" s="512"/>
      <c r="E9" s="512"/>
      <c r="F9" s="512"/>
      <c r="G9" s="513"/>
      <c r="H9" s="79" t="str">
        <f t="shared" ref="H9:AL9" si="3">CHOOSE(WEEKDAY(H8),"Chủ Nhật","Thứ Hai","Thứ Ba","Thứ Tư","Thứ Năm","Thứ Sáu","Thứ Bảy")</f>
        <v>Thứ Tư</v>
      </c>
      <c r="I9" s="80" t="str">
        <f t="shared" si="3"/>
        <v>Thứ Năm</v>
      </c>
      <c r="J9" s="80" t="str">
        <f t="shared" si="3"/>
        <v>Thứ Sáu</v>
      </c>
      <c r="K9" s="80" t="str">
        <f t="shared" si="3"/>
        <v>Thứ Bảy</v>
      </c>
      <c r="L9" s="80" t="str">
        <f t="shared" si="3"/>
        <v>Chủ Nhật</v>
      </c>
      <c r="M9" s="80" t="str">
        <f t="shared" si="3"/>
        <v>Thứ Hai</v>
      </c>
      <c r="N9" s="80" t="str">
        <f t="shared" si="3"/>
        <v>Thứ Ba</v>
      </c>
      <c r="O9" s="80" t="str">
        <f t="shared" si="3"/>
        <v>Thứ Tư</v>
      </c>
      <c r="P9" s="80" t="str">
        <f t="shared" si="3"/>
        <v>Thứ Năm</v>
      </c>
      <c r="Q9" s="80" t="str">
        <f t="shared" si="3"/>
        <v>Thứ Sáu</v>
      </c>
      <c r="R9" s="80" t="str">
        <f t="shared" si="3"/>
        <v>Thứ Bảy</v>
      </c>
      <c r="S9" s="80" t="str">
        <f t="shared" si="3"/>
        <v>Chủ Nhật</v>
      </c>
      <c r="T9" s="80" t="str">
        <f t="shared" si="3"/>
        <v>Thứ Hai</v>
      </c>
      <c r="U9" s="80" t="str">
        <f t="shared" si="3"/>
        <v>Thứ Ba</v>
      </c>
      <c r="V9" s="80" t="str">
        <f t="shared" si="3"/>
        <v>Thứ Tư</v>
      </c>
      <c r="W9" s="80" t="str">
        <f t="shared" si="3"/>
        <v>Thứ Năm</v>
      </c>
      <c r="X9" s="80" t="str">
        <f t="shared" si="3"/>
        <v>Thứ Sáu</v>
      </c>
      <c r="Y9" s="80" t="str">
        <f t="shared" si="3"/>
        <v>Thứ Bảy</v>
      </c>
      <c r="Z9" s="80" t="str">
        <f t="shared" si="3"/>
        <v>Chủ Nhật</v>
      </c>
      <c r="AA9" s="80" t="str">
        <f t="shared" si="3"/>
        <v>Thứ Hai</v>
      </c>
      <c r="AB9" s="80" t="str">
        <f t="shared" si="3"/>
        <v>Thứ Ba</v>
      </c>
      <c r="AC9" s="80" t="str">
        <f t="shared" si="3"/>
        <v>Thứ Tư</v>
      </c>
      <c r="AD9" s="80" t="str">
        <f t="shared" si="3"/>
        <v>Thứ Năm</v>
      </c>
      <c r="AE9" s="80" t="str">
        <f t="shared" si="3"/>
        <v>Thứ Sáu</v>
      </c>
      <c r="AF9" s="80" t="str">
        <f t="shared" si="3"/>
        <v>Thứ Bảy</v>
      </c>
      <c r="AG9" s="80" t="str">
        <f t="shared" si="3"/>
        <v>Chủ Nhật</v>
      </c>
      <c r="AH9" s="81" t="str">
        <f t="shared" si="3"/>
        <v>Thứ Hai</v>
      </c>
      <c r="AI9" s="82" t="str">
        <f t="shared" si="3"/>
        <v>Thứ Ba</v>
      </c>
      <c r="AJ9" s="82" t="str">
        <f t="shared" si="3"/>
        <v>Thứ Tư</v>
      </c>
      <c r="AK9" s="82" t="str">
        <f t="shared" si="3"/>
        <v>Thứ Năm</v>
      </c>
      <c r="AL9" s="82" t="str">
        <f t="shared" si="3"/>
        <v>Thứ Sáu</v>
      </c>
      <c r="AM9" s="83" t="s">
        <v>89</v>
      </c>
      <c r="AN9" s="84" t="s">
        <v>90</v>
      </c>
      <c r="AO9" s="85" t="s">
        <v>91</v>
      </c>
      <c r="AP9" s="86" t="s">
        <v>92</v>
      </c>
      <c r="AQ9" s="87" t="s">
        <v>63</v>
      </c>
      <c r="AR9" s="501"/>
      <c r="AS9" s="88" t="s">
        <v>93</v>
      </c>
      <c r="AT9" s="89" t="s">
        <v>69</v>
      </c>
      <c r="AU9" s="487"/>
      <c r="AV9" s="489"/>
    </row>
    <row r="10" spans="1:48" ht="38.25" customHeight="1" x14ac:dyDescent="0.25">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SUM(AR12:AR30)</f>
        <v>534</v>
      </c>
      <c r="AS10" s="98"/>
      <c r="AT10" s="99">
        <f>SUM(AT12:AT30)</f>
        <v>60</v>
      </c>
      <c r="AU10" s="98"/>
      <c r="AV10" s="98"/>
    </row>
    <row r="11" spans="1:48" ht="39" customHeight="1" x14ac:dyDescent="0.25">
      <c r="A11" s="100">
        <f t="shared" ref="A11:A24" si="4">SUBTOTAL(3,$F$11:F11)</f>
        <v>1</v>
      </c>
      <c r="B11" s="101" t="s">
        <v>322</v>
      </c>
      <c r="C11" s="102" t="s">
        <v>319</v>
      </c>
      <c r="D11" s="103" t="s">
        <v>321</v>
      </c>
      <c r="E11" s="104"/>
      <c r="F11" s="35" t="s">
        <v>318</v>
      </c>
      <c r="G11" s="105" t="s">
        <v>100</v>
      </c>
      <c r="H11" s="106" t="s">
        <v>73</v>
      </c>
      <c r="I11" s="106" t="s">
        <v>73</v>
      </c>
      <c r="J11" s="106" t="s">
        <v>73</v>
      </c>
      <c r="K11" s="106"/>
      <c r="L11" s="106"/>
      <c r="M11" s="106" t="s">
        <v>73</v>
      </c>
      <c r="N11" s="106" t="s">
        <v>73</v>
      </c>
      <c r="O11" s="106" t="s">
        <v>73</v>
      </c>
      <c r="P11" s="106" t="s">
        <v>73</v>
      </c>
      <c r="Q11" s="106" t="s">
        <v>73</v>
      </c>
      <c r="R11" s="106"/>
      <c r="S11" s="106"/>
      <c r="T11" s="106" t="s">
        <v>73</v>
      </c>
      <c r="U11" s="106" t="s">
        <v>73</v>
      </c>
      <c r="V11" s="106" t="s">
        <v>73</v>
      </c>
      <c r="W11" s="106" t="s">
        <v>77</v>
      </c>
      <c r="X11" s="106" t="s">
        <v>77</v>
      </c>
      <c r="Y11" s="106"/>
      <c r="Z11" s="106"/>
      <c r="AA11" s="106" t="s">
        <v>77</v>
      </c>
      <c r="AB11" s="106" t="s">
        <v>75</v>
      </c>
      <c r="AC11" s="106" t="s">
        <v>75</v>
      </c>
      <c r="AD11" s="106" t="s">
        <v>75</v>
      </c>
      <c r="AE11" s="106" t="s">
        <v>75</v>
      </c>
      <c r="AF11" s="106"/>
      <c r="AG11" s="106"/>
      <c r="AH11" s="106" t="s">
        <v>75</v>
      </c>
      <c r="AI11" s="106" t="s">
        <v>75</v>
      </c>
      <c r="AJ11" s="106" t="s">
        <v>75</v>
      </c>
      <c r="AK11" s="106" t="s">
        <v>75</v>
      </c>
      <c r="AL11" s="106" t="s">
        <v>75</v>
      </c>
      <c r="AM11" s="107">
        <f t="shared" ref="AM11:AM15" si="5">IF(F11="","",COUNTIF($H11:$AL11,AM$8))</f>
        <v>11</v>
      </c>
      <c r="AN11" s="108">
        <f t="shared" ref="AN11"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 si="7">COUNTIF(H11:AL11,"ON")+COUNTIF(H11:AL11,"ON/2")/2</f>
        <v>9</v>
      </c>
      <c r="AP11" s="110">
        <f t="shared" ref="AP11"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354,2)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3</v>
      </c>
      <c r="AR11" s="112">
        <f t="shared" ref="AR11:AR12" si="9">IF(G11="","",AM11+AN11+AP11+AQ11)</f>
        <v>14</v>
      </c>
      <c r="AS11" s="113">
        <f t="shared" ref="AS11" si="10">IF(F11="","",COUNTIF($H11:$AL11,AS$8))++IF(F11="","",COUNTIF($H11:$AL11,"L1")/2)</f>
        <v>0</v>
      </c>
      <c r="AT11" s="114">
        <f t="shared" ref="AT11:AT13" si="11">AU11-AR11-AS11</f>
        <v>9</v>
      </c>
      <c r="AU11" s="115">
        <v>23</v>
      </c>
      <c r="AV11" s="116"/>
    </row>
    <row r="12" spans="1:48" ht="39" customHeight="1" x14ac:dyDescent="0.25">
      <c r="A12" s="100">
        <f t="shared" si="4"/>
        <v>2</v>
      </c>
      <c r="B12" s="101" t="s">
        <v>348</v>
      </c>
      <c r="C12" s="379" t="s">
        <v>338</v>
      </c>
      <c r="D12" s="103" t="s">
        <v>349</v>
      </c>
      <c r="E12" s="104"/>
      <c r="F12" s="35" t="s">
        <v>377</v>
      </c>
      <c r="G12" s="105" t="s">
        <v>100</v>
      </c>
      <c r="H12" s="106" t="s">
        <v>73</v>
      </c>
      <c r="I12" s="106" t="s">
        <v>73</v>
      </c>
      <c r="J12" s="106" t="s">
        <v>73</v>
      </c>
      <c r="K12" s="106"/>
      <c r="L12" s="106"/>
      <c r="M12" s="106" t="s">
        <v>73</v>
      </c>
      <c r="N12" s="106" t="s">
        <v>73</v>
      </c>
      <c r="O12" s="106" t="s">
        <v>73</v>
      </c>
      <c r="P12" s="106" t="s">
        <v>73</v>
      </c>
      <c r="Q12" s="106" t="s">
        <v>73</v>
      </c>
      <c r="R12" s="106"/>
      <c r="S12" s="106"/>
      <c r="T12" s="106" t="s">
        <v>73</v>
      </c>
      <c r="U12" s="106" t="s">
        <v>73</v>
      </c>
      <c r="V12" s="106" t="s">
        <v>73</v>
      </c>
      <c r="W12" s="106" t="s">
        <v>73</v>
      </c>
      <c r="X12" s="106" t="s">
        <v>73</v>
      </c>
      <c r="Y12" s="106"/>
      <c r="Z12" s="106"/>
      <c r="AA12" s="106" t="s">
        <v>73</v>
      </c>
      <c r="AB12" s="106" t="s">
        <v>73</v>
      </c>
      <c r="AC12" s="106" t="s">
        <v>73</v>
      </c>
      <c r="AD12" s="106" t="s">
        <v>73</v>
      </c>
      <c r="AE12" s="106" t="s">
        <v>73</v>
      </c>
      <c r="AF12" s="106"/>
      <c r="AG12" s="106"/>
      <c r="AH12" s="106" t="s">
        <v>73</v>
      </c>
      <c r="AI12" s="106" t="s">
        <v>73</v>
      </c>
      <c r="AJ12" s="106" t="s">
        <v>73</v>
      </c>
      <c r="AK12" s="106" t="s">
        <v>73</v>
      </c>
      <c r="AL12" s="106" t="s">
        <v>73</v>
      </c>
      <c r="AM12" s="107">
        <f t="shared" si="5"/>
        <v>23</v>
      </c>
      <c r="AN12" s="108">
        <f t="shared" ref="AN12" si="12">IF(OR(G12="",G12="Đã nghỉ"),0,COUNTIF($H12:$AL12,"N1")/2++IF(AND(LEN(H12)&gt;2,OR(LEFT(H12,2)="N1",RIGHT(H12,2)="N1")),0.5)+IF(AND(LEN(I12)&gt;2,OR(LEFT(I12,2)="N1",RIGHT(I12,2)="N1")),0.5)+IF(AND(LEN(J12)&gt;2,OR(LEFT(J12,2)="N1",RIGHT(J12,2)="N1")),0.5)+IF(AND(LEN(K12)&gt;2,OR(LEFT(K12,2)="N1",RIGHT(K12,2)="N1")),0.5)+IF(AND(LEN(L12)&gt;2,OR(LEFT(L12,2)="N1",RIGHT(L12,2)="N1")),0.5)+IF(AND(LEN(M12)&gt;2,OR(LEFT(M12,2)="N1",RIGHT(M12,2)="N1")),0.5)+IF(AND(LEN(N12)&gt;2,OR(LEFT(N12,2)="N1",RIGHT(N12,2)="N1")),0.5)+IF(AND(LEN(O12)&gt;2,OR(LEFT(O12,2)="N1",RIGHT(O12,2)="N1")),0.5)+IF(AND(LEN(P12)&gt;2,OR(LEFT(P12,2)="N1",RIGHT(P12,2)="N1")),0.5)+IF(AND(LEN(Q12)&gt;2,OR(LEFT(Q12,2)="N1",RIGHT(Q12,2)="N1")),0.5)+IF(AND(LEN(R12)&gt;2,OR(LEFT(R12,2)="N1",RIGHT(R12,2)="N1")),0.5)+IF(AND(LEN(S12)&gt;2,OR(LEFT(S12,2)="N1",RIGHT(S12,2)="N1")),0.5)+IF(AND(LEN(T12)&gt;2,OR(LEFT(T12,2)="N1",RIGHT(T12,2)="N1")),0.5)+IF(AND(LEN(U12)&gt;2,OR(LEFT(U12,2)="N1",RIGHT(U12,2)="N1")),0.5)+IF(AND(LEN(V12)&gt;2,OR(LEFT(V12,2)="N1",RIGHT(V12,2)="N1")),0.5)+IF(AND(LEN(W12)&gt;2,OR(LEFT(W12,2)="N1",RIGHT(W12,2)="N1")),0.5)+IF(AND(LEN(X12)&gt;2,OR(LEFT(X12,2)="N1",RIGHT(X12,2)="N1")),0.5)+IF(AND(LEN(Y12)&gt;2,OR(LEFT(Y12,2)="N1",RIGHT(Y12,2)="N1")),0.5)+IF(AND(LEN(Z12)&gt;2,OR(LEFT(Z12,2)="N1",RIGHT(Z12,2)="N1")),0.5)+IF(AND(LEN(AA12)&gt;2,OR(LEFT(AA12,2)="N1",RIGHT(AA12,2)="N1")),0.5)+IF(AND(LEN(AB12)&gt;2,OR(LEFT(AB12,2)="N1",RIGHT(AB12,2)="N1")),0.5)+IF(AND(LEN(AC12)&gt;2,OR(LEFT(AC12,2)="N1",RIGHT(AC12,2)="N1")),0.5)+IF(AND(LEN(AD12)&gt;2,OR(LEFT(AD12,2)="N1",RIGHT(AD12,2)="N1")),0.5)+IF(AND(LEN(AE12)&gt;2,OR(LEFT(AE12,2)="N1",RIGHT(AE12,2)="N1")),0.5)+IF(AND(LEN(AF12)&gt;2,OR(LEFT(AF12,2)="N1",RIGHT(AF12,2)="N1")),0.5)+IF(AND(LEN(AG12)&gt;2,OR(LEFT(AG12,2)="N1",RIGHT(AG12,2)="N1")),0.5)+IF(AND(LEN(AH12)&gt;2,OR(LEFT(AH12,2)="N1",RIGHT(AH12,2)="N1")),0.5)+IF(AND(LEN(AI12)&gt;2,OR(LEFT(AI12,2)="N1",RIGHT(AI12,2)="N1")),0.5)+IF(AND(LEN(AJ12)&gt;2,OR(LEFT(AJ12,2)="N1",RIGHT(AJ12,2)="N1")),0.5)+IF(AND(LEN(AK12)&gt;2,OR(LEFT(AK12,2)="N1",RIGHT(AK12,2)="N1")),0.5)+IF(AND(LEN(AL12)&gt;2,OR(LEFT(AL12,2)="N1",RIGHT(AL12,2)="N1")),0.5))</f>
        <v>0</v>
      </c>
      <c r="AO12" s="109">
        <f t="shared" ref="AO12" si="13">COUNTIF(H12:AL12,"ON")+COUNTIF(H12:AL12,"ON/2")/2</f>
        <v>0</v>
      </c>
      <c r="AP12" s="110">
        <f t="shared" ref="AP12" si="14">IF(F12="","",COUNTIF($H12:$AL12,AP$8))+IF(F12="","",COUNTIF($H12:$AL12,$V$5)/2)</f>
        <v>0</v>
      </c>
      <c r="AQ12" s="111">
        <f t="shared" ref="AQ12:AQ19" si="15">COUNTIF($H12:$AL12,"P")+COUNTIF($H12:$AL12,"P1")/2+IF(AND(LEN(I12)&gt;2,OR(LEFT(I12,2)="P1",RIGHT(I12,2)="P1")),0.5)+IF(AND(LEN(J12)&gt;2,OR(LEFT(J12,2)="P1",RIGHT(J12,2)="P1")),0.5)+IF(AND(LEN(K12)&gt;2,OR(LEFT(K12,2)="P1",RIGHT(K12,2)="P1")),0.5)+IF(AND(LEN(L12)&gt;2,OR(LEFT(L12,2)="P1",RIGHT(L12,2)="P1")),0.5)+IF(AND(LEN(M12)&gt;2,OR(LEFT(M12,2)="P1",RIGHT(M12,2)="P1")),0.5)+IF(AND(LEN(N12)&gt;2,OR(LEFT(N12,2)="P1",RIGHT(N12,2)="P1")),0.5)+IF(AND(LEN(O12)&gt;2,OR(LEFT(O12,2)="P1",RIGHT(O12,2)="P1")),0.5)+IF(AND(LEN(P12)&gt;2,OR(LEFT(P12,2)="P1",RIGHT(P12,2)="P1")),0.5)+IF(AND(LEN(Q12)&gt;2,OR(LEFT(Q12,2)="P1",RIGHT(Q12,2)="P1")),0.5)+IF(AND(LEN(R12)&gt;2,OR(LEFT(R12,2)="P1",RIGHT(R12,2)="P1")),0.5)+IF(AND(LEN(S12)&gt;2,OR(LEFT(S12,2)="P1",RIGHT(S12,2)="P1")),0.5)+IF(AND(LEN(T12)&gt;2,OR(LEFT(T12,2)="P1",RIGHT(T12,2)="P1")),0.5)+IF(AND(LEN(U12)&gt;2,OR(LEFT(U12,2)="P1",RIGHT(U12,2)="P1")),0.5)+IF(AND(LEN(V12)&gt;2,OR(LEFT(V12,2)="P1",RIGHT(V12,2)="P1")),0.5)+IF(AND(LEN(W12)&gt;2,OR(LEFT(W12,2)="P1",RIGHT(W12,2)="P1")),0.5)+IF(AND(LEN(X12)&gt;2,OR(LEFT(X12,2)="P1",RIGHT(X12,2)="P1")),0.5)+IF(AND(LEN(Y12)&gt;2,OR(LEFT(Y12,2)="P1",RIGHT(Y12,2)="P1")),0.5)+IF(AND(LEN(Z12)&gt;2,OR(LEFT(Z12,2)="P1",RIGHT(Z12,2)="P1")),0.5)+IF(AND(LEN(AA12)&gt;2,OR(LEFT(AA12,2)="P1",RIGHT(AA12,2)="P1")),0.5)+IF(AND(LEN(AB12)&gt;2,OR(LEFT(AB12,2)="P1",RIGHT(AB12,2)="P1")),0.5)+IF(AND(LEN(AC12)&gt;2,OR(LEFT(AC12,2)="P1",RIGHT(AC12,2)="P1")),0.5)+IF(AND(LEN(AD12)&gt;2,OR(LEFT(AD12,2)="P1",RIGHT(AD12,2)="P1")),0.5)+IF(AND(LEN(AE12)&gt;2,OR(LEFT(AE356,2)="P1",RIGHT(AE12,2)="P1")),0.5)+IF(AND(LEN(AF12)&gt;2,OR(LEFT(AF12,2)="P1",RIGHT(AF12,2)="P1")),0.5)+IF(AND(LEN(AG12)&gt;2,OR(LEFT(AG12,2)="P1",RIGHT(AG12,2)="P1")),0.5)+IF(AND(LEN(AH12)&gt;2,OR(LEFT(AH12,2)="P1",RIGHT(AH12,2)="P1")),0.5)+IF(AND(LEN(AI12)&gt;2,OR(LEFT(AI12,2)="P1",RIGHT(AI12,2)="P1")),0.5)+IF(AND(LEN(AJ12)&gt;2,OR(LEFT(AJ12,2)="P1",RIGHT(AJ12,2)="P1")),0.5)+IF(AND(LEN(AK12)&gt;2,OR(LEFT(AK12,2)="P1",RIGHT(AK12,2)="P1")),0.5)+IF(AND(LEN(AL12)&gt;2,OR(LEFT(AL12,2)="P1",RIGHT(AL12,2)="P1")),0.5)</f>
        <v>0</v>
      </c>
      <c r="AR12" s="112">
        <f t="shared" si="9"/>
        <v>23</v>
      </c>
      <c r="AS12" s="113">
        <f t="shared" ref="AS12" si="16">IF(F12="","",COUNTIF($H12:$AL12,AS$8))++IF(F12="","",COUNTIF($H12:$AL12,"L1")/2)</f>
        <v>0</v>
      </c>
      <c r="AT12" s="114">
        <f t="shared" si="11"/>
        <v>0</v>
      </c>
      <c r="AU12" s="115">
        <v>23</v>
      </c>
      <c r="AV12" s="116"/>
    </row>
    <row r="13" spans="1:48" ht="39" customHeight="1" x14ac:dyDescent="0.25">
      <c r="A13" s="100">
        <f t="shared" si="4"/>
        <v>3</v>
      </c>
      <c r="B13" s="101" t="s">
        <v>335</v>
      </c>
      <c r="C13" s="379" t="s">
        <v>338</v>
      </c>
      <c r="D13" s="103" t="s">
        <v>336</v>
      </c>
      <c r="E13" s="104"/>
      <c r="F13" s="35" t="s">
        <v>337</v>
      </c>
      <c r="G13" s="105" t="s">
        <v>100</v>
      </c>
      <c r="H13" s="106" t="s">
        <v>73</v>
      </c>
      <c r="I13" s="106" t="s">
        <v>74</v>
      </c>
      <c r="J13" s="106" t="s">
        <v>73</v>
      </c>
      <c r="K13" s="106"/>
      <c r="L13" s="106"/>
      <c r="M13" s="106" t="s">
        <v>73</v>
      </c>
      <c r="N13" s="106" t="s">
        <v>73</v>
      </c>
      <c r="O13" s="106" t="s">
        <v>73</v>
      </c>
      <c r="P13" s="106" t="s">
        <v>73</v>
      </c>
      <c r="Q13" s="106" t="s">
        <v>73</v>
      </c>
      <c r="R13" s="106"/>
      <c r="S13" s="106"/>
      <c r="T13" s="106" t="s">
        <v>73</v>
      </c>
      <c r="U13" s="106" t="s">
        <v>73</v>
      </c>
      <c r="V13" s="106" t="s">
        <v>73</v>
      </c>
      <c r="W13" s="106" t="s">
        <v>77</v>
      </c>
      <c r="X13" s="106" t="s">
        <v>83</v>
      </c>
      <c r="Y13" s="106"/>
      <c r="Z13" s="106"/>
      <c r="AA13" s="106" t="s">
        <v>73</v>
      </c>
      <c r="AB13" s="106" t="s">
        <v>73</v>
      </c>
      <c r="AC13" s="106" t="s">
        <v>83</v>
      </c>
      <c r="AD13" s="106" t="s">
        <v>73</v>
      </c>
      <c r="AE13" s="106" t="s">
        <v>73</v>
      </c>
      <c r="AF13" s="106"/>
      <c r="AG13" s="106"/>
      <c r="AH13" s="106" t="s">
        <v>73</v>
      </c>
      <c r="AI13" s="106" t="s">
        <v>73</v>
      </c>
      <c r="AJ13" s="106" t="s">
        <v>73</v>
      </c>
      <c r="AK13" s="106" t="s">
        <v>73</v>
      </c>
      <c r="AL13" s="106" t="s">
        <v>73</v>
      </c>
      <c r="AM13" s="107">
        <f t="shared" ref="AM13" si="17">IF(F13="","",COUNTIF($H13:$AL13,AM$8))</f>
        <v>19</v>
      </c>
      <c r="AN13" s="108">
        <f t="shared" ref="AN13" si="18">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0.5</v>
      </c>
      <c r="AO13" s="109">
        <f t="shared" ref="AO13" si="19">COUNTIF(H13:AL13,"ON")+COUNTIF(H13:AL13,"ON/2")/2</f>
        <v>0</v>
      </c>
      <c r="AP13" s="110">
        <f t="shared" ref="AP13" si="20">IF(F13="","",COUNTIF($H13:$AL13,AP$8))+IF(F13="","",COUNTIF($H13:$AL13,$V$5)/2)</f>
        <v>0</v>
      </c>
      <c r="AQ13" s="111">
        <f t="shared" si="15"/>
        <v>1</v>
      </c>
      <c r="AR13" s="112">
        <f t="shared" ref="AR13" si="21">IF(G13="","",AM13+AN13+AP13+AQ13)</f>
        <v>20.5</v>
      </c>
      <c r="AS13" s="113">
        <f t="shared" ref="AS13" si="22">IF(F13="","",COUNTIF($H13:$AL13,AS$8))++IF(F13="","",COUNTIF($H13:$AL13,"L1")/2)</f>
        <v>0</v>
      </c>
      <c r="AT13" s="114">
        <f t="shared" si="11"/>
        <v>2.5</v>
      </c>
      <c r="AU13" s="115">
        <v>23</v>
      </c>
      <c r="AV13" s="116"/>
    </row>
    <row r="14" spans="1:48" ht="39" customHeight="1" x14ac:dyDescent="0.25">
      <c r="A14" s="100">
        <f t="shared" si="4"/>
        <v>4</v>
      </c>
      <c r="B14" s="101" t="s">
        <v>353</v>
      </c>
      <c r="C14" s="379" t="s">
        <v>320</v>
      </c>
      <c r="D14" s="103" t="s">
        <v>352</v>
      </c>
      <c r="E14" s="104"/>
      <c r="F14" s="35" t="s">
        <v>354</v>
      </c>
      <c r="G14" s="105" t="s">
        <v>100</v>
      </c>
      <c r="H14" s="106" t="s">
        <v>73</v>
      </c>
      <c r="I14" s="106" t="s">
        <v>73</v>
      </c>
      <c r="J14" s="106" t="s">
        <v>73</v>
      </c>
      <c r="K14" s="106"/>
      <c r="L14" s="106"/>
      <c r="M14" s="106" t="s">
        <v>73</v>
      </c>
      <c r="N14" s="106" t="s">
        <v>73</v>
      </c>
      <c r="O14" s="106" t="s">
        <v>73</v>
      </c>
      <c r="P14" s="106" t="s">
        <v>73</v>
      </c>
      <c r="Q14" s="106" t="s">
        <v>73</v>
      </c>
      <c r="R14" s="106"/>
      <c r="S14" s="106"/>
      <c r="T14" s="106" t="s">
        <v>73</v>
      </c>
      <c r="U14" s="106" t="s">
        <v>73</v>
      </c>
      <c r="V14" s="106" t="s">
        <v>73</v>
      </c>
      <c r="W14" s="106" t="s">
        <v>73</v>
      </c>
      <c r="X14" s="106" t="s">
        <v>73</v>
      </c>
      <c r="Y14" s="106"/>
      <c r="Z14" s="106"/>
      <c r="AA14" s="106" t="s">
        <v>73</v>
      </c>
      <c r="AB14" s="106" t="s">
        <v>73</v>
      </c>
      <c r="AC14" s="106" t="s">
        <v>73</v>
      </c>
      <c r="AD14" s="106" t="s">
        <v>73</v>
      </c>
      <c r="AE14" s="106" t="s">
        <v>73</v>
      </c>
      <c r="AF14" s="106"/>
      <c r="AG14" s="106"/>
      <c r="AH14" s="106" t="s">
        <v>73</v>
      </c>
      <c r="AI14" s="106" t="s">
        <v>73</v>
      </c>
      <c r="AJ14" s="106" t="s">
        <v>73</v>
      </c>
      <c r="AK14" s="106" t="s">
        <v>73</v>
      </c>
      <c r="AL14" s="106" t="s">
        <v>73</v>
      </c>
      <c r="AM14" s="107">
        <f t="shared" ref="AM14" si="23">IF(F14="","",COUNTIF($H14:$AL14,AM$8))</f>
        <v>23</v>
      </c>
      <c r="AN14" s="108">
        <f t="shared" ref="AN14" si="24">IF(OR(G14="",G14="Đã nghỉ"),0,COUNTIF($H14:$AL14,"N1")/2++IF(AND(LEN(H14)&gt;2,OR(LEFT(H14,2)="N1",RIGHT(H14,2)="N1")),0.5)+IF(AND(LEN(I14)&gt;2,OR(LEFT(I14,2)="N1",RIGHT(I14,2)="N1")),0.5)+IF(AND(LEN(J14)&gt;2,OR(LEFT(J14,2)="N1",RIGHT(J14,2)="N1")),0.5)+IF(AND(LEN(K14)&gt;2,OR(LEFT(K14,2)="N1",RIGHT(K14,2)="N1")),0.5)+IF(AND(LEN(L14)&gt;2,OR(LEFT(L14,2)="N1",RIGHT(L14,2)="N1")),0.5)+IF(AND(LEN(M14)&gt;2,OR(LEFT(M14,2)="N1",RIGHT(M14,2)="N1")),0.5)+IF(AND(LEN(N14)&gt;2,OR(LEFT(N14,2)="N1",RIGHT(N14,2)="N1")),0.5)+IF(AND(LEN(O14)&gt;2,OR(LEFT(O14,2)="N1",RIGHT(O14,2)="N1")),0.5)+IF(AND(LEN(P14)&gt;2,OR(LEFT(P14,2)="N1",RIGHT(P14,2)="N1")),0.5)+IF(AND(LEN(Q14)&gt;2,OR(LEFT(Q14,2)="N1",RIGHT(Q14,2)="N1")),0.5)+IF(AND(LEN(R14)&gt;2,OR(LEFT(R14,2)="N1",RIGHT(R14,2)="N1")),0.5)+IF(AND(LEN(S14)&gt;2,OR(LEFT(S14,2)="N1",RIGHT(S14,2)="N1")),0.5)+IF(AND(LEN(T14)&gt;2,OR(LEFT(T14,2)="N1",RIGHT(T14,2)="N1")),0.5)+IF(AND(LEN(U14)&gt;2,OR(LEFT(U14,2)="N1",RIGHT(U14,2)="N1")),0.5)+IF(AND(LEN(V14)&gt;2,OR(LEFT(V14,2)="N1",RIGHT(V14,2)="N1")),0.5)+IF(AND(LEN(W14)&gt;2,OR(LEFT(W14,2)="N1",RIGHT(W14,2)="N1")),0.5)+IF(AND(LEN(X14)&gt;2,OR(LEFT(X14,2)="N1",RIGHT(X14,2)="N1")),0.5)+IF(AND(LEN(Y14)&gt;2,OR(LEFT(Y14,2)="N1",RIGHT(Y14,2)="N1")),0.5)+IF(AND(LEN(Z14)&gt;2,OR(LEFT(Z14,2)="N1",RIGHT(Z14,2)="N1")),0.5)+IF(AND(LEN(AA14)&gt;2,OR(LEFT(AA14,2)="N1",RIGHT(AA14,2)="N1")),0.5)+IF(AND(LEN(AB14)&gt;2,OR(LEFT(AB14,2)="N1",RIGHT(AB14,2)="N1")),0.5)+IF(AND(LEN(AC14)&gt;2,OR(LEFT(AC14,2)="N1",RIGHT(AC14,2)="N1")),0.5)+IF(AND(LEN(AD14)&gt;2,OR(LEFT(AD14,2)="N1",RIGHT(AD14,2)="N1")),0.5)+IF(AND(LEN(AE14)&gt;2,OR(LEFT(AE14,2)="N1",RIGHT(AE14,2)="N1")),0.5)+IF(AND(LEN(AF14)&gt;2,OR(LEFT(AF14,2)="N1",RIGHT(AF14,2)="N1")),0.5)+IF(AND(LEN(AG14)&gt;2,OR(LEFT(AG14,2)="N1",RIGHT(AG14,2)="N1")),0.5)+IF(AND(LEN(AH14)&gt;2,OR(LEFT(AH14,2)="N1",RIGHT(AH14,2)="N1")),0.5)+IF(AND(LEN(AI14)&gt;2,OR(LEFT(AI14,2)="N1",RIGHT(AI14,2)="N1")),0.5)+IF(AND(LEN(AJ14)&gt;2,OR(LEFT(AJ14,2)="N1",RIGHT(AJ14,2)="N1")),0.5)+IF(AND(LEN(AK14)&gt;2,OR(LEFT(AK14,2)="N1",RIGHT(AK14,2)="N1")),0.5)+IF(AND(LEN(AL14)&gt;2,OR(LEFT(AL14,2)="N1",RIGHT(AL14,2)="N1")),0.5))</f>
        <v>0</v>
      </c>
      <c r="AO14" s="109">
        <f t="shared" ref="AO14" si="25">COUNTIF(H14:AL14,"ON")+COUNTIF(H14:AL14,"ON/2")/2</f>
        <v>0</v>
      </c>
      <c r="AP14" s="110">
        <f t="shared" ref="AP14" si="26">IF(F14="","",COUNTIF($H14:$AL14,AP$8))+IF(F14="","",COUNTIF($H14:$AL14,$V$5)/2)</f>
        <v>0</v>
      </c>
      <c r="AQ14" s="111">
        <f t="shared" si="15"/>
        <v>0</v>
      </c>
      <c r="AR14" s="112">
        <f t="shared" ref="AR14" si="27">IF(G14="","",AM14+AN14+AP14+AQ14)</f>
        <v>23</v>
      </c>
      <c r="AS14" s="113">
        <f t="shared" ref="AS14" si="28">IF(F14="","",COUNTIF($H14:$AL14,AS$8))++IF(F14="","",COUNTIF($H14:$AL14,"L1")/2)</f>
        <v>0</v>
      </c>
      <c r="AT14" s="114">
        <f t="shared" ref="AT14" si="29">AU14-AR14-AS14</f>
        <v>0</v>
      </c>
      <c r="AU14" s="115">
        <v>23</v>
      </c>
      <c r="AV14" s="116"/>
    </row>
    <row r="15" spans="1:48" ht="39" customHeight="1" x14ac:dyDescent="0.25">
      <c r="A15" s="100">
        <f t="shared" si="4"/>
        <v>5</v>
      </c>
      <c r="B15" s="101" t="s">
        <v>339</v>
      </c>
      <c r="C15" s="379" t="s">
        <v>320</v>
      </c>
      <c r="D15" s="103" t="s">
        <v>343</v>
      </c>
      <c r="E15" s="104"/>
      <c r="F15" s="35" t="s">
        <v>340</v>
      </c>
      <c r="G15" s="105" t="s">
        <v>100</v>
      </c>
      <c r="H15" s="106" t="s">
        <v>73</v>
      </c>
      <c r="I15" s="106" t="s">
        <v>73</v>
      </c>
      <c r="J15" s="106" t="s">
        <v>73</v>
      </c>
      <c r="K15" s="106"/>
      <c r="L15" s="106"/>
      <c r="M15" s="106" t="s">
        <v>73</v>
      </c>
      <c r="N15" s="106" t="s">
        <v>73</v>
      </c>
      <c r="O15" s="106" t="s">
        <v>73</v>
      </c>
      <c r="P15" s="106" t="s">
        <v>73</v>
      </c>
      <c r="Q15" s="106" t="s">
        <v>73</v>
      </c>
      <c r="R15" s="106"/>
      <c r="S15" s="106"/>
      <c r="T15" s="106" t="s">
        <v>73</v>
      </c>
      <c r="U15" s="106" t="s">
        <v>73</v>
      </c>
      <c r="V15" s="106" t="s">
        <v>73</v>
      </c>
      <c r="W15" s="106" t="s">
        <v>73</v>
      </c>
      <c r="X15" s="106" t="s">
        <v>73</v>
      </c>
      <c r="Y15" s="106"/>
      <c r="Z15" s="106"/>
      <c r="AA15" s="106" t="s">
        <v>73</v>
      </c>
      <c r="AB15" s="106" t="s">
        <v>73</v>
      </c>
      <c r="AC15" s="106" t="s">
        <v>73</v>
      </c>
      <c r="AD15" s="106" t="s">
        <v>73</v>
      </c>
      <c r="AE15" s="106" t="s">
        <v>73</v>
      </c>
      <c r="AF15" s="106"/>
      <c r="AG15" s="106"/>
      <c r="AH15" s="106" t="s">
        <v>73</v>
      </c>
      <c r="AI15" s="106" t="s">
        <v>73</v>
      </c>
      <c r="AJ15" s="106" t="s">
        <v>73</v>
      </c>
      <c r="AK15" s="106" t="s">
        <v>73</v>
      </c>
      <c r="AL15" s="106" t="s">
        <v>73</v>
      </c>
      <c r="AM15" s="107">
        <f t="shared" si="5"/>
        <v>23</v>
      </c>
      <c r="AN15" s="108">
        <f t="shared" ref="AN15" si="30">IF(OR(G15="",G15="Đã nghỉ"),0,COUNTIF($H15:$AL15,"N1")/2++IF(AND(LEN(H15)&gt;2,OR(LEFT(H15,2)="N1",RIGHT(H15,2)="N1")),0.5)+IF(AND(LEN(I15)&gt;2,OR(LEFT(I15,2)="N1",RIGHT(I15,2)="N1")),0.5)+IF(AND(LEN(J15)&gt;2,OR(LEFT(J15,2)="N1",RIGHT(J15,2)="N1")),0.5)+IF(AND(LEN(K15)&gt;2,OR(LEFT(K15,2)="N1",RIGHT(K15,2)="N1")),0.5)+IF(AND(LEN(L15)&gt;2,OR(LEFT(L15,2)="N1",RIGHT(L15,2)="N1")),0.5)+IF(AND(LEN(M15)&gt;2,OR(LEFT(M15,2)="N1",RIGHT(M15,2)="N1")),0.5)+IF(AND(LEN(N15)&gt;2,OR(LEFT(N15,2)="N1",RIGHT(N15,2)="N1")),0.5)+IF(AND(LEN(O15)&gt;2,OR(LEFT(O15,2)="N1",RIGHT(O15,2)="N1")),0.5)+IF(AND(LEN(P15)&gt;2,OR(LEFT(P15,2)="N1",RIGHT(P15,2)="N1")),0.5)+IF(AND(LEN(Q15)&gt;2,OR(LEFT(Q15,2)="N1",RIGHT(Q15,2)="N1")),0.5)+IF(AND(LEN(R15)&gt;2,OR(LEFT(R15,2)="N1",RIGHT(R15,2)="N1")),0.5)+IF(AND(LEN(S15)&gt;2,OR(LEFT(S15,2)="N1",RIGHT(S15,2)="N1")),0.5)+IF(AND(LEN(T15)&gt;2,OR(LEFT(T15,2)="N1",RIGHT(T15,2)="N1")),0.5)+IF(AND(LEN(U15)&gt;2,OR(LEFT(U15,2)="N1",RIGHT(U15,2)="N1")),0.5)+IF(AND(LEN(V15)&gt;2,OR(LEFT(V15,2)="N1",RIGHT(V15,2)="N1")),0.5)+IF(AND(LEN(W15)&gt;2,OR(LEFT(W15,2)="N1",RIGHT(W15,2)="N1")),0.5)+IF(AND(LEN(X15)&gt;2,OR(LEFT(X15,2)="N1",RIGHT(X15,2)="N1")),0.5)+IF(AND(LEN(Y15)&gt;2,OR(LEFT(Y15,2)="N1",RIGHT(Y15,2)="N1")),0.5)+IF(AND(LEN(Z15)&gt;2,OR(LEFT(Z15,2)="N1",RIGHT(Z15,2)="N1")),0.5)+IF(AND(LEN(AA15)&gt;2,OR(LEFT(AA15,2)="N1",RIGHT(AA15,2)="N1")),0.5)+IF(AND(LEN(AB15)&gt;2,OR(LEFT(AB15,2)="N1",RIGHT(AB15,2)="N1")),0.5)+IF(AND(LEN(AC15)&gt;2,OR(LEFT(AC15,2)="N1",RIGHT(AC15,2)="N1")),0.5)+IF(AND(LEN(AD15)&gt;2,OR(LEFT(AD15,2)="N1",RIGHT(AD15,2)="N1")),0.5)+IF(AND(LEN(AE15)&gt;2,OR(LEFT(AE15,2)="N1",RIGHT(AE15,2)="N1")),0.5)+IF(AND(LEN(AF15)&gt;2,OR(LEFT(AF15,2)="N1",RIGHT(AF15,2)="N1")),0.5)+IF(AND(LEN(AG15)&gt;2,OR(LEFT(AG15,2)="N1",RIGHT(AG15,2)="N1")),0.5)+IF(AND(LEN(AH15)&gt;2,OR(LEFT(AH15,2)="N1",RIGHT(AH15,2)="N1")),0.5)+IF(AND(LEN(AI15)&gt;2,OR(LEFT(AI15,2)="N1",RIGHT(AI15,2)="N1")),0.5)+IF(AND(LEN(AJ15)&gt;2,OR(LEFT(AJ15,2)="N1",RIGHT(AJ15,2)="N1")),0.5)+IF(AND(LEN(AK15)&gt;2,OR(LEFT(AK15,2)="N1",RIGHT(AK15,2)="N1")),0.5)+IF(AND(LEN(AL15)&gt;2,OR(LEFT(AL15,2)="N1",RIGHT(AL15,2)="N1")),0.5))</f>
        <v>0</v>
      </c>
      <c r="AO15" s="109">
        <f t="shared" ref="AO15" si="31">COUNTIF(H15:AL15,"ON")+COUNTIF(H15:AL15,"ON/2")/2</f>
        <v>0</v>
      </c>
      <c r="AP15" s="110">
        <f t="shared" ref="AP15" si="32">IF(F15="","",COUNTIF($H15:$AL15,AP$8))+IF(F15="","",COUNTIF($H15:$AL15,$V$5)/2)</f>
        <v>0</v>
      </c>
      <c r="AQ15" s="111">
        <f t="shared" si="15"/>
        <v>0</v>
      </c>
      <c r="AR15" s="112">
        <f t="shared" ref="AR15" si="33">IF(G15="","",AM15+AN15+AP15+AQ15)</f>
        <v>23</v>
      </c>
      <c r="AS15" s="113">
        <f t="shared" ref="AS15" si="34">IF(F15="","",COUNTIF($H15:$AL15,AS$8))++IF(F15="","",COUNTIF($H15:$AL15,"L1")/2)</f>
        <v>0</v>
      </c>
      <c r="AT15" s="114">
        <f t="shared" ref="AT15" si="35">AU15-AR15-AS15</f>
        <v>0</v>
      </c>
      <c r="AU15" s="115">
        <v>23</v>
      </c>
      <c r="AV15" s="116"/>
    </row>
    <row r="16" spans="1:48" ht="39" customHeight="1" x14ac:dyDescent="0.25">
      <c r="A16" s="100">
        <f t="shared" si="4"/>
        <v>6</v>
      </c>
      <c r="B16" s="101" t="s">
        <v>362</v>
      </c>
      <c r="C16" s="379" t="s">
        <v>338</v>
      </c>
      <c r="D16" s="103" t="s">
        <v>349</v>
      </c>
      <c r="E16" s="104"/>
      <c r="F16" s="35" t="s">
        <v>361</v>
      </c>
      <c r="G16" s="105" t="s">
        <v>100</v>
      </c>
      <c r="H16" s="106" t="s">
        <v>73</v>
      </c>
      <c r="I16" s="106" t="s">
        <v>73</v>
      </c>
      <c r="J16" s="106" t="s">
        <v>73</v>
      </c>
      <c r="K16" s="106"/>
      <c r="L16" s="106"/>
      <c r="M16" s="106" t="s">
        <v>73</v>
      </c>
      <c r="N16" s="106" t="s">
        <v>73</v>
      </c>
      <c r="O16" s="106" t="s">
        <v>73</v>
      </c>
      <c r="P16" s="106" t="s">
        <v>73</v>
      </c>
      <c r="Q16" s="106" t="s">
        <v>73</v>
      </c>
      <c r="R16" s="106"/>
      <c r="S16" s="106"/>
      <c r="T16" s="106" t="s">
        <v>73</v>
      </c>
      <c r="U16" s="106" t="s">
        <v>73</v>
      </c>
      <c r="V16" s="106" t="s">
        <v>73</v>
      </c>
      <c r="W16" s="106" t="s">
        <v>73</v>
      </c>
      <c r="X16" s="106" t="s">
        <v>73</v>
      </c>
      <c r="Y16" s="106"/>
      <c r="Z16" s="106"/>
      <c r="AA16" s="106" t="s">
        <v>73</v>
      </c>
      <c r="AB16" s="106" t="s">
        <v>73</v>
      </c>
      <c r="AC16" s="106" t="s">
        <v>73</v>
      </c>
      <c r="AD16" s="106" t="s">
        <v>73</v>
      </c>
      <c r="AE16" s="106" t="s">
        <v>73</v>
      </c>
      <c r="AF16" s="106"/>
      <c r="AG16" s="106"/>
      <c r="AH16" s="106" t="s">
        <v>73</v>
      </c>
      <c r="AI16" s="106" t="s">
        <v>73</v>
      </c>
      <c r="AJ16" s="106" t="s">
        <v>73</v>
      </c>
      <c r="AK16" s="106" t="s">
        <v>73</v>
      </c>
      <c r="AL16" s="106" t="s">
        <v>73</v>
      </c>
      <c r="AM16" s="107">
        <f t="shared" ref="AM16" si="36">IF(F16="","",COUNTIF($H16:$AL16,AM$8))</f>
        <v>23</v>
      </c>
      <c r="AN16" s="108">
        <f t="shared" ref="AN16" si="37">IF(OR(G16="",G16="Đã nghỉ"),0,COUNTIF($H16:$AL16,"N1")/2++IF(AND(LEN(H16)&gt;2,OR(LEFT(H16,2)="N1",RIGHT(H16,2)="N1")),0.5)+IF(AND(LEN(I16)&gt;2,OR(LEFT(I16,2)="N1",RIGHT(I16,2)="N1")),0.5)+IF(AND(LEN(J16)&gt;2,OR(LEFT(J16,2)="N1",RIGHT(J16,2)="N1")),0.5)+IF(AND(LEN(K16)&gt;2,OR(LEFT(K16,2)="N1",RIGHT(K16,2)="N1")),0.5)+IF(AND(LEN(L16)&gt;2,OR(LEFT(L16,2)="N1",RIGHT(L16,2)="N1")),0.5)+IF(AND(LEN(M16)&gt;2,OR(LEFT(M16,2)="N1",RIGHT(M16,2)="N1")),0.5)+IF(AND(LEN(N16)&gt;2,OR(LEFT(N16,2)="N1",RIGHT(N16,2)="N1")),0.5)+IF(AND(LEN(O16)&gt;2,OR(LEFT(O16,2)="N1",RIGHT(O16,2)="N1")),0.5)+IF(AND(LEN(P16)&gt;2,OR(LEFT(P16,2)="N1",RIGHT(P16,2)="N1")),0.5)+IF(AND(LEN(Q16)&gt;2,OR(LEFT(Q16,2)="N1",RIGHT(Q16,2)="N1")),0.5)+IF(AND(LEN(R16)&gt;2,OR(LEFT(R16,2)="N1",RIGHT(R16,2)="N1")),0.5)+IF(AND(LEN(S16)&gt;2,OR(LEFT(S16,2)="N1",RIGHT(S16,2)="N1")),0.5)+IF(AND(LEN(T16)&gt;2,OR(LEFT(T16,2)="N1",RIGHT(T16,2)="N1")),0.5)+IF(AND(LEN(U16)&gt;2,OR(LEFT(U16,2)="N1",RIGHT(U16,2)="N1")),0.5)+IF(AND(LEN(V16)&gt;2,OR(LEFT(V16,2)="N1",RIGHT(V16,2)="N1")),0.5)+IF(AND(LEN(W16)&gt;2,OR(LEFT(W16,2)="N1",RIGHT(W16,2)="N1")),0.5)+IF(AND(LEN(X16)&gt;2,OR(LEFT(X16,2)="N1",RIGHT(X16,2)="N1")),0.5)+IF(AND(LEN(Y16)&gt;2,OR(LEFT(Y16,2)="N1",RIGHT(Y16,2)="N1")),0.5)+IF(AND(LEN(Z16)&gt;2,OR(LEFT(Z16,2)="N1",RIGHT(Z16,2)="N1")),0.5)+IF(AND(LEN(AA16)&gt;2,OR(LEFT(AA16,2)="N1",RIGHT(AA16,2)="N1")),0.5)+IF(AND(LEN(AB16)&gt;2,OR(LEFT(AB16,2)="N1",RIGHT(AB16,2)="N1")),0.5)+IF(AND(LEN(AC16)&gt;2,OR(LEFT(AC16,2)="N1",RIGHT(AC16,2)="N1")),0.5)+IF(AND(LEN(AD16)&gt;2,OR(LEFT(AD16,2)="N1",RIGHT(AD16,2)="N1")),0.5)+IF(AND(LEN(AE16)&gt;2,OR(LEFT(AE16,2)="N1",RIGHT(AE16,2)="N1")),0.5)+IF(AND(LEN(AF16)&gt;2,OR(LEFT(AF16,2)="N1",RIGHT(AF16,2)="N1")),0.5)+IF(AND(LEN(AG16)&gt;2,OR(LEFT(AG16,2)="N1",RIGHT(AG16,2)="N1")),0.5)+IF(AND(LEN(AH16)&gt;2,OR(LEFT(AH16,2)="N1",RIGHT(AH16,2)="N1")),0.5)+IF(AND(LEN(AI16)&gt;2,OR(LEFT(AI16,2)="N1",RIGHT(AI16,2)="N1")),0.5)+IF(AND(LEN(AJ16)&gt;2,OR(LEFT(AJ16,2)="N1",RIGHT(AJ16,2)="N1")),0.5)+IF(AND(LEN(AK16)&gt;2,OR(LEFT(AK16,2)="N1",RIGHT(AK16,2)="N1")),0.5)+IF(AND(LEN(AL16)&gt;2,OR(LEFT(AL16,2)="N1",RIGHT(AL16,2)="N1")),0.5))</f>
        <v>0</v>
      </c>
      <c r="AO16" s="109">
        <f t="shared" ref="AO16" si="38">COUNTIF(H16:AL16,"ON")+COUNTIF(H16:AL16,"ON/2")/2</f>
        <v>0</v>
      </c>
      <c r="AP16" s="110">
        <f t="shared" ref="AP16" si="39">IF(F16="","",COUNTIF($H16:$AL16,AP$8))+IF(F16="","",COUNTIF($H16:$AL16,$V$5)/2)</f>
        <v>0</v>
      </c>
      <c r="AQ16" s="111">
        <f t="shared" si="15"/>
        <v>0</v>
      </c>
      <c r="AR16" s="112">
        <f t="shared" ref="AR16" si="40">IF(G16="","",AM16+AN16+AP16+AQ16)</f>
        <v>23</v>
      </c>
      <c r="AS16" s="113">
        <f t="shared" ref="AS16" si="41">IF(F16="","",COUNTIF($H16:$AL16,AS$8))++IF(F16="","",COUNTIF($H16:$AL16,"L1")/2)</f>
        <v>0</v>
      </c>
      <c r="AT16" s="114">
        <f t="shared" ref="AT16" si="42">AU16-AR16-AS16</f>
        <v>0</v>
      </c>
      <c r="AU16" s="115">
        <v>23</v>
      </c>
      <c r="AV16" s="116"/>
    </row>
    <row r="17" spans="1:48" ht="39" customHeight="1" x14ac:dyDescent="0.25">
      <c r="A17" s="100">
        <f t="shared" si="4"/>
        <v>7</v>
      </c>
      <c r="B17" s="101" t="s">
        <v>364</v>
      </c>
      <c r="C17" s="379" t="s">
        <v>319</v>
      </c>
      <c r="D17" s="103" t="s">
        <v>363</v>
      </c>
      <c r="E17" s="104"/>
      <c r="F17" s="35" t="s">
        <v>365</v>
      </c>
      <c r="G17" s="105" t="s">
        <v>100</v>
      </c>
      <c r="H17" s="106" t="s">
        <v>73</v>
      </c>
      <c r="I17" s="106" t="s">
        <v>73</v>
      </c>
      <c r="J17" s="106" t="s">
        <v>73</v>
      </c>
      <c r="K17" s="106"/>
      <c r="L17" s="106"/>
      <c r="M17" s="106" t="s">
        <v>73</v>
      </c>
      <c r="N17" s="106" t="s">
        <v>73</v>
      </c>
      <c r="O17" s="106" t="s">
        <v>73</v>
      </c>
      <c r="P17" s="106" t="s">
        <v>73</v>
      </c>
      <c r="Q17" s="106" t="s">
        <v>73</v>
      </c>
      <c r="R17" s="106"/>
      <c r="S17" s="106"/>
      <c r="T17" s="106" t="s">
        <v>73</v>
      </c>
      <c r="U17" s="106" t="s">
        <v>73</v>
      </c>
      <c r="V17" s="106" t="s">
        <v>73</v>
      </c>
      <c r="W17" s="106" t="s">
        <v>73</v>
      </c>
      <c r="X17" s="106" t="s">
        <v>73</v>
      </c>
      <c r="Y17" s="106"/>
      <c r="Z17" s="106"/>
      <c r="AA17" s="106" t="s">
        <v>73</v>
      </c>
      <c r="AB17" s="106" t="s">
        <v>73</v>
      </c>
      <c r="AC17" s="106" t="s">
        <v>73</v>
      </c>
      <c r="AD17" s="106" t="s">
        <v>73</v>
      </c>
      <c r="AE17" s="106" t="s">
        <v>73</v>
      </c>
      <c r="AF17" s="106"/>
      <c r="AG17" s="106"/>
      <c r="AH17" s="106" t="s">
        <v>73</v>
      </c>
      <c r="AI17" s="106" t="s">
        <v>73</v>
      </c>
      <c r="AJ17" s="106" t="s">
        <v>73</v>
      </c>
      <c r="AK17" s="106" t="s">
        <v>73</v>
      </c>
      <c r="AL17" s="106" t="s">
        <v>73</v>
      </c>
      <c r="AM17" s="107">
        <f t="shared" ref="AM17:AM19" si="43">IF(F17="","",COUNTIF($H17:$AL17,AM$8))</f>
        <v>23</v>
      </c>
      <c r="AN17" s="108">
        <f t="shared" ref="AN17:AN19" si="44">IF(OR(G17="",G17="Đã nghỉ"),0,COUNTIF($H17:$AL17,"N1")/2++IF(AND(LEN(H17)&gt;2,OR(LEFT(H17,2)="N1",RIGHT(H17,2)="N1")),0.5)+IF(AND(LEN(I17)&gt;2,OR(LEFT(I17,2)="N1",RIGHT(I17,2)="N1")),0.5)+IF(AND(LEN(J17)&gt;2,OR(LEFT(J17,2)="N1",RIGHT(J17,2)="N1")),0.5)+IF(AND(LEN(K17)&gt;2,OR(LEFT(K17,2)="N1",RIGHT(K17,2)="N1")),0.5)+IF(AND(LEN(L17)&gt;2,OR(LEFT(L17,2)="N1",RIGHT(L17,2)="N1")),0.5)+IF(AND(LEN(M17)&gt;2,OR(LEFT(M17,2)="N1",RIGHT(M17,2)="N1")),0.5)+IF(AND(LEN(N17)&gt;2,OR(LEFT(N17,2)="N1",RIGHT(N17,2)="N1")),0.5)+IF(AND(LEN(O17)&gt;2,OR(LEFT(O17,2)="N1",RIGHT(O17,2)="N1")),0.5)+IF(AND(LEN(P17)&gt;2,OR(LEFT(P17,2)="N1",RIGHT(P17,2)="N1")),0.5)+IF(AND(LEN(Q17)&gt;2,OR(LEFT(Q17,2)="N1",RIGHT(Q17,2)="N1")),0.5)+IF(AND(LEN(R17)&gt;2,OR(LEFT(R17,2)="N1",RIGHT(R17,2)="N1")),0.5)+IF(AND(LEN(S17)&gt;2,OR(LEFT(S17,2)="N1",RIGHT(S17,2)="N1")),0.5)+IF(AND(LEN(T17)&gt;2,OR(LEFT(T17,2)="N1",RIGHT(T17,2)="N1")),0.5)+IF(AND(LEN(U17)&gt;2,OR(LEFT(U17,2)="N1",RIGHT(U17,2)="N1")),0.5)+IF(AND(LEN(V17)&gt;2,OR(LEFT(V17,2)="N1",RIGHT(V17,2)="N1")),0.5)+IF(AND(LEN(W17)&gt;2,OR(LEFT(W17,2)="N1",RIGHT(W17,2)="N1")),0.5)+IF(AND(LEN(X17)&gt;2,OR(LEFT(X17,2)="N1",RIGHT(X17,2)="N1")),0.5)+IF(AND(LEN(Y17)&gt;2,OR(LEFT(Y17,2)="N1",RIGHT(Y17,2)="N1")),0.5)+IF(AND(LEN(Z17)&gt;2,OR(LEFT(Z17,2)="N1",RIGHT(Z17,2)="N1")),0.5)+IF(AND(LEN(AA17)&gt;2,OR(LEFT(AA17,2)="N1",RIGHT(AA17,2)="N1")),0.5)+IF(AND(LEN(AB17)&gt;2,OR(LEFT(AB17,2)="N1",RIGHT(AB17,2)="N1")),0.5)+IF(AND(LEN(AC17)&gt;2,OR(LEFT(AC17,2)="N1",RIGHT(AC17,2)="N1")),0.5)+IF(AND(LEN(AD17)&gt;2,OR(LEFT(AD17,2)="N1",RIGHT(AD17,2)="N1")),0.5)+IF(AND(LEN(AE17)&gt;2,OR(LEFT(AE17,2)="N1",RIGHT(AE17,2)="N1")),0.5)+IF(AND(LEN(AF17)&gt;2,OR(LEFT(AF17,2)="N1",RIGHT(AF17,2)="N1")),0.5)+IF(AND(LEN(AG17)&gt;2,OR(LEFT(AG17,2)="N1",RIGHT(AG17,2)="N1")),0.5)+IF(AND(LEN(AH17)&gt;2,OR(LEFT(AH17,2)="N1",RIGHT(AH17,2)="N1")),0.5)+IF(AND(LEN(AI17)&gt;2,OR(LEFT(AI17,2)="N1",RIGHT(AI17,2)="N1")),0.5)+IF(AND(LEN(AJ17)&gt;2,OR(LEFT(AJ17,2)="N1",RIGHT(AJ17,2)="N1")),0.5)+IF(AND(LEN(AK17)&gt;2,OR(LEFT(AK17,2)="N1",RIGHT(AK17,2)="N1")),0.5)+IF(AND(LEN(AL17)&gt;2,OR(LEFT(AL17,2)="N1",RIGHT(AL17,2)="N1")),0.5))</f>
        <v>0</v>
      </c>
      <c r="AO17" s="109">
        <f t="shared" ref="AO17:AO19" si="45">COUNTIF(H17:AL17,"ON")+COUNTIF(H17:AL17,"ON/2")/2</f>
        <v>0</v>
      </c>
      <c r="AP17" s="110">
        <f t="shared" ref="AP17:AP19" si="46">IF(F17="","",COUNTIF($H17:$AL17,AP$8))+IF(F17="","",COUNTIF($H17:$AL17,$V$5)/2)</f>
        <v>0</v>
      </c>
      <c r="AQ17" s="111">
        <f t="shared" si="15"/>
        <v>0</v>
      </c>
      <c r="AR17" s="112">
        <f t="shared" ref="AR17:AR19" si="47">IF(G17="","",AM17+AN17+AP17+AQ17)</f>
        <v>23</v>
      </c>
      <c r="AS17" s="113">
        <f t="shared" ref="AS17:AS19" si="48">IF(F17="","",COUNTIF($H17:$AL17,AS$8))++IF(F17="","",COUNTIF($H17:$AL17,"L1")/2)</f>
        <v>0</v>
      </c>
      <c r="AT17" s="114">
        <f t="shared" ref="AT17:AT19" si="49">AU17-AR17-AS17</f>
        <v>0</v>
      </c>
      <c r="AU17" s="115">
        <v>23</v>
      </c>
      <c r="AV17" s="116"/>
    </row>
    <row r="18" spans="1:48" ht="39" customHeight="1" x14ac:dyDescent="0.25">
      <c r="A18" s="100">
        <f t="shared" si="4"/>
        <v>8</v>
      </c>
      <c r="B18" s="101" t="s">
        <v>366</v>
      </c>
      <c r="C18" s="379" t="s">
        <v>319</v>
      </c>
      <c r="D18" s="103" t="s">
        <v>372</v>
      </c>
      <c r="E18" s="104"/>
      <c r="F18" s="35" t="s">
        <v>367</v>
      </c>
      <c r="G18" s="105" t="s">
        <v>100</v>
      </c>
      <c r="H18" s="106" t="s">
        <v>73</v>
      </c>
      <c r="I18" s="106" t="s">
        <v>73</v>
      </c>
      <c r="J18" s="106" t="s">
        <v>73</v>
      </c>
      <c r="K18" s="106"/>
      <c r="L18" s="106"/>
      <c r="M18" s="106" t="s">
        <v>73</v>
      </c>
      <c r="N18" s="106" t="s">
        <v>73</v>
      </c>
      <c r="O18" s="106" t="s">
        <v>73</v>
      </c>
      <c r="P18" s="106" t="s">
        <v>73</v>
      </c>
      <c r="Q18" s="106" t="s">
        <v>73</v>
      </c>
      <c r="R18" s="106"/>
      <c r="S18" s="106"/>
      <c r="T18" s="106" t="s">
        <v>73</v>
      </c>
      <c r="U18" s="106" t="s">
        <v>73</v>
      </c>
      <c r="V18" s="106" t="s">
        <v>73</v>
      </c>
      <c r="W18" s="106" t="s">
        <v>73</v>
      </c>
      <c r="X18" s="106" t="s">
        <v>73</v>
      </c>
      <c r="Y18" s="106"/>
      <c r="Z18" s="106"/>
      <c r="AA18" s="106" t="s">
        <v>73</v>
      </c>
      <c r="AB18" s="106" t="s">
        <v>73</v>
      </c>
      <c r="AC18" s="106" t="s">
        <v>73</v>
      </c>
      <c r="AD18" s="106" t="s">
        <v>73</v>
      </c>
      <c r="AE18" s="106" t="s">
        <v>73</v>
      </c>
      <c r="AF18" s="106"/>
      <c r="AG18" s="106"/>
      <c r="AH18" s="106" t="s">
        <v>73</v>
      </c>
      <c r="AI18" s="106" t="s">
        <v>73</v>
      </c>
      <c r="AJ18" s="106" t="s">
        <v>73</v>
      </c>
      <c r="AK18" s="106" t="s">
        <v>73</v>
      </c>
      <c r="AL18" s="106" t="s">
        <v>73</v>
      </c>
      <c r="AM18" s="107">
        <f t="shared" ref="AM18" si="50">IF(F18="","",COUNTIF($H18:$AL18,AM$8))</f>
        <v>23</v>
      </c>
      <c r="AN18" s="108">
        <f t="shared" ref="AN18" si="51">IF(OR(G18="",G18="Đã nghỉ"),0,COUNTIF($H18:$AL18,"N1")/2++IF(AND(LEN(H18)&gt;2,OR(LEFT(H18,2)="N1",RIGHT(H18,2)="N1")),0.5)+IF(AND(LEN(I18)&gt;2,OR(LEFT(I18,2)="N1",RIGHT(I18,2)="N1")),0.5)+IF(AND(LEN(J18)&gt;2,OR(LEFT(J18,2)="N1",RIGHT(J18,2)="N1")),0.5)+IF(AND(LEN(K18)&gt;2,OR(LEFT(K18,2)="N1",RIGHT(K18,2)="N1")),0.5)+IF(AND(LEN(L18)&gt;2,OR(LEFT(L18,2)="N1",RIGHT(L18,2)="N1")),0.5)+IF(AND(LEN(M18)&gt;2,OR(LEFT(M18,2)="N1",RIGHT(M18,2)="N1")),0.5)+IF(AND(LEN(N18)&gt;2,OR(LEFT(N18,2)="N1",RIGHT(N18,2)="N1")),0.5)+IF(AND(LEN(O18)&gt;2,OR(LEFT(O18,2)="N1",RIGHT(O18,2)="N1")),0.5)+IF(AND(LEN(P18)&gt;2,OR(LEFT(P18,2)="N1",RIGHT(P18,2)="N1")),0.5)+IF(AND(LEN(Q18)&gt;2,OR(LEFT(Q18,2)="N1",RIGHT(Q18,2)="N1")),0.5)+IF(AND(LEN(R18)&gt;2,OR(LEFT(R18,2)="N1",RIGHT(R18,2)="N1")),0.5)+IF(AND(LEN(S18)&gt;2,OR(LEFT(S18,2)="N1",RIGHT(S18,2)="N1")),0.5)+IF(AND(LEN(T18)&gt;2,OR(LEFT(T18,2)="N1",RIGHT(T18,2)="N1")),0.5)+IF(AND(LEN(U18)&gt;2,OR(LEFT(U18,2)="N1",RIGHT(U18,2)="N1")),0.5)+IF(AND(LEN(V18)&gt;2,OR(LEFT(V18,2)="N1",RIGHT(V18,2)="N1")),0.5)+IF(AND(LEN(W18)&gt;2,OR(LEFT(W18,2)="N1",RIGHT(W18,2)="N1")),0.5)+IF(AND(LEN(X18)&gt;2,OR(LEFT(X18,2)="N1",RIGHT(X18,2)="N1")),0.5)+IF(AND(LEN(Y18)&gt;2,OR(LEFT(Y18,2)="N1",RIGHT(Y18,2)="N1")),0.5)+IF(AND(LEN(Z18)&gt;2,OR(LEFT(Z18,2)="N1",RIGHT(Z18,2)="N1")),0.5)+IF(AND(LEN(AA18)&gt;2,OR(LEFT(AA18,2)="N1",RIGHT(AA18,2)="N1")),0.5)+IF(AND(LEN(AB18)&gt;2,OR(LEFT(AB18,2)="N1",RIGHT(AB18,2)="N1")),0.5)+IF(AND(LEN(AC18)&gt;2,OR(LEFT(AC18,2)="N1",RIGHT(AC18,2)="N1")),0.5)+IF(AND(LEN(AD18)&gt;2,OR(LEFT(AD18,2)="N1",RIGHT(AD18,2)="N1")),0.5)+IF(AND(LEN(AE18)&gt;2,OR(LEFT(AE18,2)="N1",RIGHT(AE18,2)="N1")),0.5)+IF(AND(LEN(AF18)&gt;2,OR(LEFT(AF18,2)="N1",RIGHT(AF18,2)="N1")),0.5)+IF(AND(LEN(AG18)&gt;2,OR(LEFT(AG18,2)="N1",RIGHT(AG18,2)="N1")),0.5)+IF(AND(LEN(AH18)&gt;2,OR(LEFT(AH18,2)="N1",RIGHT(AH18,2)="N1")),0.5)+IF(AND(LEN(AI18)&gt;2,OR(LEFT(AI18,2)="N1",RIGHT(AI18,2)="N1")),0.5)+IF(AND(LEN(AJ18)&gt;2,OR(LEFT(AJ18,2)="N1",RIGHT(AJ18,2)="N1")),0.5)+IF(AND(LEN(AK18)&gt;2,OR(LEFT(AK18,2)="N1",RIGHT(AK18,2)="N1")),0.5)+IF(AND(LEN(AL18)&gt;2,OR(LEFT(AL18,2)="N1",RIGHT(AL18,2)="N1")),0.5))</f>
        <v>0</v>
      </c>
      <c r="AO18" s="109">
        <f t="shared" ref="AO18" si="52">COUNTIF(H18:AL18,"ON")+COUNTIF(H18:AL18,"ON/2")/2</f>
        <v>0</v>
      </c>
      <c r="AP18" s="110">
        <f t="shared" ref="AP18" si="53">IF(F18="","",COUNTIF($H18:$AL18,AP$8))+IF(F18="","",COUNTIF($H18:$AL18,$V$5)/2)</f>
        <v>0</v>
      </c>
      <c r="AQ18" s="111">
        <f t="shared" si="15"/>
        <v>0</v>
      </c>
      <c r="AR18" s="112">
        <f t="shared" ref="AR18" si="54">IF(G18="","",AM18+AN18+AP18+AQ18)</f>
        <v>23</v>
      </c>
      <c r="AS18" s="113">
        <f t="shared" ref="AS18" si="55">IF(F18="","",COUNTIF($H18:$AL18,AS$8))++IF(F18="","",COUNTIF($H18:$AL18,"L1")/2)</f>
        <v>0</v>
      </c>
      <c r="AT18" s="114">
        <f t="shared" ref="AT18" si="56">AU18-AR18-AS18</f>
        <v>0</v>
      </c>
      <c r="AU18" s="115">
        <v>23</v>
      </c>
      <c r="AV18" s="116"/>
    </row>
    <row r="19" spans="1:48" ht="39" customHeight="1" x14ac:dyDescent="0.25">
      <c r="A19" s="100">
        <f t="shared" si="4"/>
        <v>9</v>
      </c>
      <c r="B19" s="101" t="s">
        <v>368</v>
      </c>
      <c r="C19" s="379" t="s">
        <v>319</v>
      </c>
      <c r="D19" s="103" t="s">
        <v>373</v>
      </c>
      <c r="E19" s="104"/>
      <c r="F19" s="35" t="s">
        <v>369</v>
      </c>
      <c r="G19" s="105" t="s">
        <v>100</v>
      </c>
      <c r="H19" s="106" t="s">
        <v>73</v>
      </c>
      <c r="I19" s="106" t="s">
        <v>73</v>
      </c>
      <c r="J19" s="106" t="s">
        <v>73</v>
      </c>
      <c r="K19" s="106"/>
      <c r="L19" s="106"/>
      <c r="M19" s="106" t="s">
        <v>73</v>
      </c>
      <c r="N19" s="106" t="s">
        <v>73</v>
      </c>
      <c r="O19" s="106" t="s">
        <v>73</v>
      </c>
      <c r="P19" s="106" t="s">
        <v>73</v>
      </c>
      <c r="Q19" s="106" t="s">
        <v>73</v>
      </c>
      <c r="R19" s="106"/>
      <c r="S19" s="106"/>
      <c r="T19" s="106" t="s">
        <v>73</v>
      </c>
      <c r="U19" s="106" t="s">
        <v>73</v>
      </c>
      <c r="V19" s="106" t="s">
        <v>73</v>
      </c>
      <c r="W19" s="106" t="s">
        <v>73</v>
      </c>
      <c r="X19" s="106" t="s">
        <v>73</v>
      </c>
      <c r="Y19" s="106"/>
      <c r="Z19" s="106"/>
      <c r="AA19" s="106" t="s">
        <v>73</v>
      </c>
      <c r="AB19" s="106" t="s">
        <v>73</v>
      </c>
      <c r="AC19" s="106" t="s">
        <v>73</v>
      </c>
      <c r="AD19" s="106" t="s">
        <v>73</v>
      </c>
      <c r="AE19" s="106" t="s">
        <v>73</v>
      </c>
      <c r="AF19" s="106"/>
      <c r="AG19" s="106"/>
      <c r="AH19" s="106" t="s">
        <v>73</v>
      </c>
      <c r="AI19" s="106" t="s">
        <v>73</v>
      </c>
      <c r="AJ19" s="106" t="s">
        <v>73</v>
      </c>
      <c r="AK19" s="106" t="s">
        <v>73</v>
      </c>
      <c r="AL19" s="106" t="s">
        <v>73</v>
      </c>
      <c r="AM19" s="107">
        <f t="shared" si="43"/>
        <v>23</v>
      </c>
      <c r="AN19" s="108">
        <f t="shared" si="44"/>
        <v>0</v>
      </c>
      <c r="AO19" s="109">
        <f t="shared" si="45"/>
        <v>0</v>
      </c>
      <c r="AP19" s="110">
        <f t="shared" si="46"/>
        <v>0</v>
      </c>
      <c r="AQ19" s="111">
        <f t="shared" si="15"/>
        <v>0</v>
      </c>
      <c r="AR19" s="112">
        <f t="shared" si="47"/>
        <v>23</v>
      </c>
      <c r="AS19" s="113">
        <f t="shared" si="48"/>
        <v>0</v>
      </c>
      <c r="AT19" s="114">
        <f t="shared" si="49"/>
        <v>0</v>
      </c>
      <c r="AU19" s="115">
        <v>23</v>
      </c>
      <c r="AV19" s="116"/>
    </row>
    <row r="20" spans="1:48" ht="39" customHeight="1" x14ac:dyDescent="0.25">
      <c r="A20" s="449">
        <f t="shared" si="4"/>
        <v>10</v>
      </c>
      <c r="B20" s="463" t="s">
        <v>387</v>
      </c>
      <c r="C20" s="388" t="s">
        <v>319</v>
      </c>
      <c r="D20" s="388" t="s">
        <v>385</v>
      </c>
      <c r="E20" s="464"/>
      <c r="F20" s="374" t="s">
        <v>388</v>
      </c>
      <c r="G20" s="465" t="s">
        <v>100</v>
      </c>
      <c r="H20" s="106" t="s">
        <v>73</v>
      </c>
      <c r="I20" s="106" t="s">
        <v>73</v>
      </c>
      <c r="J20" s="106" t="s">
        <v>73</v>
      </c>
      <c r="K20" s="106"/>
      <c r="L20" s="106"/>
      <c r="M20" s="106" t="s">
        <v>73</v>
      </c>
      <c r="N20" s="106" t="s">
        <v>73</v>
      </c>
      <c r="O20" s="106" t="s">
        <v>73</v>
      </c>
      <c r="P20" s="106" t="s">
        <v>73</v>
      </c>
      <c r="Q20" s="106" t="s">
        <v>73</v>
      </c>
      <c r="R20" s="106"/>
      <c r="S20" s="106"/>
      <c r="T20" s="106" t="s">
        <v>73</v>
      </c>
      <c r="U20" s="106" t="s">
        <v>73</v>
      </c>
      <c r="V20" s="106" t="s">
        <v>73</v>
      </c>
      <c r="W20" s="106" t="s">
        <v>73</v>
      </c>
      <c r="X20" s="106" t="s">
        <v>73</v>
      </c>
      <c r="Y20" s="106"/>
      <c r="Z20" s="106"/>
      <c r="AA20" s="106" t="s">
        <v>73</v>
      </c>
      <c r="AB20" s="106" t="s">
        <v>73</v>
      </c>
      <c r="AC20" s="106" t="s">
        <v>73</v>
      </c>
      <c r="AD20" s="106" t="s">
        <v>73</v>
      </c>
      <c r="AE20" s="106" t="s">
        <v>73</v>
      </c>
      <c r="AF20" s="106"/>
      <c r="AG20" s="106"/>
      <c r="AH20" s="106" t="s">
        <v>73</v>
      </c>
      <c r="AI20" s="106" t="s">
        <v>73</v>
      </c>
      <c r="AJ20" s="106" t="s">
        <v>73</v>
      </c>
      <c r="AK20" s="106" t="s">
        <v>73</v>
      </c>
      <c r="AL20" s="106" t="s">
        <v>73</v>
      </c>
      <c r="AM20" s="466">
        <f t="shared" ref="AM20" si="57">IF(F20="","",COUNTIF($H20:$AL20,AM$8))</f>
        <v>23</v>
      </c>
      <c r="AN20" s="467">
        <f t="shared" ref="AN20" si="58">IF(OR(G20="",G20="Đã nghỉ"),0,COUNTIF($H20:$AL20,"N1")/2++IF(AND(LEN(H20)&gt;2,OR(LEFT(H20,2)="N1",RIGHT(H20,2)="N1")),0.5)+IF(AND(LEN(I20)&gt;2,OR(LEFT(I20,2)="N1",RIGHT(I20,2)="N1")),0.5)+IF(AND(LEN(J20)&gt;2,OR(LEFT(J20,2)="N1",RIGHT(J20,2)="N1")),0.5)+IF(AND(LEN(K20)&gt;2,OR(LEFT(K20,2)="N1",RIGHT(K20,2)="N1")),0.5)+IF(AND(LEN(L20)&gt;2,OR(LEFT(L20,2)="N1",RIGHT(L20,2)="N1")),0.5)+IF(AND(LEN(M20)&gt;2,OR(LEFT(M20,2)="N1",RIGHT(M20,2)="N1")),0.5)+IF(AND(LEN(N20)&gt;2,OR(LEFT(N20,2)="N1",RIGHT(N20,2)="N1")),0.5)+IF(AND(LEN(O20)&gt;2,OR(LEFT(O20,2)="N1",RIGHT(O20,2)="N1")),0.5)+IF(AND(LEN(P20)&gt;2,OR(LEFT(P20,2)="N1",RIGHT(P20,2)="N1")),0.5)+IF(AND(LEN(Q20)&gt;2,OR(LEFT(Q20,2)="N1",RIGHT(Q20,2)="N1")),0.5)+IF(AND(LEN(R20)&gt;2,OR(LEFT(R20,2)="N1",RIGHT(R20,2)="N1")),0.5)+IF(AND(LEN(S20)&gt;2,OR(LEFT(S20,2)="N1",RIGHT(S20,2)="N1")),0.5)+IF(AND(LEN(T20)&gt;2,OR(LEFT(T20,2)="N1",RIGHT(T20,2)="N1")),0.5)+IF(AND(LEN(U20)&gt;2,OR(LEFT(U20,2)="N1",RIGHT(U20,2)="N1")),0.5)+IF(AND(LEN(V20)&gt;2,OR(LEFT(V20,2)="N1",RIGHT(V20,2)="N1")),0.5)+IF(AND(LEN(W20)&gt;2,OR(LEFT(W20,2)="N1",RIGHT(W20,2)="N1")),0.5)+IF(AND(LEN(X20)&gt;2,OR(LEFT(X20,2)="N1",RIGHT(X20,2)="N1")),0.5)+IF(AND(LEN(Y20)&gt;2,OR(LEFT(Y20,2)="N1",RIGHT(Y20,2)="N1")),0.5)+IF(AND(LEN(Z20)&gt;2,OR(LEFT(Z20,2)="N1",RIGHT(Z20,2)="N1")),0.5)+IF(AND(LEN(AA20)&gt;2,OR(LEFT(AA20,2)="N1",RIGHT(AA20,2)="N1")),0.5)+IF(AND(LEN(AB20)&gt;2,OR(LEFT(AB20,2)="N1",RIGHT(AB20,2)="N1")),0.5)+IF(AND(LEN(AC20)&gt;2,OR(LEFT(AC20,2)="N1",RIGHT(AC20,2)="N1")),0.5)+IF(AND(LEN(AD20)&gt;2,OR(LEFT(AD20,2)="N1",RIGHT(AD20,2)="N1")),0.5)+IF(AND(LEN(AE20)&gt;2,OR(LEFT(AE20,2)="N1",RIGHT(AE20,2)="N1")),0.5)+IF(AND(LEN(AF20)&gt;2,OR(LEFT(AF20,2)="N1",RIGHT(AF20,2)="N1")),0.5)+IF(AND(LEN(AG20)&gt;2,OR(LEFT(AG20,2)="N1",RIGHT(AG20,2)="N1")),0.5)+IF(AND(LEN(AH20)&gt;2,OR(LEFT(AH20,2)="N1",RIGHT(AH20,2)="N1")),0.5)+IF(AND(LEN(AI20)&gt;2,OR(LEFT(AI20,2)="N1",RIGHT(AI20,2)="N1")),0.5)+IF(AND(LEN(AJ20)&gt;2,OR(LEFT(AJ20,2)="N1",RIGHT(AJ20,2)="N1")),0.5)+IF(AND(LEN(AK20)&gt;2,OR(LEFT(AK20,2)="N1",RIGHT(AK20,2)="N1")),0.5)+IF(AND(LEN(AL20)&gt;2,OR(LEFT(AL20,2)="N1",RIGHT(AL20,2)="N1")),0.5))</f>
        <v>0</v>
      </c>
      <c r="AO20" s="468">
        <f t="shared" ref="AO20" si="59">COUNTIF(H20:AL20,"ON")+COUNTIF(H20:AL20,"ON/2")/2</f>
        <v>0</v>
      </c>
      <c r="AP20" s="469">
        <f t="shared" ref="AP20" si="60">IF(F20="","",COUNTIF($H20:$AL20,AP$8))+IF(F20="","",COUNTIF($H20:$AL20,$V$5)/2)</f>
        <v>0</v>
      </c>
      <c r="AQ20" s="474">
        <f>COUNTIF($H20:$AL20,"P")+COUNTIF($H20:$AL20,"P1")/2+IF(AND(LEN(I20)&gt;2,OR(LEFT(I20,2)="P1",RIGHT(I20,2)="P1")),0.5)+IF(AND(LEN(J20)&gt;2,OR(LEFT(J20,2)="P1",RIGHT(J20,2)="P1")),0.5)+IF(AND(LEN(K20)&gt;2,OR(LEFT(K20,2)="P1",RIGHT(K20,2)="P1")),0.5)+IF(AND(LEN(L20)&gt;2,OR(LEFT(L20,2)="P1",RIGHT(L20,2)="P1")),0.5)+IF(AND(LEN(M20)&gt;2,OR(LEFT(M20,2)="P1",RIGHT(M20,2)="P1")),0.5)+IF(AND(LEN(N20)&gt;2,OR(LEFT(N20,2)="P1",RIGHT(N20,2)="P1")),0.5)+IF(AND(LEN(O20)&gt;2,OR(LEFT(O20,2)="P1",RIGHT(O20,2)="P1")),0.5)+IF(AND(LEN(P20)&gt;2,OR(LEFT(P20,2)="P1",RIGHT(P20,2)="P1")),0.5)+IF(AND(LEN(Q20)&gt;2,OR(LEFT(Q20,2)="P1",RIGHT(Q20,2)="P1")),0.5)+IF(AND(LEN(R20)&gt;2,OR(LEFT(R20,2)="P1",RIGHT(R20,2)="P1")),0.5)+IF(AND(LEN(S20)&gt;2,OR(LEFT(S20,2)="P1",RIGHT(S20,2)="P1")),0.5)+IF(AND(LEN(T20)&gt;2,OR(LEFT(T20,2)="P1",RIGHT(T20,2)="P1")),0.5)+IF(AND(LEN(U20)&gt;2,OR(LEFT(U20,2)="P1",RIGHT(U20,2)="P1")),0.5)+IF(AND(LEN(V20)&gt;2,OR(LEFT(V20,2)="P1",RIGHT(V20,2)="P1")),0.5)+IF(AND(LEN(W20)&gt;2,OR(LEFT(W20,2)="P1",RIGHT(W20,2)="P1")),0.5)+IF(AND(LEN(X20)&gt;2,OR(LEFT(X20,2)="P1",RIGHT(X20,2)="P1")),0.5)+IF(AND(LEN(Y20)&gt;2,OR(LEFT(Y20,2)="P1",RIGHT(Y20,2)="P1")),0.5)+IF(AND(LEN(Z20)&gt;2,OR(LEFT(Z20,2)="P1",RIGHT(Z20,2)="P1")),0.5)+IF(AND(LEN(AA20)&gt;2,OR(LEFT(AA20,2)="P1",RIGHT(AA20,2)="P1")),0.5)+IF(AND(LEN(AB20)&gt;2,OR(LEFT(AB20,2)="P1",RIGHT(AB20,2)="P1")),0.5)+IF(AND(LEN(AC20)&gt;2,OR(LEFT(AC20,2)="P1",RIGHT(AC20,2)="P1")),0.5)+IF(AND(LEN(AD20)&gt;2,OR(LEFT(AD20,2)="P1",RIGHT(AD20,2)="P1")),0.5)+IF(AND(LEN(AE20)&gt;2,OR(LEFT(AE370,2)="P1",RIGHT(AE20,2)="P1")),0.5)+IF(AND(LEN(AF20)&gt;2,OR(LEFT(AF20,2)="P1",RIGHT(AF20,2)="P1")),0.5)+IF(AND(LEN(AG20)&gt;2,OR(LEFT(AG20,2)="P1",RIGHT(AG20,2)="P1")),0.5)+IF(AND(LEN(AH20)&gt;2,OR(LEFT(AH20,2)="P1",RIGHT(AH20,2)="P1")),0.5)+IF(AND(LEN(AI20)&gt;2,OR(LEFT(AI20,2)="P1",RIGHT(AI20,2)="P1")),0.5)+IF(AND(LEN(AJ20)&gt;2,OR(LEFT(AJ20,2)="P1",RIGHT(AJ20,2)="P1")),0.5)+IF(AND(LEN(AK20)&gt;2,OR(LEFT(AK20,2)="P1",RIGHT(AK20,2)="P1")),0.5)+IF(AND(LEN(AL20)&gt;2,OR(LEFT(AL20,2)="P1",RIGHT(AL20,2)="P1")),0.5)</f>
        <v>0</v>
      </c>
      <c r="AR20" s="470">
        <f t="shared" ref="AR20" si="61">IF(G20="","",AM20+AN20+AP20+AQ20)</f>
        <v>23</v>
      </c>
      <c r="AS20" s="471">
        <f t="shared" ref="AS20" si="62">IF(F20="","",COUNTIF($H20:$AL20,AS$8))++IF(F20="","",COUNTIF($H20:$AL20,"L1")/2)</f>
        <v>0</v>
      </c>
      <c r="AT20" s="472">
        <f t="shared" ref="AT20" si="63">AU20-AR20-AS20</f>
        <v>0</v>
      </c>
      <c r="AU20" s="115">
        <v>23</v>
      </c>
      <c r="AV20" s="455"/>
    </row>
    <row r="21" spans="1:48" ht="39" customHeight="1" x14ac:dyDescent="0.25">
      <c r="A21" s="449">
        <f t="shared" si="4"/>
        <v>11</v>
      </c>
      <c r="B21" s="463" t="s">
        <v>390</v>
      </c>
      <c r="C21" s="380" t="s">
        <v>338</v>
      </c>
      <c r="D21" s="457" t="s">
        <v>349</v>
      </c>
      <c r="E21" s="475"/>
      <c r="F21" s="458" t="s">
        <v>392</v>
      </c>
      <c r="G21" s="465" t="s">
        <v>100</v>
      </c>
      <c r="H21" s="106" t="s">
        <v>73</v>
      </c>
      <c r="I21" s="106" t="s">
        <v>73</v>
      </c>
      <c r="J21" s="106" t="s">
        <v>73</v>
      </c>
      <c r="K21" s="106"/>
      <c r="L21" s="106"/>
      <c r="M21" s="106" t="s">
        <v>73</v>
      </c>
      <c r="N21" s="106" t="s">
        <v>73</v>
      </c>
      <c r="O21" s="106" t="s">
        <v>73</v>
      </c>
      <c r="P21" s="106" t="s">
        <v>73</v>
      </c>
      <c r="Q21" s="106" t="s">
        <v>73</v>
      </c>
      <c r="R21" s="106"/>
      <c r="S21" s="106"/>
      <c r="T21" s="106" t="s">
        <v>73</v>
      </c>
      <c r="U21" s="106" t="s">
        <v>73</v>
      </c>
      <c r="V21" s="106" t="s">
        <v>73</v>
      </c>
      <c r="W21" s="106" t="s">
        <v>73</v>
      </c>
      <c r="X21" s="106" t="s">
        <v>73</v>
      </c>
      <c r="Y21" s="106"/>
      <c r="Z21" s="106"/>
      <c r="AA21" s="106" t="s">
        <v>73</v>
      </c>
      <c r="AB21" s="106" t="s">
        <v>73</v>
      </c>
      <c r="AC21" s="106" t="s">
        <v>73</v>
      </c>
      <c r="AD21" s="106" t="s">
        <v>73</v>
      </c>
      <c r="AE21" s="106" t="s">
        <v>78</v>
      </c>
      <c r="AF21" s="106"/>
      <c r="AG21" s="106"/>
      <c r="AH21" s="106" t="s">
        <v>73</v>
      </c>
      <c r="AI21" s="106" t="s">
        <v>73</v>
      </c>
      <c r="AJ21" s="106" t="s">
        <v>73</v>
      </c>
      <c r="AK21" s="106" t="s">
        <v>73</v>
      </c>
      <c r="AL21" s="106" t="s">
        <v>73</v>
      </c>
      <c r="AM21" s="466">
        <f t="shared" ref="AM21:AM24" si="64">IF(F21="","",COUNTIF($H21:$AL21,AM$8))</f>
        <v>22</v>
      </c>
      <c r="AN21" s="467">
        <f t="shared" ref="AN21:AN24" si="65">IF(OR(G21="",G21="Đã nghỉ"),0,COUNTIF($H21:$AL21,"N1")/2++IF(AND(LEN(H21)&gt;2,OR(LEFT(H21,2)="N1",RIGHT(H21,2)="N1")),0.5)+IF(AND(LEN(I21)&gt;2,OR(LEFT(I21,2)="N1",RIGHT(I21,2)="N1")),0.5)+IF(AND(LEN(J21)&gt;2,OR(LEFT(J21,2)="N1",RIGHT(J21,2)="N1")),0.5)+IF(AND(LEN(K21)&gt;2,OR(LEFT(K21,2)="N1",RIGHT(K21,2)="N1")),0.5)+IF(AND(LEN(L21)&gt;2,OR(LEFT(L21,2)="N1",RIGHT(L21,2)="N1")),0.5)+IF(AND(LEN(M21)&gt;2,OR(LEFT(M21,2)="N1",RIGHT(M21,2)="N1")),0.5)+IF(AND(LEN(N21)&gt;2,OR(LEFT(N21,2)="N1",RIGHT(N21,2)="N1")),0.5)+IF(AND(LEN(O21)&gt;2,OR(LEFT(O21,2)="N1",RIGHT(O21,2)="N1")),0.5)+IF(AND(LEN(P21)&gt;2,OR(LEFT(P21,2)="N1",RIGHT(P21,2)="N1")),0.5)+IF(AND(LEN(Q21)&gt;2,OR(LEFT(Q21,2)="N1",RIGHT(Q21,2)="N1")),0.5)+IF(AND(LEN(R21)&gt;2,OR(LEFT(R21,2)="N1",RIGHT(R21,2)="N1")),0.5)+IF(AND(LEN(S21)&gt;2,OR(LEFT(S21,2)="N1",RIGHT(S21,2)="N1")),0.5)+IF(AND(LEN(T21)&gt;2,OR(LEFT(T21,2)="N1",RIGHT(T21,2)="N1")),0.5)+IF(AND(LEN(U21)&gt;2,OR(LEFT(U21,2)="N1",RIGHT(U21,2)="N1")),0.5)+IF(AND(LEN(V21)&gt;2,OR(LEFT(V21,2)="N1",RIGHT(V21,2)="N1")),0.5)+IF(AND(LEN(W21)&gt;2,OR(LEFT(W21,2)="N1",RIGHT(W21,2)="N1")),0.5)+IF(AND(LEN(X21)&gt;2,OR(LEFT(X21,2)="N1",RIGHT(X21,2)="N1")),0.5)+IF(AND(LEN(Y21)&gt;2,OR(LEFT(Y21,2)="N1",RIGHT(Y21,2)="N1")),0.5)+IF(AND(LEN(Z21)&gt;2,OR(LEFT(Z21,2)="N1",RIGHT(Z21,2)="N1")),0.5)+IF(AND(LEN(AA21)&gt;2,OR(LEFT(AA21,2)="N1",RIGHT(AA21,2)="N1")),0.5)+IF(AND(LEN(AB21)&gt;2,OR(LEFT(AB21,2)="N1",RIGHT(AB21,2)="N1")),0.5)+IF(AND(LEN(AC21)&gt;2,OR(LEFT(AC21,2)="N1",RIGHT(AC21,2)="N1")),0.5)+IF(AND(LEN(AD21)&gt;2,OR(LEFT(AD21,2)="N1",RIGHT(AD21,2)="N1")),0.5)+IF(AND(LEN(AE21)&gt;2,OR(LEFT(AE21,2)="N1",RIGHT(AE21,2)="N1")),0.5)+IF(AND(LEN(AF21)&gt;2,OR(LEFT(AF21,2)="N1",RIGHT(AF21,2)="N1")),0.5)+IF(AND(LEN(AG21)&gt;2,OR(LEFT(AG21,2)="N1",RIGHT(AG21,2)="N1")),0.5)+IF(AND(LEN(AH21)&gt;2,OR(LEFT(AH21,2)="N1",RIGHT(AH21,2)="N1")),0.5)+IF(AND(LEN(AI21)&gt;2,OR(LEFT(AI21,2)="N1",RIGHT(AI21,2)="N1")),0.5)+IF(AND(LEN(AJ21)&gt;2,OR(LEFT(AJ21,2)="N1",RIGHT(AJ21,2)="N1")),0.5)+IF(AND(LEN(AK21)&gt;2,OR(LEFT(AK21,2)="N1",RIGHT(AK21,2)="N1")),0.5)+IF(AND(LEN(AL21)&gt;2,OR(LEFT(AL21,2)="N1",RIGHT(AL21,2)="N1")),0.5))</f>
        <v>0</v>
      </c>
      <c r="AO21" s="468">
        <f t="shared" ref="AO21:AO24" si="66">COUNTIF(H21:AL21,"ON")+COUNTIF(H21:AL21,"ON/2")/2</f>
        <v>0</v>
      </c>
      <c r="AP21" s="469">
        <f t="shared" ref="AP21:AP24" si="67">IF(F21="","",COUNTIF($H21:$AL21,AP$8))+IF(F21="","",COUNTIF($H21:$AL21,$V$5)/2)</f>
        <v>0</v>
      </c>
      <c r="AQ21" s="474">
        <f>COUNTIF($H21:$AL21,"P")+COUNTIF($H21:$AL21,"P1")/2+IF(AND(LEN(I21)&gt;2,OR(LEFT(I21,2)="P1",RIGHT(I21,2)="P1")),0.5)+IF(AND(LEN(J21)&gt;2,OR(LEFT(J21,2)="P1",RIGHT(J21,2)="P1")),0.5)+IF(AND(LEN(K21)&gt;2,OR(LEFT(K21,2)="P1",RIGHT(K21,2)="P1")),0.5)+IF(AND(LEN(L21)&gt;2,OR(LEFT(L21,2)="P1",RIGHT(L21,2)="P1")),0.5)+IF(AND(LEN(M21)&gt;2,OR(LEFT(M21,2)="P1",RIGHT(M21,2)="P1")),0.5)+IF(AND(LEN(N21)&gt;2,OR(LEFT(N21,2)="P1",RIGHT(N21,2)="P1")),0.5)+IF(AND(LEN(O21)&gt;2,OR(LEFT(O21,2)="P1",RIGHT(O21,2)="P1")),0.5)+IF(AND(LEN(P21)&gt;2,OR(LEFT(P21,2)="P1",RIGHT(P21,2)="P1")),0.5)+IF(AND(LEN(Q21)&gt;2,OR(LEFT(Q21,2)="P1",RIGHT(Q21,2)="P1")),0.5)+IF(AND(LEN(R21)&gt;2,OR(LEFT(R21,2)="P1",RIGHT(R21,2)="P1")),0.5)+IF(AND(LEN(S21)&gt;2,OR(LEFT(S21,2)="P1",RIGHT(S21,2)="P1")),0.5)+IF(AND(LEN(T21)&gt;2,OR(LEFT(T21,2)="P1",RIGHT(T21,2)="P1")),0.5)+IF(AND(LEN(U21)&gt;2,OR(LEFT(U21,2)="P1",RIGHT(U21,2)="P1")),0.5)+IF(AND(LEN(V21)&gt;2,OR(LEFT(V21,2)="P1",RIGHT(V21,2)="P1")),0.5)+IF(AND(LEN(W21)&gt;2,OR(LEFT(W21,2)="P1",RIGHT(W21,2)="P1")),0.5)+IF(AND(LEN(X21)&gt;2,OR(LEFT(X21,2)="P1",RIGHT(X21,2)="P1")),0.5)+IF(AND(LEN(Y21)&gt;2,OR(LEFT(Y21,2)="P1",RIGHT(Y21,2)="P1")),0.5)+IF(AND(LEN(Z21)&gt;2,OR(LEFT(Z21,2)="P1",RIGHT(Z21,2)="P1")),0.5)+IF(AND(LEN(AA21)&gt;2,OR(LEFT(AA21,2)="P1",RIGHT(AA21,2)="P1")),0.5)+IF(AND(LEN(AB21)&gt;2,OR(LEFT(AB21,2)="P1",RIGHT(AB21,2)="P1")),0.5)+IF(AND(LEN(AC21)&gt;2,OR(LEFT(AC21,2)="P1",RIGHT(AC21,2)="P1")),0.5)+IF(AND(LEN(AD21)&gt;2,OR(LEFT(AD21,2)="P1",RIGHT(AD21,2)="P1")),0.5)+IF(AND(LEN(AE21)&gt;2,OR(LEFT(AE371,2)="P1",RIGHT(AE21,2)="P1")),0.5)+IF(AND(LEN(AF21)&gt;2,OR(LEFT(AF21,2)="P1",RIGHT(AF21,2)="P1")),0.5)+IF(AND(LEN(AG21)&gt;2,OR(LEFT(AG21,2)="P1",RIGHT(AG21,2)="P1")),0.5)+IF(AND(LEN(AH21)&gt;2,OR(LEFT(AH21,2)="P1",RIGHT(AH21,2)="P1")),0.5)+IF(AND(LEN(AI21)&gt;2,OR(LEFT(AI21,2)="P1",RIGHT(AI21,2)="P1")),0.5)+IF(AND(LEN(AJ21)&gt;2,OR(LEFT(AJ21,2)="P1",RIGHT(AJ21,2)="P1")),0.5)+IF(AND(LEN(AK21)&gt;2,OR(LEFT(AK21,2)="P1",RIGHT(AK21,2)="P1")),0.5)+IF(AND(LEN(AL21)&gt;2,OR(LEFT(AL21,2)="P1",RIGHT(AL21,2)="P1")),0.5)</f>
        <v>0.5</v>
      </c>
      <c r="AR21" s="470">
        <f t="shared" ref="AR21:AR24" si="68">IF(G21="","",AM21+AN21+AP21+AQ21)</f>
        <v>22.5</v>
      </c>
      <c r="AS21" s="471">
        <f t="shared" ref="AS21:AS24" si="69">IF(F21="","",COUNTIF($H21:$AL21,AS$8))++IF(F21="","",COUNTIF($H21:$AL21,"L1")/2)</f>
        <v>0</v>
      </c>
      <c r="AT21" s="472">
        <f t="shared" ref="AT21:AT24" si="70">AU21-AR21-AS21</f>
        <v>0.5</v>
      </c>
      <c r="AU21" s="115">
        <v>23</v>
      </c>
      <c r="AV21" s="455"/>
    </row>
    <row r="22" spans="1:48" ht="39" customHeight="1" x14ac:dyDescent="0.25">
      <c r="A22" s="449">
        <f t="shared" si="4"/>
        <v>12</v>
      </c>
      <c r="B22" s="463" t="s">
        <v>391</v>
      </c>
      <c r="C22" s="388" t="s">
        <v>338</v>
      </c>
      <c r="D22" s="388" t="s">
        <v>349</v>
      </c>
      <c r="E22" s="464"/>
      <c r="F22" s="374" t="s">
        <v>393</v>
      </c>
      <c r="G22" s="465" t="s">
        <v>100</v>
      </c>
      <c r="H22" s="106" t="s">
        <v>73</v>
      </c>
      <c r="I22" s="106" t="s">
        <v>73</v>
      </c>
      <c r="J22" s="106" t="s">
        <v>73</v>
      </c>
      <c r="K22" s="106"/>
      <c r="L22" s="106"/>
      <c r="M22" s="106" t="s">
        <v>73</v>
      </c>
      <c r="N22" s="106" t="s">
        <v>73</v>
      </c>
      <c r="O22" s="106" t="s">
        <v>73</v>
      </c>
      <c r="P22" s="106" t="s">
        <v>73</v>
      </c>
      <c r="Q22" s="106" t="s">
        <v>73</v>
      </c>
      <c r="R22" s="106"/>
      <c r="S22" s="106"/>
      <c r="T22" s="106" t="s">
        <v>73</v>
      </c>
      <c r="U22" s="106" t="s">
        <v>73</v>
      </c>
      <c r="V22" s="106" t="s">
        <v>73</v>
      </c>
      <c r="W22" s="106" t="s">
        <v>73</v>
      </c>
      <c r="X22" s="106" t="s">
        <v>73</v>
      </c>
      <c r="Y22" s="106"/>
      <c r="Z22" s="106"/>
      <c r="AA22" s="106" t="s">
        <v>73</v>
      </c>
      <c r="AB22" s="106" t="s">
        <v>73</v>
      </c>
      <c r="AC22" s="106" t="s">
        <v>73</v>
      </c>
      <c r="AD22" s="106" t="s">
        <v>73</v>
      </c>
      <c r="AE22" s="106" t="s">
        <v>73</v>
      </c>
      <c r="AF22" s="106"/>
      <c r="AG22" s="106"/>
      <c r="AH22" s="106" t="s">
        <v>73</v>
      </c>
      <c r="AI22" s="106" t="s">
        <v>73</v>
      </c>
      <c r="AJ22" s="106" t="s">
        <v>73</v>
      </c>
      <c r="AK22" s="106" t="s">
        <v>73</v>
      </c>
      <c r="AL22" s="106" t="s">
        <v>73</v>
      </c>
      <c r="AM22" s="466">
        <f t="shared" si="64"/>
        <v>23</v>
      </c>
      <c r="AN22" s="467">
        <f t="shared" si="65"/>
        <v>0</v>
      </c>
      <c r="AO22" s="468">
        <f t="shared" si="66"/>
        <v>0</v>
      </c>
      <c r="AP22" s="469">
        <f t="shared" si="67"/>
        <v>0</v>
      </c>
      <c r="AQ22" s="474">
        <f>COUNTIF($H22:$AL22,"P")+COUNTIF($H22:$AL22,"P1")/2+IF(AND(LEN(I22)&gt;2,OR(LEFT(I22,2)="P1",RIGHT(I22,2)="P1")),0.5)+IF(AND(LEN(J22)&gt;2,OR(LEFT(J22,2)="P1",RIGHT(J22,2)="P1")),0.5)+IF(AND(LEN(K22)&gt;2,OR(LEFT(K22,2)="P1",RIGHT(K22,2)="P1")),0.5)+IF(AND(LEN(L22)&gt;2,OR(LEFT(L22,2)="P1",RIGHT(L22,2)="P1")),0.5)+IF(AND(LEN(M22)&gt;2,OR(LEFT(M22,2)="P1",RIGHT(M22,2)="P1")),0.5)+IF(AND(LEN(N22)&gt;2,OR(LEFT(N22,2)="P1",RIGHT(N22,2)="P1")),0.5)+IF(AND(LEN(O22)&gt;2,OR(LEFT(O22,2)="P1",RIGHT(O22,2)="P1")),0.5)+IF(AND(LEN(P22)&gt;2,OR(LEFT(P22,2)="P1",RIGHT(P22,2)="P1")),0.5)+IF(AND(LEN(Q22)&gt;2,OR(LEFT(Q22,2)="P1",RIGHT(Q22,2)="P1")),0.5)+IF(AND(LEN(R22)&gt;2,OR(LEFT(R22,2)="P1",RIGHT(R22,2)="P1")),0.5)+IF(AND(LEN(S22)&gt;2,OR(LEFT(S22,2)="P1",RIGHT(S22,2)="P1")),0.5)+IF(AND(LEN(T22)&gt;2,OR(LEFT(T22,2)="P1",RIGHT(T22,2)="P1")),0.5)+IF(AND(LEN(U22)&gt;2,OR(LEFT(U22,2)="P1",RIGHT(U22,2)="P1")),0.5)+IF(AND(LEN(V22)&gt;2,OR(LEFT(V22,2)="P1",RIGHT(V22,2)="P1")),0.5)+IF(AND(LEN(W22)&gt;2,OR(LEFT(W22,2)="P1",RIGHT(W22,2)="P1")),0.5)+IF(AND(LEN(X22)&gt;2,OR(LEFT(X22,2)="P1",RIGHT(X22,2)="P1")),0.5)+IF(AND(LEN(Y22)&gt;2,OR(LEFT(Y22,2)="P1",RIGHT(Y22,2)="P1")),0.5)+IF(AND(LEN(Z22)&gt;2,OR(LEFT(Z22,2)="P1",RIGHT(Z22,2)="P1")),0.5)+IF(AND(LEN(AA22)&gt;2,OR(LEFT(AA22,2)="P1",RIGHT(AA22,2)="P1")),0.5)+IF(AND(LEN(AB22)&gt;2,OR(LEFT(AB22,2)="P1",RIGHT(AB22,2)="P1")),0.5)+IF(AND(LEN(AC22)&gt;2,OR(LEFT(AC22,2)="P1",RIGHT(AC22,2)="P1")),0.5)+IF(AND(LEN(AD22)&gt;2,OR(LEFT(AD22,2)="P1",RIGHT(AD22,2)="P1")),0.5)+IF(AND(LEN(AE22)&gt;2,OR(LEFT(AE372,2)="P1",RIGHT(AE22,2)="P1")),0.5)+IF(AND(LEN(AF22)&gt;2,OR(LEFT(AF22,2)="P1",RIGHT(AF22,2)="P1")),0.5)+IF(AND(LEN(AG22)&gt;2,OR(LEFT(AG22,2)="P1",RIGHT(AG22,2)="P1")),0.5)+IF(AND(LEN(AH22)&gt;2,OR(LEFT(AH22,2)="P1",RIGHT(AH22,2)="P1")),0.5)+IF(AND(LEN(AI22)&gt;2,OR(LEFT(AI22,2)="P1",RIGHT(AI22,2)="P1")),0.5)+IF(AND(LEN(AJ22)&gt;2,OR(LEFT(AJ22,2)="P1",RIGHT(AJ22,2)="P1")),0.5)+IF(AND(LEN(AK22)&gt;2,OR(LEFT(AK22,2)="P1",RIGHT(AK22,2)="P1")),0.5)+IF(AND(LEN(AL22)&gt;2,OR(LEFT(AL22,2)="P1",RIGHT(AL22,2)="P1")),0.5)</f>
        <v>0</v>
      </c>
      <c r="AR22" s="470">
        <f t="shared" si="68"/>
        <v>23</v>
      </c>
      <c r="AS22" s="471">
        <f t="shared" si="69"/>
        <v>0</v>
      </c>
      <c r="AT22" s="472">
        <f t="shared" si="70"/>
        <v>0</v>
      </c>
      <c r="AU22" s="115">
        <v>23</v>
      </c>
      <c r="AV22" s="455"/>
    </row>
    <row r="23" spans="1:48" ht="39" customHeight="1" x14ac:dyDescent="0.25">
      <c r="A23" s="449">
        <f t="shared" si="4"/>
        <v>13</v>
      </c>
      <c r="B23" s="463" t="s">
        <v>394</v>
      </c>
      <c r="C23" s="388" t="s">
        <v>338</v>
      </c>
      <c r="D23" s="388" t="s">
        <v>349</v>
      </c>
      <c r="E23" s="464"/>
      <c r="F23" s="374" t="s">
        <v>395</v>
      </c>
      <c r="G23" s="465" t="s">
        <v>396</v>
      </c>
      <c r="H23" s="106" t="s">
        <v>73</v>
      </c>
      <c r="I23" s="106" t="s">
        <v>73</v>
      </c>
      <c r="J23" s="106" t="s">
        <v>73</v>
      </c>
      <c r="K23" s="106"/>
      <c r="L23" s="106"/>
      <c r="M23" s="106" t="s">
        <v>73</v>
      </c>
      <c r="N23" s="106" t="s">
        <v>73</v>
      </c>
      <c r="O23" s="106" t="s">
        <v>73</v>
      </c>
      <c r="P23" s="106" t="s">
        <v>73</v>
      </c>
      <c r="Q23" s="106" t="s">
        <v>78</v>
      </c>
      <c r="R23" s="106"/>
      <c r="S23" s="106"/>
      <c r="T23" s="106" t="s">
        <v>73</v>
      </c>
      <c r="U23" s="106" t="s">
        <v>73</v>
      </c>
      <c r="V23" s="106" t="s">
        <v>73</v>
      </c>
      <c r="W23" s="106" t="s">
        <v>73</v>
      </c>
      <c r="X23" s="106" t="s">
        <v>73</v>
      </c>
      <c r="Y23" s="106"/>
      <c r="Z23" s="106"/>
      <c r="AA23" s="106" t="s">
        <v>73</v>
      </c>
      <c r="AB23" s="106" t="s">
        <v>73</v>
      </c>
      <c r="AC23" s="106" t="s">
        <v>73</v>
      </c>
      <c r="AD23" s="106" t="s">
        <v>73</v>
      </c>
      <c r="AE23" s="106" t="s">
        <v>73</v>
      </c>
      <c r="AF23" s="106"/>
      <c r="AG23" s="106"/>
      <c r="AH23" s="106" t="s">
        <v>73</v>
      </c>
      <c r="AI23" s="106" t="s">
        <v>73</v>
      </c>
      <c r="AJ23" s="106" t="s">
        <v>73</v>
      </c>
      <c r="AK23" s="106" t="s">
        <v>73</v>
      </c>
      <c r="AL23" s="106" t="s">
        <v>73</v>
      </c>
      <c r="AM23" s="466">
        <f t="shared" si="64"/>
        <v>22</v>
      </c>
      <c r="AN23" s="467">
        <f t="shared" si="65"/>
        <v>0</v>
      </c>
      <c r="AO23" s="468">
        <f t="shared" si="66"/>
        <v>0</v>
      </c>
      <c r="AP23" s="469">
        <f t="shared" si="67"/>
        <v>0</v>
      </c>
      <c r="AQ23" s="474">
        <f>COUNTIF($H23:$AL23,"P")+COUNTIF($H23:$AL23,"P1")/2+IF(AND(LEN(I23)&gt;2,OR(LEFT(I23,2)="P1",RIGHT(I23,2)="P1")),0.5)+IF(AND(LEN(J23)&gt;2,OR(LEFT(J23,2)="P1",RIGHT(J23,2)="P1")),0.5)+IF(AND(LEN(K23)&gt;2,OR(LEFT(K23,2)="P1",RIGHT(K23,2)="P1")),0.5)+IF(AND(LEN(L23)&gt;2,OR(LEFT(L23,2)="P1",RIGHT(L23,2)="P1")),0.5)+IF(AND(LEN(M23)&gt;2,OR(LEFT(M23,2)="P1",RIGHT(M23,2)="P1")),0.5)+IF(AND(LEN(N23)&gt;2,OR(LEFT(N23,2)="P1",RIGHT(N23,2)="P1")),0.5)+IF(AND(LEN(O23)&gt;2,OR(LEFT(O23,2)="P1",RIGHT(O23,2)="P1")),0.5)+IF(AND(LEN(P23)&gt;2,OR(LEFT(P23,2)="P1",RIGHT(P23,2)="P1")),0.5)+IF(AND(LEN(Q23)&gt;2,OR(LEFT(Q23,2)="P1",RIGHT(Q23,2)="P1")),0.5)+IF(AND(LEN(R23)&gt;2,OR(LEFT(R23,2)="P1",RIGHT(R23,2)="P1")),0.5)+IF(AND(LEN(S23)&gt;2,OR(LEFT(S23,2)="P1",RIGHT(S23,2)="P1")),0.5)+IF(AND(LEN(T23)&gt;2,OR(LEFT(T23,2)="P1",RIGHT(T23,2)="P1")),0.5)+IF(AND(LEN(U23)&gt;2,OR(LEFT(U23,2)="P1",RIGHT(U23,2)="P1")),0.5)+IF(AND(LEN(V23)&gt;2,OR(LEFT(V23,2)="P1",RIGHT(V23,2)="P1")),0.5)+IF(AND(LEN(W23)&gt;2,OR(LEFT(W23,2)="P1",RIGHT(W23,2)="P1")),0.5)+IF(AND(LEN(X23)&gt;2,OR(LEFT(X23,2)="P1",RIGHT(X23,2)="P1")),0.5)+IF(AND(LEN(Y23)&gt;2,OR(LEFT(Y23,2)="P1",RIGHT(Y23,2)="P1")),0.5)+IF(AND(LEN(Z23)&gt;2,OR(LEFT(Z23,2)="P1",RIGHT(Z23,2)="P1")),0.5)+IF(AND(LEN(AA23)&gt;2,OR(LEFT(AA23,2)="P1",RIGHT(AA23,2)="P1")),0.5)+IF(AND(LEN(AB23)&gt;2,OR(LEFT(AB23,2)="P1",RIGHT(AB23,2)="P1")),0.5)+IF(AND(LEN(AC23)&gt;2,OR(LEFT(AC23,2)="P1",RIGHT(AC23,2)="P1")),0.5)+IF(AND(LEN(AD23)&gt;2,OR(LEFT(AD23,2)="P1",RIGHT(AD23,2)="P1")),0.5)+IF(AND(LEN(AE23)&gt;2,OR(LEFT(AE373,2)="P1",RIGHT(AE23,2)="P1")),0.5)+IF(AND(LEN(AF23)&gt;2,OR(LEFT(AF23,2)="P1",RIGHT(AF23,2)="P1")),0.5)+IF(AND(LEN(AG23)&gt;2,OR(LEFT(AG23,2)="P1",RIGHT(AG23,2)="P1")),0.5)+IF(AND(LEN(AH23)&gt;2,OR(LEFT(AH23,2)="P1",RIGHT(AH23,2)="P1")),0.5)+IF(AND(LEN(AI23)&gt;2,OR(LEFT(AI23,2)="P1",RIGHT(AI23,2)="P1")),0.5)+IF(AND(LEN(AJ23)&gt;2,OR(LEFT(AJ23,2)="P1",RIGHT(AJ23,2)="P1")),0.5)+IF(AND(LEN(AK23)&gt;2,OR(LEFT(AK23,2)="P1",RIGHT(AK23,2)="P1")),0.5)+IF(AND(LEN(AL23)&gt;2,OR(LEFT(AL23,2)="P1",RIGHT(AL23,2)="P1")),0.5)</f>
        <v>0.5</v>
      </c>
      <c r="AR23" s="470">
        <f t="shared" si="68"/>
        <v>22.5</v>
      </c>
      <c r="AS23" s="471">
        <f t="shared" si="69"/>
        <v>0</v>
      </c>
      <c r="AT23" s="472">
        <f t="shared" si="70"/>
        <v>0.5</v>
      </c>
      <c r="AU23" s="115">
        <v>23</v>
      </c>
      <c r="AV23" s="455"/>
    </row>
    <row r="24" spans="1:48" ht="39" customHeight="1" x14ac:dyDescent="0.25">
      <c r="A24" s="449">
        <f t="shared" si="4"/>
        <v>14</v>
      </c>
      <c r="B24" s="463" t="s">
        <v>398</v>
      </c>
      <c r="C24" s="388" t="s">
        <v>320</v>
      </c>
      <c r="D24" s="388" t="s">
        <v>324</v>
      </c>
      <c r="E24" s="464"/>
      <c r="F24" s="374" t="s">
        <v>399</v>
      </c>
      <c r="G24" s="465" t="s">
        <v>396</v>
      </c>
      <c r="H24" s="106" t="s">
        <v>73</v>
      </c>
      <c r="I24" s="106" t="s">
        <v>73</v>
      </c>
      <c r="J24" s="106" t="s">
        <v>73</v>
      </c>
      <c r="K24" s="106"/>
      <c r="L24" s="106"/>
      <c r="M24" s="106" t="s">
        <v>73</v>
      </c>
      <c r="N24" s="106" t="s">
        <v>73</v>
      </c>
      <c r="O24" s="106" t="s">
        <v>73</v>
      </c>
      <c r="P24" s="106" t="s">
        <v>73</v>
      </c>
      <c r="Q24" s="106" t="s">
        <v>73</v>
      </c>
      <c r="R24" s="106"/>
      <c r="S24" s="106"/>
      <c r="T24" s="106" t="s">
        <v>73</v>
      </c>
      <c r="U24" s="106" t="s">
        <v>73</v>
      </c>
      <c r="V24" s="106" t="s">
        <v>73</v>
      </c>
      <c r="W24" s="106" t="s">
        <v>73</v>
      </c>
      <c r="X24" s="106" t="s">
        <v>73</v>
      </c>
      <c r="Y24" s="106"/>
      <c r="Z24" s="106"/>
      <c r="AA24" s="106" t="s">
        <v>73</v>
      </c>
      <c r="AB24" s="106" t="s">
        <v>73</v>
      </c>
      <c r="AC24" s="106" t="s">
        <v>73</v>
      </c>
      <c r="AD24" s="106" t="s">
        <v>73</v>
      </c>
      <c r="AE24" s="106" t="s">
        <v>73</v>
      </c>
      <c r="AF24" s="106"/>
      <c r="AG24" s="106"/>
      <c r="AH24" s="106" t="s">
        <v>73</v>
      </c>
      <c r="AI24" s="106" t="s">
        <v>73</v>
      </c>
      <c r="AJ24" s="106" t="s">
        <v>73</v>
      </c>
      <c r="AK24" s="106" t="s">
        <v>73</v>
      </c>
      <c r="AL24" s="106" t="s">
        <v>73</v>
      </c>
      <c r="AM24" s="466">
        <f t="shared" si="64"/>
        <v>23</v>
      </c>
      <c r="AN24" s="467">
        <f t="shared" si="65"/>
        <v>0</v>
      </c>
      <c r="AO24" s="468">
        <f t="shared" si="66"/>
        <v>0</v>
      </c>
      <c r="AP24" s="469">
        <f t="shared" si="67"/>
        <v>0</v>
      </c>
      <c r="AQ24" s="474">
        <f t="shared" ref="AQ24" si="71">COUNTIF($H24:$AL24,"P")+COUNTIF($H24:$AL24,"P1")/2+IF(AND(LEN(I24)&gt;2,OR(LEFT(I24,2)="P1",RIGHT(I24,2)="P1")),0.5)+IF(AND(LEN(J24)&gt;2,OR(LEFT(J24,2)="P1",RIGHT(J24,2)="P1")),0.5)+IF(AND(LEN(K24)&gt;2,OR(LEFT(K24,2)="P1",RIGHT(K24,2)="P1")),0.5)+IF(AND(LEN(L24)&gt;2,OR(LEFT(L24,2)="P1",RIGHT(L24,2)="P1")),0.5)+IF(AND(LEN(M24)&gt;2,OR(LEFT(M24,2)="P1",RIGHT(M24,2)="P1")),0.5)+IF(AND(LEN(N24)&gt;2,OR(LEFT(N24,2)="P1",RIGHT(N24,2)="P1")),0.5)+IF(AND(LEN(O24)&gt;2,OR(LEFT(O24,2)="P1",RIGHT(O24,2)="P1")),0.5)+IF(AND(LEN(P24)&gt;2,OR(LEFT(P24,2)="P1",RIGHT(P24,2)="P1")),0.5)+IF(AND(LEN(Q24)&gt;2,OR(LEFT(Q24,2)="P1",RIGHT(Q24,2)="P1")),0.5)+IF(AND(LEN(R24)&gt;2,OR(LEFT(R24,2)="P1",RIGHT(R24,2)="P1")),0.5)+IF(AND(LEN(S24)&gt;2,OR(LEFT(S24,2)="P1",RIGHT(S24,2)="P1")),0.5)+IF(AND(LEN(T24)&gt;2,OR(LEFT(T24,2)="P1",RIGHT(T24,2)="P1")),0.5)+IF(AND(LEN(U24)&gt;2,OR(LEFT(U24,2)="P1",RIGHT(U24,2)="P1")),0.5)+IF(AND(LEN(V24)&gt;2,OR(LEFT(V24,2)="P1",RIGHT(V24,2)="P1")),0.5)+IF(AND(LEN(W24)&gt;2,OR(LEFT(W24,2)="P1",RIGHT(W24,2)="P1")),0.5)+IF(AND(LEN(X24)&gt;2,OR(LEFT(X24,2)="P1",RIGHT(X24,2)="P1")),0.5)+IF(AND(LEN(Y24)&gt;2,OR(LEFT(Y24,2)="P1",RIGHT(Y24,2)="P1")),0.5)+IF(AND(LEN(Z24)&gt;2,OR(LEFT(Z24,2)="P1",RIGHT(Z24,2)="P1")),0.5)+IF(AND(LEN(AA24)&gt;2,OR(LEFT(AA24,2)="P1",RIGHT(AA24,2)="P1")),0.5)+IF(AND(LEN(AB24)&gt;2,OR(LEFT(AB24,2)="P1",RIGHT(AB24,2)="P1")),0.5)+IF(AND(LEN(AC24)&gt;2,OR(LEFT(AC24,2)="P1",RIGHT(AC24,2)="P1")),0.5)+IF(AND(LEN(AD24)&gt;2,OR(LEFT(AD24,2)="P1",RIGHT(AD24,2)="P1")),0.5)+IF(AND(LEN(AE24)&gt;2,OR(LEFT(AE374,2)="P1",RIGHT(AE24,2)="P1")),0.5)+IF(AND(LEN(AF24)&gt;2,OR(LEFT(AF24,2)="P1",RIGHT(AF24,2)="P1")),0.5)+IF(AND(LEN(AG24)&gt;2,OR(LEFT(AG24,2)="P1",RIGHT(AG24,2)="P1")),0.5)+IF(AND(LEN(AH24)&gt;2,OR(LEFT(AH24,2)="P1",RIGHT(AH24,2)="P1")),0.5)+IF(AND(LEN(AI24)&gt;2,OR(LEFT(AI24,2)="P1",RIGHT(AI24,2)="P1")),0.5)+IF(AND(LEN(AJ24)&gt;2,OR(LEFT(AJ24,2)="P1",RIGHT(AJ24,2)="P1")),0.5)+IF(AND(LEN(AK24)&gt;2,OR(LEFT(AK24,2)="P1",RIGHT(AK24,2)="P1")),0.5)+IF(AND(LEN(AL24)&gt;2,OR(LEFT(AL24,2)="P1",RIGHT(AL24,2)="P1")),0.5)</f>
        <v>0</v>
      </c>
      <c r="AR24" s="470">
        <f t="shared" si="68"/>
        <v>23</v>
      </c>
      <c r="AS24" s="471">
        <f t="shared" si="69"/>
        <v>0</v>
      </c>
      <c r="AT24" s="472">
        <f t="shared" si="70"/>
        <v>0</v>
      </c>
      <c r="AU24" s="115">
        <v>23</v>
      </c>
      <c r="AV24" s="455"/>
    </row>
    <row r="25" spans="1:48" ht="21.75" customHeight="1" x14ac:dyDescent="0.25">
      <c r="A25" s="454" t="s">
        <v>51</v>
      </c>
      <c r="B25" s="454"/>
      <c r="C25" s="454"/>
      <c r="D25" s="454"/>
      <c r="E25" s="454"/>
      <c r="F25" s="454"/>
      <c r="G25" s="454"/>
      <c r="H25" s="459"/>
      <c r="I25" s="459"/>
      <c r="J25" s="460"/>
      <c r="K25" s="459"/>
      <c r="L25" s="459"/>
      <c r="M25" s="459"/>
      <c r="N25" s="459"/>
      <c r="O25" s="459"/>
      <c r="P25" s="459"/>
      <c r="Q25" s="460"/>
      <c r="R25" s="459"/>
      <c r="S25" s="459"/>
      <c r="T25" s="459"/>
      <c r="U25" s="459"/>
      <c r="V25" s="459"/>
      <c r="W25" s="461"/>
      <c r="X25" s="460"/>
      <c r="Y25" s="459"/>
      <c r="Z25" s="459"/>
      <c r="AA25" s="459"/>
      <c r="AB25" s="459"/>
      <c r="AC25" s="459"/>
      <c r="AD25" s="461"/>
      <c r="AE25" s="460"/>
      <c r="AF25" s="459"/>
      <c r="AG25" s="459"/>
      <c r="AH25" s="459"/>
      <c r="AI25" s="459"/>
      <c r="AJ25" s="459"/>
      <c r="AK25" s="461"/>
      <c r="AL25" s="460"/>
      <c r="AM25" s="462">
        <f>SUBTOTAL(9,AM11:AM11)</f>
        <v>11</v>
      </c>
      <c r="AN25" s="462">
        <f>SUBTOTAL(9,AN11:AN19)</f>
        <v>0.5</v>
      </c>
      <c r="AO25" s="462">
        <f>SUBTOTAL(9,AO11:AO19)</f>
        <v>9</v>
      </c>
      <c r="AP25" s="462">
        <f>SUBTOTAL(9,AP11:AP19)</f>
        <v>0</v>
      </c>
      <c r="AQ25" s="462">
        <f>SUBTOTAL(9,AQ11:AQ11)</f>
        <v>3</v>
      </c>
      <c r="AR25" s="462">
        <f>SUBTOTAL(9,AR11:AR19)</f>
        <v>195.5</v>
      </c>
      <c r="AS25" s="462">
        <f>SUBTOTAL(9,AS11:AS19)</f>
        <v>0</v>
      </c>
      <c r="AT25" s="462">
        <f>SUBTOTAL(9,AT11:AT19)</f>
        <v>11.5</v>
      </c>
      <c r="AU25" s="462">
        <f>SUBTOTAL(9,AU11:AU19)</f>
        <v>207</v>
      </c>
      <c r="AV25" s="119"/>
    </row>
    <row r="26" spans="1:48" ht="14.25" customHeight="1" x14ac:dyDescent="0.25">
      <c r="A26" s="120"/>
      <c r="B26" s="121" t="s">
        <v>104</v>
      </c>
      <c r="C26" s="122">
        <f t="shared" ref="C26:AV26" si="72">B26+1</f>
        <v>2</v>
      </c>
      <c r="D26" s="122">
        <f t="shared" si="72"/>
        <v>3</v>
      </c>
      <c r="E26" s="122">
        <f t="shared" si="72"/>
        <v>4</v>
      </c>
      <c r="F26" s="122">
        <f t="shared" si="72"/>
        <v>5</v>
      </c>
      <c r="G26" s="122">
        <f t="shared" si="72"/>
        <v>6</v>
      </c>
      <c r="H26" s="122">
        <f t="shared" si="72"/>
        <v>7</v>
      </c>
      <c r="I26" s="122">
        <f t="shared" si="72"/>
        <v>8</v>
      </c>
      <c r="J26" s="122">
        <f t="shared" si="72"/>
        <v>9</v>
      </c>
      <c r="K26" s="122">
        <f t="shared" si="72"/>
        <v>10</v>
      </c>
      <c r="L26" s="122">
        <f t="shared" si="72"/>
        <v>11</v>
      </c>
      <c r="M26" s="122">
        <f t="shared" si="72"/>
        <v>12</v>
      </c>
      <c r="N26" s="122">
        <f t="shared" si="72"/>
        <v>13</v>
      </c>
      <c r="O26" s="122">
        <f t="shared" si="72"/>
        <v>14</v>
      </c>
      <c r="P26" s="122">
        <f t="shared" si="72"/>
        <v>15</v>
      </c>
      <c r="Q26" s="122">
        <f t="shared" si="72"/>
        <v>16</v>
      </c>
      <c r="R26" s="122">
        <f t="shared" si="72"/>
        <v>17</v>
      </c>
      <c r="S26" s="122">
        <f t="shared" si="72"/>
        <v>18</v>
      </c>
      <c r="T26" s="122">
        <f t="shared" si="72"/>
        <v>19</v>
      </c>
      <c r="U26" s="122">
        <f t="shared" si="72"/>
        <v>20</v>
      </c>
      <c r="V26" s="122">
        <f t="shared" si="72"/>
        <v>21</v>
      </c>
      <c r="W26" s="122">
        <f t="shared" si="72"/>
        <v>22</v>
      </c>
      <c r="X26" s="122">
        <f t="shared" si="72"/>
        <v>23</v>
      </c>
      <c r="Y26" s="122">
        <f t="shared" si="72"/>
        <v>24</v>
      </c>
      <c r="Z26" s="122">
        <f t="shared" si="72"/>
        <v>25</v>
      </c>
      <c r="AA26" s="122">
        <f t="shared" si="72"/>
        <v>26</v>
      </c>
      <c r="AB26" s="122">
        <f t="shared" si="72"/>
        <v>27</v>
      </c>
      <c r="AC26" s="122">
        <f t="shared" si="72"/>
        <v>28</v>
      </c>
      <c r="AD26" s="122">
        <f t="shared" si="72"/>
        <v>29</v>
      </c>
      <c r="AE26" s="122">
        <f t="shared" si="72"/>
        <v>30</v>
      </c>
      <c r="AF26" s="122">
        <f t="shared" si="72"/>
        <v>31</v>
      </c>
      <c r="AG26" s="122">
        <f t="shared" si="72"/>
        <v>32</v>
      </c>
      <c r="AH26" s="122">
        <f t="shared" si="72"/>
        <v>33</v>
      </c>
      <c r="AI26" s="122">
        <f t="shared" si="72"/>
        <v>34</v>
      </c>
      <c r="AJ26" s="122">
        <f t="shared" si="72"/>
        <v>35</v>
      </c>
      <c r="AK26" s="122">
        <f t="shared" si="72"/>
        <v>36</v>
      </c>
      <c r="AL26" s="122">
        <f t="shared" si="72"/>
        <v>37</v>
      </c>
      <c r="AM26" s="122">
        <f>AL26+1</f>
        <v>38</v>
      </c>
      <c r="AN26" s="122">
        <f t="shared" si="72"/>
        <v>39</v>
      </c>
      <c r="AO26" s="122">
        <f t="shared" si="72"/>
        <v>40</v>
      </c>
      <c r="AP26" s="122">
        <f t="shared" si="72"/>
        <v>41</v>
      </c>
      <c r="AQ26" s="122">
        <f t="shared" si="72"/>
        <v>42</v>
      </c>
      <c r="AR26" s="122">
        <f t="shared" si="72"/>
        <v>43</v>
      </c>
      <c r="AS26" s="122">
        <f t="shared" si="72"/>
        <v>44</v>
      </c>
      <c r="AT26" s="122">
        <f t="shared" si="72"/>
        <v>45</v>
      </c>
      <c r="AU26" s="122">
        <f t="shared" si="72"/>
        <v>46</v>
      </c>
      <c r="AV26" s="122">
        <f t="shared" si="72"/>
        <v>47</v>
      </c>
    </row>
    <row r="27" spans="1:48" ht="21.75" customHeight="1" x14ac:dyDescent="0.25">
      <c r="A27" s="120"/>
      <c r="B27" s="121"/>
      <c r="C27" s="123"/>
      <c r="D27" s="123"/>
      <c r="E27" s="118"/>
      <c r="F27" s="124"/>
      <c r="G27" s="120"/>
      <c r="H27" s="125"/>
      <c r="I27" s="125"/>
      <c r="J27" s="125"/>
      <c r="K27" s="125"/>
      <c r="L27" s="125"/>
      <c r="M27" s="125"/>
      <c r="N27" s="125"/>
      <c r="O27" s="125"/>
      <c r="P27" s="125"/>
      <c r="Q27" s="125"/>
      <c r="R27" s="125"/>
      <c r="S27" s="125"/>
      <c r="T27" s="125"/>
      <c r="U27" s="125"/>
      <c r="V27" s="125"/>
      <c r="W27" s="125"/>
      <c r="X27" s="125"/>
      <c r="Y27" s="125"/>
      <c r="Z27" s="125"/>
      <c r="AA27" s="125"/>
      <c r="AB27" s="125"/>
      <c r="AC27" s="125"/>
      <c r="AJ27" s="126"/>
      <c r="AK27" s="126"/>
      <c r="AL27" s="126"/>
      <c r="AM27" s="493" t="s">
        <v>346</v>
      </c>
      <c r="AN27" s="491"/>
      <c r="AO27" s="491"/>
      <c r="AP27" s="491"/>
      <c r="AQ27" s="491"/>
      <c r="AR27" s="491"/>
      <c r="AS27" s="492"/>
      <c r="AT27" s="127"/>
      <c r="AU27" s="128"/>
      <c r="AV27" s="129"/>
    </row>
    <row r="28" spans="1:48" ht="32.25" customHeight="1" x14ac:dyDescent="0.25">
      <c r="A28" s="120"/>
      <c r="B28" s="121"/>
      <c r="C28" s="130"/>
      <c r="D28" s="514" t="s">
        <v>99</v>
      </c>
      <c r="E28" s="509"/>
      <c r="F28" s="509"/>
      <c r="G28" s="130"/>
      <c r="I28" s="130"/>
      <c r="J28" s="132"/>
      <c r="K28" s="132"/>
      <c r="L28" s="132"/>
      <c r="M28" s="490" t="s">
        <v>105</v>
      </c>
      <c r="N28" s="491"/>
      <c r="O28" s="491"/>
      <c r="P28" s="491"/>
      <c r="Q28" s="491"/>
      <c r="R28" s="491"/>
      <c r="S28" s="491"/>
      <c r="T28" s="491"/>
      <c r="U28" s="492"/>
      <c r="V28" s="133"/>
      <c r="W28" s="133"/>
      <c r="X28" s="133"/>
      <c r="Y28" s="133"/>
      <c r="Z28" s="490" t="s">
        <v>106</v>
      </c>
      <c r="AA28" s="491"/>
      <c r="AB28" s="491"/>
      <c r="AC28" s="491"/>
      <c r="AD28" s="491"/>
      <c r="AE28" s="491"/>
      <c r="AF28" s="491"/>
      <c r="AG28" s="491"/>
      <c r="AH28" s="492"/>
      <c r="AJ28" s="134"/>
      <c r="AK28" s="134"/>
      <c r="AL28" s="134"/>
      <c r="AM28" s="490" t="s">
        <v>38</v>
      </c>
      <c r="AN28" s="491"/>
      <c r="AO28" s="491"/>
      <c r="AP28" s="491"/>
      <c r="AQ28" s="491"/>
      <c r="AR28" s="491"/>
      <c r="AS28" s="492"/>
      <c r="AT28" s="127"/>
      <c r="AU28" s="128"/>
      <c r="AV28" s="129"/>
    </row>
    <row r="29" spans="1:48" ht="33.75" customHeight="1" x14ac:dyDescent="0.25">
      <c r="A29" s="120"/>
      <c r="B29" s="121"/>
      <c r="C29" s="123"/>
      <c r="D29" s="125"/>
      <c r="E29" s="125"/>
      <c r="F29" s="125"/>
      <c r="G29" s="131"/>
      <c r="H29" s="125"/>
      <c r="I29" s="125"/>
      <c r="J29" s="125"/>
      <c r="K29" s="125"/>
      <c r="L29" s="125"/>
      <c r="M29" s="125"/>
      <c r="N29" s="125"/>
      <c r="O29" s="125"/>
      <c r="P29" s="125"/>
      <c r="Q29" s="125"/>
      <c r="R29" s="125"/>
      <c r="S29" s="125"/>
      <c r="T29" s="125"/>
      <c r="V29" s="125"/>
      <c r="W29" s="125"/>
      <c r="X29" s="125"/>
      <c r="Y29" s="125"/>
      <c r="Z29" s="125"/>
      <c r="AA29" s="125"/>
      <c r="AB29" s="125"/>
      <c r="AC29" s="125"/>
      <c r="AD29" s="125"/>
      <c r="AE29" s="125"/>
      <c r="AF29" s="125"/>
      <c r="AG29" s="125"/>
      <c r="AH29" s="125"/>
      <c r="AI29" s="125"/>
      <c r="AJ29" s="125"/>
      <c r="AK29" s="125"/>
      <c r="AL29" s="125"/>
      <c r="AM29" s="125"/>
      <c r="AN29" s="125"/>
      <c r="AO29" s="125"/>
      <c r="AP29" s="135"/>
      <c r="AQ29" s="136"/>
      <c r="AR29" s="137"/>
      <c r="AS29" s="138"/>
      <c r="AT29" s="127"/>
      <c r="AU29" s="128"/>
      <c r="AV29" s="129"/>
    </row>
    <row r="30" spans="1:48" ht="33.75" customHeight="1" x14ac:dyDescent="0.25">
      <c r="A30" s="120"/>
      <c r="B30" s="121"/>
      <c r="C30" s="130"/>
      <c r="D30" s="514"/>
      <c r="E30" s="509"/>
      <c r="F30" s="509"/>
      <c r="G30" s="130"/>
      <c r="H30" s="130"/>
      <c r="I30" s="132"/>
      <c r="J30" s="132"/>
      <c r="K30" s="132"/>
      <c r="L30" s="132"/>
      <c r="M30" s="490"/>
      <c r="N30" s="491"/>
      <c r="O30" s="491"/>
      <c r="P30" s="491"/>
      <c r="Q30" s="491"/>
      <c r="R30" s="491"/>
      <c r="S30" s="491"/>
      <c r="T30" s="491"/>
      <c r="U30" s="492"/>
      <c r="V30" s="133"/>
      <c r="W30" s="133"/>
      <c r="X30" s="133"/>
      <c r="Y30" s="133"/>
      <c r="Z30" s="133"/>
      <c r="AC30" s="490"/>
      <c r="AD30" s="491"/>
      <c r="AE30" s="491"/>
      <c r="AF30" s="491"/>
      <c r="AG30" s="491"/>
      <c r="AH30" s="492"/>
      <c r="AJ30" s="134"/>
      <c r="AK30" s="134"/>
      <c r="AL30" s="134"/>
      <c r="AM30" s="490"/>
      <c r="AN30" s="491"/>
      <c r="AO30" s="491"/>
      <c r="AP30" s="491"/>
      <c r="AQ30" s="491"/>
      <c r="AR30" s="491"/>
      <c r="AS30" s="492"/>
      <c r="AT30" s="127"/>
      <c r="AU30" s="128"/>
      <c r="AV30" s="129"/>
    </row>
    <row r="31" spans="1:48" ht="15.75" customHeight="1" x14ac:dyDescent="0.25">
      <c r="B31" s="139"/>
      <c r="G31" s="140"/>
    </row>
    <row r="32" spans="1:48" ht="15.75" customHeight="1" x14ac:dyDescent="0.25">
      <c r="B32" s="139"/>
      <c r="G32" s="140"/>
    </row>
    <row r="33" spans="2:7" ht="15.75" customHeight="1" x14ac:dyDescent="0.25">
      <c r="B33" s="139"/>
      <c r="G33" s="140"/>
    </row>
    <row r="34" spans="2:7" ht="15.75" customHeight="1" x14ac:dyDescent="0.25">
      <c r="B34" s="139"/>
      <c r="G34" s="140"/>
    </row>
    <row r="35" spans="2:7" ht="15.75" customHeight="1" x14ac:dyDescent="0.25">
      <c r="B35" s="139"/>
      <c r="G35" s="140"/>
    </row>
    <row r="36" spans="2:7" ht="15.75" customHeight="1" x14ac:dyDescent="0.25">
      <c r="B36" s="139"/>
      <c r="G36" s="140"/>
    </row>
    <row r="37" spans="2:7" ht="15.75" customHeight="1" x14ac:dyDescent="0.25">
      <c r="B37" s="139"/>
      <c r="G37" s="140"/>
    </row>
    <row r="38" spans="2:7" ht="15.75" customHeight="1" x14ac:dyDescent="0.25">
      <c r="B38" s="139"/>
      <c r="G38" s="140"/>
    </row>
    <row r="39" spans="2:7" ht="15.75" customHeight="1" x14ac:dyDescent="0.25">
      <c r="B39" s="139"/>
      <c r="G39" s="140"/>
    </row>
    <row r="40" spans="2:7" ht="15.75" customHeight="1" x14ac:dyDescent="0.25">
      <c r="B40" s="139"/>
      <c r="G40" s="140"/>
    </row>
    <row r="41" spans="2:7" ht="15.75" customHeight="1" x14ac:dyDescent="0.25">
      <c r="B41" s="139"/>
      <c r="G41" s="140"/>
    </row>
    <row r="42" spans="2:7" ht="15.75" customHeight="1" x14ac:dyDescent="0.25">
      <c r="B42" s="139"/>
      <c r="G42" s="140"/>
    </row>
    <row r="43" spans="2:7" ht="15.75" customHeight="1" x14ac:dyDescent="0.25">
      <c r="B43" s="139"/>
      <c r="G43" s="140"/>
    </row>
    <row r="44" spans="2:7" ht="15.75" customHeight="1" x14ac:dyDescent="0.25">
      <c r="B44" s="139"/>
      <c r="G44" s="140"/>
    </row>
    <row r="45" spans="2:7" ht="15.75" customHeight="1" x14ac:dyDescent="0.25">
      <c r="B45" s="139"/>
      <c r="G45" s="140"/>
    </row>
    <row r="46" spans="2:7" ht="15.75" customHeight="1" x14ac:dyDescent="0.25">
      <c r="B46" s="139"/>
      <c r="G46" s="140"/>
    </row>
    <row r="47" spans="2:7" ht="15.75" customHeight="1" x14ac:dyDescent="0.25">
      <c r="B47" s="139"/>
      <c r="G47" s="140"/>
    </row>
    <row r="48" spans="2:7" ht="15.75" customHeight="1" x14ac:dyDescent="0.25">
      <c r="B48" s="139"/>
      <c r="G48" s="140"/>
    </row>
    <row r="49" spans="2:7" ht="15.75" customHeight="1" x14ac:dyDescent="0.25">
      <c r="B49" s="139"/>
      <c r="G49" s="140"/>
    </row>
    <row r="50" spans="2:7" ht="15.75" customHeight="1" x14ac:dyDescent="0.25">
      <c r="B50" s="139"/>
      <c r="G50" s="140"/>
    </row>
    <row r="51" spans="2:7" ht="15.75" customHeight="1" x14ac:dyDescent="0.25">
      <c r="B51" s="139"/>
      <c r="G51" s="140"/>
    </row>
    <row r="52" spans="2:7" ht="15.75" customHeight="1" x14ac:dyDescent="0.25">
      <c r="B52" s="139"/>
      <c r="G52" s="140"/>
    </row>
    <row r="53" spans="2:7" ht="15.75" customHeight="1" x14ac:dyDescent="0.25">
      <c r="B53" s="139"/>
      <c r="G53" s="140"/>
    </row>
    <row r="54" spans="2:7" ht="15.75" customHeight="1" x14ac:dyDescent="0.25">
      <c r="B54" s="139"/>
      <c r="G54" s="140"/>
    </row>
    <row r="55" spans="2:7" ht="15.75" customHeight="1" x14ac:dyDescent="0.25">
      <c r="B55" s="139"/>
      <c r="G55" s="140"/>
    </row>
    <row r="56" spans="2:7" ht="15.75" customHeight="1" x14ac:dyDescent="0.25">
      <c r="B56" s="139"/>
      <c r="G56" s="140"/>
    </row>
    <row r="57" spans="2:7" ht="15.75" customHeight="1" x14ac:dyDescent="0.25">
      <c r="B57" s="139"/>
      <c r="G57" s="140"/>
    </row>
    <row r="58" spans="2:7" ht="15.75" customHeight="1" x14ac:dyDescent="0.25">
      <c r="B58" s="139"/>
      <c r="G58" s="140"/>
    </row>
    <row r="59" spans="2:7" ht="15.75" customHeight="1" x14ac:dyDescent="0.25">
      <c r="B59" s="139"/>
      <c r="G59" s="140"/>
    </row>
    <row r="60" spans="2:7" ht="15.75" customHeight="1" x14ac:dyDescent="0.25">
      <c r="B60" s="139"/>
      <c r="G60" s="140"/>
    </row>
    <row r="61" spans="2:7" ht="15.75" customHeight="1" x14ac:dyDescent="0.25">
      <c r="B61" s="139"/>
      <c r="G61" s="140"/>
    </row>
    <row r="62" spans="2:7" ht="15.75" customHeight="1" x14ac:dyDescent="0.25">
      <c r="B62" s="139"/>
      <c r="G62" s="140"/>
    </row>
    <row r="63" spans="2:7" ht="15.75" customHeight="1" x14ac:dyDescent="0.25">
      <c r="B63" s="139"/>
      <c r="G63" s="140"/>
    </row>
    <row r="64" spans="2:7" ht="15.75" customHeight="1" x14ac:dyDescent="0.25">
      <c r="B64" s="139"/>
      <c r="G64" s="140"/>
    </row>
    <row r="65" spans="2:7" ht="15.75" customHeight="1" x14ac:dyDescent="0.25">
      <c r="B65" s="139"/>
      <c r="G65" s="140"/>
    </row>
    <row r="66" spans="2:7" ht="15.75" customHeight="1" x14ac:dyDescent="0.25">
      <c r="B66" s="139"/>
      <c r="G66" s="140"/>
    </row>
    <row r="67" spans="2:7" ht="15.75" customHeight="1" x14ac:dyDescent="0.25">
      <c r="B67" s="139"/>
      <c r="G67" s="140"/>
    </row>
    <row r="68" spans="2:7" ht="15.75" customHeight="1" x14ac:dyDescent="0.25">
      <c r="B68" s="139"/>
      <c r="G68" s="140"/>
    </row>
    <row r="69" spans="2:7" ht="15.75" customHeight="1" x14ac:dyDescent="0.25">
      <c r="B69" s="139"/>
      <c r="G69" s="140"/>
    </row>
    <row r="70" spans="2:7" ht="15.75" customHeight="1" x14ac:dyDescent="0.25">
      <c r="B70" s="139"/>
      <c r="G70" s="140"/>
    </row>
    <row r="71" spans="2:7" ht="15.75" customHeight="1" x14ac:dyDescent="0.25">
      <c r="B71" s="139"/>
      <c r="G71" s="140"/>
    </row>
    <row r="72" spans="2:7" ht="15.75" customHeight="1" x14ac:dyDescent="0.25">
      <c r="B72" s="139"/>
      <c r="G72" s="140"/>
    </row>
    <row r="73" spans="2:7" ht="15.75" customHeight="1" x14ac:dyDescent="0.25">
      <c r="B73" s="139"/>
      <c r="G73" s="140"/>
    </row>
    <row r="74" spans="2:7" ht="15.75" customHeight="1" x14ac:dyDescent="0.25">
      <c r="B74" s="139"/>
      <c r="G74" s="140"/>
    </row>
    <row r="75" spans="2:7" ht="15.75" customHeight="1" x14ac:dyDescent="0.25">
      <c r="B75" s="139"/>
      <c r="G75" s="140"/>
    </row>
    <row r="76" spans="2:7" ht="15.75" customHeight="1" x14ac:dyDescent="0.25">
      <c r="B76" s="139"/>
      <c r="G76" s="140"/>
    </row>
    <row r="77" spans="2:7" ht="15.75" customHeight="1" x14ac:dyDescent="0.25">
      <c r="B77" s="139"/>
      <c r="G77" s="140"/>
    </row>
    <row r="78" spans="2:7" ht="15.75" customHeight="1" x14ac:dyDescent="0.25">
      <c r="B78" s="139"/>
      <c r="G78" s="140"/>
    </row>
    <row r="79" spans="2:7" ht="15.75" customHeight="1" x14ac:dyDescent="0.25">
      <c r="B79" s="139"/>
      <c r="G79" s="140"/>
    </row>
    <row r="80" spans="2:7" ht="15.75" customHeight="1" x14ac:dyDescent="0.25">
      <c r="B80" s="139"/>
      <c r="G80" s="140"/>
    </row>
    <row r="81" spans="2:7" ht="15.75" customHeight="1" x14ac:dyDescent="0.25">
      <c r="B81" s="139"/>
      <c r="G81" s="140"/>
    </row>
    <row r="82" spans="2:7" ht="15.75" customHeight="1" x14ac:dyDescent="0.25">
      <c r="B82" s="139"/>
      <c r="G82" s="140"/>
    </row>
    <row r="83" spans="2:7" ht="15.75" customHeight="1" x14ac:dyDescent="0.25">
      <c r="B83" s="139"/>
      <c r="G83" s="140"/>
    </row>
    <row r="84" spans="2:7" ht="15.75" customHeight="1" x14ac:dyDescent="0.25">
      <c r="B84" s="139"/>
      <c r="G84" s="140"/>
    </row>
    <row r="85" spans="2:7" ht="15.75" customHeight="1" x14ac:dyDescent="0.25">
      <c r="B85" s="139"/>
      <c r="G85" s="140"/>
    </row>
    <row r="86" spans="2:7" ht="15.75" customHeight="1" x14ac:dyDescent="0.25">
      <c r="B86" s="139"/>
      <c r="G86" s="140"/>
    </row>
    <row r="87" spans="2:7" ht="15.75" customHeight="1" x14ac:dyDescent="0.25">
      <c r="B87" s="139"/>
      <c r="G87" s="140"/>
    </row>
    <row r="88" spans="2:7" ht="15.75" customHeight="1" x14ac:dyDescent="0.25">
      <c r="B88" s="139"/>
      <c r="G88" s="140"/>
    </row>
    <row r="89" spans="2:7" ht="15.75" customHeight="1" x14ac:dyDescent="0.25">
      <c r="B89" s="139"/>
      <c r="G89" s="140"/>
    </row>
    <row r="90" spans="2:7" ht="15.75" customHeight="1" x14ac:dyDescent="0.25">
      <c r="B90" s="139"/>
      <c r="G90" s="140"/>
    </row>
    <row r="91" spans="2:7" ht="15.75" customHeight="1" x14ac:dyDescent="0.25">
      <c r="B91" s="139"/>
      <c r="G91" s="140"/>
    </row>
    <row r="92" spans="2:7" ht="15.75" customHeight="1" x14ac:dyDescent="0.25">
      <c r="B92" s="139"/>
      <c r="G92" s="140"/>
    </row>
    <row r="93" spans="2:7" ht="15.75" customHeight="1" x14ac:dyDescent="0.25">
      <c r="B93" s="139"/>
      <c r="G93" s="140"/>
    </row>
    <row r="94" spans="2:7" ht="15.75" customHeight="1" x14ac:dyDescent="0.25">
      <c r="B94" s="139"/>
      <c r="G94" s="140"/>
    </row>
    <row r="95" spans="2:7" ht="15.75" customHeight="1" x14ac:dyDescent="0.25">
      <c r="B95" s="139"/>
      <c r="G95" s="140"/>
    </row>
    <row r="96" spans="2:7" ht="15.75" customHeight="1" x14ac:dyDescent="0.25">
      <c r="B96" s="139"/>
      <c r="G96" s="140"/>
    </row>
    <row r="97" spans="2:7" ht="15.75" customHeight="1" x14ac:dyDescent="0.25">
      <c r="B97" s="139"/>
      <c r="G97" s="140"/>
    </row>
    <row r="98" spans="2:7" ht="15.75" customHeight="1" x14ac:dyDescent="0.25">
      <c r="B98" s="139"/>
      <c r="G98" s="140"/>
    </row>
    <row r="99" spans="2:7" ht="15.75" customHeight="1" x14ac:dyDescent="0.25">
      <c r="B99" s="139"/>
      <c r="G99" s="140"/>
    </row>
    <row r="100" spans="2:7" ht="15.75" customHeight="1" x14ac:dyDescent="0.25">
      <c r="B100" s="139"/>
      <c r="G100" s="140"/>
    </row>
    <row r="101" spans="2:7" ht="15.75" customHeight="1" x14ac:dyDescent="0.25">
      <c r="B101" s="139"/>
      <c r="G101" s="140"/>
    </row>
    <row r="102" spans="2:7" ht="15.75" customHeight="1" x14ac:dyDescent="0.25">
      <c r="B102" s="139"/>
      <c r="G102" s="140"/>
    </row>
    <row r="103" spans="2:7" ht="15.75" customHeight="1" x14ac:dyDescent="0.25">
      <c r="B103" s="139"/>
      <c r="G103" s="140"/>
    </row>
    <row r="104" spans="2:7" ht="15.75" customHeight="1" x14ac:dyDescent="0.25">
      <c r="B104" s="139"/>
      <c r="G104" s="140"/>
    </row>
    <row r="105" spans="2:7" ht="15.75" customHeight="1" x14ac:dyDescent="0.25">
      <c r="B105" s="139"/>
      <c r="G105" s="140"/>
    </row>
    <row r="106" spans="2:7" ht="15.75" customHeight="1" x14ac:dyDescent="0.25">
      <c r="B106" s="139"/>
      <c r="G106" s="140"/>
    </row>
    <row r="107" spans="2:7" ht="15.75" customHeight="1" x14ac:dyDescent="0.25">
      <c r="B107" s="139"/>
      <c r="G107" s="140"/>
    </row>
    <row r="108" spans="2:7" ht="15.75" customHeight="1" x14ac:dyDescent="0.25">
      <c r="B108" s="139"/>
      <c r="G108" s="140"/>
    </row>
    <row r="109" spans="2:7" ht="15.75" customHeight="1" x14ac:dyDescent="0.25">
      <c r="B109" s="139"/>
      <c r="G109" s="140"/>
    </row>
    <row r="110" spans="2:7" ht="15.75" customHeight="1" x14ac:dyDescent="0.25">
      <c r="B110" s="139"/>
      <c r="G110" s="140"/>
    </row>
    <row r="111" spans="2:7" ht="15.75" customHeight="1" x14ac:dyDescent="0.25">
      <c r="B111" s="139"/>
      <c r="G111" s="140"/>
    </row>
    <row r="112" spans="2:7" ht="15.75" customHeight="1" x14ac:dyDescent="0.25">
      <c r="B112" s="139"/>
      <c r="G112" s="140"/>
    </row>
    <row r="113" spans="2:7" ht="15.75" customHeight="1" x14ac:dyDescent="0.25">
      <c r="B113" s="139"/>
      <c r="G113" s="140"/>
    </row>
    <row r="114" spans="2:7" ht="15.75" customHeight="1" x14ac:dyDescent="0.25">
      <c r="B114" s="139"/>
      <c r="G114" s="140"/>
    </row>
    <row r="115" spans="2:7" ht="15.75" customHeight="1" x14ac:dyDescent="0.25">
      <c r="B115" s="139"/>
      <c r="G115" s="140"/>
    </row>
    <row r="116" spans="2:7" ht="15.75" customHeight="1" x14ac:dyDescent="0.25">
      <c r="B116" s="139"/>
      <c r="G116" s="140"/>
    </row>
    <row r="117" spans="2:7" ht="15.75" customHeight="1" x14ac:dyDescent="0.25">
      <c r="B117" s="139"/>
      <c r="G117" s="140"/>
    </row>
    <row r="118" spans="2:7" ht="15.75" customHeight="1" x14ac:dyDescent="0.25">
      <c r="B118" s="139"/>
      <c r="G118" s="140"/>
    </row>
    <row r="119" spans="2:7" ht="15.75" customHeight="1" x14ac:dyDescent="0.25">
      <c r="B119" s="139"/>
      <c r="G119" s="140"/>
    </row>
    <row r="120" spans="2:7" ht="15.75" customHeight="1" x14ac:dyDescent="0.25">
      <c r="B120" s="139"/>
      <c r="G120" s="140"/>
    </row>
    <row r="121" spans="2:7" ht="15.75" customHeight="1" x14ac:dyDescent="0.25">
      <c r="B121" s="139"/>
      <c r="G121" s="140"/>
    </row>
    <row r="122" spans="2:7" ht="15.75" customHeight="1" x14ac:dyDescent="0.25">
      <c r="B122" s="139"/>
      <c r="G122" s="140"/>
    </row>
    <row r="123" spans="2:7" ht="15.75" customHeight="1" x14ac:dyDescent="0.25">
      <c r="B123" s="139"/>
      <c r="G123" s="140"/>
    </row>
    <row r="124" spans="2:7" ht="15.75" customHeight="1" x14ac:dyDescent="0.25">
      <c r="B124" s="139"/>
      <c r="G124" s="140"/>
    </row>
    <row r="125" spans="2:7" ht="15.75" customHeight="1" x14ac:dyDescent="0.25">
      <c r="B125" s="139"/>
      <c r="G125" s="140"/>
    </row>
    <row r="126" spans="2:7" ht="15.75" customHeight="1" x14ac:dyDescent="0.25">
      <c r="B126" s="139"/>
      <c r="G126" s="140"/>
    </row>
    <row r="127" spans="2:7" ht="15.75" customHeight="1" x14ac:dyDescent="0.25">
      <c r="B127" s="139"/>
      <c r="G127" s="140"/>
    </row>
    <row r="128" spans="2:7" ht="15.75" customHeight="1" x14ac:dyDescent="0.25">
      <c r="B128" s="139"/>
      <c r="G128" s="140"/>
    </row>
    <row r="129" spans="2:7" ht="15.75" customHeight="1" x14ac:dyDescent="0.25">
      <c r="B129" s="139"/>
      <c r="G129" s="140"/>
    </row>
    <row r="130" spans="2:7" ht="15.75" customHeight="1" x14ac:dyDescent="0.25">
      <c r="B130" s="139"/>
      <c r="G130" s="140"/>
    </row>
    <row r="131" spans="2:7" ht="15.75" customHeight="1" x14ac:dyDescent="0.25">
      <c r="B131" s="139"/>
      <c r="G131" s="140"/>
    </row>
    <row r="132" spans="2:7" ht="15.75" customHeight="1" x14ac:dyDescent="0.25">
      <c r="B132" s="139"/>
      <c r="G132" s="140"/>
    </row>
    <row r="133" spans="2:7" ht="15.75" customHeight="1" x14ac:dyDescent="0.25">
      <c r="B133" s="139"/>
      <c r="G133" s="140"/>
    </row>
    <row r="134" spans="2:7" ht="15.75" customHeight="1" x14ac:dyDescent="0.25">
      <c r="B134" s="139"/>
      <c r="G134" s="140"/>
    </row>
    <row r="135" spans="2:7" ht="15.75" customHeight="1" x14ac:dyDescent="0.25">
      <c r="B135" s="139"/>
      <c r="G135" s="140"/>
    </row>
    <row r="136" spans="2:7" ht="15.75" customHeight="1" x14ac:dyDescent="0.25">
      <c r="B136" s="139"/>
      <c r="G136" s="140"/>
    </row>
    <row r="137" spans="2:7" ht="15.75" customHeight="1" x14ac:dyDescent="0.25">
      <c r="B137" s="139"/>
      <c r="G137" s="140"/>
    </row>
    <row r="138" spans="2:7" ht="15.75" customHeight="1" x14ac:dyDescent="0.25">
      <c r="B138" s="139"/>
      <c r="G138" s="140"/>
    </row>
    <row r="139" spans="2:7" ht="15.75" customHeight="1" x14ac:dyDescent="0.25">
      <c r="B139" s="139"/>
      <c r="G139" s="140"/>
    </row>
    <row r="140" spans="2:7" ht="15.75" customHeight="1" x14ac:dyDescent="0.25">
      <c r="B140" s="139"/>
      <c r="G140" s="140"/>
    </row>
    <row r="141" spans="2:7" ht="15.75" customHeight="1" x14ac:dyDescent="0.25">
      <c r="B141" s="139"/>
      <c r="G141" s="140"/>
    </row>
    <row r="142" spans="2:7" ht="15.75" customHeight="1" x14ac:dyDescent="0.25">
      <c r="B142" s="139"/>
      <c r="G142" s="140"/>
    </row>
    <row r="143" spans="2:7" ht="15.75" customHeight="1" x14ac:dyDescent="0.25">
      <c r="B143" s="139"/>
      <c r="G143" s="140"/>
    </row>
    <row r="144" spans="2:7" ht="15.75" customHeight="1" x14ac:dyDescent="0.25">
      <c r="B144" s="139"/>
      <c r="G144" s="140"/>
    </row>
    <row r="145" spans="2:7" ht="15.75" customHeight="1" x14ac:dyDescent="0.25">
      <c r="B145" s="139"/>
      <c r="G145" s="140"/>
    </row>
    <row r="146" spans="2:7" ht="15.75" customHeight="1" x14ac:dyDescent="0.25">
      <c r="B146" s="139"/>
      <c r="G146" s="140"/>
    </row>
    <row r="147" spans="2:7" ht="15.75" customHeight="1" x14ac:dyDescent="0.25">
      <c r="B147" s="139"/>
      <c r="G147" s="140"/>
    </row>
    <row r="148" spans="2:7" ht="15.75" customHeight="1" x14ac:dyDescent="0.25">
      <c r="B148" s="139"/>
      <c r="G148" s="140"/>
    </row>
    <row r="149" spans="2:7" ht="15.75" customHeight="1" x14ac:dyDescent="0.25">
      <c r="B149" s="139"/>
      <c r="G149" s="140"/>
    </row>
    <row r="150" spans="2:7" ht="15.75" customHeight="1" x14ac:dyDescent="0.25">
      <c r="B150" s="139"/>
      <c r="G150" s="140"/>
    </row>
    <row r="151" spans="2:7" ht="15.75" customHeight="1" x14ac:dyDescent="0.25">
      <c r="B151" s="139"/>
      <c r="G151" s="140"/>
    </row>
    <row r="152" spans="2:7" ht="15.75" customHeight="1" x14ac:dyDescent="0.25">
      <c r="B152" s="139"/>
      <c r="G152" s="140"/>
    </row>
    <row r="153" spans="2:7" ht="15.75" customHeight="1" x14ac:dyDescent="0.25">
      <c r="B153" s="139"/>
      <c r="G153" s="140"/>
    </row>
    <row r="154" spans="2:7" ht="15.75" customHeight="1" x14ac:dyDescent="0.25">
      <c r="B154" s="139"/>
      <c r="G154" s="140"/>
    </row>
    <row r="155" spans="2:7" ht="15.75" customHeight="1" x14ac:dyDescent="0.25">
      <c r="B155" s="139"/>
      <c r="G155" s="140"/>
    </row>
    <row r="156" spans="2:7" ht="15.75" customHeight="1" x14ac:dyDescent="0.25">
      <c r="B156" s="139"/>
      <c r="G156" s="140"/>
    </row>
    <row r="157" spans="2:7" ht="15.75" customHeight="1" x14ac:dyDescent="0.25">
      <c r="B157" s="139"/>
      <c r="G157" s="140"/>
    </row>
    <row r="158" spans="2:7" ht="15.75" customHeight="1" x14ac:dyDescent="0.25">
      <c r="B158" s="139"/>
      <c r="G158" s="140"/>
    </row>
    <row r="159" spans="2:7" ht="15.75" customHeight="1" x14ac:dyDescent="0.25">
      <c r="B159" s="139"/>
      <c r="G159" s="140"/>
    </row>
    <row r="160" spans="2:7" ht="15.75" customHeight="1" x14ac:dyDescent="0.25">
      <c r="B160" s="139"/>
      <c r="G160" s="140"/>
    </row>
    <row r="161" spans="2:7" ht="15.75" customHeight="1" x14ac:dyDescent="0.25">
      <c r="B161" s="139"/>
      <c r="G161" s="140"/>
    </row>
    <row r="162" spans="2:7" ht="15.75" customHeight="1" x14ac:dyDescent="0.25">
      <c r="B162" s="139"/>
      <c r="G162" s="140"/>
    </row>
    <row r="163" spans="2:7" ht="15.75" customHeight="1" x14ac:dyDescent="0.25">
      <c r="B163" s="139"/>
      <c r="G163" s="140"/>
    </row>
    <row r="164" spans="2:7" ht="15.75" customHeight="1" x14ac:dyDescent="0.25">
      <c r="B164" s="139"/>
      <c r="G164" s="140"/>
    </row>
    <row r="165" spans="2:7" ht="15.75" customHeight="1" x14ac:dyDescent="0.25">
      <c r="B165" s="139"/>
      <c r="G165" s="140"/>
    </row>
    <row r="166" spans="2:7" ht="15.75" customHeight="1" x14ac:dyDescent="0.25">
      <c r="B166" s="139"/>
      <c r="G166" s="140"/>
    </row>
    <row r="167" spans="2:7" ht="15.75" customHeight="1" x14ac:dyDescent="0.25">
      <c r="B167" s="139"/>
      <c r="G167" s="140"/>
    </row>
    <row r="168" spans="2:7" ht="15.75" customHeight="1" x14ac:dyDescent="0.25">
      <c r="B168" s="139"/>
      <c r="G168" s="140"/>
    </row>
    <row r="169" spans="2:7" ht="15.75" customHeight="1" x14ac:dyDescent="0.25">
      <c r="B169" s="139"/>
      <c r="G169" s="140"/>
    </row>
    <row r="170" spans="2:7" ht="15.75" customHeight="1" x14ac:dyDescent="0.25">
      <c r="B170" s="139"/>
      <c r="G170" s="140"/>
    </row>
    <row r="171" spans="2:7" ht="15.75" customHeight="1" x14ac:dyDescent="0.25">
      <c r="B171" s="139"/>
      <c r="G171" s="140"/>
    </row>
    <row r="172" spans="2:7" ht="15.75" customHeight="1" x14ac:dyDescent="0.25">
      <c r="B172" s="139"/>
      <c r="G172" s="140"/>
    </row>
    <row r="173" spans="2:7" ht="15.75" customHeight="1" x14ac:dyDescent="0.25">
      <c r="B173" s="139"/>
      <c r="G173" s="140"/>
    </row>
    <row r="174" spans="2:7" ht="15.75" customHeight="1" x14ac:dyDescent="0.25">
      <c r="B174" s="139"/>
      <c r="G174" s="140"/>
    </row>
    <row r="175" spans="2:7" ht="15.75" customHeight="1" x14ac:dyDescent="0.25">
      <c r="B175" s="139"/>
      <c r="G175" s="140"/>
    </row>
    <row r="176" spans="2:7" ht="15.75" customHeight="1" x14ac:dyDescent="0.25">
      <c r="B176" s="139"/>
      <c r="G176" s="140"/>
    </row>
    <row r="177" spans="2:7" ht="15.75" customHeight="1" x14ac:dyDescent="0.25">
      <c r="B177" s="139"/>
      <c r="G177" s="140"/>
    </row>
    <row r="178" spans="2:7" ht="15.75" customHeight="1" x14ac:dyDescent="0.25">
      <c r="B178" s="139"/>
      <c r="G178" s="140"/>
    </row>
    <row r="179" spans="2:7" ht="15.75" customHeight="1" x14ac:dyDescent="0.25">
      <c r="B179" s="139"/>
      <c r="G179" s="140"/>
    </row>
    <row r="180" spans="2:7" ht="15.75" customHeight="1" x14ac:dyDescent="0.25">
      <c r="B180" s="139"/>
      <c r="G180" s="140"/>
    </row>
    <row r="181" spans="2:7" ht="15.75" customHeight="1" x14ac:dyDescent="0.25">
      <c r="B181" s="139"/>
      <c r="G181" s="140"/>
    </row>
    <row r="182" spans="2:7" ht="15.75" customHeight="1" x14ac:dyDescent="0.25">
      <c r="B182" s="139"/>
      <c r="G182" s="140"/>
    </row>
    <row r="183" spans="2:7" ht="15.75" customHeight="1" x14ac:dyDescent="0.25">
      <c r="B183" s="139"/>
      <c r="G183" s="140"/>
    </row>
    <row r="184" spans="2:7" ht="15.75" customHeight="1" x14ac:dyDescent="0.25">
      <c r="B184" s="139"/>
      <c r="G184" s="140"/>
    </row>
    <row r="185" spans="2:7" ht="15.75" customHeight="1" x14ac:dyDescent="0.25">
      <c r="B185" s="139"/>
      <c r="G185" s="140"/>
    </row>
    <row r="186" spans="2:7" ht="15.75" customHeight="1" x14ac:dyDescent="0.25">
      <c r="B186" s="139"/>
      <c r="G186" s="140"/>
    </row>
    <row r="187" spans="2:7" ht="15.75" customHeight="1" x14ac:dyDescent="0.25">
      <c r="B187" s="139"/>
      <c r="G187" s="140"/>
    </row>
    <row r="188" spans="2:7" ht="15.75" customHeight="1" x14ac:dyDescent="0.25">
      <c r="B188" s="139"/>
      <c r="G188" s="140"/>
    </row>
    <row r="189" spans="2:7" ht="15.75" customHeight="1" x14ac:dyDescent="0.25">
      <c r="B189" s="139"/>
      <c r="G189" s="140"/>
    </row>
    <row r="190" spans="2:7" ht="15.75" customHeight="1" x14ac:dyDescent="0.25">
      <c r="B190" s="139"/>
      <c r="G190" s="140"/>
    </row>
    <row r="191" spans="2:7" ht="15.75" customHeight="1" x14ac:dyDescent="0.25">
      <c r="B191" s="139"/>
      <c r="G191" s="140"/>
    </row>
    <row r="192" spans="2:7" ht="15.75" customHeight="1" x14ac:dyDescent="0.25">
      <c r="B192" s="139"/>
      <c r="G192" s="140"/>
    </row>
    <row r="193" spans="2:7" ht="15.75" customHeight="1" x14ac:dyDescent="0.25">
      <c r="B193" s="139"/>
      <c r="G193" s="140"/>
    </row>
    <row r="194" spans="2:7" ht="15.75" customHeight="1" x14ac:dyDescent="0.25">
      <c r="B194" s="139"/>
      <c r="G194" s="140"/>
    </row>
    <row r="195" spans="2:7" ht="15.75" customHeight="1" x14ac:dyDescent="0.25">
      <c r="B195" s="139"/>
      <c r="G195" s="140"/>
    </row>
    <row r="196" spans="2:7" ht="15.75" customHeight="1" x14ac:dyDescent="0.25">
      <c r="B196" s="139"/>
      <c r="G196" s="140"/>
    </row>
    <row r="197" spans="2:7" ht="15.75" customHeight="1" x14ac:dyDescent="0.25">
      <c r="B197" s="139"/>
      <c r="G197" s="140"/>
    </row>
    <row r="198" spans="2:7" ht="15.75" customHeight="1" x14ac:dyDescent="0.25">
      <c r="B198" s="139"/>
      <c r="G198" s="140"/>
    </row>
    <row r="199" spans="2:7" ht="15.75" customHeight="1" x14ac:dyDescent="0.25">
      <c r="B199" s="139"/>
      <c r="G199" s="140"/>
    </row>
    <row r="200" spans="2:7" ht="15.75" customHeight="1" x14ac:dyDescent="0.25">
      <c r="B200" s="139"/>
      <c r="G200" s="140"/>
    </row>
    <row r="201" spans="2:7" ht="15.75" customHeight="1" x14ac:dyDescent="0.25">
      <c r="B201" s="139"/>
      <c r="G201" s="140"/>
    </row>
    <row r="202" spans="2:7" ht="15.75" customHeight="1" x14ac:dyDescent="0.25">
      <c r="B202" s="139"/>
      <c r="G202" s="140"/>
    </row>
    <row r="203" spans="2:7" ht="15.75" customHeight="1" x14ac:dyDescent="0.25">
      <c r="B203" s="139"/>
      <c r="G203" s="140"/>
    </row>
    <row r="204" spans="2:7" ht="15.75" customHeight="1" x14ac:dyDescent="0.25">
      <c r="B204" s="139"/>
      <c r="G204" s="140"/>
    </row>
    <row r="205" spans="2:7" ht="15.75" customHeight="1" x14ac:dyDescent="0.25">
      <c r="B205" s="139"/>
      <c r="G205" s="140"/>
    </row>
    <row r="206" spans="2:7" ht="15.75" customHeight="1" x14ac:dyDescent="0.25">
      <c r="B206" s="139"/>
      <c r="G206" s="140"/>
    </row>
    <row r="207" spans="2:7" ht="15.75" customHeight="1" x14ac:dyDescent="0.25">
      <c r="B207" s="139"/>
      <c r="G207" s="140"/>
    </row>
    <row r="208" spans="2:7" ht="15.75" customHeight="1" x14ac:dyDescent="0.25">
      <c r="B208" s="139"/>
      <c r="G208" s="140"/>
    </row>
    <row r="209" spans="2:7" ht="15.75" customHeight="1" x14ac:dyDescent="0.25">
      <c r="B209" s="139"/>
      <c r="G209" s="140"/>
    </row>
    <row r="210" spans="2:7" ht="15.75" customHeight="1" x14ac:dyDescent="0.25">
      <c r="B210" s="139"/>
      <c r="G210" s="140"/>
    </row>
    <row r="211" spans="2:7" ht="15.75" customHeight="1" x14ac:dyDescent="0.25">
      <c r="B211" s="139"/>
      <c r="G211" s="140"/>
    </row>
    <row r="212" spans="2:7" ht="15.75" customHeight="1" x14ac:dyDescent="0.25">
      <c r="B212" s="139"/>
      <c r="G212" s="140"/>
    </row>
    <row r="213" spans="2:7" ht="15.75" customHeight="1" x14ac:dyDescent="0.25">
      <c r="B213" s="139"/>
      <c r="G213" s="140"/>
    </row>
    <row r="214" spans="2:7" ht="15.75" customHeight="1" x14ac:dyDescent="0.25">
      <c r="B214" s="139"/>
      <c r="G214" s="140"/>
    </row>
    <row r="215" spans="2:7" ht="15.75" customHeight="1" x14ac:dyDescent="0.25">
      <c r="B215" s="139"/>
      <c r="G215" s="140"/>
    </row>
    <row r="216" spans="2:7" ht="15.75" customHeight="1" x14ac:dyDescent="0.25">
      <c r="B216" s="139"/>
      <c r="G216" s="140"/>
    </row>
    <row r="217" spans="2:7" ht="15.75" customHeight="1" x14ac:dyDescent="0.25">
      <c r="B217" s="139"/>
      <c r="G217" s="140"/>
    </row>
    <row r="218" spans="2:7" ht="15.75" customHeight="1" x14ac:dyDescent="0.25">
      <c r="B218" s="139"/>
      <c r="G218" s="140"/>
    </row>
    <row r="219" spans="2:7" ht="15.75" customHeight="1" x14ac:dyDescent="0.25">
      <c r="B219" s="139"/>
      <c r="G219" s="140"/>
    </row>
    <row r="220" spans="2:7" ht="15.75" customHeight="1" x14ac:dyDescent="0.25">
      <c r="B220" s="139"/>
      <c r="G220" s="140"/>
    </row>
    <row r="221" spans="2:7" ht="15.75" customHeight="1" x14ac:dyDescent="0.25">
      <c r="B221" s="139"/>
      <c r="G221" s="140"/>
    </row>
    <row r="222" spans="2:7" ht="15.75" customHeight="1" x14ac:dyDescent="0.25">
      <c r="B222" s="139"/>
      <c r="G222" s="140"/>
    </row>
    <row r="223" spans="2:7" ht="15.75" customHeight="1" x14ac:dyDescent="0.25">
      <c r="B223" s="139"/>
      <c r="G223" s="140"/>
    </row>
    <row r="224" spans="2:7" ht="15.75" customHeight="1" x14ac:dyDescent="0.25">
      <c r="B224" s="139"/>
      <c r="G224" s="140"/>
    </row>
    <row r="225" spans="2:7" ht="15.75" customHeight="1" x14ac:dyDescent="0.25">
      <c r="B225" s="139"/>
      <c r="G225" s="140"/>
    </row>
    <row r="226" spans="2:7" ht="15.75" customHeight="1" x14ac:dyDescent="0.25">
      <c r="B226" s="139"/>
      <c r="G226" s="140"/>
    </row>
    <row r="227" spans="2:7" ht="15.75" customHeight="1" x14ac:dyDescent="0.25">
      <c r="B227" s="139"/>
      <c r="G227" s="140"/>
    </row>
    <row r="228" spans="2:7" ht="15.75" customHeight="1" x14ac:dyDescent="0.25">
      <c r="B228" s="139"/>
      <c r="G228" s="140"/>
    </row>
    <row r="229" spans="2:7" ht="15.75" customHeight="1" x14ac:dyDescent="0.25">
      <c r="B229" s="139"/>
      <c r="G229" s="140"/>
    </row>
    <row r="230" spans="2:7" ht="15.75" customHeight="1" x14ac:dyDescent="0.25">
      <c r="B230" s="139"/>
      <c r="G230" s="140"/>
    </row>
    <row r="231" spans="2:7" ht="15.75" customHeight="1" x14ac:dyDescent="0.25">
      <c r="B231" s="139"/>
      <c r="G231" s="140"/>
    </row>
    <row r="232" spans="2:7" ht="15.75" customHeight="1" x14ac:dyDescent="0.25">
      <c r="B232" s="139"/>
      <c r="G232" s="140"/>
    </row>
    <row r="233" spans="2:7" ht="15.75" customHeight="1" x14ac:dyDescent="0.25">
      <c r="B233" s="139"/>
      <c r="G233" s="140"/>
    </row>
    <row r="234" spans="2:7" ht="15.75" customHeight="1" x14ac:dyDescent="0.25">
      <c r="B234" s="139"/>
      <c r="G234" s="140"/>
    </row>
    <row r="235" spans="2:7" ht="15.75" customHeight="1" x14ac:dyDescent="0.25">
      <c r="B235" s="139"/>
      <c r="G235" s="140"/>
    </row>
    <row r="236" spans="2:7" ht="15.75" customHeight="1" x14ac:dyDescent="0.25">
      <c r="B236" s="139"/>
      <c r="G236" s="140"/>
    </row>
    <row r="237" spans="2:7" ht="15.75" customHeight="1" x14ac:dyDescent="0.25">
      <c r="B237" s="139"/>
      <c r="G237" s="140"/>
    </row>
    <row r="238" spans="2:7" ht="15.75" customHeight="1" x14ac:dyDescent="0.25">
      <c r="B238" s="139"/>
      <c r="G238" s="140"/>
    </row>
    <row r="239" spans="2:7" ht="15.75" customHeight="1" x14ac:dyDescent="0.25">
      <c r="B239" s="139"/>
      <c r="G239" s="140"/>
    </row>
    <row r="240" spans="2:7" ht="15.75" customHeight="1" x14ac:dyDescent="0.25">
      <c r="B240" s="139"/>
      <c r="G240" s="140"/>
    </row>
    <row r="241" spans="2:7" ht="15.75" customHeight="1" x14ac:dyDescent="0.25">
      <c r="B241" s="139"/>
      <c r="G241" s="140"/>
    </row>
    <row r="242" spans="2:7" ht="15.75" customHeight="1" x14ac:dyDescent="0.25">
      <c r="B242" s="139"/>
      <c r="G242" s="140"/>
    </row>
    <row r="243" spans="2:7" ht="15.75" customHeight="1" x14ac:dyDescent="0.25">
      <c r="B243" s="139"/>
      <c r="G243" s="140"/>
    </row>
    <row r="244" spans="2:7" ht="15.75" customHeight="1" x14ac:dyDescent="0.25">
      <c r="B244" s="139"/>
      <c r="G244" s="140"/>
    </row>
    <row r="245" spans="2:7" ht="15.75" customHeight="1" x14ac:dyDescent="0.25">
      <c r="B245" s="139"/>
      <c r="G245" s="140"/>
    </row>
    <row r="246" spans="2:7" ht="15.75" customHeight="1" x14ac:dyDescent="0.25">
      <c r="B246" s="139"/>
      <c r="G246" s="140"/>
    </row>
    <row r="247" spans="2:7" ht="15.75" customHeight="1" x14ac:dyDescent="0.25">
      <c r="B247" s="139"/>
      <c r="G247" s="140"/>
    </row>
    <row r="248" spans="2:7" ht="15.75" customHeight="1" x14ac:dyDescent="0.25">
      <c r="B248" s="139"/>
      <c r="G248" s="140"/>
    </row>
    <row r="249" spans="2:7" ht="15.75" customHeight="1" x14ac:dyDescent="0.25">
      <c r="B249" s="139"/>
      <c r="G249" s="140"/>
    </row>
    <row r="250" spans="2:7" ht="15.75" customHeight="1" x14ac:dyDescent="0.25">
      <c r="B250" s="139"/>
      <c r="G250" s="140"/>
    </row>
    <row r="251" spans="2:7" ht="15.75" customHeight="1" x14ac:dyDescent="0.25">
      <c r="B251" s="139"/>
      <c r="G251" s="140"/>
    </row>
    <row r="252" spans="2:7" ht="15.75" customHeight="1" x14ac:dyDescent="0.25">
      <c r="B252" s="139"/>
      <c r="G252" s="140"/>
    </row>
    <row r="253" spans="2:7" ht="15.75" customHeight="1" x14ac:dyDescent="0.25">
      <c r="B253" s="139"/>
      <c r="G253" s="140"/>
    </row>
    <row r="254" spans="2:7" ht="15.75" customHeight="1" x14ac:dyDescent="0.25">
      <c r="B254" s="139"/>
      <c r="G254" s="140"/>
    </row>
    <row r="255" spans="2:7" ht="15.75" customHeight="1" x14ac:dyDescent="0.25">
      <c r="B255" s="139"/>
      <c r="G255" s="140"/>
    </row>
    <row r="256" spans="2:7" ht="15.75" customHeight="1" x14ac:dyDescent="0.25">
      <c r="B256" s="139"/>
      <c r="G256" s="140"/>
    </row>
    <row r="257" spans="2:7" ht="15.75" customHeight="1" x14ac:dyDescent="0.25">
      <c r="B257" s="139"/>
      <c r="G257" s="140"/>
    </row>
    <row r="258" spans="2:7" ht="15.75" customHeight="1" x14ac:dyDescent="0.25">
      <c r="B258" s="139"/>
      <c r="G258" s="140"/>
    </row>
    <row r="259" spans="2:7" ht="15.75" customHeight="1" x14ac:dyDescent="0.25">
      <c r="B259" s="139"/>
      <c r="G259" s="140"/>
    </row>
    <row r="260" spans="2:7" ht="15.75" customHeight="1" x14ac:dyDescent="0.25">
      <c r="B260" s="139"/>
      <c r="G260" s="140"/>
    </row>
    <row r="261" spans="2:7" ht="15.75" customHeight="1" x14ac:dyDescent="0.25">
      <c r="B261" s="139"/>
      <c r="G261" s="140"/>
    </row>
    <row r="262" spans="2:7" ht="15.75" customHeight="1" x14ac:dyDescent="0.25">
      <c r="B262" s="139"/>
      <c r="G262" s="140"/>
    </row>
    <row r="263" spans="2:7" ht="15.75" customHeight="1" x14ac:dyDescent="0.25">
      <c r="B263" s="139"/>
      <c r="G263" s="140"/>
    </row>
    <row r="264" spans="2:7" ht="15.75" customHeight="1" x14ac:dyDescent="0.25">
      <c r="B264" s="139"/>
      <c r="G264" s="140"/>
    </row>
    <row r="265" spans="2:7" ht="15.75" customHeight="1" x14ac:dyDescent="0.25">
      <c r="B265" s="139"/>
      <c r="G265" s="140"/>
    </row>
    <row r="266" spans="2:7" ht="15.75" customHeight="1" x14ac:dyDescent="0.25">
      <c r="B266" s="139"/>
      <c r="G266" s="140"/>
    </row>
    <row r="267" spans="2:7" ht="15.75" customHeight="1" x14ac:dyDescent="0.25">
      <c r="B267" s="139"/>
      <c r="G267" s="140"/>
    </row>
    <row r="268" spans="2:7" ht="15.75" customHeight="1" x14ac:dyDescent="0.25">
      <c r="B268" s="139"/>
      <c r="G268" s="140"/>
    </row>
    <row r="269" spans="2:7" ht="15.75" customHeight="1" x14ac:dyDescent="0.25">
      <c r="B269" s="139"/>
      <c r="G269" s="140"/>
    </row>
    <row r="270" spans="2:7" ht="15.75" customHeight="1" x14ac:dyDescent="0.25">
      <c r="B270" s="139"/>
      <c r="G270" s="140"/>
    </row>
    <row r="271" spans="2:7" ht="15.75" customHeight="1" x14ac:dyDescent="0.25">
      <c r="B271" s="139"/>
      <c r="G271" s="140"/>
    </row>
    <row r="272" spans="2:7" ht="15.75" customHeight="1" x14ac:dyDescent="0.25">
      <c r="B272" s="139"/>
      <c r="G272" s="140"/>
    </row>
    <row r="273" spans="2:7" ht="15.75" customHeight="1" x14ac:dyDescent="0.25">
      <c r="B273" s="139"/>
      <c r="G273" s="140"/>
    </row>
    <row r="274" spans="2:7" ht="15.75" customHeight="1" x14ac:dyDescent="0.25">
      <c r="B274" s="139"/>
      <c r="G274" s="140"/>
    </row>
    <row r="275" spans="2:7" ht="15.75" customHeight="1" x14ac:dyDescent="0.25">
      <c r="B275" s="139"/>
      <c r="G275" s="140"/>
    </row>
    <row r="276" spans="2:7" ht="15.75" customHeight="1" x14ac:dyDescent="0.25">
      <c r="B276" s="139"/>
      <c r="G276" s="140"/>
    </row>
    <row r="277" spans="2:7" ht="15.75" customHeight="1" x14ac:dyDescent="0.25">
      <c r="B277" s="139"/>
      <c r="G277" s="140"/>
    </row>
    <row r="278" spans="2:7" ht="15.75" customHeight="1" x14ac:dyDescent="0.25">
      <c r="B278" s="139"/>
      <c r="G278" s="140"/>
    </row>
    <row r="279" spans="2:7" ht="15.75" customHeight="1" x14ac:dyDescent="0.25">
      <c r="B279" s="139"/>
      <c r="G279" s="140"/>
    </row>
    <row r="280" spans="2:7" ht="15.75" customHeight="1" x14ac:dyDescent="0.25">
      <c r="B280" s="139"/>
      <c r="G280" s="140"/>
    </row>
    <row r="281" spans="2:7" ht="15.75" customHeight="1" x14ac:dyDescent="0.25">
      <c r="B281" s="139"/>
      <c r="G281" s="140"/>
    </row>
    <row r="282" spans="2:7" ht="15.75" customHeight="1" x14ac:dyDescent="0.25">
      <c r="B282" s="139"/>
      <c r="G282" s="140"/>
    </row>
    <row r="283" spans="2:7" ht="15.75" customHeight="1" x14ac:dyDescent="0.25">
      <c r="B283" s="139"/>
      <c r="G283" s="140"/>
    </row>
    <row r="284" spans="2:7" ht="15.75" customHeight="1" x14ac:dyDescent="0.25">
      <c r="B284" s="139"/>
      <c r="G284" s="140"/>
    </row>
    <row r="285" spans="2:7" ht="15.75" customHeight="1" x14ac:dyDescent="0.25">
      <c r="B285" s="139"/>
      <c r="G285" s="140"/>
    </row>
    <row r="286" spans="2:7" ht="15.75" customHeight="1" x14ac:dyDescent="0.25">
      <c r="B286" s="139"/>
      <c r="G286" s="140"/>
    </row>
    <row r="287" spans="2:7" ht="15.75" customHeight="1" x14ac:dyDescent="0.25">
      <c r="B287" s="139"/>
      <c r="G287" s="140"/>
    </row>
    <row r="288" spans="2:7" ht="15.75" customHeight="1" x14ac:dyDescent="0.25">
      <c r="B288" s="139"/>
      <c r="G288" s="140"/>
    </row>
    <row r="289" spans="2:7" ht="15.75" customHeight="1" x14ac:dyDescent="0.25">
      <c r="B289" s="139"/>
      <c r="G289" s="140"/>
    </row>
    <row r="290" spans="2:7" ht="15.75" customHeight="1" x14ac:dyDescent="0.25">
      <c r="B290" s="139"/>
      <c r="G290" s="140"/>
    </row>
    <row r="291" spans="2:7" ht="15.75" customHeight="1" x14ac:dyDescent="0.25">
      <c r="B291" s="139"/>
      <c r="G291" s="140"/>
    </row>
    <row r="292" spans="2:7" ht="15.75" customHeight="1" x14ac:dyDescent="0.25">
      <c r="B292" s="139"/>
      <c r="G292" s="140"/>
    </row>
    <row r="293" spans="2:7" ht="15.75" customHeight="1" x14ac:dyDescent="0.25">
      <c r="B293" s="139"/>
      <c r="G293" s="140"/>
    </row>
    <row r="294" spans="2:7" ht="15.75" customHeight="1" x14ac:dyDescent="0.25">
      <c r="B294" s="139"/>
      <c r="G294" s="140"/>
    </row>
    <row r="295" spans="2:7" ht="15.75" customHeight="1" x14ac:dyDescent="0.25">
      <c r="B295" s="139"/>
      <c r="G295" s="140"/>
    </row>
    <row r="296" spans="2:7" ht="15.75" customHeight="1" x14ac:dyDescent="0.25">
      <c r="B296" s="139"/>
      <c r="G296" s="140"/>
    </row>
    <row r="297" spans="2:7" ht="15.75" customHeight="1" x14ac:dyDescent="0.25">
      <c r="B297" s="139"/>
      <c r="G297" s="140"/>
    </row>
    <row r="298" spans="2:7" ht="15.75" customHeight="1" x14ac:dyDescent="0.25">
      <c r="B298" s="139"/>
      <c r="G298" s="140"/>
    </row>
    <row r="299" spans="2:7" ht="15.75" customHeight="1" x14ac:dyDescent="0.25">
      <c r="B299" s="139"/>
      <c r="G299" s="140"/>
    </row>
    <row r="300" spans="2:7" ht="15.75" customHeight="1" x14ac:dyDescent="0.25">
      <c r="B300" s="139"/>
      <c r="G300" s="140"/>
    </row>
    <row r="301" spans="2:7" ht="15.75" customHeight="1" x14ac:dyDescent="0.25">
      <c r="B301" s="139"/>
      <c r="G301" s="140"/>
    </row>
    <row r="302" spans="2:7" ht="15.75" customHeight="1" x14ac:dyDescent="0.25">
      <c r="B302" s="139"/>
      <c r="G302" s="140"/>
    </row>
    <row r="303" spans="2:7" ht="15.75" customHeight="1" x14ac:dyDescent="0.25">
      <c r="B303" s="139"/>
      <c r="G303" s="140"/>
    </row>
    <row r="304" spans="2:7" ht="15.75" customHeight="1" x14ac:dyDescent="0.25">
      <c r="B304" s="139"/>
      <c r="G304" s="140"/>
    </row>
    <row r="305" spans="2:7" ht="15.75" customHeight="1" x14ac:dyDescent="0.25">
      <c r="B305" s="139"/>
      <c r="G305" s="140"/>
    </row>
    <row r="306" spans="2:7" ht="15.75" customHeight="1" x14ac:dyDescent="0.25">
      <c r="B306" s="139"/>
      <c r="G306" s="140"/>
    </row>
    <row r="307" spans="2:7" ht="15.75" customHeight="1" x14ac:dyDescent="0.25">
      <c r="B307" s="139"/>
      <c r="G307" s="140"/>
    </row>
    <row r="308" spans="2:7" ht="15.75" customHeight="1" x14ac:dyDescent="0.25">
      <c r="B308" s="139"/>
      <c r="G308" s="140"/>
    </row>
    <row r="309" spans="2:7" ht="15.75" customHeight="1" x14ac:dyDescent="0.25">
      <c r="B309" s="139"/>
      <c r="G309" s="140"/>
    </row>
    <row r="310" spans="2:7" ht="15.75" customHeight="1" x14ac:dyDescent="0.25">
      <c r="B310" s="139"/>
      <c r="G310" s="140"/>
    </row>
    <row r="311" spans="2:7" ht="15.75" customHeight="1" x14ac:dyDescent="0.25">
      <c r="B311" s="139"/>
      <c r="G311" s="140"/>
    </row>
    <row r="312" spans="2:7" ht="15.75" customHeight="1" x14ac:dyDescent="0.25">
      <c r="B312" s="139"/>
      <c r="G312" s="140"/>
    </row>
    <row r="313" spans="2:7" ht="15.75" customHeight="1" x14ac:dyDescent="0.25">
      <c r="B313" s="139"/>
      <c r="G313" s="140"/>
    </row>
    <row r="314" spans="2:7" ht="15.75" customHeight="1" x14ac:dyDescent="0.25">
      <c r="B314" s="139"/>
      <c r="G314" s="140"/>
    </row>
    <row r="315" spans="2:7" ht="15.75" customHeight="1" x14ac:dyDescent="0.25">
      <c r="B315" s="139"/>
      <c r="G315" s="140"/>
    </row>
    <row r="316" spans="2:7" ht="15.75" customHeight="1" x14ac:dyDescent="0.25">
      <c r="B316" s="139"/>
      <c r="G316" s="140"/>
    </row>
    <row r="317" spans="2:7" ht="15.75" customHeight="1" x14ac:dyDescent="0.25">
      <c r="B317" s="139"/>
      <c r="G317" s="140"/>
    </row>
    <row r="318" spans="2:7" ht="15.75" customHeight="1" x14ac:dyDescent="0.25">
      <c r="B318" s="139"/>
      <c r="G318" s="140"/>
    </row>
    <row r="319" spans="2:7" ht="15.75" customHeight="1" x14ac:dyDescent="0.25">
      <c r="B319" s="139"/>
      <c r="G319" s="140"/>
    </row>
    <row r="320" spans="2:7" ht="15.75" customHeight="1" x14ac:dyDescent="0.25">
      <c r="B320" s="139"/>
      <c r="G320" s="140"/>
    </row>
    <row r="321" spans="2:7" ht="15.75" customHeight="1" x14ac:dyDescent="0.25">
      <c r="B321" s="139"/>
      <c r="G321" s="140"/>
    </row>
    <row r="322" spans="2:7" ht="15.75" customHeight="1" x14ac:dyDescent="0.25">
      <c r="B322" s="139"/>
      <c r="G322" s="140"/>
    </row>
    <row r="323" spans="2:7" ht="15.75" customHeight="1" x14ac:dyDescent="0.25">
      <c r="B323" s="139"/>
      <c r="G323" s="140"/>
    </row>
    <row r="324" spans="2:7" ht="15.75" customHeight="1" x14ac:dyDescent="0.25">
      <c r="B324" s="139"/>
      <c r="G324" s="140"/>
    </row>
    <row r="325" spans="2:7" ht="15.75" customHeight="1" x14ac:dyDescent="0.25">
      <c r="B325" s="139"/>
      <c r="G325" s="140"/>
    </row>
    <row r="326" spans="2:7" ht="15.75" customHeight="1" x14ac:dyDescent="0.25">
      <c r="B326" s="139"/>
      <c r="G326" s="140"/>
    </row>
    <row r="327" spans="2:7" ht="15.75" customHeight="1" x14ac:dyDescent="0.25">
      <c r="B327" s="139"/>
      <c r="G327" s="140"/>
    </row>
    <row r="328" spans="2:7" ht="15.75" customHeight="1" x14ac:dyDescent="0.25">
      <c r="B328" s="139"/>
      <c r="G328" s="140"/>
    </row>
    <row r="329" spans="2:7" ht="15.75" customHeight="1" x14ac:dyDescent="0.25">
      <c r="B329" s="139"/>
      <c r="G329" s="140"/>
    </row>
    <row r="330" spans="2:7" ht="15.75" customHeight="1" x14ac:dyDescent="0.25">
      <c r="B330" s="139"/>
      <c r="G330" s="140"/>
    </row>
    <row r="331" spans="2:7" ht="15.75" customHeight="1" x14ac:dyDescent="0.25">
      <c r="B331" s="139"/>
      <c r="G331" s="140"/>
    </row>
    <row r="332" spans="2:7" ht="15.75" customHeight="1" x14ac:dyDescent="0.25">
      <c r="B332" s="139"/>
      <c r="G332" s="140"/>
    </row>
    <row r="333" spans="2:7" ht="15.75" customHeight="1" x14ac:dyDescent="0.25">
      <c r="B333" s="139"/>
      <c r="G333" s="140"/>
    </row>
    <row r="334" spans="2:7" ht="15.75" customHeight="1" x14ac:dyDescent="0.25">
      <c r="B334" s="139"/>
      <c r="G334" s="140"/>
    </row>
    <row r="335" spans="2:7" ht="15.75" customHeight="1" x14ac:dyDescent="0.25">
      <c r="B335" s="139"/>
      <c r="G335" s="140"/>
    </row>
    <row r="336" spans="2:7" ht="15.75" customHeight="1" x14ac:dyDescent="0.25">
      <c r="B336" s="139"/>
      <c r="G336" s="140"/>
    </row>
    <row r="337" spans="2:7" ht="15.75" customHeight="1" x14ac:dyDescent="0.25">
      <c r="B337" s="139"/>
      <c r="G337" s="140"/>
    </row>
    <row r="338" spans="2:7" ht="15.75" customHeight="1" x14ac:dyDescent="0.25">
      <c r="B338" s="139"/>
      <c r="G338" s="140"/>
    </row>
    <row r="339" spans="2:7" ht="15.75" customHeight="1" x14ac:dyDescent="0.25">
      <c r="B339" s="139"/>
      <c r="G339" s="140"/>
    </row>
    <row r="340" spans="2:7" ht="15.75" customHeight="1" x14ac:dyDescent="0.25">
      <c r="B340" s="139"/>
      <c r="G340" s="140"/>
    </row>
    <row r="341" spans="2:7" ht="15.75" customHeight="1" x14ac:dyDescent="0.25">
      <c r="B341" s="139"/>
      <c r="G341" s="140"/>
    </row>
    <row r="342" spans="2:7" ht="15.75" customHeight="1" x14ac:dyDescent="0.25">
      <c r="B342" s="139"/>
      <c r="G342" s="140"/>
    </row>
    <row r="343" spans="2:7" ht="15.75" customHeight="1" x14ac:dyDescent="0.25">
      <c r="B343" s="139"/>
      <c r="G343" s="140"/>
    </row>
    <row r="344" spans="2:7" ht="15.75" customHeight="1" x14ac:dyDescent="0.25">
      <c r="B344" s="139"/>
      <c r="G344" s="140"/>
    </row>
    <row r="345" spans="2:7" ht="15.75" customHeight="1" x14ac:dyDescent="0.25">
      <c r="B345" s="139"/>
      <c r="G345" s="140"/>
    </row>
    <row r="346" spans="2:7" ht="15.75" customHeight="1" x14ac:dyDescent="0.25">
      <c r="B346" s="139"/>
      <c r="G346" s="140"/>
    </row>
    <row r="347" spans="2:7" ht="15.75" customHeight="1" x14ac:dyDescent="0.25">
      <c r="B347" s="139"/>
      <c r="G347" s="140"/>
    </row>
    <row r="348" spans="2:7" ht="15.75" customHeight="1" x14ac:dyDescent="0.25">
      <c r="B348" s="139"/>
      <c r="G348" s="140"/>
    </row>
    <row r="349" spans="2:7" ht="15.75" customHeight="1" x14ac:dyDescent="0.25">
      <c r="B349" s="139"/>
      <c r="G349" s="140"/>
    </row>
    <row r="350" spans="2:7" ht="15.75" customHeight="1" x14ac:dyDescent="0.25">
      <c r="B350" s="139"/>
      <c r="G350" s="140"/>
    </row>
    <row r="351" spans="2:7" ht="15.75" customHeight="1" x14ac:dyDescent="0.25">
      <c r="B351" s="139"/>
      <c r="G351" s="140"/>
    </row>
    <row r="352" spans="2:7" ht="15.75" customHeight="1" x14ac:dyDescent="0.25">
      <c r="B352" s="139"/>
      <c r="G352" s="140"/>
    </row>
    <row r="353" spans="2:7" ht="15.75" customHeight="1" x14ac:dyDescent="0.25">
      <c r="B353" s="139"/>
      <c r="G353" s="140"/>
    </row>
    <row r="354" spans="2:7" ht="15.75" customHeight="1" x14ac:dyDescent="0.25">
      <c r="B354" s="139"/>
      <c r="G354" s="140"/>
    </row>
    <row r="355" spans="2:7" ht="15.75" customHeight="1" x14ac:dyDescent="0.25">
      <c r="B355" s="139"/>
      <c r="G355" s="140"/>
    </row>
    <row r="356" spans="2:7" ht="15.75" customHeight="1" x14ac:dyDescent="0.25">
      <c r="B356" s="139"/>
      <c r="G356" s="140"/>
    </row>
    <row r="357" spans="2:7" ht="15.75" customHeight="1" x14ac:dyDescent="0.25">
      <c r="B357" s="139"/>
      <c r="G357" s="140"/>
    </row>
    <row r="358" spans="2:7" ht="15.75" customHeight="1" x14ac:dyDescent="0.25">
      <c r="B358" s="139"/>
      <c r="G358" s="140"/>
    </row>
    <row r="359" spans="2:7" ht="15.75" customHeight="1" x14ac:dyDescent="0.25">
      <c r="B359" s="139"/>
      <c r="G359" s="140"/>
    </row>
    <row r="360" spans="2:7" ht="15.75" customHeight="1" x14ac:dyDescent="0.25">
      <c r="B360" s="139"/>
      <c r="G360" s="140"/>
    </row>
    <row r="361" spans="2:7" ht="15.75" customHeight="1" x14ac:dyDescent="0.25">
      <c r="B361" s="139"/>
      <c r="G361" s="140"/>
    </row>
    <row r="362" spans="2:7" ht="15.75" customHeight="1" x14ac:dyDescent="0.25">
      <c r="B362" s="139"/>
      <c r="G362" s="140"/>
    </row>
    <row r="363" spans="2:7" ht="15.75" customHeight="1" x14ac:dyDescent="0.25">
      <c r="B363" s="139"/>
      <c r="G363" s="140"/>
    </row>
    <row r="364" spans="2:7" ht="15.75" customHeight="1" x14ac:dyDescent="0.25">
      <c r="B364" s="139"/>
      <c r="G364" s="140"/>
    </row>
    <row r="365" spans="2:7" ht="15.75" customHeight="1" x14ac:dyDescent="0.25">
      <c r="B365" s="139"/>
      <c r="G365" s="140"/>
    </row>
    <row r="366" spans="2:7" ht="15.75" customHeight="1" x14ac:dyDescent="0.25">
      <c r="B366" s="139"/>
      <c r="G366" s="140"/>
    </row>
    <row r="367" spans="2:7" ht="15.75" customHeight="1" x14ac:dyDescent="0.25">
      <c r="B367" s="139"/>
      <c r="G367" s="140"/>
    </row>
    <row r="368" spans="2:7" ht="15.75" customHeight="1" x14ac:dyDescent="0.25">
      <c r="B368" s="139"/>
      <c r="G368" s="140"/>
    </row>
    <row r="369" spans="2:7" ht="15.75" customHeight="1" x14ac:dyDescent="0.25">
      <c r="B369" s="139"/>
      <c r="G369" s="140"/>
    </row>
    <row r="370" spans="2:7" ht="15.75" customHeight="1" x14ac:dyDescent="0.25">
      <c r="B370" s="139"/>
      <c r="G370" s="140"/>
    </row>
    <row r="371" spans="2:7" ht="15.75" customHeight="1" x14ac:dyDescent="0.25">
      <c r="B371" s="139"/>
      <c r="G371" s="140"/>
    </row>
    <row r="372" spans="2:7" ht="15.75" customHeight="1" x14ac:dyDescent="0.25">
      <c r="B372" s="139"/>
      <c r="G372" s="140"/>
    </row>
    <row r="373" spans="2:7" ht="15.75" customHeight="1" x14ac:dyDescent="0.25">
      <c r="B373" s="139"/>
      <c r="G373" s="140"/>
    </row>
    <row r="374" spans="2:7" ht="15.75" customHeight="1" x14ac:dyDescent="0.25">
      <c r="B374" s="139"/>
      <c r="G374" s="140"/>
    </row>
    <row r="375" spans="2:7" ht="15.75" customHeight="1" x14ac:dyDescent="0.25">
      <c r="B375" s="139"/>
      <c r="G375" s="140"/>
    </row>
    <row r="376" spans="2:7" ht="15.75" customHeight="1" x14ac:dyDescent="0.25">
      <c r="B376" s="139"/>
      <c r="G376" s="140"/>
    </row>
    <row r="377" spans="2:7" ht="15.75" customHeight="1" x14ac:dyDescent="0.25">
      <c r="B377" s="139"/>
      <c r="G377" s="140"/>
    </row>
    <row r="378" spans="2:7" ht="15.75" customHeight="1" x14ac:dyDescent="0.25">
      <c r="B378" s="139"/>
      <c r="G378" s="140"/>
    </row>
    <row r="379" spans="2:7" ht="15.75" customHeight="1" x14ac:dyDescent="0.25">
      <c r="B379" s="139"/>
      <c r="G379" s="140"/>
    </row>
    <row r="380" spans="2:7" ht="15.75" customHeight="1" x14ac:dyDescent="0.25">
      <c r="B380" s="139"/>
      <c r="G380" s="140"/>
    </row>
    <row r="381" spans="2:7" ht="15.75" customHeight="1" x14ac:dyDescent="0.25">
      <c r="B381" s="139"/>
      <c r="G381" s="140"/>
    </row>
    <row r="382" spans="2:7" ht="15.75" customHeight="1" x14ac:dyDescent="0.25">
      <c r="B382" s="139"/>
      <c r="G382" s="140"/>
    </row>
    <row r="383" spans="2:7" ht="15.75" customHeight="1" x14ac:dyDescent="0.25">
      <c r="B383" s="139"/>
      <c r="G383" s="140"/>
    </row>
    <row r="384" spans="2:7" ht="15.75" customHeight="1" x14ac:dyDescent="0.25">
      <c r="B384" s="139"/>
      <c r="G384" s="140"/>
    </row>
    <row r="385" spans="2:7" ht="15.75" customHeight="1" x14ac:dyDescent="0.25">
      <c r="B385" s="139"/>
      <c r="G385" s="140"/>
    </row>
    <row r="386" spans="2:7" ht="15.75" customHeight="1" x14ac:dyDescent="0.25">
      <c r="B386" s="139"/>
      <c r="G386" s="140"/>
    </row>
    <row r="387" spans="2:7" ht="15.75" customHeight="1" x14ac:dyDescent="0.25">
      <c r="B387" s="139"/>
      <c r="G387" s="140"/>
    </row>
    <row r="388" spans="2:7" ht="15.75" customHeight="1" x14ac:dyDescent="0.25">
      <c r="B388" s="139"/>
      <c r="G388" s="140"/>
    </row>
    <row r="389" spans="2:7" ht="15.75" customHeight="1" x14ac:dyDescent="0.25">
      <c r="B389" s="139"/>
      <c r="G389" s="140"/>
    </row>
    <row r="390" spans="2:7" ht="15.75" customHeight="1" x14ac:dyDescent="0.25">
      <c r="B390" s="139"/>
      <c r="G390" s="140"/>
    </row>
    <row r="391" spans="2:7" ht="15.75" customHeight="1" x14ac:dyDescent="0.25">
      <c r="B391" s="139"/>
      <c r="G391" s="140"/>
    </row>
    <row r="392" spans="2:7" ht="15.75" customHeight="1" x14ac:dyDescent="0.25">
      <c r="B392" s="139"/>
      <c r="G392" s="140"/>
    </row>
    <row r="393" spans="2:7" ht="15.75" customHeight="1" x14ac:dyDescent="0.25">
      <c r="B393" s="139"/>
      <c r="G393" s="140"/>
    </row>
    <row r="394" spans="2:7" ht="15.75" customHeight="1" x14ac:dyDescent="0.25">
      <c r="B394" s="139"/>
      <c r="G394" s="140"/>
    </row>
    <row r="395" spans="2:7" ht="15.75" customHeight="1" x14ac:dyDescent="0.25">
      <c r="B395" s="139"/>
      <c r="G395" s="140"/>
    </row>
    <row r="396" spans="2:7" ht="15.75" customHeight="1" x14ac:dyDescent="0.25">
      <c r="B396" s="139"/>
      <c r="G396" s="140"/>
    </row>
    <row r="397" spans="2:7" ht="15.75" customHeight="1" x14ac:dyDescent="0.25">
      <c r="B397" s="139"/>
      <c r="G397" s="140"/>
    </row>
    <row r="398" spans="2:7" ht="15.75" customHeight="1" x14ac:dyDescent="0.25">
      <c r="B398" s="139"/>
      <c r="G398" s="140"/>
    </row>
    <row r="399" spans="2:7" ht="15.75" customHeight="1" x14ac:dyDescent="0.25">
      <c r="B399" s="139"/>
      <c r="G399" s="140"/>
    </row>
    <row r="400" spans="2:7" ht="15.75" customHeight="1" x14ac:dyDescent="0.25">
      <c r="B400" s="139"/>
      <c r="G400" s="140"/>
    </row>
    <row r="401" spans="2:7" ht="15.75" customHeight="1" x14ac:dyDescent="0.25">
      <c r="B401" s="139"/>
      <c r="G401" s="140"/>
    </row>
    <row r="402" spans="2:7" ht="15.75" customHeight="1" x14ac:dyDescent="0.25">
      <c r="B402" s="139"/>
      <c r="G402" s="140"/>
    </row>
    <row r="403" spans="2:7" ht="15.75" customHeight="1" x14ac:dyDescent="0.25">
      <c r="B403" s="139"/>
      <c r="G403" s="140"/>
    </row>
    <row r="404" spans="2:7" ht="15.75" customHeight="1" x14ac:dyDescent="0.25">
      <c r="B404" s="139"/>
      <c r="G404" s="140"/>
    </row>
    <row r="405" spans="2:7" ht="15.75" customHeight="1" x14ac:dyDescent="0.25">
      <c r="B405" s="139"/>
      <c r="G405" s="140"/>
    </row>
    <row r="406" spans="2:7" ht="15.75" customHeight="1" x14ac:dyDescent="0.25">
      <c r="B406" s="139"/>
      <c r="G406" s="140"/>
    </row>
    <row r="407" spans="2:7" ht="15.75" customHeight="1" x14ac:dyDescent="0.25">
      <c r="B407" s="139"/>
      <c r="G407" s="140"/>
    </row>
    <row r="408" spans="2:7" ht="15.75" customHeight="1" x14ac:dyDescent="0.25">
      <c r="B408" s="139"/>
      <c r="G408" s="140"/>
    </row>
    <row r="409" spans="2:7" ht="15.75" customHeight="1" x14ac:dyDescent="0.25">
      <c r="B409" s="139"/>
      <c r="G409" s="140"/>
    </row>
    <row r="410" spans="2:7" ht="15.75" customHeight="1" x14ac:dyDescent="0.25">
      <c r="B410" s="139"/>
      <c r="G410" s="140"/>
    </row>
    <row r="411" spans="2:7" ht="15.75" customHeight="1" x14ac:dyDescent="0.25">
      <c r="B411" s="139"/>
      <c r="G411" s="140"/>
    </row>
    <row r="412" spans="2:7" ht="15.75" customHeight="1" x14ac:dyDescent="0.25">
      <c r="B412" s="139"/>
      <c r="G412" s="140"/>
    </row>
    <row r="413" spans="2:7" ht="15.75" customHeight="1" x14ac:dyDescent="0.25">
      <c r="B413" s="139"/>
      <c r="G413" s="140"/>
    </row>
    <row r="414" spans="2:7" ht="15.75" customHeight="1" x14ac:dyDescent="0.25">
      <c r="B414" s="139"/>
      <c r="G414" s="140"/>
    </row>
    <row r="415" spans="2:7" ht="15.75" customHeight="1" x14ac:dyDescent="0.25">
      <c r="B415" s="139"/>
      <c r="G415" s="140"/>
    </row>
    <row r="416" spans="2:7" ht="15.75" customHeight="1" x14ac:dyDescent="0.25">
      <c r="B416" s="139"/>
      <c r="G416" s="140"/>
    </row>
    <row r="417" spans="2:7" ht="15.75" customHeight="1" x14ac:dyDescent="0.25">
      <c r="B417" s="139"/>
      <c r="G417" s="140"/>
    </row>
    <row r="418" spans="2:7" ht="15.75" customHeight="1" x14ac:dyDescent="0.25">
      <c r="B418" s="139"/>
      <c r="G418" s="140"/>
    </row>
    <row r="419" spans="2:7" ht="15.75" customHeight="1" x14ac:dyDescent="0.25">
      <c r="B419" s="139"/>
      <c r="G419" s="140"/>
    </row>
    <row r="420" spans="2:7" ht="15.75" customHeight="1" x14ac:dyDescent="0.25">
      <c r="B420" s="139"/>
      <c r="G420" s="140"/>
    </row>
    <row r="421" spans="2:7" ht="15.75" customHeight="1" x14ac:dyDescent="0.25">
      <c r="B421" s="139"/>
      <c r="G421" s="140"/>
    </row>
    <row r="422" spans="2:7" ht="15.75" customHeight="1" x14ac:dyDescent="0.25">
      <c r="B422" s="139"/>
      <c r="G422" s="140"/>
    </row>
    <row r="423" spans="2:7" ht="15.75" customHeight="1" x14ac:dyDescent="0.25">
      <c r="B423" s="139"/>
      <c r="G423" s="140"/>
    </row>
    <row r="424" spans="2:7" ht="15.75" customHeight="1" x14ac:dyDescent="0.25">
      <c r="B424" s="139"/>
      <c r="G424" s="140"/>
    </row>
    <row r="425" spans="2:7" ht="15.75" customHeight="1" x14ac:dyDescent="0.25">
      <c r="B425" s="139"/>
      <c r="G425" s="140"/>
    </row>
    <row r="426" spans="2:7" ht="15.75" customHeight="1" x14ac:dyDescent="0.25">
      <c r="B426" s="139"/>
      <c r="G426" s="140"/>
    </row>
    <row r="427" spans="2:7" ht="15.75" customHeight="1" x14ac:dyDescent="0.25">
      <c r="B427" s="139"/>
      <c r="G427" s="140"/>
    </row>
    <row r="428" spans="2:7" ht="15.75" customHeight="1" x14ac:dyDescent="0.25">
      <c r="B428" s="139"/>
      <c r="G428" s="140"/>
    </row>
    <row r="429" spans="2:7" ht="15.75" customHeight="1" x14ac:dyDescent="0.25">
      <c r="B429" s="139"/>
      <c r="G429" s="140"/>
    </row>
    <row r="430" spans="2:7" ht="15.75" customHeight="1" x14ac:dyDescent="0.25">
      <c r="B430" s="139"/>
      <c r="G430" s="140"/>
    </row>
    <row r="431" spans="2:7" ht="15.75" customHeight="1" x14ac:dyDescent="0.25">
      <c r="B431" s="139"/>
      <c r="G431" s="140"/>
    </row>
    <row r="432" spans="2:7" ht="15.75" customHeight="1" x14ac:dyDescent="0.25">
      <c r="B432" s="139"/>
      <c r="G432" s="140"/>
    </row>
    <row r="433" spans="2:7" ht="15.75" customHeight="1" x14ac:dyDescent="0.25">
      <c r="B433" s="139"/>
      <c r="G433" s="140"/>
    </row>
    <row r="434" spans="2:7" ht="15.75" customHeight="1" x14ac:dyDescent="0.25">
      <c r="B434" s="139"/>
      <c r="G434" s="140"/>
    </row>
    <row r="435" spans="2:7" ht="15.75" customHeight="1" x14ac:dyDescent="0.25">
      <c r="B435" s="139"/>
      <c r="G435" s="140"/>
    </row>
    <row r="436" spans="2:7" ht="15.75" customHeight="1" x14ac:dyDescent="0.25">
      <c r="B436" s="139"/>
      <c r="G436" s="140"/>
    </row>
    <row r="437" spans="2:7" ht="15.75" customHeight="1" x14ac:dyDescent="0.25">
      <c r="B437" s="139"/>
      <c r="G437" s="140"/>
    </row>
    <row r="438" spans="2:7" ht="15.75" customHeight="1" x14ac:dyDescent="0.25">
      <c r="B438" s="139"/>
      <c r="G438" s="140"/>
    </row>
    <row r="439" spans="2:7" ht="15.75" customHeight="1" x14ac:dyDescent="0.25">
      <c r="B439" s="139"/>
      <c r="G439" s="140"/>
    </row>
    <row r="440" spans="2:7" ht="15.75" customHeight="1" x14ac:dyDescent="0.25">
      <c r="B440" s="139"/>
      <c r="G440" s="140"/>
    </row>
    <row r="441" spans="2:7" ht="15.75" customHeight="1" x14ac:dyDescent="0.25">
      <c r="B441" s="139"/>
      <c r="G441" s="140"/>
    </row>
    <row r="442" spans="2:7" ht="15.75" customHeight="1" x14ac:dyDescent="0.25">
      <c r="B442" s="139"/>
      <c r="G442" s="140"/>
    </row>
    <row r="443" spans="2:7" ht="15.75" customHeight="1" x14ac:dyDescent="0.25">
      <c r="B443" s="139"/>
      <c r="G443" s="140"/>
    </row>
    <row r="444" spans="2:7" ht="15.75" customHeight="1" x14ac:dyDescent="0.25">
      <c r="B444" s="139"/>
      <c r="G444" s="140"/>
    </row>
    <row r="445" spans="2:7" ht="15.75" customHeight="1" x14ac:dyDescent="0.25">
      <c r="B445" s="139"/>
      <c r="G445" s="140"/>
    </row>
    <row r="446" spans="2:7" ht="15.75" customHeight="1" x14ac:dyDescent="0.25">
      <c r="B446" s="139"/>
      <c r="G446" s="140"/>
    </row>
    <row r="447" spans="2:7" ht="15.75" customHeight="1" x14ac:dyDescent="0.25">
      <c r="B447" s="139"/>
      <c r="G447" s="140"/>
    </row>
    <row r="448" spans="2:7" ht="15.75" customHeight="1" x14ac:dyDescent="0.25">
      <c r="B448" s="139"/>
      <c r="G448" s="140"/>
    </row>
    <row r="449" spans="2:7" ht="15.75" customHeight="1" x14ac:dyDescent="0.25">
      <c r="B449" s="139"/>
      <c r="G449" s="140"/>
    </row>
    <row r="450" spans="2:7" ht="15.75" customHeight="1" x14ac:dyDescent="0.25">
      <c r="B450" s="139"/>
      <c r="G450" s="140"/>
    </row>
    <row r="451" spans="2:7" ht="15.75" customHeight="1" x14ac:dyDescent="0.25">
      <c r="B451" s="139"/>
      <c r="G451" s="140"/>
    </row>
    <row r="452" spans="2:7" ht="15.75" customHeight="1" x14ac:dyDescent="0.25">
      <c r="B452" s="139"/>
      <c r="G452" s="140"/>
    </row>
    <row r="453" spans="2:7" ht="15.75" customHeight="1" x14ac:dyDescent="0.25">
      <c r="B453" s="139"/>
      <c r="G453" s="140"/>
    </row>
    <row r="454" spans="2:7" ht="15.75" customHeight="1" x14ac:dyDescent="0.25">
      <c r="B454" s="139"/>
      <c r="G454" s="140"/>
    </row>
    <row r="455" spans="2:7" ht="15.75" customHeight="1" x14ac:dyDescent="0.25">
      <c r="B455" s="139"/>
      <c r="G455" s="140"/>
    </row>
    <row r="456" spans="2:7" ht="15.75" customHeight="1" x14ac:dyDescent="0.25">
      <c r="B456" s="139"/>
      <c r="G456" s="140"/>
    </row>
    <row r="457" spans="2:7" ht="15.75" customHeight="1" x14ac:dyDescent="0.25">
      <c r="B457" s="139"/>
      <c r="G457" s="140"/>
    </row>
    <row r="458" spans="2:7" ht="15.75" customHeight="1" x14ac:dyDescent="0.25">
      <c r="B458" s="139"/>
      <c r="G458" s="140"/>
    </row>
    <row r="459" spans="2:7" ht="15.75" customHeight="1" x14ac:dyDescent="0.25">
      <c r="B459" s="139"/>
      <c r="G459" s="140"/>
    </row>
    <row r="460" spans="2:7" ht="15.75" customHeight="1" x14ac:dyDescent="0.25">
      <c r="B460" s="139"/>
      <c r="G460" s="140"/>
    </row>
    <row r="461" spans="2:7" ht="15.75" customHeight="1" x14ac:dyDescent="0.25">
      <c r="B461" s="139"/>
      <c r="G461" s="140"/>
    </row>
    <row r="462" spans="2:7" ht="15.75" customHeight="1" x14ac:dyDescent="0.25">
      <c r="B462" s="139"/>
      <c r="G462" s="140"/>
    </row>
    <row r="463" spans="2:7" ht="15.75" customHeight="1" x14ac:dyDescent="0.25">
      <c r="B463" s="139"/>
      <c r="G463" s="140"/>
    </row>
    <row r="464" spans="2:7" ht="15.75" customHeight="1" x14ac:dyDescent="0.25">
      <c r="B464" s="139"/>
      <c r="G464" s="140"/>
    </row>
    <row r="465" spans="2:7" ht="15.75" customHeight="1" x14ac:dyDescent="0.25">
      <c r="B465" s="139"/>
      <c r="G465" s="140"/>
    </row>
    <row r="466" spans="2:7" ht="15.75" customHeight="1" x14ac:dyDescent="0.25">
      <c r="B466" s="139"/>
      <c r="G466" s="140"/>
    </row>
    <row r="467" spans="2:7" ht="15.75" customHeight="1" x14ac:dyDescent="0.25">
      <c r="B467" s="139"/>
      <c r="G467" s="140"/>
    </row>
    <row r="468" spans="2:7" ht="15.75" customHeight="1" x14ac:dyDescent="0.25">
      <c r="B468" s="139"/>
      <c r="G468" s="140"/>
    </row>
    <row r="469" spans="2:7" ht="15.75" customHeight="1" x14ac:dyDescent="0.25">
      <c r="B469" s="139"/>
      <c r="G469" s="140"/>
    </row>
    <row r="470" spans="2:7" ht="15.75" customHeight="1" x14ac:dyDescent="0.25">
      <c r="B470" s="139"/>
      <c r="G470" s="140"/>
    </row>
    <row r="471" spans="2:7" ht="15.75" customHeight="1" x14ac:dyDescent="0.25">
      <c r="B471" s="139"/>
      <c r="G471" s="140"/>
    </row>
    <row r="472" spans="2:7" ht="15.75" customHeight="1" x14ac:dyDescent="0.25">
      <c r="B472" s="139"/>
      <c r="G472" s="140"/>
    </row>
    <row r="473" spans="2:7" ht="15.75" customHeight="1" x14ac:dyDescent="0.25">
      <c r="B473" s="139"/>
      <c r="G473" s="140"/>
    </row>
    <row r="474" spans="2:7" ht="15.75" customHeight="1" x14ac:dyDescent="0.25">
      <c r="B474" s="139"/>
      <c r="G474" s="140"/>
    </row>
    <row r="475" spans="2:7" ht="15.75" customHeight="1" x14ac:dyDescent="0.25">
      <c r="B475" s="139"/>
      <c r="G475" s="140"/>
    </row>
    <row r="476" spans="2:7" ht="15.75" customHeight="1" x14ac:dyDescent="0.25">
      <c r="B476" s="139"/>
      <c r="G476" s="140"/>
    </row>
    <row r="477" spans="2:7" ht="15.75" customHeight="1" x14ac:dyDescent="0.25">
      <c r="B477" s="139"/>
      <c r="G477" s="140"/>
    </row>
    <row r="478" spans="2:7" ht="15.75" customHeight="1" x14ac:dyDescent="0.25">
      <c r="B478" s="139"/>
      <c r="G478" s="140"/>
    </row>
    <row r="479" spans="2:7" ht="15.75" customHeight="1" x14ac:dyDescent="0.25">
      <c r="B479" s="139"/>
      <c r="G479" s="140"/>
    </row>
    <row r="480" spans="2:7" ht="15.75" customHeight="1" x14ac:dyDescent="0.25">
      <c r="B480" s="139"/>
      <c r="G480" s="140"/>
    </row>
    <row r="481" spans="2:7" ht="15.75" customHeight="1" x14ac:dyDescent="0.25">
      <c r="B481" s="139"/>
      <c r="G481" s="140"/>
    </row>
    <row r="482" spans="2:7" ht="15.75" customHeight="1" x14ac:dyDescent="0.25">
      <c r="B482" s="139"/>
      <c r="G482" s="140"/>
    </row>
    <row r="483" spans="2:7" ht="15.75" customHeight="1" x14ac:dyDescent="0.25">
      <c r="B483" s="139"/>
      <c r="G483" s="140"/>
    </row>
    <row r="484" spans="2:7" ht="15.75" customHeight="1" x14ac:dyDescent="0.25">
      <c r="B484" s="139"/>
      <c r="G484" s="140"/>
    </row>
    <row r="485" spans="2:7" ht="15.75" customHeight="1" x14ac:dyDescent="0.25">
      <c r="B485" s="139"/>
      <c r="G485" s="140"/>
    </row>
    <row r="486" spans="2:7" ht="15.75" customHeight="1" x14ac:dyDescent="0.25">
      <c r="B486" s="139"/>
      <c r="G486" s="140"/>
    </row>
    <row r="487" spans="2:7" ht="15.75" customHeight="1" x14ac:dyDescent="0.25">
      <c r="B487" s="139"/>
      <c r="G487" s="140"/>
    </row>
    <row r="488" spans="2:7" ht="15.75" customHeight="1" x14ac:dyDescent="0.25">
      <c r="B488" s="139"/>
      <c r="G488" s="140"/>
    </row>
    <row r="489" spans="2:7" ht="15.75" customHeight="1" x14ac:dyDescent="0.25">
      <c r="B489" s="139"/>
      <c r="G489" s="140"/>
    </row>
    <row r="490" spans="2:7" ht="15.75" customHeight="1" x14ac:dyDescent="0.25">
      <c r="B490" s="139"/>
      <c r="G490" s="140"/>
    </row>
    <row r="491" spans="2:7" ht="15.75" customHeight="1" x14ac:dyDescent="0.25">
      <c r="B491" s="139"/>
      <c r="G491" s="140"/>
    </row>
    <row r="492" spans="2:7" ht="15.75" customHeight="1" x14ac:dyDescent="0.25">
      <c r="B492" s="139"/>
      <c r="G492" s="140"/>
    </row>
    <row r="493" spans="2:7" ht="15.75" customHeight="1" x14ac:dyDescent="0.25">
      <c r="B493" s="139"/>
      <c r="G493" s="140"/>
    </row>
    <row r="494" spans="2:7" ht="15.75" customHeight="1" x14ac:dyDescent="0.25">
      <c r="B494" s="139"/>
      <c r="G494" s="140"/>
    </row>
    <row r="495" spans="2:7" ht="15.75" customHeight="1" x14ac:dyDescent="0.25">
      <c r="B495" s="139"/>
      <c r="G495" s="140"/>
    </row>
    <row r="496" spans="2:7" ht="15.75" customHeight="1" x14ac:dyDescent="0.25">
      <c r="B496" s="139"/>
      <c r="G496" s="140"/>
    </row>
    <row r="497" spans="2:7" ht="15.75" customHeight="1" x14ac:dyDescent="0.25">
      <c r="B497" s="139"/>
      <c r="G497" s="140"/>
    </row>
    <row r="498" spans="2:7" ht="15.75" customHeight="1" x14ac:dyDescent="0.25">
      <c r="B498" s="139"/>
      <c r="G498" s="140"/>
    </row>
    <row r="499" spans="2:7" ht="15.75" customHeight="1" x14ac:dyDescent="0.25">
      <c r="B499" s="139"/>
      <c r="G499" s="140"/>
    </row>
    <row r="500" spans="2:7" ht="15.75" customHeight="1" x14ac:dyDescent="0.25">
      <c r="B500" s="139"/>
      <c r="G500" s="140"/>
    </row>
    <row r="501" spans="2:7" ht="15.75" customHeight="1" x14ac:dyDescent="0.25">
      <c r="B501" s="139"/>
      <c r="G501" s="140"/>
    </row>
    <row r="502" spans="2:7" ht="15.75" customHeight="1" x14ac:dyDescent="0.25">
      <c r="B502" s="139"/>
      <c r="G502" s="140"/>
    </row>
    <row r="503" spans="2:7" ht="15.75" customHeight="1" x14ac:dyDescent="0.25">
      <c r="B503" s="139"/>
      <c r="G503" s="140"/>
    </row>
    <row r="504" spans="2:7" ht="15.75" customHeight="1" x14ac:dyDescent="0.25">
      <c r="B504" s="139"/>
      <c r="G504" s="140"/>
    </row>
    <row r="505" spans="2:7" ht="15.75" customHeight="1" x14ac:dyDescent="0.25">
      <c r="B505" s="139"/>
      <c r="G505" s="140"/>
    </row>
    <row r="506" spans="2:7" ht="15.75" customHeight="1" x14ac:dyDescent="0.25">
      <c r="B506" s="139"/>
      <c r="G506" s="140"/>
    </row>
    <row r="507" spans="2:7" ht="15.75" customHeight="1" x14ac:dyDescent="0.25">
      <c r="B507" s="139"/>
      <c r="G507" s="140"/>
    </row>
    <row r="508" spans="2:7" ht="15.75" customHeight="1" x14ac:dyDescent="0.25">
      <c r="B508" s="139"/>
      <c r="G508" s="140"/>
    </row>
    <row r="509" spans="2:7" ht="15.75" customHeight="1" x14ac:dyDescent="0.25">
      <c r="B509" s="139"/>
      <c r="G509" s="140"/>
    </row>
    <row r="510" spans="2:7" ht="15.75" customHeight="1" x14ac:dyDescent="0.25">
      <c r="B510" s="139"/>
      <c r="G510" s="140"/>
    </row>
    <row r="511" spans="2:7" ht="15.75" customHeight="1" x14ac:dyDescent="0.25">
      <c r="B511" s="139"/>
      <c r="G511" s="140"/>
    </row>
    <row r="512" spans="2:7" ht="15.75" customHeight="1" x14ac:dyDescent="0.25">
      <c r="B512" s="139"/>
      <c r="G512" s="140"/>
    </row>
    <row r="513" spans="2:7" ht="15.75" customHeight="1" x14ac:dyDescent="0.25">
      <c r="B513" s="139"/>
      <c r="G513" s="140"/>
    </row>
    <row r="514" spans="2:7" ht="15.75" customHeight="1" x14ac:dyDescent="0.25">
      <c r="B514" s="139"/>
      <c r="G514" s="140"/>
    </row>
    <row r="515" spans="2:7" ht="15.75" customHeight="1" x14ac:dyDescent="0.25">
      <c r="B515" s="139"/>
      <c r="G515" s="140"/>
    </row>
    <row r="516" spans="2:7" ht="15.75" customHeight="1" x14ac:dyDescent="0.25">
      <c r="B516" s="139"/>
      <c r="G516" s="140"/>
    </row>
    <row r="517" spans="2:7" ht="15.75" customHeight="1" x14ac:dyDescent="0.25">
      <c r="B517" s="139"/>
      <c r="G517" s="140"/>
    </row>
    <row r="518" spans="2:7" ht="15.75" customHeight="1" x14ac:dyDescent="0.25">
      <c r="B518" s="139"/>
      <c r="G518" s="140"/>
    </row>
    <row r="519" spans="2:7" ht="15.75" customHeight="1" x14ac:dyDescent="0.25">
      <c r="B519" s="139"/>
      <c r="G519" s="140"/>
    </row>
    <row r="520" spans="2:7" ht="15.75" customHeight="1" x14ac:dyDescent="0.25">
      <c r="B520" s="139"/>
      <c r="G520" s="140"/>
    </row>
    <row r="521" spans="2:7" ht="15.75" customHeight="1" x14ac:dyDescent="0.25">
      <c r="B521" s="139"/>
      <c r="G521" s="140"/>
    </row>
    <row r="522" spans="2:7" ht="15.75" customHeight="1" x14ac:dyDescent="0.25">
      <c r="B522" s="139"/>
      <c r="G522" s="140"/>
    </row>
    <row r="523" spans="2:7" ht="15.75" customHeight="1" x14ac:dyDescent="0.25">
      <c r="B523" s="139"/>
      <c r="G523" s="140"/>
    </row>
    <row r="524" spans="2:7" ht="15.75" customHeight="1" x14ac:dyDescent="0.25">
      <c r="B524" s="139"/>
      <c r="G524" s="140"/>
    </row>
    <row r="525" spans="2:7" ht="15.75" customHeight="1" x14ac:dyDescent="0.25">
      <c r="B525" s="139"/>
      <c r="G525" s="140"/>
    </row>
    <row r="526" spans="2:7" ht="15.75" customHeight="1" x14ac:dyDescent="0.25">
      <c r="B526" s="139"/>
      <c r="G526" s="140"/>
    </row>
    <row r="527" spans="2:7" ht="15.75" customHeight="1" x14ac:dyDescent="0.25">
      <c r="B527" s="139"/>
      <c r="G527" s="140"/>
    </row>
    <row r="528" spans="2:7" ht="15.75" customHeight="1" x14ac:dyDescent="0.25">
      <c r="B528" s="139"/>
      <c r="G528" s="140"/>
    </row>
    <row r="529" spans="2:7" ht="15.75" customHeight="1" x14ac:dyDescent="0.25">
      <c r="B529" s="139"/>
      <c r="G529" s="140"/>
    </row>
    <row r="530" spans="2:7" ht="15.75" customHeight="1" x14ac:dyDescent="0.25">
      <c r="B530" s="139"/>
      <c r="G530" s="140"/>
    </row>
    <row r="531" spans="2:7" ht="15.75" customHeight="1" x14ac:dyDescent="0.25">
      <c r="B531" s="139"/>
      <c r="G531" s="140"/>
    </row>
    <row r="532" spans="2:7" ht="15.75" customHeight="1" x14ac:dyDescent="0.25">
      <c r="B532" s="139"/>
      <c r="G532" s="140"/>
    </row>
    <row r="533" spans="2:7" ht="15.75" customHeight="1" x14ac:dyDescent="0.25">
      <c r="B533" s="139"/>
      <c r="G533" s="140"/>
    </row>
    <row r="534" spans="2:7" ht="15.75" customHeight="1" x14ac:dyDescent="0.25">
      <c r="B534" s="139"/>
      <c r="G534" s="140"/>
    </row>
    <row r="535" spans="2:7" ht="15.75" customHeight="1" x14ac:dyDescent="0.25">
      <c r="B535" s="139"/>
      <c r="G535" s="140"/>
    </row>
    <row r="536" spans="2:7" ht="15.75" customHeight="1" x14ac:dyDescent="0.25">
      <c r="B536" s="139"/>
      <c r="G536" s="140"/>
    </row>
    <row r="537" spans="2:7" ht="15.75" customHeight="1" x14ac:dyDescent="0.25">
      <c r="B537" s="139"/>
      <c r="G537" s="140"/>
    </row>
    <row r="538" spans="2:7" ht="15.75" customHeight="1" x14ac:dyDescent="0.25">
      <c r="B538" s="139"/>
      <c r="G538" s="140"/>
    </row>
    <row r="539" spans="2:7" ht="15.75" customHeight="1" x14ac:dyDescent="0.25">
      <c r="B539" s="139"/>
      <c r="G539" s="140"/>
    </row>
    <row r="540" spans="2:7" ht="15.75" customHeight="1" x14ac:dyDescent="0.25">
      <c r="B540" s="139"/>
      <c r="G540" s="140"/>
    </row>
    <row r="541" spans="2:7" ht="15.75" customHeight="1" x14ac:dyDescent="0.25">
      <c r="B541" s="139"/>
      <c r="G541" s="140"/>
    </row>
    <row r="542" spans="2:7" ht="15.75" customHeight="1" x14ac:dyDescent="0.25">
      <c r="B542" s="139"/>
      <c r="G542" s="140"/>
    </row>
    <row r="543" spans="2:7" ht="15.75" customHeight="1" x14ac:dyDescent="0.25">
      <c r="B543" s="139"/>
      <c r="G543" s="140"/>
    </row>
    <row r="544" spans="2:7" ht="15.75" customHeight="1" x14ac:dyDescent="0.25">
      <c r="B544" s="139"/>
      <c r="G544" s="140"/>
    </row>
    <row r="545" spans="2:7" ht="15.75" customHeight="1" x14ac:dyDescent="0.25">
      <c r="B545" s="139"/>
      <c r="G545" s="140"/>
    </row>
    <row r="546" spans="2:7" ht="15.75" customHeight="1" x14ac:dyDescent="0.25">
      <c r="B546" s="139"/>
      <c r="G546" s="140"/>
    </row>
    <row r="547" spans="2:7" ht="15.75" customHeight="1" x14ac:dyDescent="0.25">
      <c r="B547" s="139"/>
      <c r="G547" s="140"/>
    </row>
    <row r="548" spans="2:7" ht="15.75" customHeight="1" x14ac:dyDescent="0.25">
      <c r="B548" s="139"/>
      <c r="G548" s="140"/>
    </row>
    <row r="549" spans="2:7" ht="15.75" customHeight="1" x14ac:dyDescent="0.25">
      <c r="B549" s="139"/>
      <c r="G549" s="140"/>
    </row>
    <row r="550" spans="2:7" ht="15.75" customHeight="1" x14ac:dyDescent="0.25">
      <c r="B550" s="139"/>
      <c r="G550" s="140"/>
    </row>
    <row r="551" spans="2:7" ht="15.75" customHeight="1" x14ac:dyDescent="0.25">
      <c r="B551" s="139"/>
      <c r="G551" s="140"/>
    </row>
    <row r="552" spans="2:7" ht="15.75" customHeight="1" x14ac:dyDescent="0.25">
      <c r="B552" s="139"/>
      <c r="G552" s="140"/>
    </row>
    <row r="553" spans="2:7" ht="15.75" customHeight="1" x14ac:dyDescent="0.25">
      <c r="B553" s="139"/>
      <c r="G553" s="140"/>
    </row>
    <row r="554" spans="2:7" ht="15.75" customHeight="1" x14ac:dyDescent="0.25">
      <c r="B554" s="139"/>
      <c r="G554" s="140"/>
    </row>
    <row r="555" spans="2:7" ht="15.75" customHeight="1" x14ac:dyDescent="0.25">
      <c r="B555" s="139"/>
      <c r="G555" s="140"/>
    </row>
    <row r="556" spans="2:7" ht="15.75" customHeight="1" x14ac:dyDescent="0.25">
      <c r="B556" s="139"/>
      <c r="G556" s="140"/>
    </row>
    <row r="557" spans="2:7" ht="15.75" customHeight="1" x14ac:dyDescent="0.25">
      <c r="B557" s="139"/>
      <c r="G557" s="140"/>
    </row>
    <row r="558" spans="2:7" ht="15.75" customHeight="1" x14ac:dyDescent="0.25">
      <c r="B558" s="139"/>
      <c r="G558" s="140"/>
    </row>
    <row r="559" spans="2:7" ht="15.75" customHeight="1" x14ac:dyDescent="0.25">
      <c r="B559" s="139"/>
      <c r="G559" s="140"/>
    </row>
    <row r="560" spans="2:7" ht="15.75" customHeight="1" x14ac:dyDescent="0.25">
      <c r="B560" s="139"/>
      <c r="G560" s="140"/>
    </row>
    <row r="561" spans="2:7" ht="15.75" customHeight="1" x14ac:dyDescent="0.25">
      <c r="B561" s="139"/>
      <c r="G561" s="140"/>
    </row>
    <row r="562" spans="2:7" ht="15.75" customHeight="1" x14ac:dyDescent="0.25">
      <c r="B562" s="139"/>
      <c r="G562" s="140"/>
    </row>
    <row r="563" spans="2:7" ht="15.75" customHeight="1" x14ac:dyDescent="0.25">
      <c r="B563" s="139"/>
      <c r="G563" s="140"/>
    </row>
    <row r="564" spans="2:7" ht="15.75" customHeight="1" x14ac:dyDescent="0.25">
      <c r="B564" s="139"/>
      <c r="G564" s="140"/>
    </row>
    <row r="565" spans="2:7" ht="15.75" customHeight="1" x14ac:dyDescent="0.25">
      <c r="B565" s="139"/>
      <c r="G565" s="140"/>
    </row>
    <row r="566" spans="2:7" ht="15.75" customHeight="1" x14ac:dyDescent="0.25">
      <c r="B566" s="139"/>
      <c r="G566" s="140"/>
    </row>
    <row r="567" spans="2:7" ht="15.75" customHeight="1" x14ac:dyDescent="0.25">
      <c r="B567" s="139"/>
      <c r="G567" s="140"/>
    </row>
    <row r="568" spans="2:7" ht="15.75" customHeight="1" x14ac:dyDescent="0.25">
      <c r="B568" s="139"/>
      <c r="G568" s="140"/>
    </row>
    <row r="569" spans="2:7" ht="15.75" customHeight="1" x14ac:dyDescent="0.25">
      <c r="B569" s="139"/>
      <c r="G569" s="140"/>
    </row>
    <row r="570" spans="2:7" ht="15.75" customHeight="1" x14ac:dyDescent="0.25">
      <c r="B570" s="139"/>
      <c r="G570" s="140"/>
    </row>
    <row r="571" spans="2:7" ht="15.75" customHeight="1" x14ac:dyDescent="0.25">
      <c r="B571" s="139"/>
      <c r="G571" s="140"/>
    </row>
    <row r="572" spans="2:7" ht="15.75" customHeight="1" x14ac:dyDescent="0.25">
      <c r="B572" s="139"/>
      <c r="G572" s="140"/>
    </row>
    <row r="573" spans="2:7" ht="15.75" customHeight="1" x14ac:dyDescent="0.25">
      <c r="B573" s="139"/>
      <c r="G573" s="140"/>
    </row>
    <row r="574" spans="2:7" ht="15.75" customHeight="1" x14ac:dyDescent="0.25">
      <c r="B574" s="139"/>
      <c r="G574" s="140"/>
    </row>
    <row r="575" spans="2:7" ht="15.75" customHeight="1" x14ac:dyDescent="0.25">
      <c r="B575" s="139"/>
      <c r="G575" s="140"/>
    </row>
    <row r="576" spans="2:7" ht="15.75" customHeight="1" x14ac:dyDescent="0.25">
      <c r="B576" s="139"/>
      <c r="G576" s="140"/>
    </row>
    <row r="577" spans="2:7" ht="15.75" customHeight="1" x14ac:dyDescent="0.25">
      <c r="B577" s="139"/>
      <c r="G577" s="140"/>
    </row>
    <row r="578" spans="2:7" ht="15.75" customHeight="1" x14ac:dyDescent="0.25">
      <c r="B578" s="139"/>
      <c r="G578" s="140"/>
    </row>
    <row r="579" spans="2:7" ht="15.75" customHeight="1" x14ac:dyDescent="0.25">
      <c r="B579" s="139"/>
      <c r="G579" s="140"/>
    </row>
    <row r="580" spans="2:7" ht="15.75" customHeight="1" x14ac:dyDescent="0.25">
      <c r="B580" s="139"/>
      <c r="G580" s="140"/>
    </row>
    <row r="581" spans="2:7" ht="15.75" customHeight="1" x14ac:dyDescent="0.25">
      <c r="B581" s="139"/>
      <c r="G581" s="140"/>
    </row>
    <row r="582" spans="2:7" ht="15.75" customHeight="1" x14ac:dyDescent="0.25">
      <c r="B582" s="139"/>
      <c r="G582" s="140"/>
    </row>
    <row r="583" spans="2:7" ht="15.75" customHeight="1" x14ac:dyDescent="0.25">
      <c r="B583" s="139"/>
      <c r="G583" s="140"/>
    </row>
    <row r="584" spans="2:7" ht="15.75" customHeight="1" x14ac:dyDescent="0.25">
      <c r="B584" s="139"/>
      <c r="G584" s="140"/>
    </row>
    <row r="585" spans="2:7" ht="15.75" customHeight="1" x14ac:dyDescent="0.25">
      <c r="B585" s="139"/>
      <c r="G585" s="140"/>
    </row>
    <row r="586" spans="2:7" ht="15.75" customHeight="1" x14ac:dyDescent="0.25">
      <c r="B586" s="139"/>
      <c r="G586" s="140"/>
    </row>
    <row r="587" spans="2:7" ht="15.75" customHeight="1" x14ac:dyDescent="0.25">
      <c r="B587" s="139"/>
      <c r="G587" s="140"/>
    </row>
    <row r="588" spans="2:7" ht="15.75" customHeight="1" x14ac:dyDescent="0.25">
      <c r="B588" s="139"/>
      <c r="G588" s="140"/>
    </row>
    <row r="589" spans="2:7" ht="15.75" customHeight="1" x14ac:dyDescent="0.25">
      <c r="B589" s="139"/>
      <c r="G589" s="140"/>
    </row>
    <row r="590" spans="2:7" ht="15.75" customHeight="1" x14ac:dyDescent="0.25">
      <c r="B590" s="139"/>
      <c r="G590" s="140"/>
    </row>
    <row r="591" spans="2:7" ht="15.75" customHeight="1" x14ac:dyDescent="0.25">
      <c r="B591" s="139"/>
      <c r="G591" s="140"/>
    </row>
    <row r="592" spans="2:7" ht="15.75" customHeight="1" x14ac:dyDescent="0.25">
      <c r="B592" s="139"/>
      <c r="G592" s="140"/>
    </row>
    <row r="593" spans="2:7" ht="15.75" customHeight="1" x14ac:dyDescent="0.25">
      <c r="B593" s="139"/>
      <c r="G593" s="140"/>
    </row>
    <row r="594" spans="2:7" ht="15.75" customHeight="1" x14ac:dyDescent="0.25">
      <c r="B594" s="139"/>
      <c r="G594" s="140"/>
    </row>
    <row r="595" spans="2:7" ht="15.75" customHeight="1" x14ac:dyDescent="0.25">
      <c r="B595" s="139"/>
      <c r="G595" s="140"/>
    </row>
    <row r="596" spans="2:7" ht="15.75" customHeight="1" x14ac:dyDescent="0.25">
      <c r="B596" s="139"/>
      <c r="G596" s="140"/>
    </row>
    <row r="597" spans="2:7" ht="15.75" customHeight="1" x14ac:dyDescent="0.25">
      <c r="B597" s="139"/>
      <c r="G597" s="140"/>
    </row>
    <row r="598" spans="2:7" ht="15.75" customHeight="1" x14ac:dyDescent="0.25">
      <c r="B598" s="139"/>
      <c r="G598" s="140"/>
    </row>
    <row r="599" spans="2:7" ht="15.75" customHeight="1" x14ac:dyDescent="0.25">
      <c r="B599" s="139"/>
      <c r="G599" s="140"/>
    </row>
    <row r="600" spans="2:7" ht="15.75" customHeight="1" x14ac:dyDescent="0.25">
      <c r="B600" s="139"/>
      <c r="G600" s="140"/>
    </row>
    <row r="601" spans="2:7" ht="15.75" customHeight="1" x14ac:dyDescent="0.25">
      <c r="B601" s="139"/>
      <c r="G601" s="140"/>
    </row>
    <row r="602" spans="2:7" ht="15.75" customHeight="1" x14ac:dyDescent="0.25">
      <c r="B602" s="139"/>
      <c r="G602" s="140"/>
    </row>
    <row r="603" spans="2:7" ht="15.75" customHeight="1" x14ac:dyDescent="0.25">
      <c r="B603" s="139"/>
      <c r="G603" s="140"/>
    </row>
    <row r="604" spans="2:7" ht="15.75" customHeight="1" x14ac:dyDescent="0.25">
      <c r="B604" s="139"/>
      <c r="G604" s="140"/>
    </row>
    <row r="605" spans="2:7" ht="15.75" customHeight="1" x14ac:dyDescent="0.25">
      <c r="B605" s="139"/>
      <c r="G605" s="140"/>
    </row>
    <row r="606" spans="2:7" ht="15.75" customHeight="1" x14ac:dyDescent="0.25">
      <c r="B606" s="139"/>
      <c r="G606" s="140"/>
    </row>
    <row r="607" spans="2:7" ht="15.75" customHeight="1" x14ac:dyDescent="0.25">
      <c r="B607" s="139"/>
      <c r="G607" s="140"/>
    </row>
    <row r="608" spans="2:7" ht="15.75" customHeight="1" x14ac:dyDescent="0.25">
      <c r="B608" s="139"/>
      <c r="G608" s="140"/>
    </row>
    <row r="609" spans="2:7" ht="15.75" customHeight="1" x14ac:dyDescent="0.25">
      <c r="B609" s="139"/>
      <c r="G609" s="140"/>
    </row>
    <row r="610" spans="2:7" ht="15.75" customHeight="1" x14ac:dyDescent="0.25">
      <c r="B610" s="139"/>
      <c r="G610" s="140"/>
    </row>
    <row r="611" spans="2:7" ht="15.75" customHeight="1" x14ac:dyDescent="0.25">
      <c r="B611" s="139"/>
      <c r="G611" s="140"/>
    </row>
    <row r="612" spans="2:7" ht="15.75" customHeight="1" x14ac:dyDescent="0.25">
      <c r="B612" s="139"/>
      <c r="G612" s="140"/>
    </row>
    <row r="613" spans="2:7" ht="15.75" customHeight="1" x14ac:dyDescent="0.25">
      <c r="B613" s="139"/>
      <c r="G613" s="140"/>
    </row>
    <row r="614" spans="2:7" ht="15.75" customHeight="1" x14ac:dyDescent="0.25">
      <c r="B614" s="139"/>
      <c r="G614" s="140"/>
    </row>
    <row r="615" spans="2:7" ht="15.75" customHeight="1" x14ac:dyDescent="0.25">
      <c r="B615" s="139"/>
      <c r="G615" s="140"/>
    </row>
    <row r="616" spans="2:7" ht="15.75" customHeight="1" x14ac:dyDescent="0.25">
      <c r="B616" s="139"/>
      <c r="G616" s="140"/>
    </row>
    <row r="617" spans="2:7" ht="15.75" customHeight="1" x14ac:dyDescent="0.25">
      <c r="B617" s="139"/>
      <c r="G617" s="140"/>
    </row>
    <row r="618" spans="2:7" ht="15.75" customHeight="1" x14ac:dyDescent="0.25">
      <c r="B618" s="139"/>
      <c r="G618" s="140"/>
    </row>
    <row r="619" spans="2:7" ht="15.75" customHeight="1" x14ac:dyDescent="0.25">
      <c r="B619" s="139"/>
      <c r="G619" s="140"/>
    </row>
    <row r="620" spans="2:7" ht="15.75" customHeight="1" x14ac:dyDescent="0.25">
      <c r="B620" s="139"/>
      <c r="G620" s="140"/>
    </row>
    <row r="621" spans="2:7" ht="15.75" customHeight="1" x14ac:dyDescent="0.25">
      <c r="B621" s="139"/>
      <c r="G621" s="140"/>
    </row>
    <row r="622" spans="2:7" ht="15.75" customHeight="1" x14ac:dyDescent="0.25">
      <c r="B622" s="139"/>
      <c r="G622" s="140"/>
    </row>
    <row r="623" spans="2:7" ht="15.75" customHeight="1" x14ac:dyDescent="0.25">
      <c r="B623" s="139"/>
      <c r="G623" s="140"/>
    </row>
    <row r="624" spans="2:7" ht="15.75" customHeight="1" x14ac:dyDescent="0.25">
      <c r="B624" s="139"/>
      <c r="G624" s="140"/>
    </row>
    <row r="625" spans="2:7" ht="15.75" customHeight="1" x14ac:dyDescent="0.25">
      <c r="B625" s="139"/>
      <c r="G625" s="140"/>
    </row>
    <row r="626" spans="2:7" ht="15.75" customHeight="1" x14ac:dyDescent="0.25">
      <c r="B626" s="139"/>
      <c r="G626" s="140"/>
    </row>
    <row r="627" spans="2:7" ht="15.75" customHeight="1" x14ac:dyDescent="0.25">
      <c r="B627" s="139"/>
      <c r="G627" s="140"/>
    </row>
    <row r="628" spans="2:7" ht="15.75" customHeight="1" x14ac:dyDescent="0.25">
      <c r="B628" s="139"/>
      <c r="G628" s="140"/>
    </row>
    <row r="629" spans="2:7" ht="15.75" customHeight="1" x14ac:dyDescent="0.25">
      <c r="B629" s="139"/>
      <c r="G629" s="140"/>
    </row>
    <row r="630" spans="2:7" ht="15.75" customHeight="1" x14ac:dyDescent="0.25">
      <c r="B630" s="139"/>
      <c r="G630" s="140"/>
    </row>
    <row r="631" spans="2:7" ht="15.75" customHeight="1" x14ac:dyDescent="0.25">
      <c r="B631" s="139"/>
      <c r="G631" s="140"/>
    </row>
    <row r="632" spans="2:7" ht="15.75" customHeight="1" x14ac:dyDescent="0.25">
      <c r="B632" s="139"/>
      <c r="G632" s="140"/>
    </row>
    <row r="633" spans="2:7" ht="15.75" customHeight="1" x14ac:dyDescent="0.25">
      <c r="B633" s="139"/>
      <c r="G633" s="140"/>
    </row>
    <row r="634" spans="2:7" ht="15.75" customHeight="1" x14ac:dyDescent="0.25">
      <c r="B634" s="139"/>
      <c r="G634" s="140"/>
    </row>
    <row r="635" spans="2:7" ht="15.75" customHeight="1" x14ac:dyDescent="0.25">
      <c r="B635" s="139"/>
      <c r="G635" s="140"/>
    </row>
    <row r="636" spans="2:7" ht="15.75" customHeight="1" x14ac:dyDescent="0.25">
      <c r="B636" s="139"/>
      <c r="G636" s="140"/>
    </row>
    <row r="637" spans="2:7" ht="15.75" customHeight="1" x14ac:dyDescent="0.25">
      <c r="B637" s="139"/>
      <c r="G637" s="140"/>
    </row>
    <row r="638" spans="2:7" ht="15.75" customHeight="1" x14ac:dyDescent="0.25">
      <c r="B638" s="139"/>
      <c r="G638" s="140"/>
    </row>
    <row r="639" spans="2:7" ht="15.75" customHeight="1" x14ac:dyDescent="0.25">
      <c r="B639" s="139"/>
      <c r="G639" s="140"/>
    </row>
    <row r="640" spans="2:7" ht="15.75" customHeight="1" x14ac:dyDescent="0.25">
      <c r="B640" s="139"/>
      <c r="G640" s="140"/>
    </row>
    <row r="641" spans="2:7" ht="15.75" customHeight="1" x14ac:dyDescent="0.25">
      <c r="B641" s="139"/>
      <c r="G641" s="140"/>
    </row>
    <row r="642" spans="2:7" ht="15.75" customHeight="1" x14ac:dyDescent="0.25">
      <c r="B642" s="139"/>
      <c r="G642" s="140"/>
    </row>
    <row r="643" spans="2:7" ht="15.75" customHeight="1" x14ac:dyDescent="0.25">
      <c r="B643" s="139"/>
      <c r="G643" s="140"/>
    </row>
    <row r="644" spans="2:7" ht="15.75" customHeight="1" x14ac:dyDescent="0.25">
      <c r="B644" s="139"/>
      <c r="G644" s="140"/>
    </row>
    <row r="645" spans="2:7" ht="15.75" customHeight="1" x14ac:dyDescent="0.25">
      <c r="B645" s="139"/>
      <c r="G645" s="140"/>
    </row>
    <row r="646" spans="2:7" ht="15.75" customHeight="1" x14ac:dyDescent="0.25">
      <c r="B646" s="139"/>
      <c r="G646" s="140"/>
    </row>
    <row r="647" spans="2:7" ht="15.75" customHeight="1" x14ac:dyDescent="0.25">
      <c r="B647" s="139"/>
      <c r="G647" s="140"/>
    </row>
    <row r="648" spans="2:7" ht="15.75" customHeight="1" x14ac:dyDescent="0.25">
      <c r="B648" s="139"/>
      <c r="G648" s="140"/>
    </row>
    <row r="649" spans="2:7" ht="15.75" customHeight="1" x14ac:dyDescent="0.25">
      <c r="B649" s="139"/>
      <c r="G649" s="140"/>
    </row>
    <row r="650" spans="2:7" ht="15.75" customHeight="1" x14ac:dyDescent="0.25">
      <c r="B650" s="139"/>
      <c r="G650" s="140"/>
    </row>
    <row r="651" spans="2:7" ht="15.75" customHeight="1" x14ac:dyDescent="0.25">
      <c r="B651" s="139"/>
      <c r="G651" s="140"/>
    </row>
    <row r="652" spans="2:7" ht="15.75" customHeight="1" x14ac:dyDescent="0.25">
      <c r="B652" s="139"/>
      <c r="G652" s="140"/>
    </row>
    <row r="653" spans="2:7" ht="15.75" customHeight="1" x14ac:dyDescent="0.25">
      <c r="B653" s="139"/>
      <c r="G653" s="140"/>
    </row>
    <row r="654" spans="2:7" ht="15.75" customHeight="1" x14ac:dyDescent="0.25">
      <c r="B654" s="139"/>
      <c r="G654" s="140"/>
    </row>
    <row r="655" spans="2:7" ht="15.75" customHeight="1" x14ac:dyDescent="0.25">
      <c r="B655" s="139"/>
      <c r="G655" s="140"/>
    </row>
    <row r="656" spans="2:7" ht="15.75" customHeight="1" x14ac:dyDescent="0.25">
      <c r="B656" s="139"/>
      <c r="G656" s="140"/>
    </row>
    <row r="657" spans="2:7" ht="15.75" customHeight="1" x14ac:dyDescent="0.25">
      <c r="B657" s="139"/>
      <c r="G657" s="140"/>
    </row>
    <row r="658" spans="2:7" ht="15.75" customHeight="1" x14ac:dyDescent="0.25">
      <c r="B658" s="139"/>
      <c r="G658" s="140"/>
    </row>
    <row r="659" spans="2:7" ht="15.75" customHeight="1" x14ac:dyDescent="0.25">
      <c r="B659" s="139"/>
      <c r="G659" s="140"/>
    </row>
    <row r="660" spans="2:7" ht="15.75" customHeight="1" x14ac:dyDescent="0.25">
      <c r="B660" s="139"/>
      <c r="G660" s="140"/>
    </row>
    <row r="661" spans="2:7" ht="15.75" customHeight="1" x14ac:dyDescent="0.25">
      <c r="B661" s="139"/>
      <c r="G661" s="140"/>
    </row>
    <row r="662" spans="2:7" ht="15.75" customHeight="1" x14ac:dyDescent="0.25">
      <c r="B662" s="139"/>
      <c r="G662" s="140"/>
    </row>
    <row r="663" spans="2:7" ht="15.75" customHeight="1" x14ac:dyDescent="0.25">
      <c r="B663" s="139"/>
      <c r="G663" s="140"/>
    </row>
    <row r="664" spans="2:7" ht="15.75" customHeight="1" x14ac:dyDescent="0.25">
      <c r="B664" s="139"/>
      <c r="G664" s="140"/>
    </row>
    <row r="665" spans="2:7" ht="15.75" customHeight="1" x14ac:dyDescent="0.25">
      <c r="B665" s="139"/>
      <c r="G665" s="140"/>
    </row>
    <row r="666" spans="2:7" ht="15.75" customHeight="1" x14ac:dyDescent="0.25">
      <c r="B666" s="139"/>
      <c r="G666" s="140"/>
    </row>
    <row r="667" spans="2:7" ht="15.75" customHeight="1" x14ac:dyDescent="0.25">
      <c r="B667" s="139"/>
      <c r="G667" s="140"/>
    </row>
    <row r="668" spans="2:7" ht="15.75" customHeight="1" x14ac:dyDescent="0.25">
      <c r="B668" s="139"/>
      <c r="G668" s="140"/>
    </row>
    <row r="669" spans="2:7" ht="15.75" customHeight="1" x14ac:dyDescent="0.25">
      <c r="B669" s="139"/>
      <c r="G669" s="140"/>
    </row>
    <row r="670" spans="2:7" ht="15.75" customHeight="1" x14ac:dyDescent="0.25">
      <c r="B670" s="139"/>
      <c r="G670" s="140"/>
    </row>
    <row r="671" spans="2:7" ht="15.75" customHeight="1" x14ac:dyDescent="0.25">
      <c r="B671" s="139"/>
      <c r="G671" s="140"/>
    </row>
    <row r="672" spans="2:7" ht="15.75" customHeight="1" x14ac:dyDescent="0.25">
      <c r="B672" s="139"/>
      <c r="G672" s="140"/>
    </row>
    <row r="673" spans="2:7" ht="15.75" customHeight="1" x14ac:dyDescent="0.25">
      <c r="B673" s="139"/>
      <c r="G673" s="140"/>
    </row>
    <row r="674" spans="2:7" ht="15.75" customHeight="1" x14ac:dyDescent="0.25">
      <c r="B674" s="139"/>
      <c r="G674" s="140"/>
    </row>
    <row r="675" spans="2:7" ht="15.75" customHeight="1" x14ac:dyDescent="0.25">
      <c r="B675" s="139"/>
      <c r="G675" s="140"/>
    </row>
    <row r="676" spans="2:7" ht="15.75" customHeight="1" x14ac:dyDescent="0.25">
      <c r="B676" s="139"/>
      <c r="G676" s="140"/>
    </row>
    <row r="677" spans="2:7" ht="15.75" customHeight="1" x14ac:dyDescent="0.25">
      <c r="B677" s="139"/>
      <c r="G677" s="140"/>
    </row>
    <row r="678" spans="2:7" ht="15.75" customHeight="1" x14ac:dyDescent="0.25">
      <c r="B678" s="139"/>
      <c r="G678" s="140"/>
    </row>
    <row r="679" spans="2:7" ht="15.75" customHeight="1" x14ac:dyDescent="0.25">
      <c r="B679" s="139"/>
      <c r="G679" s="140"/>
    </row>
    <row r="680" spans="2:7" ht="15.75" customHeight="1" x14ac:dyDescent="0.25">
      <c r="B680" s="139"/>
      <c r="G680" s="140"/>
    </row>
    <row r="681" spans="2:7" ht="15.75" customHeight="1" x14ac:dyDescent="0.25">
      <c r="B681" s="139"/>
      <c r="G681" s="140"/>
    </row>
    <row r="682" spans="2:7" ht="15.75" customHeight="1" x14ac:dyDescent="0.25">
      <c r="B682" s="139"/>
      <c r="G682" s="140"/>
    </row>
    <row r="683" spans="2:7" ht="15.75" customHeight="1" x14ac:dyDescent="0.25">
      <c r="B683" s="139"/>
      <c r="G683" s="140"/>
    </row>
    <row r="684" spans="2:7" ht="15.75" customHeight="1" x14ac:dyDescent="0.25">
      <c r="B684" s="139"/>
      <c r="G684" s="140"/>
    </row>
    <row r="685" spans="2:7" ht="15.75" customHeight="1" x14ac:dyDescent="0.25">
      <c r="B685" s="139"/>
      <c r="G685" s="140"/>
    </row>
    <row r="686" spans="2:7" ht="15.75" customHeight="1" x14ac:dyDescent="0.25">
      <c r="B686" s="139"/>
      <c r="G686" s="140"/>
    </row>
    <row r="687" spans="2:7" ht="15.75" customHeight="1" x14ac:dyDescent="0.25">
      <c r="B687" s="139"/>
      <c r="G687" s="140"/>
    </row>
    <row r="688" spans="2:7" ht="15.75" customHeight="1" x14ac:dyDescent="0.25">
      <c r="B688" s="139"/>
      <c r="G688" s="140"/>
    </row>
    <row r="689" spans="2:7" ht="15.75" customHeight="1" x14ac:dyDescent="0.25">
      <c r="B689" s="139"/>
      <c r="G689" s="140"/>
    </row>
    <row r="690" spans="2:7" ht="15.75" customHeight="1" x14ac:dyDescent="0.25">
      <c r="B690" s="139"/>
      <c r="G690" s="140"/>
    </row>
    <row r="691" spans="2:7" ht="15.75" customHeight="1" x14ac:dyDescent="0.25">
      <c r="B691" s="139"/>
      <c r="G691" s="140"/>
    </row>
    <row r="692" spans="2:7" ht="15.75" customHeight="1" x14ac:dyDescent="0.25">
      <c r="B692" s="139"/>
      <c r="G692" s="140"/>
    </row>
    <row r="693" spans="2:7" ht="15.75" customHeight="1" x14ac:dyDescent="0.25">
      <c r="B693" s="139"/>
      <c r="G693" s="140"/>
    </row>
    <row r="694" spans="2:7" ht="15.75" customHeight="1" x14ac:dyDescent="0.25">
      <c r="B694" s="139"/>
      <c r="G694" s="140"/>
    </row>
    <row r="695" spans="2:7" ht="15.75" customHeight="1" x14ac:dyDescent="0.25">
      <c r="B695" s="139"/>
      <c r="G695" s="140"/>
    </row>
    <row r="696" spans="2:7" ht="15.75" customHeight="1" x14ac:dyDescent="0.25">
      <c r="B696" s="139"/>
      <c r="G696" s="140"/>
    </row>
    <row r="697" spans="2:7" ht="15.75" customHeight="1" x14ac:dyDescent="0.25">
      <c r="B697" s="139"/>
      <c r="G697" s="140"/>
    </row>
    <row r="698" spans="2:7" ht="15.75" customHeight="1" x14ac:dyDescent="0.25">
      <c r="B698" s="139"/>
      <c r="G698" s="140"/>
    </row>
    <row r="699" spans="2:7" ht="15.75" customHeight="1" x14ac:dyDescent="0.25">
      <c r="B699" s="139"/>
      <c r="G699" s="140"/>
    </row>
    <row r="700" spans="2:7" ht="15.75" customHeight="1" x14ac:dyDescent="0.25">
      <c r="B700" s="139"/>
      <c r="G700" s="140"/>
    </row>
    <row r="701" spans="2:7" ht="15.75" customHeight="1" x14ac:dyDescent="0.25">
      <c r="B701" s="139"/>
      <c r="G701" s="140"/>
    </row>
    <row r="702" spans="2:7" ht="15.75" customHeight="1" x14ac:dyDescent="0.25">
      <c r="B702" s="139"/>
      <c r="G702" s="140"/>
    </row>
    <row r="703" spans="2:7" ht="15.75" customHeight="1" x14ac:dyDescent="0.25">
      <c r="B703" s="139"/>
      <c r="G703" s="140"/>
    </row>
    <row r="704" spans="2:7" ht="15.75" customHeight="1" x14ac:dyDescent="0.25">
      <c r="B704" s="139"/>
      <c r="G704" s="140"/>
    </row>
    <row r="705" spans="2:7" ht="15.75" customHeight="1" x14ac:dyDescent="0.25">
      <c r="B705" s="139"/>
      <c r="G705" s="140"/>
    </row>
    <row r="706" spans="2:7" ht="15.75" customHeight="1" x14ac:dyDescent="0.25">
      <c r="B706" s="139"/>
      <c r="G706" s="140"/>
    </row>
    <row r="707" spans="2:7" ht="15.75" customHeight="1" x14ac:dyDescent="0.25">
      <c r="B707" s="139"/>
      <c r="G707" s="140"/>
    </row>
    <row r="708" spans="2:7" ht="15.75" customHeight="1" x14ac:dyDescent="0.25">
      <c r="B708" s="139"/>
      <c r="G708" s="140"/>
    </row>
    <row r="709" spans="2:7" ht="15.75" customHeight="1" x14ac:dyDescent="0.25">
      <c r="B709" s="139"/>
      <c r="G709" s="140"/>
    </row>
    <row r="710" spans="2:7" ht="15.75" customHeight="1" x14ac:dyDescent="0.25">
      <c r="B710" s="139"/>
      <c r="G710" s="140"/>
    </row>
    <row r="711" spans="2:7" ht="15.75" customHeight="1" x14ac:dyDescent="0.25">
      <c r="B711" s="139"/>
      <c r="G711" s="140"/>
    </row>
    <row r="712" spans="2:7" ht="15.75" customHeight="1" x14ac:dyDescent="0.25">
      <c r="B712" s="139"/>
      <c r="G712" s="140"/>
    </row>
    <row r="713" spans="2:7" ht="15.75" customHeight="1" x14ac:dyDescent="0.25">
      <c r="B713" s="139"/>
      <c r="G713" s="140"/>
    </row>
    <row r="714" spans="2:7" ht="15.75" customHeight="1" x14ac:dyDescent="0.25">
      <c r="B714" s="139"/>
      <c r="G714" s="140"/>
    </row>
    <row r="715" spans="2:7" ht="15.75" customHeight="1" x14ac:dyDescent="0.25">
      <c r="B715" s="139"/>
      <c r="G715" s="140"/>
    </row>
    <row r="716" spans="2:7" ht="15.75" customHeight="1" x14ac:dyDescent="0.25">
      <c r="B716" s="139"/>
      <c r="G716" s="140"/>
    </row>
    <row r="717" spans="2:7" ht="15.75" customHeight="1" x14ac:dyDescent="0.25">
      <c r="B717" s="139"/>
      <c r="G717" s="140"/>
    </row>
    <row r="718" spans="2:7" ht="15.75" customHeight="1" x14ac:dyDescent="0.25">
      <c r="B718" s="139"/>
      <c r="G718" s="140"/>
    </row>
    <row r="719" spans="2:7" ht="15.75" customHeight="1" x14ac:dyDescent="0.25">
      <c r="B719" s="139"/>
      <c r="G719" s="140"/>
    </row>
    <row r="720" spans="2:7" ht="15.75" customHeight="1" x14ac:dyDescent="0.25">
      <c r="B720" s="139"/>
      <c r="G720" s="140"/>
    </row>
    <row r="721" spans="2:7" ht="15.75" customHeight="1" x14ac:dyDescent="0.25">
      <c r="B721" s="139"/>
      <c r="G721" s="140"/>
    </row>
    <row r="722" spans="2:7" ht="15.75" customHeight="1" x14ac:dyDescent="0.25">
      <c r="B722" s="139"/>
      <c r="G722" s="140"/>
    </row>
    <row r="723" spans="2:7" ht="15.75" customHeight="1" x14ac:dyDescent="0.25">
      <c r="B723" s="139"/>
      <c r="G723" s="140"/>
    </row>
    <row r="724" spans="2:7" ht="15.75" customHeight="1" x14ac:dyDescent="0.25">
      <c r="B724" s="139"/>
      <c r="G724" s="140"/>
    </row>
    <row r="725" spans="2:7" ht="15.75" customHeight="1" x14ac:dyDescent="0.25">
      <c r="B725" s="139"/>
      <c r="G725" s="140"/>
    </row>
    <row r="726" spans="2:7" ht="15.75" customHeight="1" x14ac:dyDescent="0.25">
      <c r="B726" s="139"/>
      <c r="G726" s="140"/>
    </row>
    <row r="727" spans="2:7" ht="15.75" customHeight="1" x14ac:dyDescent="0.25">
      <c r="B727" s="139"/>
      <c r="G727" s="140"/>
    </row>
    <row r="728" spans="2:7" ht="15.75" customHeight="1" x14ac:dyDescent="0.25">
      <c r="B728" s="139"/>
      <c r="G728" s="140"/>
    </row>
    <row r="729" spans="2:7" ht="15.75" customHeight="1" x14ac:dyDescent="0.25">
      <c r="B729" s="139"/>
      <c r="G729" s="140"/>
    </row>
    <row r="730" spans="2:7" ht="15.75" customHeight="1" x14ac:dyDescent="0.25">
      <c r="B730" s="139"/>
      <c r="G730" s="140"/>
    </row>
    <row r="731" spans="2:7" ht="15.75" customHeight="1" x14ac:dyDescent="0.25">
      <c r="B731" s="139"/>
      <c r="G731" s="140"/>
    </row>
    <row r="732" spans="2:7" ht="15.75" customHeight="1" x14ac:dyDescent="0.25">
      <c r="B732" s="139"/>
      <c r="G732" s="140"/>
    </row>
    <row r="733" spans="2:7" ht="15.75" customHeight="1" x14ac:dyDescent="0.25">
      <c r="B733" s="139"/>
      <c r="G733" s="140"/>
    </row>
    <row r="734" spans="2:7" ht="15.75" customHeight="1" x14ac:dyDescent="0.25">
      <c r="B734" s="139"/>
      <c r="G734" s="140"/>
    </row>
    <row r="735" spans="2:7" ht="15.75" customHeight="1" x14ac:dyDescent="0.25">
      <c r="B735" s="139"/>
      <c r="G735" s="140"/>
    </row>
    <row r="736" spans="2:7" ht="15.75" customHeight="1" x14ac:dyDescent="0.25">
      <c r="B736" s="139"/>
      <c r="G736" s="140"/>
    </row>
    <row r="737" spans="2:7" ht="15.75" customHeight="1" x14ac:dyDescent="0.25">
      <c r="B737" s="139"/>
      <c r="G737" s="140"/>
    </row>
    <row r="738" spans="2:7" ht="15.75" customHeight="1" x14ac:dyDescent="0.25">
      <c r="B738" s="139"/>
      <c r="G738" s="140"/>
    </row>
    <row r="739" spans="2:7" ht="15.75" customHeight="1" x14ac:dyDescent="0.25">
      <c r="B739" s="139"/>
      <c r="G739" s="140"/>
    </row>
    <row r="740" spans="2:7" ht="15.75" customHeight="1" x14ac:dyDescent="0.25">
      <c r="B740" s="139"/>
      <c r="G740" s="140"/>
    </row>
    <row r="741" spans="2:7" ht="15.75" customHeight="1" x14ac:dyDescent="0.25">
      <c r="B741" s="139"/>
      <c r="G741" s="140"/>
    </row>
    <row r="742" spans="2:7" ht="15.75" customHeight="1" x14ac:dyDescent="0.25">
      <c r="B742" s="139"/>
      <c r="G742" s="140"/>
    </row>
    <row r="743" spans="2:7" ht="15.75" customHeight="1" x14ac:dyDescent="0.25">
      <c r="B743" s="139"/>
      <c r="G743" s="140"/>
    </row>
    <row r="744" spans="2:7" ht="15.75" customHeight="1" x14ac:dyDescent="0.25">
      <c r="B744" s="139"/>
      <c r="G744" s="140"/>
    </row>
    <row r="745" spans="2:7" ht="15.75" customHeight="1" x14ac:dyDescent="0.25">
      <c r="B745" s="139"/>
      <c r="G745" s="140"/>
    </row>
    <row r="746" spans="2:7" ht="15.75" customHeight="1" x14ac:dyDescent="0.25">
      <c r="B746" s="139"/>
      <c r="G746" s="140"/>
    </row>
    <row r="747" spans="2:7" ht="15.75" customHeight="1" x14ac:dyDescent="0.25">
      <c r="B747" s="139"/>
      <c r="G747" s="140"/>
    </row>
    <row r="748" spans="2:7" ht="15.75" customHeight="1" x14ac:dyDescent="0.25">
      <c r="B748" s="139"/>
      <c r="G748" s="140"/>
    </row>
    <row r="749" spans="2:7" ht="15.75" customHeight="1" x14ac:dyDescent="0.25">
      <c r="B749" s="139"/>
      <c r="G749" s="140"/>
    </row>
    <row r="750" spans="2:7" ht="15.75" customHeight="1" x14ac:dyDescent="0.25">
      <c r="B750" s="139"/>
      <c r="G750" s="140"/>
    </row>
    <row r="751" spans="2:7" ht="15.75" customHeight="1" x14ac:dyDescent="0.25">
      <c r="B751" s="139"/>
      <c r="G751" s="140"/>
    </row>
    <row r="752" spans="2:7" ht="15.75" customHeight="1" x14ac:dyDescent="0.25">
      <c r="B752" s="139"/>
      <c r="G752" s="140"/>
    </row>
    <row r="753" spans="2:7" ht="15.75" customHeight="1" x14ac:dyDescent="0.25">
      <c r="B753" s="139"/>
      <c r="G753" s="140"/>
    </row>
    <row r="754" spans="2:7" ht="15.75" customHeight="1" x14ac:dyDescent="0.25">
      <c r="B754" s="139"/>
      <c r="G754" s="140"/>
    </row>
    <row r="755" spans="2:7" ht="15.75" customHeight="1" x14ac:dyDescent="0.25">
      <c r="B755" s="139"/>
      <c r="G755" s="140"/>
    </row>
    <row r="756" spans="2:7" ht="15.75" customHeight="1" x14ac:dyDescent="0.25">
      <c r="B756" s="139"/>
      <c r="G756" s="140"/>
    </row>
    <row r="757" spans="2:7" ht="15.75" customHeight="1" x14ac:dyDescent="0.25">
      <c r="B757" s="139"/>
      <c r="G757" s="140"/>
    </row>
    <row r="758" spans="2:7" ht="15.75" customHeight="1" x14ac:dyDescent="0.25">
      <c r="B758" s="139"/>
      <c r="G758" s="140"/>
    </row>
    <row r="759" spans="2:7" ht="15.75" customHeight="1" x14ac:dyDescent="0.25">
      <c r="B759" s="139"/>
      <c r="G759" s="140"/>
    </row>
    <row r="760" spans="2:7" ht="15.75" customHeight="1" x14ac:dyDescent="0.25">
      <c r="B760" s="139"/>
      <c r="G760" s="140"/>
    </row>
    <row r="761" spans="2:7" ht="15.75" customHeight="1" x14ac:dyDescent="0.25">
      <c r="B761" s="139"/>
      <c r="G761" s="140"/>
    </row>
    <row r="762" spans="2:7" ht="15.75" customHeight="1" x14ac:dyDescent="0.25">
      <c r="B762" s="139"/>
      <c r="G762" s="140"/>
    </row>
    <row r="763" spans="2:7" ht="15.75" customHeight="1" x14ac:dyDescent="0.25">
      <c r="B763" s="139"/>
      <c r="G763" s="140"/>
    </row>
    <row r="764" spans="2:7" ht="15.75" customHeight="1" x14ac:dyDescent="0.25">
      <c r="B764" s="139"/>
      <c r="G764" s="140"/>
    </row>
    <row r="765" spans="2:7" ht="15.75" customHeight="1" x14ac:dyDescent="0.25">
      <c r="B765" s="139"/>
      <c r="G765" s="140"/>
    </row>
    <row r="766" spans="2:7" ht="15.75" customHeight="1" x14ac:dyDescent="0.25">
      <c r="B766" s="139"/>
      <c r="G766" s="140"/>
    </row>
    <row r="767" spans="2:7" ht="15.75" customHeight="1" x14ac:dyDescent="0.25">
      <c r="B767" s="139"/>
      <c r="G767" s="140"/>
    </row>
    <row r="768" spans="2:7" ht="15.75" customHeight="1" x14ac:dyDescent="0.25">
      <c r="B768" s="139"/>
      <c r="G768" s="140"/>
    </row>
    <row r="769" spans="2:7" ht="15.75" customHeight="1" x14ac:dyDescent="0.25">
      <c r="B769" s="139"/>
      <c r="G769" s="140"/>
    </row>
    <row r="770" spans="2:7" ht="15.75" customHeight="1" x14ac:dyDescent="0.25">
      <c r="B770" s="139"/>
      <c r="G770" s="140"/>
    </row>
    <row r="771" spans="2:7" ht="15.75" customHeight="1" x14ac:dyDescent="0.25">
      <c r="B771" s="139"/>
      <c r="G771" s="140"/>
    </row>
    <row r="772" spans="2:7" ht="15.75" customHeight="1" x14ac:dyDescent="0.25">
      <c r="B772" s="139"/>
      <c r="G772" s="140"/>
    </row>
    <row r="773" spans="2:7" ht="15.75" customHeight="1" x14ac:dyDescent="0.25">
      <c r="B773" s="139"/>
      <c r="G773" s="140"/>
    </row>
    <row r="774" spans="2:7" ht="15.75" customHeight="1" x14ac:dyDescent="0.25">
      <c r="B774" s="139"/>
      <c r="G774" s="140"/>
    </row>
    <row r="775" spans="2:7" ht="15.75" customHeight="1" x14ac:dyDescent="0.25">
      <c r="B775" s="139"/>
      <c r="G775" s="140"/>
    </row>
    <row r="776" spans="2:7" ht="15.75" customHeight="1" x14ac:dyDescent="0.25">
      <c r="B776" s="139"/>
      <c r="G776" s="140"/>
    </row>
    <row r="777" spans="2:7" ht="15.75" customHeight="1" x14ac:dyDescent="0.25">
      <c r="B777" s="139"/>
      <c r="G777" s="140"/>
    </row>
    <row r="778" spans="2:7" ht="15.75" customHeight="1" x14ac:dyDescent="0.25">
      <c r="B778" s="139"/>
      <c r="G778" s="140"/>
    </row>
    <row r="779" spans="2:7" ht="15.75" customHeight="1" x14ac:dyDescent="0.25">
      <c r="B779" s="139"/>
      <c r="G779" s="140"/>
    </row>
    <row r="780" spans="2:7" ht="15.75" customHeight="1" x14ac:dyDescent="0.25">
      <c r="B780" s="139"/>
      <c r="G780" s="140"/>
    </row>
    <row r="781" spans="2:7" ht="15.75" customHeight="1" x14ac:dyDescent="0.25">
      <c r="B781" s="139"/>
      <c r="G781" s="140"/>
    </row>
    <row r="782" spans="2:7" ht="15.75" customHeight="1" x14ac:dyDescent="0.25">
      <c r="B782" s="139"/>
      <c r="G782" s="140"/>
    </row>
    <row r="783" spans="2:7" ht="15.75" customHeight="1" x14ac:dyDescent="0.25">
      <c r="B783" s="139"/>
      <c r="G783" s="140"/>
    </row>
    <row r="784" spans="2:7" ht="15.75" customHeight="1" x14ac:dyDescent="0.25">
      <c r="B784" s="139"/>
      <c r="G784" s="140"/>
    </row>
    <row r="785" spans="2:7" ht="15.75" customHeight="1" x14ac:dyDescent="0.25">
      <c r="B785" s="139"/>
      <c r="G785" s="140"/>
    </row>
    <row r="786" spans="2:7" ht="15.75" customHeight="1" x14ac:dyDescent="0.25">
      <c r="B786" s="139"/>
      <c r="G786" s="140"/>
    </row>
    <row r="787" spans="2:7" ht="15.75" customHeight="1" x14ac:dyDescent="0.25">
      <c r="B787" s="139"/>
      <c r="G787" s="140"/>
    </row>
    <row r="788" spans="2:7" ht="15.75" customHeight="1" x14ac:dyDescent="0.25">
      <c r="B788" s="139"/>
      <c r="G788" s="140"/>
    </row>
    <row r="789" spans="2:7" ht="15.75" customHeight="1" x14ac:dyDescent="0.25">
      <c r="B789" s="139"/>
      <c r="G789" s="140"/>
    </row>
    <row r="790" spans="2:7" ht="15.75" customHeight="1" x14ac:dyDescent="0.25">
      <c r="B790" s="139"/>
      <c r="G790" s="140"/>
    </row>
    <row r="791" spans="2:7" ht="15.75" customHeight="1" x14ac:dyDescent="0.25">
      <c r="B791" s="139"/>
      <c r="G791" s="140"/>
    </row>
    <row r="792" spans="2:7" ht="15.75" customHeight="1" x14ac:dyDescent="0.25">
      <c r="B792" s="139"/>
      <c r="G792" s="140"/>
    </row>
    <row r="793" spans="2:7" ht="15.75" customHeight="1" x14ac:dyDescent="0.25">
      <c r="B793" s="139"/>
      <c r="G793" s="140"/>
    </row>
    <row r="794" spans="2:7" ht="15.75" customHeight="1" x14ac:dyDescent="0.25">
      <c r="B794" s="139"/>
      <c r="G794" s="140"/>
    </row>
    <row r="795" spans="2:7" ht="15.75" customHeight="1" x14ac:dyDescent="0.25">
      <c r="B795" s="139"/>
      <c r="G795" s="140"/>
    </row>
    <row r="796" spans="2:7" ht="15.75" customHeight="1" x14ac:dyDescent="0.25">
      <c r="B796" s="139"/>
      <c r="G796" s="140"/>
    </row>
    <row r="797" spans="2:7" ht="15.75" customHeight="1" x14ac:dyDescent="0.25">
      <c r="B797" s="139"/>
      <c r="G797" s="140"/>
    </row>
    <row r="798" spans="2:7" ht="15.75" customHeight="1" x14ac:dyDescent="0.25">
      <c r="B798" s="139"/>
      <c r="G798" s="140"/>
    </row>
    <row r="799" spans="2:7" ht="15.75" customHeight="1" x14ac:dyDescent="0.25">
      <c r="B799" s="139"/>
      <c r="G799" s="140"/>
    </row>
    <row r="800" spans="2:7" ht="15.75" customHeight="1" x14ac:dyDescent="0.25">
      <c r="B800" s="139"/>
      <c r="G800" s="140"/>
    </row>
    <row r="801" spans="2:7" ht="15.75" customHeight="1" x14ac:dyDescent="0.25">
      <c r="B801" s="139"/>
      <c r="G801" s="140"/>
    </row>
    <row r="802" spans="2:7" ht="15.75" customHeight="1" x14ac:dyDescent="0.25">
      <c r="B802" s="139"/>
      <c r="G802" s="140"/>
    </row>
    <row r="803" spans="2:7" ht="15.75" customHeight="1" x14ac:dyDescent="0.25">
      <c r="B803" s="139"/>
      <c r="G803" s="140"/>
    </row>
    <row r="804" spans="2:7" ht="15.75" customHeight="1" x14ac:dyDescent="0.25">
      <c r="B804" s="139"/>
      <c r="G804" s="140"/>
    </row>
    <row r="805" spans="2:7" ht="15.75" customHeight="1" x14ac:dyDescent="0.25">
      <c r="B805" s="139"/>
      <c r="G805" s="140"/>
    </row>
    <row r="806" spans="2:7" ht="15.75" customHeight="1" x14ac:dyDescent="0.25">
      <c r="B806" s="139"/>
      <c r="G806" s="140"/>
    </row>
    <row r="807" spans="2:7" ht="15.75" customHeight="1" x14ac:dyDescent="0.25">
      <c r="B807" s="139"/>
      <c r="G807" s="140"/>
    </row>
    <row r="808" spans="2:7" ht="15.75" customHeight="1" x14ac:dyDescent="0.25">
      <c r="B808" s="139"/>
      <c r="G808" s="140"/>
    </row>
    <row r="809" spans="2:7" ht="15.75" customHeight="1" x14ac:dyDescent="0.25">
      <c r="B809" s="139"/>
      <c r="G809" s="140"/>
    </row>
    <row r="810" spans="2:7" ht="15.75" customHeight="1" x14ac:dyDescent="0.25">
      <c r="B810" s="139"/>
      <c r="G810" s="140"/>
    </row>
    <row r="811" spans="2:7" ht="15.75" customHeight="1" x14ac:dyDescent="0.25">
      <c r="B811" s="139"/>
      <c r="G811" s="140"/>
    </row>
    <row r="812" spans="2:7" ht="15.75" customHeight="1" x14ac:dyDescent="0.25">
      <c r="B812" s="139"/>
      <c r="G812" s="140"/>
    </row>
    <row r="813" spans="2:7" ht="15.75" customHeight="1" x14ac:dyDescent="0.25">
      <c r="B813" s="139"/>
      <c r="G813" s="140"/>
    </row>
    <row r="814" spans="2:7" ht="15.75" customHeight="1" x14ac:dyDescent="0.25">
      <c r="B814" s="139"/>
      <c r="G814" s="140"/>
    </row>
    <row r="815" spans="2:7" ht="15.75" customHeight="1" x14ac:dyDescent="0.25">
      <c r="B815" s="139"/>
      <c r="G815" s="140"/>
    </row>
    <row r="816" spans="2:7" ht="15.75" customHeight="1" x14ac:dyDescent="0.25">
      <c r="B816" s="139"/>
      <c r="G816" s="140"/>
    </row>
    <row r="817" spans="2:7" ht="15.75" customHeight="1" x14ac:dyDescent="0.25">
      <c r="B817" s="139"/>
      <c r="G817" s="140"/>
    </row>
    <row r="818" spans="2:7" ht="15.75" customHeight="1" x14ac:dyDescent="0.25">
      <c r="B818" s="139"/>
      <c r="G818" s="140"/>
    </row>
    <row r="819" spans="2:7" ht="15.75" customHeight="1" x14ac:dyDescent="0.25">
      <c r="B819" s="139"/>
      <c r="G819" s="140"/>
    </row>
    <row r="820" spans="2:7" ht="15.75" customHeight="1" x14ac:dyDescent="0.25">
      <c r="B820" s="139"/>
      <c r="G820" s="140"/>
    </row>
    <row r="821" spans="2:7" ht="15.75" customHeight="1" x14ac:dyDescent="0.25">
      <c r="B821" s="139"/>
      <c r="G821" s="140"/>
    </row>
    <row r="822" spans="2:7" ht="15.75" customHeight="1" x14ac:dyDescent="0.25">
      <c r="B822" s="139"/>
      <c r="G822" s="140"/>
    </row>
    <row r="823" spans="2:7" ht="15.75" customHeight="1" x14ac:dyDescent="0.25">
      <c r="B823" s="139"/>
      <c r="G823" s="140"/>
    </row>
    <row r="824" spans="2:7" ht="15.75" customHeight="1" x14ac:dyDescent="0.25">
      <c r="B824" s="139"/>
      <c r="G824" s="140"/>
    </row>
    <row r="825" spans="2:7" ht="15.75" customHeight="1" x14ac:dyDescent="0.25">
      <c r="B825" s="139"/>
      <c r="G825" s="140"/>
    </row>
    <row r="826" spans="2:7" ht="15.75" customHeight="1" x14ac:dyDescent="0.25">
      <c r="B826" s="139"/>
      <c r="G826" s="140"/>
    </row>
    <row r="827" spans="2:7" ht="15.75" customHeight="1" x14ac:dyDescent="0.25">
      <c r="B827" s="139"/>
      <c r="G827" s="140"/>
    </row>
    <row r="828" spans="2:7" ht="15.75" customHeight="1" x14ac:dyDescent="0.25">
      <c r="B828" s="139"/>
      <c r="G828" s="140"/>
    </row>
    <row r="829" spans="2:7" ht="15.75" customHeight="1" x14ac:dyDescent="0.25">
      <c r="B829" s="139"/>
      <c r="G829" s="140"/>
    </row>
    <row r="830" spans="2:7" ht="15.75" customHeight="1" x14ac:dyDescent="0.25">
      <c r="B830" s="139"/>
      <c r="G830" s="140"/>
    </row>
    <row r="831" spans="2:7" ht="15.75" customHeight="1" x14ac:dyDescent="0.25">
      <c r="B831" s="139"/>
      <c r="G831" s="140"/>
    </row>
    <row r="832" spans="2:7" ht="15.75" customHeight="1" x14ac:dyDescent="0.25">
      <c r="B832" s="139"/>
      <c r="G832" s="140"/>
    </row>
    <row r="833" spans="2:7" ht="15.75" customHeight="1" x14ac:dyDescent="0.25">
      <c r="B833" s="139"/>
      <c r="G833" s="140"/>
    </row>
    <row r="834" spans="2:7" ht="15.75" customHeight="1" x14ac:dyDescent="0.25">
      <c r="B834" s="139"/>
      <c r="G834" s="140"/>
    </row>
    <row r="835" spans="2:7" ht="15.75" customHeight="1" x14ac:dyDescent="0.25">
      <c r="B835" s="139"/>
      <c r="G835" s="140"/>
    </row>
    <row r="836" spans="2:7" ht="15.75" customHeight="1" x14ac:dyDescent="0.25">
      <c r="B836" s="139"/>
      <c r="G836" s="140"/>
    </row>
    <row r="837" spans="2:7" ht="15.75" customHeight="1" x14ac:dyDescent="0.25">
      <c r="B837" s="139"/>
      <c r="G837" s="140"/>
    </row>
    <row r="838" spans="2:7" ht="15.75" customHeight="1" x14ac:dyDescent="0.25">
      <c r="B838" s="139"/>
      <c r="G838" s="140"/>
    </row>
    <row r="839" spans="2:7" ht="15.75" customHeight="1" x14ac:dyDescent="0.25">
      <c r="B839" s="139"/>
      <c r="G839" s="140"/>
    </row>
    <row r="840" spans="2:7" ht="15.75" customHeight="1" x14ac:dyDescent="0.25">
      <c r="B840" s="139"/>
      <c r="G840" s="140"/>
    </row>
    <row r="841" spans="2:7" ht="15.75" customHeight="1" x14ac:dyDescent="0.25">
      <c r="B841" s="139"/>
      <c r="G841" s="140"/>
    </row>
    <row r="842" spans="2:7" ht="15.75" customHeight="1" x14ac:dyDescent="0.25">
      <c r="B842" s="139"/>
      <c r="G842" s="140"/>
    </row>
    <row r="843" spans="2:7" ht="15.75" customHeight="1" x14ac:dyDescent="0.25">
      <c r="B843" s="139"/>
      <c r="G843" s="140"/>
    </row>
    <row r="844" spans="2:7" ht="15.75" customHeight="1" x14ac:dyDescent="0.25">
      <c r="B844" s="139"/>
      <c r="G844" s="140"/>
    </row>
    <row r="845" spans="2:7" ht="15.75" customHeight="1" x14ac:dyDescent="0.25">
      <c r="B845" s="139"/>
      <c r="G845" s="140"/>
    </row>
    <row r="846" spans="2:7" ht="15.75" customHeight="1" x14ac:dyDescent="0.25">
      <c r="B846" s="139"/>
      <c r="G846" s="140"/>
    </row>
    <row r="847" spans="2:7" ht="15.75" customHeight="1" x14ac:dyDescent="0.25">
      <c r="B847" s="139"/>
      <c r="G847" s="140"/>
    </row>
    <row r="848" spans="2:7" ht="15.75" customHeight="1" x14ac:dyDescent="0.25">
      <c r="B848" s="139"/>
      <c r="G848" s="140"/>
    </row>
    <row r="849" spans="2:7" ht="15.75" customHeight="1" x14ac:dyDescent="0.25">
      <c r="B849" s="139"/>
      <c r="G849" s="140"/>
    </row>
    <row r="850" spans="2:7" ht="15.75" customHeight="1" x14ac:dyDescent="0.25">
      <c r="B850" s="139"/>
      <c r="G850" s="140"/>
    </row>
    <row r="851" spans="2:7" ht="15.75" customHeight="1" x14ac:dyDescent="0.25">
      <c r="B851" s="139"/>
      <c r="G851" s="140"/>
    </row>
    <row r="852" spans="2:7" ht="15.75" customHeight="1" x14ac:dyDescent="0.25">
      <c r="B852" s="139"/>
      <c r="G852" s="140"/>
    </row>
    <row r="853" spans="2:7" ht="15.75" customHeight="1" x14ac:dyDescent="0.25">
      <c r="B853" s="139"/>
      <c r="G853" s="140"/>
    </row>
    <row r="854" spans="2:7" ht="15.75" customHeight="1" x14ac:dyDescent="0.25">
      <c r="B854" s="139"/>
      <c r="G854" s="140"/>
    </row>
    <row r="855" spans="2:7" ht="15.75" customHeight="1" x14ac:dyDescent="0.25">
      <c r="B855" s="139"/>
      <c r="G855" s="140"/>
    </row>
    <row r="856" spans="2:7" ht="15.75" customHeight="1" x14ac:dyDescent="0.25">
      <c r="B856" s="139"/>
      <c r="G856" s="140"/>
    </row>
    <row r="857" spans="2:7" ht="15.75" customHeight="1" x14ac:dyDescent="0.25">
      <c r="B857" s="139"/>
      <c r="G857" s="140"/>
    </row>
    <row r="858" spans="2:7" ht="15.75" customHeight="1" x14ac:dyDescent="0.25">
      <c r="B858" s="139"/>
      <c r="G858" s="140"/>
    </row>
    <row r="859" spans="2:7" ht="15.75" customHeight="1" x14ac:dyDescent="0.25">
      <c r="B859" s="139"/>
      <c r="G859" s="140"/>
    </row>
    <row r="860" spans="2:7" ht="15.75" customHeight="1" x14ac:dyDescent="0.25">
      <c r="B860" s="139"/>
      <c r="G860" s="140"/>
    </row>
    <row r="861" spans="2:7" ht="15.75" customHeight="1" x14ac:dyDescent="0.25">
      <c r="B861" s="139"/>
      <c r="G861" s="140"/>
    </row>
    <row r="862" spans="2:7" ht="15.75" customHeight="1" x14ac:dyDescent="0.25">
      <c r="B862" s="139"/>
      <c r="G862" s="140"/>
    </row>
    <row r="863" spans="2:7" ht="15.75" customHeight="1" x14ac:dyDescent="0.25">
      <c r="B863" s="139"/>
      <c r="G863" s="140"/>
    </row>
    <row r="864" spans="2:7" ht="15.75" customHeight="1" x14ac:dyDescent="0.25">
      <c r="B864" s="139"/>
      <c r="G864" s="140"/>
    </row>
    <row r="865" spans="2:7" ht="15.75" customHeight="1" x14ac:dyDescent="0.25">
      <c r="B865" s="139"/>
      <c r="G865" s="140"/>
    </row>
    <row r="866" spans="2:7" ht="15.75" customHeight="1" x14ac:dyDescent="0.25">
      <c r="B866" s="139"/>
      <c r="G866" s="140"/>
    </row>
    <row r="867" spans="2:7" ht="15.75" customHeight="1" x14ac:dyDescent="0.25">
      <c r="B867" s="139"/>
      <c r="G867" s="140"/>
    </row>
    <row r="868" spans="2:7" ht="15.75" customHeight="1" x14ac:dyDescent="0.25">
      <c r="B868" s="139"/>
      <c r="G868" s="140"/>
    </row>
    <row r="869" spans="2:7" ht="15.75" customHeight="1" x14ac:dyDescent="0.25">
      <c r="B869" s="139"/>
      <c r="G869" s="140"/>
    </row>
    <row r="870" spans="2:7" ht="15.75" customHeight="1" x14ac:dyDescent="0.25">
      <c r="B870" s="139"/>
      <c r="G870" s="140"/>
    </row>
    <row r="871" spans="2:7" ht="15.75" customHeight="1" x14ac:dyDescent="0.25">
      <c r="B871" s="139"/>
      <c r="G871" s="140"/>
    </row>
    <row r="872" spans="2:7" ht="15.75" customHeight="1" x14ac:dyDescent="0.25">
      <c r="B872" s="139"/>
      <c r="G872" s="140"/>
    </row>
    <row r="873" spans="2:7" ht="15.75" customHeight="1" x14ac:dyDescent="0.25">
      <c r="B873" s="139"/>
      <c r="G873" s="140"/>
    </row>
    <row r="874" spans="2:7" ht="15.75" customHeight="1" x14ac:dyDescent="0.25">
      <c r="B874" s="139"/>
      <c r="G874" s="140"/>
    </row>
    <row r="875" spans="2:7" ht="15.75" customHeight="1" x14ac:dyDescent="0.25">
      <c r="B875" s="139"/>
      <c r="G875" s="140"/>
    </row>
    <row r="876" spans="2:7" ht="15.75" customHeight="1" x14ac:dyDescent="0.25">
      <c r="B876" s="139"/>
      <c r="G876" s="140"/>
    </row>
    <row r="877" spans="2:7" ht="15.75" customHeight="1" x14ac:dyDescent="0.25">
      <c r="B877" s="139"/>
      <c r="G877" s="140"/>
    </row>
    <row r="878" spans="2:7" ht="15.75" customHeight="1" x14ac:dyDescent="0.25">
      <c r="B878" s="139"/>
      <c r="G878" s="140"/>
    </row>
    <row r="879" spans="2:7" ht="15.75" customHeight="1" x14ac:dyDescent="0.25">
      <c r="B879" s="139"/>
      <c r="G879" s="140"/>
    </row>
    <row r="880" spans="2:7" ht="15.75" customHeight="1" x14ac:dyDescent="0.25">
      <c r="B880" s="139"/>
      <c r="G880" s="140"/>
    </row>
    <row r="881" spans="2:7" ht="15.75" customHeight="1" x14ac:dyDescent="0.25">
      <c r="B881" s="139"/>
      <c r="G881" s="140"/>
    </row>
    <row r="882" spans="2:7" ht="15.75" customHeight="1" x14ac:dyDescent="0.25">
      <c r="B882" s="139"/>
      <c r="G882" s="140"/>
    </row>
    <row r="883" spans="2:7" ht="15.75" customHeight="1" x14ac:dyDescent="0.25">
      <c r="B883" s="139"/>
      <c r="G883" s="140"/>
    </row>
    <row r="884" spans="2:7" ht="15.75" customHeight="1" x14ac:dyDescent="0.25">
      <c r="B884" s="139"/>
      <c r="G884" s="140"/>
    </row>
    <row r="885" spans="2:7" ht="15.75" customHeight="1" x14ac:dyDescent="0.25">
      <c r="B885" s="139"/>
      <c r="G885" s="140"/>
    </row>
    <row r="886" spans="2:7" ht="15.75" customHeight="1" x14ac:dyDescent="0.25">
      <c r="B886" s="139"/>
      <c r="G886" s="140"/>
    </row>
    <row r="887" spans="2:7" ht="15.75" customHeight="1" x14ac:dyDescent="0.25">
      <c r="B887" s="139"/>
      <c r="G887" s="140"/>
    </row>
    <row r="888" spans="2:7" ht="15.75" customHeight="1" x14ac:dyDescent="0.25">
      <c r="B888" s="139"/>
      <c r="G888" s="140"/>
    </row>
    <row r="889" spans="2:7" ht="15.75" customHeight="1" x14ac:dyDescent="0.25">
      <c r="B889" s="139"/>
      <c r="G889" s="140"/>
    </row>
    <row r="890" spans="2:7" ht="15.75" customHeight="1" x14ac:dyDescent="0.25">
      <c r="B890" s="139"/>
      <c r="G890" s="140"/>
    </row>
    <row r="891" spans="2:7" ht="15.75" customHeight="1" x14ac:dyDescent="0.25">
      <c r="B891" s="139"/>
      <c r="G891" s="140"/>
    </row>
    <row r="892" spans="2:7" ht="15.75" customHeight="1" x14ac:dyDescent="0.25">
      <c r="B892" s="139"/>
      <c r="G892" s="140"/>
    </row>
    <row r="893" spans="2:7" ht="15.75" customHeight="1" x14ac:dyDescent="0.25">
      <c r="B893" s="139"/>
      <c r="G893" s="140"/>
    </row>
    <row r="894" spans="2:7" ht="15.75" customHeight="1" x14ac:dyDescent="0.25">
      <c r="B894" s="139"/>
      <c r="G894" s="140"/>
    </row>
    <row r="895" spans="2:7" ht="15.75" customHeight="1" x14ac:dyDescent="0.25">
      <c r="B895" s="139"/>
      <c r="G895" s="140"/>
    </row>
    <row r="896" spans="2:7" ht="15.75" customHeight="1" x14ac:dyDescent="0.25">
      <c r="B896" s="139"/>
      <c r="G896" s="140"/>
    </row>
    <row r="897" spans="2:7" ht="15.75" customHeight="1" x14ac:dyDescent="0.25">
      <c r="B897" s="139"/>
      <c r="G897" s="140"/>
    </row>
    <row r="898" spans="2:7" ht="15.75" customHeight="1" x14ac:dyDescent="0.25">
      <c r="B898" s="139"/>
      <c r="G898" s="140"/>
    </row>
    <row r="899" spans="2:7" ht="15.75" customHeight="1" x14ac:dyDescent="0.25">
      <c r="B899" s="139"/>
      <c r="G899" s="140"/>
    </row>
    <row r="900" spans="2:7" ht="15.75" customHeight="1" x14ac:dyDescent="0.25">
      <c r="B900" s="139"/>
      <c r="G900" s="140"/>
    </row>
    <row r="901" spans="2:7" ht="15.75" customHeight="1" x14ac:dyDescent="0.25">
      <c r="B901" s="139"/>
      <c r="G901" s="140"/>
    </row>
    <row r="902" spans="2:7" ht="15.75" customHeight="1" x14ac:dyDescent="0.25">
      <c r="B902" s="139"/>
      <c r="G902" s="140"/>
    </row>
    <row r="903" spans="2:7" ht="15.75" customHeight="1" x14ac:dyDescent="0.25">
      <c r="B903" s="139"/>
      <c r="G903" s="140"/>
    </row>
    <row r="904" spans="2:7" ht="15.75" customHeight="1" x14ac:dyDescent="0.25">
      <c r="B904" s="139"/>
      <c r="G904" s="140"/>
    </row>
    <row r="905" spans="2:7" ht="15.75" customHeight="1" x14ac:dyDescent="0.25">
      <c r="B905" s="139"/>
      <c r="G905" s="140"/>
    </row>
    <row r="906" spans="2:7" ht="15.75" customHeight="1" x14ac:dyDescent="0.25">
      <c r="B906" s="139"/>
      <c r="G906" s="140"/>
    </row>
    <row r="907" spans="2:7" ht="15.75" customHeight="1" x14ac:dyDescent="0.25">
      <c r="B907" s="139"/>
      <c r="G907" s="140"/>
    </row>
    <row r="908" spans="2:7" ht="15.75" customHeight="1" x14ac:dyDescent="0.25">
      <c r="B908" s="139"/>
      <c r="G908" s="140"/>
    </row>
    <row r="909" spans="2:7" ht="15.75" customHeight="1" x14ac:dyDescent="0.25">
      <c r="B909" s="139"/>
      <c r="G909" s="140"/>
    </row>
    <row r="910" spans="2:7" ht="15.75" customHeight="1" x14ac:dyDescent="0.25">
      <c r="B910" s="139"/>
      <c r="G910" s="140"/>
    </row>
    <row r="911" spans="2:7" ht="15.75" customHeight="1" x14ac:dyDescent="0.25">
      <c r="B911" s="139"/>
      <c r="G911" s="140"/>
    </row>
    <row r="912" spans="2:7" ht="15.75" customHeight="1" x14ac:dyDescent="0.25">
      <c r="B912" s="139"/>
      <c r="G912" s="140"/>
    </row>
    <row r="913" spans="2:7" ht="15.75" customHeight="1" x14ac:dyDescent="0.25">
      <c r="B913" s="139"/>
      <c r="G913" s="140"/>
    </row>
    <row r="914" spans="2:7" ht="15.75" customHeight="1" x14ac:dyDescent="0.25">
      <c r="B914" s="139"/>
      <c r="G914" s="140"/>
    </row>
    <row r="915" spans="2:7" ht="15.75" customHeight="1" x14ac:dyDescent="0.25">
      <c r="B915" s="139"/>
      <c r="G915" s="140"/>
    </row>
    <row r="916" spans="2:7" ht="15.75" customHeight="1" x14ac:dyDescent="0.25">
      <c r="B916" s="139"/>
      <c r="G916" s="140"/>
    </row>
    <row r="917" spans="2:7" ht="15.75" customHeight="1" x14ac:dyDescent="0.25">
      <c r="B917" s="139"/>
      <c r="G917" s="140"/>
    </row>
    <row r="918" spans="2:7" ht="15.75" customHeight="1" x14ac:dyDescent="0.25">
      <c r="B918" s="139"/>
      <c r="G918" s="140"/>
    </row>
    <row r="919" spans="2:7" ht="15.75" customHeight="1" x14ac:dyDescent="0.25">
      <c r="B919" s="139"/>
      <c r="G919" s="140"/>
    </row>
    <row r="920" spans="2:7" ht="15.75" customHeight="1" x14ac:dyDescent="0.25">
      <c r="B920" s="139"/>
      <c r="G920" s="140"/>
    </row>
    <row r="921" spans="2:7" ht="15.75" customHeight="1" x14ac:dyDescent="0.25">
      <c r="B921" s="139"/>
      <c r="G921" s="140"/>
    </row>
    <row r="922" spans="2:7" ht="15.75" customHeight="1" x14ac:dyDescent="0.25">
      <c r="B922" s="139"/>
      <c r="G922" s="140"/>
    </row>
    <row r="923" spans="2:7" ht="15.75" customHeight="1" x14ac:dyDescent="0.25">
      <c r="B923" s="139"/>
      <c r="G923" s="140"/>
    </row>
    <row r="924" spans="2:7" ht="15.75" customHeight="1" x14ac:dyDescent="0.25">
      <c r="B924" s="139"/>
      <c r="G924" s="140"/>
    </row>
    <row r="925" spans="2:7" ht="15.75" customHeight="1" x14ac:dyDescent="0.25">
      <c r="B925" s="139"/>
      <c r="G925" s="140"/>
    </row>
    <row r="926" spans="2:7" ht="15.75" customHeight="1" x14ac:dyDescent="0.25">
      <c r="B926" s="139"/>
      <c r="G926" s="140"/>
    </row>
    <row r="927" spans="2:7" ht="15.75" customHeight="1" x14ac:dyDescent="0.25">
      <c r="B927" s="139"/>
      <c r="G927" s="140"/>
    </row>
    <row r="928" spans="2:7" ht="15.75" customHeight="1" x14ac:dyDescent="0.25">
      <c r="B928" s="139"/>
      <c r="G928" s="140"/>
    </row>
    <row r="929" spans="2:7" ht="15.75" customHeight="1" x14ac:dyDescent="0.25">
      <c r="B929" s="139"/>
      <c r="G929" s="140"/>
    </row>
    <row r="930" spans="2:7" ht="15.75" customHeight="1" x14ac:dyDescent="0.25">
      <c r="B930" s="139"/>
      <c r="G930" s="140"/>
    </row>
    <row r="931" spans="2:7" ht="15.75" customHeight="1" x14ac:dyDescent="0.25">
      <c r="B931" s="139"/>
      <c r="G931" s="140"/>
    </row>
    <row r="932" spans="2:7" ht="15.75" customHeight="1" x14ac:dyDescent="0.25">
      <c r="B932" s="139"/>
      <c r="G932" s="140"/>
    </row>
    <row r="933" spans="2:7" ht="15.75" customHeight="1" x14ac:dyDescent="0.25">
      <c r="B933" s="139"/>
      <c r="G933" s="140"/>
    </row>
    <row r="934" spans="2:7" ht="15.75" customHeight="1" x14ac:dyDescent="0.25">
      <c r="B934" s="139"/>
      <c r="G934" s="140"/>
    </row>
    <row r="935" spans="2:7" ht="15.75" customHeight="1" x14ac:dyDescent="0.25">
      <c r="B935" s="139"/>
      <c r="G935" s="140"/>
    </row>
    <row r="936" spans="2:7" ht="15.75" customHeight="1" x14ac:dyDescent="0.25">
      <c r="B936" s="139"/>
      <c r="G936" s="140"/>
    </row>
    <row r="937" spans="2:7" ht="15.75" customHeight="1" x14ac:dyDescent="0.25">
      <c r="B937" s="139"/>
      <c r="G937" s="140"/>
    </row>
    <row r="938" spans="2:7" ht="15.75" customHeight="1" x14ac:dyDescent="0.25">
      <c r="B938" s="139"/>
      <c r="G938" s="140"/>
    </row>
    <row r="939" spans="2:7" ht="15.75" customHeight="1" x14ac:dyDescent="0.25">
      <c r="B939" s="139"/>
      <c r="G939" s="140"/>
    </row>
    <row r="940" spans="2:7" ht="15.75" customHeight="1" x14ac:dyDescent="0.25">
      <c r="B940" s="139"/>
      <c r="G940" s="140"/>
    </row>
    <row r="941" spans="2:7" ht="15.75" customHeight="1" x14ac:dyDescent="0.25">
      <c r="B941" s="139"/>
      <c r="G941" s="140"/>
    </row>
    <row r="942" spans="2:7" ht="15.75" customHeight="1" x14ac:dyDescent="0.25">
      <c r="B942" s="139"/>
      <c r="G942" s="140"/>
    </row>
    <row r="943" spans="2:7" ht="15.75" customHeight="1" x14ac:dyDescent="0.25">
      <c r="B943" s="139"/>
      <c r="G943" s="140"/>
    </row>
    <row r="944" spans="2:7" ht="15.75" customHeight="1" x14ac:dyDescent="0.25">
      <c r="B944" s="139"/>
      <c r="G944" s="140"/>
    </row>
    <row r="945" spans="2:7" ht="15.75" customHeight="1" x14ac:dyDescent="0.25">
      <c r="B945" s="139"/>
      <c r="G945" s="140"/>
    </row>
    <row r="946" spans="2:7" ht="15.75" customHeight="1" x14ac:dyDescent="0.25">
      <c r="B946" s="139"/>
      <c r="G946" s="140"/>
    </row>
    <row r="947" spans="2:7" ht="15.75" customHeight="1" x14ac:dyDescent="0.25">
      <c r="B947" s="139"/>
      <c r="G947" s="140"/>
    </row>
    <row r="948" spans="2:7" ht="15.75" customHeight="1" x14ac:dyDescent="0.25">
      <c r="B948" s="139"/>
      <c r="G948" s="140"/>
    </row>
    <row r="949" spans="2:7" ht="15.75" customHeight="1" x14ac:dyDescent="0.25">
      <c r="B949" s="139"/>
      <c r="G949" s="140"/>
    </row>
    <row r="950" spans="2:7" ht="15.75" customHeight="1" x14ac:dyDescent="0.25">
      <c r="B950" s="139"/>
      <c r="G950" s="140"/>
    </row>
    <row r="951" spans="2:7" ht="15.75" customHeight="1" x14ac:dyDescent="0.25">
      <c r="B951" s="139"/>
      <c r="G951" s="140"/>
    </row>
    <row r="952" spans="2:7" ht="15.75" customHeight="1" x14ac:dyDescent="0.25">
      <c r="B952" s="139"/>
      <c r="G952" s="140"/>
    </row>
    <row r="953" spans="2:7" ht="15.75" customHeight="1" x14ac:dyDescent="0.25">
      <c r="B953" s="139"/>
      <c r="G953" s="140"/>
    </row>
    <row r="954" spans="2:7" ht="15.75" customHeight="1" x14ac:dyDescent="0.25">
      <c r="B954" s="139"/>
      <c r="G954" s="140"/>
    </row>
    <row r="955" spans="2:7" ht="15.75" customHeight="1" x14ac:dyDescent="0.25">
      <c r="B955" s="139"/>
      <c r="G955" s="140"/>
    </row>
    <row r="956" spans="2:7" ht="15.75" customHeight="1" x14ac:dyDescent="0.25">
      <c r="B956" s="139"/>
      <c r="G956" s="140"/>
    </row>
    <row r="957" spans="2:7" ht="15.75" customHeight="1" x14ac:dyDescent="0.25">
      <c r="B957" s="139"/>
      <c r="G957" s="140"/>
    </row>
    <row r="958" spans="2:7" ht="15.75" customHeight="1" x14ac:dyDescent="0.25">
      <c r="B958" s="139"/>
      <c r="G958" s="140"/>
    </row>
    <row r="959" spans="2:7" ht="15.75" customHeight="1" x14ac:dyDescent="0.25">
      <c r="B959" s="139"/>
      <c r="G959" s="140"/>
    </row>
    <row r="960" spans="2:7" ht="15.75" customHeight="1" x14ac:dyDescent="0.25">
      <c r="B960" s="139"/>
      <c r="G960" s="140"/>
    </row>
    <row r="961" spans="2:7" ht="15.75" customHeight="1" x14ac:dyDescent="0.25">
      <c r="B961" s="139"/>
      <c r="G961" s="140"/>
    </row>
    <row r="962" spans="2:7" ht="15.75" customHeight="1" x14ac:dyDescent="0.25">
      <c r="B962" s="139"/>
      <c r="G962" s="140"/>
    </row>
    <row r="963" spans="2:7" ht="15.75" customHeight="1" x14ac:dyDescent="0.25">
      <c r="B963" s="139"/>
      <c r="G963" s="140"/>
    </row>
    <row r="964" spans="2:7" ht="15.75" customHeight="1" x14ac:dyDescent="0.25">
      <c r="B964" s="139"/>
      <c r="G964" s="140"/>
    </row>
    <row r="965" spans="2:7" ht="15.75" customHeight="1" x14ac:dyDescent="0.25">
      <c r="B965" s="139"/>
      <c r="G965" s="140"/>
    </row>
    <row r="966" spans="2:7" ht="15.75" customHeight="1" x14ac:dyDescent="0.25">
      <c r="B966" s="139"/>
      <c r="G966" s="140"/>
    </row>
    <row r="967" spans="2:7" ht="15.75" customHeight="1" x14ac:dyDescent="0.25">
      <c r="B967" s="139"/>
      <c r="G967" s="140"/>
    </row>
    <row r="968" spans="2:7" ht="15.75" customHeight="1" x14ac:dyDescent="0.25">
      <c r="B968" s="139"/>
      <c r="G968" s="140"/>
    </row>
    <row r="969" spans="2:7" ht="15.75" customHeight="1" x14ac:dyDescent="0.25">
      <c r="B969" s="139"/>
      <c r="G969" s="140"/>
    </row>
    <row r="970" spans="2:7" ht="15.75" customHeight="1" x14ac:dyDescent="0.25">
      <c r="B970" s="139"/>
      <c r="G970" s="140"/>
    </row>
    <row r="971" spans="2:7" ht="15.75" customHeight="1" x14ac:dyDescent="0.25">
      <c r="B971" s="139"/>
      <c r="G971" s="140"/>
    </row>
    <row r="972" spans="2:7" ht="15.75" customHeight="1" x14ac:dyDescent="0.25">
      <c r="B972" s="139"/>
      <c r="G972" s="140"/>
    </row>
    <row r="973" spans="2:7" ht="15.75" customHeight="1" x14ac:dyDescent="0.25">
      <c r="B973" s="139"/>
      <c r="G973" s="140"/>
    </row>
    <row r="974" spans="2:7" ht="15.75" customHeight="1" x14ac:dyDescent="0.25">
      <c r="B974" s="139"/>
      <c r="G974" s="140"/>
    </row>
    <row r="975" spans="2:7" ht="15.75" customHeight="1" x14ac:dyDescent="0.25">
      <c r="B975" s="139"/>
      <c r="G975" s="140"/>
    </row>
    <row r="976" spans="2:7" ht="15.75" customHeight="1" x14ac:dyDescent="0.25">
      <c r="B976" s="139"/>
      <c r="G976" s="140"/>
    </row>
    <row r="977" spans="2:7" ht="15.75" customHeight="1" x14ac:dyDescent="0.25">
      <c r="B977" s="139"/>
      <c r="G977" s="140"/>
    </row>
    <row r="978" spans="2:7" ht="15.75" customHeight="1" x14ac:dyDescent="0.25">
      <c r="B978" s="139"/>
      <c r="G978" s="140"/>
    </row>
    <row r="979" spans="2:7" ht="15.75" customHeight="1" x14ac:dyDescent="0.25">
      <c r="B979" s="139"/>
      <c r="G979" s="140"/>
    </row>
    <row r="980" spans="2:7" ht="15.75" customHeight="1" x14ac:dyDescent="0.25">
      <c r="B980" s="139"/>
      <c r="G980" s="140"/>
    </row>
    <row r="981" spans="2:7" ht="15.75" customHeight="1" x14ac:dyDescent="0.25">
      <c r="B981" s="139"/>
      <c r="G981" s="140"/>
    </row>
    <row r="982" spans="2:7" ht="15.75" customHeight="1" x14ac:dyDescent="0.25">
      <c r="B982" s="139"/>
      <c r="G982" s="140"/>
    </row>
    <row r="983" spans="2:7" ht="15.75" customHeight="1" x14ac:dyDescent="0.25">
      <c r="B983" s="139"/>
      <c r="G983" s="140"/>
    </row>
    <row r="984" spans="2:7" ht="15.75" customHeight="1" x14ac:dyDescent="0.25">
      <c r="B984" s="139"/>
      <c r="G984" s="140"/>
    </row>
    <row r="985" spans="2:7" ht="15.75" customHeight="1" x14ac:dyDescent="0.25">
      <c r="B985" s="139"/>
      <c r="G985" s="140"/>
    </row>
    <row r="986" spans="2:7" ht="15.75" customHeight="1" x14ac:dyDescent="0.25">
      <c r="B986" s="139"/>
      <c r="G986" s="140"/>
    </row>
    <row r="987" spans="2:7" ht="15.75" customHeight="1" x14ac:dyDescent="0.25">
      <c r="B987" s="139"/>
      <c r="G987" s="140"/>
    </row>
    <row r="988" spans="2:7" ht="15.75" customHeight="1" x14ac:dyDescent="0.25">
      <c r="B988" s="139"/>
      <c r="G988" s="140"/>
    </row>
    <row r="989" spans="2:7" ht="15.75" customHeight="1" x14ac:dyDescent="0.25">
      <c r="B989" s="139"/>
      <c r="G989" s="140"/>
    </row>
    <row r="990" spans="2:7" ht="15.75" customHeight="1" x14ac:dyDescent="0.25">
      <c r="B990" s="139"/>
      <c r="G990" s="140"/>
    </row>
    <row r="991" spans="2:7" ht="15.75" customHeight="1" x14ac:dyDescent="0.25">
      <c r="B991" s="139"/>
      <c r="G991" s="140"/>
    </row>
    <row r="992" spans="2:7" ht="15.75" customHeight="1" x14ac:dyDescent="0.25">
      <c r="B992" s="139"/>
      <c r="G992" s="140"/>
    </row>
    <row r="993" spans="2:7" ht="15.75" customHeight="1" x14ac:dyDescent="0.25">
      <c r="B993" s="139"/>
      <c r="G993" s="140"/>
    </row>
    <row r="994" spans="2:7" ht="15.75" customHeight="1" x14ac:dyDescent="0.25">
      <c r="B994" s="139"/>
      <c r="G994" s="140"/>
    </row>
  </sheetData>
  <autoFilter ref="A10:AV28" xr:uid="{00000000-0009-0000-0000-000003000000}"/>
  <customSheetViews>
    <customSheetView guid="{56E9B80D-243F-40B6-91B9-5464FF1EEE5D}" filter="1" showAutoFilter="1">
      <pageMargins left="0.7" right="0.7" top="0.75" bottom="0.75" header="0.3" footer="0.3"/>
      <autoFilter ref="C10:H15" xr:uid="{9085E183-1768-4265-B920-A1F77E782ED2}"/>
      <extLst>
        <ext uri="GoogleSheetsCustomDataVersion1">
          <go:sheetsCustomData xmlns:go="http://customooxmlschemas.google.com/" filterViewId="1264675821"/>
        </ext>
      </extLst>
    </customSheetView>
    <customSheetView guid="{F0D95686-377B-4362-ADF9-0A7D9547883D}" filter="1" showAutoFilter="1">
      <pageMargins left="0.7" right="0.7" top="0.75" bottom="0.75" header="0.3" footer="0.3"/>
      <autoFilter ref="C10:H15" xr:uid="{084A797C-58BF-4974-B4B1-79BACB94703A}"/>
      <extLst>
        <ext uri="GoogleSheetsCustomDataVersion1">
          <go:sheetsCustomData xmlns:go="http://customooxmlschemas.google.com/" filterViewId="1800887591"/>
        </ext>
      </extLst>
    </customSheetView>
    <customSheetView guid="{3D93CEF9-49E9-4DC4-8F19-88A64F2D43A5}" filter="1" showAutoFilter="1">
      <pageMargins left="0.7" right="0.7" top="0.75" bottom="0.75" header="0.3" footer="0.3"/>
      <autoFilter ref="A10:AV17" xr:uid="{B94F0FE5-E2DD-4485-8DD6-68B97D005C02}"/>
      <extLst>
        <ext uri="GoogleSheetsCustomDataVersion1">
          <go:sheetsCustomData xmlns:go="http://customooxmlschemas.google.com/" filterViewId="419318502"/>
        </ext>
      </extLst>
    </customSheetView>
    <customSheetView guid="{F001DCF7-7858-4452-B989-2BC2E25DF2FD}" filter="1" showAutoFilter="1">
      <pageMargins left="0.7" right="0.7" top="0.75" bottom="0.75" header="0.3" footer="0.3"/>
      <autoFilter ref="C10:H15" xr:uid="{CB0F793C-B581-4A9B-9834-8B0EABBE865E}"/>
      <extLst>
        <ext uri="GoogleSheetsCustomDataVersion1">
          <go:sheetsCustomData xmlns:go="http://customooxmlschemas.google.com/" filterViewId="57283807"/>
        </ext>
      </extLst>
    </customSheetView>
  </customSheetViews>
  <mergeCells count="52">
    <mergeCell ref="Z3:AA4"/>
    <mergeCell ref="T3:T4"/>
    <mergeCell ref="U3:U4"/>
    <mergeCell ref="V3:W4"/>
    <mergeCell ref="X3:X4"/>
    <mergeCell ref="Y3:Y4"/>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S5:S6"/>
    <mergeCell ref="T5:T6"/>
    <mergeCell ref="U5:U6"/>
    <mergeCell ref="V5:W6"/>
    <mergeCell ref="X5:X6"/>
    <mergeCell ref="M5:N6"/>
    <mergeCell ref="O5:O6"/>
    <mergeCell ref="P5:P6"/>
    <mergeCell ref="Q5:Q6"/>
    <mergeCell ref="R5:R6"/>
    <mergeCell ref="A6:G9"/>
    <mergeCell ref="D28:F28"/>
    <mergeCell ref="D30:F30"/>
    <mergeCell ref="I4:J5"/>
    <mergeCell ref="K4:L5"/>
    <mergeCell ref="AB5:AC6"/>
    <mergeCell ref="AH5:AH6"/>
    <mergeCell ref="AI5:AI6"/>
    <mergeCell ref="AR8:AR9"/>
    <mergeCell ref="Y5:Y6"/>
    <mergeCell ref="Z5:AA6"/>
    <mergeCell ref="AU8:AU9"/>
    <mergeCell ref="AV8:AV9"/>
    <mergeCell ref="M28:U28"/>
    <mergeCell ref="M30:U30"/>
    <mergeCell ref="AC30:AH30"/>
    <mergeCell ref="Z28:AH28"/>
    <mergeCell ref="AM27:AS27"/>
    <mergeCell ref="AM28:AS28"/>
    <mergeCell ref="AM30:AS30"/>
  </mergeCells>
  <conditionalFormatting sqref="D29:F29 H29:T29 V29:Z29">
    <cfRule type="containsText" dxfId="440" priority="11466" operator="containsText" text="X">
      <formula>NOT(ISERROR(SEARCH(("X"),(#REF!))))</formula>
    </cfRule>
    <cfRule type="containsText" dxfId="439" priority="11464" operator="containsText" text="P">
      <formula>NOT(ISERROR(SEARCH(("P"),(#REF!))))</formula>
    </cfRule>
    <cfRule type="containsText" dxfId="438" priority="11463" operator="containsText" text="C">
      <formula>NOT(ISERROR(SEARCH(("C"),(#REF!))))</formula>
    </cfRule>
    <cfRule type="containsText" dxfId="437" priority="11462" operator="containsText" text="O">
      <formula>NOT(ISERROR(SEARCH(("O"),(#REF!))))</formula>
    </cfRule>
    <cfRule type="containsText" dxfId="436" priority="11461" operator="containsText" text="N">
      <formula>NOT(ISERROR(SEARCH(("N"),(#REF!))))</formula>
    </cfRule>
    <cfRule type="containsText" dxfId="435" priority="11460" operator="containsText" text="L">
      <formula>NOT(ISERROR(SEARCH(("L"),(#REF!))))</formula>
    </cfRule>
    <cfRule type="containsText" dxfId="434" priority="11465" operator="containsText" text="K">
      <formula>NOT(ISERROR(SEARCH(("K"),(#REF!))))</formula>
    </cfRule>
  </conditionalFormatting>
  <conditionalFormatting sqref="G10:G24 G27 G29">
    <cfRule type="containsText" dxfId="433" priority="11409" operator="containsText" text="Thử Việc">
      <formula>NOT(ISERROR(SEARCH(("Thử Việc"),(G10))))</formula>
    </cfRule>
    <cfRule type="containsText" dxfId="432" priority="11408" operator="containsText" text="Chính Thức">
      <formula>NOT(ISERROR(SEARCH(("Chính Thức"),(G10))))</formula>
    </cfRule>
  </conditionalFormatting>
  <conditionalFormatting sqref="G11:G24 G27 G29">
    <cfRule type="containsText" dxfId="431" priority="11410" operator="containsText" text="Part Time">
      <formula>NOT(ISERROR(SEARCH(("Part Time"),(G11))))</formula>
    </cfRule>
    <cfRule type="containsText" dxfId="430" priority="11413" operator="containsText" text="Part Time">
      <formula>NOT(ISERROR(SEARCH(("Part Time"),(G11))))</formula>
    </cfRule>
    <cfRule type="containsText" dxfId="429" priority="11412" operator="containsText" text="Đã Nghỉ">
      <formula>NOT(ISERROR(SEARCH(("Đã Nghỉ"),(G11))))</formula>
    </cfRule>
    <cfRule type="containsText" dxfId="428" priority="11411" operator="containsText" text="Học Việc">
      <formula>NOT(ISERROR(SEARCH(("Học Việc"),(G11))))</formula>
    </cfRule>
    <cfRule type="containsText" dxfId="427" priority="11414" operator="containsText" text="Thực tập sinh">
      <formula>NOT(ISERROR(SEARCH(("Thực tập sinh"),(G11))))</formula>
    </cfRule>
  </conditionalFormatting>
  <conditionalFormatting sqref="H11:J24 M11:Q24">
    <cfRule type="containsText" dxfId="426" priority="9818" operator="containsText" text="K">
      <formula>NOT(ISERROR(SEARCH(("K"),(H11))))</formula>
    </cfRule>
    <cfRule type="containsText" dxfId="425" priority="9816" operator="containsText" text="C">
      <formula>NOT(ISERROR(SEARCH(("C"),(H11))))</formula>
    </cfRule>
    <cfRule type="containsText" dxfId="424" priority="9819" operator="containsText" text="X">
      <formula>NOT(ISERROR(SEARCH(("X"),(H11))))</formula>
    </cfRule>
    <cfRule type="containsText" dxfId="423" priority="9820" operator="containsText" text="L">
      <formula>NOT(ISERROR(SEARCH(("L"),(H11))))</formula>
    </cfRule>
    <cfRule type="containsText" dxfId="422" priority="9815" operator="containsText" text="O">
      <formula>NOT(ISERROR(SEARCH(("O"),(H11))))</formula>
    </cfRule>
    <cfRule type="containsText" dxfId="421" priority="9817" operator="containsText" text="P">
      <formula>NOT(ISERROR(SEARCH(("P"),(H11))))</formula>
    </cfRule>
  </conditionalFormatting>
  <conditionalFormatting sqref="H11:J24 M12:Q24">
    <cfRule type="containsText" dxfId="420" priority="9811" operator="containsText" text="K">
      <formula>NOT(ISERROR(SEARCH(("K"),(H11))))</formula>
    </cfRule>
    <cfRule type="containsText" dxfId="419" priority="9812" operator="containsText" text="X">
      <formula>NOT(ISERROR(SEARCH(("X"),(H11))))</formula>
    </cfRule>
    <cfRule type="containsText" dxfId="418" priority="9813" operator="containsText" text="L">
      <formula>NOT(ISERROR(SEARCH(("L"),(H11))))</formula>
    </cfRule>
    <cfRule type="containsText" dxfId="417" priority="9814" operator="containsText" text="N">
      <formula>NOT(ISERROR(SEARCH(("N"),(H11))))</formula>
    </cfRule>
    <cfRule type="containsText" dxfId="416" priority="9521" operator="containsText" text="O">
      <formula>NOT(ISERROR(SEARCH(("O"),(H11))))</formula>
    </cfRule>
    <cfRule type="containsText" dxfId="415" priority="9517" operator="containsText" text="K">
      <formula>NOT(ISERROR(SEARCH(("K"),(H11))))</formula>
    </cfRule>
    <cfRule type="containsText" dxfId="414" priority="9518" operator="containsText" text="X">
      <formula>NOT(ISERROR(SEARCH(("X"),(H11))))</formula>
    </cfRule>
    <cfRule type="containsText" dxfId="413" priority="9519" operator="containsText" text="L">
      <formula>NOT(ISERROR(SEARCH(("L"),(H11))))</formula>
    </cfRule>
    <cfRule type="containsText" dxfId="412" priority="9520" operator="containsText" text="N">
      <formula>NOT(ISERROR(SEARCH(("N"),(H11))))</formula>
    </cfRule>
    <cfRule type="containsText" dxfId="411" priority="9522" operator="containsText" text="C">
      <formula>NOT(ISERROR(SEARCH(("C"),(H11))))</formula>
    </cfRule>
    <cfRule type="containsText" dxfId="410" priority="9523" operator="containsText" text="P">
      <formula>NOT(ISERROR(SEARCH(("P"),(H11))))</formula>
    </cfRule>
    <cfRule type="containsText" dxfId="409" priority="9524" operator="containsText" text="K">
      <formula>NOT(ISERROR(SEARCH(("K"),(H11))))</formula>
    </cfRule>
    <cfRule type="containsText" dxfId="408" priority="9525" operator="containsText" text="X">
      <formula>NOT(ISERROR(SEARCH(("X"),(H11))))</formula>
    </cfRule>
    <cfRule type="containsText" dxfId="407" priority="9526" operator="containsText" text="L">
      <formula>NOT(ISERROR(SEARCH(("L"),(H11))))</formula>
    </cfRule>
    <cfRule type="containsText" dxfId="406" priority="9807" operator="containsText" text="N">
      <formula>NOT(ISERROR(SEARCH(("N"),(H11))))</formula>
    </cfRule>
    <cfRule type="containsText" dxfId="405" priority="9808" operator="containsText" text="O">
      <formula>NOT(ISERROR(SEARCH(("O"),(H11))))</formula>
    </cfRule>
    <cfRule type="containsText" dxfId="404" priority="9809" operator="containsText" text="C">
      <formula>NOT(ISERROR(SEARCH(("C"),(H11))))</formula>
    </cfRule>
    <cfRule type="containsText" dxfId="403" priority="9516" operator="containsText" text="P">
      <formula>NOT(ISERROR(SEARCH(("P"),(H11))))</formula>
    </cfRule>
    <cfRule type="containsText" dxfId="402" priority="9810" operator="containsText" text="P">
      <formula>NOT(ISERROR(SEARCH(("P"),(H11))))</formula>
    </cfRule>
    <cfRule type="containsText" dxfId="401" priority="9513" operator="containsText" text="N">
      <formula>NOT(ISERROR(SEARCH(("N"),(H11))))</formula>
    </cfRule>
    <cfRule type="containsText" dxfId="400" priority="9514" operator="containsText" text="O">
      <formula>NOT(ISERROR(SEARCH(("O"),(H11))))</formula>
    </cfRule>
    <cfRule type="containsText" dxfId="399" priority="9515" operator="containsText" text="C">
      <formula>NOT(ISERROR(SEARCH(("C"),(H11))))</formula>
    </cfRule>
  </conditionalFormatting>
  <conditionalFormatting sqref="H11:J24 M12:V24 Y12:AC24">
    <cfRule type="containsText" dxfId="398" priority="5903" operator="containsText" text="L">
      <formula>NOT(ISERROR(SEARCH(("L"),(H11))))</formula>
    </cfRule>
    <cfRule type="containsText" dxfId="397" priority="5899" operator="containsText" text="C">
      <formula>NOT(ISERROR(SEARCH(("C"),(H11))))</formula>
    </cfRule>
    <cfRule type="containsText" dxfId="396" priority="5900" operator="containsText" text="P">
      <formula>NOT(ISERROR(SEARCH(("P"),(H11))))</formula>
    </cfRule>
    <cfRule type="containsText" dxfId="395" priority="5901" operator="containsText" text="K">
      <formula>NOT(ISERROR(SEARCH(("K"),(H11))))</formula>
    </cfRule>
    <cfRule type="containsText" dxfId="394" priority="5902" operator="containsText" text="X">
      <formula>NOT(ISERROR(SEARCH(("X"),(H11))))</formula>
    </cfRule>
  </conditionalFormatting>
  <conditionalFormatting sqref="H11:Q11">
    <cfRule type="containsText" dxfId="393" priority="11289" operator="containsText" text="N">
      <formula>NOT(ISERROR(SEARCH(("N"),(H11))))</formula>
    </cfRule>
  </conditionalFormatting>
  <conditionalFormatting sqref="H27:AC27 AJ27:AL29 AA29:AI29 AI30:AL30">
    <cfRule type="containsText" dxfId="392" priority="11430" operator="containsText" text="O">
      <formula>NOT(ISERROR(SEARCH(("O"),(H27))))</formula>
    </cfRule>
    <cfRule type="containsText" dxfId="391" priority="11432" operator="containsText" text="P">
      <formula>NOT(ISERROR(SEARCH(("P"),(H27))))</formula>
    </cfRule>
    <cfRule type="containsText" dxfId="390" priority="11433" operator="containsText" text="K">
      <formula>NOT(ISERROR(SEARCH(("K"),(H27))))</formula>
    </cfRule>
    <cfRule type="containsText" dxfId="389" priority="11434" operator="containsText" text="X">
      <formula>NOT(ISERROR(SEARCH(("X"),(H27))))</formula>
    </cfRule>
    <cfRule type="containsText" dxfId="388" priority="11431" operator="containsText" text="C">
      <formula>NOT(ISERROR(SEARCH(("C"),(H27))))</formula>
    </cfRule>
    <cfRule type="containsText" dxfId="387" priority="11428" operator="containsText" text="L">
      <formula>NOT(ISERROR(SEARCH(("L"),(H27))))</formula>
    </cfRule>
    <cfRule type="containsText" dxfId="386" priority="11429" operator="containsText" text="N">
      <formula>NOT(ISERROR(SEARCH(("N"),(H27))))</formula>
    </cfRule>
  </conditionalFormatting>
  <conditionalFormatting sqref="H9:AL9">
    <cfRule type="containsText" dxfId="385" priority="11435" operator="containsText" text="Chủ Nhật">
      <formula>NOT(ISERROR(SEARCH(("Chủ Nhật"),(H9))))</formula>
    </cfRule>
  </conditionalFormatting>
  <conditionalFormatting sqref="H11:AL24">
    <cfRule type="containsText" dxfId="384" priority="11295" operator="containsText" text="L">
      <formula>NOT(ISERROR(SEARCH(("L"),(H11))))</formula>
    </cfRule>
    <cfRule type="containsText" dxfId="383" priority="11421" operator="containsText" text="X">
      <formula>NOT(ISERROR(SEARCH(("X"),(H11))))</formula>
    </cfRule>
    <cfRule type="containsText" dxfId="382" priority="11420" operator="containsText" text="K">
      <formula>NOT(ISERROR(SEARCH(("K"),(H11))))</formula>
    </cfRule>
    <cfRule type="containsText" dxfId="381" priority="11419" operator="containsText" text="P">
      <formula>NOT(ISERROR(SEARCH(("P"),(H11))))</formula>
    </cfRule>
    <cfRule type="containsText" dxfId="380" priority="11418" operator="containsText" text="C">
      <formula>NOT(ISERROR(SEARCH(("C"),(H11))))</formula>
    </cfRule>
    <cfRule type="containsText" dxfId="379" priority="11290" operator="containsText" text="O">
      <formula>NOT(ISERROR(SEARCH(("O"),(H11))))</formula>
    </cfRule>
    <cfRule type="containsText" dxfId="378" priority="8303" operator="containsText" text="N">
      <formula>NOT(ISERROR(SEARCH(("N"),(H11))))</formula>
    </cfRule>
  </conditionalFormatting>
  <conditionalFormatting sqref="H11:AL25 H8:AL8">
    <cfRule type="expression" dxfId="377" priority="11450">
      <formula>WEEKDAY(H$8)=1</formula>
    </cfRule>
  </conditionalFormatting>
  <conditionalFormatting sqref="H25:AL25">
    <cfRule type="containsText" dxfId="376" priority="11449" operator="containsText" text="X">
      <formula>NOT(ISERROR(SEARCH(("X"),(H29))))</formula>
    </cfRule>
    <cfRule type="containsText" dxfId="375" priority="11448" operator="containsText" text="K">
      <formula>NOT(ISERROR(SEARCH(("K"),(H29))))</formula>
    </cfRule>
    <cfRule type="containsText" dxfId="374" priority="11447" operator="containsText" text="P">
      <formula>NOT(ISERROR(SEARCH(("P"),(H29))))</formula>
    </cfRule>
    <cfRule type="containsText" dxfId="373" priority="11446" operator="containsText" text="C">
      <formula>NOT(ISERROR(SEARCH(("C"),(H29))))</formula>
    </cfRule>
    <cfRule type="containsText" dxfId="372" priority="11444" operator="containsText" text="N">
      <formula>NOT(ISERROR(SEARCH(("N"),(H29))))</formula>
    </cfRule>
    <cfRule type="containsText" dxfId="371" priority="11443" operator="containsText" text="L">
      <formula>NOT(ISERROR(SEARCH(("L"),(H29))))</formula>
    </cfRule>
    <cfRule type="containsText" dxfId="370" priority="11445" operator="containsText" text="O">
      <formula>NOT(ISERROR(SEARCH(("O"),(H29))))</formula>
    </cfRule>
  </conditionalFormatting>
  <conditionalFormatting sqref="M11:Q11">
    <cfRule type="containsText" dxfId="369" priority="396" operator="containsText" text="N">
      <formula>NOT(ISERROR(SEARCH(("N"),(M11))))</formula>
    </cfRule>
    <cfRule type="containsText" dxfId="368" priority="395" operator="containsText" text="L">
      <formula>NOT(ISERROR(SEARCH(("L"),(M11))))</formula>
    </cfRule>
    <cfRule type="containsText" dxfId="367" priority="394" operator="containsText" text="X">
      <formula>NOT(ISERROR(SEARCH(("X"),(M11))))</formula>
    </cfRule>
    <cfRule type="containsText" dxfId="366" priority="393" operator="containsText" text="K">
      <formula>NOT(ISERROR(SEARCH(("K"),(M11))))</formula>
    </cfRule>
    <cfRule type="containsText" dxfId="365" priority="391" operator="containsText" text="C">
      <formula>NOT(ISERROR(SEARCH(("C"),(M11))))</formula>
    </cfRule>
    <cfRule type="containsText" dxfId="364" priority="390" operator="containsText" text="O">
      <formula>NOT(ISERROR(SEARCH(("O"),(M11))))</formula>
    </cfRule>
    <cfRule type="containsText" dxfId="363" priority="389" operator="containsText" text="N">
      <formula>NOT(ISERROR(SEARCH(("N"),(M11))))</formula>
    </cfRule>
    <cfRule type="containsText" dxfId="362" priority="404" operator="containsText" text="O">
      <formula>NOT(ISERROR(SEARCH(("O"),(M11))))</formula>
    </cfRule>
    <cfRule type="containsText" dxfId="361" priority="405" operator="containsText" text="C">
      <formula>NOT(ISERROR(SEARCH(("C"),(M11))))</formula>
    </cfRule>
    <cfRule type="containsText" dxfId="360" priority="406" operator="containsText" text="P">
      <formula>NOT(ISERROR(SEARCH(("P"),(M11))))</formula>
    </cfRule>
    <cfRule type="containsText" dxfId="359" priority="407" operator="containsText" text="K">
      <formula>NOT(ISERROR(SEARCH(("K"),(M11))))</formula>
    </cfRule>
    <cfRule type="containsText" dxfId="358" priority="408" operator="containsText" text="X">
      <formula>NOT(ISERROR(SEARCH(("X"),(M11))))</formula>
    </cfRule>
    <cfRule type="containsText" dxfId="357" priority="409" operator="containsText" text="L">
      <formula>NOT(ISERROR(SEARCH(("L"),(M11))))</formula>
    </cfRule>
    <cfRule type="containsText" dxfId="356" priority="385" operator="containsText" text="P">
      <formula>NOT(ISERROR(SEARCH(("P"),(M11))))</formula>
    </cfRule>
    <cfRule type="containsText" dxfId="355" priority="392" operator="containsText" text="P">
      <formula>NOT(ISERROR(SEARCH(("P"),(M11))))</formula>
    </cfRule>
    <cfRule type="containsText" dxfId="354" priority="410" operator="containsText" text="N">
      <formula>NOT(ISERROR(SEARCH(("N"),(M11))))</formula>
    </cfRule>
    <cfRule type="containsText" dxfId="353" priority="411" operator="containsText" text="O">
      <formula>NOT(ISERROR(SEARCH(("O"),(M11))))</formula>
    </cfRule>
    <cfRule type="containsText" dxfId="352" priority="412" operator="containsText" text="C">
      <formula>NOT(ISERROR(SEARCH(("C"),(M11))))</formula>
    </cfRule>
    <cfRule type="containsText" dxfId="351" priority="413" operator="containsText" text="P">
      <formula>NOT(ISERROR(SEARCH(("P"),(M11))))</formula>
    </cfRule>
    <cfRule type="containsText" dxfId="350" priority="414" operator="containsText" text="K">
      <formula>NOT(ISERROR(SEARCH(("K"),(M11))))</formula>
    </cfRule>
    <cfRule type="containsText" dxfId="349" priority="415" operator="containsText" text="X">
      <formula>NOT(ISERROR(SEARCH(("X"),(M11))))</formula>
    </cfRule>
    <cfRule type="containsText" dxfId="348" priority="416" operator="containsText" text="L">
      <formula>NOT(ISERROR(SEARCH(("L"),(M11))))</formula>
    </cfRule>
    <cfRule type="containsText" dxfId="347" priority="384" operator="containsText" text="C">
      <formula>NOT(ISERROR(SEARCH(("C"),(M11))))</formula>
    </cfRule>
    <cfRule type="containsText" dxfId="346" priority="383" operator="containsText" text="O">
      <formula>NOT(ISERROR(SEARCH(("O"),(M11))))</formula>
    </cfRule>
    <cfRule type="containsText" dxfId="345" priority="386" operator="containsText" text="K">
      <formula>NOT(ISERROR(SEARCH(("K"),(M11))))</formula>
    </cfRule>
    <cfRule type="containsText" dxfId="344" priority="387" operator="containsText" text="X">
      <formula>NOT(ISERROR(SEARCH(("X"),(M11))))</formula>
    </cfRule>
    <cfRule type="containsText" dxfId="343" priority="388" operator="containsText" text="L">
      <formula>NOT(ISERROR(SEARCH(("L"),(M11))))</formula>
    </cfRule>
    <cfRule type="containsText" dxfId="342" priority="403" operator="containsText" text="N">
      <formula>NOT(ISERROR(SEARCH(("N"),(M11))))</formula>
    </cfRule>
    <cfRule type="containsText" dxfId="341" priority="402" operator="containsText" text="L">
      <formula>NOT(ISERROR(SEARCH(("L"),(M11))))</formula>
    </cfRule>
    <cfRule type="containsText" dxfId="340" priority="401" operator="containsText" text="X">
      <formula>NOT(ISERROR(SEARCH(("X"),(M11))))</formula>
    </cfRule>
    <cfRule type="containsText" dxfId="339" priority="400" operator="containsText" text="K">
      <formula>NOT(ISERROR(SEARCH(("K"),(M11))))</formula>
    </cfRule>
    <cfRule type="containsText" dxfId="338" priority="399" operator="containsText" text="P">
      <formula>NOT(ISERROR(SEARCH(("P"),(M11))))</formula>
    </cfRule>
    <cfRule type="containsText" dxfId="337" priority="398" operator="containsText" text="C">
      <formula>NOT(ISERROR(SEARCH(("C"),(M11))))</formula>
    </cfRule>
    <cfRule type="containsText" dxfId="336" priority="397" operator="containsText" text="O">
      <formula>NOT(ISERROR(SEARCH(("O"),(M11))))</formula>
    </cfRule>
  </conditionalFormatting>
  <conditionalFormatting sqref="M11:V24 Y11:AC24 AH11:AL24">
    <cfRule type="containsText" dxfId="335" priority="10286" operator="containsText" text="X">
      <formula>NOT(ISERROR(SEARCH(("X"),(M11))))</formula>
    </cfRule>
    <cfRule type="containsText" dxfId="334" priority="10287" operator="containsText" text="L">
      <formula>NOT(ISERROR(SEARCH(("L"),(M11))))</formula>
    </cfRule>
    <cfRule type="containsText" dxfId="333" priority="10285" operator="containsText" text="K">
      <formula>NOT(ISERROR(SEARCH(("K"),(M11))))</formula>
    </cfRule>
    <cfRule type="containsText" dxfId="332" priority="10284" operator="containsText" text="P">
      <formula>NOT(ISERROR(SEARCH(("P"),(M11))))</formula>
    </cfRule>
    <cfRule type="containsText" dxfId="331" priority="10283" operator="containsText" text="C">
      <formula>NOT(ISERROR(SEARCH(("C"),(M11))))</formula>
    </cfRule>
    <cfRule type="containsText" dxfId="330" priority="10282" operator="containsText" text="O">
      <formula>NOT(ISERROR(SEARCH(("O"),(M11))))</formula>
    </cfRule>
    <cfRule type="containsText" dxfId="329" priority="10281" operator="containsText" text="N">
      <formula>NOT(ISERROR(SEARCH(("N"),(M11))))</formula>
    </cfRule>
  </conditionalFormatting>
  <conditionalFormatting sqref="M12:V24 H11:J24 Y12:AC24">
    <cfRule type="containsText" dxfId="328" priority="5898" operator="containsText" text="O">
      <formula>NOT(ISERROR(SEARCH(("O"),(H11))))</formula>
    </cfRule>
  </conditionalFormatting>
  <conditionalFormatting sqref="P11:Q24">
    <cfRule type="containsText" dxfId="327" priority="5873" operator="containsText" text="C">
      <formula>NOT(ISERROR(SEARCH(("C"),(P11))))</formula>
    </cfRule>
    <cfRule type="containsText" dxfId="326" priority="5874" operator="containsText" text="P">
      <formula>NOT(ISERROR(SEARCH(("P"),(P11))))</formula>
    </cfRule>
    <cfRule type="containsText" dxfId="325" priority="5875" operator="containsText" text="K">
      <formula>NOT(ISERROR(SEARCH(("K"),(P11))))</formula>
    </cfRule>
    <cfRule type="containsText" dxfId="324" priority="5876" operator="containsText" text="X">
      <formula>NOT(ISERROR(SEARCH(("X"),(P11))))</formula>
    </cfRule>
    <cfRule type="containsText" dxfId="323" priority="5877" operator="containsText" text="L">
      <formula>NOT(ISERROR(SEARCH(("L"),(P11))))</formula>
    </cfRule>
    <cfRule type="containsText" dxfId="322" priority="5878" operator="containsText" text="N">
      <formula>NOT(ISERROR(SEARCH(("N"),(P11))))</formula>
    </cfRule>
    <cfRule type="containsText" dxfId="321" priority="5879" operator="containsText" text="O">
      <formula>NOT(ISERROR(SEARCH(("O"),(P11))))</formula>
    </cfRule>
    <cfRule type="containsText" dxfId="320" priority="5880" operator="containsText" text="C">
      <formula>NOT(ISERROR(SEARCH(("C"),(P11))))</formula>
    </cfRule>
    <cfRule type="containsText" dxfId="319" priority="5881" operator="containsText" text="P">
      <formula>NOT(ISERROR(SEARCH(("P"),(P11))))</formula>
    </cfRule>
    <cfRule type="containsText" dxfId="318" priority="5883" operator="containsText" text="X">
      <formula>NOT(ISERROR(SEARCH(("X"),(P11))))</formula>
    </cfRule>
    <cfRule type="containsText" dxfId="317" priority="5885" operator="containsText" text="N">
      <formula>NOT(ISERROR(SEARCH(("N"),(P11))))</formula>
    </cfRule>
    <cfRule type="containsText" dxfId="316" priority="5886" operator="containsText" text="O">
      <formula>NOT(ISERROR(SEARCH(("O"),(P11))))</formula>
    </cfRule>
    <cfRule type="containsText" dxfId="315" priority="5887" operator="containsText" text="C">
      <formula>NOT(ISERROR(SEARCH(("C"),(P11))))</formula>
    </cfRule>
    <cfRule type="containsText" dxfId="314" priority="5869" operator="containsText" text="X">
      <formula>NOT(ISERROR(SEARCH(("X"),(P11))))</formula>
    </cfRule>
    <cfRule type="containsText" dxfId="313" priority="5870" operator="containsText" text="L">
      <formula>NOT(ISERROR(SEARCH(("L"),(P11))))</formula>
    </cfRule>
    <cfRule type="containsText" dxfId="312" priority="5868" operator="containsText" text="K">
      <formula>NOT(ISERROR(SEARCH(("K"),(P11))))</formula>
    </cfRule>
    <cfRule type="containsText" dxfId="311" priority="5867" operator="containsText" text="P">
      <formula>NOT(ISERROR(SEARCH(("P"),(P11))))</formula>
    </cfRule>
    <cfRule type="containsText" dxfId="310" priority="5866" operator="containsText" text="C">
      <formula>NOT(ISERROR(SEARCH(("C"),(P11))))</formula>
    </cfRule>
    <cfRule type="containsText" dxfId="309" priority="5896" operator="containsText" text="X">
      <formula>NOT(ISERROR(SEARCH(("X"),(P11))))</formula>
    </cfRule>
    <cfRule type="containsText" dxfId="308" priority="5895" operator="containsText" text="K">
      <formula>NOT(ISERROR(SEARCH(("K"),(P11))))</formula>
    </cfRule>
    <cfRule type="containsText" dxfId="307" priority="5894" operator="containsText" text="P">
      <formula>NOT(ISERROR(SEARCH(("P"),(P11))))</formula>
    </cfRule>
    <cfRule type="containsText" dxfId="306" priority="5882" operator="containsText" text="K">
      <formula>NOT(ISERROR(SEARCH(("K"),(P11))))</formula>
    </cfRule>
    <cfRule type="containsText" dxfId="305" priority="5893" operator="containsText" text="C">
      <formula>NOT(ISERROR(SEARCH(("C"),(P11))))</formula>
    </cfRule>
    <cfRule type="containsText" dxfId="304" priority="5892" operator="containsText" text="O">
      <formula>NOT(ISERROR(SEARCH(("O"),(P11))))</formula>
    </cfRule>
    <cfRule type="containsText" dxfId="303" priority="5891" operator="containsText" text="L">
      <formula>NOT(ISERROR(SEARCH(("L"),(P11))))</formula>
    </cfRule>
    <cfRule type="containsText" dxfId="302" priority="5890" operator="containsText" text="X">
      <formula>NOT(ISERROR(SEARCH(("X"),(P11))))</formula>
    </cfRule>
    <cfRule type="containsText" dxfId="301" priority="5889" operator="containsText" text="K">
      <formula>NOT(ISERROR(SEARCH(("K"),(P11))))</formula>
    </cfRule>
    <cfRule type="containsText" dxfId="300" priority="5884" operator="containsText" text="L">
      <formula>NOT(ISERROR(SEARCH(("L"),(P11))))</formula>
    </cfRule>
    <cfRule type="containsText" dxfId="299" priority="5888" operator="containsText" text="P">
      <formula>NOT(ISERROR(SEARCH(("P"),(P11))))</formula>
    </cfRule>
    <cfRule type="containsText" dxfId="298" priority="5865" operator="containsText" text="O">
      <formula>NOT(ISERROR(SEARCH(("O"),(P11))))</formula>
    </cfRule>
    <cfRule type="containsText" dxfId="297" priority="5872" operator="containsText" text="O">
      <formula>NOT(ISERROR(SEARCH(("O"),(P11))))</formula>
    </cfRule>
    <cfRule type="containsText" dxfId="296" priority="5897" operator="containsText" text="L">
      <formula>NOT(ISERROR(SEARCH(("L"),(P11))))</formula>
    </cfRule>
    <cfRule type="containsText" dxfId="295" priority="5871" operator="containsText" text="N">
      <formula>NOT(ISERROR(SEARCH(("N"),(P11))))</formula>
    </cfRule>
  </conditionalFormatting>
  <conditionalFormatting sqref="R11:V11 Y11:AE11">
    <cfRule type="containsText" dxfId="294" priority="10210" operator="containsText" text="K">
      <formula>NOT(ISERROR(SEARCH(("K"),(R11))))</formula>
    </cfRule>
    <cfRule type="containsText" dxfId="293" priority="10208" operator="containsText" text="C">
      <formula>NOT(ISERROR(SEARCH(("C"),(R11))))</formula>
    </cfRule>
    <cfRule type="containsText" dxfId="292" priority="10207" operator="containsText" text="O">
      <formula>NOT(ISERROR(SEARCH(("O"),(R11))))</formula>
    </cfRule>
    <cfRule type="containsText" dxfId="291" priority="10209" operator="containsText" text="P">
      <formula>NOT(ISERROR(SEARCH(("P"),(R11))))</formula>
    </cfRule>
    <cfRule type="containsText" dxfId="290" priority="10212" operator="containsText" text="L">
      <formula>NOT(ISERROR(SEARCH(("L"),(R11))))</formula>
    </cfRule>
    <cfRule type="containsText" dxfId="289" priority="10211" operator="containsText" text="X">
      <formula>NOT(ISERROR(SEARCH(("X"),(R11))))</formula>
    </cfRule>
  </conditionalFormatting>
  <conditionalFormatting sqref="U11:U24 AL11:AL24">
    <cfRule type="containsText" dxfId="288" priority="9837" operator="containsText" text="C">
      <formula>NOT(ISERROR(SEARCH(("C"),(U11))))</formula>
    </cfRule>
    <cfRule type="containsText" dxfId="287" priority="9836" operator="containsText" text="O">
      <formula>NOT(ISERROR(SEARCH(("O"),(U11))))</formula>
    </cfRule>
    <cfRule type="containsText" dxfId="286" priority="9835" operator="containsText" text="N">
      <formula>NOT(ISERROR(SEARCH(("N"),(U11))))</formula>
    </cfRule>
    <cfRule type="containsText" dxfId="285" priority="9839" operator="containsText" text="K">
      <formula>NOT(ISERROR(SEARCH(("K"),(U11))))</formula>
    </cfRule>
    <cfRule type="containsText" dxfId="284" priority="9841" operator="containsText" text="L">
      <formula>NOT(ISERROR(SEARCH(("L"),(U11))))</formula>
    </cfRule>
    <cfRule type="containsText" dxfId="283" priority="9840" operator="containsText" text="X">
      <formula>NOT(ISERROR(SEARCH(("X"),(U11))))</formula>
    </cfRule>
    <cfRule type="containsText" dxfId="282" priority="9838" operator="containsText" text="P">
      <formula>NOT(ISERROR(SEARCH(("P"),(U11))))</formula>
    </cfRule>
  </conditionalFormatting>
  <conditionalFormatting sqref="W11:X24">
    <cfRule type="containsText" dxfId="281" priority="5861" operator="containsText" text="K">
      <formula>NOT(ISERROR(SEARCH(("K"),(W11))))</formula>
    </cfRule>
    <cfRule type="containsText" dxfId="280" priority="5860" operator="containsText" text="P">
      <formula>NOT(ISERROR(SEARCH(("P"),(W11))))</formula>
    </cfRule>
    <cfRule type="containsText" dxfId="279" priority="5859" operator="containsText" text="C">
      <formula>NOT(ISERROR(SEARCH(("C"),(W11))))</formula>
    </cfRule>
    <cfRule type="containsText" dxfId="278" priority="5858" operator="containsText" text="L">
      <formula>NOT(ISERROR(SEARCH(("L"),(W11))))</formula>
    </cfRule>
    <cfRule type="containsText" dxfId="277" priority="5844" operator="containsText" text="L">
      <formula>NOT(ISERROR(SEARCH(("L"),(W11))))</formula>
    </cfRule>
    <cfRule type="containsText" dxfId="276" priority="5856" operator="containsText" text="K">
      <formula>NOT(ISERROR(SEARCH(("K"),(W11))))</formula>
    </cfRule>
    <cfRule type="containsText" dxfId="275" priority="5855" operator="containsText" text="P">
      <formula>NOT(ISERROR(SEARCH(("P"),(W11))))</formula>
    </cfRule>
    <cfRule type="containsText" dxfId="274" priority="5854" operator="containsText" text="C">
      <formula>NOT(ISERROR(SEARCH(("C"),(W11))))</formula>
    </cfRule>
    <cfRule type="containsText" dxfId="273" priority="5853" operator="containsText" text="O">
      <formula>NOT(ISERROR(SEARCH(("O"),(W11))))</formula>
    </cfRule>
    <cfRule type="containsText" dxfId="272" priority="5852" operator="containsText" text="N">
      <formula>NOT(ISERROR(SEARCH(("N"),(W11))))</formula>
    </cfRule>
    <cfRule type="containsText" dxfId="271" priority="5857" operator="containsText" text="X">
      <formula>NOT(ISERROR(SEARCH(("X"),(W11))))</formula>
    </cfRule>
    <cfRule type="containsText" dxfId="270" priority="5851" operator="containsText" text="L">
      <formula>NOT(ISERROR(SEARCH(("L"),(W11))))</formula>
    </cfRule>
    <cfRule type="containsText" dxfId="269" priority="5850" operator="containsText" text="X">
      <formula>NOT(ISERROR(SEARCH(("X"),(W11))))</formula>
    </cfRule>
    <cfRule type="containsText" dxfId="268" priority="5849" operator="containsText" text="K">
      <formula>NOT(ISERROR(SEARCH(("K"),(W11))))</formula>
    </cfRule>
    <cfRule type="containsText" dxfId="267" priority="5848" operator="containsText" text="P">
      <formula>NOT(ISERROR(SEARCH(("P"),(W11))))</formula>
    </cfRule>
    <cfRule type="containsText" dxfId="266" priority="5847" operator="containsText" text="C">
      <formula>NOT(ISERROR(SEARCH(("C"),(W11))))</formula>
    </cfRule>
    <cfRule type="containsText" dxfId="265" priority="5846" operator="containsText" text="O">
      <formula>NOT(ISERROR(SEARCH(("O"),(W11))))</formula>
    </cfRule>
    <cfRule type="containsText" dxfId="264" priority="5845" operator="containsText" text="N">
      <formula>NOT(ISERROR(SEARCH(("N"),(W11))))</formula>
    </cfRule>
    <cfRule type="containsText" dxfId="263" priority="5843" operator="containsText" text="X">
      <formula>NOT(ISERROR(SEARCH(("X"),(W11))))</formula>
    </cfRule>
    <cfRule type="containsText" dxfId="262" priority="5837" operator="containsText" text="L">
      <formula>NOT(ISERROR(SEARCH(("L"),(W11))))</formula>
    </cfRule>
    <cfRule type="containsText" dxfId="261" priority="5838" operator="containsText" text="N">
      <formula>NOT(ISERROR(SEARCH(("N"),(W11))))</formula>
    </cfRule>
    <cfRule type="containsText" dxfId="260" priority="5839" operator="containsText" text="O">
      <formula>NOT(ISERROR(SEARCH(("O"),(W11))))</formula>
    </cfRule>
    <cfRule type="containsText" dxfId="259" priority="5840" operator="containsText" text="C">
      <formula>NOT(ISERROR(SEARCH(("C"),(W11))))</formula>
    </cfRule>
    <cfRule type="containsText" dxfId="258" priority="5841" operator="containsText" text="P">
      <formula>NOT(ISERROR(SEARCH(("P"),(W11))))</formula>
    </cfRule>
    <cfRule type="containsText" dxfId="257" priority="5842" operator="containsText" text="K">
      <formula>NOT(ISERROR(SEARCH(("K"),(W11))))</formula>
    </cfRule>
    <cfRule type="containsText" dxfId="256" priority="5832" operator="containsText" text="O">
      <formula>NOT(ISERROR(SEARCH(("O"),(W11))))</formula>
    </cfRule>
    <cfRule type="containsText" dxfId="255" priority="5833" operator="containsText" text="C">
      <formula>NOT(ISERROR(SEARCH(("C"),(W11))))</formula>
    </cfRule>
    <cfRule type="containsText" dxfId="254" priority="5834" operator="containsText" text="P">
      <formula>NOT(ISERROR(SEARCH(("P"),(W11))))</formula>
    </cfRule>
    <cfRule type="containsText" dxfId="253" priority="5835" operator="containsText" text="K">
      <formula>NOT(ISERROR(SEARCH(("K"),(W11))))</formula>
    </cfRule>
    <cfRule type="containsText" dxfId="252" priority="5836" operator="containsText" text="X">
      <formula>NOT(ISERROR(SEARCH(("X"),(W11))))</formula>
    </cfRule>
    <cfRule type="containsText" dxfId="251" priority="5863" operator="containsText" text="L">
      <formula>NOT(ISERROR(SEARCH(("L"),(W11))))</formula>
    </cfRule>
    <cfRule type="containsText" dxfId="250" priority="5862" operator="containsText" text="X">
      <formula>NOT(ISERROR(SEARCH(("X"),(W11))))</formula>
    </cfRule>
  </conditionalFormatting>
  <conditionalFormatting sqref="Y11:AE11 R11:V11">
    <cfRule type="containsText" dxfId="249" priority="10206" operator="containsText" text="N">
      <formula>NOT(ISERROR(SEARCH(("N"),(R11))))</formula>
    </cfRule>
  </conditionalFormatting>
  <conditionalFormatting sqref="AA11">
    <cfRule type="containsText" dxfId="248" priority="32" operator="containsText" text="X">
      <formula>NOT(ISERROR(SEARCH(("X"),(AA11))))</formula>
    </cfRule>
    <cfRule type="containsText" dxfId="247" priority="31" operator="containsText" text="K">
      <formula>NOT(ISERROR(SEARCH(("K"),(AA11))))</formula>
    </cfRule>
    <cfRule type="containsText" dxfId="246" priority="29" operator="containsText" text="C">
      <formula>NOT(ISERROR(SEARCH(("C"),(AA11))))</formula>
    </cfRule>
    <cfRule type="containsText" dxfId="245" priority="28" operator="containsText" text="L">
      <formula>NOT(ISERROR(SEARCH(("L"),(AA11))))</formula>
    </cfRule>
    <cfRule type="containsText" dxfId="244" priority="27" operator="containsText" text="X">
      <formula>NOT(ISERROR(SEARCH(("X"),(AA11))))</formula>
    </cfRule>
    <cfRule type="containsText" dxfId="243" priority="26" operator="containsText" text="K">
      <formula>NOT(ISERROR(SEARCH(("K"),(AA11))))</formula>
    </cfRule>
    <cfRule type="containsText" dxfId="242" priority="25" operator="containsText" text="P">
      <formula>NOT(ISERROR(SEARCH(("P"),(AA11))))</formula>
    </cfRule>
    <cfRule type="containsText" dxfId="241" priority="24" operator="containsText" text="C">
      <formula>NOT(ISERROR(SEARCH(("C"),(AA11))))</formula>
    </cfRule>
    <cfRule type="containsText" dxfId="240" priority="23" operator="containsText" text="O">
      <formula>NOT(ISERROR(SEARCH(("O"),(AA11))))</formula>
    </cfRule>
    <cfRule type="containsText" dxfId="239" priority="21" operator="containsText" text="L">
      <formula>NOT(ISERROR(SEARCH(("L"),(AA11))))</formula>
    </cfRule>
    <cfRule type="containsText" dxfId="238" priority="20" operator="containsText" text="X">
      <formula>NOT(ISERROR(SEARCH(("X"),(AA11))))</formula>
    </cfRule>
    <cfRule type="containsText" dxfId="237" priority="19" operator="containsText" text="K">
      <formula>NOT(ISERROR(SEARCH(("K"),(AA11))))</formula>
    </cfRule>
    <cfRule type="containsText" dxfId="236" priority="18" operator="containsText" text="P">
      <formula>NOT(ISERROR(SEARCH(("P"),(AA11))))</formula>
    </cfRule>
    <cfRule type="containsText" dxfId="235" priority="17" operator="containsText" text="C">
      <formula>NOT(ISERROR(SEARCH(("C"),(AA11))))</formula>
    </cfRule>
    <cfRule type="containsText" dxfId="234" priority="16" operator="containsText" text="O">
      <formula>NOT(ISERROR(SEARCH(("O"),(AA11))))</formula>
    </cfRule>
    <cfRule type="containsText" dxfId="233" priority="15" operator="containsText" text="N">
      <formula>NOT(ISERROR(SEARCH(("N"),(AA11))))</formula>
    </cfRule>
    <cfRule type="containsText" dxfId="232" priority="14" operator="containsText" text="L">
      <formula>NOT(ISERROR(SEARCH(("L"),(AA11))))</formula>
    </cfRule>
    <cfRule type="containsText" dxfId="231" priority="13" operator="containsText" text="X">
      <formula>NOT(ISERROR(SEARCH(("X"),(AA11))))</formula>
    </cfRule>
    <cfRule type="containsText" dxfId="230" priority="12" operator="containsText" text="K">
      <formula>NOT(ISERROR(SEARCH(("K"),(AA11))))</formula>
    </cfRule>
    <cfRule type="containsText" dxfId="229" priority="11" operator="containsText" text="P">
      <formula>NOT(ISERROR(SEARCH(("P"),(AA11))))</formula>
    </cfRule>
    <cfRule type="containsText" dxfId="228" priority="10" operator="containsText" text="C">
      <formula>NOT(ISERROR(SEARCH(("C"),(AA11))))</formula>
    </cfRule>
    <cfRule type="containsText" dxfId="227" priority="9" operator="containsText" text="O">
      <formula>NOT(ISERROR(SEARCH(("O"),(AA11))))</formula>
    </cfRule>
    <cfRule type="containsText" dxfId="226" priority="8" operator="containsText" text="N">
      <formula>NOT(ISERROR(SEARCH(("N"),(AA11))))</formula>
    </cfRule>
    <cfRule type="containsText" dxfId="225" priority="30" operator="containsText" text="P">
      <formula>NOT(ISERROR(SEARCH(("P"),(AA11))))</formula>
    </cfRule>
    <cfRule type="containsText" dxfId="224" priority="1" operator="containsText" text="N">
      <formula>NOT(ISERROR(SEARCH(("N"),(AA11))))</formula>
    </cfRule>
    <cfRule type="containsText" dxfId="223" priority="2" operator="containsText" text="O">
      <formula>NOT(ISERROR(SEARCH(("O"),(AA11))))</formula>
    </cfRule>
    <cfRule type="containsText" dxfId="222" priority="3" operator="containsText" text="C">
      <formula>NOT(ISERROR(SEARCH(("C"),(AA11))))</formula>
    </cfRule>
    <cfRule type="containsText" dxfId="221" priority="4" operator="containsText" text="P">
      <formula>NOT(ISERROR(SEARCH(("P"),(AA11))))</formula>
    </cfRule>
    <cfRule type="containsText" dxfId="220" priority="5" operator="containsText" text="K">
      <formula>NOT(ISERROR(SEARCH(("K"),(AA11))))</formula>
    </cfRule>
    <cfRule type="containsText" dxfId="219" priority="22" operator="containsText" text="N">
      <formula>NOT(ISERROR(SEARCH(("N"),(AA11))))</formula>
    </cfRule>
    <cfRule type="containsText" dxfId="218" priority="6" operator="containsText" text="X">
      <formula>NOT(ISERROR(SEARCH(("X"),(AA11))))</formula>
    </cfRule>
    <cfRule type="containsText" dxfId="217" priority="7" operator="containsText" text="L">
      <formula>NOT(ISERROR(SEARCH(("L"),(AA11))))</formula>
    </cfRule>
    <cfRule type="containsText" dxfId="216" priority="33" operator="containsText" text="L">
      <formula>NOT(ISERROR(SEARCH(("L"),(AA11))))</formula>
    </cfRule>
  </conditionalFormatting>
  <conditionalFormatting sqref="AA12:AD24 AA11:AE11">
    <cfRule type="containsText" dxfId="215" priority="8276" operator="containsText" text="N">
      <formula>NOT(ISERROR(SEARCH(("N"),(AA11))))</formula>
    </cfRule>
  </conditionalFormatting>
  <conditionalFormatting sqref="AA11:AE11 AA12:AD24">
    <cfRule type="containsText" dxfId="214" priority="8279" operator="containsText" text="P">
      <formula>NOT(ISERROR(SEARCH(("P"),(AA11))))</formula>
    </cfRule>
    <cfRule type="containsText" dxfId="213" priority="8280" operator="containsText" text="K">
      <formula>NOT(ISERROR(SEARCH(("K"),(AA11))))</formula>
    </cfRule>
    <cfRule type="containsText" dxfId="212" priority="8281" operator="containsText" text="X">
      <formula>NOT(ISERROR(SEARCH(("X"),(AA11))))</formula>
    </cfRule>
    <cfRule type="containsText" dxfId="211" priority="8282" operator="containsText" text="L">
      <formula>NOT(ISERROR(SEARCH(("L"),(AA11))))</formula>
    </cfRule>
    <cfRule type="containsText" dxfId="210" priority="9864" operator="containsText" text="O">
      <formula>NOT(ISERROR(SEARCH(("O"),(AA11))))</formula>
    </cfRule>
    <cfRule type="containsText" dxfId="209" priority="9865" operator="containsText" text="C">
      <formula>NOT(ISERROR(SEARCH(("C"),(AA11))))</formula>
    </cfRule>
    <cfRule type="containsText" dxfId="208" priority="9866" operator="containsText" text="P">
      <formula>NOT(ISERROR(SEARCH(("P"),(AA11))))</formula>
    </cfRule>
    <cfRule type="containsText" dxfId="207" priority="9867" operator="containsText" text="K">
      <formula>NOT(ISERROR(SEARCH(("K"),(AA11))))</formula>
    </cfRule>
    <cfRule type="containsText" dxfId="206" priority="9868" operator="containsText" text="X">
      <formula>NOT(ISERROR(SEARCH(("X"),(AA11))))</formula>
    </cfRule>
    <cfRule type="containsText" dxfId="205" priority="9869" operator="containsText" text="L">
      <formula>NOT(ISERROR(SEARCH(("L"),(AA11))))</formula>
    </cfRule>
    <cfRule type="containsText" dxfId="204" priority="8278" operator="containsText" text="C">
      <formula>NOT(ISERROR(SEARCH(("C"),(AA11))))</formula>
    </cfRule>
    <cfRule type="containsText" dxfId="203" priority="8277" operator="containsText" text="O">
      <formula>NOT(ISERROR(SEARCH(("O"),(AA11))))</formula>
    </cfRule>
  </conditionalFormatting>
  <conditionalFormatting sqref="AA11:AE11">
    <cfRule type="containsText" dxfId="202" priority="116" operator="containsText" text="L">
      <formula>NOT(ISERROR(SEARCH(("L"),(AA11))))</formula>
    </cfRule>
    <cfRule type="containsText" dxfId="201" priority="117" operator="containsText" text="O">
      <formula>NOT(ISERROR(SEARCH(("O"),(AA11))))</formula>
    </cfRule>
    <cfRule type="containsText" dxfId="200" priority="111" operator="containsText" text="L">
      <formula>NOT(ISERROR(SEARCH(("L"),(AA11))))</formula>
    </cfRule>
    <cfRule type="containsText" dxfId="199" priority="11044" operator="containsText" text="N">
      <formula>NOT(ISERROR(SEARCH(("N"),(AA11))))</formula>
    </cfRule>
    <cfRule type="containsText" dxfId="198" priority="11045" operator="containsText" text="O">
      <formula>NOT(ISERROR(SEARCH(("O"),(AA11))))</formula>
    </cfRule>
    <cfRule type="containsText" dxfId="197" priority="11046" operator="containsText" text="C">
      <formula>NOT(ISERROR(SEARCH(("C"),(AA11))))</formula>
    </cfRule>
    <cfRule type="containsText" dxfId="196" priority="11047" operator="containsText" text="P">
      <formula>NOT(ISERROR(SEARCH(("P"),(AA11))))</formula>
    </cfRule>
    <cfRule type="containsText" dxfId="195" priority="11048" operator="containsText" text="K">
      <formula>NOT(ISERROR(SEARCH(("K"),(AA11))))</formula>
    </cfRule>
    <cfRule type="containsText" dxfId="194" priority="11049" operator="containsText" text="X">
      <formula>NOT(ISERROR(SEARCH(("X"),(AA11))))</formula>
    </cfRule>
    <cfRule type="containsText" dxfId="193" priority="11050" operator="containsText" text="L">
      <formula>NOT(ISERROR(SEARCH(("L"),(AA11))))</formula>
    </cfRule>
    <cfRule type="containsText" dxfId="192" priority="106" operator="containsText" text="O">
      <formula>NOT(ISERROR(SEARCH(("O"),(AA11))))</formula>
    </cfRule>
    <cfRule type="containsText" dxfId="191" priority="107" operator="containsText" text="C">
      <formula>NOT(ISERROR(SEARCH(("C"),(AA11))))</formula>
    </cfRule>
    <cfRule type="containsText" dxfId="190" priority="108" operator="containsText" text="P">
      <formula>NOT(ISERROR(SEARCH(("P"),(AA11))))</formula>
    </cfRule>
    <cfRule type="containsText" dxfId="189" priority="109" operator="containsText" text="K">
      <formula>NOT(ISERROR(SEARCH(("K"),(AA11))))</formula>
    </cfRule>
    <cfRule type="containsText" dxfId="188" priority="110" operator="containsText" text="X">
      <formula>NOT(ISERROR(SEARCH(("X"),(AA11))))</formula>
    </cfRule>
    <cfRule type="containsText" dxfId="187" priority="112" operator="containsText" text="C">
      <formula>NOT(ISERROR(SEARCH(("C"),(AA11))))</formula>
    </cfRule>
    <cfRule type="containsText" dxfId="186" priority="113" operator="containsText" text="P">
      <formula>NOT(ISERROR(SEARCH(("P"),(AA11))))</formula>
    </cfRule>
    <cfRule type="containsText" dxfId="185" priority="114" operator="containsText" text="K">
      <formula>NOT(ISERROR(SEARCH(("K"),(AA11))))</formula>
    </cfRule>
    <cfRule type="containsText" dxfId="184" priority="115" operator="containsText" text="X">
      <formula>NOT(ISERROR(SEARCH(("X"),(AA11))))</formula>
    </cfRule>
  </conditionalFormatting>
  <conditionalFormatting sqref="AD11:AE24">
    <cfRule type="containsText" dxfId="183" priority="5794" operator="containsText" text="K">
      <formula>NOT(ISERROR(SEARCH(("K"),(AD11))))</formula>
    </cfRule>
    <cfRule type="containsText" dxfId="182" priority="5793" operator="containsText" text="P">
      <formula>NOT(ISERROR(SEARCH(("P"),(AD11))))</formula>
    </cfRule>
    <cfRule type="containsText" dxfId="181" priority="5792" operator="containsText" text="C">
      <formula>NOT(ISERROR(SEARCH(("C"),(AD11))))</formula>
    </cfRule>
    <cfRule type="containsText" dxfId="180" priority="5791" operator="containsText" text="O">
      <formula>NOT(ISERROR(SEARCH(("O"),(AD11))))</formula>
    </cfRule>
    <cfRule type="containsText" dxfId="179" priority="5796" operator="containsText" text="L">
      <formula>NOT(ISERROR(SEARCH(("L"),(AD11))))</formula>
    </cfRule>
    <cfRule type="containsText" dxfId="178" priority="5797" operator="containsText" text="N">
      <formula>NOT(ISERROR(SEARCH(("N"),(AD11))))</formula>
    </cfRule>
    <cfRule type="containsText" dxfId="177" priority="5798" operator="containsText" text="O">
      <formula>NOT(ISERROR(SEARCH(("O"),(AD11))))</formula>
    </cfRule>
    <cfRule type="containsText" dxfId="176" priority="5799" operator="containsText" text="C">
      <formula>NOT(ISERROR(SEARCH(("C"),(AD11))))</formula>
    </cfRule>
    <cfRule type="containsText" dxfId="175" priority="5800" operator="containsText" text="P">
      <formula>NOT(ISERROR(SEARCH(("P"),(AD11))))</formula>
    </cfRule>
    <cfRule type="containsText" dxfId="174" priority="5801" operator="containsText" text="K">
      <formula>NOT(ISERROR(SEARCH(("K"),(AD11))))</formula>
    </cfRule>
    <cfRule type="containsText" dxfId="173" priority="5802" operator="containsText" text="X">
      <formula>NOT(ISERROR(SEARCH(("X"),(AD11))))</formula>
    </cfRule>
    <cfRule type="containsText" dxfId="172" priority="5803" operator="containsText" text="L">
      <formula>NOT(ISERROR(SEARCH(("L"),(AD11))))</formula>
    </cfRule>
    <cfRule type="containsText" dxfId="171" priority="5804" operator="containsText" text="N">
      <formula>NOT(ISERROR(SEARCH(("N"),(AD11))))</formula>
    </cfRule>
    <cfRule type="containsText" dxfId="170" priority="5805" operator="containsText" text="O">
      <formula>NOT(ISERROR(SEARCH(("O"),(AD11))))</formula>
    </cfRule>
    <cfRule type="containsText" dxfId="169" priority="5806" operator="containsText" text="C">
      <formula>NOT(ISERROR(SEARCH(("C"),(AD11))))</formula>
    </cfRule>
    <cfRule type="containsText" dxfId="168" priority="5807" operator="containsText" text="P">
      <formula>NOT(ISERROR(SEARCH(("P"),(AD11))))</formula>
    </cfRule>
    <cfRule type="containsText" dxfId="167" priority="5808" operator="containsText" text="K">
      <formula>NOT(ISERROR(SEARCH(("K"),(AD11))))</formula>
    </cfRule>
    <cfRule type="containsText" dxfId="166" priority="5809" operator="containsText" text="X">
      <formula>NOT(ISERROR(SEARCH(("X"),(AD11))))</formula>
    </cfRule>
    <cfRule type="containsText" dxfId="165" priority="5810" operator="containsText" text="L">
      <formula>NOT(ISERROR(SEARCH(("L"),(AD11))))</formula>
    </cfRule>
    <cfRule type="containsText" dxfId="164" priority="5811" operator="containsText" text="N">
      <formula>NOT(ISERROR(SEARCH(("N"),(AD11))))</formula>
    </cfRule>
    <cfRule type="containsText" dxfId="163" priority="5812" operator="containsText" text="O">
      <formula>NOT(ISERROR(SEARCH(("O"),(AD11))))</formula>
    </cfRule>
    <cfRule type="containsText" dxfId="162" priority="5813" operator="containsText" text="C">
      <formula>NOT(ISERROR(SEARCH(("C"),(AD11))))</formula>
    </cfRule>
    <cfRule type="containsText" dxfId="161" priority="5814" operator="containsText" text="P">
      <formula>NOT(ISERROR(SEARCH(("P"),(AD11))))</formula>
    </cfRule>
    <cfRule type="containsText" dxfId="160" priority="5795" operator="containsText" text="X">
      <formula>NOT(ISERROR(SEARCH(("X"),(AD11))))</formula>
    </cfRule>
    <cfRule type="containsText" dxfId="159" priority="5815" operator="containsText" text="K">
      <formula>NOT(ISERROR(SEARCH(("K"),(AD11))))</formula>
    </cfRule>
    <cfRule type="containsText" dxfId="158" priority="5816" operator="containsText" text="X">
      <formula>NOT(ISERROR(SEARCH(("X"),(AD11))))</formula>
    </cfRule>
    <cfRule type="containsText" dxfId="157" priority="5817" operator="containsText" text="L">
      <formula>NOT(ISERROR(SEARCH(("L"),(AD11))))</formula>
    </cfRule>
    <cfRule type="containsText" dxfId="156" priority="5819" operator="containsText" text="O">
      <formula>NOT(ISERROR(SEARCH(("O"),(AD11))))</formula>
    </cfRule>
    <cfRule type="containsText" dxfId="155" priority="5820" operator="containsText" text="C">
      <formula>NOT(ISERROR(SEARCH(("C"),(AD11))))</formula>
    </cfRule>
    <cfRule type="containsText" dxfId="154" priority="5821" operator="containsText" text="P">
      <formula>NOT(ISERROR(SEARCH(("P"),(AD11))))</formula>
    </cfRule>
    <cfRule type="containsText" dxfId="153" priority="5822" operator="containsText" text="K">
      <formula>NOT(ISERROR(SEARCH(("K"),(AD11))))</formula>
    </cfRule>
    <cfRule type="containsText" dxfId="152" priority="5823" operator="containsText" text="X">
      <formula>NOT(ISERROR(SEARCH(("X"),(AD11))))</formula>
    </cfRule>
    <cfRule type="containsText" dxfId="151" priority="5824" operator="containsText" text="L">
      <formula>NOT(ISERROR(SEARCH(("L"),(AD11))))</formula>
    </cfRule>
  </conditionalFormatting>
  <conditionalFormatting sqref="AD11:AJ24">
    <cfRule type="containsText" dxfId="150" priority="5818" operator="containsText" text="N">
      <formula>NOT(ISERROR(SEARCH(("N"),(AD11))))</formula>
    </cfRule>
    <cfRule type="containsText" dxfId="149" priority="5826" operator="containsText" text="C">
      <formula>NOT(ISERROR(SEARCH(("C"),(AD11))))</formula>
    </cfRule>
    <cfRule type="containsText" dxfId="148" priority="5830" operator="containsText" text="L">
      <formula>NOT(ISERROR(SEARCH(("L"),(AD11))))</formula>
    </cfRule>
    <cfRule type="containsText" dxfId="147" priority="5829" operator="containsText" text="X">
      <formula>NOT(ISERROR(SEARCH(("X"),(AD11))))</formula>
    </cfRule>
    <cfRule type="containsText" dxfId="146" priority="5828" operator="containsText" text="K">
      <formula>NOT(ISERROR(SEARCH(("K"),(AD11))))</formula>
    </cfRule>
    <cfRule type="containsText" dxfId="145" priority="5825" operator="containsText" text="O">
      <formula>NOT(ISERROR(SEARCH(("O"),(AD11))))</formula>
    </cfRule>
    <cfRule type="containsText" dxfId="144" priority="5827" operator="containsText" text="P">
      <formula>NOT(ISERROR(SEARCH(("P"),(AD11))))</formula>
    </cfRule>
  </conditionalFormatting>
  <conditionalFormatting sqref="AF11:AJ24 AL11:AL24">
    <cfRule type="containsText" dxfId="143" priority="8296" operator="containsText" text="L">
      <formula>NOT(ISERROR(SEARCH(("L"),(AF11))))</formula>
    </cfRule>
    <cfRule type="containsText" dxfId="142" priority="8295" operator="containsText" text="X">
      <formula>NOT(ISERROR(SEARCH(("X"),(AF11))))</formula>
    </cfRule>
    <cfRule type="containsText" dxfId="141" priority="8290" operator="containsText" text="N">
      <formula>NOT(ISERROR(SEARCH(("N"),(AF11))))</formula>
    </cfRule>
    <cfRule type="containsText" dxfId="140" priority="8291" operator="containsText" text="O">
      <formula>NOT(ISERROR(SEARCH(("O"),(AF11))))</formula>
    </cfRule>
    <cfRule type="containsText" dxfId="139" priority="8292" operator="containsText" text="C">
      <formula>NOT(ISERROR(SEARCH(("C"),(AF11))))</formula>
    </cfRule>
    <cfRule type="containsText" dxfId="138" priority="8293" operator="containsText" text="P">
      <formula>NOT(ISERROR(SEARCH(("P"),(AF11))))</formula>
    </cfRule>
    <cfRule type="containsText" dxfId="137" priority="8294" operator="containsText" text="K">
      <formula>NOT(ISERROR(SEARCH(("K"),(AF11))))</formula>
    </cfRule>
  </conditionalFormatting>
  <conditionalFormatting sqref="AH11:AJ11">
    <cfRule type="containsText" dxfId="136" priority="9855" operator="containsText" text="L">
      <formula>NOT(ISERROR(SEARCH(("L"),(AH11))))</formula>
    </cfRule>
    <cfRule type="containsText" dxfId="135" priority="9854" operator="containsText" text="X">
      <formula>NOT(ISERROR(SEARCH(("X"),(AH11))))</formula>
    </cfRule>
    <cfRule type="containsText" dxfId="134" priority="9853" operator="containsText" text="K">
      <formula>NOT(ISERROR(SEARCH(("K"),(AH11))))</formula>
    </cfRule>
    <cfRule type="containsText" dxfId="133" priority="9850" operator="containsText" text="O">
      <formula>NOT(ISERROR(SEARCH(("O"),(AH11))))</formula>
    </cfRule>
    <cfRule type="containsText" dxfId="132" priority="9849" operator="containsText" text="N">
      <formula>NOT(ISERROR(SEARCH(("N"),(AH11))))</formula>
    </cfRule>
    <cfRule type="containsText" dxfId="131" priority="9851" operator="containsText" text="C">
      <formula>NOT(ISERROR(SEARCH(("C"),(AH11))))</formula>
    </cfRule>
    <cfRule type="containsText" dxfId="130" priority="9852" operator="containsText" text="P">
      <formula>NOT(ISERROR(SEARCH(("P"),(AH11))))</formula>
    </cfRule>
  </conditionalFormatting>
  <conditionalFormatting sqref="AH11:AL11 H11:H24 K11:U24 W11:AA24 AD11:AH24 AK11:AL24">
    <cfRule type="containsText" dxfId="129" priority="8304" operator="containsText" text="O">
      <formula>NOT(ISERROR(SEARCH(("O"),(H11))))</formula>
    </cfRule>
    <cfRule type="containsText" dxfId="128" priority="8305" operator="containsText" text="C">
      <formula>NOT(ISERROR(SEARCH(("C"),(H11))))</formula>
    </cfRule>
    <cfRule type="containsText" dxfId="127" priority="8306" operator="containsText" text="P">
      <formula>NOT(ISERROR(SEARCH(("P"),(H11))))</formula>
    </cfRule>
    <cfRule type="containsText" dxfId="126" priority="8308" operator="containsText" text="X">
      <formula>NOT(ISERROR(SEARCH(("X"),(H11))))</formula>
    </cfRule>
    <cfRule type="containsText" dxfId="125" priority="8307" operator="containsText" text="K">
      <formula>NOT(ISERROR(SEARCH(("K"),(H11))))</formula>
    </cfRule>
  </conditionalFormatting>
  <conditionalFormatting sqref="AH11:AL11">
    <cfRule type="containsText" dxfId="124" priority="56" operator="containsText" text="K">
      <formula>NOT(ISERROR(SEARCH(("K"),(AH11))))</formula>
    </cfRule>
    <cfRule type="containsText" dxfId="123" priority="104" operator="containsText" text="L">
      <formula>NOT(ISERROR(SEARCH(("L"),(AH11))))</formula>
    </cfRule>
    <cfRule type="containsText" dxfId="122" priority="103" operator="containsText" text="X">
      <formula>NOT(ISERROR(SEARCH(("X"),(AH11))))</formula>
    </cfRule>
    <cfRule type="containsText" dxfId="121" priority="102" operator="containsText" text="K">
      <formula>NOT(ISERROR(SEARCH(("K"),(AH11))))</formula>
    </cfRule>
    <cfRule type="containsText" dxfId="120" priority="101" operator="containsText" text="P">
      <formula>NOT(ISERROR(SEARCH(("P"),(AH11))))</formula>
    </cfRule>
    <cfRule type="containsText" dxfId="119" priority="100" operator="containsText" text="C">
      <formula>NOT(ISERROR(SEARCH(("C"),(AH11))))</formula>
    </cfRule>
    <cfRule type="containsText" dxfId="118" priority="99" operator="containsText" text="O">
      <formula>NOT(ISERROR(SEARCH(("O"),(AH11))))</formula>
    </cfRule>
    <cfRule type="containsText" dxfId="117" priority="98" operator="containsText" text="N">
      <formula>NOT(ISERROR(SEARCH(("N"),(AH11))))</formula>
    </cfRule>
    <cfRule type="containsText" dxfId="116" priority="8309" operator="containsText" text="L">
      <formula>NOT(ISERROR(SEARCH(("L"),(AH11))))</formula>
    </cfRule>
    <cfRule type="containsText" dxfId="115" priority="97" operator="containsText" text="L">
      <formula>NOT(ISERROR(SEARCH(("L"),(AH11))))</formula>
    </cfRule>
    <cfRule type="containsText" dxfId="114" priority="96" operator="containsText" text="X">
      <formula>NOT(ISERROR(SEARCH(("X"),(AH11))))</formula>
    </cfRule>
    <cfRule type="containsText" dxfId="113" priority="95" operator="containsText" text="K">
      <formula>NOT(ISERROR(SEARCH(("K"),(AH11))))</formula>
    </cfRule>
    <cfRule type="containsText" dxfId="112" priority="93" operator="containsText" text="C">
      <formula>NOT(ISERROR(SEARCH(("C"),(AH11))))</formula>
    </cfRule>
    <cfRule type="containsText" dxfId="111" priority="92" operator="containsText" text="O">
      <formula>NOT(ISERROR(SEARCH(("O"),(AH11))))</formula>
    </cfRule>
    <cfRule type="containsText" dxfId="110" priority="91" operator="containsText" text="N">
      <formula>NOT(ISERROR(SEARCH(("N"),(AH11))))</formula>
    </cfRule>
    <cfRule type="containsText" dxfId="109" priority="90" operator="containsText" text="L">
      <formula>NOT(ISERROR(SEARCH(("L"),(AH11))))</formula>
    </cfRule>
    <cfRule type="containsText" dxfId="108" priority="89" operator="containsText" text="X">
      <formula>NOT(ISERROR(SEARCH(("X"),(AH11))))</formula>
    </cfRule>
    <cfRule type="containsText" dxfId="107" priority="88" operator="containsText" text="K">
      <formula>NOT(ISERROR(SEARCH(("K"),(AH11))))</formula>
    </cfRule>
    <cfRule type="containsText" dxfId="106" priority="87" operator="containsText" text="P">
      <formula>NOT(ISERROR(SEARCH(("P"),(AH11))))</formula>
    </cfRule>
    <cfRule type="containsText" dxfId="105" priority="86" operator="containsText" text="C">
      <formula>NOT(ISERROR(SEARCH(("C"),(AH11))))</formula>
    </cfRule>
    <cfRule type="containsText" dxfId="104" priority="85" operator="containsText" text="O">
      <formula>NOT(ISERROR(SEARCH(("O"),(AH11))))</formula>
    </cfRule>
    <cfRule type="containsText" dxfId="103" priority="84" operator="containsText" text="L">
      <formula>NOT(ISERROR(SEARCH(("L"),(AH11))))</formula>
    </cfRule>
    <cfRule type="containsText" dxfId="102" priority="83" operator="containsText" text="X">
      <formula>NOT(ISERROR(SEARCH(("X"),(AH11))))</formula>
    </cfRule>
    <cfRule type="containsText" dxfId="101" priority="82" operator="containsText" text="K">
      <formula>NOT(ISERROR(SEARCH(("K"),(AH11))))</formula>
    </cfRule>
    <cfRule type="containsText" dxfId="100" priority="81" operator="containsText" text="P">
      <formula>NOT(ISERROR(SEARCH(("P"),(AH11))))</formula>
    </cfRule>
    <cfRule type="containsText" dxfId="99" priority="80" operator="containsText" text="C">
      <formula>NOT(ISERROR(SEARCH(("C"),(AH11))))</formula>
    </cfRule>
    <cfRule type="containsText" dxfId="98" priority="79" operator="containsText" text="L">
      <formula>NOT(ISERROR(SEARCH(("L"),(AH11))))</formula>
    </cfRule>
    <cfRule type="containsText" dxfId="97" priority="78" operator="containsText" text="X">
      <formula>NOT(ISERROR(SEARCH(("X"),(AH11))))</formula>
    </cfRule>
    <cfRule type="containsText" dxfId="96" priority="77" operator="containsText" text="K">
      <formula>NOT(ISERROR(SEARCH(("K"),(AH11))))</formula>
    </cfRule>
    <cfRule type="containsText" dxfId="95" priority="76" operator="containsText" text="P">
      <formula>NOT(ISERROR(SEARCH(("P"),(AH11))))</formula>
    </cfRule>
    <cfRule type="containsText" dxfId="94" priority="75" operator="containsText" text="C">
      <formula>NOT(ISERROR(SEARCH(("C"),(AH11))))</formula>
    </cfRule>
    <cfRule type="containsText" dxfId="93" priority="74" operator="containsText" text="O">
      <formula>NOT(ISERROR(SEARCH(("O"),(AH11))))</formula>
    </cfRule>
    <cfRule type="containsText" dxfId="92" priority="73" operator="containsText" text="N">
      <formula>NOT(ISERROR(SEARCH(("N"),(AH11))))</formula>
    </cfRule>
    <cfRule type="containsText" dxfId="91" priority="72" operator="containsText" text="L">
      <formula>NOT(ISERROR(SEARCH(("L"),(AH11))))</formula>
    </cfRule>
    <cfRule type="containsText" dxfId="90" priority="105" operator="containsText" text="O">
      <formula>NOT(ISERROR(SEARCH(("O"),(AH11))))</formula>
    </cfRule>
    <cfRule type="containsText" dxfId="89" priority="70" operator="containsText" text="K">
      <formula>NOT(ISERROR(SEARCH(("K"),(AH11))))</formula>
    </cfRule>
    <cfRule type="containsText" dxfId="88" priority="69" operator="containsText" text="P">
      <formula>NOT(ISERROR(SEARCH(("P"),(AH11))))</formula>
    </cfRule>
    <cfRule type="containsText" dxfId="87" priority="68" operator="containsText" text="C">
      <formula>NOT(ISERROR(SEARCH(("C"),(AH11))))</formula>
    </cfRule>
    <cfRule type="containsText" dxfId="86" priority="67" operator="containsText" text="O">
      <formula>NOT(ISERROR(SEARCH(("O"),(AH11))))</formula>
    </cfRule>
    <cfRule type="containsText" dxfId="85" priority="66" operator="containsText" text="N">
      <formula>NOT(ISERROR(SEARCH(("N"),(AH11))))</formula>
    </cfRule>
    <cfRule type="containsText" dxfId="84" priority="65" operator="containsText" text="L">
      <formula>NOT(ISERROR(SEARCH(("L"),(AH11))))</formula>
    </cfRule>
    <cfRule type="containsText" dxfId="83" priority="64" operator="containsText" text="X">
      <formula>NOT(ISERROR(SEARCH(("X"),(AH11))))</formula>
    </cfRule>
    <cfRule type="containsText" dxfId="82" priority="63" operator="containsText" text="K">
      <formula>NOT(ISERROR(SEARCH(("K"),(AH11))))</formula>
    </cfRule>
    <cfRule type="containsText" dxfId="81" priority="71" operator="containsText" text="X">
      <formula>NOT(ISERROR(SEARCH(("X"),(AH11))))</formula>
    </cfRule>
    <cfRule type="containsText" dxfId="80" priority="62" operator="containsText" text="P">
      <formula>NOT(ISERROR(SEARCH(("P"),(AH11))))</formula>
    </cfRule>
    <cfRule type="containsText" dxfId="79" priority="61" operator="containsText" text="C">
      <formula>NOT(ISERROR(SEARCH(("C"),(AH11))))</formula>
    </cfRule>
    <cfRule type="containsText" dxfId="78" priority="60" operator="containsText" text="O">
      <formula>NOT(ISERROR(SEARCH(("O"),(AH11))))</formula>
    </cfRule>
    <cfRule type="containsText" dxfId="77" priority="59" operator="containsText" text="N">
      <formula>NOT(ISERROR(SEARCH(("N"),(AH11))))</formula>
    </cfRule>
    <cfRule type="containsText" dxfId="76" priority="58" operator="containsText" text="L">
      <formula>NOT(ISERROR(SEARCH(("L"),(AH11))))</formula>
    </cfRule>
    <cfRule type="containsText" dxfId="75" priority="57" operator="containsText" text="X">
      <formula>NOT(ISERROR(SEARCH(("X"),(AH11))))</formula>
    </cfRule>
    <cfRule type="containsText" dxfId="74" priority="55" operator="containsText" text="P">
      <formula>NOT(ISERROR(SEARCH(("P"),(AH11))))</formula>
    </cfRule>
    <cfRule type="containsText" dxfId="73" priority="54" operator="containsText" text="C">
      <formula>NOT(ISERROR(SEARCH(("C"),(AH11))))</formula>
    </cfRule>
    <cfRule type="containsText" dxfId="72" priority="53" operator="containsText" text="O">
      <formula>NOT(ISERROR(SEARCH(("O"),(AH11))))</formula>
    </cfRule>
    <cfRule type="containsText" dxfId="71" priority="52" operator="containsText" text="L">
      <formula>NOT(ISERROR(SEARCH(("L"),(AH11))))</formula>
    </cfRule>
    <cfRule type="containsText" dxfId="70" priority="51" operator="containsText" text="X">
      <formula>NOT(ISERROR(SEARCH(("X"),(AH11))))</formula>
    </cfRule>
    <cfRule type="containsText" dxfId="69" priority="50" operator="containsText" text="K">
      <formula>NOT(ISERROR(SEARCH(("K"),(AH11))))</formula>
    </cfRule>
    <cfRule type="containsText" dxfId="68" priority="49" operator="containsText" text="P">
      <formula>NOT(ISERROR(SEARCH(("P"),(AH11))))</formula>
    </cfRule>
    <cfRule type="containsText" dxfId="67" priority="48" operator="containsText" text="C">
      <formula>NOT(ISERROR(SEARCH(("C"),(AH11))))</formula>
    </cfRule>
    <cfRule type="containsText" dxfId="66" priority="47" operator="containsText" text="O">
      <formula>NOT(ISERROR(SEARCH(("O"),(AH11))))</formula>
    </cfRule>
    <cfRule type="containsText" dxfId="65" priority="46" operator="containsText" text="N">
      <formula>NOT(ISERROR(SEARCH(("N"),(AH11))))</formula>
    </cfRule>
    <cfRule type="containsText" dxfId="64" priority="45" operator="containsText" text="O">
      <formula>NOT(ISERROR(SEARCH(("O"),(AH11))))</formula>
    </cfRule>
    <cfRule type="containsText" dxfId="63" priority="43" operator="containsText" text="X">
      <formula>NOT(ISERROR(SEARCH(("X"),(AH11))))</formula>
    </cfRule>
    <cfRule type="containsText" dxfId="62" priority="42" operator="containsText" text="K">
      <formula>NOT(ISERROR(SEARCH(("K"),(AH11))))</formula>
    </cfRule>
    <cfRule type="containsText" dxfId="61" priority="41" operator="containsText" text="P">
      <formula>NOT(ISERROR(SEARCH(("P"),(AH11))))</formula>
    </cfRule>
    <cfRule type="containsText" dxfId="60" priority="40" operator="containsText" text="C">
      <formula>NOT(ISERROR(SEARCH(("C"),(AH11))))</formula>
    </cfRule>
    <cfRule type="containsText" dxfId="59" priority="39" operator="containsText" text="L">
      <formula>NOT(ISERROR(SEARCH(("L"),(AH11))))</formula>
    </cfRule>
    <cfRule type="containsText" dxfId="58" priority="38" operator="containsText" text="X">
      <formula>NOT(ISERROR(SEARCH(("X"),(AH11))))</formula>
    </cfRule>
    <cfRule type="containsText" dxfId="57" priority="37" operator="containsText" text="K">
      <formula>NOT(ISERROR(SEARCH(("K"),(AH11))))</formula>
    </cfRule>
    <cfRule type="containsText" dxfId="56" priority="36" operator="containsText" text="P">
      <formula>NOT(ISERROR(SEARCH(("P"),(AH11))))</formula>
    </cfRule>
    <cfRule type="containsText" dxfId="55" priority="35" operator="containsText" text="C">
      <formula>NOT(ISERROR(SEARCH(("C"),(AH11))))</formula>
    </cfRule>
    <cfRule type="containsText" dxfId="54" priority="34" operator="containsText" text="O">
      <formula>NOT(ISERROR(SEARCH(("O"),(AH11))))</formula>
    </cfRule>
    <cfRule type="containsText" dxfId="53" priority="94" operator="containsText" text="P">
      <formula>NOT(ISERROR(SEARCH(("P"),(AH11))))</formula>
    </cfRule>
    <cfRule type="containsText" dxfId="52" priority="44" operator="containsText" text="L">
      <formula>NOT(ISERROR(SEARCH(("L"),(AH11))))</formula>
    </cfRule>
  </conditionalFormatting>
  <conditionalFormatting sqref="AK11:AK24">
    <cfRule type="containsText" dxfId="51" priority="5759" operator="containsText" text="C">
      <formula>NOT(ISERROR(SEARCH(("C"),(AK11))))</formula>
    </cfRule>
    <cfRule type="containsText" dxfId="50" priority="5771" operator="containsText" text="N">
      <formula>NOT(ISERROR(SEARCH(("N"),(AK11))))</formula>
    </cfRule>
    <cfRule type="containsText" dxfId="49" priority="5783" operator="containsText" text="X">
      <formula>NOT(ISERROR(SEARCH(("X"),(AK11))))</formula>
    </cfRule>
    <cfRule type="containsText" dxfId="48" priority="5782" operator="containsText" text="K">
      <formula>NOT(ISERROR(SEARCH(("K"),(AK11))))</formula>
    </cfRule>
    <cfRule type="containsText" dxfId="47" priority="5781" operator="containsText" text="P">
      <formula>NOT(ISERROR(SEARCH(("P"),(AK11))))</formula>
    </cfRule>
    <cfRule type="containsText" dxfId="46" priority="5780" operator="containsText" text="C">
      <formula>NOT(ISERROR(SEARCH(("C"),(AK11))))</formula>
    </cfRule>
    <cfRule type="containsText" dxfId="45" priority="5770" operator="containsText" text="L">
      <formula>NOT(ISERROR(SEARCH(("L"),(AK11))))</formula>
    </cfRule>
    <cfRule type="containsText" dxfId="44" priority="5779" operator="containsText" text="O">
      <formula>NOT(ISERROR(SEARCH(("O"),(AK11))))</formula>
    </cfRule>
    <cfRule type="containsText" dxfId="43" priority="5777" operator="containsText" text="L">
      <formula>NOT(ISERROR(SEARCH(("L"),(AK11))))</formula>
    </cfRule>
    <cfRule type="containsText" dxfId="42" priority="5483" operator="containsText" text="N">
      <formula>NOT(ISERROR(SEARCH(("N"),(AK11))))</formula>
    </cfRule>
    <cfRule type="containsText" dxfId="41" priority="5758" operator="containsText" text="O">
      <formula>NOT(ISERROR(SEARCH(("O"),(AK11))))</formula>
    </cfRule>
    <cfRule type="containsText" dxfId="40" priority="5776" operator="containsText" text="X">
      <formula>NOT(ISERROR(SEARCH(("X"),(AK11))))</formula>
    </cfRule>
    <cfRule type="containsText" dxfId="39" priority="5760" operator="containsText" text="P">
      <formula>NOT(ISERROR(SEARCH(("P"),(AK11))))</formula>
    </cfRule>
    <cfRule type="containsText" dxfId="38" priority="5761" operator="containsText" text="K">
      <formula>NOT(ISERROR(SEARCH(("K"),(AK11))))</formula>
    </cfRule>
    <cfRule type="containsText" dxfId="37" priority="5762" operator="containsText" text="X">
      <formula>NOT(ISERROR(SEARCH(("X"),(AK11))))</formula>
    </cfRule>
    <cfRule type="containsText" dxfId="36" priority="5763" operator="containsText" text="L">
      <formula>NOT(ISERROR(SEARCH(("L"),(AK11))))</formula>
    </cfRule>
    <cfRule type="containsText" dxfId="35" priority="5772" operator="containsText" text="O">
      <formula>NOT(ISERROR(SEARCH(("O"),(AK11))))</formula>
    </cfRule>
    <cfRule type="containsText" dxfId="34" priority="5775" operator="containsText" text="K">
      <formula>NOT(ISERROR(SEARCH(("K"),(AK11))))</formula>
    </cfRule>
    <cfRule type="containsText" dxfId="33" priority="5774" operator="containsText" text="P">
      <formula>NOT(ISERROR(SEARCH(("P"),(AK11))))</formula>
    </cfRule>
    <cfRule type="containsText" dxfId="32" priority="5773" operator="containsText" text="C">
      <formula>NOT(ISERROR(SEARCH(("C"),(AK11))))</formula>
    </cfRule>
    <cfRule type="containsText" dxfId="31" priority="5765" operator="containsText" text="O">
      <formula>NOT(ISERROR(SEARCH(("O"),(AK11))))</formula>
    </cfRule>
    <cfRule type="containsText" dxfId="30" priority="5769" operator="containsText" text="X">
      <formula>NOT(ISERROR(SEARCH(("X"),(AK11))))</formula>
    </cfRule>
    <cfRule type="containsText" dxfId="29" priority="5768" operator="containsText" text="K">
      <formula>NOT(ISERROR(SEARCH(("K"),(AK11))))</formula>
    </cfRule>
    <cfRule type="containsText" dxfId="28" priority="5767" operator="containsText" text="P">
      <formula>NOT(ISERROR(SEARCH(("P"),(AK11))))</formula>
    </cfRule>
    <cfRule type="containsText" dxfId="27" priority="5766" operator="containsText" text="C">
      <formula>NOT(ISERROR(SEARCH(("C"),(AK11))))</formula>
    </cfRule>
    <cfRule type="containsText" dxfId="26" priority="5764" operator="containsText" text="N">
      <formula>NOT(ISERROR(SEARCH(("N"),(AK11))))</formula>
    </cfRule>
    <cfRule type="containsText" dxfId="25" priority="5784" operator="containsText" text="L">
      <formula>NOT(ISERROR(SEARCH(("L"),(AK11))))</formula>
    </cfRule>
  </conditionalFormatting>
  <conditionalFormatting sqref="AK11:AL11">
    <cfRule type="containsText" dxfId="24" priority="10966" operator="containsText" text="N">
      <formula>NOT(ISERROR(SEARCH(("N"),(AK11))))</formula>
    </cfRule>
  </conditionalFormatting>
  <conditionalFormatting sqref="AK11:AL24">
    <cfRule type="containsText" dxfId="23" priority="5778" operator="containsText" text="N">
      <formula>NOT(ISERROR(SEARCH(("N"),(AK11))))</formula>
    </cfRule>
    <cfRule type="containsText" dxfId="22" priority="5785" operator="containsText" text="O">
      <formula>NOT(ISERROR(SEARCH(("O"),(AK11))))</formula>
    </cfRule>
    <cfRule type="containsText" dxfId="21" priority="5786" operator="containsText" text="C">
      <formula>NOT(ISERROR(SEARCH(("C"),(AK11))))</formula>
    </cfRule>
    <cfRule type="containsText" dxfId="20" priority="5787" operator="containsText" text="P">
      <formula>NOT(ISERROR(SEARCH(("P"),(AK11))))</formula>
    </cfRule>
    <cfRule type="containsText" dxfId="19" priority="5788" operator="containsText" text="K">
      <formula>NOT(ISERROR(SEARCH(("K"),(AK11))))</formula>
    </cfRule>
    <cfRule type="containsText" dxfId="18" priority="5789" operator="containsText" text="X">
      <formula>NOT(ISERROR(SEARCH(("X"),(AK11))))</formula>
    </cfRule>
    <cfRule type="containsText" dxfId="17" priority="5790" operator="containsText" text="L">
      <formula>NOT(ISERROR(SEARCH(("L"),(AK11))))</formula>
    </cfRule>
  </conditionalFormatting>
  <conditionalFormatting sqref="AL11:AL24 U11:U24">
    <cfRule type="containsText" dxfId="16" priority="9834" operator="containsText" text="L">
      <formula>NOT(ISERROR(SEARCH(("L"),(U11))))</formula>
    </cfRule>
  </conditionalFormatting>
  <conditionalFormatting sqref="AL11:AL24">
    <cfRule type="containsText" dxfId="15" priority="9833" operator="containsText" text="X">
      <formula>NOT(ISERROR(SEARCH(("X"),(AL11))))</formula>
    </cfRule>
    <cfRule type="containsText" dxfId="14" priority="9832" operator="containsText" text="K">
      <formula>NOT(ISERROR(SEARCH(("K"),(AL11))))</formula>
    </cfRule>
    <cfRule type="containsText" dxfId="13" priority="9831" operator="containsText" text="P">
      <formula>NOT(ISERROR(SEARCH(("P"),(AL11))))</formula>
    </cfRule>
    <cfRule type="containsText" dxfId="12" priority="9830" operator="containsText" text="C">
      <formula>NOT(ISERROR(SEARCH(("C"),(AL11))))</formula>
    </cfRule>
    <cfRule type="containsText" dxfId="11" priority="9829" operator="containsText" text="O">
      <formula>NOT(ISERROR(SEARCH(("O"),(AL11))))</formula>
    </cfRule>
  </conditionalFormatting>
  <dataValidations count="1">
    <dataValidation type="list" allowBlank="1" sqref="G11:G24" xr:uid="{00000000-0002-0000-0300-000000000000}">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x14ac:dyDescent="0.25"/>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x14ac:dyDescent="0.25">
      <c r="A1" s="587" t="s">
        <v>355</v>
      </c>
      <c r="B1" s="491"/>
      <c r="C1" s="491"/>
      <c r="D1" s="492"/>
      <c r="E1" s="142"/>
      <c r="F1" s="143"/>
      <c r="G1" s="142"/>
      <c r="H1" s="142"/>
      <c r="I1" s="142"/>
      <c r="J1" s="142"/>
      <c r="K1" s="142"/>
      <c r="L1" s="142"/>
      <c r="M1" s="142"/>
      <c r="N1" s="142"/>
      <c r="O1" s="142"/>
      <c r="P1" s="142"/>
      <c r="Q1" s="142"/>
      <c r="R1" s="142"/>
      <c r="S1" s="142"/>
      <c r="T1" s="142"/>
      <c r="U1" s="140"/>
      <c r="V1" s="140"/>
    </row>
    <row r="2" spans="1:22" ht="30.75" customHeight="1" x14ac:dyDescent="0.25">
      <c r="A2" s="588" t="s">
        <v>1</v>
      </c>
      <c r="B2" s="590" t="s">
        <v>40</v>
      </c>
      <c r="C2" s="588" t="s">
        <v>109</v>
      </c>
      <c r="D2" s="588" t="s">
        <v>97</v>
      </c>
      <c r="E2" s="591" t="s">
        <v>356</v>
      </c>
      <c r="F2" s="592"/>
      <c r="G2" s="592"/>
      <c r="H2" s="592"/>
      <c r="I2" s="592"/>
      <c r="J2" s="592"/>
      <c r="K2" s="592"/>
      <c r="L2" s="592"/>
      <c r="M2" s="592"/>
      <c r="N2" s="592"/>
      <c r="O2" s="592"/>
      <c r="P2" s="592"/>
      <c r="Q2" s="593"/>
      <c r="R2" s="585" t="s">
        <v>357</v>
      </c>
      <c r="S2" s="585" t="s">
        <v>110</v>
      </c>
      <c r="T2" s="585" t="s">
        <v>111</v>
      </c>
      <c r="U2" s="585" t="s">
        <v>112</v>
      </c>
      <c r="V2" s="140"/>
    </row>
    <row r="3" spans="1:22" ht="48" customHeight="1" x14ac:dyDescent="0.25">
      <c r="A3" s="589"/>
      <c r="B3" s="589"/>
      <c r="C3" s="589"/>
      <c r="D3" s="589"/>
      <c r="E3" s="144" t="s">
        <v>116</v>
      </c>
      <c r="F3" s="144" t="s">
        <v>113</v>
      </c>
      <c r="G3" s="144" t="s">
        <v>114</v>
      </c>
      <c r="H3" s="144" t="s">
        <v>115</v>
      </c>
      <c r="I3" s="144" t="s">
        <v>117</v>
      </c>
      <c r="J3" s="144" t="s">
        <v>118</v>
      </c>
      <c r="K3" s="144" t="s">
        <v>119</v>
      </c>
      <c r="L3" s="144" t="s">
        <v>120</v>
      </c>
      <c r="M3" s="144" t="s">
        <v>121</v>
      </c>
      <c r="N3" s="144" t="s">
        <v>122</v>
      </c>
      <c r="O3" s="144" t="s">
        <v>123</v>
      </c>
      <c r="P3" s="144" t="s">
        <v>124</v>
      </c>
      <c r="Q3" s="144" t="s">
        <v>125</v>
      </c>
      <c r="R3" s="589"/>
      <c r="S3" s="589"/>
      <c r="T3" s="589"/>
      <c r="U3" s="586"/>
      <c r="V3" s="140"/>
    </row>
    <row r="4" spans="1:22" ht="15" hidden="1" customHeight="1" x14ac:dyDescent="0.25">
      <c r="A4" s="145"/>
      <c r="B4" s="145">
        <v>1</v>
      </c>
      <c r="C4" s="145">
        <f t="shared" ref="C4:U4" si="0">B4+1</f>
        <v>2</v>
      </c>
      <c r="D4" s="145">
        <f t="shared" si="0"/>
        <v>3</v>
      </c>
      <c r="E4" s="145" t="e">
        <f>#REF!+1</f>
        <v>#REF!</v>
      </c>
      <c r="F4" s="145" t="e">
        <f t="shared" si="0"/>
        <v>#REF!</v>
      </c>
      <c r="G4" s="145" t="e">
        <f t="shared" si="0"/>
        <v>#REF!</v>
      </c>
      <c r="H4" s="145" t="e">
        <f t="shared" si="0"/>
        <v>#REF!</v>
      </c>
      <c r="I4" s="145" t="e">
        <f t="shared" si="0"/>
        <v>#REF!</v>
      </c>
      <c r="J4" s="145" t="e">
        <f t="shared" si="0"/>
        <v>#REF!</v>
      </c>
      <c r="K4" s="145" t="e">
        <f t="shared" si="0"/>
        <v>#REF!</v>
      </c>
      <c r="L4" s="145" t="e">
        <f t="shared" si="0"/>
        <v>#REF!</v>
      </c>
      <c r="M4" s="145" t="e">
        <f t="shared" si="0"/>
        <v>#REF!</v>
      </c>
      <c r="N4" s="145" t="e">
        <f t="shared" si="0"/>
        <v>#REF!</v>
      </c>
      <c r="O4" s="145" t="e">
        <f t="shared" si="0"/>
        <v>#REF!</v>
      </c>
      <c r="P4" s="145" t="e">
        <f t="shared" si="0"/>
        <v>#REF!</v>
      </c>
      <c r="Q4" s="145" t="e">
        <f t="shared" si="0"/>
        <v>#REF!</v>
      </c>
      <c r="R4" s="145" t="e">
        <f t="shared" si="0"/>
        <v>#REF!</v>
      </c>
      <c r="S4" s="145" t="e">
        <f t="shared" si="0"/>
        <v>#REF!</v>
      </c>
      <c r="T4" s="145" t="e">
        <f t="shared" si="0"/>
        <v>#REF!</v>
      </c>
      <c r="U4" s="145" t="e">
        <f t="shared" si="0"/>
        <v>#REF!</v>
      </c>
      <c r="V4" s="146"/>
    </row>
    <row r="5" spans="1:22" ht="25.5" customHeight="1" x14ac:dyDescent="0.3">
      <c r="A5" s="147"/>
      <c r="B5" s="429"/>
      <c r="C5" s="430"/>
      <c r="D5" s="431"/>
      <c r="E5" s="148"/>
      <c r="F5" s="148">
        <f t="shared" ref="F5:R5" si="1">SUM(F6:F8)</f>
        <v>3</v>
      </c>
      <c r="G5" s="148">
        <f t="shared" si="1"/>
        <v>0</v>
      </c>
      <c r="H5" s="148">
        <f t="shared" si="1"/>
        <v>0</v>
      </c>
      <c r="I5" s="148">
        <f t="shared" si="1"/>
        <v>0</v>
      </c>
      <c r="J5" s="148">
        <f t="shared" si="1"/>
        <v>0</v>
      </c>
      <c r="K5" s="148">
        <f t="shared" si="1"/>
        <v>0</v>
      </c>
      <c r="L5" s="148">
        <f t="shared" si="1"/>
        <v>0</v>
      </c>
      <c r="M5" s="148">
        <f t="shared" si="1"/>
        <v>0</v>
      </c>
      <c r="N5" s="148">
        <f t="shared" si="1"/>
        <v>0</v>
      </c>
      <c r="O5" s="148">
        <f t="shared" si="1"/>
        <v>0</v>
      </c>
      <c r="P5" s="148">
        <f t="shared" si="1"/>
        <v>0</v>
      </c>
      <c r="Q5" s="148">
        <f t="shared" si="1"/>
        <v>0</v>
      </c>
      <c r="R5" s="148">
        <f t="shared" si="1"/>
        <v>3</v>
      </c>
      <c r="S5" s="148">
        <v>2</v>
      </c>
      <c r="T5" s="148">
        <f>SUM(T6:T8)</f>
        <v>2</v>
      </c>
      <c r="U5" s="432"/>
      <c r="V5" s="140"/>
    </row>
    <row r="6" spans="1:22" ht="27.75" customHeight="1" x14ac:dyDescent="0.3">
      <c r="A6" s="433">
        <f t="shared" ref="A6:A7" si="2">SUBTOTAL(3,$B$5:B6)</f>
        <v>1</v>
      </c>
      <c r="B6" s="434" t="s">
        <v>322</v>
      </c>
      <c r="C6" s="388"/>
      <c r="D6" s="374" t="str">
        <f>VLOOKUP(B6,' 5. Thông số TL'!$D$12:$E$16,2,0)</f>
        <v>Nguyễn Thị Thu Hảo</v>
      </c>
      <c r="E6" s="375"/>
      <c r="F6" s="376">
        <f>VLOOKUP(B6,'3. BẢNG CHẤM CÔNG'!$B$11:$AU$11,42,0)</f>
        <v>3</v>
      </c>
      <c r="G6" s="376">
        <v>0</v>
      </c>
      <c r="H6" s="376">
        <v>0</v>
      </c>
      <c r="I6" s="376">
        <v>0</v>
      </c>
      <c r="J6" s="376">
        <v>0</v>
      </c>
      <c r="K6" s="376">
        <v>0</v>
      </c>
      <c r="L6" s="376">
        <v>0</v>
      </c>
      <c r="M6" s="376">
        <v>0</v>
      </c>
      <c r="N6" s="376">
        <v>0</v>
      </c>
      <c r="O6" s="376">
        <v>0</v>
      </c>
      <c r="P6" s="376">
        <v>0</v>
      </c>
      <c r="Q6" s="376">
        <v>0</v>
      </c>
      <c r="R6" s="375">
        <f t="shared" ref="R6:R7" si="3">SUM(F6:Q6)</f>
        <v>3</v>
      </c>
      <c r="S6" s="375">
        <v>2</v>
      </c>
      <c r="T6" s="375">
        <v>2</v>
      </c>
      <c r="U6" s="377"/>
      <c r="V6" s="150" t="s">
        <v>108</v>
      </c>
    </row>
    <row r="7" spans="1:22" ht="27.75" customHeight="1" x14ac:dyDescent="0.3">
      <c r="A7" s="433">
        <f t="shared" si="2"/>
        <v>2</v>
      </c>
      <c r="B7" s="434" t="s">
        <v>323</v>
      </c>
      <c r="C7" s="388"/>
      <c r="D7" s="374" t="str">
        <f>VLOOKUP(B7,' 5. Thông số TL'!$D$12:$E$16,2,0)</f>
        <v>Lê Thị Kim Liên</v>
      </c>
      <c r="E7" s="375"/>
      <c r="F7" s="376">
        <v>0</v>
      </c>
      <c r="G7" s="376">
        <v>0</v>
      </c>
      <c r="H7" s="376">
        <v>0</v>
      </c>
      <c r="I7" s="376">
        <v>0</v>
      </c>
      <c r="J7" s="376">
        <v>0</v>
      </c>
      <c r="K7" s="376">
        <v>0</v>
      </c>
      <c r="L7" s="376">
        <v>0</v>
      </c>
      <c r="M7" s="376">
        <v>0</v>
      </c>
      <c r="N7" s="376">
        <v>0</v>
      </c>
      <c r="O7" s="376">
        <v>0</v>
      </c>
      <c r="P7" s="376">
        <v>0</v>
      </c>
      <c r="Q7" s="376">
        <v>0</v>
      </c>
      <c r="R7" s="375">
        <f t="shared" si="3"/>
        <v>0</v>
      </c>
      <c r="S7" s="375">
        <v>0</v>
      </c>
      <c r="T7" s="375">
        <v>0</v>
      </c>
      <c r="U7" s="377"/>
      <c r="V7" s="151"/>
    </row>
    <row r="8" spans="1:22" ht="22.2" customHeight="1" x14ac:dyDescent="0.25">
      <c r="A8" s="428">
        <v>3</v>
      </c>
      <c r="B8" s="428" t="s">
        <v>339</v>
      </c>
      <c r="C8" s="427"/>
      <c r="D8" s="374" t="str">
        <f>VLOOKUP(B8,' 5. Thông số TL'!$D$12:$E$16,2,0)</f>
        <v>Bùi Thanh Anh</v>
      </c>
      <c r="E8" s="375"/>
      <c r="F8" s="376">
        <v>0</v>
      </c>
      <c r="G8" s="376">
        <v>0</v>
      </c>
      <c r="H8" s="376">
        <v>0</v>
      </c>
      <c r="I8" s="376">
        <v>0</v>
      </c>
      <c r="J8" s="376">
        <v>0</v>
      </c>
      <c r="K8" s="376">
        <v>0</v>
      </c>
      <c r="L8" s="376">
        <v>0</v>
      </c>
      <c r="M8" s="376">
        <v>0</v>
      </c>
      <c r="N8" s="376">
        <v>0</v>
      </c>
      <c r="O8" s="376">
        <v>0</v>
      </c>
      <c r="P8" s="376">
        <v>0</v>
      </c>
      <c r="Q8" s="376">
        <v>0</v>
      </c>
      <c r="R8" s="375">
        <f t="shared" ref="R8" si="4">SUM(F8:Q8)</f>
        <v>0</v>
      </c>
      <c r="S8" s="375">
        <f t="shared" ref="S8" si="5">SUM(G8:R8)</f>
        <v>0</v>
      </c>
      <c r="T8" s="375">
        <f t="shared" ref="T8" si="6">SUM(H8:S8)</f>
        <v>0</v>
      </c>
      <c r="U8" s="427"/>
      <c r="V8" s="140"/>
    </row>
    <row r="9" spans="1:22" ht="22.2" customHeight="1" x14ac:dyDescent="0.25">
      <c r="A9" s="428">
        <v>5</v>
      </c>
      <c r="B9" s="428" t="s">
        <v>335</v>
      </c>
      <c r="C9" s="427"/>
      <c r="D9" s="374" t="str">
        <f>VLOOKUP(B9,' 5. Thông số TL'!$D$12:$E$16,2,0)</f>
        <v>Eugene</v>
      </c>
      <c r="E9" s="375"/>
      <c r="F9" s="376">
        <v>0</v>
      </c>
      <c r="G9" s="376">
        <v>0</v>
      </c>
      <c r="H9" s="376">
        <v>0</v>
      </c>
      <c r="I9" s="376">
        <v>0</v>
      </c>
      <c r="J9" s="376">
        <v>0</v>
      </c>
      <c r="K9" s="376">
        <v>0</v>
      </c>
      <c r="L9" s="376">
        <v>0</v>
      </c>
      <c r="M9" s="376">
        <v>0</v>
      </c>
      <c r="N9" s="376">
        <v>0</v>
      </c>
      <c r="O9" s="376">
        <v>0</v>
      </c>
      <c r="P9" s="376">
        <v>0</v>
      </c>
      <c r="Q9" s="376">
        <v>0</v>
      </c>
      <c r="R9" s="375">
        <f t="shared" ref="R9" si="7">SUM(F9:Q9)</f>
        <v>0</v>
      </c>
      <c r="S9" s="375">
        <f t="shared" ref="S9" si="8">SUM(G9:R9)</f>
        <v>0</v>
      </c>
      <c r="T9" s="375">
        <f t="shared" ref="T9" si="9">SUM(H9:S9)</f>
        <v>0</v>
      </c>
      <c r="U9" s="427"/>
      <c r="V9" s="140"/>
    </row>
    <row r="10" spans="1:22" ht="15" customHeight="1" x14ac:dyDescent="0.25">
      <c r="A10" s="140"/>
      <c r="B10" s="140"/>
      <c r="C10" s="140"/>
      <c r="D10" s="140"/>
      <c r="E10" s="140"/>
      <c r="F10" s="140"/>
      <c r="G10" s="140"/>
      <c r="H10" s="140"/>
      <c r="I10" s="140"/>
      <c r="J10" s="140"/>
      <c r="K10" s="140"/>
      <c r="L10" s="140"/>
      <c r="M10" s="140"/>
      <c r="N10" s="140"/>
      <c r="O10" s="140"/>
      <c r="P10" s="140"/>
      <c r="Q10" s="140"/>
      <c r="R10" s="152"/>
      <c r="S10" s="140"/>
      <c r="T10" s="140"/>
      <c r="U10" s="140"/>
      <c r="V10" s="140"/>
    </row>
    <row r="11" spans="1:22" ht="15" customHeight="1" x14ac:dyDescent="0.25">
      <c r="A11" s="140"/>
      <c r="B11" s="140"/>
      <c r="C11" s="140"/>
      <c r="D11" s="140"/>
      <c r="E11" s="140"/>
      <c r="F11" s="140"/>
      <c r="G11" s="140"/>
      <c r="H11" s="140"/>
      <c r="I11" s="140"/>
      <c r="J11" s="140"/>
      <c r="K11" s="140"/>
      <c r="L11" s="140"/>
      <c r="M11" s="140"/>
      <c r="N11" s="140"/>
      <c r="O11" s="140"/>
      <c r="P11" s="140"/>
      <c r="Q11" s="140"/>
      <c r="R11" s="140"/>
      <c r="S11" s="140"/>
      <c r="T11" s="140"/>
      <c r="U11" s="140"/>
      <c r="V11" s="140"/>
    </row>
    <row r="12" spans="1:22" ht="15" customHeight="1" x14ac:dyDescent="0.25">
      <c r="A12" s="140"/>
      <c r="B12" s="140"/>
      <c r="C12" s="140"/>
      <c r="D12" s="140"/>
      <c r="E12" s="140"/>
      <c r="F12" s="140"/>
      <c r="G12" s="140"/>
      <c r="H12" s="140"/>
      <c r="I12" s="140"/>
      <c r="J12" s="140"/>
      <c r="K12" s="140"/>
      <c r="L12" s="140"/>
      <c r="M12" s="140"/>
      <c r="N12" s="140"/>
      <c r="O12" s="140"/>
      <c r="P12" s="140"/>
      <c r="Q12" s="140"/>
      <c r="R12" s="140"/>
      <c r="S12" s="140"/>
      <c r="T12" s="140"/>
      <c r="U12" s="140"/>
      <c r="V12" s="140"/>
    </row>
    <row r="13" spans="1:22" ht="15.75" customHeight="1" x14ac:dyDescent="0.25">
      <c r="A13" s="140"/>
      <c r="B13" s="140"/>
      <c r="C13" s="140"/>
      <c r="D13" s="140"/>
      <c r="E13" s="140"/>
      <c r="F13" s="140"/>
      <c r="G13" s="140"/>
      <c r="H13" s="140"/>
      <c r="I13" s="140"/>
      <c r="J13" s="140"/>
      <c r="K13" s="140"/>
      <c r="L13" s="140"/>
      <c r="M13" s="140"/>
      <c r="N13" s="140"/>
      <c r="O13" s="140"/>
      <c r="P13" s="140"/>
      <c r="Q13" s="140"/>
      <c r="R13" s="140"/>
      <c r="S13" s="140"/>
      <c r="T13" s="140"/>
      <c r="U13" s="140"/>
      <c r="V13" s="140"/>
    </row>
    <row r="14" spans="1:22" ht="15.75" customHeight="1" x14ac:dyDescent="0.25">
      <c r="A14" s="140"/>
      <c r="B14" s="140"/>
      <c r="C14" s="140"/>
      <c r="D14" s="140"/>
      <c r="E14" s="140"/>
      <c r="F14" s="140"/>
      <c r="G14" s="140"/>
      <c r="H14" s="140"/>
      <c r="I14" s="140"/>
      <c r="J14" s="140"/>
      <c r="K14" s="140"/>
      <c r="L14" s="140"/>
      <c r="M14" s="140"/>
      <c r="N14" s="140"/>
      <c r="O14" s="140"/>
      <c r="P14" s="140"/>
      <c r="Q14" s="140"/>
      <c r="R14" s="140"/>
      <c r="S14" s="140"/>
      <c r="T14" s="140"/>
      <c r="U14" s="140"/>
      <c r="V14" s="140"/>
    </row>
    <row r="15" spans="1:22" ht="15.75" customHeight="1" x14ac:dyDescent="0.25">
      <c r="A15" s="140"/>
      <c r="B15" s="140"/>
      <c r="C15" s="140"/>
      <c r="D15" s="140"/>
      <c r="E15" s="140"/>
      <c r="F15" s="140"/>
      <c r="G15" s="140"/>
      <c r="H15" s="140"/>
      <c r="I15" s="140"/>
      <c r="J15" s="140"/>
      <c r="K15" s="140"/>
      <c r="L15" s="140"/>
      <c r="M15" s="140"/>
      <c r="N15" s="140"/>
      <c r="O15" s="140"/>
      <c r="P15" s="140"/>
      <c r="Q15" s="140"/>
      <c r="R15" s="140"/>
      <c r="S15" s="140"/>
      <c r="T15" s="140"/>
      <c r="U15" s="140"/>
      <c r="V15" s="140"/>
    </row>
    <row r="16" spans="1:22" ht="15.75" customHeight="1" x14ac:dyDescent="0.25">
      <c r="A16" s="140"/>
      <c r="B16" s="140"/>
      <c r="C16" s="140"/>
      <c r="D16" s="140"/>
      <c r="E16" s="140"/>
      <c r="F16" s="140"/>
      <c r="G16" s="140"/>
      <c r="H16" s="140"/>
      <c r="I16" s="140"/>
      <c r="J16" s="140"/>
      <c r="K16" s="140"/>
      <c r="L16" s="140"/>
      <c r="M16" s="140"/>
      <c r="N16" s="140"/>
      <c r="O16" s="140"/>
      <c r="P16" s="140"/>
      <c r="Q16" s="140"/>
      <c r="R16" s="140"/>
      <c r="S16" s="140"/>
      <c r="T16" s="140"/>
      <c r="U16" s="140"/>
      <c r="V16" s="140"/>
    </row>
    <row r="17" spans="1:22" ht="15.75" customHeight="1" x14ac:dyDescent="0.25">
      <c r="A17" s="140"/>
      <c r="B17" s="140"/>
      <c r="C17" s="140"/>
      <c r="D17" s="140"/>
      <c r="E17" s="140"/>
      <c r="F17" s="140"/>
      <c r="G17" s="140"/>
      <c r="H17" s="140"/>
      <c r="I17" s="140"/>
      <c r="J17" s="140"/>
      <c r="K17" s="140"/>
      <c r="L17" s="140"/>
      <c r="M17" s="140"/>
      <c r="N17" s="140"/>
      <c r="O17" s="140"/>
      <c r="P17" s="140"/>
      <c r="Q17" s="140"/>
      <c r="R17" s="140"/>
      <c r="S17" s="140"/>
      <c r="T17" s="140"/>
      <c r="U17" s="140"/>
      <c r="V17" s="140"/>
    </row>
    <row r="18" spans="1:22" ht="15.75" customHeight="1" x14ac:dyDescent="0.25">
      <c r="A18" s="140"/>
      <c r="B18" s="140"/>
      <c r="C18" s="140"/>
      <c r="D18" s="140"/>
      <c r="E18" s="140"/>
      <c r="F18" s="140"/>
      <c r="G18" s="140"/>
      <c r="H18" s="140"/>
      <c r="I18" s="140"/>
      <c r="J18" s="140"/>
      <c r="K18" s="140"/>
      <c r="L18" s="140"/>
      <c r="M18" s="140"/>
      <c r="N18" s="140"/>
      <c r="O18" s="140"/>
      <c r="P18" s="140"/>
      <c r="Q18" s="140"/>
      <c r="R18" s="140"/>
      <c r="S18" s="140"/>
      <c r="T18" s="140"/>
      <c r="U18" s="140"/>
      <c r="V18" s="140"/>
    </row>
    <row r="19" spans="1:22" ht="15.75" customHeight="1" x14ac:dyDescent="0.25">
      <c r="A19" s="140"/>
      <c r="B19" s="140"/>
      <c r="C19" s="140"/>
      <c r="D19" s="140"/>
      <c r="E19" s="140"/>
      <c r="F19" s="140"/>
      <c r="G19" s="140"/>
      <c r="H19" s="140"/>
      <c r="I19" s="140"/>
      <c r="J19" s="140"/>
      <c r="K19" s="140"/>
      <c r="L19" s="140"/>
      <c r="M19" s="140"/>
      <c r="N19" s="140"/>
      <c r="O19" s="140"/>
      <c r="P19" s="140"/>
      <c r="Q19" s="140"/>
      <c r="R19" s="140"/>
      <c r="S19" s="140"/>
      <c r="T19" s="140"/>
      <c r="U19" s="140"/>
      <c r="V19" s="140"/>
    </row>
    <row r="20" spans="1:22" ht="15.75" customHeight="1" x14ac:dyDescent="0.25">
      <c r="A20" s="140"/>
      <c r="B20" s="140"/>
      <c r="C20" s="140"/>
      <c r="D20" s="140"/>
      <c r="E20" s="140"/>
      <c r="F20" s="140"/>
      <c r="G20" s="140"/>
      <c r="H20" s="140"/>
      <c r="I20" s="140"/>
      <c r="J20" s="140"/>
      <c r="K20" s="140"/>
      <c r="L20" s="140"/>
      <c r="M20" s="140"/>
      <c r="N20" s="140"/>
      <c r="O20" s="140"/>
      <c r="P20" s="140"/>
      <c r="Q20" s="140"/>
      <c r="R20" s="140"/>
      <c r="S20" s="140"/>
      <c r="T20" s="140"/>
      <c r="U20" s="140"/>
      <c r="V20" s="140"/>
    </row>
    <row r="21" spans="1:22" ht="15.75" customHeight="1" x14ac:dyDescent="0.25">
      <c r="A21" s="140"/>
      <c r="B21" s="140"/>
      <c r="C21" s="140"/>
      <c r="D21" s="140"/>
      <c r="E21" s="140"/>
      <c r="F21" s="140"/>
      <c r="G21" s="140"/>
      <c r="H21" s="140"/>
      <c r="I21" s="140"/>
      <c r="J21" s="140"/>
      <c r="K21" s="140"/>
      <c r="L21" s="140"/>
      <c r="M21" s="140"/>
      <c r="N21" s="140"/>
      <c r="O21" s="140"/>
      <c r="P21" s="140"/>
      <c r="Q21" s="140"/>
      <c r="R21" s="140"/>
      <c r="S21" s="140"/>
      <c r="T21" s="140"/>
      <c r="U21" s="140"/>
      <c r="V21" s="140"/>
    </row>
    <row r="22" spans="1:22" ht="15.75" customHeight="1" x14ac:dyDescent="0.25">
      <c r="A22" s="140"/>
      <c r="B22" s="140"/>
      <c r="C22" s="140"/>
      <c r="D22" s="140"/>
      <c r="E22" s="140"/>
      <c r="F22" s="140"/>
      <c r="G22" s="140"/>
      <c r="H22" s="140"/>
      <c r="I22" s="140"/>
      <c r="J22" s="140"/>
      <c r="K22" s="140"/>
      <c r="L22" s="140"/>
      <c r="M22" s="140"/>
      <c r="N22" s="140"/>
      <c r="O22" s="140"/>
      <c r="P22" s="140"/>
      <c r="Q22" s="140"/>
      <c r="R22" s="140"/>
      <c r="S22" s="140"/>
      <c r="T22" s="140"/>
      <c r="U22" s="140"/>
      <c r="V22" s="140"/>
    </row>
    <row r="23" spans="1:22" ht="15.75" customHeight="1" x14ac:dyDescent="0.25">
      <c r="A23" s="140"/>
      <c r="B23" s="140"/>
      <c r="C23" s="140"/>
      <c r="D23" s="140"/>
      <c r="E23" s="140"/>
      <c r="F23" s="140"/>
      <c r="G23" s="140"/>
      <c r="H23" s="140"/>
      <c r="I23" s="140"/>
      <c r="J23" s="140"/>
      <c r="K23" s="140"/>
      <c r="L23" s="140"/>
      <c r="M23" s="140"/>
      <c r="N23" s="140"/>
      <c r="O23" s="140"/>
      <c r="P23" s="140"/>
      <c r="Q23" s="140"/>
      <c r="R23" s="140"/>
      <c r="S23" s="140"/>
      <c r="T23" s="140"/>
      <c r="U23" s="140"/>
      <c r="V23" s="140"/>
    </row>
    <row r="24" spans="1:22" ht="15.75" customHeight="1" x14ac:dyDescent="0.25">
      <c r="A24" s="140"/>
      <c r="B24" s="140"/>
      <c r="C24" s="140"/>
      <c r="D24" s="140"/>
      <c r="E24" s="140"/>
      <c r="F24" s="140"/>
      <c r="G24" s="140"/>
      <c r="H24" s="140"/>
      <c r="I24" s="140"/>
      <c r="J24" s="140"/>
      <c r="K24" s="140"/>
      <c r="L24" s="140"/>
      <c r="M24" s="140"/>
      <c r="N24" s="140"/>
      <c r="O24" s="140"/>
      <c r="P24" s="140"/>
      <c r="Q24" s="140"/>
      <c r="R24" s="140"/>
      <c r="S24" s="140"/>
      <c r="T24" s="140"/>
      <c r="U24" s="140"/>
      <c r="V24" s="140"/>
    </row>
    <row r="25" spans="1:22" ht="15.75" customHeight="1" x14ac:dyDescent="0.25">
      <c r="A25" s="140"/>
      <c r="B25" s="140"/>
      <c r="C25" s="140"/>
      <c r="D25" s="140"/>
      <c r="E25" s="140"/>
      <c r="F25" s="140"/>
      <c r="G25" s="140"/>
      <c r="H25" s="140"/>
      <c r="I25" s="140"/>
      <c r="J25" s="140"/>
      <c r="K25" s="140"/>
      <c r="L25" s="140"/>
      <c r="M25" s="140"/>
      <c r="N25" s="140"/>
      <c r="O25" s="140"/>
      <c r="P25" s="140"/>
      <c r="Q25" s="140"/>
      <c r="R25" s="140"/>
      <c r="S25" s="140"/>
      <c r="T25" s="140"/>
      <c r="U25" s="140"/>
      <c r="V25" s="140"/>
    </row>
    <row r="26" spans="1:22" ht="15.75" customHeight="1" x14ac:dyDescent="0.25">
      <c r="A26" s="140"/>
      <c r="B26" s="140"/>
      <c r="C26" s="140"/>
      <c r="D26" s="140"/>
      <c r="E26" s="140"/>
      <c r="F26" s="140"/>
      <c r="G26" s="140"/>
      <c r="H26" s="140"/>
      <c r="I26" s="140"/>
      <c r="J26" s="140"/>
      <c r="K26" s="140"/>
      <c r="L26" s="140"/>
      <c r="M26" s="140"/>
      <c r="N26" s="140"/>
      <c r="O26" s="140"/>
      <c r="P26" s="140"/>
      <c r="Q26" s="140"/>
      <c r="R26" s="140"/>
      <c r="S26" s="140"/>
      <c r="T26" s="140"/>
      <c r="U26" s="140"/>
      <c r="V26" s="140"/>
    </row>
    <row r="27" spans="1:22" ht="15.75" customHeight="1" x14ac:dyDescent="0.25">
      <c r="A27" s="140"/>
      <c r="B27" s="140"/>
      <c r="C27" s="140"/>
      <c r="D27" s="140"/>
      <c r="E27" s="140"/>
      <c r="F27" s="140"/>
      <c r="G27" s="140"/>
      <c r="H27" s="140"/>
      <c r="I27" s="140"/>
      <c r="J27" s="140"/>
      <c r="K27" s="140"/>
      <c r="L27" s="140"/>
      <c r="M27" s="140"/>
      <c r="N27" s="140"/>
      <c r="O27" s="140"/>
      <c r="P27" s="140"/>
      <c r="Q27" s="140"/>
      <c r="R27" s="140"/>
      <c r="S27" s="140"/>
      <c r="T27" s="140"/>
      <c r="U27" s="140"/>
      <c r="V27" s="140"/>
    </row>
    <row r="28" spans="1:22" ht="15.75" customHeight="1" x14ac:dyDescent="0.25">
      <c r="A28" s="140"/>
      <c r="B28" s="140"/>
      <c r="C28" s="140"/>
      <c r="D28" s="140"/>
      <c r="E28" s="140"/>
      <c r="F28" s="140"/>
      <c r="G28" s="140"/>
      <c r="H28" s="140"/>
      <c r="I28" s="140"/>
      <c r="J28" s="140"/>
      <c r="K28" s="140"/>
      <c r="L28" s="140"/>
      <c r="M28" s="140"/>
      <c r="N28" s="140"/>
      <c r="O28" s="140"/>
      <c r="P28" s="140"/>
      <c r="Q28" s="140"/>
      <c r="R28" s="140"/>
      <c r="S28" s="140"/>
      <c r="T28" s="140"/>
      <c r="U28" s="140"/>
      <c r="V28" s="140"/>
    </row>
    <row r="29" spans="1:22" ht="15.75" customHeight="1" x14ac:dyDescent="0.25">
      <c r="A29" s="140"/>
      <c r="B29" s="140"/>
      <c r="C29" s="140"/>
      <c r="D29" s="140"/>
      <c r="E29" s="140"/>
      <c r="F29" s="140"/>
      <c r="G29" s="140"/>
      <c r="H29" s="140"/>
      <c r="I29" s="140"/>
      <c r="J29" s="140"/>
      <c r="K29" s="140"/>
      <c r="L29" s="140"/>
      <c r="M29" s="140"/>
      <c r="N29" s="140"/>
      <c r="O29" s="140"/>
      <c r="P29" s="140"/>
      <c r="Q29" s="140"/>
      <c r="R29" s="140"/>
      <c r="S29" s="140"/>
      <c r="T29" s="140"/>
      <c r="U29" s="140"/>
      <c r="V29" s="140"/>
    </row>
    <row r="30" spans="1:22" ht="15.75" customHeight="1" x14ac:dyDescent="0.25">
      <c r="A30" s="140"/>
      <c r="B30" s="140"/>
      <c r="C30" s="140"/>
      <c r="D30" s="140"/>
      <c r="E30" s="140"/>
      <c r="F30" s="140"/>
      <c r="G30" s="140"/>
      <c r="H30" s="140"/>
      <c r="I30" s="140"/>
      <c r="J30" s="140"/>
      <c r="K30" s="140"/>
      <c r="L30" s="140"/>
      <c r="M30" s="140"/>
      <c r="N30" s="140"/>
      <c r="O30" s="140"/>
      <c r="P30" s="140"/>
      <c r="Q30" s="140"/>
      <c r="R30" s="140"/>
      <c r="S30" s="140"/>
      <c r="T30" s="140"/>
      <c r="U30" s="140"/>
      <c r="V30" s="140"/>
    </row>
    <row r="31" spans="1:22" ht="15.75" customHeight="1" x14ac:dyDescent="0.25">
      <c r="A31" s="140"/>
      <c r="B31" s="140"/>
      <c r="C31" s="140"/>
      <c r="D31" s="140"/>
      <c r="E31" s="140"/>
      <c r="F31" s="140"/>
      <c r="G31" s="140"/>
      <c r="H31" s="140"/>
      <c r="I31" s="140"/>
      <c r="J31" s="140"/>
      <c r="K31" s="140"/>
      <c r="L31" s="140"/>
      <c r="M31" s="140"/>
      <c r="N31" s="140"/>
      <c r="O31" s="140"/>
      <c r="P31" s="140"/>
      <c r="Q31" s="140"/>
      <c r="R31" s="140"/>
      <c r="S31" s="140"/>
      <c r="T31" s="140"/>
      <c r="U31" s="140"/>
      <c r="V31" s="140"/>
    </row>
    <row r="32" spans="1:22" ht="15.75" customHeight="1" x14ac:dyDescent="0.25">
      <c r="A32" s="140"/>
      <c r="B32" s="140"/>
      <c r="C32" s="140"/>
      <c r="D32" s="140"/>
      <c r="E32" s="140"/>
      <c r="F32" s="140"/>
      <c r="G32" s="140"/>
      <c r="H32" s="140"/>
      <c r="I32" s="140"/>
      <c r="J32" s="140"/>
      <c r="K32" s="140"/>
      <c r="L32" s="140"/>
      <c r="M32" s="140"/>
      <c r="N32" s="140"/>
      <c r="O32" s="140"/>
      <c r="P32" s="140"/>
      <c r="Q32" s="140"/>
      <c r="R32" s="140"/>
      <c r="S32" s="140"/>
      <c r="T32" s="140"/>
      <c r="U32" s="140"/>
      <c r="V32" s="140"/>
    </row>
    <row r="33" spans="1:22" ht="15.75" customHeight="1" x14ac:dyDescent="0.25">
      <c r="A33" s="140"/>
      <c r="B33" s="140"/>
      <c r="C33" s="140"/>
      <c r="D33" s="140"/>
      <c r="E33" s="140"/>
      <c r="F33" s="140"/>
      <c r="G33" s="140"/>
      <c r="H33" s="140"/>
      <c r="I33" s="140"/>
      <c r="J33" s="140"/>
      <c r="K33" s="140"/>
      <c r="L33" s="140"/>
      <c r="M33" s="140"/>
      <c r="N33" s="140"/>
      <c r="O33" s="140"/>
      <c r="P33" s="140"/>
      <c r="Q33" s="140"/>
      <c r="R33" s="140"/>
      <c r="S33" s="140"/>
      <c r="T33" s="140"/>
      <c r="U33" s="140"/>
      <c r="V33" s="140"/>
    </row>
    <row r="34" spans="1:22" ht="15.75" customHeight="1" x14ac:dyDescent="0.25">
      <c r="A34" s="140"/>
      <c r="B34" s="140"/>
      <c r="C34" s="140"/>
      <c r="D34" s="140"/>
      <c r="E34" s="140"/>
      <c r="F34" s="140"/>
      <c r="G34" s="140"/>
      <c r="H34" s="140"/>
      <c r="I34" s="140"/>
      <c r="J34" s="140"/>
      <c r="K34" s="140"/>
      <c r="L34" s="140"/>
      <c r="M34" s="140"/>
      <c r="N34" s="140"/>
      <c r="O34" s="140"/>
      <c r="P34" s="140"/>
      <c r="Q34" s="140"/>
      <c r="R34" s="140"/>
      <c r="S34" s="140"/>
      <c r="T34" s="140"/>
      <c r="U34" s="140"/>
      <c r="V34" s="140"/>
    </row>
    <row r="35" spans="1:22" ht="15.75" customHeight="1" x14ac:dyDescent="0.25">
      <c r="A35" s="140"/>
      <c r="B35" s="140"/>
      <c r="C35" s="140"/>
      <c r="D35" s="140"/>
      <c r="E35" s="140"/>
      <c r="F35" s="140"/>
      <c r="G35" s="140"/>
      <c r="H35" s="140"/>
      <c r="I35" s="140"/>
      <c r="J35" s="140"/>
      <c r="K35" s="140"/>
      <c r="L35" s="140"/>
      <c r="M35" s="140"/>
      <c r="N35" s="140"/>
      <c r="O35" s="140"/>
      <c r="P35" s="140"/>
      <c r="Q35" s="140"/>
      <c r="R35" s="140"/>
      <c r="S35" s="140"/>
      <c r="T35" s="140"/>
      <c r="U35" s="140"/>
      <c r="V35" s="140"/>
    </row>
    <row r="36" spans="1:22" ht="15.75" customHeight="1" x14ac:dyDescent="0.25">
      <c r="A36" s="140"/>
      <c r="B36" s="140"/>
      <c r="C36" s="140"/>
      <c r="D36" s="140"/>
      <c r="E36" s="140"/>
      <c r="F36" s="140"/>
      <c r="G36" s="140"/>
      <c r="H36" s="140"/>
      <c r="I36" s="140"/>
      <c r="J36" s="140"/>
      <c r="K36" s="140"/>
      <c r="L36" s="140"/>
      <c r="M36" s="140"/>
      <c r="N36" s="140"/>
      <c r="O36" s="140"/>
      <c r="P36" s="140"/>
      <c r="Q36" s="140"/>
      <c r="R36" s="140"/>
      <c r="S36" s="140"/>
      <c r="T36" s="140"/>
      <c r="U36" s="140"/>
      <c r="V36" s="140"/>
    </row>
    <row r="37" spans="1:22" ht="15.75" customHeight="1" x14ac:dyDescent="0.25">
      <c r="A37" s="140"/>
      <c r="B37" s="140"/>
      <c r="C37" s="140"/>
      <c r="D37" s="140"/>
      <c r="E37" s="140"/>
      <c r="F37" s="140"/>
      <c r="G37" s="140"/>
      <c r="H37" s="140"/>
      <c r="I37" s="140"/>
      <c r="J37" s="140"/>
      <c r="K37" s="140"/>
      <c r="L37" s="140"/>
      <c r="M37" s="140"/>
      <c r="N37" s="140"/>
      <c r="O37" s="140"/>
      <c r="P37" s="140"/>
      <c r="Q37" s="140"/>
      <c r="R37" s="140"/>
      <c r="S37" s="140"/>
      <c r="T37" s="140"/>
      <c r="U37" s="140"/>
      <c r="V37" s="140"/>
    </row>
    <row r="38" spans="1:22" ht="15.75" customHeight="1" x14ac:dyDescent="0.25">
      <c r="A38" s="140"/>
      <c r="B38" s="140"/>
      <c r="C38" s="140"/>
      <c r="D38" s="140"/>
      <c r="E38" s="140"/>
      <c r="F38" s="140"/>
      <c r="G38" s="140"/>
      <c r="H38" s="140"/>
      <c r="I38" s="140"/>
      <c r="J38" s="140"/>
      <c r="K38" s="140"/>
      <c r="L38" s="140"/>
      <c r="M38" s="140"/>
      <c r="N38" s="140"/>
      <c r="O38" s="140"/>
      <c r="P38" s="140"/>
      <c r="Q38" s="140"/>
      <c r="R38" s="140"/>
      <c r="S38" s="140"/>
      <c r="T38" s="140"/>
      <c r="U38" s="140"/>
      <c r="V38" s="140"/>
    </row>
    <row r="39" spans="1:22" ht="15.75" customHeight="1" x14ac:dyDescent="0.25">
      <c r="A39" s="140"/>
      <c r="B39" s="140"/>
      <c r="C39" s="140"/>
      <c r="D39" s="140"/>
      <c r="E39" s="140"/>
      <c r="F39" s="140"/>
      <c r="G39" s="140"/>
      <c r="H39" s="140"/>
      <c r="I39" s="140"/>
      <c r="J39" s="140"/>
      <c r="K39" s="140"/>
      <c r="L39" s="140"/>
      <c r="M39" s="140"/>
      <c r="N39" s="140"/>
      <c r="O39" s="140"/>
      <c r="P39" s="140"/>
      <c r="Q39" s="140"/>
      <c r="R39" s="140"/>
      <c r="S39" s="140"/>
      <c r="T39" s="140"/>
      <c r="U39" s="140"/>
      <c r="V39" s="140"/>
    </row>
    <row r="40" spans="1:22" ht="15.75" customHeight="1" x14ac:dyDescent="0.25">
      <c r="A40" s="140"/>
      <c r="B40" s="140"/>
      <c r="C40" s="140"/>
      <c r="D40" s="140"/>
      <c r="E40" s="140"/>
      <c r="F40" s="140"/>
      <c r="G40" s="140"/>
      <c r="H40" s="140"/>
      <c r="I40" s="140"/>
      <c r="J40" s="140"/>
      <c r="K40" s="140"/>
      <c r="L40" s="140"/>
      <c r="M40" s="140"/>
      <c r="N40" s="140"/>
      <c r="O40" s="140"/>
      <c r="P40" s="140"/>
      <c r="Q40" s="140"/>
      <c r="R40" s="140"/>
      <c r="S40" s="140"/>
      <c r="T40" s="140"/>
      <c r="U40" s="140"/>
      <c r="V40" s="140"/>
    </row>
    <row r="41" spans="1:22" ht="15.75" customHeight="1" x14ac:dyDescent="0.25">
      <c r="A41" s="140"/>
      <c r="B41" s="140"/>
      <c r="C41" s="140"/>
      <c r="D41" s="140"/>
      <c r="E41" s="140"/>
      <c r="F41" s="140"/>
      <c r="G41" s="140"/>
      <c r="H41" s="140"/>
      <c r="I41" s="140"/>
      <c r="J41" s="140"/>
      <c r="K41" s="140"/>
      <c r="L41" s="140"/>
      <c r="M41" s="140"/>
      <c r="N41" s="140"/>
      <c r="O41" s="140"/>
      <c r="P41" s="140"/>
      <c r="Q41" s="140"/>
      <c r="R41" s="140"/>
      <c r="S41" s="140"/>
      <c r="T41" s="140"/>
      <c r="U41" s="140"/>
      <c r="V41" s="140"/>
    </row>
    <row r="42" spans="1:22" ht="15.75" customHeight="1" x14ac:dyDescent="0.25">
      <c r="A42" s="140"/>
      <c r="B42" s="140"/>
      <c r="C42" s="140"/>
      <c r="D42" s="140"/>
      <c r="E42" s="140"/>
      <c r="F42" s="140"/>
      <c r="G42" s="140"/>
      <c r="H42" s="140"/>
      <c r="I42" s="140"/>
      <c r="J42" s="140"/>
      <c r="K42" s="140"/>
      <c r="L42" s="140"/>
      <c r="M42" s="140"/>
      <c r="N42" s="140"/>
      <c r="O42" s="140"/>
      <c r="P42" s="140"/>
      <c r="Q42" s="140"/>
      <c r="R42" s="140"/>
      <c r="S42" s="140"/>
      <c r="T42" s="140"/>
      <c r="U42" s="140"/>
      <c r="V42" s="140"/>
    </row>
    <row r="43" spans="1:22" ht="15.75" customHeight="1" x14ac:dyDescent="0.25">
      <c r="A43" s="140"/>
      <c r="B43" s="140"/>
      <c r="C43" s="140"/>
      <c r="D43" s="140"/>
      <c r="E43" s="140"/>
      <c r="F43" s="140"/>
      <c r="G43" s="140"/>
      <c r="H43" s="140"/>
      <c r="I43" s="140"/>
      <c r="J43" s="140"/>
      <c r="K43" s="140"/>
      <c r="L43" s="140"/>
      <c r="M43" s="140"/>
      <c r="N43" s="140"/>
      <c r="O43" s="140"/>
      <c r="P43" s="140"/>
      <c r="Q43" s="140"/>
      <c r="R43" s="140"/>
      <c r="S43" s="140"/>
      <c r="T43" s="140"/>
      <c r="U43" s="140"/>
      <c r="V43" s="140"/>
    </row>
    <row r="44" spans="1:22" ht="15.75" customHeight="1" x14ac:dyDescent="0.25">
      <c r="A44" s="140"/>
      <c r="B44" s="140"/>
      <c r="C44" s="140"/>
      <c r="D44" s="140"/>
      <c r="E44" s="140"/>
      <c r="F44" s="140"/>
      <c r="G44" s="140"/>
      <c r="H44" s="140"/>
      <c r="I44" s="140"/>
      <c r="J44" s="140"/>
      <c r="K44" s="140"/>
      <c r="L44" s="140"/>
      <c r="M44" s="140"/>
      <c r="N44" s="140"/>
      <c r="O44" s="140"/>
      <c r="P44" s="140"/>
      <c r="Q44" s="140"/>
      <c r="R44" s="140"/>
      <c r="S44" s="140"/>
      <c r="T44" s="140"/>
      <c r="U44" s="140"/>
      <c r="V44" s="140"/>
    </row>
    <row r="45" spans="1:22" ht="15.75" customHeight="1" x14ac:dyDescent="0.25">
      <c r="A45" s="140"/>
      <c r="B45" s="140"/>
      <c r="C45" s="140"/>
      <c r="D45" s="140"/>
      <c r="E45" s="140"/>
      <c r="F45" s="140"/>
      <c r="G45" s="140"/>
      <c r="H45" s="140"/>
      <c r="I45" s="140"/>
      <c r="J45" s="140"/>
      <c r="K45" s="140"/>
      <c r="L45" s="140"/>
      <c r="M45" s="140"/>
      <c r="N45" s="140"/>
      <c r="O45" s="140"/>
      <c r="P45" s="140"/>
      <c r="Q45" s="140"/>
      <c r="R45" s="140"/>
      <c r="S45" s="140"/>
      <c r="T45" s="140"/>
      <c r="U45" s="140"/>
      <c r="V45" s="140"/>
    </row>
    <row r="46" spans="1:22" ht="15.75" customHeight="1" x14ac:dyDescent="0.25">
      <c r="A46" s="140"/>
      <c r="B46" s="140"/>
      <c r="C46" s="140"/>
      <c r="D46" s="140"/>
      <c r="E46" s="140"/>
      <c r="F46" s="140"/>
      <c r="G46" s="140"/>
      <c r="H46" s="140"/>
      <c r="I46" s="140"/>
      <c r="J46" s="140"/>
      <c r="K46" s="140"/>
      <c r="L46" s="140"/>
      <c r="M46" s="140"/>
      <c r="N46" s="140"/>
      <c r="O46" s="140"/>
      <c r="P46" s="140"/>
      <c r="Q46" s="140"/>
      <c r="R46" s="140"/>
      <c r="S46" s="140"/>
      <c r="T46" s="140"/>
      <c r="U46" s="140"/>
      <c r="V46" s="140"/>
    </row>
    <row r="47" spans="1:22" ht="15.75" customHeight="1" x14ac:dyDescent="0.25">
      <c r="A47" s="140"/>
      <c r="B47" s="140"/>
      <c r="C47" s="140"/>
      <c r="D47" s="140"/>
      <c r="E47" s="140"/>
      <c r="F47" s="140"/>
      <c r="G47" s="140"/>
      <c r="H47" s="140"/>
      <c r="I47" s="140"/>
      <c r="J47" s="140"/>
      <c r="K47" s="140"/>
      <c r="L47" s="140"/>
      <c r="M47" s="140"/>
      <c r="N47" s="140"/>
      <c r="O47" s="140"/>
      <c r="P47" s="140"/>
      <c r="Q47" s="140"/>
      <c r="R47" s="140"/>
      <c r="S47" s="140"/>
      <c r="T47" s="140"/>
      <c r="U47" s="140"/>
      <c r="V47" s="140"/>
    </row>
    <row r="48" spans="1:22" ht="15.75" customHeight="1" x14ac:dyDescent="0.25">
      <c r="A48" s="140"/>
      <c r="B48" s="140"/>
      <c r="C48" s="140"/>
      <c r="D48" s="140"/>
      <c r="E48" s="140"/>
      <c r="F48" s="140"/>
      <c r="G48" s="140"/>
      <c r="H48" s="140"/>
      <c r="I48" s="140"/>
      <c r="J48" s="140"/>
      <c r="K48" s="140"/>
      <c r="L48" s="140"/>
      <c r="M48" s="140"/>
      <c r="N48" s="140"/>
      <c r="O48" s="140"/>
      <c r="P48" s="140"/>
      <c r="Q48" s="140"/>
      <c r="R48" s="140"/>
      <c r="S48" s="140"/>
      <c r="T48" s="140"/>
      <c r="U48" s="140"/>
      <c r="V48" s="140"/>
    </row>
    <row r="49" spans="1:22" ht="15.75" customHeight="1" x14ac:dyDescent="0.25">
      <c r="A49" s="140"/>
      <c r="B49" s="140"/>
      <c r="C49" s="140"/>
      <c r="D49" s="140"/>
      <c r="E49" s="140"/>
      <c r="F49" s="140"/>
      <c r="G49" s="140"/>
      <c r="H49" s="140"/>
      <c r="I49" s="140"/>
      <c r="J49" s="140"/>
      <c r="K49" s="140"/>
      <c r="L49" s="140"/>
      <c r="M49" s="140"/>
      <c r="N49" s="140"/>
      <c r="O49" s="140"/>
      <c r="P49" s="140"/>
      <c r="Q49" s="140"/>
      <c r="R49" s="140"/>
      <c r="S49" s="140"/>
      <c r="T49" s="140"/>
      <c r="U49" s="140"/>
      <c r="V49" s="140"/>
    </row>
    <row r="50" spans="1:22" ht="15.75" customHeight="1" x14ac:dyDescent="0.25">
      <c r="A50" s="140"/>
      <c r="B50" s="140"/>
      <c r="C50" s="140"/>
      <c r="D50" s="140"/>
      <c r="E50" s="140"/>
      <c r="F50" s="140"/>
      <c r="G50" s="140"/>
      <c r="H50" s="140"/>
      <c r="I50" s="140"/>
      <c r="J50" s="140"/>
      <c r="K50" s="140"/>
      <c r="L50" s="140"/>
      <c r="M50" s="140"/>
      <c r="N50" s="140"/>
      <c r="O50" s="140"/>
      <c r="P50" s="140"/>
      <c r="Q50" s="140"/>
      <c r="R50" s="140"/>
      <c r="S50" s="140"/>
      <c r="T50" s="140"/>
      <c r="U50" s="140"/>
      <c r="V50" s="140"/>
    </row>
    <row r="51" spans="1:22" ht="15.75" customHeight="1" x14ac:dyDescent="0.25">
      <c r="A51" s="140"/>
      <c r="B51" s="140"/>
      <c r="C51" s="140"/>
      <c r="D51" s="140"/>
      <c r="E51" s="140"/>
      <c r="F51" s="140"/>
      <c r="G51" s="140"/>
      <c r="H51" s="140"/>
      <c r="I51" s="140"/>
      <c r="J51" s="140"/>
      <c r="K51" s="140"/>
      <c r="L51" s="140"/>
      <c r="M51" s="140"/>
      <c r="N51" s="140"/>
      <c r="O51" s="140"/>
      <c r="P51" s="140"/>
      <c r="Q51" s="140"/>
      <c r="R51" s="140"/>
      <c r="S51" s="140"/>
      <c r="T51" s="140"/>
      <c r="U51" s="140"/>
      <c r="V51" s="140"/>
    </row>
    <row r="52" spans="1:22" ht="15.75" customHeight="1" x14ac:dyDescent="0.25">
      <c r="A52" s="140"/>
      <c r="B52" s="140"/>
      <c r="C52" s="140"/>
      <c r="D52" s="140"/>
      <c r="E52" s="140"/>
      <c r="F52" s="140"/>
      <c r="G52" s="140"/>
      <c r="H52" s="140"/>
      <c r="I52" s="140"/>
      <c r="J52" s="140"/>
      <c r="K52" s="140"/>
      <c r="L52" s="140"/>
      <c r="M52" s="140"/>
      <c r="N52" s="140"/>
      <c r="O52" s="140"/>
      <c r="P52" s="140"/>
      <c r="Q52" s="140"/>
      <c r="R52" s="140"/>
      <c r="S52" s="140"/>
      <c r="T52" s="140"/>
      <c r="U52" s="140"/>
      <c r="V52" s="140"/>
    </row>
    <row r="53" spans="1:22" ht="15.75" customHeight="1" x14ac:dyDescent="0.25">
      <c r="A53" s="140"/>
      <c r="B53" s="140"/>
      <c r="C53" s="140"/>
      <c r="D53" s="140"/>
      <c r="E53" s="140"/>
      <c r="F53" s="140"/>
      <c r="G53" s="140"/>
      <c r="H53" s="140"/>
      <c r="I53" s="140"/>
      <c r="J53" s="140"/>
      <c r="K53" s="140"/>
      <c r="L53" s="140"/>
      <c r="M53" s="140"/>
      <c r="N53" s="140"/>
      <c r="O53" s="140"/>
      <c r="P53" s="140"/>
      <c r="Q53" s="140"/>
      <c r="R53" s="140"/>
      <c r="S53" s="140"/>
      <c r="T53" s="140"/>
      <c r="U53" s="140"/>
      <c r="V53" s="140"/>
    </row>
    <row r="54" spans="1:22" ht="15.75" customHeight="1" x14ac:dyDescent="0.25">
      <c r="A54" s="140"/>
      <c r="B54" s="140"/>
      <c r="C54" s="140"/>
      <c r="D54" s="140"/>
      <c r="E54" s="140"/>
      <c r="F54" s="140"/>
      <c r="G54" s="140"/>
      <c r="H54" s="140"/>
      <c r="I54" s="140"/>
      <c r="J54" s="140"/>
      <c r="K54" s="140"/>
      <c r="L54" s="140"/>
      <c r="M54" s="140"/>
      <c r="N54" s="140"/>
      <c r="O54" s="140"/>
      <c r="P54" s="140"/>
      <c r="Q54" s="140"/>
      <c r="R54" s="140"/>
      <c r="S54" s="140"/>
      <c r="T54" s="140"/>
      <c r="U54" s="140"/>
      <c r="V54" s="140"/>
    </row>
    <row r="55" spans="1:22" ht="15.75" customHeight="1" x14ac:dyDescent="0.25">
      <c r="A55" s="140"/>
      <c r="B55" s="140"/>
      <c r="C55" s="140"/>
      <c r="D55" s="140"/>
      <c r="E55" s="140"/>
      <c r="F55" s="140"/>
      <c r="G55" s="140"/>
      <c r="H55" s="140"/>
      <c r="I55" s="140"/>
      <c r="J55" s="140"/>
      <c r="K55" s="140"/>
      <c r="L55" s="140"/>
      <c r="M55" s="140"/>
      <c r="N55" s="140"/>
      <c r="O55" s="140"/>
      <c r="P55" s="140"/>
      <c r="Q55" s="140"/>
      <c r="R55" s="140"/>
      <c r="S55" s="140"/>
      <c r="T55" s="140"/>
      <c r="U55" s="140"/>
      <c r="V55" s="140"/>
    </row>
    <row r="56" spans="1:22" ht="15.75" customHeight="1" x14ac:dyDescent="0.25">
      <c r="A56" s="140"/>
      <c r="B56" s="140"/>
      <c r="C56" s="140"/>
      <c r="D56" s="140"/>
      <c r="E56" s="140"/>
      <c r="F56" s="140"/>
      <c r="G56" s="140"/>
      <c r="H56" s="140"/>
      <c r="I56" s="140"/>
      <c r="J56" s="140"/>
      <c r="K56" s="140"/>
      <c r="L56" s="140"/>
      <c r="M56" s="140"/>
      <c r="N56" s="140"/>
      <c r="O56" s="140"/>
      <c r="P56" s="140"/>
      <c r="Q56" s="140"/>
      <c r="R56" s="140"/>
      <c r="S56" s="140"/>
      <c r="T56" s="140"/>
      <c r="U56" s="140"/>
      <c r="V56" s="140"/>
    </row>
    <row r="57" spans="1:22" ht="15.75" customHeight="1" x14ac:dyDescent="0.25">
      <c r="A57" s="140"/>
      <c r="B57" s="140"/>
      <c r="C57" s="140"/>
      <c r="D57" s="140"/>
      <c r="E57" s="140"/>
      <c r="F57" s="140"/>
      <c r="G57" s="140"/>
      <c r="H57" s="140"/>
      <c r="I57" s="140"/>
      <c r="J57" s="140"/>
      <c r="K57" s="140"/>
      <c r="L57" s="140"/>
      <c r="M57" s="140"/>
      <c r="N57" s="140"/>
      <c r="O57" s="140"/>
      <c r="P57" s="140"/>
      <c r="Q57" s="140"/>
      <c r="R57" s="140"/>
      <c r="S57" s="140"/>
      <c r="T57" s="140"/>
      <c r="U57" s="140"/>
      <c r="V57" s="140"/>
    </row>
    <row r="58" spans="1:22" ht="15.75" customHeight="1" x14ac:dyDescent="0.25">
      <c r="A58" s="140"/>
      <c r="B58" s="140"/>
      <c r="C58" s="140"/>
      <c r="D58" s="140"/>
      <c r="E58" s="140"/>
      <c r="F58" s="140"/>
      <c r="G58" s="140"/>
      <c r="H58" s="140"/>
      <c r="I58" s="140"/>
      <c r="J58" s="140"/>
      <c r="K58" s="140"/>
      <c r="L58" s="140"/>
      <c r="M58" s="140"/>
      <c r="N58" s="140"/>
      <c r="O58" s="140"/>
      <c r="P58" s="140"/>
      <c r="Q58" s="140"/>
      <c r="R58" s="140"/>
      <c r="S58" s="140"/>
      <c r="T58" s="140"/>
      <c r="U58" s="140"/>
      <c r="V58" s="140"/>
    </row>
    <row r="59" spans="1:22" ht="15.75" customHeight="1" x14ac:dyDescent="0.25">
      <c r="A59" s="140"/>
      <c r="B59" s="140"/>
      <c r="C59" s="140"/>
      <c r="D59" s="140"/>
      <c r="E59" s="140"/>
      <c r="F59" s="140"/>
      <c r="G59" s="140"/>
      <c r="H59" s="140"/>
      <c r="I59" s="140"/>
      <c r="J59" s="140"/>
      <c r="K59" s="140"/>
      <c r="L59" s="140"/>
      <c r="M59" s="140"/>
      <c r="N59" s="140"/>
      <c r="O59" s="140"/>
      <c r="P59" s="140"/>
      <c r="Q59" s="140"/>
      <c r="R59" s="140"/>
      <c r="S59" s="140"/>
      <c r="T59" s="140"/>
      <c r="U59" s="140"/>
      <c r="V59" s="140"/>
    </row>
    <row r="60" spans="1:22" ht="15.75" customHeight="1" x14ac:dyDescent="0.25">
      <c r="A60" s="140"/>
      <c r="B60" s="140"/>
      <c r="C60" s="140"/>
      <c r="D60" s="140"/>
      <c r="E60" s="140"/>
      <c r="F60" s="140"/>
      <c r="G60" s="140"/>
      <c r="H60" s="140"/>
      <c r="I60" s="140"/>
      <c r="J60" s="140"/>
      <c r="K60" s="140"/>
      <c r="L60" s="140"/>
      <c r="M60" s="140"/>
      <c r="N60" s="140"/>
      <c r="O60" s="140"/>
      <c r="P60" s="140"/>
      <c r="Q60" s="140"/>
      <c r="R60" s="140"/>
      <c r="S60" s="140"/>
      <c r="T60" s="140"/>
      <c r="U60" s="140"/>
      <c r="V60" s="140"/>
    </row>
    <row r="61" spans="1:22" ht="15.75" customHeight="1" x14ac:dyDescent="0.25">
      <c r="A61" s="140"/>
      <c r="B61" s="140"/>
      <c r="C61" s="140"/>
      <c r="D61" s="140"/>
      <c r="E61" s="140"/>
      <c r="F61" s="140"/>
      <c r="G61" s="140"/>
      <c r="H61" s="140"/>
      <c r="I61" s="140"/>
      <c r="J61" s="140"/>
      <c r="K61" s="140"/>
      <c r="L61" s="140"/>
      <c r="M61" s="140"/>
      <c r="N61" s="140"/>
      <c r="O61" s="140"/>
      <c r="P61" s="140"/>
      <c r="Q61" s="140"/>
      <c r="R61" s="140"/>
      <c r="S61" s="140"/>
      <c r="T61" s="140"/>
      <c r="U61" s="140"/>
      <c r="V61" s="140"/>
    </row>
    <row r="62" spans="1:22" ht="15.75" customHeight="1" x14ac:dyDescent="0.25">
      <c r="A62" s="140"/>
      <c r="B62" s="140"/>
      <c r="C62" s="140"/>
      <c r="D62" s="140"/>
      <c r="E62" s="140"/>
      <c r="F62" s="140"/>
      <c r="G62" s="140"/>
      <c r="H62" s="140"/>
      <c r="I62" s="140"/>
      <c r="J62" s="140"/>
      <c r="K62" s="140"/>
      <c r="L62" s="140"/>
      <c r="M62" s="140"/>
      <c r="N62" s="140"/>
      <c r="O62" s="140"/>
      <c r="P62" s="140"/>
      <c r="Q62" s="140"/>
      <c r="R62" s="140"/>
      <c r="S62" s="140"/>
      <c r="T62" s="140"/>
      <c r="U62" s="140"/>
      <c r="V62" s="140"/>
    </row>
    <row r="63" spans="1:22" ht="15.75" customHeight="1" x14ac:dyDescent="0.25">
      <c r="A63" s="140"/>
      <c r="B63" s="140"/>
      <c r="C63" s="140"/>
      <c r="D63" s="140"/>
      <c r="E63" s="140"/>
      <c r="F63" s="140"/>
      <c r="G63" s="140"/>
      <c r="H63" s="140"/>
      <c r="I63" s="140"/>
      <c r="J63" s="140"/>
      <c r="K63" s="140"/>
      <c r="L63" s="140"/>
      <c r="M63" s="140"/>
      <c r="N63" s="140"/>
      <c r="O63" s="140"/>
      <c r="P63" s="140"/>
      <c r="Q63" s="140"/>
      <c r="R63" s="140"/>
      <c r="S63" s="140"/>
      <c r="T63" s="140"/>
      <c r="U63" s="140"/>
      <c r="V63" s="140"/>
    </row>
    <row r="64" spans="1:22" ht="15.75" customHeight="1" x14ac:dyDescent="0.25">
      <c r="A64" s="140"/>
      <c r="B64" s="140"/>
      <c r="C64" s="140"/>
      <c r="D64" s="140"/>
      <c r="E64" s="140"/>
      <c r="F64" s="140"/>
      <c r="G64" s="140"/>
      <c r="H64" s="140"/>
      <c r="I64" s="140"/>
      <c r="J64" s="140"/>
      <c r="K64" s="140"/>
      <c r="L64" s="140"/>
      <c r="M64" s="140"/>
      <c r="N64" s="140"/>
      <c r="O64" s="140"/>
      <c r="P64" s="140"/>
      <c r="Q64" s="140"/>
      <c r="R64" s="140"/>
      <c r="S64" s="140"/>
      <c r="T64" s="140"/>
      <c r="U64" s="140"/>
      <c r="V64" s="140"/>
    </row>
    <row r="65" spans="1:22" ht="15.75" customHeight="1" x14ac:dyDescent="0.25">
      <c r="A65" s="140"/>
      <c r="B65" s="140"/>
      <c r="C65" s="140"/>
      <c r="D65" s="140"/>
      <c r="E65" s="140"/>
      <c r="F65" s="140"/>
      <c r="G65" s="140"/>
      <c r="H65" s="140"/>
      <c r="I65" s="140"/>
      <c r="J65" s="140"/>
      <c r="K65" s="140"/>
      <c r="L65" s="140"/>
      <c r="M65" s="140"/>
      <c r="N65" s="140"/>
      <c r="O65" s="140"/>
      <c r="P65" s="140"/>
      <c r="Q65" s="140"/>
      <c r="R65" s="140"/>
      <c r="S65" s="140"/>
      <c r="T65" s="140"/>
      <c r="U65" s="140"/>
      <c r="V65" s="140"/>
    </row>
    <row r="66" spans="1:22" ht="15.75" customHeight="1" x14ac:dyDescent="0.25">
      <c r="A66" s="140"/>
      <c r="B66" s="140"/>
      <c r="C66" s="140"/>
      <c r="D66" s="140"/>
      <c r="E66" s="140"/>
      <c r="F66" s="140"/>
      <c r="G66" s="140"/>
      <c r="H66" s="140"/>
      <c r="I66" s="140"/>
      <c r="J66" s="140"/>
      <c r="K66" s="140"/>
      <c r="L66" s="140"/>
      <c r="M66" s="140"/>
      <c r="N66" s="140"/>
      <c r="O66" s="140"/>
      <c r="P66" s="140"/>
      <c r="Q66" s="140"/>
      <c r="R66" s="140"/>
      <c r="S66" s="140"/>
      <c r="T66" s="140"/>
      <c r="U66" s="140"/>
      <c r="V66" s="140"/>
    </row>
    <row r="67" spans="1:22" ht="15.75" customHeight="1" x14ac:dyDescent="0.25">
      <c r="A67" s="140"/>
      <c r="B67" s="140"/>
      <c r="C67" s="140"/>
      <c r="D67" s="140"/>
      <c r="E67" s="140"/>
      <c r="F67" s="140"/>
      <c r="G67" s="140"/>
      <c r="H67" s="140"/>
      <c r="I67" s="140"/>
      <c r="J67" s="140"/>
      <c r="K67" s="140"/>
      <c r="L67" s="140"/>
      <c r="M67" s="140"/>
      <c r="N67" s="140"/>
      <c r="O67" s="140"/>
      <c r="P67" s="140"/>
      <c r="Q67" s="140"/>
      <c r="R67" s="140"/>
      <c r="S67" s="140"/>
      <c r="T67" s="140"/>
      <c r="U67" s="140"/>
      <c r="V67" s="140"/>
    </row>
    <row r="68" spans="1:22" ht="15.75" customHeight="1" x14ac:dyDescent="0.25">
      <c r="A68" s="140"/>
      <c r="B68" s="140"/>
      <c r="C68" s="140"/>
      <c r="D68" s="140"/>
      <c r="E68" s="140"/>
      <c r="F68" s="140"/>
      <c r="G68" s="140"/>
      <c r="H68" s="140"/>
      <c r="I68" s="140"/>
      <c r="J68" s="140"/>
      <c r="K68" s="140"/>
      <c r="L68" s="140"/>
      <c r="M68" s="140"/>
      <c r="N68" s="140"/>
      <c r="O68" s="140"/>
      <c r="P68" s="140"/>
      <c r="Q68" s="140"/>
      <c r="R68" s="140"/>
      <c r="S68" s="140"/>
      <c r="T68" s="140"/>
      <c r="U68" s="140"/>
      <c r="V68" s="140"/>
    </row>
    <row r="69" spans="1:22" ht="15.75" customHeight="1" x14ac:dyDescent="0.25">
      <c r="A69" s="140"/>
      <c r="B69" s="140"/>
      <c r="C69" s="140"/>
      <c r="D69" s="140"/>
      <c r="E69" s="140"/>
      <c r="F69" s="140"/>
      <c r="G69" s="140"/>
      <c r="H69" s="140"/>
      <c r="I69" s="140"/>
      <c r="J69" s="140"/>
      <c r="K69" s="140"/>
      <c r="L69" s="140"/>
      <c r="M69" s="140"/>
      <c r="N69" s="140"/>
      <c r="O69" s="140"/>
      <c r="P69" s="140"/>
      <c r="Q69" s="140"/>
      <c r="R69" s="140"/>
      <c r="S69" s="140"/>
      <c r="T69" s="140"/>
      <c r="U69" s="140"/>
      <c r="V69" s="140"/>
    </row>
    <row r="70" spans="1:22" ht="15.75" customHeight="1" x14ac:dyDescent="0.25">
      <c r="A70" s="140"/>
      <c r="B70" s="140"/>
      <c r="C70" s="140"/>
      <c r="D70" s="140"/>
      <c r="E70" s="140"/>
      <c r="F70" s="140"/>
      <c r="G70" s="140"/>
      <c r="H70" s="140"/>
      <c r="I70" s="140"/>
      <c r="J70" s="140"/>
      <c r="K70" s="140"/>
      <c r="L70" s="140"/>
      <c r="M70" s="140"/>
      <c r="N70" s="140"/>
      <c r="O70" s="140"/>
      <c r="P70" s="140"/>
      <c r="Q70" s="140"/>
      <c r="R70" s="140"/>
      <c r="S70" s="140"/>
      <c r="T70" s="140"/>
      <c r="U70" s="140"/>
      <c r="V70" s="140"/>
    </row>
    <row r="71" spans="1:22" ht="15.75" customHeight="1" x14ac:dyDescent="0.25">
      <c r="A71" s="140"/>
      <c r="B71" s="140"/>
      <c r="C71" s="140"/>
      <c r="D71" s="140"/>
      <c r="E71" s="140"/>
      <c r="F71" s="140"/>
      <c r="G71" s="140"/>
      <c r="H71" s="140"/>
      <c r="I71" s="140"/>
      <c r="J71" s="140"/>
      <c r="K71" s="140"/>
      <c r="L71" s="140"/>
      <c r="M71" s="140"/>
      <c r="N71" s="140"/>
      <c r="O71" s="140"/>
      <c r="P71" s="140"/>
      <c r="Q71" s="140"/>
      <c r="R71" s="140"/>
      <c r="S71" s="140"/>
      <c r="T71" s="140"/>
      <c r="U71" s="140"/>
      <c r="V71" s="140"/>
    </row>
    <row r="72" spans="1:22" ht="15.75" customHeight="1" x14ac:dyDescent="0.25">
      <c r="A72" s="140"/>
      <c r="B72" s="140"/>
      <c r="C72" s="140"/>
      <c r="D72" s="140"/>
      <c r="E72" s="140"/>
      <c r="F72" s="140"/>
      <c r="G72" s="140"/>
      <c r="H72" s="140"/>
      <c r="I72" s="140"/>
      <c r="J72" s="140"/>
      <c r="K72" s="140"/>
      <c r="L72" s="140"/>
      <c r="M72" s="140"/>
      <c r="N72" s="140"/>
      <c r="O72" s="140"/>
      <c r="P72" s="140"/>
      <c r="Q72" s="140"/>
      <c r="R72" s="140"/>
      <c r="S72" s="140"/>
      <c r="T72" s="140"/>
      <c r="U72" s="140"/>
      <c r="V72" s="140"/>
    </row>
    <row r="73" spans="1:22" ht="15.75" customHeight="1" x14ac:dyDescent="0.25">
      <c r="A73" s="140"/>
      <c r="B73" s="140"/>
      <c r="C73" s="140"/>
      <c r="D73" s="140"/>
      <c r="E73" s="140"/>
      <c r="F73" s="140"/>
      <c r="G73" s="140"/>
      <c r="H73" s="140"/>
      <c r="I73" s="140"/>
      <c r="J73" s="140"/>
      <c r="K73" s="140"/>
      <c r="L73" s="140"/>
      <c r="M73" s="140"/>
      <c r="N73" s="140"/>
      <c r="O73" s="140"/>
      <c r="P73" s="140"/>
      <c r="Q73" s="140"/>
      <c r="R73" s="140"/>
      <c r="S73" s="140"/>
      <c r="T73" s="140"/>
      <c r="U73" s="140"/>
      <c r="V73" s="140"/>
    </row>
    <row r="74" spans="1:22" ht="15.75" customHeight="1" x14ac:dyDescent="0.25">
      <c r="A74" s="140"/>
      <c r="B74" s="140"/>
      <c r="C74" s="140"/>
      <c r="D74" s="140"/>
      <c r="E74" s="140"/>
      <c r="F74" s="140"/>
      <c r="G74" s="140"/>
      <c r="H74" s="140"/>
      <c r="I74" s="140"/>
      <c r="J74" s="140"/>
      <c r="K74" s="140"/>
      <c r="L74" s="140"/>
      <c r="M74" s="140"/>
      <c r="N74" s="140"/>
      <c r="O74" s="140"/>
      <c r="P74" s="140"/>
      <c r="Q74" s="140"/>
      <c r="R74" s="140"/>
      <c r="S74" s="140"/>
      <c r="T74" s="140"/>
      <c r="U74" s="140"/>
      <c r="V74" s="140"/>
    </row>
    <row r="75" spans="1:22" ht="15.75" customHeight="1" x14ac:dyDescent="0.25">
      <c r="A75" s="140"/>
      <c r="B75" s="140"/>
      <c r="C75" s="140"/>
      <c r="D75" s="140"/>
      <c r="E75" s="140"/>
      <c r="F75" s="140"/>
      <c r="G75" s="140"/>
      <c r="H75" s="140"/>
      <c r="I75" s="140"/>
      <c r="J75" s="140"/>
      <c r="K75" s="140"/>
      <c r="L75" s="140"/>
      <c r="M75" s="140"/>
      <c r="N75" s="140"/>
      <c r="O75" s="140"/>
      <c r="P75" s="140"/>
      <c r="Q75" s="140"/>
      <c r="R75" s="140"/>
      <c r="S75" s="140"/>
      <c r="T75" s="140"/>
      <c r="U75" s="140"/>
      <c r="V75" s="140"/>
    </row>
    <row r="76" spans="1:22" ht="15.75" customHeight="1" x14ac:dyDescent="0.25">
      <c r="A76" s="140"/>
      <c r="B76" s="140"/>
      <c r="C76" s="140"/>
      <c r="D76" s="140"/>
      <c r="E76" s="140"/>
      <c r="F76" s="140"/>
      <c r="G76" s="140"/>
      <c r="H76" s="140"/>
      <c r="I76" s="140"/>
      <c r="J76" s="140"/>
      <c r="K76" s="140"/>
      <c r="L76" s="140"/>
      <c r="M76" s="140"/>
      <c r="N76" s="140"/>
      <c r="O76" s="140"/>
      <c r="P76" s="140"/>
      <c r="Q76" s="140"/>
      <c r="R76" s="140"/>
      <c r="S76" s="140"/>
      <c r="T76" s="140"/>
      <c r="U76" s="140"/>
      <c r="V76" s="140"/>
    </row>
    <row r="77" spans="1:22" ht="15.75" customHeight="1" x14ac:dyDescent="0.25">
      <c r="A77" s="140"/>
      <c r="B77" s="140"/>
      <c r="C77" s="140"/>
      <c r="D77" s="140"/>
      <c r="E77" s="140"/>
      <c r="F77" s="140"/>
      <c r="G77" s="140"/>
      <c r="H77" s="140"/>
      <c r="I77" s="140"/>
      <c r="J77" s="140"/>
      <c r="K77" s="140"/>
      <c r="L77" s="140"/>
      <c r="M77" s="140"/>
      <c r="N77" s="140"/>
      <c r="O77" s="140"/>
      <c r="P77" s="140"/>
      <c r="Q77" s="140"/>
      <c r="R77" s="140"/>
      <c r="S77" s="140"/>
      <c r="T77" s="140"/>
      <c r="U77" s="140"/>
      <c r="V77" s="140"/>
    </row>
    <row r="78" spans="1:22" ht="15.75" customHeight="1" x14ac:dyDescent="0.25">
      <c r="A78" s="140"/>
      <c r="B78" s="140"/>
      <c r="C78" s="140"/>
      <c r="D78" s="140"/>
      <c r="E78" s="140"/>
      <c r="F78" s="140"/>
      <c r="G78" s="140"/>
      <c r="H78" s="140"/>
      <c r="I78" s="140"/>
      <c r="J78" s="140"/>
      <c r="K78" s="140"/>
      <c r="L78" s="140"/>
      <c r="M78" s="140"/>
      <c r="N78" s="140"/>
      <c r="O78" s="140"/>
      <c r="P78" s="140"/>
      <c r="Q78" s="140"/>
      <c r="R78" s="140"/>
      <c r="S78" s="140"/>
      <c r="T78" s="140"/>
      <c r="U78" s="140"/>
      <c r="V78" s="140"/>
    </row>
    <row r="79" spans="1:22" ht="15.75" customHeight="1" x14ac:dyDescent="0.25">
      <c r="A79" s="140"/>
      <c r="B79" s="140"/>
      <c r="C79" s="140"/>
      <c r="D79" s="140"/>
      <c r="E79" s="140"/>
      <c r="F79" s="140"/>
      <c r="G79" s="140"/>
      <c r="H79" s="140"/>
      <c r="I79" s="140"/>
      <c r="J79" s="140"/>
      <c r="K79" s="140"/>
      <c r="L79" s="140"/>
      <c r="M79" s="140"/>
      <c r="N79" s="140"/>
      <c r="O79" s="140"/>
      <c r="P79" s="140"/>
      <c r="Q79" s="140"/>
      <c r="R79" s="140"/>
      <c r="S79" s="140"/>
      <c r="T79" s="140"/>
      <c r="U79" s="140"/>
      <c r="V79" s="140"/>
    </row>
    <row r="80" spans="1:22" ht="15.75" customHeight="1" x14ac:dyDescent="0.25">
      <c r="A80" s="140"/>
      <c r="B80" s="140"/>
      <c r="C80" s="140"/>
      <c r="D80" s="140"/>
      <c r="E80" s="140"/>
      <c r="F80" s="140"/>
      <c r="G80" s="140"/>
      <c r="H80" s="140"/>
      <c r="I80" s="140"/>
      <c r="J80" s="140"/>
      <c r="K80" s="140"/>
      <c r="L80" s="140"/>
      <c r="M80" s="140"/>
      <c r="N80" s="140"/>
      <c r="O80" s="140"/>
      <c r="P80" s="140"/>
      <c r="Q80" s="140"/>
      <c r="R80" s="140"/>
      <c r="S80" s="140"/>
      <c r="T80" s="140"/>
      <c r="U80" s="140"/>
      <c r="V80" s="140"/>
    </row>
    <row r="81" spans="1:22" ht="15.75" customHeight="1" x14ac:dyDescent="0.25">
      <c r="A81" s="140"/>
      <c r="B81" s="140"/>
      <c r="C81" s="140"/>
      <c r="D81" s="140"/>
      <c r="E81" s="140"/>
      <c r="F81" s="140"/>
      <c r="G81" s="140"/>
      <c r="H81" s="140"/>
      <c r="I81" s="140"/>
      <c r="J81" s="140"/>
      <c r="K81" s="140"/>
      <c r="L81" s="140"/>
      <c r="M81" s="140"/>
      <c r="N81" s="140"/>
      <c r="O81" s="140"/>
      <c r="P81" s="140"/>
      <c r="Q81" s="140"/>
      <c r="R81" s="140"/>
      <c r="S81" s="140"/>
      <c r="T81" s="140"/>
      <c r="U81" s="140"/>
      <c r="V81" s="140"/>
    </row>
    <row r="82" spans="1:22" ht="15.75" customHeight="1" x14ac:dyDescent="0.25">
      <c r="A82" s="140"/>
      <c r="B82" s="140"/>
      <c r="C82" s="140"/>
      <c r="D82" s="140"/>
      <c r="E82" s="140"/>
      <c r="F82" s="140"/>
      <c r="G82" s="140"/>
      <c r="H82" s="140"/>
      <c r="I82" s="140"/>
      <c r="J82" s="140"/>
      <c r="K82" s="140"/>
      <c r="L82" s="140"/>
      <c r="M82" s="140"/>
      <c r="N82" s="140"/>
      <c r="O82" s="140"/>
      <c r="P82" s="140"/>
      <c r="Q82" s="140"/>
      <c r="R82" s="140"/>
      <c r="S82" s="140"/>
      <c r="T82" s="140"/>
      <c r="U82" s="140"/>
      <c r="V82" s="140"/>
    </row>
    <row r="83" spans="1:22" ht="15.75" customHeight="1" x14ac:dyDescent="0.25">
      <c r="A83" s="140"/>
      <c r="B83" s="140"/>
      <c r="C83" s="140"/>
      <c r="D83" s="140"/>
      <c r="E83" s="140"/>
      <c r="F83" s="140"/>
      <c r="G83" s="140"/>
      <c r="H83" s="140"/>
      <c r="I83" s="140"/>
      <c r="J83" s="140"/>
      <c r="K83" s="140"/>
      <c r="L83" s="140"/>
      <c r="M83" s="140"/>
      <c r="N83" s="140"/>
      <c r="O83" s="140"/>
      <c r="P83" s="140"/>
      <c r="Q83" s="140"/>
      <c r="R83" s="140"/>
      <c r="S83" s="140"/>
      <c r="T83" s="140"/>
      <c r="U83" s="140"/>
      <c r="V83" s="140"/>
    </row>
    <row r="84" spans="1:22" ht="15.75" customHeight="1" x14ac:dyDescent="0.25">
      <c r="A84" s="140"/>
      <c r="B84" s="140"/>
      <c r="C84" s="140"/>
      <c r="D84" s="140"/>
      <c r="E84" s="140"/>
      <c r="F84" s="140"/>
      <c r="G84" s="140"/>
      <c r="H84" s="140"/>
      <c r="I84" s="140"/>
      <c r="J84" s="140"/>
      <c r="K84" s="140"/>
      <c r="L84" s="140"/>
      <c r="M84" s="140"/>
      <c r="N84" s="140"/>
      <c r="O84" s="140"/>
      <c r="P84" s="140"/>
      <c r="Q84" s="140"/>
      <c r="R84" s="140"/>
      <c r="S84" s="140"/>
      <c r="T84" s="140"/>
      <c r="U84" s="140"/>
      <c r="V84" s="140"/>
    </row>
    <row r="85" spans="1:22" ht="15.75" customHeight="1" x14ac:dyDescent="0.25">
      <c r="A85" s="140"/>
      <c r="B85" s="140"/>
      <c r="C85" s="140"/>
      <c r="D85" s="140"/>
      <c r="E85" s="140"/>
      <c r="F85" s="140"/>
      <c r="G85" s="140"/>
      <c r="H85" s="140"/>
      <c r="I85" s="140"/>
      <c r="J85" s="140"/>
      <c r="K85" s="140"/>
      <c r="L85" s="140"/>
      <c r="M85" s="140"/>
      <c r="N85" s="140"/>
      <c r="O85" s="140"/>
      <c r="P85" s="140"/>
      <c r="Q85" s="140"/>
      <c r="R85" s="140"/>
      <c r="S85" s="140"/>
      <c r="T85" s="140"/>
      <c r="U85" s="140"/>
      <c r="V85" s="140"/>
    </row>
    <row r="86" spans="1:22" ht="15.75" customHeight="1" x14ac:dyDescent="0.25">
      <c r="A86" s="140"/>
      <c r="B86" s="140"/>
      <c r="C86" s="140"/>
      <c r="D86" s="140"/>
      <c r="E86" s="140"/>
      <c r="F86" s="140"/>
      <c r="G86" s="140"/>
      <c r="H86" s="140"/>
      <c r="I86" s="140"/>
      <c r="J86" s="140"/>
      <c r="K86" s="140"/>
      <c r="L86" s="140"/>
      <c r="M86" s="140"/>
      <c r="N86" s="140"/>
      <c r="O86" s="140"/>
      <c r="P86" s="140"/>
      <c r="Q86" s="140"/>
      <c r="R86" s="140"/>
      <c r="S86" s="140"/>
      <c r="T86" s="140"/>
      <c r="U86" s="140"/>
      <c r="V86" s="140"/>
    </row>
    <row r="87" spans="1:22" ht="15.75" customHeight="1" x14ac:dyDescent="0.25">
      <c r="A87" s="140"/>
      <c r="B87" s="140"/>
      <c r="C87" s="140"/>
      <c r="D87" s="140"/>
      <c r="E87" s="140"/>
      <c r="F87" s="140"/>
      <c r="G87" s="140"/>
      <c r="H87" s="140"/>
      <c r="I87" s="140"/>
      <c r="J87" s="140"/>
      <c r="K87" s="140"/>
      <c r="L87" s="140"/>
      <c r="M87" s="140"/>
      <c r="N87" s="140"/>
      <c r="O87" s="140"/>
      <c r="P87" s="140"/>
      <c r="Q87" s="140"/>
      <c r="R87" s="140"/>
      <c r="S87" s="140"/>
      <c r="T87" s="140"/>
      <c r="U87" s="140"/>
      <c r="V87" s="140"/>
    </row>
    <row r="88" spans="1:22" ht="15.75" customHeight="1" x14ac:dyDescent="0.25">
      <c r="A88" s="140"/>
      <c r="B88" s="140"/>
      <c r="C88" s="140"/>
      <c r="D88" s="140"/>
      <c r="E88" s="140"/>
      <c r="F88" s="140"/>
      <c r="G88" s="140"/>
      <c r="H88" s="140"/>
      <c r="I88" s="140"/>
      <c r="J88" s="140"/>
      <c r="K88" s="140"/>
      <c r="L88" s="140"/>
      <c r="M88" s="140"/>
      <c r="N88" s="140"/>
      <c r="O88" s="140"/>
      <c r="P88" s="140"/>
      <c r="Q88" s="140"/>
      <c r="R88" s="140"/>
      <c r="S88" s="140"/>
      <c r="T88" s="140"/>
      <c r="U88" s="140"/>
      <c r="V88" s="140"/>
    </row>
    <row r="89" spans="1:22" ht="15.75" customHeight="1" x14ac:dyDescent="0.25">
      <c r="A89" s="140"/>
      <c r="B89" s="140"/>
      <c r="C89" s="140"/>
      <c r="D89" s="140"/>
      <c r="E89" s="140"/>
      <c r="F89" s="140"/>
      <c r="G89" s="140"/>
      <c r="H89" s="140"/>
      <c r="I89" s="140"/>
      <c r="J89" s="140"/>
      <c r="K89" s="140"/>
      <c r="L89" s="140"/>
      <c r="M89" s="140"/>
      <c r="N89" s="140"/>
      <c r="O89" s="140"/>
      <c r="P89" s="140"/>
      <c r="Q89" s="140"/>
      <c r="R89" s="140"/>
      <c r="S89" s="140"/>
      <c r="T89" s="140"/>
      <c r="U89" s="140"/>
      <c r="V89" s="140"/>
    </row>
    <row r="90" spans="1:22" ht="15.75" customHeight="1" x14ac:dyDescent="0.25">
      <c r="A90" s="140"/>
      <c r="B90" s="140"/>
      <c r="C90" s="140"/>
      <c r="D90" s="140"/>
      <c r="E90" s="140"/>
      <c r="F90" s="140"/>
      <c r="G90" s="140"/>
      <c r="H90" s="140"/>
      <c r="I90" s="140"/>
      <c r="J90" s="140"/>
      <c r="K90" s="140"/>
      <c r="L90" s="140"/>
      <c r="M90" s="140"/>
      <c r="N90" s="140"/>
      <c r="O90" s="140"/>
      <c r="P90" s="140"/>
      <c r="Q90" s="140"/>
      <c r="R90" s="140"/>
      <c r="S90" s="140"/>
      <c r="T90" s="140"/>
      <c r="U90" s="140"/>
      <c r="V90" s="140"/>
    </row>
    <row r="91" spans="1:22" ht="15.75" customHeight="1" x14ac:dyDescent="0.25">
      <c r="A91" s="140"/>
      <c r="B91" s="140"/>
      <c r="C91" s="140"/>
      <c r="D91" s="140"/>
      <c r="E91" s="140"/>
      <c r="F91" s="140"/>
      <c r="G91" s="140"/>
      <c r="H91" s="140"/>
      <c r="I91" s="140"/>
      <c r="J91" s="140"/>
      <c r="K91" s="140"/>
      <c r="L91" s="140"/>
      <c r="M91" s="140"/>
      <c r="N91" s="140"/>
      <c r="O91" s="140"/>
      <c r="P91" s="140"/>
      <c r="Q91" s="140"/>
      <c r="R91" s="140"/>
      <c r="S91" s="140"/>
      <c r="T91" s="140"/>
      <c r="U91" s="140"/>
      <c r="V91" s="140"/>
    </row>
    <row r="92" spans="1:22" ht="15.75" customHeight="1" x14ac:dyDescent="0.25">
      <c r="A92" s="140"/>
      <c r="B92" s="140"/>
      <c r="C92" s="140"/>
      <c r="D92" s="140"/>
      <c r="E92" s="140"/>
      <c r="F92" s="140"/>
      <c r="G92" s="140"/>
      <c r="H92" s="140"/>
      <c r="I92" s="140"/>
      <c r="J92" s="140"/>
      <c r="K92" s="140"/>
      <c r="L92" s="140"/>
      <c r="M92" s="140"/>
      <c r="N92" s="140"/>
      <c r="O92" s="140"/>
      <c r="P92" s="140"/>
      <c r="Q92" s="140"/>
      <c r="R92" s="140"/>
      <c r="S92" s="140"/>
      <c r="T92" s="140"/>
      <c r="U92" s="140"/>
      <c r="V92" s="140"/>
    </row>
    <row r="93" spans="1:22" ht="15.75" customHeight="1" x14ac:dyDescent="0.25">
      <c r="A93" s="140"/>
      <c r="B93" s="140"/>
      <c r="C93" s="140"/>
      <c r="D93" s="140"/>
      <c r="E93" s="140"/>
      <c r="F93" s="140"/>
      <c r="G93" s="140"/>
      <c r="H93" s="140"/>
      <c r="I93" s="140"/>
      <c r="J93" s="140"/>
      <c r="K93" s="140"/>
      <c r="L93" s="140"/>
      <c r="M93" s="140"/>
      <c r="N93" s="140"/>
      <c r="O93" s="140"/>
      <c r="P93" s="140"/>
      <c r="Q93" s="140"/>
      <c r="R93" s="140"/>
      <c r="S93" s="140"/>
      <c r="T93" s="140"/>
      <c r="U93" s="140"/>
      <c r="V93" s="140"/>
    </row>
    <row r="94" spans="1:22" ht="15.75" customHeight="1" x14ac:dyDescent="0.25">
      <c r="A94" s="140"/>
      <c r="B94" s="140"/>
      <c r="C94" s="140"/>
      <c r="D94" s="140"/>
      <c r="E94" s="140"/>
      <c r="F94" s="140"/>
      <c r="G94" s="140"/>
      <c r="H94" s="140"/>
      <c r="I94" s="140"/>
      <c r="J94" s="140"/>
      <c r="K94" s="140"/>
      <c r="L94" s="140"/>
      <c r="M94" s="140"/>
      <c r="N94" s="140"/>
      <c r="O94" s="140"/>
      <c r="P94" s="140"/>
      <c r="Q94" s="140"/>
      <c r="R94" s="140"/>
      <c r="S94" s="140"/>
      <c r="T94" s="140"/>
      <c r="U94" s="140"/>
      <c r="V94" s="140"/>
    </row>
    <row r="95" spans="1:22" ht="15.75" customHeight="1" x14ac:dyDescent="0.25">
      <c r="A95" s="140"/>
      <c r="B95" s="140"/>
      <c r="C95" s="140"/>
      <c r="D95" s="140"/>
      <c r="E95" s="140"/>
      <c r="F95" s="140"/>
      <c r="G95" s="140"/>
      <c r="H95" s="140"/>
      <c r="I95" s="140"/>
      <c r="J95" s="140"/>
      <c r="K95" s="140"/>
      <c r="L95" s="140"/>
      <c r="M95" s="140"/>
      <c r="N95" s="140"/>
      <c r="O95" s="140"/>
      <c r="P95" s="140"/>
      <c r="Q95" s="140"/>
      <c r="R95" s="140"/>
      <c r="S95" s="140"/>
      <c r="T95" s="140"/>
      <c r="U95" s="140"/>
      <c r="V95" s="140"/>
    </row>
    <row r="96" spans="1:22" ht="15.75" customHeight="1" x14ac:dyDescent="0.25">
      <c r="A96" s="140"/>
      <c r="B96" s="140"/>
      <c r="C96" s="140"/>
      <c r="D96" s="140"/>
      <c r="E96" s="140"/>
      <c r="F96" s="140"/>
      <c r="G96" s="140"/>
      <c r="H96" s="140"/>
      <c r="I96" s="140"/>
      <c r="J96" s="140"/>
      <c r="K96" s="140"/>
      <c r="L96" s="140"/>
      <c r="M96" s="140"/>
      <c r="N96" s="140"/>
      <c r="O96" s="140"/>
      <c r="P96" s="140"/>
      <c r="Q96" s="140"/>
      <c r="R96" s="140"/>
      <c r="S96" s="140"/>
      <c r="T96" s="140"/>
      <c r="U96" s="140"/>
      <c r="V96" s="140"/>
    </row>
    <row r="97" spans="1:22" ht="15.75" customHeight="1" x14ac:dyDescent="0.25">
      <c r="A97" s="140"/>
      <c r="B97" s="140"/>
      <c r="C97" s="140"/>
      <c r="D97" s="140"/>
      <c r="E97" s="140"/>
      <c r="F97" s="140"/>
      <c r="G97" s="140"/>
      <c r="H97" s="140"/>
      <c r="I97" s="140"/>
      <c r="J97" s="140"/>
      <c r="K97" s="140"/>
      <c r="L97" s="140"/>
      <c r="M97" s="140"/>
      <c r="N97" s="140"/>
      <c r="O97" s="140"/>
      <c r="P97" s="140"/>
      <c r="Q97" s="140"/>
      <c r="R97" s="140"/>
      <c r="S97" s="140"/>
      <c r="T97" s="140"/>
      <c r="U97" s="140"/>
      <c r="V97" s="140"/>
    </row>
    <row r="98" spans="1:22" ht="15.75" customHeight="1" x14ac:dyDescent="0.25">
      <c r="A98" s="140"/>
      <c r="B98" s="140"/>
      <c r="C98" s="140"/>
      <c r="D98" s="140"/>
      <c r="E98" s="140"/>
      <c r="F98" s="140"/>
      <c r="G98" s="140"/>
      <c r="H98" s="140"/>
      <c r="I98" s="140"/>
      <c r="J98" s="140"/>
      <c r="K98" s="140"/>
      <c r="L98" s="140"/>
      <c r="M98" s="140"/>
      <c r="N98" s="140"/>
      <c r="O98" s="140"/>
      <c r="P98" s="140"/>
      <c r="Q98" s="140"/>
      <c r="R98" s="140"/>
      <c r="S98" s="140"/>
      <c r="T98" s="140"/>
      <c r="U98" s="140"/>
      <c r="V98" s="140"/>
    </row>
    <row r="99" spans="1:22" ht="15.75" customHeight="1" x14ac:dyDescent="0.25">
      <c r="A99" s="140"/>
      <c r="B99" s="140"/>
      <c r="C99" s="140"/>
      <c r="D99" s="140"/>
      <c r="E99" s="140"/>
      <c r="F99" s="140"/>
      <c r="G99" s="140"/>
      <c r="H99" s="140"/>
      <c r="I99" s="140"/>
      <c r="J99" s="140"/>
      <c r="K99" s="140"/>
      <c r="L99" s="140"/>
      <c r="M99" s="140"/>
      <c r="N99" s="140"/>
      <c r="O99" s="140"/>
      <c r="P99" s="140"/>
      <c r="Q99" s="140"/>
      <c r="R99" s="140"/>
      <c r="S99" s="140"/>
      <c r="T99" s="140"/>
      <c r="U99" s="140"/>
      <c r="V99" s="140"/>
    </row>
    <row r="100" spans="1:22"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row>
    <row r="101" spans="1:22"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row>
    <row r="102" spans="1:22"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row>
    <row r="103" spans="1:22"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row>
    <row r="104" spans="1:22"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row>
    <row r="105" spans="1:22"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row>
    <row r="106" spans="1:22"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row>
    <row r="107" spans="1:22"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row>
    <row r="108" spans="1:22"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row>
    <row r="109" spans="1:22"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row>
    <row r="110" spans="1:22"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row>
    <row r="111" spans="1:22"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row>
    <row r="112" spans="1:22"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row>
    <row r="113" spans="1:22"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row>
    <row r="114" spans="1:22"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row>
    <row r="115" spans="1:22"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row>
    <row r="116" spans="1:22"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row>
    <row r="117" spans="1:22"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row>
    <row r="118" spans="1:22"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row>
    <row r="119" spans="1:22"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row>
    <row r="120" spans="1:22"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row>
    <row r="121" spans="1:22"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row>
    <row r="122" spans="1:22"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row>
    <row r="123" spans="1:22"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row>
    <row r="124" spans="1:22"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row>
    <row r="125" spans="1:22"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row>
    <row r="126" spans="1:22"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row>
    <row r="127" spans="1:22"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row>
    <row r="128" spans="1:22"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row>
    <row r="129" spans="1:22"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row>
    <row r="130" spans="1:22"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row>
    <row r="131" spans="1:22"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row>
    <row r="132" spans="1:22"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row>
    <row r="133" spans="1:22"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row>
    <row r="134" spans="1:22"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row>
    <row r="135" spans="1:22"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row>
    <row r="136" spans="1:22"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row>
    <row r="137" spans="1:22"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row>
    <row r="138" spans="1:22"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row>
    <row r="139" spans="1:22"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row>
    <row r="140" spans="1:22"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row>
    <row r="141" spans="1:22"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row>
    <row r="142" spans="1:22"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row>
    <row r="143" spans="1:22"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row>
    <row r="144" spans="1:22"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row>
    <row r="145" spans="1:22"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row>
    <row r="146" spans="1:22"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row>
    <row r="147" spans="1:22"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row>
    <row r="148" spans="1:22"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row>
    <row r="149" spans="1:22"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row>
    <row r="150" spans="1:22"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row>
    <row r="151" spans="1:22"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row>
    <row r="152" spans="1:22"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row>
    <row r="153" spans="1:22"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row>
    <row r="154" spans="1:22"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row>
    <row r="155" spans="1:22"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row>
    <row r="156" spans="1:22"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row>
    <row r="157" spans="1:22"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row>
    <row r="158" spans="1:22"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row>
    <row r="159" spans="1:22"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row>
    <row r="160" spans="1:22"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row>
    <row r="161" spans="1:22"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row>
    <row r="162" spans="1:22"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row>
    <row r="163" spans="1:22"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row>
    <row r="164" spans="1:22"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row>
    <row r="165" spans="1:22"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row>
    <row r="166" spans="1:22"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row>
    <row r="167" spans="1:22"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row>
    <row r="168" spans="1:22"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row>
    <row r="169" spans="1:22"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row>
    <row r="170" spans="1:22"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row>
    <row r="171" spans="1:22"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row>
    <row r="172" spans="1:22"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row>
    <row r="173" spans="1:22"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row>
    <row r="174" spans="1:22"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row>
    <row r="175" spans="1:22"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row>
    <row r="176" spans="1:22"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row>
    <row r="177" spans="1:22"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row>
    <row r="178" spans="1:22"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row>
    <row r="179" spans="1:22"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row>
    <row r="180" spans="1:22"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row>
    <row r="181" spans="1:22"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row>
    <row r="182" spans="1:22"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row>
    <row r="183" spans="1:22"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row>
    <row r="184" spans="1:22"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row>
    <row r="185" spans="1:22"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row>
    <row r="186" spans="1:22"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row>
    <row r="187" spans="1:22"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row>
    <row r="188" spans="1:22"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row>
    <row r="189" spans="1:22"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row>
    <row r="190" spans="1:22"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row>
    <row r="191" spans="1:22"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row>
    <row r="192" spans="1:22"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row>
    <row r="193" spans="1:22"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row>
    <row r="194" spans="1:22"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row>
    <row r="195" spans="1:22"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row>
    <row r="196" spans="1:22"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row>
    <row r="197" spans="1:22"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row>
    <row r="198" spans="1:22"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row>
    <row r="199" spans="1:22"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row>
    <row r="200" spans="1:22"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row>
    <row r="201" spans="1:22"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row>
    <row r="202" spans="1:22"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row>
    <row r="203" spans="1:22"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row>
    <row r="204" spans="1:22"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row>
    <row r="205" spans="1:22"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row>
    <row r="206" spans="1:22"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row>
    <row r="207" spans="1:22"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row>
    <row r="208" spans="1:22"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row>
    <row r="209" spans="1:22"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row>
    <row r="210" spans="1:22"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row>
    <row r="211" spans="1:22"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row>
    <row r="212" spans="1:22"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row>
    <row r="213" spans="1:22"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row>
    <row r="214" spans="1:22"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row>
    <row r="215" spans="1:22"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row>
    <row r="216" spans="1:22"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row>
    <row r="217" spans="1:22"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row>
    <row r="218" spans="1:22"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row>
    <row r="219" spans="1:22"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row>
    <row r="220" spans="1:22"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row>
    <row r="221" spans="1:22"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row>
    <row r="222" spans="1:22"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row>
    <row r="223" spans="1:22"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row>
    <row r="224" spans="1:22"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row>
    <row r="225" spans="1:22"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row>
    <row r="226" spans="1:22"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row>
    <row r="227" spans="1:22"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row>
    <row r="228" spans="1:22"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row>
    <row r="229" spans="1:22"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row>
    <row r="230" spans="1:22"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row>
    <row r="231" spans="1:22"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row>
    <row r="232" spans="1:22"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row>
    <row r="233" spans="1:22"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row>
    <row r="234" spans="1:22"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row>
    <row r="235" spans="1:22"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row>
    <row r="236" spans="1:22"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row>
    <row r="237" spans="1:22"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row>
    <row r="238" spans="1:22"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row>
    <row r="239" spans="1:22"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row>
    <row r="240" spans="1:22"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row>
    <row r="241" spans="1:22"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row>
    <row r="242" spans="1:22"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row>
    <row r="243" spans="1:22"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row>
    <row r="244" spans="1:22"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row>
    <row r="245" spans="1:22"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row>
    <row r="246" spans="1:22"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row>
    <row r="247" spans="1:22"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row>
    <row r="248" spans="1:22"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row>
    <row r="249" spans="1:22"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row>
    <row r="250" spans="1:22"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row>
    <row r="251" spans="1:22"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row>
    <row r="252" spans="1:22"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row>
    <row r="253" spans="1:22"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row>
    <row r="254" spans="1:22"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row>
    <row r="255" spans="1:22"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row>
    <row r="256" spans="1:22"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row>
    <row r="257" spans="1:22"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row>
    <row r="258" spans="1:22"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row>
    <row r="259" spans="1:22"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row>
    <row r="260" spans="1:22"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row>
    <row r="261" spans="1:22"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row>
    <row r="262" spans="1:22"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row>
    <row r="263" spans="1:22"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row>
    <row r="264" spans="1:22"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row>
    <row r="265" spans="1:22"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row>
    <row r="266" spans="1:22"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row>
    <row r="267" spans="1:22"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row>
    <row r="268" spans="1:22"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row>
    <row r="269" spans="1:22"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row>
    <row r="270" spans="1:22"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row>
    <row r="271" spans="1:22"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row>
    <row r="272" spans="1:22"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row>
    <row r="273" spans="1:22"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row>
    <row r="274" spans="1:22"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row>
    <row r="275" spans="1:22"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row>
    <row r="276" spans="1:22"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row>
    <row r="277" spans="1:22"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row>
    <row r="278" spans="1:22"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row>
    <row r="279" spans="1:22"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row>
    <row r="280" spans="1:22"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row>
    <row r="281" spans="1:22"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row>
    <row r="282" spans="1:22"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row>
    <row r="283" spans="1:22"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row>
    <row r="284" spans="1:22"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row>
    <row r="285" spans="1:22"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row>
    <row r="286" spans="1:22"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row>
    <row r="287" spans="1:22"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row>
    <row r="288" spans="1:22"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row>
    <row r="289" spans="1:22"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row>
    <row r="290" spans="1:22"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row>
    <row r="291" spans="1:22"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row>
    <row r="292" spans="1:22"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row>
    <row r="293" spans="1:22"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row>
    <row r="294" spans="1:22"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row>
    <row r="295" spans="1:22"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row>
    <row r="296" spans="1:22"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row>
    <row r="297" spans="1:22"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row>
    <row r="298" spans="1:22"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row>
    <row r="299" spans="1:22"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row>
    <row r="300" spans="1:22"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row>
    <row r="301" spans="1:22"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row>
    <row r="302" spans="1:22"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row>
    <row r="303" spans="1:22"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row>
    <row r="304" spans="1:22"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row>
    <row r="305" spans="1:22"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row>
    <row r="306" spans="1:22"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row>
    <row r="307" spans="1:22"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row>
    <row r="308" spans="1:22"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row>
    <row r="309" spans="1:22"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row>
    <row r="310" spans="1:22"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row>
    <row r="311" spans="1:22"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row>
    <row r="312" spans="1:22"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row>
    <row r="313" spans="1:22"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row>
    <row r="314" spans="1:22"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row>
    <row r="315" spans="1:22"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row>
    <row r="316" spans="1:22"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row>
    <row r="317" spans="1:22"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row>
    <row r="318" spans="1:22"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row>
    <row r="319" spans="1:22"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row>
    <row r="320" spans="1:22"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row>
    <row r="321" spans="1:22"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row>
    <row r="322" spans="1:22"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row>
    <row r="323" spans="1:22"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row>
    <row r="324" spans="1:22"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row>
    <row r="325" spans="1:22"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row>
    <row r="326" spans="1:22"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row>
    <row r="327" spans="1:22"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row>
    <row r="328" spans="1:22"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row>
    <row r="329" spans="1:22"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row>
    <row r="330" spans="1:22"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row>
    <row r="331" spans="1:22"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row>
    <row r="332" spans="1:22"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row>
    <row r="333" spans="1:22"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row>
    <row r="334" spans="1:22"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row>
    <row r="335" spans="1:22"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row>
    <row r="336" spans="1:22"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row>
    <row r="337" spans="1:22"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row>
    <row r="338" spans="1:22"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row>
    <row r="339" spans="1:22"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row>
    <row r="340" spans="1:22"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row>
    <row r="341" spans="1:22"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row>
    <row r="342" spans="1:22"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row>
    <row r="343" spans="1:22"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row>
    <row r="344" spans="1:22"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row>
    <row r="345" spans="1:22"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row>
    <row r="346" spans="1:22"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row>
    <row r="347" spans="1:22"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row>
    <row r="348" spans="1:22"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row>
    <row r="349" spans="1:22"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row>
    <row r="350" spans="1:22"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row>
    <row r="351" spans="1:22"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row>
    <row r="352" spans="1:22"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row>
    <row r="353" spans="1:22"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row>
    <row r="354" spans="1:22"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row>
    <row r="355" spans="1:22"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row>
    <row r="356" spans="1:22"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row>
    <row r="357" spans="1:22"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row>
    <row r="358" spans="1:22"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row>
    <row r="359" spans="1:22"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row>
    <row r="360" spans="1:22"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row>
    <row r="361" spans="1:22"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row>
    <row r="362" spans="1:22"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row>
    <row r="363" spans="1:22"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row>
    <row r="364" spans="1:22"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row>
    <row r="365" spans="1:22"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row>
    <row r="366" spans="1:22"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row>
    <row r="367" spans="1:22"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row>
    <row r="368" spans="1:22"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row>
    <row r="369" spans="1:22"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row>
    <row r="370" spans="1:22"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row>
    <row r="371" spans="1:22"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row>
    <row r="372" spans="1:22"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row>
    <row r="373" spans="1:22"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row>
    <row r="374" spans="1:22"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row>
    <row r="375" spans="1:22"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row>
    <row r="376" spans="1:22"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row>
    <row r="377" spans="1:22"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row>
    <row r="378" spans="1:22"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row>
    <row r="379" spans="1:22"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row>
    <row r="380" spans="1:22"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row>
    <row r="381" spans="1:22"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row>
    <row r="382" spans="1:22"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row>
    <row r="383" spans="1:22"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row>
    <row r="384" spans="1:22"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row>
    <row r="385" spans="1:22"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row>
    <row r="386" spans="1:22"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row>
    <row r="387" spans="1:22"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row>
    <row r="388" spans="1:22"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row>
    <row r="389" spans="1:22"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row>
    <row r="390" spans="1:22"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row>
    <row r="391" spans="1:22"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row>
    <row r="392" spans="1:22"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row>
    <row r="393" spans="1:22"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row>
    <row r="394" spans="1:22"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row>
    <row r="395" spans="1:22"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row>
    <row r="396" spans="1:22"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row>
    <row r="397" spans="1:22"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row>
    <row r="398" spans="1:22"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row>
    <row r="399" spans="1:22"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row>
    <row r="400" spans="1:22"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row>
    <row r="401" spans="1:22"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row>
    <row r="402" spans="1:22"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row>
    <row r="403" spans="1:22"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row>
    <row r="404" spans="1:22"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row>
    <row r="405" spans="1:22"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row>
    <row r="406" spans="1:22"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row>
    <row r="407" spans="1:22"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row>
    <row r="408" spans="1:22"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row>
    <row r="409" spans="1:22"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row>
    <row r="410" spans="1:22"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row>
    <row r="411" spans="1:22"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row>
    <row r="412" spans="1:22"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row>
    <row r="413" spans="1:22"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row>
    <row r="414" spans="1:22"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row>
    <row r="415" spans="1:22"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row>
    <row r="416" spans="1:22"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row>
    <row r="417" spans="1:22"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row>
    <row r="418" spans="1:22"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row>
    <row r="419" spans="1:22"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row>
    <row r="420" spans="1:22"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row>
    <row r="421" spans="1:22"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row>
    <row r="422" spans="1:22"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row>
    <row r="423" spans="1:22"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row>
    <row r="424" spans="1:22"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row>
    <row r="425" spans="1:22"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row>
    <row r="426" spans="1:22"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row>
    <row r="427" spans="1:22"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row>
    <row r="428" spans="1:22"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row>
    <row r="429" spans="1:22"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row>
    <row r="430" spans="1:22"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row>
    <row r="431" spans="1:22"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row>
    <row r="432" spans="1:22"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row>
    <row r="433" spans="1:22"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row>
    <row r="434" spans="1:22"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row>
    <row r="435" spans="1:22"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row>
    <row r="436" spans="1:22"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row>
    <row r="437" spans="1:22"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row>
    <row r="438" spans="1:22"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row>
    <row r="439" spans="1:22"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row>
    <row r="440" spans="1:22"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row>
    <row r="441" spans="1:22"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row>
    <row r="442" spans="1:22"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row>
    <row r="443" spans="1:22"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row>
    <row r="444" spans="1:22"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row>
    <row r="445" spans="1:22"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row>
    <row r="446" spans="1:22"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row>
    <row r="447" spans="1:22"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row>
    <row r="448" spans="1:22"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row>
    <row r="449" spans="1:22"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row>
    <row r="450" spans="1:22"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row>
    <row r="451" spans="1:22"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row>
    <row r="452" spans="1:22"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row>
    <row r="453" spans="1:22"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row>
    <row r="454" spans="1:22"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row>
    <row r="455" spans="1:22"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row>
    <row r="456" spans="1:22"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row>
    <row r="457" spans="1:22"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row>
    <row r="458" spans="1:22"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row>
    <row r="459" spans="1:22"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row>
    <row r="460" spans="1:22"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row>
    <row r="461" spans="1:22"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row>
    <row r="462" spans="1:22"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row>
    <row r="463" spans="1:22"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row>
    <row r="464" spans="1:22"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row>
    <row r="465" spans="1:22"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row>
    <row r="466" spans="1:22"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row>
    <row r="467" spans="1:22"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row>
    <row r="468" spans="1:22"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row>
    <row r="469" spans="1:22"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row>
    <row r="470" spans="1:22"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row>
    <row r="471" spans="1:22"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row>
    <row r="472" spans="1:22"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row>
    <row r="473" spans="1:22"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row>
    <row r="474" spans="1:22"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row>
    <row r="475" spans="1:22"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row>
    <row r="476" spans="1:22"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row>
    <row r="477" spans="1:22"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row>
    <row r="478" spans="1:22"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row>
    <row r="479" spans="1:22"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row>
    <row r="480" spans="1:22"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row>
    <row r="481" spans="1:22"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row>
    <row r="482" spans="1:22"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row>
    <row r="483" spans="1:22"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row>
    <row r="484" spans="1:22"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row>
    <row r="485" spans="1:22"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row>
    <row r="486" spans="1:22"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row>
    <row r="487" spans="1:22"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row>
    <row r="488" spans="1:22"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row>
    <row r="489" spans="1:22"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row>
    <row r="490" spans="1:22"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row>
    <row r="491" spans="1:22"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row>
    <row r="492" spans="1:22"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row>
    <row r="493" spans="1:22"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row>
    <row r="494" spans="1:22"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row>
    <row r="495" spans="1:22"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row>
    <row r="496" spans="1:22"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row>
    <row r="497" spans="1:22"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row>
    <row r="498" spans="1:22"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row>
    <row r="499" spans="1:22"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row>
    <row r="500" spans="1:22"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row>
    <row r="501" spans="1:22"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row>
    <row r="502" spans="1:22"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row>
    <row r="503" spans="1:22"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row>
    <row r="504" spans="1:22"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row>
    <row r="505" spans="1:22"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row>
    <row r="506" spans="1:22"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row>
    <row r="507" spans="1:22"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row>
    <row r="508" spans="1:22"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row>
    <row r="509" spans="1:22"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row>
    <row r="510" spans="1:22"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row>
    <row r="511" spans="1:22"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row>
    <row r="512" spans="1:22"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row>
    <row r="513" spans="1:22"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row>
    <row r="514" spans="1:22"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row>
    <row r="515" spans="1:22"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row>
    <row r="516" spans="1:22"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row>
    <row r="517" spans="1:22"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row>
    <row r="518" spans="1:22"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row>
    <row r="519" spans="1:22"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row>
    <row r="520" spans="1:22"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row>
    <row r="521" spans="1:22"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row>
    <row r="522" spans="1:22"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row>
    <row r="523" spans="1:22"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row>
    <row r="524" spans="1:22"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row>
    <row r="525" spans="1:22"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row>
    <row r="526" spans="1:22"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row>
    <row r="527" spans="1:22"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row>
    <row r="528" spans="1:22"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row>
    <row r="529" spans="1:22"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row>
    <row r="530" spans="1:22"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row>
    <row r="531" spans="1:22"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row>
    <row r="532" spans="1:22"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row>
    <row r="533" spans="1:22"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row>
    <row r="534" spans="1:22"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row>
    <row r="535" spans="1:22"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row>
    <row r="536" spans="1:22"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row>
    <row r="537" spans="1:22"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row>
    <row r="538" spans="1:22"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row>
    <row r="539" spans="1:22"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row>
    <row r="540" spans="1:22"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row>
    <row r="541" spans="1:22"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row>
    <row r="542" spans="1:22"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row>
    <row r="543" spans="1:22"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row>
    <row r="544" spans="1:22"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row>
    <row r="545" spans="1:22"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row>
    <row r="546" spans="1:22"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row>
    <row r="547" spans="1:22"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row>
    <row r="548" spans="1:22"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row>
    <row r="549" spans="1:22"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row>
    <row r="550" spans="1:22"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row>
    <row r="551" spans="1:22"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row>
    <row r="552" spans="1:22"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row>
    <row r="553" spans="1:22"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row>
    <row r="554" spans="1:22"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row>
    <row r="555" spans="1:22"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row>
    <row r="556" spans="1:22"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row>
    <row r="557" spans="1:22"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row>
    <row r="558" spans="1:22"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row>
    <row r="559" spans="1:22"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row>
    <row r="560" spans="1:22"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row>
    <row r="561" spans="1:22"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row>
    <row r="562" spans="1:22"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row>
    <row r="563" spans="1:22"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row>
    <row r="564" spans="1:22"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row>
    <row r="565" spans="1:22"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row>
    <row r="566" spans="1:22"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row>
    <row r="567" spans="1:22"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row>
    <row r="568" spans="1:22"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row>
    <row r="569" spans="1:22"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row>
    <row r="570" spans="1:22"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row>
    <row r="571" spans="1:22"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row>
    <row r="572" spans="1:22"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row>
    <row r="573" spans="1:22"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row>
    <row r="574" spans="1:22"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row>
    <row r="575" spans="1:22"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row>
    <row r="576" spans="1:22"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row>
    <row r="577" spans="1:22"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row>
    <row r="578" spans="1:22"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row>
    <row r="579" spans="1:22"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row>
    <row r="580" spans="1:22"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row>
    <row r="581" spans="1:22"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row>
    <row r="582" spans="1:22"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row>
    <row r="583" spans="1:22"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row>
    <row r="584" spans="1:22"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row>
    <row r="585" spans="1:22"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row>
    <row r="586" spans="1:22"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row>
    <row r="587" spans="1:22"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row>
    <row r="588" spans="1:22"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row>
    <row r="589" spans="1:22"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row>
    <row r="590" spans="1:22"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row>
    <row r="591" spans="1:22"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row>
    <row r="592" spans="1:22"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row>
    <row r="593" spans="1:22"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row>
    <row r="594" spans="1:22"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row>
    <row r="595" spans="1:22"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row>
    <row r="596" spans="1:22"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row>
    <row r="597" spans="1:22"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row>
    <row r="598" spans="1:22"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row>
    <row r="599" spans="1:22"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row>
    <row r="600" spans="1:22"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row>
    <row r="601" spans="1:22"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row>
    <row r="602" spans="1:22"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row>
    <row r="603" spans="1:22"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row>
    <row r="604" spans="1:22"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row>
    <row r="605" spans="1:22"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row>
    <row r="606" spans="1:22"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row>
    <row r="607" spans="1:22"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row>
    <row r="608" spans="1:22"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row>
    <row r="609" spans="1:22"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row>
    <row r="610" spans="1:22"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row>
    <row r="611" spans="1:22"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row>
    <row r="612" spans="1:22"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row>
    <row r="613" spans="1:22"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row>
    <row r="614" spans="1:22"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row>
    <row r="615" spans="1:22"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row>
    <row r="616" spans="1:22"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row>
    <row r="617" spans="1:22"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row>
    <row r="618" spans="1:22"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row>
    <row r="619" spans="1:22"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row>
    <row r="620" spans="1:22"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row>
    <row r="621" spans="1:22"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row>
    <row r="622" spans="1:22"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row>
    <row r="623" spans="1:22"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row>
    <row r="624" spans="1:22"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row>
    <row r="625" spans="1:22"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row>
    <row r="626" spans="1:22"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row>
    <row r="627" spans="1:22"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row>
    <row r="628" spans="1:22"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row>
    <row r="629" spans="1:22"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row>
    <row r="630" spans="1:22"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row>
    <row r="631" spans="1:22"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row>
    <row r="632" spans="1:22"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row>
    <row r="633" spans="1:22"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row>
    <row r="634" spans="1:22"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row>
    <row r="635" spans="1:22"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row>
    <row r="636" spans="1:22"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row>
    <row r="637" spans="1:22"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row>
    <row r="638" spans="1:22"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row>
    <row r="639" spans="1:22"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row>
    <row r="640" spans="1:22"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row>
    <row r="641" spans="1:22"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row>
    <row r="642" spans="1:22"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row>
    <row r="643" spans="1:22"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row>
    <row r="644" spans="1:22"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row>
    <row r="645" spans="1:22"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row>
    <row r="646" spans="1:22"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row>
    <row r="647" spans="1:22"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row>
    <row r="648" spans="1:22"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row>
    <row r="649" spans="1:22"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row>
    <row r="650" spans="1:22"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row>
    <row r="651" spans="1:22"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row>
    <row r="652" spans="1:22"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row>
    <row r="653" spans="1:22"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row>
    <row r="654" spans="1:22"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row>
    <row r="655" spans="1:22"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row>
    <row r="656" spans="1:22"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row>
    <row r="657" spans="1:22"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row>
    <row r="658" spans="1:22"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row>
    <row r="659" spans="1:22"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row>
    <row r="660" spans="1:22"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row>
    <row r="661" spans="1:22"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row>
    <row r="662" spans="1:22"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row>
    <row r="663" spans="1:22"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row>
    <row r="664" spans="1:22"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row>
    <row r="665" spans="1:22"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row>
    <row r="666" spans="1:22"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row>
    <row r="667" spans="1:22"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row>
    <row r="668" spans="1:22"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row>
    <row r="669" spans="1:22"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row>
    <row r="670" spans="1:22"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row>
    <row r="671" spans="1:22"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row>
    <row r="672" spans="1:22"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row>
    <row r="673" spans="1:22"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row>
    <row r="674" spans="1:22"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row>
    <row r="675" spans="1:22"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row>
    <row r="676" spans="1:22"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row>
    <row r="677" spans="1:22"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row>
    <row r="678" spans="1:22"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row>
    <row r="679" spans="1:22"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row>
    <row r="680" spans="1:22"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row>
    <row r="681" spans="1:22"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row>
    <row r="682" spans="1:22"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row>
    <row r="683" spans="1:22"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row>
    <row r="684" spans="1:22"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row>
    <row r="685" spans="1:22"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row>
    <row r="686" spans="1:22"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row>
    <row r="687" spans="1:22"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row>
    <row r="688" spans="1:22"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row>
    <row r="689" spans="1:22"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row>
    <row r="690" spans="1:22"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row>
    <row r="691" spans="1:22"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row>
    <row r="692" spans="1:22"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row>
    <row r="693" spans="1:22"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row>
    <row r="694" spans="1:22"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row>
    <row r="695" spans="1:22"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row>
    <row r="696" spans="1:22"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row>
    <row r="697" spans="1:22"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row>
    <row r="698" spans="1:22"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row>
    <row r="699" spans="1:22"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row>
    <row r="700" spans="1:22"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row>
    <row r="701" spans="1:22"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row>
    <row r="702" spans="1:22"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row>
    <row r="703" spans="1:22"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row>
    <row r="704" spans="1:22"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row>
    <row r="705" spans="1:22"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row>
    <row r="706" spans="1:22"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row>
    <row r="707" spans="1:22"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row>
    <row r="708" spans="1:22"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row>
    <row r="709" spans="1:22"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row>
    <row r="710" spans="1:22"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row>
    <row r="711" spans="1:22"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row>
    <row r="712" spans="1:22"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row>
    <row r="713" spans="1:22"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row>
    <row r="714" spans="1:22"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row>
    <row r="715" spans="1:22"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row>
    <row r="716" spans="1:22"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row>
    <row r="717" spans="1:22"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row>
    <row r="718" spans="1:22"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row>
    <row r="719" spans="1:22"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row>
    <row r="720" spans="1:22"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row>
    <row r="721" spans="1:22"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row>
    <row r="722" spans="1:22"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row>
    <row r="723" spans="1:22"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row>
    <row r="724" spans="1:22"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row>
    <row r="725" spans="1:22"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row>
    <row r="726" spans="1:22"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row>
    <row r="727" spans="1:22"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row>
    <row r="728" spans="1:22"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row>
    <row r="729" spans="1:22"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row>
    <row r="730" spans="1:22"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row>
    <row r="731" spans="1:22"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row>
    <row r="732" spans="1:22"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row>
    <row r="733" spans="1:22"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row>
    <row r="734" spans="1:22"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row>
    <row r="735" spans="1:22"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row>
    <row r="736" spans="1:22"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row>
    <row r="737" spans="1:22"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row>
    <row r="738" spans="1:22"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row>
    <row r="739" spans="1:22"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row>
    <row r="740" spans="1:22"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row>
    <row r="741" spans="1:22"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row>
    <row r="742" spans="1:22"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row>
    <row r="743" spans="1:22"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row>
    <row r="744" spans="1:22"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row>
    <row r="745" spans="1:22"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row>
    <row r="746" spans="1:22"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row>
    <row r="747" spans="1:22"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row>
    <row r="748" spans="1:22"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row>
    <row r="749" spans="1:22"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row>
    <row r="750" spans="1:22"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row>
    <row r="751" spans="1:22"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row>
    <row r="752" spans="1:22"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row>
    <row r="753" spans="1:22"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row>
    <row r="754" spans="1:22"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row>
    <row r="755" spans="1:22"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row>
    <row r="756" spans="1:22"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row>
    <row r="757" spans="1:22"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row>
    <row r="758" spans="1:22"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row>
    <row r="759" spans="1:22"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row>
    <row r="760" spans="1:22"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row>
    <row r="761" spans="1:22"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row>
    <row r="762" spans="1:22"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row>
    <row r="763" spans="1:22"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row>
    <row r="764" spans="1:22"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row>
    <row r="765" spans="1:22"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row>
    <row r="766" spans="1:22"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row>
    <row r="767" spans="1:22"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row>
    <row r="768" spans="1:22"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row>
    <row r="769" spans="1:22"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row>
    <row r="770" spans="1:22"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row>
    <row r="771" spans="1:22"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row>
    <row r="772" spans="1:22"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row>
    <row r="773" spans="1:22"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row>
    <row r="774" spans="1:22"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row>
    <row r="775" spans="1:22"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row>
    <row r="776" spans="1:22"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row>
    <row r="777" spans="1:22"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row>
    <row r="778" spans="1:22"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row>
    <row r="779" spans="1:22"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row>
    <row r="780" spans="1:22"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row>
    <row r="781" spans="1:22"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row>
    <row r="782" spans="1:22"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row>
    <row r="783" spans="1:22"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row>
    <row r="784" spans="1:22"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row>
    <row r="785" spans="1:22"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row>
    <row r="786" spans="1:22"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row>
    <row r="787" spans="1:22"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row>
    <row r="788" spans="1:22"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row>
    <row r="789" spans="1:22"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row>
    <row r="790" spans="1:22"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row>
    <row r="791" spans="1:22"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row>
    <row r="792" spans="1:22"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row>
    <row r="793" spans="1:22"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row>
    <row r="794" spans="1:22"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row>
    <row r="795" spans="1:22"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row>
    <row r="796" spans="1:22"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row>
    <row r="797" spans="1:22"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row>
    <row r="798" spans="1:22"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row>
    <row r="799" spans="1:22"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row>
    <row r="800" spans="1:22"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row>
    <row r="801" spans="1:22"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row>
    <row r="802" spans="1:22"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row>
    <row r="803" spans="1:22"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row>
    <row r="804" spans="1:22"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row>
    <row r="805" spans="1:22"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row>
    <row r="806" spans="1:22"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row>
    <row r="807" spans="1:22"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row>
    <row r="808" spans="1:22"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row>
    <row r="809" spans="1:22"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row>
    <row r="810" spans="1:22"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row>
    <row r="811" spans="1:22"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row>
    <row r="812" spans="1:22"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row>
    <row r="813" spans="1:22"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row>
    <row r="814" spans="1:22"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row>
    <row r="815" spans="1:22"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row>
    <row r="816" spans="1:22"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row>
    <row r="817" spans="1:22"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row>
    <row r="818" spans="1:22"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row>
    <row r="819" spans="1:22"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row>
    <row r="820" spans="1:22"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row>
    <row r="821" spans="1:22"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row>
    <row r="822" spans="1:22"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row>
    <row r="823" spans="1:22"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row>
    <row r="824" spans="1:22"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row>
    <row r="825" spans="1:22"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row>
    <row r="826" spans="1:22"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row>
    <row r="827" spans="1:22"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row>
    <row r="828" spans="1:22"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row>
    <row r="829" spans="1:22"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row>
    <row r="830" spans="1:22"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row>
    <row r="831" spans="1:22"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row>
    <row r="832" spans="1:22"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row>
    <row r="833" spans="1:22"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row>
    <row r="834" spans="1:22"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row>
    <row r="835" spans="1:22"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row>
    <row r="836" spans="1:22"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row>
    <row r="837" spans="1:22"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row>
    <row r="838" spans="1:22"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row>
    <row r="839" spans="1:22"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row>
    <row r="840" spans="1:22"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row>
    <row r="841" spans="1:22"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row>
    <row r="842" spans="1:22"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row>
    <row r="843" spans="1:22"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row>
    <row r="844" spans="1:22"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row>
    <row r="845" spans="1:22"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row>
    <row r="846" spans="1:22"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row>
    <row r="847" spans="1:22"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row>
    <row r="848" spans="1:22"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row>
    <row r="849" spans="1:22"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row>
    <row r="850" spans="1:22"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row>
    <row r="851" spans="1:22"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row>
    <row r="852" spans="1:22"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row>
    <row r="853" spans="1:22"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row>
    <row r="854" spans="1:22"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row>
    <row r="855" spans="1:22"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row>
    <row r="856" spans="1:22"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row>
    <row r="857" spans="1:22"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row>
    <row r="858" spans="1:22"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row>
    <row r="859" spans="1:22"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row>
    <row r="860" spans="1:22"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row>
    <row r="861" spans="1:22"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row>
    <row r="862" spans="1:22"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row>
    <row r="863" spans="1:22"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row>
    <row r="864" spans="1:22"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row>
    <row r="865" spans="1:22"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row>
    <row r="866" spans="1:22"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row>
    <row r="867" spans="1:22"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row>
    <row r="868" spans="1:22"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row>
    <row r="869" spans="1:22"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row>
    <row r="870" spans="1:22"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row>
    <row r="871" spans="1:22"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row>
    <row r="872" spans="1:22"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row>
    <row r="873" spans="1:22"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row>
    <row r="874" spans="1:22"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row>
    <row r="875" spans="1:22"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row>
    <row r="876" spans="1:22"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row>
    <row r="877" spans="1:22"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row>
    <row r="878" spans="1:22"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row>
    <row r="879" spans="1:22"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row>
    <row r="880" spans="1:22"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row>
    <row r="881" spans="1:22"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row>
    <row r="882" spans="1:22"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row>
    <row r="883" spans="1:22"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row>
    <row r="884" spans="1:22"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row>
    <row r="885" spans="1:22"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row>
    <row r="886" spans="1:22"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row>
    <row r="887" spans="1:22"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row>
    <row r="888" spans="1:22"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row>
    <row r="889" spans="1:22"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row>
    <row r="890" spans="1:22"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row>
    <row r="891" spans="1:22"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row>
    <row r="892" spans="1:22"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row>
    <row r="893" spans="1:22"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row>
    <row r="894" spans="1:22"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row>
    <row r="895" spans="1:22"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row>
    <row r="896" spans="1:22"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row>
    <row r="897" spans="1:22"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row>
    <row r="898" spans="1:22"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row>
    <row r="899" spans="1:22"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row>
    <row r="900" spans="1:22"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row>
    <row r="901" spans="1:22"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row>
    <row r="902" spans="1:22"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row>
    <row r="903" spans="1:22"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row>
    <row r="904" spans="1:22"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row>
    <row r="905" spans="1:22"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row>
    <row r="906" spans="1:22"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row>
    <row r="907" spans="1:22"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row>
    <row r="908" spans="1:22"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row>
    <row r="909" spans="1:22"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row>
    <row r="910" spans="1:22"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row>
    <row r="911" spans="1:22"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row>
    <row r="912" spans="1:22"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row>
    <row r="913" spans="1:22"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row>
    <row r="914" spans="1:22"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row>
    <row r="915" spans="1:22"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row>
    <row r="916" spans="1:22"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row>
    <row r="917" spans="1:22"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row>
    <row r="918" spans="1:22"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row>
    <row r="919" spans="1:22"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row>
    <row r="920" spans="1:22"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row>
    <row r="921" spans="1:22"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row>
    <row r="922" spans="1:22"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row>
    <row r="923" spans="1:22"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row>
    <row r="924" spans="1:22"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row>
    <row r="925" spans="1:22"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row>
    <row r="926" spans="1:22"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row>
    <row r="927" spans="1:22"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row>
    <row r="928" spans="1:22"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row>
    <row r="929" spans="1:22"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row>
    <row r="930" spans="1:22"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row>
    <row r="931" spans="1:22"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row>
    <row r="932" spans="1:22"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row>
    <row r="933" spans="1:22"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row>
    <row r="934" spans="1:22"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row>
    <row r="935" spans="1:22"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row>
    <row r="936" spans="1:22"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row>
    <row r="937" spans="1:22"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row>
    <row r="938" spans="1:22"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row>
    <row r="939" spans="1:22"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row>
    <row r="940" spans="1:22"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row>
    <row r="941" spans="1:22"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row>
    <row r="942" spans="1:22"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row>
    <row r="943" spans="1:22"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row>
    <row r="944" spans="1:22"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row>
    <row r="945" spans="1:22"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row>
    <row r="946" spans="1:22"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row>
    <row r="947" spans="1:22"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row>
    <row r="948" spans="1:22"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row>
    <row r="949" spans="1:22"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row>
    <row r="950" spans="1:22"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row>
    <row r="951" spans="1:22"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row>
    <row r="952" spans="1:22"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row>
    <row r="953" spans="1:22"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row>
    <row r="954" spans="1:22"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row>
    <row r="955" spans="1:22"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row>
    <row r="956" spans="1:22"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row>
    <row r="957" spans="1:22"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row>
    <row r="958" spans="1:22"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row>
    <row r="959" spans="1:22"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row>
    <row r="960" spans="1:22"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row>
    <row r="961" spans="1:22"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row>
    <row r="962" spans="1:22"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row>
    <row r="963" spans="1:22"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row>
    <row r="964" spans="1:22"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row>
    <row r="965" spans="1:22"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row>
    <row r="966" spans="1:22"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row>
    <row r="967" spans="1:22"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row>
    <row r="968" spans="1:22"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row>
    <row r="969" spans="1:22"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row>
    <row r="970" spans="1:22"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row>
    <row r="971" spans="1:22"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row>
    <row r="972" spans="1:22"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row>
    <row r="973" spans="1:22"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row>
    <row r="974" spans="1:22"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row>
    <row r="975" spans="1:22"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row>
    <row r="976" spans="1:22"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row>
    <row r="977" spans="1:22"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row>
    <row r="978" spans="1:22"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row>
    <row r="979" spans="1:22"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row>
    <row r="980" spans="1:22"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row>
    <row r="981" spans="1:22"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row>
    <row r="982" spans="1:22"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row>
    <row r="983" spans="1:22"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row>
    <row r="984" spans="1:22"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row>
    <row r="985" spans="1:22"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row>
    <row r="986" spans="1:22"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10" priority="2" operator="lessThan">
      <formula>0</formula>
    </cfRule>
  </conditionalFormatting>
  <conditionalFormatting sqref="F5:F6">
    <cfRule type="cellIs" dxfId="9"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Z1005"/>
  <sheetViews>
    <sheetView showGridLines="0" topLeftCell="D6" workbookViewId="0">
      <pane ySplit="6" topLeftCell="A12" activePane="bottomLeft" state="frozen"/>
      <selection activeCell="C6" sqref="C6"/>
      <selection pane="bottomLeft" activeCell="J17" sqref="J17"/>
    </sheetView>
  </sheetViews>
  <sheetFormatPr defaultColWidth="12.6640625" defaultRowHeight="15" customHeight="1" x14ac:dyDescent="0.25"/>
  <cols>
    <col min="1" max="1" width="5.6640625" customWidth="1"/>
    <col min="2" max="3" width="20.6640625" customWidth="1"/>
    <col min="4" max="4" width="10.33203125" customWidth="1"/>
    <col min="5" max="5" width="22" bestFit="1" customWidth="1"/>
    <col min="6" max="6" width="6.33203125" hidden="1" customWidth="1"/>
    <col min="7" max="7" width="15.109375" style="443" customWidth="1"/>
    <col min="8" max="8" width="14.6640625" style="443"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 min="20" max="21" width="14" customWidth="1"/>
  </cols>
  <sheetData>
    <row r="1" spans="1:26" ht="15.75" customHeight="1" x14ac:dyDescent="0.25">
      <c r="A1" s="153"/>
      <c r="B1" s="154"/>
      <c r="C1" s="154"/>
      <c r="D1" s="154"/>
      <c r="E1" s="155"/>
      <c r="F1" s="154"/>
      <c r="G1" s="435"/>
      <c r="H1" s="435"/>
      <c r="I1" s="153"/>
      <c r="J1" s="153"/>
      <c r="K1" s="153"/>
      <c r="L1" s="153"/>
      <c r="M1" s="153"/>
      <c r="N1" s="153"/>
      <c r="O1" s="153"/>
      <c r="P1" s="153"/>
      <c r="Q1" s="153"/>
      <c r="R1" s="153"/>
      <c r="S1" s="153"/>
      <c r="U1" s="42"/>
    </row>
    <row r="2" spans="1:26" ht="15.75" customHeight="1" x14ac:dyDescent="0.25">
      <c r="A2" s="156"/>
      <c r="B2" s="157"/>
      <c r="C2" s="157"/>
      <c r="D2" s="157"/>
      <c r="E2" s="158"/>
      <c r="F2" s="157"/>
      <c r="G2" s="435"/>
      <c r="H2" s="435"/>
      <c r="I2" s="156"/>
      <c r="J2" s="156"/>
      <c r="K2" s="156"/>
      <c r="L2" s="156"/>
      <c r="M2" s="156"/>
      <c r="N2" s="156"/>
      <c r="O2" s="156"/>
      <c r="P2" s="156"/>
      <c r="Q2" s="156"/>
      <c r="R2" s="156"/>
      <c r="S2" s="156"/>
      <c r="U2" s="42"/>
    </row>
    <row r="3" spans="1:26" ht="17.25" customHeight="1" x14ac:dyDescent="0.25">
      <c r="A3" s="604" t="s">
        <v>126</v>
      </c>
      <c r="B3" s="506"/>
      <c r="C3" s="506"/>
      <c r="D3" s="506"/>
      <c r="E3" s="506"/>
      <c r="F3" s="506"/>
      <c r="G3" s="506"/>
      <c r="H3" s="506"/>
      <c r="I3" s="506"/>
      <c r="J3" s="506"/>
      <c r="K3" s="506"/>
      <c r="L3" s="506"/>
      <c r="M3" s="506"/>
      <c r="N3" s="506"/>
      <c r="O3" s="506"/>
      <c r="P3" s="506"/>
      <c r="Q3" s="506"/>
      <c r="R3" s="506"/>
      <c r="S3" s="507"/>
      <c r="U3" s="42"/>
    </row>
    <row r="4" spans="1:26" ht="17.25" customHeight="1" x14ac:dyDescent="0.25">
      <c r="A4" s="511"/>
      <c r="B4" s="512"/>
      <c r="C4" s="512"/>
      <c r="D4" s="512"/>
      <c r="E4" s="512"/>
      <c r="F4" s="512"/>
      <c r="G4" s="512"/>
      <c r="H4" s="512"/>
      <c r="I4" s="512"/>
      <c r="J4" s="512"/>
      <c r="K4" s="512"/>
      <c r="L4" s="512"/>
      <c r="M4" s="512"/>
      <c r="N4" s="512"/>
      <c r="O4" s="512"/>
      <c r="P4" s="512"/>
      <c r="Q4" s="512"/>
      <c r="R4" s="512"/>
      <c r="S4" s="513"/>
      <c r="U4" s="42"/>
    </row>
    <row r="5" spans="1:26" ht="15.75" customHeight="1" x14ac:dyDescent="0.3">
      <c r="A5" s="159" t="s">
        <v>127</v>
      </c>
      <c r="B5" s="160"/>
      <c r="C5" s="160"/>
      <c r="D5" s="160"/>
      <c r="E5" s="160"/>
      <c r="F5" s="161"/>
      <c r="G5" s="436"/>
      <c r="H5" s="436"/>
      <c r="I5" s="162"/>
      <c r="J5" s="162"/>
      <c r="K5" s="162"/>
      <c r="L5" s="162"/>
      <c r="M5" s="162"/>
      <c r="N5" s="162"/>
      <c r="O5" s="163"/>
      <c r="P5" s="160"/>
      <c r="Q5" s="160"/>
      <c r="R5" s="162"/>
      <c r="S5" s="162"/>
      <c r="U5" s="42"/>
    </row>
    <row r="6" spans="1:26" ht="15.75" customHeight="1" x14ac:dyDescent="0.3">
      <c r="A6" s="160"/>
      <c r="B6" s="160"/>
      <c r="C6" s="160"/>
      <c r="D6" s="160"/>
      <c r="E6" s="160"/>
      <c r="F6" s="161"/>
      <c r="G6" s="436"/>
      <c r="H6" s="436"/>
      <c r="I6" s="162"/>
      <c r="J6" s="162"/>
      <c r="K6" s="162"/>
      <c r="L6" s="162"/>
      <c r="M6" s="162"/>
      <c r="N6" s="162"/>
      <c r="O6" s="163"/>
      <c r="P6" s="160"/>
      <c r="Q6" s="160"/>
      <c r="R6" s="162"/>
      <c r="S6" s="162"/>
      <c r="U6" s="42"/>
    </row>
    <row r="7" spans="1:26" ht="15.75" customHeight="1" x14ac:dyDescent="0.3">
      <c r="A7" s="160"/>
      <c r="B7" s="160"/>
      <c r="C7" s="160"/>
      <c r="D7" s="160"/>
      <c r="E7" s="160"/>
      <c r="F7" s="161"/>
      <c r="G7" s="436"/>
      <c r="H7" s="436"/>
      <c r="I7" s="162"/>
      <c r="J7" s="162"/>
      <c r="K7" s="162"/>
      <c r="L7" s="162"/>
      <c r="M7" s="162"/>
      <c r="N7" s="162"/>
      <c r="O7" s="163"/>
      <c r="P7" s="160"/>
      <c r="Q7" s="160"/>
      <c r="R7" s="162"/>
      <c r="S7" s="162"/>
      <c r="U7" s="42"/>
    </row>
    <row r="8" spans="1:26" ht="15.75" customHeight="1" x14ac:dyDescent="0.3">
      <c r="A8" s="159" t="s">
        <v>128</v>
      </c>
      <c r="B8" s="160"/>
      <c r="C8" s="160"/>
      <c r="D8" s="160"/>
      <c r="E8" s="160"/>
      <c r="F8" s="161"/>
      <c r="G8" s="436"/>
      <c r="H8" s="436"/>
      <c r="I8" s="162"/>
      <c r="J8" s="162"/>
      <c r="K8" s="162"/>
      <c r="L8" s="162"/>
      <c r="M8" s="162"/>
      <c r="N8" s="162"/>
      <c r="O8" s="163"/>
      <c r="P8" s="160"/>
      <c r="Q8" s="160"/>
      <c r="R8" s="162"/>
      <c r="S8" s="162"/>
      <c r="U8" s="42"/>
    </row>
    <row r="9" spans="1:26" ht="38.25" customHeight="1" x14ac:dyDescent="0.25">
      <c r="A9" s="608" t="s">
        <v>1</v>
      </c>
      <c r="B9" s="608" t="s">
        <v>129</v>
      </c>
      <c r="C9" s="608" t="s">
        <v>95</v>
      </c>
      <c r="D9" s="608" t="s">
        <v>130</v>
      </c>
      <c r="E9" s="608" t="s">
        <v>41</v>
      </c>
      <c r="F9" s="164" t="s">
        <v>131</v>
      </c>
      <c r="G9" s="611" t="s">
        <v>132</v>
      </c>
      <c r="H9" s="611" t="s">
        <v>133</v>
      </c>
      <c r="I9" s="605" t="s">
        <v>134</v>
      </c>
      <c r="J9" s="551"/>
      <c r="K9" s="551"/>
      <c r="L9" s="551"/>
      <c r="M9" s="551"/>
      <c r="N9" s="552"/>
      <c r="O9" s="616" t="s">
        <v>51</v>
      </c>
      <c r="P9" s="606" t="s">
        <v>135</v>
      </c>
      <c r="Q9" s="551"/>
      <c r="R9" s="552"/>
      <c r="S9" s="619" t="s">
        <v>136</v>
      </c>
      <c r="U9" s="42"/>
    </row>
    <row r="10" spans="1:26" ht="33.75" customHeight="1" x14ac:dyDescent="0.25">
      <c r="A10" s="609"/>
      <c r="B10" s="609"/>
      <c r="C10" s="609"/>
      <c r="D10" s="609"/>
      <c r="E10" s="609"/>
      <c r="F10" s="166"/>
      <c r="G10" s="612"/>
      <c r="H10" s="612"/>
      <c r="I10" s="605" t="s">
        <v>137</v>
      </c>
      <c r="J10" s="551"/>
      <c r="K10" s="552"/>
      <c r="L10" s="607" t="s">
        <v>138</v>
      </c>
      <c r="M10" s="593"/>
      <c r="N10" s="614" t="s">
        <v>139</v>
      </c>
      <c r="O10" s="617"/>
      <c r="P10" s="167" t="s">
        <v>140</v>
      </c>
      <c r="Q10" s="167" t="s">
        <v>141</v>
      </c>
      <c r="R10" s="168" t="s">
        <v>142</v>
      </c>
      <c r="S10" s="620"/>
      <c r="U10" s="42"/>
    </row>
    <row r="11" spans="1:26" ht="27" customHeight="1" x14ac:dyDescent="0.25">
      <c r="A11" s="609"/>
      <c r="B11" s="610"/>
      <c r="C11" s="610"/>
      <c r="D11" s="610"/>
      <c r="E11" s="610"/>
      <c r="F11" s="166"/>
      <c r="G11" s="613"/>
      <c r="H11" s="613"/>
      <c r="I11" s="165" t="s">
        <v>143</v>
      </c>
      <c r="J11" s="165" t="s">
        <v>144</v>
      </c>
      <c r="K11" s="165" t="s">
        <v>145</v>
      </c>
      <c r="L11" s="170" t="s">
        <v>146</v>
      </c>
      <c r="M11" s="165" t="s">
        <v>147</v>
      </c>
      <c r="N11" s="615"/>
      <c r="O11" s="618"/>
      <c r="P11" s="171"/>
      <c r="Q11" s="171"/>
      <c r="R11" s="171"/>
      <c r="S11" s="621"/>
      <c r="U11" s="42"/>
    </row>
    <row r="12" spans="1:26" ht="32.4" customHeight="1" x14ac:dyDescent="0.25">
      <c r="A12" s="449">
        <f>SUBTOTAL(3,$C$12:C12)</f>
        <v>1</v>
      </c>
      <c r="B12" s="446" t="s">
        <v>319</v>
      </c>
      <c r="C12" s="102" t="s">
        <v>321</v>
      </c>
      <c r="D12" s="182" t="s">
        <v>322</v>
      </c>
      <c r="E12" s="38" t="s">
        <v>318</v>
      </c>
      <c r="F12" s="174"/>
      <c r="G12" s="437">
        <v>7500000</v>
      </c>
      <c r="H12" s="437">
        <v>4880000</v>
      </c>
      <c r="I12" s="175">
        <v>720000</v>
      </c>
      <c r="J12" s="175">
        <v>400000</v>
      </c>
      <c r="K12" s="175">
        <v>2500000</v>
      </c>
      <c r="L12" s="176"/>
      <c r="M12" s="176"/>
      <c r="N12" s="175">
        <f t="shared" ref="N12:N17" si="0">SUM(I12:M12)</f>
        <v>3620000</v>
      </c>
      <c r="O12" s="177">
        <f t="shared" ref="O12" si="1">G12+H12+N12</f>
        <v>16000000</v>
      </c>
      <c r="P12" s="178"/>
      <c r="Q12" s="178"/>
      <c r="R12" s="178"/>
      <c r="S12" s="179">
        <f>O12+R12</f>
        <v>16000000</v>
      </c>
      <c r="T12" s="180"/>
      <c r="U12" s="181"/>
      <c r="V12" s="181"/>
      <c r="W12" s="180"/>
      <c r="X12" s="180"/>
      <c r="Y12" s="180"/>
      <c r="Z12" s="180"/>
    </row>
    <row r="13" spans="1:26" ht="27" customHeight="1" x14ac:dyDescent="0.25">
      <c r="A13" s="449">
        <f>SUBTOTAL(3,$C$12:C13)</f>
        <v>2</v>
      </c>
      <c r="B13" s="447" t="s">
        <v>347</v>
      </c>
      <c r="C13" s="380" t="s">
        <v>324</v>
      </c>
      <c r="D13" s="381" t="s">
        <v>323</v>
      </c>
      <c r="E13" s="373" t="s">
        <v>325</v>
      </c>
      <c r="F13" s="382"/>
      <c r="G13" s="438">
        <v>7500000</v>
      </c>
      <c r="H13" s="438">
        <v>7480000</v>
      </c>
      <c r="I13" s="383">
        <v>720000</v>
      </c>
      <c r="J13" s="383">
        <v>400000</v>
      </c>
      <c r="K13" s="383">
        <v>900000</v>
      </c>
      <c r="L13" s="383"/>
      <c r="M13" s="384"/>
      <c r="N13" s="383">
        <f>SUM(I13:M13)</f>
        <v>2020000</v>
      </c>
      <c r="O13" s="385">
        <f t="shared" ref="O13:O17" si="2">G13+H13+N13</f>
        <v>17000000</v>
      </c>
      <c r="P13" s="386"/>
      <c r="Q13" s="386"/>
      <c r="R13" s="386"/>
      <c r="S13" s="387">
        <f t="shared" ref="S13:S20" si="3">O13+R13</f>
        <v>17000000</v>
      </c>
      <c r="T13" s="180"/>
      <c r="U13" s="181"/>
      <c r="V13" s="181"/>
      <c r="W13" s="180"/>
      <c r="X13" s="180"/>
      <c r="Y13" s="180"/>
      <c r="Z13" s="180"/>
    </row>
    <row r="14" spans="1:26" ht="27" customHeight="1" x14ac:dyDescent="0.25">
      <c r="A14" s="449">
        <f>SUBTOTAL(3,$C$12:C14)</f>
        <v>3</v>
      </c>
      <c r="B14" s="448" t="s">
        <v>347</v>
      </c>
      <c r="C14" s="388" t="s">
        <v>341</v>
      </c>
      <c r="D14" s="389" t="s">
        <v>339</v>
      </c>
      <c r="E14" s="374" t="s">
        <v>340</v>
      </c>
      <c r="F14" s="390"/>
      <c r="G14" s="439"/>
      <c r="H14" s="439">
        <v>13046667</v>
      </c>
      <c r="I14" s="391">
        <v>720000</v>
      </c>
      <c r="J14" s="391">
        <v>400000</v>
      </c>
      <c r="K14" s="391">
        <v>2500000</v>
      </c>
      <c r="L14" s="391"/>
      <c r="M14" s="391"/>
      <c r="N14" s="391">
        <f t="shared" si="0"/>
        <v>3620000</v>
      </c>
      <c r="O14" s="392">
        <f t="shared" ref="O14" si="4">G14+H14+N14</f>
        <v>16666667</v>
      </c>
      <c r="P14" s="390"/>
      <c r="Q14" s="390"/>
      <c r="R14" s="390"/>
      <c r="S14" s="387">
        <f t="shared" si="3"/>
        <v>16666667</v>
      </c>
      <c r="T14" s="180"/>
      <c r="U14" s="181"/>
      <c r="V14" s="181"/>
      <c r="W14" s="180"/>
      <c r="X14" s="180"/>
      <c r="Y14" s="180"/>
      <c r="Z14" s="180"/>
    </row>
    <row r="15" spans="1:26" ht="27" customHeight="1" x14ac:dyDescent="0.25">
      <c r="A15" s="449">
        <f>SUBTOTAL(3,$C$12:C15)</f>
        <v>4</v>
      </c>
      <c r="B15" s="448" t="s">
        <v>347</v>
      </c>
      <c r="C15" s="388" t="s">
        <v>324</v>
      </c>
      <c r="D15" s="389" t="s">
        <v>333</v>
      </c>
      <c r="E15" s="374" t="s">
        <v>334</v>
      </c>
      <c r="F15" s="390"/>
      <c r="G15" s="439">
        <v>8000000</v>
      </c>
      <c r="H15" s="439">
        <v>10180000</v>
      </c>
      <c r="I15" s="391">
        <v>720000</v>
      </c>
      <c r="J15" s="391">
        <v>400000</v>
      </c>
      <c r="K15" s="391">
        <v>1924000</v>
      </c>
      <c r="L15" s="391"/>
      <c r="M15" s="391"/>
      <c r="N15" s="391">
        <f t="shared" si="0"/>
        <v>3044000</v>
      </c>
      <c r="O15" s="392">
        <f t="shared" si="2"/>
        <v>21224000</v>
      </c>
      <c r="P15" s="390"/>
      <c r="Q15" s="390"/>
      <c r="R15" s="390"/>
      <c r="S15" s="393">
        <f t="shared" si="3"/>
        <v>21224000</v>
      </c>
      <c r="T15" s="180"/>
      <c r="U15" s="181"/>
      <c r="V15" s="181"/>
      <c r="W15" s="180"/>
      <c r="X15" s="180"/>
      <c r="Y15" s="180"/>
      <c r="Z15" s="180"/>
    </row>
    <row r="16" spans="1:26" ht="27" customHeight="1" x14ac:dyDescent="0.25">
      <c r="A16" s="449">
        <f>SUBTOTAL(3,$C$12:C16)</f>
        <v>5</v>
      </c>
      <c r="B16" s="448" t="s">
        <v>338</v>
      </c>
      <c r="C16" s="388" t="s">
        <v>336</v>
      </c>
      <c r="D16" s="389" t="s">
        <v>335</v>
      </c>
      <c r="E16" s="374" t="s">
        <v>337</v>
      </c>
      <c r="F16" s="390"/>
      <c r="G16" s="439">
        <v>5500000</v>
      </c>
      <c r="H16" s="439">
        <v>42306650</v>
      </c>
      <c r="I16" s="391">
        <v>720000</v>
      </c>
      <c r="J16" s="391">
        <v>400000</v>
      </c>
      <c r="K16" s="391">
        <v>900000</v>
      </c>
      <c r="L16" s="391"/>
      <c r="M16" s="391"/>
      <c r="N16" s="391">
        <f t="shared" si="0"/>
        <v>2020000</v>
      </c>
      <c r="O16" s="392">
        <f t="shared" si="2"/>
        <v>49826650</v>
      </c>
      <c r="P16" s="390"/>
      <c r="Q16" s="390"/>
      <c r="R16" s="390"/>
      <c r="S16" s="393">
        <f t="shared" si="3"/>
        <v>49826650</v>
      </c>
      <c r="T16" s="180"/>
      <c r="U16" s="181"/>
      <c r="V16" s="181"/>
      <c r="W16" s="180"/>
      <c r="X16" s="180"/>
      <c r="Y16" s="180"/>
      <c r="Z16" s="180"/>
    </row>
    <row r="17" spans="1:26" ht="27" customHeight="1" x14ac:dyDescent="0.25">
      <c r="A17" s="449">
        <f>SUBTOTAL(3,$C$12:C17)</f>
        <v>6</v>
      </c>
      <c r="B17" s="448" t="s">
        <v>338</v>
      </c>
      <c r="C17" s="388" t="s">
        <v>349</v>
      </c>
      <c r="D17" s="389" t="s">
        <v>348</v>
      </c>
      <c r="E17" s="374" t="s">
        <v>377</v>
      </c>
      <c r="F17" s="390"/>
      <c r="G17" s="439">
        <v>5500000</v>
      </c>
      <c r="H17" s="439">
        <v>2457500</v>
      </c>
      <c r="I17" s="391">
        <v>720000</v>
      </c>
      <c r="J17" s="391">
        <v>400000</v>
      </c>
      <c r="K17" s="391">
        <v>500000</v>
      </c>
      <c r="L17" s="391"/>
      <c r="M17" s="391"/>
      <c r="N17" s="391">
        <f t="shared" si="0"/>
        <v>1620000</v>
      </c>
      <c r="O17" s="392">
        <f t="shared" si="2"/>
        <v>9577500</v>
      </c>
      <c r="P17" s="390"/>
      <c r="Q17" s="390"/>
      <c r="R17" s="390"/>
      <c r="S17" s="393">
        <f t="shared" si="3"/>
        <v>9577500</v>
      </c>
      <c r="T17" s="180"/>
      <c r="U17" s="181"/>
      <c r="V17" s="181"/>
      <c r="W17" s="180"/>
      <c r="X17" s="180"/>
      <c r="Y17" s="180"/>
      <c r="Z17" s="180"/>
    </row>
    <row r="18" spans="1:26" ht="27" customHeight="1" x14ac:dyDescent="0.25">
      <c r="A18" s="449">
        <f>SUBTOTAL(3,$C$12:C18)</f>
        <v>7</v>
      </c>
      <c r="B18" s="448" t="s">
        <v>338</v>
      </c>
      <c r="C18" s="388" t="s">
        <v>349</v>
      </c>
      <c r="D18" s="389" t="s">
        <v>350</v>
      </c>
      <c r="E18" s="374" t="s">
        <v>351</v>
      </c>
      <c r="F18" s="390"/>
      <c r="G18" s="439">
        <v>5500000</v>
      </c>
      <c r="H18" s="439">
        <v>1880000</v>
      </c>
      <c r="I18" s="391">
        <v>720000</v>
      </c>
      <c r="J18" s="391">
        <v>400000</v>
      </c>
      <c r="K18" s="391">
        <v>500000</v>
      </c>
      <c r="L18" s="391"/>
      <c r="M18" s="391"/>
      <c r="N18" s="391">
        <f t="shared" ref="N18:N23" si="5">SUM(I18:M18)</f>
        <v>1620000</v>
      </c>
      <c r="O18" s="392">
        <f t="shared" ref="O18:O20" si="6">G18+H18+N18</f>
        <v>9000000</v>
      </c>
      <c r="P18" s="390"/>
      <c r="Q18" s="390"/>
      <c r="R18" s="390"/>
      <c r="S18" s="393">
        <f t="shared" si="3"/>
        <v>9000000</v>
      </c>
      <c r="T18" s="180"/>
      <c r="U18" s="181"/>
      <c r="V18" s="181"/>
      <c r="W18" s="180"/>
      <c r="X18" s="180"/>
      <c r="Y18" s="180"/>
      <c r="Z18" s="180"/>
    </row>
    <row r="19" spans="1:26" ht="27" customHeight="1" x14ac:dyDescent="0.25">
      <c r="A19" s="449">
        <f>SUBTOTAL(3,$C$12:C19)</f>
        <v>8</v>
      </c>
      <c r="B19" s="448" t="s">
        <v>347</v>
      </c>
      <c r="C19" s="388" t="s">
        <v>352</v>
      </c>
      <c r="D19" s="389" t="s">
        <v>353</v>
      </c>
      <c r="E19" s="374" t="s">
        <v>354</v>
      </c>
      <c r="F19" s="390"/>
      <c r="G19" s="439"/>
      <c r="H19" s="439">
        <v>5768889</v>
      </c>
      <c r="I19" s="391">
        <v>720000</v>
      </c>
      <c r="J19" s="391">
        <v>400000</v>
      </c>
      <c r="K19" s="391">
        <v>2000000</v>
      </c>
      <c r="L19" s="391"/>
      <c r="M19" s="391"/>
      <c r="N19" s="391">
        <f t="shared" si="5"/>
        <v>3120000</v>
      </c>
      <c r="O19" s="392">
        <f t="shared" si="6"/>
        <v>8888889</v>
      </c>
      <c r="P19" s="390"/>
      <c r="Q19" s="390"/>
      <c r="R19" s="390"/>
      <c r="S19" s="393">
        <f t="shared" si="3"/>
        <v>8888889</v>
      </c>
      <c r="T19" s="180"/>
      <c r="U19" s="181"/>
      <c r="V19" s="181"/>
      <c r="W19" s="180"/>
      <c r="X19" s="180"/>
      <c r="Y19" s="180"/>
      <c r="Z19" s="180"/>
    </row>
    <row r="20" spans="1:26" ht="27" customHeight="1" x14ac:dyDescent="0.25">
      <c r="A20" s="449">
        <f>SUBTOTAL(3,$C$12:C20)</f>
        <v>9</v>
      </c>
      <c r="B20" s="448" t="s">
        <v>338</v>
      </c>
      <c r="C20" s="388" t="s">
        <v>359</v>
      </c>
      <c r="D20" s="389" t="s">
        <v>358</v>
      </c>
      <c r="E20" s="374" t="s">
        <v>360</v>
      </c>
      <c r="F20" s="390"/>
      <c r="G20" s="439">
        <v>5500000</v>
      </c>
      <c r="H20" s="439">
        <v>5880000</v>
      </c>
      <c r="I20" s="391">
        <v>720000</v>
      </c>
      <c r="J20" s="391">
        <v>400000</v>
      </c>
      <c r="K20" s="391">
        <v>500000</v>
      </c>
      <c r="L20" s="391"/>
      <c r="M20" s="391"/>
      <c r="N20" s="391">
        <f t="shared" si="5"/>
        <v>1620000</v>
      </c>
      <c r="O20" s="392">
        <f t="shared" si="6"/>
        <v>13000000</v>
      </c>
      <c r="P20" s="390"/>
      <c r="Q20" s="390"/>
      <c r="R20" s="390"/>
      <c r="S20" s="393">
        <f t="shared" si="3"/>
        <v>13000000</v>
      </c>
      <c r="T20" s="180"/>
      <c r="U20" s="181"/>
      <c r="V20" s="181"/>
      <c r="W20" s="180"/>
      <c r="X20" s="180"/>
      <c r="Y20" s="180"/>
      <c r="Z20" s="180"/>
    </row>
    <row r="21" spans="1:26" ht="27" customHeight="1" x14ac:dyDescent="0.25">
      <c r="A21" s="449">
        <f>SUBTOTAL(3,$C$12:C21)</f>
        <v>10</v>
      </c>
      <c r="B21" s="448" t="s">
        <v>338</v>
      </c>
      <c r="C21" s="388" t="s">
        <v>349</v>
      </c>
      <c r="D21" s="389" t="s">
        <v>362</v>
      </c>
      <c r="E21" s="374" t="s">
        <v>361</v>
      </c>
      <c r="F21" s="390"/>
      <c r="G21" s="439">
        <v>5500000</v>
      </c>
      <c r="H21" s="439">
        <v>2457500</v>
      </c>
      <c r="I21" s="391">
        <v>720000</v>
      </c>
      <c r="J21" s="391">
        <v>400000</v>
      </c>
      <c r="K21" s="391">
        <v>500000</v>
      </c>
      <c r="L21" s="391"/>
      <c r="M21" s="391"/>
      <c r="N21" s="391">
        <f t="shared" si="5"/>
        <v>1620000</v>
      </c>
      <c r="O21" s="392">
        <f t="shared" ref="O21:O22" si="7">G21+H21+N21</f>
        <v>9577500</v>
      </c>
      <c r="P21" s="390"/>
      <c r="Q21" s="390"/>
      <c r="R21" s="390"/>
      <c r="S21" s="393">
        <f t="shared" ref="S21:S22" si="8">O21+R21</f>
        <v>9577500</v>
      </c>
      <c r="T21" s="180"/>
      <c r="U21" s="181"/>
      <c r="V21" s="181"/>
      <c r="W21" s="180"/>
      <c r="X21" s="180"/>
      <c r="Y21" s="180"/>
      <c r="Z21" s="180"/>
    </row>
    <row r="22" spans="1:26" ht="27" customHeight="1" x14ac:dyDescent="0.25">
      <c r="A22" s="449">
        <f>SUBTOTAL(3,$C$12:C22)</f>
        <v>11</v>
      </c>
      <c r="B22" s="448" t="s">
        <v>319</v>
      </c>
      <c r="C22" s="388" t="s">
        <v>363</v>
      </c>
      <c r="D22" s="389" t="s">
        <v>364</v>
      </c>
      <c r="E22" s="374" t="s">
        <v>365</v>
      </c>
      <c r="F22" s="390"/>
      <c r="G22" s="439">
        <v>5300000</v>
      </c>
      <c r="H22" s="439">
        <v>736500</v>
      </c>
      <c r="I22" s="391">
        <v>720000</v>
      </c>
      <c r="J22" s="391">
        <v>400000</v>
      </c>
      <c r="K22" s="391">
        <v>400000</v>
      </c>
      <c r="L22" s="391"/>
      <c r="M22" s="391"/>
      <c r="N22" s="391">
        <f t="shared" si="5"/>
        <v>1520000</v>
      </c>
      <c r="O22" s="392">
        <f t="shared" si="7"/>
        <v>7556500</v>
      </c>
      <c r="P22" s="390"/>
      <c r="Q22" s="390"/>
      <c r="R22" s="390"/>
      <c r="S22" s="393">
        <f t="shared" si="8"/>
        <v>7556500</v>
      </c>
      <c r="T22" s="180"/>
      <c r="U22" s="181"/>
      <c r="V22" s="181"/>
      <c r="W22" s="180"/>
      <c r="X22" s="180"/>
      <c r="Y22" s="180"/>
      <c r="Z22" s="180"/>
    </row>
    <row r="23" spans="1:26" ht="27" customHeight="1" x14ac:dyDescent="0.25">
      <c r="A23" s="449">
        <f>SUBTOTAL(3,$C$12:C23)</f>
        <v>12</v>
      </c>
      <c r="B23" s="448" t="s">
        <v>319</v>
      </c>
      <c r="C23" s="388" t="s">
        <v>372</v>
      </c>
      <c r="D23" s="389" t="s">
        <v>366</v>
      </c>
      <c r="E23" s="374" t="s">
        <v>367</v>
      </c>
      <c r="F23" s="390"/>
      <c r="G23" s="439">
        <v>5300000</v>
      </c>
      <c r="H23" s="439">
        <v>3736500</v>
      </c>
      <c r="I23" s="391">
        <v>720000</v>
      </c>
      <c r="J23" s="391">
        <v>400000</v>
      </c>
      <c r="K23" s="391">
        <v>400000</v>
      </c>
      <c r="L23" s="391"/>
      <c r="M23" s="391"/>
      <c r="N23" s="391">
        <f t="shared" si="5"/>
        <v>1520000</v>
      </c>
      <c r="O23" s="392">
        <f t="shared" ref="O23" si="9">G23+H23+N23</f>
        <v>10556500</v>
      </c>
      <c r="P23" s="390"/>
      <c r="Q23" s="390"/>
      <c r="R23" s="390"/>
      <c r="S23" s="393">
        <f t="shared" ref="S23" si="10">O23+R23</f>
        <v>10556500</v>
      </c>
      <c r="T23" s="180"/>
      <c r="U23" s="181"/>
      <c r="V23" s="181"/>
      <c r="W23" s="180"/>
      <c r="X23" s="180"/>
      <c r="Y23" s="180"/>
      <c r="Z23" s="180"/>
    </row>
    <row r="24" spans="1:26" ht="27" customHeight="1" x14ac:dyDescent="0.25">
      <c r="A24" s="449">
        <f>SUBTOTAL(3,$C$12:C24)</f>
        <v>13</v>
      </c>
      <c r="B24" s="448" t="s">
        <v>319</v>
      </c>
      <c r="C24" s="388" t="s">
        <v>373</v>
      </c>
      <c r="D24" s="389" t="s">
        <v>368</v>
      </c>
      <c r="E24" s="374" t="s">
        <v>369</v>
      </c>
      <c r="F24" s="390"/>
      <c r="G24" s="439">
        <v>5500000</v>
      </c>
      <c r="H24" s="439">
        <v>3457500</v>
      </c>
      <c r="I24" s="391">
        <v>720000</v>
      </c>
      <c r="J24" s="391">
        <v>400000</v>
      </c>
      <c r="K24" s="391">
        <v>500000</v>
      </c>
      <c r="L24" s="391"/>
      <c r="M24" s="391"/>
      <c r="N24" s="391">
        <f t="shared" ref="N24" si="11">SUM(I24:M24)</f>
        <v>1620000</v>
      </c>
      <c r="O24" s="392">
        <f t="shared" ref="O24" si="12">G24+H24+N24</f>
        <v>10577500</v>
      </c>
      <c r="P24" s="390"/>
      <c r="Q24" s="390"/>
      <c r="R24" s="390"/>
      <c r="S24" s="393">
        <f t="shared" ref="S24" si="13">O24+R24</f>
        <v>10577500</v>
      </c>
      <c r="T24" s="180"/>
      <c r="U24" s="181"/>
      <c r="V24" s="181"/>
      <c r="W24" s="180"/>
      <c r="X24" s="180"/>
      <c r="Y24" s="180"/>
      <c r="Z24" s="180"/>
    </row>
    <row r="25" spans="1:26" ht="27" customHeight="1" x14ac:dyDescent="0.25">
      <c r="A25" s="449">
        <f>SUBTOTAL(3,$C$12:C25)</f>
        <v>14</v>
      </c>
      <c r="B25" s="448" t="s">
        <v>319</v>
      </c>
      <c r="C25" s="388" t="s">
        <v>319</v>
      </c>
      <c r="D25" s="389" t="s">
        <v>370</v>
      </c>
      <c r="E25" s="374" t="s">
        <v>371</v>
      </c>
      <c r="F25" s="390"/>
      <c r="G25" s="439">
        <v>5500000</v>
      </c>
      <c r="H25" s="439">
        <v>2457500</v>
      </c>
      <c r="I25" s="391">
        <v>720000</v>
      </c>
      <c r="J25" s="391">
        <v>400000</v>
      </c>
      <c r="K25" s="391">
        <v>500000</v>
      </c>
      <c r="L25" s="391"/>
      <c r="M25" s="391"/>
      <c r="N25" s="391">
        <f t="shared" ref="N25:N28" si="14">SUM(I25:M25)</f>
        <v>1620000</v>
      </c>
      <c r="O25" s="392">
        <f t="shared" ref="O25:O28" si="15">G25+H25+N25</f>
        <v>9577500</v>
      </c>
      <c r="P25" s="390"/>
      <c r="Q25" s="390"/>
      <c r="R25" s="390"/>
      <c r="S25" s="393">
        <f t="shared" ref="S25:S28" si="16">O25+R25</f>
        <v>9577500</v>
      </c>
      <c r="T25" s="180"/>
      <c r="U25" s="181"/>
      <c r="V25" s="181"/>
      <c r="W25" s="180"/>
      <c r="X25" s="180"/>
      <c r="Y25" s="180"/>
      <c r="Z25" s="180"/>
    </row>
    <row r="26" spans="1:26" ht="27" customHeight="1" x14ac:dyDescent="0.25">
      <c r="A26" s="449">
        <f>SUBTOTAL(3,$C$12:C26)</f>
        <v>15</v>
      </c>
      <c r="B26" s="448" t="s">
        <v>319</v>
      </c>
      <c r="C26" s="388" t="s">
        <v>378</v>
      </c>
      <c r="D26" s="389" t="s">
        <v>379</v>
      </c>
      <c r="E26" s="374" t="s">
        <v>380</v>
      </c>
      <c r="F26" s="390"/>
      <c r="G26" s="439">
        <v>5500000</v>
      </c>
      <c r="H26" s="439">
        <v>5880000</v>
      </c>
      <c r="I26" s="391">
        <v>720000</v>
      </c>
      <c r="J26" s="391">
        <v>400000</v>
      </c>
      <c r="K26" s="391">
        <v>500000</v>
      </c>
      <c r="L26" s="391"/>
      <c r="M26" s="391"/>
      <c r="N26" s="391">
        <f t="shared" si="14"/>
        <v>1620000</v>
      </c>
      <c r="O26" s="392">
        <f t="shared" si="15"/>
        <v>13000000</v>
      </c>
      <c r="P26" s="390"/>
      <c r="Q26" s="390"/>
      <c r="R26" s="390"/>
      <c r="S26" s="393">
        <f t="shared" si="16"/>
        <v>13000000</v>
      </c>
      <c r="T26" s="180"/>
      <c r="U26" s="181"/>
      <c r="V26" s="181"/>
      <c r="W26" s="180"/>
      <c r="X26" s="180"/>
      <c r="Y26" s="180"/>
      <c r="Z26" s="180"/>
    </row>
    <row r="27" spans="1:26" ht="27" customHeight="1" x14ac:dyDescent="0.25">
      <c r="A27" s="449">
        <f>SUBTOTAL(3,$C$12:C27)</f>
        <v>16</v>
      </c>
      <c r="B27" s="448" t="s">
        <v>338</v>
      </c>
      <c r="C27" s="388" t="s">
        <v>349</v>
      </c>
      <c r="D27" s="389" t="s">
        <v>381</v>
      </c>
      <c r="E27" s="374" t="s">
        <v>382</v>
      </c>
      <c r="F27" s="390"/>
      <c r="G27" s="439">
        <v>5500000</v>
      </c>
      <c r="H27" s="439">
        <v>1957500</v>
      </c>
      <c r="I27" s="391">
        <v>720000</v>
      </c>
      <c r="J27" s="391">
        <v>400000</v>
      </c>
      <c r="K27" s="391">
        <v>500000</v>
      </c>
      <c r="L27" s="391"/>
      <c r="M27" s="391"/>
      <c r="N27" s="391">
        <f t="shared" si="14"/>
        <v>1620000</v>
      </c>
      <c r="O27" s="392">
        <f t="shared" si="15"/>
        <v>9077500</v>
      </c>
      <c r="P27" s="390"/>
      <c r="Q27" s="390"/>
      <c r="R27" s="390"/>
      <c r="S27" s="393">
        <f t="shared" si="16"/>
        <v>9077500</v>
      </c>
      <c r="T27" s="180"/>
      <c r="U27" s="181"/>
      <c r="V27" s="181"/>
      <c r="W27" s="180"/>
      <c r="X27" s="180"/>
      <c r="Y27" s="180"/>
      <c r="Z27" s="180"/>
    </row>
    <row r="28" spans="1:26" ht="27" customHeight="1" x14ac:dyDescent="0.25">
      <c r="A28" s="449">
        <f>SUBTOTAL(3,$C$12:C28)</f>
        <v>17</v>
      </c>
      <c r="B28" s="448" t="s">
        <v>338</v>
      </c>
      <c r="C28" s="388" t="s">
        <v>349</v>
      </c>
      <c r="D28" s="389" t="s">
        <v>383</v>
      </c>
      <c r="E28" s="374" t="s">
        <v>384</v>
      </c>
      <c r="F28" s="390"/>
      <c r="G28" s="439">
        <v>5500000</v>
      </c>
      <c r="H28" s="439">
        <v>2457500</v>
      </c>
      <c r="I28" s="391">
        <v>720000</v>
      </c>
      <c r="J28" s="391">
        <v>400000</v>
      </c>
      <c r="K28" s="391">
        <v>500000</v>
      </c>
      <c r="L28" s="391"/>
      <c r="M28" s="391"/>
      <c r="N28" s="391">
        <f t="shared" si="14"/>
        <v>1620000</v>
      </c>
      <c r="O28" s="392">
        <f t="shared" si="15"/>
        <v>9577500</v>
      </c>
      <c r="P28" s="390"/>
      <c r="Q28" s="390"/>
      <c r="R28" s="390"/>
      <c r="S28" s="393">
        <f t="shared" si="16"/>
        <v>9577500</v>
      </c>
      <c r="T28" s="180"/>
      <c r="U28" s="181"/>
      <c r="V28" s="181"/>
      <c r="W28" s="180"/>
      <c r="X28" s="180"/>
      <c r="Y28" s="180"/>
      <c r="Z28" s="180"/>
    </row>
    <row r="29" spans="1:26" ht="27" customHeight="1" x14ac:dyDescent="0.25">
      <c r="A29" s="449">
        <f>SUBTOTAL(3,$C$12:C29)</f>
        <v>18</v>
      </c>
      <c r="B29" s="448" t="s">
        <v>319</v>
      </c>
      <c r="C29" s="388" t="s">
        <v>319</v>
      </c>
      <c r="D29" s="389" t="s">
        <v>387</v>
      </c>
      <c r="E29" s="374" t="s">
        <v>388</v>
      </c>
      <c r="F29" s="390"/>
      <c r="G29" s="439">
        <v>5300000</v>
      </c>
      <c r="H29" s="439">
        <v>2736500</v>
      </c>
      <c r="I29" s="391">
        <v>720000</v>
      </c>
      <c r="J29" s="391">
        <v>400000</v>
      </c>
      <c r="K29" s="391">
        <v>400000</v>
      </c>
      <c r="L29" s="391"/>
      <c r="M29" s="391"/>
      <c r="N29" s="391">
        <f t="shared" ref="N29:N33" si="17">SUM(I29:M29)</f>
        <v>1520000</v>
      </c>
      <c r="O29" s="392">
        <f t="shared" ref="O29:O33" si="18">G29+H29+N29</f>
        <v>9556500</v>
      </c>
      <c r="P29" s="390"/>
      <c r="Q29" s="390"/>
      <c r="R29" s="390"/>
      <c r="S29" s="393">
        <f t="shared" ref="S29:S33" si="19">O29+R29</f>
        <v>9556500</v>
      </c>
      <c r="T29" s="180"/>
      <c r="U29" s="181"/>
      <c r="V29" s="181"/>
      <c r="W29" s="180"/>
      <c r="X29" s="180"/>
      <c r="Y29" s="180"/>
      <c r="Z29" s="180"/>
    </row>
    <row r="30" spans="1:26" ht="27" customHeight="1" x14ac:dyDescent="0.25">
      <c r="A30" s="449">
        <f>SUBTOTAL(3,$C$12:C30)</f>
        <v>19</v>
      </c>
      <c r="B30" s="448" t="s">
        <v>338</v>
      </c>
      <c r="C30" s="388" t="s">
        <v>349</v>
      </c>
      <c r="D30" s="389" t="s">
        <v>390</v>
      </c>
      <c r="E30" s="374" t="s">
        <v>392</v>
      </c>
      <c r="F30" s="390"/>
      <c r="G30" s="439">
        <v>5500000</v>
      </c>
      <c r="H30" s="439">
        <v>5457500</v>
      </c>
      <c r="I30" s="391">
        <v>720000</v>
      </c>
      <c r="J30" s="391">
        <v>400000</v>
      </c>
      <c r="K30" s="391">
        <v>500000</v>
      </c>
      <c r="L30" s="391"/>
      <c r="M30" s="391"/>
      <c r="N30" s="391">
        <f t="shared" si="17"/>
        <v>1620000</v>
      </c>
      <c r="O30" s="392">
        <f t="shared" si="18"/>
        <v>12577500</v>
      </c>
      <c r="P30" s="390"/>
      <c r="Q30" s="390"/>
      <c r="R30" s="390"/>
      <c r="S30" s="393">
        <f t="shared" si="19"/>
        <v>12577500</v>
      </c>
      <c r="T30" s="181"/>
      <c r="U30" s="181"/>
      <c r="V30" s="181"/>
      <c r="W30" s="180"/>
      <c r="X30" s="180"/>
      <c r="Y30" s="180"/>
      <c r="Z30" s="180"/>
    </row>
    <row r="31" spans="1:26" ht="27" customHeight="1" x14ac:dyDescent="0.25">
      <c r="A31" s="449">
        <f>SUBTOTAL(3,$C$12:C31)</f>
        <v>20</v>
      </c>
      <c r="B31" s="448" t="s">
        <v>338</v>
      </c>
      <c r="C31" s="388" t="s">
        <v>349</v>
      </c>
      <c r="D31" s="389" t="s">
        <v>391</v>
      </c>
      <c r="E31" s="374" t="s">
        <v>393</v>
      </c>
      <c r="F31" s="390"/>
      <c r="G31" s="439">
        <v>5500000</v>
      </c>
      <c r="H31" s="439">
        <v>4457500</v>
      </c>
      <c r="I31" s="391">
        <v>720000</v>
      </c>
      <c r="J31" s="391">
        <v>400000</v>
      </c>
      <c r="K31" s="391">
        <v>500000</v>
      </c>
      <c r="L31" s="391"/>
      <c r="M31" s="391"/>
      <c r="N31" s="391">
        <f t="shared" si="17"/>
        <v>1620000</v>
      </c>
      <c r="O31" s="392">
        <f t="shared" si="18"/>
        <v>11577500</v>
      </c>
      <c r="P31" s="390"/>
      <c r="Q31" s="390"/>
      <c r="R31" s="390"/>
      <c r="S31" s="393">
        <f t="shared" si="19"/>
        <v>11577500</v>
      </c>
      <c r="T31" s="180"/>
      <c r="U31" s="181"/>
      <c r="V31" s="181"/>
      <c r="W31" s="180"/>
      <c r="X31" s="180"/>
      <c r="Y31" s="180"/>
      <c r="Z31" s="180"/>
    </row>
    <row r="32" spans="1:26" ht="27" customHeight="1" x14ac:dyDescent="0.25">
      <c r="A32" s="449">
        <v>21</v>
      </c>
      <c r="B32" s="448" t="s">
        <v>338</v>
      </c>
      <c r="C32" s="388" t="s">
        <v>349</v>
      </c>
      <c r="D32" s="389" t="s">
        <v>394</v>
      </c>
      <c r="E32" s="374" t="s">
        <v>395</v>
      </c>
      <c r="F32" s="390"/>
      <c r="G32" s="439">
        <v>5500000</v>
      </c>
      <c r="H32" s="439">
        <v>5457500</v>
      </c>
      <c r="I32" s="391">
        <v>720000</v>
      </c>
      <c r="J32" s="391">
        <v>400000</v>
      </c>
      <c r="K32" s="391">
        <v>500000</v>
      </c>
      <c r="L32" s="391"/>
      <c r="M32" s="391"/>
      <c r="N32" s="391">
        <f t="shared" si="17"/>
        <v>1620000</v>
      </c>
      <c r="O32" s="392">
        <f t="shared" si="18"/>
        <v>12577500</v>
      </c>
      <c r="P32" s="390"/>
      <c r="Q32" s="390"/>
      <c r="R32" s="390"/>
      <c r="S32" s="393">
        <f t="shared" si="19"/>
        <v>12577500</v>
      </c>
      <c r="T32" s="180"/>
      <c r="U32" s="181"/>
      <c r="V32" s="181"/>
      <c r="W32" s="180"/>
      <c r="X32" s="180"/>
      <c r="Y32" s="180"/>
      <c r="Z32" s="180"/>
    </row>
    <row r="33" spans="1:26" ht="27" customHeight="1" x14ac:dyDescent="0.25">
      <c r="A33" s="449">
        <v>22</v>
      </c>
      <c r="B33" s="448" t="s">
        <v>320</v>
      </c>
      <c r="C33" s="388" t="s">
        <v>324</v>
      </c>
      <c r="D33" s="389" t="s">
        <v>398</v>
      </c>
      <c r="E33" s="374" t="s">
        <v>399</v>
      </c>
      <c r="F33" s="390"/>
      <c r="G33" s="439">
        <v>7500000</v>
      </c>
      <c r="H33" s="439">
        <v>7667500</v>
      </c>
      <c r="I33" s="391">
        <v>720000</v>
      </c>
      <c r="J33" s="391">
        <v>400000</v>
      </c>
      <c r="K33" s="391">
        <v>2500000</v>
      </c>
      <c r="L33" s="391"/>
      <c r="M33" s="391"/>
      <c r="N33" s="391">
        <f t="shared" si="17"/>
        <v>3620000</v>
      </c>
      <c r="O33" s="392">
        <f t="shared" si="18"/>
        <v>18787500</v>
      </c>
      <c r="P33" s="390"/>
      <c r="Q33" s="390"/>
      <c r="R33" s="390"/>
      <c r="S33" s="393">
        <f t="shared" si="19"/>
        <v>18787500</v>
      </c>
      <c r="T33" s="180"/>
      <c r="U33" s="181"/>
      <c r="V33" s="181"/>
      <c r="W33" s="180"/>
      <c r="X33" s="180"/>
      <c r="Y33" s="180"/>
      <c r="Z33" s="180"/>
    </row>
    <row r="34" spans="1:26" ht="30" customHeight="1" x14ac:dyDescent="0.25">
      <c r="A34" s="600" t="s">
        <v>51</v>
      </c>
      <c r="B34" s="601"/>
      <c r="C34" s="601"/>
      <c r="D34" s="601"/>
      <c r="E34" s="601"/>
      <c r="F34" s="394"/>
      <c r="G34" s="440">
        <f>SUM(G12:G17)</f>
        <v>34000000</v>
      </c>
      <c r="H34" s="440">
        <f>SUM(H12:H17)</f>
        <v>80350817</v>
      </c>
      <c r="I34" s="395">
        <f>SUM(I12:I16)</f>
        <v>3600000</v>
      </c>
      <c r="J34" s="395">
        <f>SUM(J12:J16)</f>
        <v>2000000</v>
      </c>
      <c r="K34" s="395">
        <f>SUM(K12:K17)</f>
        <v>9224000</v>
      </c>
      <c r="L34" s="395">
        <f>SUM(L12:L13)</f>
        <v>0</v>
      </c>
      <c r="M34" s="395">
        <f>SUM(M12:M13)</f>
        <v>0</v>
      </c>
      <c r="N34" s="395">
        <f>SUM(N12:N17)</f>
        <v>15944000</v>
      </c>
      <c r="O34" s="395">
        <f>SUM(O12:O16)</f>
        <v>120717317</v>
      </c>
      <c r="P34" s="395">
        <f>SUM(P12:P13)</f>
        <v>0</v>
      </c>
      <c r="Q34" s="395">
        <f>SUM(Q12:Q13)</f>
        <v>0</v>
      </c>
      <c r="R34" s="395">
        <f>SUM(R12:R13)</f>
        <v>0</v>
      </c>
      <c r="S34" s="395">
        <f>SUM(S12:S16)</f>
        <v>120717317</v>
      </c>
      <c r="T34" s="42"/>
      <c r="U34" s="42"/>
      <c r="V34" s="42"/>
    </row>
    <row r="35" spans="1:26" ht="15.75" customHeight="1" x14ac:dyDescent="0.3">
      <c r="A35" s="40"/>
      <c r="B35" s="40"/>
      <c r="C35" s="40"/>
      <c r="D35" s="40">
        <v>1</v>
      </c>
      <c r="E35" s="40">
        <f>1+D35</f>
        <v>2</v>
      </c>
      <c r="F35" s="40">
        <f t="shared" ref="F35:M35" si="20">1+E35</f>
        <v>3</v>
      </c>
      <c r="G35" s="441">
        <f t="shared" si="20"/>
        <v>4</v>
      </c>
      <c r="H35" s="441">
        <f t="shared" si="20"/>
        <v>5</v>
      </c>
      <c r="I35" s="40">
        <f t="shared" si="20"/>
        <v>6</v>
      </c>
      <c r="J35" s="40">
        <f t="shared" si="20"/>
        <v>7</v>
      </c>
      <c r="K35" s="40">
        <f t="shared" si="20"/>
        <v>8</v>
      </c>
      <c r="L35" s="40">
        <f t="shared" si="20"/>
        <v>9</v>
      </c>
      <c r="M35" s="40">
        <f t="shared" si="20"/>
        <v>10</v>
      </c>
      <c r="N35" s="184"/>
      <c r="O35" s="185"/>
      <c r="P35" s="186"/>
      <c r="Q35" s="187" t="e">
        <f>+#REF!/R35</f>
        <v>#REF!</v>
      </c>
      <c r="R35" s="188">
        <v>2500000000</v>
      </c>
      <c r="S35" s="189"/>
      <c r="U35" s="42"/>
    </row>
    <row r="36" spans="1:26" ht="15.75" customHeight="1" x14ac:dyDescent="0.3">
      <c r="A36" s="47" t="s">
        <v>148</v>
      </c>
      <c r="B36" s="40"/>
      <c r="C36" s="40"/>
      <c r="D36" s="40"/>
      <c r="E36" s="40"/>
      <c r="F36" s="39"/>
      <c r="G36" s="441"/>
      <c r="H36" s="441"/>
      <c r="I36" s="184"/>
      <c r="J36" s="184"/>
      <c r="K36" s="184"/>
      <c r="L36" s="184"/>
      <c r="M36" s="184"/>
      <c r="N36" s="184"/>
      <c r="O36" s="184"/>
      <c r="P36" s="186"/>
      <c r="Q36" s="186" t="s">
        <v>149</v>
      </c>
      <c r="R36" s="188" t="s">
        <v>150</v>
      </c>
      <c r="S36" s="184"/>
      <c r="T36" s="190"/>
      <c r="U36" s="42"/>
    </row>
    <row r="37" spans="1:26" ht="15.75" customHeight="1" x14ac:dyDescent="0.3">
      <c r="A37" s="602" t="s">
        <v>151</v>
      </c>
      <c r="B37" s="509"/>
      <c r="C37" s="509"/>
      <c r="D37" s="509"/>
      <c r="E37" s="509"/>
      <c r="F37" s="509"/>
      <c r="G37" s="509"/>
      <c r="H37" s="509"/>
      <c r="I37" s="509"/>
      <c r="J37" s="509"/>
      <c r="K37" s="509"/>
      <c r="L37" s="509"/>
      <c r="M37" s="509"/>
      <c r="N37" s="509"/>
      <c r="O37" s="509"/>
      <c r="P37" s="509"/>
      <c r="Q37" s="509"/>
      <c r="R37" s="509"/>
      <c r="S37" s="509"/>
      <c r="U37" s="42"/>
    </row>
    <row r="38" spans="1:26" ht="15.75" customHeight="1" x14ac:dyDescent="0.3">
      <c r="A38" s="602" t="s">
        <v>152</v>
      </c>
      <c r="B38" s="509"/>
      <c r="C38" s="509"/>
      <c r="D38" s="509"/>
      <c r="E38" s="509"/>
      <c r="F38" s="509"/>
      <c r="G38" s="509"/>
      <c r="H38" s="509"/>
      <c r="I38" s="509"/>
      <c r="J38" s="509"/>
      <c r="K38" s="509"/>
      <c r="L38" s="509"/>
      <c r="M38" s="509"/>
      <c r="N38" s="509"/>
      <c r="O38" s="509"/>
      <c r="P38" s="509"/>
      <c r="Q38" s="509"/>
      <c r="R38" s="509"/>
      <c r="S38" s="509"/>
      <c r="U38" s="42"/>
    </row>
    <row r="39" spans="1:26" ht="15.75" customHeight="1" x14ac:dyDescent="0.3">
      <c r="A39" s="602" t="s">
        <v>153</v>
      </c>
      <c r="B39" s="509"/>
      <c r="C39" s="509"/>
      <c r="D39" s="509"/>
      <c r="E39" s="509"/>
      <c r="F39" s="509"/>
      <c r="G39" s="509"/>
      <c r="H39" s="509"/>
      <c r="I39" s="509"/>
      <c r="J39" s="509"/>
      <c r="K39" s="509"/>
      <c r="L39" s="509"/>
      <c r="M39" s="509"/>
      <c r="N39" s="509"/>
      <c r="O39" s="509"/>
      <c r="P39" s="509"/>
      <c r="Q39" s="509"/>
      <c r="R39" s="509"/>
      <c r="S39" s="509"/>
      <c r="U39" s="42"/>
    </row>
    <row r="40" spans="1:26" ht="15.75" customHeight="1" x14ac:dyDescent="0.3">
      <c r="A40" s="603" t="s">
        <v>329</v>
      </c>
      <c r="B40" s="509"/>
      <c r="C40" s="509"/>
      <c r="D40" s="509"/>
      <c r="E40" s="509"/>
      <c r="F40" s="509"/>
      <c r="G40" s="509"/>
      <c r="H40" s="509"/>
      <c r="I40" s="509"/>
      <c r="J40" s="509"/>
      <c r="K40" s="509"/>
      <c r="L40" s="509"/>
      <c r="M40" s="509"/>
      <c r="N40" s="509"/>
      <c r="O40" s="509"/>
      <c r="P40" s="509"/>
      <c r="Q40" s="509"/>
      <c r="R40" s="509"/>
      <c r="S40" s="509"/>
      <c r="U40" s="42"/>
    </row>
    <row r="41" spans="1:26" ht="15.75" customHeight="1" x14ac:dyDescent="0.3">
      <c r="A41" s="40"/>
      <c r="B41" s="40"/>
      <c r="C41" s="40"/>
      <c r="D41" s="40"/>
      <c r="E41" s="40"/>
      <c r="F41" s="39"/>
      <c r="G41" s="436"/>
      <c r="H41" s="436"/>
      <c r="I41" s="184"/>
      <c r="J41" s="184"/>
      <c r="K41" s="184"/>
      <c r="L41" s="184"/>
      <c r="M41" s="184"/>
      <c r="N41" s="184"/>
      <c r="O41" s="189"/>
      <c r="P41" s="40"/>
      <c r="Q41" s="40"/>
      <c r="R41" s="184"/>
      <c r="S41" s="184"/>
      <c r="U41" s="42"/>
    </row>
    <row r="42" spans="1:26" ht="15.75" customHeight="1" x14ac:dyDescent="0.3">
      <c r="A42" s="191" t="s">
        <v>154</v>
      </c>
      <c r="B42" s="192"/>
      <c r="C42" s="192"/>
      <c r="D42" s="192"/>
      <c r="E42" s="192"/>
      <c r="F42" s="192"/>
      <c r="G42" s="594" t="s">
        <v>328</v>
      </c>
      <c r="H42" s="509"/>
      <c r="I42" s="509"/>
      <c r="J42" s="509"/>
      <c r="K42" s="185"/>
      <c r="L42" s="185"/>
      <c r="M42" s="185"/>
      <c r="N42" s="595"/>
      <c r="O42" s="509"/>
      <c r="P42" s="509"/>
      <c r="Q42" s="509"/>
      <c r="R42" s="193"/>
      <c r="S42" s="193"/>
      <c r="U42" s="42"/>
    </row>
    <row r="43" spans="1:26" ht="15.75" customHeight="1" x14ac:dyDescent="0.3">
      <c r="A43" s="599" t="s">
        <v>155</v>
      </c>
      <c r="B43" s="509"/>
      <c r="C43" s="596"/>
      <c r="D43" s="509"/>
      <c r="E43" s="509"/>
      <c r="G43" s="597" t="s">
        <v>38</v>
      </c>
      <c r="H43" s="509"/>
      <c r="I43" s="509"/>
      <c r="J43" s="509"/>
      <c r="K43" s="194"/>
      <c r="L43" s="194"/>
      <c r="M43" s="194"/>
      <c r="N43" s="184"/>
      <c r="O43" s="189"/>
      <c r="P43" s="40"/>
      <c r="Q43" s="40"/>
      <c r="R43" s="184"/>
      <c r="S43" s="184"/>
      <c r="U43" s="42"/>
    </row>
    <row r="44" spans="1:26" ht="15.75" customHeight="1" x14ac:dyDescent="0.3">
      <c r="A44" s="599" t="s">
        <v>156</v>
      </c>
      <c r="B44" s="509"/>
      <c r="C44" s="192"/>
      <c r="D44" s="192"/>
      <c r="E44" s="192"/>
      <c r="F44" s="192"/>
      <c r="G44" s="442"/>
      <c r="H44" s="442"/>
      <c r="I44" s="185"/>
      <c r="J44" s="185"/>
      <c r="K44" s="185"/>
      <c r="L44" s="185"/>
      <c r="M44" s="185"/>
      <c r="N44" s="184"/>
      <c r="O44" s="189"/>
      <c r="P44" s="40"/>
      <c r="Q44" s="40"/>
      <c r="R44" s="184"/>
      <c r="S44" s="184"/>
      <c r="U44" s="42"/>
    </row>
    <row r="45" spans="1:26" ht="15.75" customHeight="1" x14ac:dyDescent="0.3">
      <c r="A45" s="599" t="s">
        <v>157</v>
      </c>
      <c r="B45" s="509"/>
      <c r="C45" s="192"/>
      <c r="D45" s="192"/>
      <c r="E45" s="192"/>
      <c r="F45" s="192"/>
      <c r="G45" s="442"/>
      <c r="H45" s="442"/>
      <c r="I45" s="185"/>
      <c r="J45" s="185"/>
      <c r="K45" s="185"/>
      <c r="L45" s="185"/>
      <c r="M45" s="185"/>
      <c r="N45" s="184"/>
      <c r="O45" s="189"/>
      <c r="P45" s="40"/>
      <c r="Q45" s="40"/>
      <c r="R45" s="184"/>
      <c r="S45" s="184"/>
      <c r="U45" s="42"/>
    </row>
    <row r="46" spans="1:26" ht="15.75" customHeight="1" x14ac:dyDescent="0.3">
      <c r="A46" s="599" t="s">
        <v>158</v>
      </c>
      <c r="B46" s="509"/>
      <c r="C46" s="192"/>
      <c r="D46" s="192"/>
      <c r="E46" s="192"/>
      <c r="F46" s="192"/>
      <c r="G46" s="442"/>
      <c r="H46" s="442"/>
      <c r="I46" s="185"/>
      <c r="J46" s="185"/>
      <c r="K46" s="185"/>
      <c r="L46" s="185"/>
      <c r="M46" s="185"/>
      <c r="N46" s="184"/>
      <c r="O46" s="189"/>
      <c r="P46" s="40"/>
      <c r="Q46" s="40"/>
      <c r="R46" s="184"/>
      <c r="S46" s="184"/>
      <c r="U46" s="42"/>
    </row>
    <row r="47" spans="1:26" ht="15.75" customHeight="1" x14ac:dyDescent="0.3">
      <c r="A47" s="192"/>
      <c r="B47" s="192"/>
      <c r="C47" s="192"/>
      <c r="D47" s="192"/>
      <c r="E47" s="192"/>
      <c r="F47" s="192"/>
      <c r="G47" s="442"/>
      <c r="H47" s="442"/>
      <c r="I47" s="185"/>
      <c r="J47" s="185"/>
      <c r="K47" s="185"/>
      <c r="L47" s="185"/>
      <c r="M47" s="185"/>
      <c r="N47" s="184"/>
      <c r="O47" s="189"/>
      <c r="P47" s="40"/>
      <c r="Q47" s="40"/>
      <c r="R47" s="184"/>
      <c r="S47" s="184"/>
      <c r="U47" s="42"/>
    </row>
    <row r="48" spans="1:26" ht="15.75" customHeight="1" x14ac:dyDescent="0.3">
      <c r="A48" s="140"/>
      <c r="B48" s="192"/>
      <c r="C48" s="596"/>
      <c r="D48" s="509"/>
      <c r="E48" s="509"/>
      <c r="G48" s="597"/>
      <c r="H48" s="509"/>
      <c r="I48" s="509"/>
      <c r="J48" s="509"/>
      <c r="K48" s="185"/>
      <c r="L48" s="185"/>
      <c r="M48" s="185"/>
      <c r="N48" s="184"/>
      <c r="O48" s="189"/>
      <c r="P48" s="40"/>
      <c r="Q48" s="40"/>
      <c r="R48" s="184"/>
      <c r="S48" s="184"/>
      <c r="U48" s="42"/>
    </row>
    <row r="49" spans="1:21" ht="15.75" customHeight="1" x14ac:dyDescent="0.3">
      <c r="A49" s="47"/>
      <c r="B49" s="598"/>
      <c r="C49" s="509"/>
      <c r="E49" s="598"/>
      <c r="F49" s="509"/>
      <c r="G49" s="509"/>
      <c r="H49" s="444"/>
      <c r="I49" s="193"/>
      <c r="J49" s="193"/>
      <c r="K49" s="193"/>
      <c r="L49" s="193"/>
      <c r="M49" s="193"/>
      <c r="N49" s="595"/>
      <c r="O49" s="509"/>
      <c r="P49" s="509"/>
      <c r="Q49" s="509"/>
      <c r="R49" s="193"/>
      <c r="S49" s="193"/>
      <c r="U49" s="42"/>
    </row>
    <row r="50" spans="1:21" ht="15.75" customHeight="1" x14ac:dyDescent="0.25">
      <c r="U50" s="42"/>
    </row>
    <row r="51" spans="1:21" ht="15.75" customHeight="1" x14ac:dyDescent="0.25">
      <c r="U51" s="42"/>
    </row>
    <row r="52" spans="1:21" ht="15.75" customHeight="1" x14ac:dyDescent="0.25">
      <c r="U52" s="42"/>
    </row>
    <row r="53" spans="1:21" ht="15.75" customHeight="1" x14ac:dyDescent="0.25">
      <c r="U53" s="42"/>
    </row>
    <row r="54" spans="1:21" ht="15.75" customHeight="1" x14ac:dyDescent="0.25">
      <c r="U54" s="42"/>
    </row>
    <row r="55" spans="1:21" ht="15.75" customHeight="1" x14ac:dyDescent="0.25">
      <c r="U55" s="42"/>
    </row>
    <row r="56" spans="1:21" ht="15.75" customHeight="1" x14ac:dyDescent="0.25">
      <c r="U56" s="42"/>
    </row>
    <row r="57" spans="1:21" ht="15.75" customHeight="1" x14ac:dyDescent="0.25">
      <c r="U57" s="42"/>
    </row>
    <row r="58" spans="1:21" ht="15.75" customHeight="1" x14ac:dyDescent="0.25">
      <c r="U58" s="42"/>
    </row>
    <row r="59" spans="1:21" ht="15.75" customHeight="1" x14ac:dyDescent="0.25">
      <c r="U59" s="42"/>
    </row>
    <row r="60" spans="1:21" ht="15.75" customHeight="1" x14ac:dyDescent="0.25">
      <c r="U60" s="42"/>
    </row>
    <row r="61" spans="1:21" ht="15.75" customHeight="1" x14ac:dyDescent="0.25">
      <c r="U61" s="42"/>
    </row>
    <row r="62" spans="1:21" ht="15.75" customHeight="1" x14ac:dyDescent="0.25">
      <c r="U62" s="42"/>
    </row>
    <row r="63" spans="1:21" ht="15.75" customHeight="1" x14ac:dyDescent="0.25">
      <c r="U63" s="42"/>
    </row>
    <row r="64" spans="1:21" ht="15.75" customHeight="1" x14ac:dyDescent="0.25">
      <c r="U64" s="42"/>
    </row>
    <row r="65" spans="21:21" ht="15.75" customHeight="1" x14ac:dyDescent="0.25">
      <c r="U65" s="42"/>
    </row>
    <row r="66" spans="21:21" ht="15.75" customHeight="1" x14ac:dyDescent="0.25">
      <c r="U66" s="42"/>
    </row>
    <row r="67" spans="21:21" ht="15.75" customHeight="1" x14ac:dyDescent="0.25">
      <c r="U67" s="42"/>
    </row>
    <row r="68" spans="21:21" ht="15.75" customHeight="1" x14ac:dyDescent="0.25">
      <c r="U68" s="42"/>
    </row>
    <row r="69" spans="21:21" ht="15.75" customHeight="1" x14ac:dyDescent="0.25">
      <c r="U69" s="42"/>
    </row>
    <row r="70" spans="21:21" ht="15.75" customHeight="1" x14ac:dyDescent="0.25">
      <c r="U70" s="42"/>
    </row>
    <row r="71" spans="21:21" ht="15.75" customHeight="1" x14ac:dyDescent="0.25">
      <c r="U71" s="42"/>
    </row>
    <row r="72" spans="21:21" ht="15.75" customHeight="1" x14ac:dyDescent="0.25">
      <c r="U72" s="42"/>
    </row>
    <row r="73" spans="21:21" ht="15.75" customHeight="1" x14ac:dyDescent="0.25">
      <c r="U73" s="42"/>
    </row>
    <row r="74" spans="21:21" ht="15.75" customHeight="1" x14ac:dyDescent="0.25">
      <c r="U74" s="42"/>
    </row>
    <row r="75" spans="21:21" ht="15.75" customHeight="1" x14ac:dyDescent="0.25">
      <c r="U75" s="42"/>
    </row>
    <row r="76" spans="21:21" ht="15.75" customHeight="1" x14ac:dyDescent="0.25">
      <c r="U76" s="42"/>
    </row>
    <row r="77" spans="21:21" ht="15.75" customHeight="1" x14ac:dyDescent="0.25">
      <c r="U77" s="42"/>
    </row>
    <row r="78" spans="21:21" ht="15.75" customHeight="1" x14ac:dyDescent="0.25">
      <c r="U78" s="42"/>
    </row>
    <row r="79" spans="21:21" ht="15.75" customHeight="1" x14ac:dyDescent="0.25">
      <c r="U79" s="42"/>
    </row>
    <row r="80" spans="21:21" ht="15.75" customHeight="1" x14ac:dyDescent="0.25">
      <c r="U80" s="42"/>
    </row>
    <row r="81" spans="21:21" ht="15.75" customHeight="1" x14ac:dyDescent="0.25">
      <c r="U81" s="42"/>
    </row>
    <row r="82" spans="21:21" ht="15.75" customHeight="1" x14ac:dyDescent="0.25">
      <c r="U82" s="42"/>
    </row>
    <row r="83" spans="21:21" ht="15.75" customHeight="1" x14ac:dyDescent="0.25">
      <c r="U83" s="42"/>
    </row>
    <row r="84" spans="21:21" ht="15.75" customHeight="1" x14ac:dyDescent="0.25">
      <c r="U84" s="42"/>
    </row>
    <row r="85" spans="21:21" ht="15.75" customHeight="1" x14ac:dyDescent="0.25">
      <c r="U85" s="42"/>
    </row>
    <row r="86" spans="21:21" ht="15.75" customHeight="1" x14ac:dyDescent="0.25">
      <c r="U86" s="42"/>
    </row>
    <row r="87" spans="21:21" ht="15.75" customHeight="1" x14ac:dyDescent="0.25">
      <c r="U87" s="42"/>
    </row>
    <row r="88" spans="21:21" ht="15.75" customHeight="1" x14ac:dyDescent="0.25">
      <c r="U88" s="42"/>
    </row>
    <row r="89" spans="21:21" ht="15.75" customHeight="1" x14ac:dyDescent="0.25">
      <c r="U89" s="42"/>
    </row>
    <row r="90" spans="21:21" ht="15.75" customHeight="1" x14ac:dyDescent="0.25">
      <c r="U90" s="42"/>
    </row>
    <row r="91" spans="21:21" ht="15.75" customHeight="1" x14ac:dyDescent="0.25">
      <c r="U91" s="42"/>
    </row>
    <row r="92" spans="21:21" ht="15.75" customHeight="1" x14ac:dyDescent="0.25">
      <c r="U92" s="42"/>
    </row>
    <row r="93" spans="21:21" ht="15.75" customHeight="1" x14ac:dyDescent="0.25">
      <c r="U93" s="42"/>
    </row>
    <row r="94" spans="21:21" ht="15.75" customHeight="1" x14ac:dyDescent="0.25">
      <c r="U94" s="42"/>
    </row>
    <row r="95" spans="21:21" ht="15.75" customHeight="1" x14ac:dyDescent="0.25">
      <c r="U95" s="42"/>
    </row>
    <row r="96" spans="21:21" ht="15.75" customHeight="1" x14ac:dyDescent="0.25">
      <c r="U96" s="42"/>
    </row>
    <row r="97" spans="21:21" ht="15.75" customHeight="1" x14ac:dyDescent="0.25">
      <c r="U97" s="42"/>
    </row>
    <row r="98" spans="21:21" ht="15.75" customHeight="1" x14ac:dyDescent="0.25">
      <c r="U98" s="42"/>
    </row>
    <row r="99" spans="21:21" ht="15.75" customHeight="1" x14ac:dyDescent="0.25">
      <c r="U99" s="42"/>
    </row>
    <row r="100" spans="21:21" ht="15.75" customHeight="1" x14ac:dyDescent="0.25">
      <c r="U100" s="42"/>
    </row>
    <row r="101" spans="21:21" ht="15.75" customHeight="1" x14ac:dyDescent="0.25">
      <c r="U101" s="42"/>
    </row>
    <row r="102" spans="21:21" ht="15.75" customHeight="1" x14ac:dyDescent="0.25">
      <c r="U102" s="42"/>
    </row>
    <row r="103" spans="21:21" ht="15.75" customHeight="1" x14ac:dyDescent="0.25">
      <c r="U103" s="42"/>
    </row>
    <row r="104" spans="21:21" ht="15.75" customHeight="1" x14ac:dyDescent="0.25">
      <c r="U104" s="42"/>
    </row>
    <row r="105" spans="21:21" ht="15.75" customHeight="1" x14ac:dyDescent="0.25">
      <c r="U105" s="42"/>
    </row>
    <row r="106" spans="21:21" ht="15.75" customHeight="1" x14ac:dyDescent="0.25">
      <c r="U106" s="42"/>
    </row>
    <row r="107" spans="21:21" ht="15.75" customHeight="1" x14ac:dyDescent="0.25">
      <c r="U107" s="42"/>
    </row>
    <row r="108" spans="21:21" ht="15.75" customHeight="1" x14ac:dyDescent="0.25">
      <c r="U108" s="42"/>
    </row>
    <row r="109" spans="21:21" ht="15.75" customHeight="1" x14ac:dyDescent="0.25">
      <c r="U109" s="42"/>
    </row>
    <row r="110" spans="21:21" ht="15.75" customHeight="1" x14ac:dyDescent="0.25">
      <c r="U110" s="42"/>
    </row>
    <row r="111" spans="21:21" ht="15.75" customHeight="1" x14ac:dyDescent="0.25">
      <c r="U111" s="42"/>
    </row>
    <row r="112" spans="21:21" ht="15.75" customHeight="1" x14ac:dyDescent="0.25">
      <c r="U112" s="42"/>
    </row>
    <row r="113" spans="21:21" ht="15.75" customHeight="1" x14ac:dyDescent="0.25">
      <c r="U113" s="42"/>
    </row>
    <row r="114" spans="21:21" ht="15.75" customHeight="1" x14ac:dyDescent="0.25">
      <c r="U114" s="42"/>
    </row>
    <row r="115" spans="21:21" ht="15.75" customHeight="1" x14ac:dyDescent="0.25">
      <c r="U115" s="42"/>
    </row>
    <row r="116" spans="21:21" ht="15.75" customHeight="1" x14ac:dyDescent="0.25">
      <c r="U116" s="42"/>
    </row>
    <row r="117" spans="21:21" ht="15.75" customHeight="1" x14ac:dyDescent="0.25">
      <c r="U117" s="42"/>
    </row>
    <row r="118" spans="21:21" ht="15.75" customHeight="1" x14ac:dyDescent="0.25">
      <c r="U118" s="42"/>
    </row>
    <row r="119" spans="21:21" ht="15.75" customHeight="1" x14ac:dyDescent="0.25">
      <c r="U119" s="42"/>
    </row>
    <row r="120" spans="21:21" ht="15.75" customHeight="1" x14ac:dyDescent="0.25">
      <c r="U120" s="42"/>
    </row>
    <row r="121" spans="21:21" ht="15.75" customHeight="1" x14ac:dyDescent="0.25">
      <c r="U121" s="42"/>
    </row>
    <row r="122" spans="21:21" ht="15.75" customHeight="1" x14ac:dyDescent="0.25">
      <c r="U122" s="42"/>
    </row>
    <row r="123" spans="21:21" ht="15.75" customHeight="1" x14ac:dyDescent="0.25">
      <c r="U123" s="42"/>
    </row>
    <row r="124" spans="21:21" ht="15.75" customHeight="1" x14ac:dyDescent="0.25">
      <c r="U124" s="42"/>
    </row>
    <row r="125" spans="21:21" ht="15.75" customHeight="1" x14ac:dyDescent="0.25">
      <c r="U125" s="42"/>
    </row>
    <row r="126" spans="21:21" ht="15.75" customHeight="1" x14ac:dyDescent="0.25">
      <c r="U126" s="42"/>
    </row>
    <row r="127" spans="21:21" ht="15.75" customHeight="1" x14ac:dyDescent="0.25">
      <c r="U127" s="42"/>
    </row>
    <row r="128" spans="21:21" ht="15.75" customHeight="1" x14ac:dyDescent="0.25">
      <c r="U128" s="42"/>
    </row>
    <row r="129" spans="21:21" ht="15.75" customHeight="1" x14ac:dyDescent="0.25">
      <c r="U129" s="42"/>
    </row>
    <row r="130" spans="21:21" ht="15.75" customHeight="1" x14ac:dyDescent="0.25">
      <c r="U130" s="42"/>
    </row>
    <row r="131" spans="21:21" ht="15.75" customHeight="1" x14ac:dyDescent="0.25">
      <c r="U131" s="42"/>
    </row>
    <row r="132" spans="21:21" ht="15.75" customHeight="1" x14ac:dyDescent="0.25">
      <c r="U132" s="42"/>
    </row>
    <row r="133" spans="21:21" ht="15.75" customHeight="1" x14ac:dyDescent="0.25">
      <c r="U133" s="42"/>
    </row>
    <row r="134" spans="21:21" ht="15.75" customHeight="1" x14ac:dyDescent="0.25">
      <c r="U134" s="42"/>
    </row>
    <row r="135" spans="21:21" ht="15.75" customHeight="1" x14ac:dyDescent="0.25">
      <c r="U135" s="42"/>
    </row>
    <row r="136" spans="21:21" ht="15.75" customHeight="1" x14ac:dyDescent="0.25">
      <c r="U136" s="42"/>
    </row>
    <row r="137" spans="21:21" ht="15.75" customHeight="1" x14ac:dyDescent="0.25">
      <c r="U137" s="42"/>
    </row>
    <row r="138" spans="21:21" ht="15.75" customHeight="1" x14ac:dyDescent="0.25">
      <c r="U138" s="42"/>
    </row>
    <row r="139" spans="21:21" ht="15.75" customHeight="1" x14ac:dyDescent="0.25">
      <c r="U139" s="42"/>
    </row>
    <row r="140" spans="21:21" ht="15.75" customHeight="1" x14ac:dyDescent="0.25">
      <c r="U140" s="42"/>
    </row>
    <row r="141" spans="21:21" ht="15.75" customHeight="1" x14ac:dyDescent="0.25">
      <c r="U141" s="42"/>
    </row>
    <row r="142" spans="21:21" ht="15.75" customHeight="1" x14ac:dyDescent="0.25">
      <c r="U142" s="42"/>
    </row>
    <row r="143" spans="21:21" ht="15.75" customHeight="1" x14ac:dyDescent="0.25">
      <c r="U143" s="42"/>
    </row>
    <row r="144" spans="21:21" ht="15.75" customHeight="1" x14ac:dyDescent="0.25">
      <c r="U144" s="42"/>
    </row>
    <row r="145" spans="21:21" ht="15.75" customHeight="1" x14ac:dyDescent="0.25">
      <c r="U145" s="42"/>
    </row>
    <row r="146" spans="21:21" ht="15.75" customHeight="1" x14ac:dyDescent="0.25">
      <c r="U146" s="42"/>
    </row>
    <row r="147" spans="21:21" ht="15.75" customHeight="1" x14ac:dyDescent="0.25">
      <c r="U147" s="42"/>
    </row>
    <row r="148" spans="21:21" ht="15.75" customHeight="1" x14ac:dyDescent="0.25">
      <c r="U148" s="42"/>
    </row>
    <row r="149" spans="21:21" ht="15.75" customHeight="1" x14ac:dyDescent="0.25">
      <c r="U149" s="42"/>
    </row>
    <row r="150" spans="21:21" ht="15.75" customHeight="1" x14ac:dyDescent="0.25">
      <c r="U150" s="42"/>
    </row>
    <row r="151" spans="21:21" ht="15.75" customHeight="1" x14ac:dyDescent="0.25">
      <c r="U151" s="42"/>
    </row>
    <row r="152" spans="21:21" ht="15.75" customHeight="1" x14ac:dyDescent="0.25">
      <c r="U152" s="42"/>
    </row>
    <row r="153" spans="21:21" ht="15.75" customHeight="1" x14ac:dyDescent="0.25">
      <c r="U153" s="42"/>
    </row>
    <row r="154" spans="21:21" ht="15.75" customHeight="1" x14ac:dyDescent="0.25">
      <c r="U154" s="42"/>
    </row>
    <row r="155" spans="21:21" ht="15.75" customHeight="1" x14ac:dyDescent="0.25">
      <c r="U155" s="42"/>
    </row>
    <row r="156" spans="21:21" ht="15.75" customHeight="1" x14ac:dyDescent="0.25">
      <c r="U156" s="42"/>
    </row>
    <row r="157" spans="21:21" ht="15.75" customHeight="1" x14ac:dyDescent="0.25">
      <c r="U157" s="42"/>
    </row>
    <row r="158" spans="21:21" ht="15.75" customHeight="1" x14ac:dyDescent="0.25">
      <c r="U158" s="42"/>
    </row>
    <row r="159" spans="21:21" ht="15.75" customHeight="1" x14ac:dyDescent="0.25">
      <c r="U159" s="42"/>
    </row>
    <row r="160" spans="21:21" ht="15.75" customHeight="1" x14ac:dyDescent="0.25">
      <c r="U160" s="42"/>
    </row>
    <row r="161" spans="21:21" ht="15.75" customHeight="1" x14ac:dyDescent="0.25">
      <c r="U161" s="42"/>
    </row>
    <row r="162" spans="21:21" ht="15.75" customHeight="1" x14ac:dyDescent="0.25">
      <c r="U162" s="42"/>
    </row>
    <row r="163" spans="21:21" ht="15.75" customHeight="1" x14ac:dyDescent="0.25">
      <c r="U163" s="42"/>
    </row>
    <row r="164" spans="21:21" ht="15.75" customHeight="1" x14ac:dyDescent="0.25">
      <c r="U164" s="42"/>
    </row>
    <row r="165" spans="21:21" ht="15.75" customHeight="1" x14ac:dyDescent="0.25">
      <c r="U165" s="42"/>
    </row>
    <row r="166" spans="21:21" ht="15.75" customHeight="1" x14ac:dyDescent="0.25">
      <c r="U166" s="42"/>
    </row>
    <row r="167" spans="21:21" ht="15.75" customHeight="1" x14ac:dyDescent="0.25">
      <c r="U167" s="42"/>
    </row>
    <row r="168" spans="21:21" ht="15.75" customHeight="1" x14ac:dyDescent="0.25">
      <c r="U168" s="42"/>
    </row>
    <row r="169" spans="21:21" ht="15.75" customHeight="1" x14ac:dyDescent="0.25">
      <c r="U169" s="42"/>
    </row>
    <row r="170" spans="21:21" ht="15.75" customHeight="1" x14ac:dyDescent="0.25">
      <c r="U170" s="42"/>
    </row>
    <row r="171" spans="21:21" ht="15.75" customHeight="1" x14ac:dyDescent="0.25">
      <c r="U171" s="42"/>
    </row>
    <row r="172" spans="21:21" ht="15.75" customHeight="1" x14ac:dyDescent="0.25">
      <c r="U172" s="42"/>
    </row>
    <row r="173" spans="21:21" ht="15.75" customHeight="1" x14ac:dyDescent="0.25">
      <c r="U173" s="42"/>
    </row>
    <row r="174" spans="21:21" ht="15.75" customHeight="1" x14ac:dyDescent="0.25">
      <c r="U174" s="42"/>
    </row>
    <row r="175" spans="21:21" ht="15.75" customHeight="1" x14ac:dyDescent="0.25">
      <c r="U175" s="42"/>
    </row>
    <row r="176" spans="21:21" ht="15.75" customHeight="1" x14ac:dyDescent="0.25">
      <c r="U176" s="42"/>
    </row>
    <row r="177" spans="21:21" ht="15.75" customHeight="1" x14ac:dyDescent="0.25">
      <c r="U177" s="42"/>
    </row>
    <row r="178" spans="21:21" ht="15.75" customHeight="1" x14ac:dyDescent="0.25">
      <c r="U178" s="42"/>
    </row>
    <row r="179" spans="21:21" ht="15.75" customHeight="1" x14ac:dyDescent="0.25">
      <c r="U179" s="42"/>
    </row>
    <row r="180" spans="21:21" ht="15.75" customHeight="1" x14ac:dyDescent="0.25">
      <c r="U180" s="42"/>
    </row>
    <row r="181" spans="21:21" ht="15.75" customHeight="1" x14ac:dyDescent="0.25">
      <c r="U181" s="42"/>
    </row>
    <row r="182" spans="21:21" ht="15.75" customHeight="1" x14ac:dyDescent="0.25">
      <c r="U182" s="42"/>
    </row>
    <row r="183" spans="21:21" ht="15.75" customHeight="1" x14ac:dyDescent="0.25">
      <c r="U183" s="42"/>
    </row>
    <row r="184" spans="21:21" ht="15.75" customHeight="1" x14ac:dyDescent="0.25">
      <c r="U184" s="42"/>
    </row>
    <row r="185" spans="21:21" ht="15.75" customHeight="1" x14ac:dyDescent="0.25">
      <c r="U185" s="42"/>
    </row>
    <row r="186" spans="21:21" ht="15.75" customHeight="1" x14ac:dyDescent="0.25">
      <c r="U186" s="42"/>
    </row>
    <row r="187" spans="21:21" ht="15.75" customHeight="1" x14ac:dyDescent="0.25">
      <c r="U187" s="42"/>
    </row>
    <row r="188" spans="21:21" ht="15.75" customHeight="1" x14ac:dyDescent="0.25">
      <c r="U188" s="42"/>
    </row>
    <row r="189" spans="21:21" ht="15.75" customHeight="1" x14ac:dyDescent="0.25">
      <c r="U189" s="42"/>
    </row>
    <row r="190" spans="21:21" ht="15.75" customHeight="1" x14ac:dyDescent="0.25">
      <c r="U190" s="42"/>
    </row>
    <row r="191" spans="21:21" ht="15.75" customHeight="1" x14ac:dyDescent="0.25">
      <c r="U191" s="42"/>
    </row>
    <row r="192" spans="21:21" ht="15.75" customHeight="1" x14ac:dyDescent="0.25">
      <c r="U192" s="42"/>
    </row>
    <row r="193" spans="21:21" ht="15.75" customHeight="1" x14ac:dyDescent="0.25">
      <c r="U193" s="42"/>
    </row>
    <row r="194" spans="21:21" ht="15.75" customHeight="1" x14ac:dyDescent="0.25">
      <c r="U194" s="42"/>
    </row>
    <row r="195" spans="21:21" ht="15.75" customHeight="1" x14ac:dyDescent="0.25">
      <c r="U195" s="42"/>
    </row>
    <row r="196" spans="21:21" ht="15.75" customHeight="1" x14ac:dyDescent="0.25">
      <c r="U196" s="42"/>
    </row>
    <row r="197" spans="21:21" ht="15.75" customHeight="1" x14ac:dyDescent="0.25">
      <c r="U197" s="42"/>
    </row>
    <row r="198" spans="21:21" ht="15.75" customHeight="1" x14ac:dyDescent="0.25">
      <c r="U198" s="42"/>
    </row>
    <row r="199" spans="21:21" ht="15.75" customHeight="1" x14ac:dyDescent="0.25">
      <c r="U199" s="42"/>
    </row>
    <row r="200" spans="21:21" ht="15.75" customHeight="1" x14ac:dyDescent="0.25">
      <c r="U200" s="42"/>
    </row>
    <row r="201" spans="21:21" ht="15.75" customHeight="1" x14ac:dyDescent="0.25">
      <c r="U201" s="42"/>
    </row>
    <row r="202" spans="21:21" ht="15.75" customHeight="1" x14ac:dyDescent="0.25">
      <c r="U202" s="42"/>
    </row>
    <row r="203" spans="21:21" ht="15.75" customHeight="1" x14ac:dyDescent="0.25">
      <c r="U203" s="42"/>
    </row>
    <row r="204" spans="21:21" ht="15.75" customHeight="1" x14ac:dyDescent="0.25">
      <c r="U204" s="42"/>
    </row>
    <row r="205" spans="21:21" ht="15.75" customHeight="1" x14ac:dyDescent="0.25">
      <c r="U205" s="42"/>
    </row>
    <row r="206" spans="21:21" ht="15.75" customHeight="1" x14ac:dyDescent="0.25">
      <c r="U206" s="42"/>
    </row>
    <row r="207" spans="21:21" ht="15.75" customHeight="1" x14ac:dyDescent="0.25">
      <c r="U207" s="42"/>
    </row>
    <row r="208" spans="21:21" ht="15.75" customHeight="1" x14ac:dyDescent="0.25">
      <c r="U208" s="42"/>
    </row>
    <row r="209" spans="21:21" ht="15.75" customHeight="1" x14ac:dyDescent="0.25">
      <c r="U209" s="42"/>
    </row>
    <row r="210" spans="21:21" ht="15.75" customHeight="1" x14ac:dyDescent="0.25">
      <c r="U210" s="42"/>
    </row>
    <row r="211" spans="21:21" ht="15.75" customHeight="1" x14ac:dyDescent="0.25">
      <c r="U211" s="42"/>
    </row>
    <row r="212" spans="21:21" ht="15.75" customHeight="1" x14ac:dyDescent="0.25">
      <c r="U212" s="42"/>
    </row>
    <row r="213" spans="21:21" ht="15.75" customHeight="1" x14ac:dyDescent="0.25">
      <c r="U213" s="42"/>
    </row>
    <row r="214" spans="21:21" ht="15.75" customHeight="1" x14ac:dyDescent="0.25">
      <c r="U214" s="42"/>
    </row>
    <row r="215" spans="21:21" ht="15.75" customHeight="1" x14ac:dyDescent="0.25">
      <c r="U215" s="42"/>
    </row>
    <row r="216" spans="21:21" ht="15.75" customHeight="1" x14ac:dyDescent="0.25">
      <c r="U216" s="42"/>
    </row>
    <row r="217" spans="21:21" ht="15.75" customHeight="1" x14ac:dyDescent="0.25">
      <c r="U217" s="42"/>
    </row>
    <row r="218" spans="21:21" ht="15.75" customHeight="1" x14ac:dyDescent="0.25">
      <c r="U218" s="42"/>
    </row>
    <row r="219" spans="21:21" ht="15.75" customHeight="1" x14ac:dyDescent="0.25">
      <c r="U219" s="42"/>
    </row>
    <row r="220" spans="21:21" ht="15.75" customHeight="1" x14ac:dyDescent="0.25">
      <c r="U220" s="42"/>
    </row>
    <row r="221" spans="21:21" ht="15.75" customHeight="1" x14ac:dyDescent="0.25">
      <c r="U221" s="42"/>
    </row>
    <row r="222" spans="21:21" ht="15.75" customHeight="1" x14ac:dyDescent="0.25">
      <c r="U222" s="42"/>
    </row>
    <row r="223" spans="21:21" ht="15.75" customHeight="1" x14ac:dyDescent="0.25">
      <c r="U223" s="42"/>
    </row>
    <row r="224" spans="21:21" ht="15.75" customHeight="1" x14ac:dyDescent="0.25">
      <c r="U224" s="42"/>
    </row>
    <row r="225" spans="21:21" ht="15.75" customHeight="1" x14ac:dyDescent="0.25">
      <c r="U225" s="42"/>
    </row>
    <row r="226" spans="21:21" ht="15.75" customHeight="1" x14ac:dyDescent="0.25">
      <c r="U226" s="42"/>
    </row>
    <row r="227" spans="21:21" ht="15.75" customHeight="1" x14ac:dyDescent="0.25">
      <c r="U227" s="42"/>
    </row>
    <row r="228" spans="21:21" ht="15.75" customHeight="1" x14ac:dyDescent="0.25">
      <c r="U228" s="42"/>
    </row>
    <row r="229" spans="21:21" ht="15.75" customHeight="1" x14ac:dyDescent="0.25">
      <c r="U229" s="42"/>
    </row>
    <row r="230" spans="21:21" ht="15.75" customHeight="1" x14ac:dyDescent="0.25">
      <c r="U230" s="42"/>
    </row>
    <row r="231" spans="21:21" ht="15.75" customHeight="1" x14ac:dyDescent="0.25">
      <c r="U231" s="42"/>
    </row>
    <row r="232" spans="21:21" ht="15.75" customHeight="1" x14ac:dyDescent="0.25">
      <c r="U232" s="42"/>
    </row>
    <row r="233" spans="21:21" ht="15.75" customHeight="1" x14ac:dyDescent="0.25">
      <c r="U233" s="42"/>
    </row>
    <row r="234" spans="21:21" ht="15.75" customHeight="1" x14ac:dyDescent="0.25">
      <c r="U234" s="42"/>
    </row>
    <row r="235" spans="21:21" ht="15.75" customHeight="1" x14ac:dyDescent="0.25">
      <c r="U235" s="42"/>
    </row>
    <row r="236" spans="21:21" ht="15.75" customHeight="1" x14ac:dyDescent="0.25">
      <c r="U236" s="42"/>
    </row>
    <row r="237" spans="21:21" ht="15.75" customHeight="1" x14ac:dyDescent="0.25">
      <c r="U237" s="42"/>
    </row>
    <row r="238" spans="21:21" ht="15.75" customHeight="1" x14ac:dyDescent="0.25">
      <c r="U238" s="42"/>
    </row>
    <row r="239" spans="21:21" ht="15.75" customHeight="1" x14ac:dyDescent="0.25">
      <c r="U239" s="42"/>
    </row>
    <row r="240" spans="21:21" ht="15.75" customHeight="1" x14ac:dyDescent="0.25">
      <c r="U240" s="42"/>
    </row>
    <row r="241" spans="21:21" ht="15.75" customHeight="1" x14ac:dyDescent="0.25">
      <c r="U241" s="42"/>
    </row>
    <row r="242" spans="21:21" ht="15.75" customHeight="1" x14ac:dyDescent="0.25">
      <c r="U242" s="42"/>
    </row>
    <row r="243" spans="21:21" ht="15.75" customHeight="1" x14ac:dyDescent="0.25">
      <c r="U243" s="42"/>
    </row>
    <row r="244" spans="21:21" ht="15.75" customHeight="1" x14ac:dyDescent="0.25">
      <c r="U244" s="42"/>
    </row>
    <row r="245" spans="21:21" ht="15.75" customHeight="1" x14ac:dyDescent="0.25">
      <c r="U245" s="42"/>
    </row>
    <row r="246" spans="21:21" ht="15.75" customHeight="1" x14ac:dyDescent="0.25">
      <c r="U246" s="42"/>
    </row>
    <row r="247" spans="21:21" ht="15.75" customHeight="1" x14ac:dyDescent="0.25">
      <c r="U247" s="42"/>
    </row>
    <row r="248" spans="21:21" ht="15.75" customHeight="1" x14ac:dyDescent="0.25">
      <c r="U248" s="42"/>
    </row>
    <row r="249" spans="21:21" ht="15.75" customHeight="1" x14ac:dyDescent="0.25">
      <c r="U249" s="42"/>
    </row>
    <row r="250" spans="21:21" ht="15.75" customHeight="1" x14ac:dyDescent="0.25">
      <c r="U250" s="42"/>
    </row>
    <row r="251" spans="21:21" ht="15.75" customHeight="1" x14ac:dyDescent="0.25">
      <c r="U251" s="42"/>
    </row>
    <row r="252" spans="21:21" ht="15.75" customHeight="1" x14ac:dyDescent="0.25">
      <c r="U252" s="42"/>
    </row>
    <row r="253" spans="21:21" ht="15.75" customHeight="1" x14ac:dyDescent="0.25">
      <c r="U253" s="42"/>
    </row>
    <row r="254" spans="21:21" ht="15.75" customHeight="1" x14ac:dyDescent="0.25">
      <c r="U254" s="42"/>
    </row>
    <row r="255" spans="21:21" ht="15.75" customHeight="1" x14ac:dyDescent="0.25">
      <c r="U255" s="42"/>
    </row>
    <row r="256" spans="21:21" ht="15.75" customHeight="1" x14ac:dyDescent="0.25">
      <c r="U256" s="42"/>
    </row>
    <row r="257" spans="21:21" ht="15.75" customHeight="1" x14ac:dyDescent="0.25">
      <c r="U257" s="42"/>
    </row>
    <row r="258" spans="21:21" ht="15.75" customHeight="1" x14ac:dyDescent="0.25">
      <c r="U258" s="42"/>
    </row>
    <row r="259" spans="21:21" ht="15.75" customHeight="1" x14ac:dyDescent="0.25">
      <c r="U259" s="42"/>
    </row>
    <row r="260" spans="21:21" ht="15.75" customHeight="1" x14ac:dyDescent="0.25">
      <c r="U260" s="42"/>
    </row>
    <row r="261" spans="21:21" ht="15.75" customHeight="1" x14ac:dyDescent="0.25">
      <c r="U261" s="42"/>
    </row>
    <row r="262" spans="21:21" ht="15.75" customHeight="1" x14ac:dyDescent="0.25">
      <c r="U262" s="42"/>
    </row>
    <row r="263" spans="21:21" ht="15.75" customHeight="1" x14ac:dyDescent="0.25">
      <c r="U263" s="42"/>
    </row>
    <row r="264" spans="21:21" ht="15.75" customHeight="1" x14ac:dyDescent="0.25">
      <c r="U264" s="42"/>
    </row>
    <row r="265" spans="21:21" ht="15.75" customHeight="1" x14ac:dyDescent="0.25">
      <c r="U265" s="42"/>
    </row>
    <row r="266" spans="21:21" ht="15.75" customHeight="1" x14ac:dyDescent="0.25">
      <c r="U266" s="42"/>
    </row>
    <row r="267" spans="21:21" ht="15.75" customHeight="1" x14ac:dyDescent="0.25">
      <c r="U267" s="42"/>
    </row>
    <row r="268" spans="21:21" ht="15.75" customHeight="1" x14ac:dyDescent="0.25">
      <c r="U268" s="42"/>
    </row>
    <row r="269" spans="21:21" ht="15.75" customHeight="1" x14ac:dyDescent="0.25">
      <c r="U269" s="42"/>
    </row>
    <row r="270" spans="21:21" ht="15.75" customHeight="1" x14ac:dyDescent="0.25">
      <c r="U270" s="42"/>
    </row>
    <row r="271" spans="21:21" ht="15.75" customHeight="1" x14ac:dyDescent="0.25">
      <c r="U271" s="42"/>
    </row>
    <row r="272" spans="21:21" ht="15.75" customHeight="1" x14ac:dyDescent="0.25">
      <c r="U272" s="42"/>
    </row>
    <row r="273" spans="21:21" ht="15.75" customHeight="1" x14ac:dyDescent="0.25">
      <c r="U273" s="42"/>
    </row>
    <row r="274" spans="21:21" ht="15.75" customHeight="1" x14ac:dyDescent="0.25">
      <c r="U274" s="42"/>
    </row>
    <row r="275" spans="21:21" ht="15.75" customHeight="1" x14ac:dyDescent="0.25">
      <c r="U275" s="42"/>
    </row>
    <row r="276" spans="21:21" ht="15.75" customHeight="1" x14ac:dyDescent="0.25">
      <c r="U276" s="42"/>
    </row>
    <row r="277" spans="21:21" ht="15.75" customHeight="1" x14ac:dyDescent="0.25">
      <c r="U277" s="42"/>
    </row>
    <row r="278" spans="21:21" ht="15.75" customHeight="1" x14ac:dyDescent="0.25">
      <c r="U278" s="42"/>
    </row>
    <row r="279" spans="21:21" ht="15.75" customHeight="1" x14ac:dyDescent="0.25">
      <c r="U279" s="42"/>
    </row>
    <row r="280" spans="21:21" ht="15.75" customHeight="1" x14ac:dyDescent="0.25">
      <c r="U280" s="42"/>
    </row>
    <row r="281" spans="21:21" ht="15.75" customHeight="1" x14ac:dyDescent="0.25">
      <c r="U281" s="42"/>
    </row>
    <row r="282" spans="21:21" ht="15.75" customHeight="1" x14ac:dyDescent="0.25">
      <c r="U282" s="42"/>
    </row>
    <row r="283" spans="21:21" ht="15.75" customHeight="1" x14ac:dyDescent="0.25">
      <c r="U283" s="42"/>
    </row>
    <row r="284" spans="21:21" ht="15.75" customHeight="1" x14ac:dyDescent="0.25">
      <c r="U284" s="42"/>
    </row>
    <row r="285" spans="21:21" ht="15.75" customHeight="1" x14ac:dyDescent="0.25">
      <c r="U285" s="42"/>
    </row>
    <row r="286" spans="21:21" ht="15.75" customHeight="1" x14ac:dyDescent="0.25">
      <c r="U286" s="42"/>
    </row>
    <row r="287" spans="21:21" ht="15.75" customHeight="1" x14ac:dyDescent="0.25">
      <c r="U287" s="42"/>
    </row>
    <row r="288" spans="21:21" ht="15.75" customHeight="1" x14ac:dyDescent="0.25">
      <c r="U288" s="42"/>
    </row>
    <row r="289" spans="21:21" ht="15.75" customHeight="1" x14ac:dyDescent="0.25">
      <c r="U289" s="42"/>
    </row>
    <row r="290" spans="21:21" ht="15.75" customHeight="1" x14ac:dyDescent="0.25">
      <c r="U290" s="42"/>
    </row>
    <row r="291" spans="21:21" ht="15.75" customHeight="1" x14ac:dyDescent="0.25">
      <c r="U291" s="42"/>
    </row>
    <row r="292" spans="21:21" ht="15.75" customHeight="1" x14ac:dyDescent="0.25">
      <c r="U292" s="42"/>
    </row>
    <row r="293" spans="21:21" ht="15.75" customHeight="1" x14ac:dyDescent="0.25">
      <c r="U293" s="42"/>
    </row>
    <row r="294" spans="21:21" ht="15.75" customHeight="1" x14ac:dyDescent="0.25">
      <c r="U294" s="42"/>
    </row>
    <row r="295" spans="21:21" ht="15.75" customHeight="1" x14ac:dyDescent="0.25">
      <c r="U295" s="42"/>
    </row>
    <row r="296" spans="21:21" ht="15.75" customHeight="1" x14ac:dyDescent="0.25">
      <c r="U296" s="42"/>
    </row>
    <row r="297" spans="21:21" ht="15.75" customHeight="1" x14ac:dyDescent="0.25">
      <c r="U297" s="42"/>
    </row>
    <row r="298" spans="21:21" ht="15.75" customHeight="1" x14ac:dyDescent="0.25">
      <c r="U298" s="42"/>
    </row>
    <row r="299" spans="21:21" ht="15.75" customHeight="1" x14ac:dyDescent="0.25">
      <c r="U299" s="42"/>
    </row>
    <row r="300" spans="21:21" ht="15.75" customHeight="1" x14ac:dyDescent="0.25">
      <c r="U300" s="42"/>
    </row>
    <row r="301" spans="21:21" ht="15.75" customHeight="1" x14ac:dyDescent="0.25">
      <c r="U301" s="42"/>
    </row>
    <row r="302" spans="21:21" ht="15.75" customHeight="1" x14ac:dyDescent="0.25">
      <c r="U302" s="42"/>
    </row>
    <row r="303" spans="21:21" ht="15.75" customHeight="1" x14ac:dyDescent="0.25">
      <c r="U303" s="42"/>
    </row>
    <row r="304" spans="21:21" ht="15.75" customHeight="1" x14ac:dyDescent="0.25">
      <c r="U304" s="42"/>
    </row>
    <row r="305" spans="21:21" ht="15.75" customHeight="1" x14ac:dyDescent="0.25">
      <c r="U305" s="42"/>
    </row>
    <row r="306" spans="21:21" ht="15.75" customHeight="1" x14ac:dyDescent="0.25">
      <c r="U306" s="42"/>
    </row>
    <row r="307" spans="21:21" ht="15.75" customHeight="1" x14ac:dyDescent="0.25">
      <c r="U307" s="42"/>
    </row>
    <row r="308" spans="21:21" ht="15.75" customHeight="1" x14ac:dyDescent="0.25">
      <c r="U308" s="42"/>
    </row>
    <row r="309" spans="21:21" ht="15.75" customHeight="1" x14ac:dyDescent="0.25">
      <c r="U309" s="42"/>
    </row>
    <row r="310" spans="21:21" ht="15.75" customHeight="1" x14ac:dyDescent="0.25">
      <c r="U310" s="42"/>
    </row>
    <row r="311" spans="21:21" ht="15.75" customHeight="1" x14ac:dyDescent="0.25">
      <c r="U311" s="42"/>
    </row>
    <row r="312" spans="21:21" ht="15.75" customHeight="1" x14ac:dyDescent="0.25">
      <c r="U312" s="42"/>
    </row>
    <row r="313" spans="21:21" ht="15.75" customHeight="1" x14ac:dyDescent="0.25">
      <c r="U313" s="42"/>
    </row>
    <row r="314" spans="21:21" ht="15.75" customHeight="1" x14ac:dyDescent="0.25">
      <c r="U314" s="42"/>
    </row>
    <row r="315" spans="21:21" ht="15.75" customHeight="1" x14ac:dyDescent="0.25">
      <c r="U315" s="42"/>
    </row>
    <row r="316" spans="21:21" ht="15.75" customHeight="1" x14ac:dyDescent="0.25">
      <c r="U316" s="42"/>
    </row>
    <row r="317" spans="21:21" ht="15.75" customHeight="1" x14ac:dyDescent="0.25">
      <c r="U317" s="42"/>
    </row>
    <row r="318" spans="21:21" ht="15.75" customHeight="1" x14ac:dyDescent="0.25">
      <c r="U318" s="42"/>
    </row>
    <row r="319" spans="21:21" ht="15.75" customHeight="1" x14ac:dyDescent="0.25">
      <c r="U319" s="42"/>
    </row>
    <row r="320" spans="21:21" ht="15.75" customHeight="1" x14ac:dyDescent="0.25">
      <c r="U320" s="42"/>
    </row>
    <row r="321" spans="21:21" ht="15.75" customHeight="1" x14ac:dyDescent="0.25">
      <c r="U321" s="42"/>
    </row>
    <row r="322" spans="21:21" ht="15.75" customHeight="1" x14ac:dyDescent="0.25">
      <c r="U322" s="42"/>
    </row>
    <row r="323" spans="21:21" ht="15.75" customHeight="1" x14ac:dyDescent="0.25">
      <c r="U323" s="42"/>
    </row>
    <row r="324" spans="21:21" ht="15.75" customHeight="1" x14ac:dyDescent="0.25">
      <c r="U324" s="42"/>
    </row>
    <row r="325" spans="21:21" ht="15.75" customHeight="1" x14ac:dyDescent="0.25">
      <c r="U325" s="42"/>
    </row>
    <row r="326" spans="21:21" ht="15.75" customHeight="1" x14ac:dyDescent="0.25">
      <c r="U326" s="42"/>
    </row>
    <row r="327" spans="21:21" ht="15.75" customHeight="1" x14ac:dyDescent="0.25">
      <c r="U327" s="42"/>
    </row>
    <row r="328" spans="21:21" ht="15.75" customHeight="1" x14ac:dyDescent="0.25">
      <c r="U328" s="42"/>
    </row>
    <row r="329" spans="21:21" ht="15.75" customHeight="1" x14ac:dyDescent="0.25">
      <c r="U329" s="42"/>
    </row>
    <row r="330" spans="21:21" ht="15.75" customHeight="1" x14ac:dyDescent="0.25">
      <c r="U330" s="42"/>
    </row>
    <row r="331" spans="21:21" ht="15.75" customHeight="1" x14ac:dyDescent="0.25">
      <c r="U331" s="42"/>
    </row>
    <row r="332" spans="21:21" ht="15.75" customHeight="1" x14ac:dyDescent="0.25">
      <c r="U332" s="42"/>
    </row>
    <row r="333" spans="21:21" ht="15.75" customHeight="1" x14ac:dyDescent="0.25">
      <c r="U333" s="42"/>
    </row>
    <row r="334" spans="21:21" ht="15.75" customHeight="1" x14ac:dyDescent="0.25">
      <c r="U334" s="42"/>
    </row>
    <row r="335" spans="21:21" ht="15.75" customHeight="1" x14ac:dyDescent="0.25">
      <c r="U335" s="42"/>
    </row>
    <row r="336" spans="21:21" ht="15.75" customHeight="1" x14ac:dyDescent="0.25">
      <c r="U336" s="42"/>
    </row>
    <row r="337" spans="21:21" ht="15.75" customHeight="1" x14ac:dyDescent="0.25">
      <c r="U337" s="42"/>
    </row>
    <row r="338" spans="21:21" ht="15.75" customHeight="1" x14ac:dyDescent="0.25">
      <c r="U338" s="42"/>
    </row>
    <row r="339" spans="21:21" ht="15.75" customHeight="1" x14ac:dyDescent="0.25">
      <c r="U339" s="42"/>
    </row>
    <row r="340" spans="21:21" ht="15.75" customHeight="1" x14ac:dyDescent="0.25">
      <c r="U340" s="42"/>
    </row>
    <row r="341" spans="21:21" ht="15.75" customHeight="1" x14ac:dyDescent="0.25">
      <c r="U341" s="42"/>
    </row>
    <row r="342" spans="21:21" ht="15.75" customHeight="1" x14ac:dyDescent="0.25">
      <c r="U342" s="42"/>
    </row>
    <row r="343" spans="21:21" ht="15.75" customHeight="1" x14ac:dyDescent="0.25">
      <c r="U343" s="42"/>
    </row>
    <row r="344" spans="21:21" ht="15.75" customHeight="1" x14ac:dyDescent="0.25">
      <c r="U344" s="42"/>
    </row>
    <row r="345" spans="21:21" ht="15.75" customHeight="1" x14ac:dyDescent="0.25">
      <c r="U345" s="42"/>
    </row>
    <row r="346" spans="21:21" ht="15.75" customHeight="1" x14ac:dyDescent="0.25">
      <c r="U346" s="42"/>
    </row>
    <row r="347" spans="21:21" ht="15.75" customHeight="1" x14ac:dyDescent="0.25">
      <c r="U347" s="42"/>
    </row>
    <row r="348" spans="21:21" ht="15.75" customHeight="1" x14ac:dyDescent="0.25">
      <c r="U348" s="42"/>
    </row>
    <row r="349" spans="21:21" ht="15.75" customHeight="1" x14ac:dyDescent="0.25">
      <c r="U349" s="42"/>
    </row>
    <row r="350" spans="21:21" ht="15.75" customHeight="1" x14ac:dyDescent="0.25">
      <c r="U350" s="42"/>
    </row>
    <row r="351" spans="21:21" ht="15.75" customHeight="1" x14ac:dyDescent="0.25">
      <c r="U351" s="42"/>
    </row>
    <row r="352" spans="21:21" ht="15.75" customHeight="1" x14ac:dyDescent="0.25">
      <c r="U352" s="42"/>
    </row>
    <row r="353" spans="21:21" ht="15.75" customHeight="1" x14ac:dyDescent="0.25">
      <c r="U353" s="42"/>
    </row>
    <row r="354" spans="21:21" ht="15.75" customHeight="1" x14ac:dyDescent="0.25">
      <c r="U354" s="42"/>
    </row>
    <row r="355" spans="21:21" ht="15.75" customHeight="1" x14ac:dyDescent="0.25">
      <c r="U355" s="42"/>
    </row>
    <row r="356" spans="21:21" ht="15.75" customHeight="1" x14ac:dyDescent="0.25">
      <c r="U356" s="42"/>
    </row>
    <row r="357" spans="21:21" ht="15.75" customHeight="1" x14ac:dyDescent="0.25">
      <c r="U357" s="42"/>
    </row>
    <row r="358" spans="21:21" ht="15.75" customHeight="1" x14ac:dyDescent="0.25">
      <c r="U358" s="42"/>
    </row>
    <row r="359" spans="21:21" ht="15.75" customHeight="1" x14ac:dyDescent="0.25">
      <c r="U359" s="42"/>
    </row>
    <row r="360" spans="21:21" ht="15.75" customHeight="1" x14ac:dyDescent="0.25">
      <c r="U360" s="42"/>
    </row>
    <row r="361" spans="21:21" ht="15.75" customHeight="1" x14ac:dyDescent="0.25">
      <c r="U361" s="42"/>
    </row>
    <row r="362" spans="21:21" ht="15.75" customHeight="1" x14ac:dyDescent="0.25">
      <c r="U362" s="42"/>
    </row>
    <row r="363" spans="21:21" ht="15.75" customHeight="1" x14ac:dyDescent="0.25">
      <c r="U363" s="42"/>
    </row>
    <row r="364" spans="21:21" ht="15.75" customHeight="1" x14ac:dyDescent="0.25">
      <c r="U364" s="42"/>
    </row>
    <row r="365" spans="21:21" ht="15.75" customHeight="1" x14ac:dyDescent="0.25">
      <c r="U365" s="42"/>
    </row>
    <row r="366" spans="21:21" ht="15.75" customHeight="1" x14ac:dyDescent="0.25">
      <c r="U366" s="42"/>
    </row>
    <row r="367" spans="21:21" ht="15.75" customHeight="1" x14ac:dyDescent="0.25">
      <c r="U367" s="42"/>
    </row>
    <row r="368" spans="21:21" ht="15.75" customHeight="1" x14ac:dyDescent="0.25">
      <c r="U368" s="42"/>
    </row>
    <row r="369" spans="21:21" ht="15.75" customHeight="1" x14ac:dyDescent="0.25">
      <c r="U369" s="42"/>
    </row>
    <row r="370" spans="21:21" ht="15.75" customHeight="1" x14ac:dyDescent="0.25">
      <c r="U370" s="42"/>
    </row>
    <row r="371" spans="21:21" ht="15.75" customHeight="1" x14ac:dyDescent="0.25">
      <c r="U371" s="42"/>
    </row>
    <row r="372" spans="21:21" ht="15.75" customHeight="1" x14ac:dyDescent="0.25">
      <c r="U372" s="42"/>
    </row>
    <row r="373" spans="21:21" ht="15.75" customHeight="1" x14ac:dyDescent="0.25">
      <c r="U373" s="42"/>
    </row>
    <row r="374" spans="21:21" ht="15.75" customHeight="1" x14ac:dyDescent="0.25">
      <c r="U374" s="42"/>
    </row>
    <row r="375" spans="21:21" ht="15.75" customHeight="1" x14ac:dyDescent="0.25">
      <c r="U375" s="42"/>
    </row>
    <row r="376" spans="21:21" ht="15.75" customHeight="1" x14ac:dyDescent="0.25">
      <c r="U376" s="42"/>
    </row>
    <row r="377" spans="21:21" ht="15.75" customHeight="1" x14ac:dyDescent="0.25">
      <c r="U377" s="42"/>
    </row>
    <row r="378" spans="21:21" ht="15.75" customHeight="1" x14ac:dyDescent="0.25">
      <c r="U378" s="42"/>
    </row>
    <row r="379" spans="21:21" ht="15.75" customHeight="1" x14ac:dyDescent="0.25">
      <c r="U379" s="42"/>
    </row>
    <row r="380" spans="21:21" ht="15.75" customHeight="1" x14ac:dyDescent="0.25">
      <c r="U380" s="42"/>
    </row>
    <row r="381" spans="21:21" ht="15.75" customHeight="1" x14ac:dyDescent="0.25">
      <c r="U381" s="42"/>
    </row>
    <row r="382" spans="21:21" ht="15.75" customHeight="1" x14ac:dyDescent="0.25">
      <c r="U382" s="42"/>
    </row>
    <row r="383" spans="21:21" ht="15.75" customHeight="1" x14ac:dyDescent="0.25">
      <c r="U383" s="42"/>
    </row>
    <row r="384" spans="21:21" ht="15.75" customHeight="1" x14ac:dyDescent="0.25">
      <c r="U384" s="42"/>
    </row>
    <row r="385" spans="21:21" ht="15.75" customHeight="1" x14ac:dyDescent="0.25">
      <c r="U385" s="42"/>
    </row>
    <row r="386" spans="21:21" ht="15.75" customHeight="1" x14ac:dyDescent="0.25">
      <c r="U386" s="42"/>
    </row>
    <row r="387" spans="21:21" ht="15.75" customHeight="1" x14ac:dyDescent="0.25">
      <c r="U387" s="42"/>
    </row>
    <row r="388" spans="21:21" ht="15.75" customHeight="1" x14ac:dyDescent="0.25">
      <c r="U388" s="42"/>
    </row>
    <row r="389" spans="21:21" ht="15.75" customHeight="1" x14ac:dyDescent="0.25">
      <c r="U389" s="42"/>
    </row>
    <row r="390" spans="21:21" ht="15.75" customHeight="1" x14ac:dyDescent="0.25">
      <c r="U390" s="42"/>
    </row>
    <row r="391" spans="21:21" ht="15.75" customHeight="1" x14ac:dyDescent="0.25">
      <c r="U391" s="42"/>
    </row>
    <row r="392" spans="21:21" ht="15.75" customHeight="1" x14ac:dyDescent="0.25">
      <c r="U392" s="42"/>
    </row>
    <row r="393" spans="21:21" ht="15.75" customHeight="1" x14ac:dyDescent="0.25">
      <c r="U393" s="42"/>
    </row>
    <row r="394" spans="21:21" ht="15.75" customHeight="1" x14ac:dyDescent="0.25">
      <c r="U394" s="42"/>
    </row>
    <row r="395" spans="21:21" ht="15.75" customHeight="1" x14ac:dyDescent="0.25">
      <c r="U395" s="42"/>
    </row>
    <row r="396" spans="21:21" ht="15.75" customHeight="1" x14ac:dyDescent="0.25">
      <c r="U396" s="42"/>
    </row>
    <row r="397" spans="21:21" ht="15.75" customHeight="1" x14ac:dyDescent="0.25">
      <c r="U397" s="42"/>
    </row>
    <row r="398" spans="21:21" ht="15.75" customHeight="1" x14ac:dyDescent="0.25">
      <c r="U398" s="42"/>
    </row>
    <row r="399" spans="21:21" ht="15.75" customHeight="1" x14ac:dyDescent="0.25">
      <c r="U399" s="42"/>
    </row>
    <row r="400" spans="21:21" ht="15.75" customHeight="1" x14ac:dyDescent="0.25">
      <c r="U400" s="42"/>
    </row>
    <row r="401" spans="21:21" ht="15.75" customHeight="1" x14ac:dyDescent="0.25">
      <c r="U401" s="42"/>
    </row>
    <row r="402" spans="21:21" ht="15.75" customHeight="1" x14ac:dyDescent="0.25">
      <c r="U402" s="42"/>
    </row>
    <row r="403" spans="21:21" ht="15.75" customHeight="1" x14ac:dyDescent="0.25">
      <c r="U403" s="42"/>
    </row>
    <row r="404" spans="21:21" ht="15.75" customHeight="1" x14ac:dyDescent="0.25">
      <c r="U404" s="42"/>
    </row>
    <row r="405" spans="21:21" ht="15.75" customHeight="1" x14ac:dyDescent="0.25">
      <c r="U405" s="42"/>
    </row>
    <row r="406" spans="21:21" ht="15.75" customHeight="1" x14ac:dyDescent="0.25">
      <c r="U406" s="42"/>
    </row>
    <row r="407" spans="21:21" ht="15.75" customHeight="1" x14ac:dyDescent="0.25">
      <c r="U407" s="42"/>
    </row>
    <row r="408" spans="21:21" ht="15.75" customHeight="1" x14ac:dyDescent="0.25">
      <c r="U408" s="42"/>
    </row>
    <row r="409" spans="21:21" ht="15.75" customHeight="1" x14ac:dyDescent="0.25">
      <c r="U409" s="42"/>
    </row>
    <row r="410" spans="21:21" ht="15.75" customHeight="1" x14ac:dyDescent="0.25">
      <c r="U410" s="42"/>
    </row>
    <row r="411" spans="21:21" ht="15.75" customHeight="1" x14ac:dyDescent="0.25">
      <c r="U411" s="42"/>
    </row>
    <row r="412" spans="21:21" ht="15.75" customHeight="1" x14ac:dyDescent="0.25">
      <c r="U412" s="42"/>
    </row>
    <row r="413" spans="21:21" ht="15.75" customHeight="1" x14ac:dyDescent="0.25">
      <c r="U413" s="42"/>
    </row>
    <row r="414" spans="21:21" ht="15.75" customHeight="1" x14ac:dyDescent="0.25">
      <c r="U414" s="42"/>
    </row>
    <row r="415" spans="21:21" ht="15.75" customHeight="1" x14ac:dyDescent="0.25">
      <c r="U415" s="42"/>
    </row>
    <row r="416" spans="21:21" ht="15.75" customHeight="1" x14ac:dyDescent="0.25">
      <c r="U416" s="42"/>
    </row>
    <row r="417" spans="21:21" ht="15.75" customHeight="1" x14ac:dyDescent="0.25">
      <c r="U417" s="42"/>
    </row>
    <row r="418" spans="21:21" ht="15.75" customHeight="1" x14ac:dyDescent="0.25">
      <c r="U418" s="42"/>
    </row>
    <row r="419" spans="21:21" ht="15.75" customHeight="1" x14ac:dyDescent="0.25">
      <c r="U419" s="42"/>
    </row>
    <row r="420" spans="21:21" ht="15.75" customHeight="1" x14ac:dyDescent="0.25">
      <c r="U420" s="42"/>
    </row>
    <row r="421" spans="21:21" ht="15.75" customHeight="1" x14ac:dyDescent="0.25">
      <c r="U421" s="42"/>
    </row>
    <row r="422" spans="21:21" ht="15.75" customHeight="1" x14ac:dyDescent="0.25">
      <c r="U422" s="42"/>
    </row>
    <row r="423" spans="21:21" ht="15.75" customHeight="1" x14ac:dyDescent="0.25">
      <c r="U423" s="42"/>
    </row>
    <row r="424" spans="21:21" ht="15.75" customHeight="1" x14ac:dyDescent="0.25">
      <c r="U424" s="42"/>
    </row>
    <row r="425" spans="21:21" ht="15.75" customHeight="1" x14ac:dyDescent="0.25">
      <c r="U425" s="42"/>
    </row>
    <row r="426" spans="21:21" ht="15.75" customHeight="1" x14ac:dyDescent="0.25">
      <c r="U426" s="42"/>
    </row>
    <row r="427" spans="21:21" ht="15.75" customHeight="1" x14ac:dyDescent="0.25">
      <c r="U427" s="42"/>
    </row>
    <row r="428" spans="21:21" ht="15.75" customHeight="1" x14ac:dyDescent="0.25">
      <c r="U428" s="42"/>
    </row>
    <row r="429" spans="21:21" ht="15.75" customHeight="1" x14ac:dyDescent="0.25">
      <c r="U429" s="42"/>
    </row>
    <row r="430" spans="21:21" ht="15.75" customHeight="1" x14ac:dyDescent="0.25">
      <c r="U430" s="42"/>
    </row>
    <row r="431" spans="21:21" ht="15.75" customHeight="1" x14ac:dyDescent="0.25">
      <c r="U431" s="42"/>
    </row>
    <row r="432" spans="21:21" ht="15.75" customHeight="1" x14ac:dyDescent="0.25">
      <c r="U432" s="42"/>
    </row>
    <row r="433" spans="21:21" ht="15.75" customHeight="1" x14ac:dyDescent="0.25">
      <c r="U433" s="42"/>
    </row>
    <row r="434" spans="21:21" ht="15.75" customHeight="1" x14ac:dyDescent="0.25">
      <c r="U434" s="42"/>
    </row>
    <row r="435" spans="21:21" ht="15.75" customHeight="1" x14ac:dyDescent="0.25">
      <c r="U435" s="42"/>
    </row>
    <row r="436" spans="21:21" ht="15.75" customHeight="1" x14ac:dyDescent="0.25">
      <c r="U436" s="42"/>
    </row>
    <row r="437" spans="21:21" ht="15.75" customHeight="1" x14ac:dyDescent="0.25">
      <c r="U437" s="42"/>
    </row>
    <row r="438" spans="21:21" ht="15.75" customHeight="1" x14ac:dyDescent="0.25">
      <c r="U438" s="42"/>
    </row>
    <row r="439" spans="21:21" ht="15.75" customHeight="1" x14ac:dyDescent="0.25">
      <c r="U439" s="42"/>
    </row>
    <row r="440" spans="21:21" ht="15.75" customHeight="1" x14ac:dyDescent="0.25">
      <c r="U440" s="42"/>
    </row>
    <row r="441" spans="21:21" ht="15.75" customHeight="1" x14ac:dyDescent="0.25">
      <c r="U441" s="42"/>
    </row>
    <row r="442" spans="21:21" ht="15.75" customHeight="1" x14ac:dyDescent="0.25">
      <c r="U442" s="42"/>
    </row>
    <row r="443" spans="21:21" ht="15.75" customHeight="1" x14ac:dyDescent="0.25">
      <c r="U443" s="42"/>
    </row>
    <row r="444" spans="21:21" ht="15.75" customHeight="1" x14ac:dyDescent="0.25">
      <c r="U444" s="42"/>
    </row>
    <row r="445" spans="21:21" ht="15.75" customHeight="1" x14ac:dyDescent="0.25">
      <c r="U445" s="42"/>
    </row>
    <row r="446" spans="21:21" ht="15.75" customHeight="1" x14ac:dyDescent="0.25">
      <c r="U446" s="42"/>
    </row>
    <row r="447" spans="21:21" ht="15.75" customHeight="1" x14ac:dyDescent="0.25">
      <c r="U447" s="42"/>
    </row>
    <row r="448" spans="21:21" ht="15.75" customHeight="1" x14ac:dyDescent="0.25">
      <c r="U448" s="42"/>
    </row>
    <row r="449" spans="21:21" ht="15.75" customHeight="1" x14ac:dyDescent="0.25">
      <c r="U449" s="42"/>
    </row>
    <row r="450" spans="21:21" ht="15.75" customHeight="1" x14ac:dyDescent="0.25">
      <c r="U450" s="42"/>
    </row>
    <row r="451" spans="21:21" ht="15.75" customHeight="1" x14ac:dyDescent="0.25">
      <c r="U451" s="42"/>
    </row>
    <row r="452" spans="21:21" ht="15.75" customHeight="1" x14ac:dyDescent="0.25">
      <c r="U452" s="42"/>
    </row>
    <row r="453" spans="21:21" ht="15.75" customHeight="1" x14ac:dyDescent="0.25">
      <c r="U453" s="42"/>
    </row>
    <row r="454" spans="21:21" ht="15.75" customHeight="1" x14ac:dyDescent="0.25">
      <c r="U454" s="42"/>
    </row>
    <row r="455" spans="21:21" ht="15.75" customHeight="1" x14ac:dyDescent="0.25">
      <c r="U455" s="42"/>
    </row>
    <row r="456" spans="21:21" ht="15.75" customHeight="1" x14ac:dyDescent="0.25">
      <c r="U456" s="42"/>
    </row>
    <row r="457" spans="21:21" ht="15.75" customHeight="1" x14ac:dyDescent="0.25">
      <c r="U457" s="42"/>
    </row>
    <row r="458" spans="21:21" ht="15.75" customHeight="1" x14ac:dyDescent="0.25">
      <c r="U458" s="42"/>
    </row>
    <row r="459" spans="21:21" ht="15.75" customHeight="1" x14ac:dyDescent="0.25">
      <c r="U459" s="42"/>
    </row>
    <row r="460" spans="21:21" ht="15.75" customHeight="1" x14ac:dyDescent="0.25">
      <c r="U460" s="42"/>
    </row>
    <row r="461" spans="21:21" ht="15.75" customHeight="1" x14ac:dyDescent="0.25">
      <c r="U461" s="42"/>
    </row>
    <row r="462" spans="21:21" ht="15.75" customHeight="1" x14ac:dyDescent="0.25">
      <c r="U462" s="42"/>
    </row>
    <row r="463" spans="21:21" ht="15.75" customHeight="1" x14ac:dyDescent="0.25">
      <c r="U463" s="42"/>
    </row>
    <row r="464" spans="21:21" ht="15.75" customHeight="1" x14ac:dyDescent="0.25">
      <c r="U464" s="42"/>
    </row>
    <row r="465" spans="21:21" ht="15.75" customHeight="1" x14ac:dyDescent="0.25">
      <c r="U465" s="42"/>
    </row>
    <row r="466" spans="21:21" ht="15.75" customHeight="1" x14ac:dyDescent="0.25">
      <c r="U466" s="42"/>
    </row>
    <row r="467" spans="21:21" ht="15.75" customHeight="1" x14ac:dyDescent="0.25">
      <c r="U467" s="42"/>
    </row>
    <row r="468" spans="21:21" ht="15.75" customHeight="1" x14ac:dyDescent="0.25">
      <c r="U468" s="42"/>
    </row>
    <row r="469" spans="21:21" ht="15.75" customHeight="1" x14ac:dyDescent="0.25">
      <c r="U469" s="42"/>
    </row>
    <row r="470" spans="21:21" ht="15.75" customHeight="1" x14ac:dyDescent="0.25">
      <c r="U470" s="42"/>
    </row>
    <row r="471" spans="21:21" ht="15.75" customHeight="1" x14ac:dyDescent="0.25">
      <c r="U471" s="42"/>
    </row>
    <row r="472" spans="21:21" ht="15.75" customHeight="1" x14ac:dyDescent="0.25">
      <c r="U472" s="42"/>
    </row>
    <row r="473" spans="21:21" ht="15.75" customHeight="1" x14ac:dyDescent="0.25">
      <c r="U473" s="42"/>
    </row>
    <row r="474" spans="21:21" ht="15.75" customHeight="1" x14ac:dyDescent="0.25">
      <c r="U474" s="42"/>
    </row>
    <row r="475" spans="21:21" ht="15.75" customHeight="1" x14ac:dyDescent="0.25">
      <c r="U475" s="42"/>
    </row>
    <row r="476" spans="21:21" ht="15.75" customHeight="1" x14ac:dyDescent="0.25">
      <c r="U476" s="42"/>
    </row>
    <row r="477" spans="21:21" ht="15.75" customHeight="1" x14ac:dyDescent="0.25">
      <c r="U477" s="42"/>
    </row>
    <row r="478" spans="21:21" ht="15.75" customHeight="1" x14ac:dyDescent="0.25">
      <c r="U478" s="42"/>
    </row>
    <row r="479" spans="21:21" ht="15.75" customHeight="1" x14ac:dyDescent="0.25">
      <c r="U479" s="42"/>
    </row>
    <row r="480" spans="21:21" ht="15.75" customHeight="1" x14ac:dyDescent="0.25">
      <c r="U480" s="42"/>
    </row>
    <row r="481" spans="21:21" ht="15.75" customHeight="1" x14ac:dyDescent="0.25">
      <c r="U481" s="42"/>
    </row>
    <row r="482" spans="21:21" ht="15.75" customHeight="1" x14ac:dyDescent="0.25">
      <c r="U482" s="42"/>
    </row>
    <row r="483" spans="21:21" ht="15.75" customHeight="1" x14ac:dyDescent="0.25">
      <c r="U483" s="42"/>
    </row>
    <row r="484" spans="21:21" ht="15.75" customHeight="1" x14ac:dyDescent="0.25">
      <c r="U484" s="42"/>
    </row>
    <row r="485" spans="21:21" ht="15.75" customHeight="1" x14ac:dyDescent="0.25">
      <c r="U485" s="42"/>
    </row>
    <row r="486" spans="21:21" ht="15.75" customHeight="1" x14ac:dyDescent="0.25">
      <c r="U486" s="42"/>
    </row>
    <row r="487" spans="21:21" ht="15.75" customHeight="1" x14ac:dyDescent="0.25">
      <c r="U487" s="42"/>
    </row>
    <row r="488" spans="21:21" ht="15.75" customHeight="1" x14ac:dyDescent="0.25">
      <c r="U488" s="42"/>
    </row>
    <row r="489" spans="21:21" ht="15.75" customHeight="1" x14ac:dyDescent="0.25">
      <c r="U489" s="42"/>
    </row>
    <row r="490" spans="21:21" ht="15.75" customHeight="1" x14ac:dyDescent="0.25">
      <c r="U490" s="42"/>
    </row>
    <row r="491" spans="21:21" ht="15.75" customHeight="1" x14ac:dyDescent="0.25">
      <c r="U491" s="42"/>
    </row>
    <row r="492" spans="21:21" ht="15.75" customHeight="1" x14ac:dyDescent="0.25">
      <c r="U492" s="42"/>
    </row>
    <row r="493" spans="21:21" ht="15.75" customHeight="1" x14ac:dyDescent="0.25">
      <c r="U493" s="42"/>
    </row>
    <row r="494" spans="21:21" ht="15.75" customHeight="1" x14ac:dyDescent="0.25">
      <c r="U494" s="42"/>
    </row>
    <row r="495" spans="21:21" ht="15.75" customHeight="1" x14ac:dyDescent="0.25">
      <c r="U495" s="42"/>
    </row>
    <row r="496" spans="21:21" ht="15.75" customHeight="1" x14ac:dyDescent="0.25">
      <c r="U496" s="42"/>
    </row>
    <row r="497" spans="21:21" ht="15.75" customHeight="1" x14ac:dyDescent="0.25">
      <c r="U497" s="42"/>
    </row>
    <row r="498" spans="21:21" ht="15.75" customHeight="1" x14ac:dyDescent="0.25">
      <c r="U498" s="42"/>
    </row>
    <row r="499" spans="21:21" ht="15.75" customHeight="1" x14ac:dyDescent="0.25">
      <c r="U499" s="42"/>
    </row>
    <row r="500" spans="21:21" ht="15.75" customHeight="1" x14ac:dyDescent="0.25">
      <c r="U500" s="42"/>
    </row>
    <row r="501" spans="21:21" ht="15.75" customHeight="1" x14ac:dyDescent="0.25">
      <c r="U501" s="42"/>
    </row>
    <row r="502" spans="21:21" ht="15.75" customHeight="1" x14ac:dyDescent="0.25">
      <c r="U502" s="42"/>
    </row>
    <row r="503" spans="21:21" ht="15.75" customHeight="1" x14ac:dyDescent="0.25">
      <c r="U503" s="42"/>
    </row>
    <row r="504" spans="21:21" ht="15.75" customHeight="1" x14ac:dyDescent="0.25">
      <c r="U504" s="42"/>
    </row>
    <row r="505" spans="21:21" ht="15.75" customHeight="1" x14ac:dyDescent="0.25">
      <c r="U505" s="42"/>
    </row>
    <row r="506" spans="21:21" ht="15.75" customHeight="1" x14ac:dyDescent="0.25">
      <c r="U506" s="42"/>
    </row>
    <row r="507" spans="21:21" ht="15.75" customHeight="1" x14ac:dyDescent="0.25">
      <c r="U507" s="42"/>
    </row>
    <row r="508" spans="21:21" ht="15.75" customHeight="1" x14ac:dyDescent="0.25">
      <c r="U508" s="42"/>
    </row>
    <row r="509" spans="21:21" ht="15.75" customHeight="1" x14ac:dyDescent="0.25">
      <c r="U509" s="42"/>
    </row>
    <row r="510" spans="21:21" ht="15.75" customHeight="1" x14ac:dyDescent="0.25">
      <c r="U510" s="42"/>
    </row>
    <row r="511" spans="21:21" ht="15.75" customHeight="1" x14ac:dyDescent="0.25">
      <c r="U511" s="42"/>
    </row>
    <row r="512" spans="21:21" ht="15.75" customHeight="1" x14ac:dyDescent="0.25">
      <c r="U512" s="42"/>
    </row>
    <row r="513" spans="21:21" ht="15.75" customHeight="1" x14ac:dyDescent="0.25">
      <c r="U513" s="42"/>
    </row>
    <row r="514" spans="21:21" ht="15.75" customHeight="1" x14ac:dyDescent="0.25">
      <c r="U514" s="42"/>
    </row>
    <row r="515" spans="21:21" ht="15.75" customHeight="1" x14ac:dyDescent="0.25">
      <c r="U515" s="42"/>
    </row>
    <row r="516" spans="21:21" ht="15.75" customHeight="1" x14ac:dyDescent="0.25">
      <c r="U516" s="42"/>
    </row>
    <row r="517" spans="21:21" ht="15.75" customHeight="1" x14ac:dyDescent="0.25">
      <c r="U517" s="42"/>
    </row>
    <row r="518" spans="21:21" ht="15.75" customHeight="1" x14ac:dyDescent="0.25">
      <c r="U518" s="42"/>
    </row>
    <row r="519" spans="21:21" ht="15.75" customHeight="1" x14ac:dyDescent="0.25">
      <c r="U519" s="42"/>
    </row>
    <row r="520" spans="21:21" ht="15.75" customHeight="1" x14ac:dyDescent="0.25">
      <c r="U520" s="42"/>
    </row>
    <row r="521" spans="21:21" ht="15.75" customHeight="1" x14ac:dyDescent="0.25">
      <c r="U521" s="42"/>
    </row>
    <row r="522" spans="21:21" ht="15.75" customHeight="1" x14ac:dyDescent="0.25">
      <c r="U522" s="42"/>
    </row>
    <row r="523" spans="21:21" ht="15.75" customHeight="1" x14ac:dyDescent="0.25">
      <c r="U523" s="42"/>
    </row>
    <row r="524" spans="21:21" ht="15.75" customHeight="1" x14ac:dyDescent="0.25">
      <c r="U524" s="42"/>
    </row>
    <row r="525" spans="21:21" ht="15.75" customHeight="1" x14ac:dyDescent="0.25">
      <c r="U525" s="42"/>
    </row>
    <row r="526" spans="21:21" ht="15.75" customHeight="1" x14ac:dyDescent="0.25">
      <c r="U526" s="42"/>
    </row>
    <row r="527" spans="21:21" ht="15.75" customHeight="1" x14ac:dyDescent="0.25">
      <c r="U527" s="42"/>
    </row>
    <row r="528" spans="21:21" ht="15.75" customHeight="1" x14ac:dyDescent="0.25">
      <c r="U528" s="42"/>
    </row>
    <row r="529" spans="21:21" ht="15.75" customHeight="1" x14ac:dyDescent="0.25">
      <c r="U529" s="42"/>
    </row>
    <row r="530" spans="21:21" ht="15.75" customHeight="1" x14ac:dyDescent="0.25">
      <c r="U530" s="42"/>
    </row>
    <row r="531" spans="21:21" ht="15.75" customHeight="1" x14ac:dyDescent="0.25">
      <c r="U531" s="42"/>
    </row>
    <row r="532" spans="21:21" ht="15.75" customHeight="1" x14ac:dyDescent="0.25">
      <c r="U532" s="42"/>
    </row>
    <row r="533" spans="21:21" ht="15.75" customHeight="1" x14ac:dyDescent="0.25">
      <c r="U533" s="42"/>
    </row>
    <row r="534" spans="21:21" ht="15.75" customHeight="1" x14ac:dyDescent="0.25">
      <c r="U534" s="42"/>
    </row>
    <row r="535" spans="21:21" ht="15.75" customHeight="1" x14ac:dyDescent="0.25">
      <c r="U535" s="42"/>
    </row>
    <row r="536" spans="21:21" ht="15.75" customHeight="1" x14ac:dyDescent="0.25">
      <c r="U536" s="42"/>
    </row>
    <row r="537" spans="21:21" ht="15.75" customHeight="1" x14ac:dyDescent="0.25">
      <c r="U537" s="42"/>
    </row>
    <row r="538" spans="21:21" ht="15.75" customHeight="1" x14ac:dyDescent="0.25">
      <c r="U538" s="42"/>
    </row>
    <row r="539" spans="21:21" ht="15.75" customHeight="1" x14ac:dyDescent="0.25">
      <c r="U539" s="42"/>
    </row>
    <row r="540" spans="21:21" ht="15.75" customHeight="1" x14ac:dyDescent="0.25">
      <c r="U540" s="42"/>
    </row>
    <row r="541" spans="21:21" ht="15.75" customHeight="1" x14ac:dyDescent="0.25">
      <c r="U541" s="42"/>
    </row>
    <row r="542" spans="21:21" ht="15.75" customHeight="1" x14ac:dyDescent="0.25">
      <c r="U542" s="42"/>
    </row>
    <row r="543" spans="21:21" ht="15.75" customHeight="1" x14ac:dyDescent="0.25">
      <c r="U543" s="42"/>
    </row>
    <row r="544" spans="21:21" ht="15.75" customHeight="1" x14ac:dyDescent="0.25">
      <c r="U544" s="42"/>
    </row>
    <row r="545" spans="21:21" ht="15.75" customHeight="1" x14ac:dyDescent="0.25">
      <c r="U545" s="42"/>
    </row>
    <row r="546" spans="21:21" ht="15.75" customHeight="1" x14ac:dyDescent="0.25">
      <c r="U546" s="42"/>
    </row>
    <row r="547" spans="21:21" ht="15.75" customHeight="1" x14ac:dyDescent="0.25">
      <c r="U547" s="42"/>
    </row>
    <row r="548" spans="21:21" ht="15.75" customHeight="1" x14ac:dyDescent="0.25">
      <c r="U548" s="42"/>
    </row>
    <row r="549" spans="21:21" ht="15.75" customHeight="1" x14ac:dyDescent="0.25">
      <c r="U549" s="42"/>
    </row>
    <row r="550" spans="21:21" ht="15.75" customHeight="1" x14ac:dyDescent="0.25">
      <c r="U550" s="42"/>
    </row>
    <row r="551" spans="21:21" ht="15.75" customHeight="1" x14ac:dyDescent="0.25">
      <c r="U551" s="42"/>
    </row>
    <row r="552" spans="21:21" ht="15.75" customHeight="1" x14ac:dyDescent="0.25">
      <c r="U552" s="42"/>
    </row>
    <row r="553" spans="21:21" ht="15.75" customHeight="1" x14ac:dyDescent="0.25">
      <c r="U553" s="42"/>
    </row>
    <row r="554" spans="21:21" ht="15.75" customHeight="1" x14ac:dyDescent="0.25">
      <c r="U554" s="42"/>
    </row>
    <row r="555" spans="21:21" ht="15.75" customHeight="1" x14ac:dyDescent="0.25">
      <c r="U555" s="42"/>
    </row>
    <row r="556" spans="21:21" ht="15.75" customHeight="1" x14ac:dyDescent="0.25">
      <c r="U556" s="42"/>
    </row>
    <row r="557" spans="21:21" ht="15.75" customHeight="1" x14ac:dyDescent="0.25">
      <c r="U557" s="42"/>
    </row>
    <row r="558" spans="21:21" ht="15.75" customHeight="1" x14ac:dyDescent="0.25">
      <c r="U558" s="42"/>
    </row>
    <row r="559" spans="21:21" ht="15.75" customHeight="1" x14ac:dyDescent="0.25">
      <c r="U559" s="42"/>
    </row>
    <row r="560" spans="21:21" ht="15.75" customHeight="1" x14ac:dyDescent="0.25">
      <c r="U560" s="42"/>
    </row>
    <row r="561" spans="21:21" ht="15.75" customHeight="1" x14ac:dyDescent="0.25">
      <c r="U561" s="42"/>
    </row>
    <row r="562" spans="21:21" ht="15.75" customHeight="1" x14ac:dyDescent="0.25">
      <c r="U562" s="42"/>
    </row>
    <row r="563" spans="21:21" ht="15.75" customHeight="1" x14ac:dyDescent="0.25">
      <c r="U563" s="42"/>
    </row>
    <row r="564" spans="21:21" ht="15.75" customHeight="1" x14ac:dyDescent="0.25">
      <c r="U564" s="42"/>
    </row>
    <row r="565" spans="21:21" ht="15.75" customHeight="1" x14ac:dyDescent="0.25">
      <c r="U565" s="42"/>
    </row>
    <row r="566" spans="21:21" ht="15.75" customHeight="1" x14ac:dyDescent="0.25">
      <c r="U566" s="42"/>
    </row>
    <row r="567" spans="21:21" ht="15.75" customHeight="1" x14ac:dyDescent="0.25">
      <c r="U567" s="42"/>
    </row>
    <row r="568" spans="21:21" ht="15.75" customHeight="1" x14ac:dyDescent="0.25">
      <c r="U568" s="42"/>
    </row>
    <row r="569" spans="21:21" ht="15.75" customHeight="1" x14ac:dyDescent="0.25">
      <c r="U569" s="42"/>
    </row>
    <row r="570" spans="21:21" ht="15.75" customHeight="1" x14ac:dyDescent="0.25">
      <c r="U570" s="42"/>
    </row>
    <row r="571" spans="21:21" ht="15.75" customHeight="1" x14ac:dyDescent="0.25">
      <c r="U571" s="42"/>
    </row>
    <row r="572" spans="21:21" ht="15.75" customHeight="1" x14ac:dyDescent="0.25">
      <c r="U572" s="42"/>
    </row>
    <row r="573" spans="21:21" ht="15.75" customHeight="1" x14ac:dyDescent="0.25">
      <c r="U573" s="42"/>
    </row>
    <row r="574" spans="21:21" ht="15.75" customHeight="1" x14ac:dyDescent="0.25">
      <c r="U574" s="42"/>
    </row>
    <row r="575" spans="21:21" ht="15.75" customHeight="1" x14ac:dyDescent="0.25">
      <c r="U575" s="42"/>
    </row>
    <row r="576" spans="21:21" ht="15.75" customHeight="1" x14ac:dyDescent="0.25">
      <c r="U576" s="42"/>
    </row>
    <row r="577" spans="21:21" ht="15.75" customHeight="1" x14ac:dyDescent="0.25">
      <c r="U577" s="42"/>
    </row>
    <row r="578" spans="21:21" ht="15.75" customHeight="1" x14ac:dyDescent="0.25">
      <c r="U578" s="42"/>
    </row>
    <row r="579" spans="21:21" ht="15.75" customHeight="1" x14ac:dyDescent="0.25">
      <c r="U579" s="42"/>
    </row>
    <row r="580" spans="21:21" ht="15.75" customHeight="1" x14ac:dyDescent="0.25">
      <c r="U580" s="42"/>
    </row>
    <row r="581" spans="21:21" ht="15.75" customHeight="1" x14ac:dyDescent="0.25">
      <c r="U581" s="42"/>
    </row>
    <row r="582" spans="21:21" ht="15.75" customHeight="1" x14ac:dyDescent="0.25">
      <c r="U582" s="42"/>
    </row>
    <row r="583" spans="21:21" ht="15.75" customHeight="1" x14ac:dyDescent="0.25">
      <c r="U583" s="42"/>
    </row>
    <row r="584" spans="21:21" ht="15.75" customHeight="1" x14ac:dyDescent="0.25">
      <c r="U584" s="42"/>
    </row>
    <row r="585" spans="21:21" ht="15.75" customHeight="1" x14ac:dyDescent="0.25">
      <c r="U585" s="42"/>
    </row>
    <row r="586" spans="21:21" ht="15.75" customHeight="1" x14ac:dyDescent="0.25">
      <c r="U586" s="42"/>
    </row>
    <row r="587" spans="21:21" ht="15.75" customHeight="1" x14ac:dyDescent="0.25">
      <c r="U587" s="42"/>
    </row>
    <row r="588" spans="21:21" ht="15.75" customHeight="1" x14ac:dyDescent="0.25">
      <c r="U588" s="42"/>
    </row>
    <row r="589" spans="21:21" ht="15.75" customHeight="1" x14ac:dyDescent="0.25">
      <c r="U589" s="42"/>
    </row>
    <row r="590" spans="21:21" ht="15.75" customHeight="1" x14ac:dyDescent="0.25">
      <c r="U590" s="42"/>
    </row>
    <row r="591" spans="21:21" ht="15.75" customHeight="1" x14ac:dyDescent="0.25">
      <c r="U591" s="42"/>
    </row>
    <row r="592" spans="21:21" ht="15.75" customHeight="1" x14ac:dyDescent="0.25">
      <c r="U592" s="42"/>
    </row>
    <row r="593" spans="21:21" ht="15.75" customHeight="1" x14ac:dyDescent="0.25">
      <c r="U593" s="42"/>
    </row>
    <row r="594" spans="21:21" ht="15.75" customHeight="1" x14ac:dyDescent="0.25">
      <c r="U594" s="42"/>
    </row>
    <row r="595" spans="21:21" ht="15.75" customHeight="1" x14ac:dyDescent="0.25">
      <c r="U595" s="42"/>
    </row>
    <row r="596" spans="21:21" ht="15.75" customHeight="1" x14ac:dyDescent="0.25">
      <c r="U596" s="42"/>
    </row>
    <row r="597" spans="21:21" ht="15.75" customHeight="1" x14ac:dyDescent="0.25">
      <c r="U597" s="42"/>
    </row>
    <row r="598" spans="21:21" ht="15.75" customHeight="1" x14ac:dyDescent="0.25">
      <c r="U598" s="42"/>
    </row>
    <row r="599" spans="21:21" ht="15.75" customHeight="1" x14ac:dyDescent="0.25">
      <c r="U599" s="42"/>
    </row>
    <row r="600" spans="21:21" ht="15.75" customHeight="1" x14ac:dyDescent="0.25">
      <c r="U600" s="42"/>
    </row>
    <row r="601" spans="21:21" ht="15.75" customHeight="1" x14ac:dyDescent="0.25">
      <c r="U601" s="42"/>
    </row>
    <row r="602" spans="21:21" ht="15.75" customHeight="1" x14ac:dyDescent="0.25">
      <c r="U602" s="42"/>
    </row>
    <row r="603" spans="21:21" ht="15.75" customHeight="1" x14ac:dyDescent="0.25">
      <c r="U603" s="42"/>
    </row>
    <row r="604" spans="21:21" ht="15.75" customHeight="1" x14ac:dyDescent="0.25">
      <c r="U604" s="42"/>
    </row>
    <row r="605" spans="21:21" ht="15.75" customHeight="1" x14ac:dyDescent="0.25">
      <c r="U605" s="42"/>
    </row>
    <row r="606" spans="21:21" ht="15.75" customHeight="1" x14ac:dyDescent="0.25">
      <c r="U606" s="42"/>
    </row>
    <row r="607" spans="21:21" ht="15.75" customHeight="1" x14ac:dyDescent="0.25">
      <c r="U607" s="42"/>
    </row>
    <row r="608" spans="21:21" ht="15.75" customHeight="1" x14ac:dyDescent="0.25">
      <c r="U608" s="42"/>
    </row>
    <row r="609" spans="21:21" ht="15.75" customHeight="1" x14ac:dyDescent="0.25">
      <c r="U609" s="42"/>
    </row>
    <row r="610" spans="21:21" ht="15.75" customHeight="1" x14ac:dyDescent="0.25">
      <c r="U610" s="42"/>
    </row>
    <row r="611" spans="21:21" ht="15.75" customHeight="1" x14ac:dyDescent="0.25">
      <c r="U611" s="42"/>
    </row>
    <row r="612" spans="21:21" ht="15.75" customHeight="1" x14ac:dyDescent="0.25">
      <c r="U612" s="42"/>
    </row>
    <row r="613" spans="21:21" ht="15.75" customHeight="1" x14ac:dyDescent="0.25">
      <c r="U613" s="42"/>
    </row>
    <row r="614" spans="21:21" ht="15.75" customHeight="1" x14ac:dyDescent="0.25">
      <c r="U614" s="42"/>
    </row>
    <row r="615" spans="21:21" ht="15.75" customHeight="1" x14ac:dyDescent="0.25">
      <c r="U615" s="42"/>
    </row>
    <row r="616" spans="21:21" ht="15.75" customHeight="1" x14ac:dyDescent="0.25">
      <c r="U616" s="42"/>
    </row>
    <row r="617" spans="21:21" ht="15.75" customHeight="1" x14ac:dyDescent="0.25">
      <c r="U617" s="42"/>
    </row>
    <row r="618" spans="21:21" ht="15.75" customHeight="1" x14ac:dyDescent="0.25">
      <c r="U618" s="42"/>
    </row>
    <row r="619" spans="21:21" ht="15.75" customHeight="1" x14ac:dyDescent="0.25">
      <c r="U619" s="42"/>
    </row>
    <row r="620" spans="21:21" ht="15.75" customHeight="1" x14ac:dyDescent="0.25">
      <c r="U620" s="42"/>
    </row>
    <row r="621" spans="21:21" ht="15.75" customHeight="1" x14ac:dyDescent="0.25">
      <c r="U621" s="42"/>
    </row>
    <row r="622" spans="21:21" ht="15.75" customHeight="1" x14ac:dyDescent="0.25">
      <c r="U622" s="42"/>
    </row>
    <row r="623" spans="21:21" ht="15.75" customHeight="1" x14ac:dyDescent="0.25">
      <c r="U623" s="42"/>
    </row>
    <row r="624" spans="21:21" ht="15.75" customHeight="1" x14ac:dyDescent="0.25">
      <c r="U624" s="42"/>
    </row>
    <row r="625" spans="21:21" ht="15.75" customHeight="1" x14ac:dyDescent="0.25">
      <c r="U625" s="42"/>
    </row>
    <row r="626" spans="21:21" ht="15.75" customHeight="1" x14ac:dyDescent="0.25">
      <c r="U626" s="42"/>
    </row>
    <row r="627" spans="21:21" ht="15.75" customHeight="1" x14ac:dyDescent="0.25">
      <c r="U627" s="42"/>
    </row>
    <row r="628" spans="21:21" ht="15.75" customHeight="1" x14ac:dyDescent="0.25">
      <c r="U628" s="42"/>
    </row>
    <row r="629" spans="21:21" ht="15.75" customHeight="1" x14ac:dyDescent="0.25">
      <c r="U629" s="42"/>
    </row>
    <row r="630" spans="21:21" ht="15.75" customHeight="1" x14ac:dyDescent="0.25">
      <c r="U630" s="42"/>
    </row>
    <row r="631" spans="21:21" ht="15.75" customHeight="1" x14ac:dyDescent="0.25">
      <c r="U631" s="42"/>
    </row>
    <row r="632" spans="21:21" ht="15.75" customHeight="1" x14ac:dyDescent="0.25">
      <c r="U632" s="42"/>
    </row>
    <row r="633" spans="21:21" ht="15.75" customHeight="1" x14ac:dyDescent="0.25">
      <c r="U633" s="42"/>
    </row>
    <row r="634" spans="21:21" ht="15.75" customHeight="1" x14ac:dyDescent="0.25">
      <c r="U634" s="42"/>
    </row>
    <row r="635" spans="21:21" ht="15.75" customHeight="1" x14ac:dyDescent="0.25">
      <c r="U635" s="42"/>
    </row>
    <row r="636" spans="21:21" ht="15.75" customHeight="1" x14ac:dyDescent="0.25">
      <c r="U636" s="42"/>
    </row>
    <row r="637" spans="21:21" ht="15.75" customHeight="1" x14ac:dyDescent="0.25">
      <c r="U637" s="42"/>
    </row>
    <row r="638" spans="21:21" ht="15.75" customHeight="1" x14ac:dyDescent="0.25">
      <c r="U638" s="42"/>
    </row>
    <row r="639" spans="21:21" ht="15.75" customHeight="1" x14ac:dyDescent="0.25">
      <c r="U639" s="42"/>
    </row>
    <row r="640" spans="21:21" ht="15.75" customHeight="1" x14ac:dyDescent="0.25">
      <c r="U640" s="42"/>
    </row>
    <row r="641" spans="21:21" ht="15.75" customHeight="1" x14ac:dyDescent="0.25">
      <c r="U641" s="42"/>
    </row>
    <row r="642" spans="21:21" ht="15.75" customHeight="1" x14ac:dyDescent="0.25">
      <c r="U642" s="42"/>
    </row>
    <row r="643" spans="21:21" ht="15.75" customHeight="1" x14ac:dyDescent="0.25">
      <c r="U643" s="42"/>
    </row>
    <row r="644" spans="21:21" ht="15.75" customHeight="1" x14ac:dyDescent="0.25">
      <c r="U644" s="42"/>
    </row>
    <row r="645" spans="21:21" ht="15.75" customHeight="1" x14ac:dyDescent="0.25">
      <c r="U645" s="42"/>
    </row>
    <row r="646" spans="21:21" ht="15.75" customHeight="1" x14ac:dyDescent="0.25">
      <c r="U646" s="42"/>
    </row>
    <row r="647" spans="21:21" ht="15.75" customHeight="1" x14ac:dyDescent="0.25">
      <c r="U647" s="42"/>
    </row>
    <row r="648" spans="21:21" ht="15.75" customHeight="1" x14ac:dyDescent="0.25">
      <c r="U648" s="42"/>
    </row>
    <row r="649" spans="21:21" ht="15.75" customHeight="1" x14ac:dyDescent="0.25">
      <c r="U649" s="42"/>
    </row>
    <row r="650" spans="21:21" ht="15.75" customHeight="1" x14ac:dyDescent="0.25">
      <c r="U650" s="42"/>
    </row>
    <row r="651" spans="21:21" ht="15.75" customHeight="1" x14ac:dyDescent="0.25">
      <c r="U651" s="42"/>
    </row>
    <row r="652" spans="21:21" ht="15.75" customHeight="1" x14ac:dyDescent="0.25">
      <c r="U652" s="42"/>
    </row>
    <row r="653" spans="21:21" ht="15.75" customHeight="1" x14ac:dyDescent="0.25">
      <c r="U653" s="42"/>
    </row>
    <row r="654" spans="21:21" ht="15.75" customHeight="1" x14ac:dyDescent="0.25">
      <c r="U654" s="42"/>
    </row>
    <row r="655" spans="21:21" ht="15.75" customHeight="1" x14ac:dyDescent="0.25">
      <c r="U655" s="42"/>
    </row>
    <row r="656" spans="21:21" ht="15.75" customHeight="1" x14ac:dyDescent="0.25">
      <c r="U656" s="42"/>
    </row>
    <row r="657" spans="21:21" ht="15.75" customHeight="1" x14ac:dyDescent="0.25">
      <c r="U657" s="42"/>
    </row>
    <row r="658" spans="21:21" ht="15.75" customHeight="1" x14ac:dyDescent="0.25">
      <c r="U658" s="42"/>
    </row>
    <row r="659" spans="21:21" ht="15.75" customHeight="1" x14ac:dyDescent="0.25">
      <c r="U659" s="42"/>
    </row>
    <row r="660" spans="21:21" ht="15.75" customHeight="1" x14ac:dyDescent="0.25">
      <c r="U660" s="42"/>
    </row>
    <row r="661" spans="21:21" ht="15.75" customHeight="1" x14ac:dyDescent="0.25">
      <c r="U661" s="42"/>
    </row>
    <row r="662" spans="21:21" ht="15.75" customHeight="1" x14ac:dyDescent="0.25">
      <c r="U662" s="42"/>
    </row>
    <row r="663" spans="21:21" ht="15.75" customHeight="1" x14ac:dyDescent="0.25">
      <c r="U663" s="42"/>
    </row>
    <row r="664" spans="21:21" ht="15.75" customHeight="1" x14ac:dyDescent="0.25">
      <c r="U664" s="42"/>
    </row>
    <row r="665" spans="21:21" ht="15.75" customHeight="1" x14ac:dyDescent="0.25">
      <c r="U665" s="42"/>
    </row>
    <row r="666" spans="21:21" ht="15.75" customHeight="1" x14ac:dyDescent="0.25">
      <c r="U666" s="42"/>
    </row>
    <row r="667" spans="21:21" ht="15.75" customHeight="1" x14ac:dyDescent="0.25">
      <c r="U667" s="42"/>
    </row>
    <row r="668" spans="21:21" ht="15.75" customHeight="1" x14ac:dyDescent="0.25">
      <c r="U668" s="42"/>
    </row>
    <row r="669" spans="21:21" ht="15.75" customHeight="1" x14ac:dyDescent="0.25">
      <c r="U669" s="42"/>
    </row>
    <row r="670" spans="21:21" ht="15.75" customHeight="1" x14ac:dyDescent="0.25">
      <c r="U670" s="42"/>
    </row>
    <row r="671" spans="21:21" ht="15.75" customHeight="1" x14ac:dyDescent="0.25">
      <c r="U671" s="42"/>
    </row>
    <row r="672" spans="21:21" ht="15.75" customHeight="1" x14ac:dyDescent="0.25">
      <c r="U672" s="42"/>
    </row>
    <row r="673" spans="21:21" ht="15.75" customHeight="1" x14ac:dyDescent="0.25">
      <c r="U673" s="42"/>
    </row>
    <row r="674" spans="21:21" ht="15.75" customHeight="1" x14ac:dyDescent="0.25">
      <c r="U674" s="42"/>
    </row>
    <row r="675" spans="21:21" ht="15.75" customHeight="1" x14ac:dyDescent="0.25">
      <c r="U675" s="42"/>
    </row>
    <row r="676" spans="21:21" ht="15.75" customHeight="1" x14ac:dyDescent="0.25">
      <c r="U676" s="42"/>
    </row>
    <row r="677" spans="21:21" ht="15.75" customHeight="1" x14ac:dyDescent="0.25">
      <c r="U677" s="42"/>
    </row>
    <row r="678" spans="21:21" ht="15.75" customHeight="1" x14ac:dyDescent="0.25">
      <c r="U678" s="42"/>
    </row>
    <row r="679" spans="21:21" ht="15.75" customHeight="1" x14ac:dyDescent="0.25">
      <c r="U679" s="42"/>
    </row>
    <row r="680" spans="21:21" ht="15.75" customHeight="1" x14ac:dyDescent="0.25">
      <c r="U680" s="42"/>
    </row>
    <row r="681" spans="21:21" ht="15.75" customHeight="1" x14ac:dyDescent="0.25">
      <c r="U681" s="42"/>
    </row>
    <row r="682" spans="21:21" ht="15.75" customHeight="1" x14ac:dyDescent="0.25">
      <c r="U682" s="42"/>
    </row>
    <row r="683" spans="21:21" ht="15.75" customHeight="1" x14ac:dyDescent="0.25">
      <c r="U683" s="42"/>
    </row>
    <row r="684" spans="21:21" ht="15.75" customHeight="1" x14ac:dyDescent="0.25">
      <c r="U684" s="42"/>
    </row>
    <row r="685" spans="21:21" ht="15.75" customHeight="1" x14ac:dyDescent="0.25">
      <c r="U685" s="42"/>
    </row>
    <row r="686" spans="21:21" ht="15.75" customHeight="1" x14ac:dyDescent="0.25">
      <c r="U686" s="42"/>
    </row>
    <row r="687" spans="21:21" ht="15.75" customHeight="1" x14ac:dyDescent="0.25">
      <c r="U687" s="42"/>
    </row>
    <row r="688" spans="21:21" ht="15.75" customHeight="1" x14ac:dyDescent="0.25">
      <c r="U688" s="42"/>
    </row>
    <row r="689" spans="21:21" ht="15.75" customHeight="1" x14ac:dyDescent="0.25">
      <c r="U689" s="42"/>
    </row>
    <row r="690" spans="21:21" ht="15.75" customHeight="1" x14ac:dyDescent="0.25">
      <c r="U690" s="42"/>
    </row>
    <row r="691" spans="21:21" ht="15.75" customHeight="1" x14ac:dyDescent="0.25">
      <c r="U691" s="42"/>
    </row>
    <row r="692" spans="21:21" ht="15.75" customHeight="1" x14ac:dyDescent="0.25">
      <c r="U692" s="42"/>
    </row>
    <row r="693" spans="21:21" ht="15.75" customHeight="1" x14ac:dyDescent="0.25">
      <c r="U693" s="42"/>
    </row>
    <row r="694" spans="21:21" ht="15.75" customHeight="1" x14ac:dyDescent="0.25">
      <c r="U694" s="42"/>
    </row>
    <row r="695" spans="21:21" ht="15.75" customHeight="1" x14ac:dyDescent="0.25">
      <c r="U695" s="42"/>
    </row>
    <row r="696" spans="21:21" ht="15.75" customHeight="1" x14ac:dyDescent="0.25">
      <c r="U696" s="42"/>
    </row>
    <row r="697" spans="21:21" ht="15.75" customHeight="1" x14ac:dyDescent="0.25">
      <c r="U697" s="42"/>
    </row>
    <row r="698" spans="21:21" ht="15.75" customHeight="1" x14ac:dyDescent="0.25">
      <c r="U698" s="42"/>
    </row>
    <row r="699" spans="21:21" ht="15.75" customHeight="1" x14ac:dyDescent="0.25">
      <c r="U699" s="42"/>
    </row>
    <row r="700" spans="21:21" ht="15.75" customHeight="1" x14ac:dyDescent="0.25">
      <c r="U700" s="42"/>
    </row>
    <row r="701" spans="21:21" ht="15.75" customHeight="1" x14ac:dyDescent="0.25">
      <c r="U701" s="42"/>
    </row>
    <row r="702" spans="21:21" ht="15.75" customHeight="1" x14ac:dyDescent="0.25">
      <c r="U702" s="42"/>
    </row>
    <row r="703" spans="21:21" ht="15.75" customHeight="1" x14ac:dyDescent="0.25">
      <c r="U703" s="42"/>
    </row>
    <row r="704" spans="21:21" ht="15.75" customHeight="1" x14ac:dyDescent="0.25">
      <c r="U704" s="42"/>
    </row>
    <row r="705" spans="21:21" ht="15.75" customHeight="1" x14ac:dyDescent="0.25">
      <c r="U705" s="42"/>
    </row>
    <row r="706" spans="21:21" ht="15.75" customHeight="1" x14ac:dyDescent="0.25">
      <c r="U706" s="42"/>
    </row>
    <row r="707" spans="21:21" ht="15.75" customHeight="1" x14ac:dyDescent="0.25">
      <c r="U707" s="42"/>
    </row>
    <row r="708" spans="21:21" ht="15.75" customHeight="1" x14ac:dyDescent="0.25">
      <c r="U708" s="42"/>
    </row>
    <row r="709" spans="21:21" ht="15.75" customHeight="1" x14ac:dyDescent="0.25">
      <c r="U709" s="42"/>
    </row>
    <row r="710" spans="21:21" ht="15.75" customHeight="1" x14ac:dyDescent="0.25">
      <c r="U710" s="42"/>
    </row>
    <row r="711" spans="21:21" ht="15.75" customHeight="1" x14ac:dyDescent="0.25">
      <c r="U711" s="42"/>
    </row>
    <row r="712" spans="21:21" ht="15.75" customHeight="1" x14ac:dyDescent="0.25">
      <c r="U712" s="42"/>
    </row>
    <row r="713" spans="21:21" ht="15.75" customHeight="1" x14ac:dyDescent="0.25">
      <c r="U713" s="42"/>
    </row>
    <row r="714" spans="21:21" ht="15.75" customHeight="1" x14ac:dyDescent="0.25">
      <c r="U714" s="42"/>
    </row>
    <row r="715" spans="21:21" ht="15.75" customHeight="1" x14ac:dyDescent="0.25">
      <c r="U715" s="42"/>
    </row>
    <row r="716" spans="21:21" ht="15.75" customHeight="1" x14ac:dyDescent="0.25">
      <c r="U716" s="42"/>
    </row>
    <row r="717" spans="21:21" ht="15.75" customHeight="1" x14ac:dyDescent="0.25">
      <c r="U717" s="42"/>
    </row>
    <row r="718" spans="21:21" ht="15.75" customHeight="1" x14ac:dyDescent="0.25">
      <c r="U718" s="42"/>
    </row>
    <row r="719" spans="21:21" ht="15.75" customHeight="1" x14ac:dyDescent="0.25">
      <c r="U719" s="42"/>
    </row>
    <row r="720" spans="21:21" ht="15.75" customHeight="1" x14ac:dyDescent="0.25">
      <c r="U720" s="42"/>
    </row>
    <row r="721" spans="21:21" ht="15.75" customHeight="1" x14ac:dyDescent="0.25">
      <c r="U721" s="42"/>
    </row>
    <row r="722" spans="21:21" ht="15.75" customHeight="1" x14ac:dyDescent="0.25">
      <c r="U722" s="42"/>
    </row>
    <row r="723" spans="21:21" ht="15.75" customHeight="1" x14ac:dyDescent="0.25">
      <c r="U723" s="42"/>
    </row>
    <row r="724" spans="21:21" ht="15.75" customHeight="1" x14ac:dyDescent="0.25">
      <c r="U724" s="42"/>
    </row>
    <row r="725" spans="21:21" ht="15.75" customHeight="1" x14ac:dyDescent="0.25">
      <c r="U725" s="42"/>
    </row>
    <row r="726" spans="21:21" ht="15.75" customHeight="1" x14ac:dyDescent="0.25">
      <c r="U726" s="42"/>
    </row>
    <row r="727" spans="21:21" ht="15.75" customHeight="1" x14ac:dyDescent="0.25">
      <c r="U727" s="42"/>
    </row>
    <row r="728" spans="21:21" ht="15.75" customHeight="1" x14ac:dyDescent="0.25">
      <c r="U728" s="42"/>
    </row>
    <row r="729" spans="21:21" ht="15.75" customHeight="1" x14ac:dyDescent="0.25">
      <c r="U729" s="42"/>
    </row>
    <row r="730" spans="21:21" ht="15.75" customHeight="1" x14ac:dyDescent="0.25">
      <c r="U730" s="42"/>
    </row>
    <row r="731" spans="21:21" ht="15.75" customHeight="1" x14ac:dyDescent="0.25">
      <c r="U731" s="42"/>
    </row>
    <row r="732" spans="21:21" ht="15.75" customHeight="1" x14ac:dyDescent="0.25">
      <c r="U732" s="42"/>
    </row>
    <row r="733" spans="21:21" ht="15.75" customHeight="1" x14ac:dyDescent="0.25">
      <c r="U733" s="42"/>
    </row>
    <row r="734" spans="21:21" ht="15.75" customHeight="1" x14ac:dyDescent="0.25">
      <c r="U734" s="42"/>
    </row>
    <row r="735" spans="21:21" ht="15.75" customHeight="1" x14ac:dyDescent="0.25">
      <c r="U735" s="42"/>
    </row>
    <row r="736" spans="21:21" ht="15.75" customHeight="1" x14ac:dyDescent="0.25">
      <c r="U736" s="42"/>
    </row>
    <row r="737" spans="21:21" ht="15.75" customHeight="1" x14ac:dyDescent="0.25">
      <c r="U737" s="42"/>
    </row>
    <row r="738" spans="21:21" ht="15.75" customHeight="1" x14ac:dyDescent="0.25">
      <c r="U738" s="42"/>
    </row>
    <row r="739" spans="21:21" ht="15.75" customHeight="1" x14ac:dyDescent="0.25">
      <c r="U739" s="42"/>
    </row>
    <row r="740" spans="21:21" ht="15.75" customHeight="1" x14ac:dyDescent="0.25">
      <c r="U740" s="42"/>
    </row>
    <row r="741" spans="21:21" ht="15.75" customHeight="1" x14ac:dyDescent="0.25">
      <c r="U741" s="42"/>
    </row>
    <row r="742" spans="21:21" ht="15.75" customHeight="1" x14ac:dyDescent="0.25">
      <c r="U742" s="42"/>
    </row>
    <row r="743" spans="21:21" ht="15.75" customHeight="1" x14ac:dyDescent="0.25">
      <c r="U743" s="42"/>
    </row>
    <row r="744" spans="21:21" ht="15.75" customHeight="1" x14ac:dyDescent="0.25">
      <c r="U744" s="42"/>
    </row>
    <row r="745" spans="21:21" ht="15.75" customHeight="1" x14ac:dyDescent="0.25">
      <c r="U745" s="42"/>
    </row>
    <row r="746" spans="21:21" ht="15.75" customHeight="1" x14ac:dyDescent="0.25">
      <c r="U746" s="42"/>
    </row>
    <row r="747" spans="21:21" ht="15.75" customHeight="1" x14ac:dyDescent="0.25">
      <c r="U747" s="42"/>
    </row>
    <row r="748" spans="21:21" ht="15.75" customHeight="1" x14ac:dyDescent="0.25">
      <c r="U748" s="42"/>
    </row>
    <row r="749" spans="21:21" ht="15.75" customHeight="1" x14ac:dyDescent="0.25">
      <c r="U749" s="42"/>
    </row>
    <row r="750" spans="21:21" ht="15.75" customHeight="1" x14ac:dyDescent="0.25">
      <c r="U750" s="42"/>
    </row>
    <row r="751" spans="21:21" ht="15.75" customHeight="1" x14ac:dyDescent="0.25">
      <c r="U751" s="42"/>
    </row>
    <row r="752" spans="21:21" ht="15.75" customHeight="1" x14ac:dyDescent="0.25">
      <c r="U752" s="42"/>
    </row>
    <row r="753" spans="21:21" ht="15.75" customHeight="1" x14ac:dyDescent="0.25">
      <c r="U753" s="42"/>
    </row>
    <row r="754" spans="21:21" ht="15.75" customHeight="1" x14ac:dyDescent="0.25">
      <c r="U754" s="42"/>
    </row>
    <row r="755" spans="21:21" ht="15.75" customHeight="1" x14ac:dyDescent="0.25">
      <c r="U755" s="42"/>
    </row>
    <row r="756" spans="21:21" ht="15.75" customHeight="1" x14ac:dyDescent="0.25">
      <c r="U756" s="42"/>
    </row>
    <row r="757" spans="21:21" ht="15.75" customHeight="1" x14ac:dyDescent="0.25">
      <c r="U757" s="42"/>
    </row>
    <row r="758" spans="21:21" ht="15.75" customHeight="1" x14ac:dyDescent="0.25">
      <c r="U758" s="42"/>
    </row>
    <row r="759" spans="21:21" ht="15.75" customHeight="1" x14ac:dyDescent="0.25">
      <c r="U759" s="42"/>
    </row>
    <row r="760" spans="21:21" ht="15.75" customHeight="1" x14ac:dyDescent="0.25">
      <c r="U760" s="42"/>
    </row>
    <row r="761" spans="21:21" ht="15.75" customHeight="1" x14ac:dyDescent="0.25">
      <c r="U761" s="42"/>
    </row>
    <row r="762" spans="21:21" ht="15.75" customHeight="1" x14ac:dyDescent="0.25">
      <c r="U762" s="42"/>
    </row>
    <row r="763" spans="21:21" ht="15.75" customHeight="1" x14ac:dyDescent="0.25">
      <c r="U763" s="42"/>
    </row>
    <row r="764" spans="21:21" ht="15.75" customHeight="1" x14ac:dyDescent="0.25">
      <c r="U764" s="42"/>
    </row>
    <row r="765" spans="21:21" ht="15.75" customHeight="1" x14ac:dyDescent="0.25">
      <c r="U765" s="42"/>
    </row>
    <row r="766" spans="21:21" ht="15.75" customHeight="1" x14ac:dyDescent="0.25">
      <c r="U766" s="42"/>
    </row>
    <row r="767" spans="21:21" ht="15.75" customHeight="1" x14ac:dyDescent="0.25">
      <c r="U767" s="42"/>
    </row>
    <row r="768" spans="21:21" ht="15.75" customHeight="1" x14ac:dyDescent="0.25">
      <c r="U768" s="42"/>
    </row>
    <row r="769" spans="21:21" ht="15.75" customHeight="1" x14ac:dyDescent="0.25">
      <c r="U769" s="42"/>
    </row>
    <row r="770" spans="21:21" ht="15.75" customHeight="1" x14ac:dyDescent="0.25">
      <c r="U770" s="42"/>
    </row>
    <row r="771" spans="21:21" ht="15.75" customHeight="1" x14ac:dyDescent="0.25">
      <c r="U771" s="42"/>
    </row>
    <row r="772" spans="21:21" ht="15.75" customHeight="1" x14ac:dyDescent="0.25">
      <c r="U772" s="42"/>
    </row>
    <row r="773" spans="21:21" ht="15.75" customHeight="1" x14ac:dyDescent="0.25">
      <c r="U773" s="42"/>
    </row>
    <row r="774" spans="21:21" ht="15.75" customHeight="1" x14ac:dyDescent="0.25">
      <c r="U774" s="42"/>
    </row>
    <row r="775" spans="21:21" ht="15.75" customHeight="1" x14ac:dyDescent="0.25">
      <c r="U775" s="42"/>
    </row>
    <row r="776" spans="21:21" ht="15.75" customHeight="1" x14ac:dyDescent="0.25">
      <c r="U776" s="42"/>
    </row>
    <row r="777" spans="21:21" ht="15.75" customHeight="1" x14ac:dyDescent="0.25">
      <c r="U777" s="42"/>
    </row>
    <row r="778" spans="21:21" ht="15.75" customHeight="1" x14ac:dyDescent="0.25">
      <c r="U778" s="42"/>
    </row>
    <row r="779" spans="21:21" ht="15.75" customHeight="1" x14ac:dyDescent="0.25">
      <c r="U779" s="42"/>
    </row>
    <row r="780" spans="21:21" ht="15.75" customHeight="1" x14ac:dyDescent="0.25">
      <c r="U780" s="42"/>
    </row>
    <row r="781" spans="21:21" ht="15.75" customHeight="1" x14ac:dyDescent="0.25">
      <c r="U781" s="42"/>
    </row>
    <row r="782" spans="21:21" ht="15.75" customHeight="1" x14ac:dyDescent="0.25">
      <c r="U782" s="42"/>
    </row>
    <row r="783" spans="21:21" ht="15.75" customHeight="1" x14ac:dyDescent="0.25">
      <c r="U783" s="42"/>
    </row>
    <row r="784" spans="21:21" ht="15.75" customHeight="1" x14ac:dyDescent="0.25">
      <c r="U784" s="42"/>
    </row>
    <row r="785" spans="21:21" ht="15.75" customHeight="1" x14ac:dyDescent="0.25">
      <c r="U785" s="42"/>
    </row>
    <row r="786" spans="21:21" ht="15.75" customHeight="1" x14ac:dyDescent="0.25">
      <c r="U786" s="42"/>
    </row>
    <row r="787" spans="21:21" ht="15.75" customHeight="1" x14ac:dyDescent="0.25">
      <c r="U787" s="42"/>
    </row>
    <row r="788" spans="21:21" ht="15.75" customHeight="1" x14ac:dyDescent="0.25">
      <c r="U788" s="42"/>
    </row>
    <row r="789" spans="21:21" ht="15.75" customHeight="1" x14ac:dyDescent="0.25">
      <c r="U789" s="42"/>
    </row>
    <row r="790" spans="21:21" ht="15.75" customHeight="1" x14ac:dyDescent="0.25">
      <c r="U790" s="42"/>
    </row>
    <row r="791" spans="21:21" ht="15.75" customHeight="1" x14ac:dyDescent="0.25">
      <c r="U791" s="42"/>
    </row>
    <row r="792" spans="21:21" ht="15.75" customHeight="1" x14ac:dyDescent="0.25">
      <c r="U792" s="42"/>
    </row>
    <row r="793" spans="21:21" ht="15.75" customHeight="1" x14ac:dyDescent="0.25">
      <c r="U793" s="42"/>
    </row>
    <row r="794" spans="21:21" ht="15.75" customHeight="1" x14ac:dyDescent="0.25">
      <c r="U794" s="42"/>
    </row>
    <row r="795" spans="21:21" ht="15.75" customHeight="1" x14ac:dyDescent="0.25">
      <c r="U795" s="42"/>
    </row>
    <row r="796" spans="21:21" ht="15.75" customHeight="1" x14ac:dyDescent="0.25">
      <c r="U796" s="42"/>
    </row>
    <row r="797" spans="21:21" ht="15.75" customHeight="1" x14ac:dyDescent="0.25">
      <c r="U797" s="42"/>
    </row>
    <row r="798" spans="21:21" ht="15.75" customHeight="1" x14ac:dyDescent="0.25">
      <c r="U798" s="42"/>
    </row>
    <row r="799" spans="21:21" ht="15.75" customHeight="1" x14ac:dyDescent="0.25">
      <c r="U799" s="42"/>
    </row>
    <row r="800" spans="21:21" ht="15.75" customHeight="1" x14ac:dyDescent="0.25">
      <c r="U800" s="42"/>
    </row>
    <row r="801" spans="21:21" ht="15.75" customHeight="1" x14ac:dyDescent="0.25">
      <c r="U801" s="42"/>
    </row>
    <row r="802" spans="21:21" ht="15.75" customHeight="1" x14ac:dyDescent="0.25">
      <c r="U802" s="42"/>
    </row>
    <row r="803" spans="21:21" ht="15.75" customHeight="1" x14ac:dyDescent="0.25">
      <c r="U803" s="42"/>
    </row>
    <row r="804" spans="21:21" ht="15.75" customHeight="1" x14ac:dyDescent="0.25">
      <c r="U804" s="42"/>
    </row>
    <row r="805" spans="21:21" ht="15.75" customHeight="1" x14ac:dyDescent="0.25">
      <c r="U805" s="42"/>
    </row>
    <row r="806" spans="21:21" ht="15.75" customHeight="1" x14ac:dyDescent="0.25">
      <c r="U806" s="42"/>
    </row>
    <row r="807" spans="21:21" ht="15.75" customHeight="1" x14ac:dyDescent="0.25">
      <c r="U807" s="42"/>
    </row>
    <row r="808" spans="21:21" ht="15.75" customHeight="1" x14ac:dyDescent="0.25">
      <c r="U808" s="42"/>
    </row>
    <row r="809" spans="21:21" ht="15.75" customHeight="1" x14ac:dyDescent="0.25">
      <c r="U809" s="42"/>
    </row>
    <row r="810" spans="21:21" ht="15.75" customHeight="1" x14ac:dyDescent="0.25">
      <c r="U810" s="42"/>
    </row>
    <row r="811" spans="21:21" ht="15.75" customHeight="1" x14ac:dyDescent="0.25">
      <c r="U811" s="42"/>
    </row>
    <row r="812" spans="21:21" ht="15.75" customHeight="1" x14ac:dyDescent="0.25">
      <c r="U812" s="42"/>
    </row>
    <row r="813" spans="21:21" ht="15.75" customHeight="1" x14ac:dyDescent="0.25">
      <c r="U813" s="42"/>
    </row>
    <row r="814" spans="21:21" ht="15.75" customHeight="1" x14ac:dyDescent="0.25">
      <c r="U814" s="42"/>
    </row>
    <row r="815" spans="21:21" ht="15.75" customHeight="1" x14ac:dyDescent="0.25">
      <c r="U815" s="42"/>
    </row>
    <row r="816" spans="21:21" ht="15.75" customHeight="1" x14ac:dyDescent="0.25">
      <c r="U816" s="42"/>
    </row>
    <row r="817" spans="21:21" ht="15.75" customHeight="1" x14ac:dyDescent="0.25">
      <c r="U817" s="42"/>
    </row>
    <row r="818" spans="21:21" ht="15.75" customHeight="1" x14ac:dyDescent="0.25">
      <c r="U818" s="42"/>
    </row>
    <row r="819" spans="21:21" ht="15.75" customHeight="1" x14ac:dyDescent="0.25">
      <c r="U819" s="42"/>
    </row>
    <row r="820" spans="21:21" ht="15.75" customHeight="1" x14ac:dyDescent="0.25">
      <c r="U820" s="42"/>
    </row>
    <row r="821" spans="21:21" ht="15.75" customHeight="1" x14ac:dyDescent="0.25">
      <c r="U821" s="42"/>
    </row>
    <row r="822" spans="21:21" ht="15.75" customHeight="1" x14ac:dyDescent="0.25">
      <c r="U822" s="42"/>
    </row>
    <row r="823" spans="21:21" ht="15.75" customHeight="1" x14ac:dyDescent="0.25">
      <c r="U823" s="42"/>
    </row>
    <row r="824" spans="21:21" ht="15.75" customHeight="1" x14ac:dyDescent="0.25">
      <c r="U824" s="42"/>
    </row>
    <row r="825" spans="21:21" ht="15.75" customHeight="1" x14ac:dyDescent="0.25">
      <c r="U825" s="42"/>
    </row>
    <row r="826" spans="21:21" ht="15.75" customHeight="1" x14ac:dyDescent="0.25">
      <c r="U826" s="42"/>
    </row>
    <row r="827" spans="21:21" ht="15.75" customHeight="1" x14ac:dyDescent="0.25">
      <c r="U827" s="42"/>
    </row>
    <row r="828" spans="21:21" ht="15.75" customHeight="1" x14ac:dyDescent="0.25">
      <c r="U828" s="42"/>
    </row>
    <row r="829" spans="21:21" ht="15.75" customHeight="1" x14ac:dyDescent="0.25">
      <c r="U829" s="42"/>
    </row>
    <row r="830" spans="21:21" ht="15.75" customHeight="1" x14ac:dyDescent="0.25">
      <c r="U830" s="42"/>
    </row>
    <row r="831" spans="21:21" ht="15.75" customHeight="1" x14ac:dyDescent="0.25">
      <c r="U831" s="42"/>
    </row>
    <row r="832" spans="21:21" ht="15.75" customHeight="1" x14ac:dyDescent="0.25">
      <c r="U832" s="42"/>
    </row>
    <row r="833" spans="21:21" ht="15.75" customHeight="1" x14ac:dyDescent="0.25">
      <c r="U833" s="42"/>
    </row>
    <row r="834" spans="21:21" ht="15.75" customHeight="1" x14ac:dyDescent="0.25">
      <c r="U834" s="42"/>
    </row>
    <row r="835" spans="21:21" ht="15.75" customHeight="1" x14ac:dyDescent="0.25">
      <c r="U835" s="42"/>
    </row>
    <row r="836" spans="21:21" ht="15.75" customHeight="1" x14ac:dyDescent="0.25">
      <c r="U836" s="42"/>
    </row>
    <row r="837" spans="21:21" ht="15.75" customHeight="1" x14ac:dyDescent="0.25">
      <c r="U837" s="42"/>
    </row>
    <row r="838" spans="21:21" ht="15.75" customHeight="1" x14ac:dyDescent="0.25">
      <c r="U838" s="42"/>
    </row>
    <row r="839" spans="21:21" ht="15.75" customHeight="1" x14ac:dyDescent="0.25">
      <c r="U839" s="42"/>
    </row>
    <row r="840" spans="21:21" ht="15.75" customHeight="1" x14ac:dyDescent="0.25">
      <c r="U840" s="42"/>
    </row>
    <row r="841" spans="21:21" ht="15.75" customHeight="1" x14ac:dyDescent="0.25">
      <c r="U841" s="42"/>
    </row>
    <row r="842" spans="21:21" ht="15.75" customHeight="1" x14ac:dyDescent="0.25">
      <c r="U842" s="42"/>
    </row>
    <row r="843" spans="21:21" ht="15.75" customHeight="1" x14ac:dyDescent="0.25">
      <c r="U843" s="42"/>
    </row>
    <row r="844" spans="21:21" ht="15.75" customHeight="1" x14ac:dyDescent="0.25">
      <c r="U844" s="42"/>
    </row>
    <row r="845" spans="21:21" ht="15.75" customHeight="1" x14ac:dyDescent="0.25">
      <c r="U845" s="42"/>
    </row>
    <row r="846" spans="21:21" ht="15.75" customHeight="1" x14ac:dyDescent="0.25">
      <c r="U846" s="42"/>
    </row>
    <row r="847" spans="21:21" ht="15.75" customHeight="1" x14ac:dyDescent="0.25">
      <c r="U847" s="42"/>
    </row>
    <row r="848" spans="21:21" ht="15.75" customHeight="1" x14ac:dyDescent="0.25">
      <c r="U848" s="42"/>
    </row>
    <row r="849" spans="21:21" ht="15.75" customHeight="1" x14ac:dyDescent="0.25">
      <c r="U849" s="42"/>
    </row>
    <row r="850" spans="21:21" ht="15.75" customHeight="1" x14ac:dyDescent="0.25">
      <c r="U850" s="42"/>
    </row>
    <row r="851" spans="21:21" ht="15.75" customHeight="1" x14ac:dyDescent="0.25">
      <c r="U851" s="42"/>
    </row>
    <row r="852" spans="21:21" ht="15.75" customHeight="1" x14ac:dyDescent="0.25">
      <c r="U852" s="42"/>
    </row>
    <row r="853" spans="21:21" ht="15.75" customHeight="1" x14ac:dyDescent="0.25">
      <c r="U853" s="42"/>
    </row>
    <row r="854" spans="21:21" ht="15.75" customHeight="1" x14ac:dyDescent="0.25">
      <c r="U854" s="42"/>
    </row>
    <row r="855" spans="21:21" ht="15.75" customHeight="1" x14ac:dyDescent="0.25">
      <c r="U855" s="42"/>
    </row>
    <row r="856" spans="21:21" ht="15.75" customHeight="1" x14ac:dyDescent="0.25">
      <c r="U856" s="42"/>
    </row>
    <row r="857" spans="21:21" ht="15.75" customHeight="1" x14ac:dyDescent="0.25">
      <c r="U857" s="42"/>
    </row>
    <row r="858" spans="21:21" ht="15.75" customHeight="1" x14ac:dyDescent="0.25">
      <c r="U858" s="42"/>
    </row>
    <row r="859" spans="21:21" ht="15.75" customHeight="1" x14ac:dyDescent="0.25">
      <c r="U859" s="42"/>
    </row>
    <row r="860" spans="21:21" ht="15.75" customHeight="1" x14ac:dyDescent="0.25">
      <c r="U860" s="42"/>
    </row>
    <row r="861" spans="21:21" ht="15.75" customHeight="1" x14ac:dyDescent="0.25">
      <c r="U861" s="42"/>
    </row>
    <row r="862" spans="21:21" ht="15.75" customHeight="1" x14ac:dyDescent="0.25">
      <c r="U862" s="42"/>
    </row>
    <row r="863" spans="21:21" ht="15.75" customHeight="1" x14ac:dyDescent="0.25">
      <c r="U863" s="42"/>
    </row>
    <row r="864" spans="21:21" ht="15.75" customHeight="1" x14ac:dyDescent="0.25">
      <c r="U864" s="42"/>
    </row>
    <row r="865" spans="21:21" ht="15.75" customHeight="1" x14ac:dyDescent="0.25">
      <c r="U865" s="42"/>
    </row>
    <row r="866" spans="21:21" ht="15.75" customHeight="1" x14ac:dyDescent="0.25">
      <c r="U866" s="42"/>
    </row>
    <row r="867" spans="21:21" ht="15.75" customHeight="1" x14ac:dyDescent="0.25">
      <c r="U867" s="42"/>
    </row>
    <row r="868" spans="21:21" ht="15.75" customHeight="1" x14ac:dyDescent="0.25">
      <c r="U868" s="42"/>
    </row>
    <row r="869" spans="21:21" ht="15.75" customHeight="1" x14ac:dyDescent="0.25">
      <c r="U869" s="42"/>
    </row>
    <row r="870" spans="21:21" ht="15.75" customHeight="1" x14ac:dyDescent="0.25">
      <c r="U870" s="42"/>
    </row>
    <row r="871" spans="21:21" ht="15.75" customHeight="1" x14ac:dyDescent="0.25">
      <c r="U871" s="42"/>
    </row>
    <row r="872" spans="21:21" ht="15.75" customHeight="1" x14ac:dyDescent="0.25">
      <c r="U872" s="42"/>
    </row>
    <row r="873" spans="21:21" ht="15.75" customHeight="1" x14ac:dyDescent="0.25">
      <c r="U873" s="42"/>
    </row>
    <row r="874" spans="21:21" ht="15.75" customHeight="1" x14ac:dyDescent="0.25">
      <c r="U874" s="42"/>
    </row>
    <row r="875" spans="21:21" ht="15.75" customHeight="1" x14ac:dyDescent="0.25">
      <c r="U875" s="42"/>
    </row>
    <row r="876" spans="21:21" ht="15.75" customHeight="1" x14ac:dyDescent="0.25">
      <c r="U876" s="42"/>
    </row>
    <row r="877" spans="21:21" ht="15.75" customHeight="1" x14ac:dyDescent="0.25">
      <c r="U877" s="42"/>
    </row>
    <row r="878" spans="21:21" ht="15.75" customHeight="1" x14ac:dyDescent="0.25">
      <c r="U878" s="42"/>
    </row>
    <row r="879" spans="21:21" ht="15.75" customHeight="1" x14ac:dyDescent="0.25">
      <c r="U879" s="42"/>
    </row>
    <row r="880" spans="21:21" ht="15.75" customHeight="1" x14ac:dyDescent="0.25">
      <c r="U880" s="42"/>
    </row>
    <row r="881" spans="21:21" ht="15.75" customHeight="1" x14ac:dyDescent="0.25">
      <c r="U881" s="42"/>
    </row>
    <row r="882" spans="21:21" ht="15.75" customHeight="1" x14ac:dyDescent="0.25">
      <c r="U882" s="42"/>
    </row>
    <row r="883" spans="21:21" ht="15.75" customHeight="1" x14ac:dyDescent="0.25">
      <c r="U883" s="42"/>
    </row>
    <row r="884" spans="21:21" ht="15.75" customHeight="1" x14ac:dyDescent="0.25">
      <c r="U884" s="42"/>
    </row>
    <row r="885" spans="21:21" ht="15.75" customHeight="1" x14ac:dyDescent="0.25">
      <c r="U885" s="42"/>
    </row>
    <row r="886" spans="21:21" ht="15.75" customHeight="1" x14ac:dyDescent="0.25">
      <c r="U886" s="42"/>
    </row>
    <row r="887" spans="21:21" ht="15.75" customHeight="1" x14ac:dyDescent="0.25">
      <c r="U887" s="42"/>
    </row>
    <row r="888" spans="21:21" ht="15.75" customHeight="1" x14ac:dyDescent="0.25">
      <c r="U888" s="42"/>
    </row>
    <row r="889" spans="21:21" ht="15.75" customHeight="1" x14ac:dyDescent="0.25">
      <c r="U889" s="42"/>
    </row>
    <row r="890" spans="21:21" ht="15.75" customHeight="1" x14ac:dyDescent="0.25">
      <c r="U890" s="42"/>
    </row>
    <row r="891" spans="21:21" ht="15.75" customHeight="1" x14ac:dyDescent="0.25">
      <c r="U891" s="42"/>
    </row>
    <row r="892" spans="21:21" ht="15.75" customHeight="1" x14ac:dyDescent="0.25">
      <c r="U892" s="42"/>
    </row>
    <row r="893" spans="21:21" ht="15.75" customHeight="1" x14ac:dyDescent="0.25">
      <c r="U893" s="42"/>
    </row>
    <row r="894" spans="21:21" ht="15.75" customHeight="1" x14ac:dyDescent="0.25">
      <c r="U894" s="42"/>
    </row>
    <row r="895" spans="21:21" ht="15.75" customHeight="1" x14ac:dyDescent="0.25">
      <c r="U895" s="42"/>
    </row>
    <row r="896" spans="21:21" ht="15.75" customHeight="1" x14ac:dyDescent="0.25">
      <c r="U896" s="42"/>
    </row>
    <row r="897" spans="21:21" ht="15.75" customHeight="1" x14ac:dyDescent="0.25">
      <c r="U897" s="42"/>
    </row>
    <row r="898" spans="21:21" ht="15.75" customHeight="1" x14ac:dyDescent="0.25">
      <c r="U898" s="42"/>
    </row>
    <row r="899" spans="21:21" ht="15.75" customHeight="1" x14ac:dyDescent="0.25">
      <c r="U899" s="42"/>
    </row>
    <row r="900" spans="21:21" ht="15.75" customHeight="1" x14ac:dyDescent="0.25">
      <c r="U900" s="42"/>
    </row>
    <row r="901" spans="21:21" ht="15.75" customHeight="1" x14ac:dyDescent="0.25">
      <c r="U901" s="42"/>
    </row>
    <row r="902" spans="21:21" ht="15.75" customHeight="1" x14ac:dyDescent="0.25">
      <c r="U902" s="42"/>
    </row>
    <row r="903" spans="21:21" ht="15.75" customHeight="1" x14ac:dyDescent="0.25">
      <c r="U903" s="42"/>
    </row>
    <row r="904" spans="21:21" ht="15.75" customHeight="1" x14ac:dyDescent="0.25">
      <c r="U904" s="42"/>
    </row>
    <row r="905" spans="21:21" ht="15.75" customHeight="1" x14ac:dyDescent="0.25">
      <c r="U905" s="42"/>
    </row>
    <row r="906" spans="21:21" ht="15.75" customHeight="1" x14ac:dyDescent="0.25">
      <c r="U906" s="42"/>
    </row>
    <row r="907" spans="21:21" ht="15.75" customHeight="1" x14ac:dyDescent="0.25">
      <c r="U907" s="42"/>
    </row>
    <row r="908" spans="21:21" ht="15.75" customHeight="1" x14ac:dyDescent="0.25">
      <c r="U908" s="42"/>
    </row>
    <row r="909" spans="21:21" ht="15.75" customHeight="1" x14ac:dyDescent="0.25">
      <c r="U909" s="42"/>
    </row>
    <row r="910" spans="21:21" ht="15.75" customHeight="1" x14ac:dyDescent="0.25">
      <c r="U910" s="42"/>
    </row>
    <row r="911" spans="21:21" ht="15.75" customHeight="1" x14ac:dyDescent="0.25">
      <c r="U911" s="42"/>
    </row>
    <row r="912" spans="21:21" ht="15.75" customHeight="1" x14ac:dyDescent="0.25">
      <c r="U912" s="42"/>
    </row>
    <row r="913" spans="21:21" ht="15.75" customHeight="1" x14ac:dyDescent="0.25">
      <c r="U913" s="42"/>
    </row>
    <row r="914" spans="21:21" ht="15.75" customHeight="1" x14ac:dyDescent="0.25">
      <c r="U914" s="42"/>
    </row>
    <row r="915" spans="21:21" ht="15.75" customHeight="1" x14ac:dyDescent="0.25">
      <c r="U915" s="42"/>
    </row>
    <row r="916" spans="21:21" ht="15.75" customHeight="1" x14ac:dyDescent="0.25">
      <c r="U916" s="42"/>
    </row>
    <row r="917" spans="21:21" ht="15.75" customHeight="1" x14ac:dyDescent="0.25">
      <c r="U917" s="42"/>
    </row>
    <row r="918" spans="21:21" ht="15.75" customHeight="1" x14ac:dyDescent="0.25">
      <c r="U918" s="42"/>
    </row>
    <row r="919" spans="21:21" ht="15.75" customHeight="1" x14ac:dyDescent="0.25">
      <c r="U919" s="42"/>
    </row>
    <row r="920" spans="21:21" ht="15.75" customHeight="1" x14ac:dyDescent="0.25">
      <c r="U920" s="42"/>
    </row>
    <row r="921" spans="21:21" ht="15.75" customHeight="1" x14ac:dyDescent="0.25">
      <c r="U921" s="42"/>
    </row>
    <row r="922" spans="21:21" ht="15.75" customHeight="1" x14ac:dyDescent="0.25">
      <c r="U922" s="42"/>
    </row>
    <row r="923" spans="21:21" ht="15.75" customHeight="1" x14ac:dyDescent="0.25">
      <c r="U923" s="42"/>
    </row>
    <row r="924" spans="21:21" ht="15.75" customHeight="1" x14ac:dyDescent="0.25">
      <c r="U924" s="42"/>
    </row>
    <row r="925" spans="21:21" ht="15.75" customHeight="1" x14ac:dyDescent="0.25">
      <c r="U925" s="42"/>
    </row>
    <row r="926" spans="21:21" ht="15.75" customHeight="1" x14ac:dyDescent="0.25">
      <c r="U926" s="42"/>
    </row>
    <row r="927" spans="21:21" ht="15.75" customHeight="1" x14ac:dyDescent="0.25">
      <c r="U927" s="42"/>
    </row>
    <row r="928" spans="21:21" ht="15.75" customHeight="1" x14ac:dyDescent="0.25">
      <c r="U928" s="42"/>
    </row>
    <row r="929" spans="21:21" ht="15.75" customHeight="1" x14ac:dyDescent="0.25">
      <c r="U929" s="42"/>
    </row>
    <row r="930" spans="21:21" ht="15.75" customHeight="1" x14ac:dyDescent="0.25">
      <c r="U930" s="42"/>
    </row>
    <row r="931" spans="21:21" ht="15.75" customHeight="1" x14ac:dyDescent="0.25">
      <c r="U931" s="42"/>
    </row>
    <row r="932" spans="21:21" ht="15.75" customHeight="1" x14ac:dyDescent="0.25">
      <c r="U932" s="42"/>
    </row>
    <row r="933" spans="21:21" ht="15.75" customHeight="1" x14ac:dyDescent="0.25">
      <c r="U933" s="42"/>
    </row>
    <row r="934" spans="21:21" ht="15.75" customHeight="1" x14ac:dyDescent="0.25">
      <c r="U934" s="42"/>
    </row>
    <row r="935" spans="21:21" ht="15.75" customHeight="1" x14ac:dyDescent="0.25">
      <c r="U935" s="42"/>
    </row>
    <row r="936" spans="21:21" ht="15.75" customHeight="1" x14ac:dyDescent="0.25">
      <c r="U936" s="42"/>
    </row>
    <row r="937" spans="21:21" ht="15.75" customHeight="1" x14ac:dyDescent="0.25">
      <c r="U937" s="42"/>
    </row>
    <row r="938" spans="21:21" ht="15.75" customHeight="1" x14ac:dyDescent="0.25">
      <c r="U938" s="42"/>
    </row>
    <row r="939" spans="21:21" ht="15.75" customHeight="1" x14ac:dyDescent="0.25">
      <c r="U939" s="42"/>
    </row>
    <row r="940" spans="21:21" ht="15.75" customHeight="1" x14ac:dyDescent="0.25">
      <c r="U940" s="42"/>
    </row>
    <row r="941" spans="21:21" ht="15.75" customHeight="1" x14ac:dyDescent="0.25">
      <c r="U941" s="42"/>
    </row>
    <row r="942" spans="21:21" ht="15.75" customHeight="1" x14ac:dyDescent="0.25">
      <c r="U942" s="42"/>
    </row>
    <row r="943" spans="21:21" ht="15.75" customHeight="1" x14ac:dyDescent="0.25">
      <c r="U943" s="42"/>
    </row>
    <row r="944" spans="21:21" ht="15.75" customHeight="1" x14ac:dyDescent="0.25">
      <c r="U944" s="42"/>
    </row>
    <row r="945" spans="21:21" ht="15.75" customHeight="1" x14ac:dyDescent="0.25">
      <c r="U945" s="42"/>
    </row>
    <row r="946" spans="21:21" ht="15.75" customHeight="1" x14ac:dyDescent="0.25">
      <c r="U946" s="42"/>
    </row>
    <row r="947" spans="21:21" ht="15.75" customHeight="1" x14ac:dyDescent="0.25">
      <c r="U947" s="42"/>
    </row>
    <row r="948" spans="21:21" ht="15.75" customHeight="1" x14ac:dyDescent="0.25">
      <c r="U948" s="42"/>
    </row>
    <row r="949" spans="21:21" ht="15.75" customHeight="1" x14ac:dyDescent="0.25">
      <c r="U949" s="42"/>
    </row>
    <row r="950" spans="21:21" ht="15.75" customHeight="1" x14ac:dyDescent="0.25">
      <c r="U950" s="42"/>
    </row>
    <row r="951" spans="21:21" ht="15.75" customHeight="1" x14ac:dyDescent="0.25">
      <c r="U951" s="42"/>
    </row>
    <row r="952" spans="21:21" ht="15.75" customHeight="1" x14ac:dyDescent="0.25">
      <c r="U952" s="42"/>
    </row>
    <row r="953" spans="21:21" ht="15.75" customHeight="1" x14ac:dyDescent="0.25">
      <c r="U953" s="42"/>
    </row>
    <row r="954" spans="21:21" ht="15.75" customHeight="1" x14ac:dyDescent="0.25">
      <c r="U954" s="42"/>
    </row>
    <row r="955" spans="21:21" ht="15.75" customHeight="1" x14ac:dyDescent="0.25">
      <c r="U955" s="42"/>
    </row>
    <row r="956" spans="21:21" ht="15.75" customHeight="1" x14ac:dyDescent="0.25">
      <c r="U956" s="42"/>
    </row>
    <row r="957" spans="21:21" ht="15.75" customHeight="1" x14ac:dyDescent="0.25">
      <c r="U957" s="42"/>
    </row>
    <row r="958" spans="21:21" ht="15.75" customHeight="1" x14ac:dyDescent="0.25">
      <c r="U958" s="42"/>
    </row>
    <row r="959" spans="21:21" ht="15.75" customHeight="1" x14ac:dyDescent="0.25">
      <c r="U959" s="42"/>
    </row>
    <row r="960" spans="21:21" ht="15.75" customHeight="1" x14ac:dyDescent="0.25">
      <c r="U960" s="42"/>
    </row>
    <row r="961" spans="21:21" ht="15.75" customHeight="1" x14ac:dyDescent="0.25">
      <c r="U961" s="42"/>
    </row>
    <row r="962" spans="21:21" ht="15.75" customHeight="1" x14ac:dyDescent="0.25">
      <c r="U962" s="42"/>
    </row>
    <row r="963" spans="21:21" ht="15.75" customHeight="1" x14ac:dyDescent="0.25">
      <c r="U963" s="42"/>
    </row>
    <row r="964" spans="21:21" ht="15.75" customHeight="1" x14ac:dyDescent="0.25">
      <c r="U964" s="42"/>
    </row>
    <row r="965" spans="21:21" ht="15.75" customHeight="1" x14ac:dyDescent="0.25">
      <c r="U965" s="42"/>
    </row>
    <row r="966" spans="21:21" ht="15.75" customHeight="1" x14ac:dyDescent="0.25">
      <c r="U966" s="42"/>
    </row>
    <row r="967" spans="21:21" ht="15.75" customHeight="1" x14ac:dyDescent="0.25">
      <c r="U967" s="42"/>
    </row>
    <row r="968" spans="21:21" ht="15.75" customHeight="1" x14ac:dyDescent="0.25">
      <c r="U968" s="42"/>
    </row>
    <row r="969" spans="21:21" ht="15.75" customHeight="1" x14ac:dyDescent="0.25">
      <c r="U969" s="42"/>
    </row>
    <row r="970" spans="21:21" ht="15.75" customHeight="1" x14ac:dyDescent="0.25">
      <c r="U970" s="42"/>
    </row>
    <row r="971" spans="21:21" ht="15.75" customHeight="1" x14ac:dyDescent="0.25">
      <c r="U971" s="42"/>
    </row>
    <row r="972" spans="21:21" ht="15.75" customHeight="1" x14ac:dyDescent="0.25">
      <c r="U972" s="42"/>
    </row>
    <row r="973" spans="21:21" ht="15.75" customHeight="1" x14ac:dyDescent="0.25">
      <c r="U973" s="42"/>
    </row>
    <row r="974" spans="21:21" ht="15.75" customHeight="1" x14ac:dyDescent="0.25">
      <c r="U974" s="42"/>
    </row>
    <row r="975" spans="21:21" ht="15.75" customHeight="1" x14ac:dyDescent="0.25">
      <c r="U975" s="42"/>
    </row>
    <row r="976" spans="21:21" ht="15.75" customHeight="1" x14ac:dyDescent="0.25">
      <c r="U976" s="42"/>
    </row>
    <row r="977" spans="21:21" ht="15.75" customHeight="1" x14ac:dyDescent="0.25">
      <c r="U977" s="42"/>
    </row>
    <row r="978" spans="21:21" ht="15.75" customHeight="1" x14ac:dyDescent="0.25">
      <c r="U978" s="42"/>
    </row>
    <row r="979" spans="21:21" ht="15.75" customHeight="1" x14ac:dyDescent="0.25">
      <c r="U979" s="42"/>
    </row>
    <row r="980" spans="21:21" ht="15.75" customHeight="1" x14ac:dyDescent="0.25">
      <c r="U980" s="42"/>
    </row>
    <row r="981" spans="21:21" ht="15.75" customHeight="1" x14ac:dyDescent="0.25">
      <c r="U981" s="42"/>
    </row>
    <row r="982" spans="21:21" ht="15.75" customHeight="1" x14ac:dyDescent="0.25">
      <c r="U982" s="42"/>
    </row>
    <row r="983" spans="21:21" ht="15.75" customHeight="1" x14ac:dyDescent="0.25">
      <c r="U983" s="42"/>
    </row>
    <row r="984" spans="21:21" ht="15.75" customHeight="1" x14ac:dyDescent="0.25">
      <c r="U984" s="42"/>
    </row>
    <row r="985" spans="21:21" ht="15.75" customHeight="1" x14ac:dyDescent="0.25">
      <c r="U985" s="42"/>
    </row>
    <row r="986" spans="21:21" ht="15.75" customHeight="1" x14ac:dyDescent="0.25">
      <c r="U986" s="42"/>
    </row>
    <row r="987" spans="21:21" ht="15.75" customHeight="1" x14ac:dyDescent="0.25">
      <c r="U987" s="42"/>
    </row>
    <row r="988" spans="21:21" ht="15.75" customHeight="1" x14ac:dyDescent="0.25">
      <c r="U988" s="42"/>
    </row>
    <row r="989" spans="21:21" ht="15.75" customHeight="1" x14ac:dyDescent="0.25">
      <c r="U989" s="42"/>
    </row>
    <row r="990" spans="21:21" ht="15.75" customHeight="1" x14ac:dyDescent="0.25">
      <c r="U990" s="42"/>
    </row>
    <row r="991" spans="21:21" ht="15.75" customHeight="1" x14ac:dyDescent="0.25">
      <c r="U991" s="42"/>
    </row>
    <row r="992" spans="21:21" ht="15.75" customHeight="1" x14ac:dyDescent="0.25">
      <c r="U992" s="42"/>
    </row>
    <row r="993" spans="21:21" ht="15.75" customHeight="1" x14ac:dyDescent="0.25">
      <c r="U993" s="42"/>
    </row>
    <row r="994" spans="21:21" ht="15.75" customHeight="1" x14ac:dyDescent="0.25">
      <c r="U994" s="42"/>
    </row>
    <row r="995" spans="21:21" ht="15.75" customHeight="1" x14ac:dyDescent="0.25">
      <c r="U995" s="42"/>
    </row>
    <row r="996" spans="21:21" ht="15.75" customHeight="1" x14ac:dyDescent="0.25">
      <c r="U996" s="42"/>
    </row>
    <row r="997" spans="21:21" ht="15.75" customHeight="1" x14ac:dyDescent="0.25">
      <c r="U997" s="42"/>
    </row>
    <row r="998" spans="21:21" ht="15.75" customHeight="1" x14ac:dyDescent="0.25">
      <c r="U998" s="42"/>
    </row>
    <row r="999" spans="21:21" ht="15.75" customHeight="1" x14ac:dyDescent="0.25">
      <c r="U999" s="42"/>
    </row>
    <row r="1000" spans="21:21" ht="15.75" customHeight="1" x14ac:dyDescent="0.25">
      <c r="U1000" s="42"/>
    </row>
    <row r="1001" spans="21:21" ht="15.75" customHeight="1" x14ac:dyDescent="0.25">
      <c r="U1001" s="42"/>
    </row>
    <row r="1002" spans="21:21" ht="15.75" customHeight="1" x14ac:dyDescent="0.25">
      <c r="U1002" s="42"/>
    </row>
    <row r="1003" spans="21:21" ht="15.75" customHeight="1" x14ac:dyDescent="0.25">
      <c r="U1003" s="42"/>
    </row>
    <row r="1004" spans="21:21" ht="15.75" customHeight="1" x14ac:dyDescent="0.25">
      <c r="U1004" s="42"/>
    </row>
    <row r="1005" spans="21:21" ht="15.75" customHeight="1" x14ac:dyDescent="0.25">
      <c r="U1005" s="42"/>
    </row>
  </sheetData>
  <autoFilter ref="A11:V40" xr:uid="{00000000-0009-0000-0000-000005000000}"/>
  <mergeCells count="33">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 ref="A34:E34"/>
    <mergeCell ref="A37:S37"/>
    <mergeCell ref="A38:S38"/>
    <mergeCell ref="A39:S39"/>
    <mergeCell ref="A40:S40"/>
    <mergeCell ref="G42:J42"/>
    <mergeCell ref="N42:Q42"/>
    <mergeCell ref="C43:E43"/>
    <mergeCell ref="G43:J43"/>
    <mergeCell ref="E49:G49"/>
    <mergeCell ref="N49:Q49"/>
    <mergeCell ref="G48:J48"/>
    <mergeCell ref="B49:C49"/>
    <mergeCell ref="A43:B43"/>
    <mergeCell ref="A44:B44"/>
    <mergeCell ref="A45:B45"/>
    <mergeCell ref="A46:B46"/>
    <mergeCell ref="C48:E48"/>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6640625" defaultRowHeight="15" customHeight="1" x14ac:dyDescent="0.25"/>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x14ac:dyDescent="0.25">
      <c r="A1" s="156"/>
      <c r="B1" s="157"/>
      <c r="C1" s="157"/>
      <c r="D1" s="157"/>
      <c r="E1" s="158"/>
      <c r="F1" s="157"/>
      <c r="G1" s="156"/>
      <c r="H1" s="156"/>
      <c r="I1" s="156"/>
      <c r="J1" s="156"/>
      <c r="K1" s="156"/>
      <c r="L1" s="156"/>
      <c r="M1" s="156"/>
      <c r="N1" s="156"/>
      <c r="O1" s="156"/>
      <c r="P1" s="156"/>
      <c r="Q1" s="156"/>
      <c r="R1" s="156"/>
      <c r="S1" s="140"/>
      <c r="T1" s="196"/>
      <c r="U1" s="140"/>
      <c r="V1" s="140"/>
      <c r="W1" s="140"/>
      <c r="X1" s="140"/>
      <c r="Y1" s="140"/>
      <c r="Z1" s="140"/>
    </row>
    <row r="2" spans="1:26" ht="17.25" customHeight="1" x14ac:dyDescent="0.25">
      <c r="A2" s="604" t="s">
        <v>126</v>
      </c>
      <c r="B2" s="506"/>
      <c r="C2" s="506"/>
      <c r="D2" s="506"/>
      <c r="E2" s="506"/>
      <c r="F2" s="506"/>
      <c r="G2" s="506"/>
      <c r="H2" s="506"/>
      <c r="I2" s="506"/>
      <c r="J2" s="506"/>
      <c r="K2" s="506"/>
      <c r="L2" s="506"/>
      <c r="M2" s="506"/>
      <c r="N2" s="506"/>
      <c r="O2" s="506"/>
      <c r="P2" s="506"/>
      <c r="Q2" s="506"/>
      <c r="R2" s="507"/>
      <c r="S2" s="140"/>
      <c r="T2" s="196"/>
      <c r="U2" s="140"/>
      <c r="V2" s="140"/>
      <c r="W2" s="140"/>
      <c r="X2" s="140"/>
      <c r="Y2" s="140"/>
      <c r="Z2" s="140"/>
    </row>
    <row r="3" spans="1:26" ht="17.25" customHeight="1" x14ac:dyDescent="0.25">
      <c r="A3" s="511"/>
      <c r="B3" s="512"/>
      <c r="C3" s="512"/>
      <c r="D3" s="512"/>
      <c r="E3" s="512"/>
      <c r="F3" s="512"/>
      <c r="G3" s="512"/>
      <c r="H3" s="512"/>
      <c r="I3" s="512"/>
      <c r="J3" s="512"/>
      <c r="K3" s="512"/>
      <c r="L3" s="512"/>
      <c r="M3" s="512"/>
      <c r="N3" s="512"/>
      <c r="O3" s="512"/>
      <c r="P3" s="512"/>
      <c r="Q3" s="512"/>
      <c r="R3" s="513"/>
      <c r="S3" s="140"/>
      <c r="T3" s="196"/>
      <c r="U3" s="140"/>
      <c r="V3" s="140"/>
      <c r="W3" s="140"/>
      <c r="X3" s="140"/>
      <c r="Y3" s="140"/>
      <c r="Z3" s="140"/>
    </row>
    <row r="4" spans="1:26" ht="21.75" customHeight="1" x14ac:dyDescent="0.25">
      <c r="A4" s="608" t="s">
        <v>1</v>
      </c>
      <c r="B4" s="608" t="s">
        <v>129</v>
      </c>
      <c r="C4" s="608" t="s">
        <v>95</v>
      </c>
      <c r="D4" s="608" t="s">
        <v>130</v>
      </c>
      <c r="E4" s="608" t="s">
        <v>41</v>
      </c>
      <c r="F4" s="608" t="s">
        <v>131</v>
      </c>
      <c r="G4" s="625" t="s">
        <v>159</v>
      </c>
      <c r="H4" s="626" t="s">
        <v>160</v>
      </c>
      <c r="I4" s="624" t="s">
        <v>159</v>
      </c>
      <c r="J4" s="140"/>
      <c r="K4" s="140"/>
      <c r="L4" s="140"/>
      <c r="M4" s="140"/>
      <c r="N4" s="140"/>
      <c r="O4" s="140"/>
      <c r="P4" s="140"/>
      <c r="Q4" s="140"/>
      <c r="R4" s="140"/>
      <c r="S4" s="140"/>
      <c r="T4" s="140"/>
      <c r="U4" s="140"/>
      <c r="V4" s="140"/>
      <c r="W4" s="140"/>
      <c r="X4" s="140"/>
      <c r="Y4" s="140"/>
      <c r="Z4" s="140"/>
    </row>
    <row r="5" spans="1:26" ht="33.75" customHeight="1" x14ac:dyDescent="0.25">
      <c r="A5" s="623"/>
      <c r="B5" s="623"/>
      <c r="C5" s="623"/>
      <c r="D5" s="623"/>
      <c r="E5" s="623"/>
      <c r="F5" s="623"/>
      <c r="G5" s="623"/>
      <c r="H5" s="623"/>
      <c r="I5" s="623"/>
      <c r="J5" s="140"/>
      <c r="K5" s="140"/>
      <c r="L5" s="140"/>
      <c r="M5" s="140"/>
      <c r="N5" s="140"/>
      <c r="O5" s="140"/>
      <c r="P5" s="140"/>
      <c r="Q5" s="140"/>
      <c r="R5" s="140"/>
      <c r="S5" s="140"/>
      <c r="T5" s="140"/>
      <c r="U5" s="140"/>
      <c r="V5" s="140"/>
      <c r="W5" s="140"/>
      <c r="X5" s="140"/>
      <c r="Y5" s="140"/>
      <c r="Z5" s="140"/>
    </row>
    <row r="6" spans="1:26" ht="27" customHeight="1" x14ac:dyDescent="0.25">
      <c r="A6" s="589"/>
      <c r="B6" s="589"/>
      <c r="C6" s="589"/>
      <c r="D6" s="589"/>
      <c r="E6" s="589"/>
      <c r="F6" s="589"/>
      <c r="G6" s="589"/>
      <c r="H6" s="589"/>
      <c r="I6" s="589"/>
      <c r="J6" s="140"/>
      <c r="K6" s="140"/>
      <c r="L6" s="140"/>
      <c r="M6" s="140"/>
      <c r="N6" s="140"/>
      <c r="O6" s="140"/>
      <c r="P6" s="140"/>
      <c r="Q6" s="140"/>
      <c r="R6" s="140"/>
      <c r="S6" s="140"/>
      <c r="T6" s="140"/>
      <c r="U6" s="140"/>
      <c r="V6" s="140"/>
      <c r="W6" s="140"/>
      <c r="X6" s="140"/>
      <c r="Y6" s="140"/>
      <c r="Z6" s="140"/>
    </row>
    <row r="7" spans="1:26" ht="37.5" customHeight="1" x14ac:dyDescent="0.25">
      <c r="A7" s="172">
        <f t="shared" ref="A7:A8" si="0">SUBTOTAL(3,$C$7:C7)</f>
        <v>1</v>
      </c>
      <c r="B7" s="117" t="s">
        <v>103</v>
      </c>
      <c r="C7" s="117" t="s">
        <v>161</v>
      </c>
      <c r="D7" s="37" t="s">
        <v>49</v>
      </c>
      <c r="E7" s="38" t="s">
        <v>50</v>
      </c>
      <c r="F7" s="183"/>
      <c r="G7" s="175">
        <f>I7/90%</f>
        <v>3333333.333333333</v>
      </c>
      <c r="H7" s="197">
        <f t="shared" ref="H7:H8" si="1">G7*10%</f>
        <v>333333.33333333331</v>
      </c>
      <c r="I7" s="175">
        <v>3000000</v>
      </c>
      <c r="J7" s="198"/>
      <c r="K7" s="151"/>
      <c r="L7" s="151"/>
      <c r="M7" s="151"/>
      <c r="N7" s="151"/>
      <c r="O7" s="151"/>
      <c r="P7" s="151"/>
      <c r="Q7" s="151"/>
      <c r="R7" s="151"/>
      <c r="S7" s="151"/>
      <c r="T7" s="151"/>
      <c r="U7" s="151"/>
      <c r="V7" s="151"/>
      <c r="W7" s="151"/>
      <c r="X7" s="151"/>
      <c r="Y7" s="151"/>
      <c r="Z7" s="151"/>
    </row>
    <row r="8" spans="1:26" ht="37.5" customHeight="1" x14ac:dyDescent="0.25">
      <c r="A8" s="172">
        <f t="shared" si="0"/>
        <v>2</v>
      </c>
      <c r="B8" s="117" t="s">
        <v>103</v>
      </c>
      <c r="C8" s="117" t="s">
        <v>161</v>
      </c>
      <c r="D8" s="37" t="s">
        <v>162</v>
      </c>
      <c r="E8" s="38" t="s">
        <v>163</v>
      </c>
      <c r="F8" s="183"/>
      <c r="G8" s="175">
        <v>13333333</v>
      </c>
      <c r="H8" s="197">
        <f t="shared" si="1"/>
        <v>1333333.3</v>
      </c>
      <c r="I8" s="175">
        <v>12000000</v>
      </c>
      <c r="J8" s="198"/>
      <c r="K8" s="151"/>
      <c r="L8" s="151"/>
      <c r="M8" s="151"/>
      <c r="N8" s="151"/>
      <c r="O8" s="151"/>
      <c r="P8" s="151"/>
      <c r="Q8" s="151"/>
      <c r="R8" s="151"/>
      <c r="S8" s="151"/>
      <c r="T8" s="151"/>
      <c r="U8" s="151"/>
      <c r="V8" s="151"/>
      <c r="W8" s="151"/>
      <c r="X8" s="151"/>
      <c r="Y8" s="151"/>
      <c r="Z8" s="151"/>
    </row>
    <row r="9" spans="1:26" ht="30" customHeight="1" x14ac:dyDescent="0.25">
      <c r="A9" s="622" t="s">
        <v>51</v>
      </c>
      <c r="B9" s="551"/>
      <c r="C9" s="551"/>
      <c r="D9" s="551"/>
      <c r="E9" s="552"/>
      <c r="F9" s="2"/>
      <c r="G9" s="199">
        <f t="shared" ref="G9:I9" si="2">SUM(G7)</f>
        <v>3333333.333333333</v>
      </c>
      <c r="H9" s="199">
        <f t="shared" si="2"/>
        <v>333333.33333333331</v>
      </c>
      <c r="I9" s="199">
        <f t="shared" si="2"/>
        <v>3000000</v>
      </c>
      <c r="J9" s="196"/>
      <c r="K9" s="140"/>
      <c r="L9" s="140"/>
      <c r="M9" s="140"/>
      <c r="N9" s="140"/>
      <c r="O9" s="140"/>
      <c r="P9" s="140"/>
      <c r="Q9" s="140"/>
      <c r="R9" s="140"/>
      <c r="S9" s="140"/>
      <c r="T9" s="140"/>
      <c r="U9" s="140"/>
      <c r="V9" s="140"/>
      <c r="W9" s="140"/>
      <c r="X9" s="140"/>
      <c r="Y9" s="140"/>
      <c r="Z9" s="140"/>
    </row>
    <row r="10" spans="1:26" ht="15.75" customHeight="1" x14ac:dyDescent="0.3">
      <c r="A10" s="40"/>
      <c r="B10" s="40"/>
      <c r="C10" s="40"/>
      <c r="D10" s="40"/>
      <c r="E10" s="40"/>
      <c r="F10" s="39"/>
      <c r="G10" s="162"/>
      <c r="H10" s="162"/>
      <c r="I10" s="184"/>
      <c r="J10" s="184"/>
      <c r="K10" s="184"/>
      <c r="L10" s="184"/>
      <c r="M10" s="184"/>
      <c r="N10" s="185"/>
      <c r="O10" s="186"/>
      <c r="P10" s="187" t="e">
        <f>+#REF!/Q10</f>
        <v>#REF!</v>
      </c>
      <c r="Q10" s="188">
        <v>2500000000</v>
      </c>
      <c r="R10" s="188"/>
      <c r="S10" s="140"/>
      <c r="T10" s="196"/>
      <c r="U10" s="140"/>
      <c r="V10" s="140"/>
      <c r="W10" s="140"/>
      <c r="X10" s="140"/>
      <c r="Y10" s="140"/>
      <c r="Z10" s="140"/>
    </row>
    <row r="11" spans="1:26" ht="15.75" customHeight="1" x14ac:dyDescent="0.3">
      <c r="A11" s="40"/>
      <c r="B11" s="40"/>
      <c r="C11" s="40"/>
      <c r="D11" s="40"/>
      <c r="E11" s="40"/>
      <c r="F11" s="39"/>
      <c r="G11" s="162"/>
      <c r="H11" s="162"/>
      <c r="I11" s="184"/>
      <c r="J11" s="184"/>
      <c r="K11" s="184"/>
      <c r="L11" s="184"/>
      <c r="M11" s="184"/>
      <c r="N11" s="189"/>
      <c r="O11" s="40"/>
      <c r="P11" s="40"/>
      <c r="Q11" s="184"/>
      <c r="R11" s="184"/>
      <c r="S11" s="140"/>
      <c r="T11" s="196"/>
      <c r="U11" s="140"/>
      <c r="V11" s="140"/>
      <c r="W11" s="140"/>
      <c r="X11" s="140"/>
      <c r="Y11" s="140"/>
      <c r="Z11" s="140"/>
    </row>
    <row r="12" spans="1:26" ht="15.75" customHeight="1" x14ac:dyDescent="0.3">
      <c r="A12" s="191"/>
      <c r="B12" s="192"/>
      <c r="C12" s="192"/>
      <c r="D12" s="192"/>
      <c r="E12" s="192"/>
      <c r="F12" s="192"/>
      <c r="G12" s="594" t="s">
        <v>164</v>
      </c>
      <c r="H12" s="509"/>
      <c r="I12" s="509"/>
      <c r="J12" s="509"/>
      <c r="K12" s="185"/>
      <c r="L12" s="185"/>
      <c r="M12" s="595"/>
      <c r="N12" s="509"/>
      <c r="O12" s="509"/>
      <c r="P12" s="509"/>
      <c r="Q12" s="193"/>
      <c r="R12" s="193"/>
      <c r="S12" s="140"/>
      <c r="T12" s="196"/>
      <c r="U12" s="140"/>
      <c r="V12" s="140"/>
      <c r="W12" s="140"/>
      <c r="X12" s="140"/>
      <c r="Y12" s="140"/>
      <c r="Z12" s="140"/>
    </row>
    <row r="13" spans="1:26" ht="15.75" customHeight="1" x14ac:dyDescent="0.3">
      <c r="A13" s="599"/>
      <c r="B13" s="509"/>
      <c r="C13" s="596"/>
      <c r="D13" s="509"/>
      <c r="E13" s="509"/>
      <c r="F13" s="140"/>
      <c r="G13" s="597" t="s">
        <v>38</v>
      </c>
      <c r="H13" s="509"/>
      <c r="I13" s="509"/>
      <c r="J13" s="509"/>
      <c r="K13" s="194"/>
      <c r="L13" s="194"/>
      <c r="M13" s="184"/>
      <c r="N13" s="189"/>
      <c r="O13" s="40"/>
      <c r="P13" s="40"/>
      <c r="Q13" s="184"/>
      <c r="R13" s="184"/>
      <c r="S13" s="140"/>
      <c r="T13" s="196"/>
      <c r="U13" s="140"/>
      <c r="V13" s="140"/>
      <c r="W13" s="140"/>
      <c r="X13" s="140"/>
      <c r="Y13" s="140"/>
      <c r="Z13" s="140"/>
    </row>
    <row r="14" spans="1:26" ht="15.75" customHeight="1" x14ac:dyDescent="0.3">
      <c r="A14" s="599"/>
      <c r="B14" s="509"/>
      <c r="C14" s="192"/>
      <c r="D14" s="192"/>
      <c r="E14" s="200">
        <f>G8*90%</f>
        <v>11999999.700000001</v>
      </c>
      <c r="F14" s="192"/>
      <c r="G14" s="185"/>
      <c r="H14" s="185"/>
      <c r="I14" s="185"/>
      <c r="J14" s="185"/>
      <c r="K14" s="185"/>
      <c r="L14" s="185"/>
      <c r="M14" s="184"/>
      <c r="N14" s="189"/>
      <c r="O14" s="40"/>
      <c r="P14" s="40"/>
      <c r="Q14" s="184"/>
      <c r="R14" s="184"/>
      <c r="S14" s="140"/>
      <c r="T14" s="196"/>
      <c r="U14" s="140"/>
      <c r="V14" s="140"/>
      <c r="W14" s="140"/>
      <c r="X14" s="140"/>
      <c r="Y14" s="140"/>
      <c r="Z14" s="140"/>
    </row>
    <row r="15" spans="1:26" ht="15.75" customHeight="1" x14ac:dyDescent="0.3">
      <c r="A15" s="599"/>
      <c r="B15" s="509"/>
      <c r="C15" s="192"/>
      <c r="D15" s="192"/>
      <c r="E15" s="192"/>
      <c r="F15" s="192"/>
      <c r="G15" s="185"/>
      <c r="H15" s="185"/>
      <c r="I15" s="185"/>
      <c r="J15" s="185"/>
      <c r="K15" s="185"/>
      <c r="L15" s="185"/>
      <c r="M15" s="184"/>
      <c r="N15" s="189"/>
      <c r="O15" s="40"/>
      <c r="P15" s="40"/>
      <c r="Q15" s="184"/>
      <c r="R15" s="184"/>
      <c r="S15" s="140"/>
      <c r="T15" s="196"/>
      <c r="U15" s="140"/>
      <c r="V15" s="140"/>
      <c r="W15" s="140"/>
      <c r="X15" s="140"/>
      <c r="Y15" s="140"/>
      <c r="Z15" s="140"/>
    </row>
    <row r="16" spans="1:26" ht="15.75" customHeight="1" x14ac:dyDescent="0.3">
      <c r="A16" s="599"/>
      <c r="B16" s="509"/>
      <c r="C16" s="192"/>
      <c r="D16" s="192"/>
      <c r="E16" s="192"/>
      <c r="F16" s="192"/>
      <c r="G16" s="185"/>
      <c r="H16" s="185"/>
      <c r="I16" s="185"/>
      <c r="J16" s="185"/>
      <c r="K16" s="185"/>
      <c r="L16" s="185"/>
      <c r="M16" s="184"/>
      <c r="N16" s="189"/>
      <c r="O16" s="40"/>
      <c r="P16" s="40"/>
      <c r="Q16" s="184"/>
      <c r="R16" s="184"/>
      <c r="S16" s="140"/>
      <c r="T16" s="196"/>
      <c r="U16" s="140"/>
      <c r="V16" s="140"/>
      <c r="W16" s="140"/>
      <c r="X16" s="140"/>
      <c r="Y16" s="140"/>
      <c r="Z16" s="140"/>
    </row>
    <row r="17" spans="1:26" ht="15.75" customHeight="1" x14ac:dyDescent="0.3">
      <c r="A17" s="192"/>
      <c r="B17" s="192"/>
      <c r="C17" s="192"/>
      <c r="D17" s="192"/>
      <c r="E17" s="192"/>
      <c r="F17" s="192"/>
      <c r="G17" s="185"/>
      <c r="H17" s="185"/>
      <c r="I17" s="185"/>
      <c r="J17" s="185"/>
      <c r="K17" s="185"/>
      <c r="L17" s="185"/>
      <c r="M17" s="184"/>
      <c r="N17" s="189"/>
      <c r="O17" s="40"/>
      <c r="P17" s="40"/>
      <c r="Q17" s="184"/>
      <c r="R17" s="184"/>
      <c r="S17" s="140"/>
      <c r="T17" s="196"/>
      <c r="U17" s="140"/>
      <c r="V17" s="140"/>
      <c r="W17" s="140"/>
      <c r="X17" s="140"/>
      <c r="Y17" s="140"/>
      <c r="Z17" s="140"/>
    </row>
    <row r="18" spans="1:26" ht="15.75" customHeight="1" x14ac:dyDescent="0.3">
      <c r="A18" s="140"/>
      <c r="B18" s="192"/>
      <c r="C18" s="596"/>
      <c r="D18" s="509"/>
      <c r="E18" s="509"/>
      <c r="F18" s="140"/>
      <c r="G18" s="597" t="s">
        <v>39</v>
      </c>
      <c r="H18" s="509"/>
      <c r="I18" s="509"/>
      <c r="J18" s="509"/>
      <c r="K18" s="185"/>
      <c r="L18" s="185"/>
      <c r="M18" s="184"/>
      <c r="N18" s="189"/>
      <c r="O18" s="40"/>
      <c r="P18" s="40"/>
      <c r="Q18" s="184"/>
      <c r="R18" s="184"/>
      <c r="S18" s="140"/>
      <c r="T18" s="196"/>
      <c r="U18" s="140"/>
      <c r="V18" s="140"/>
      <c r="W18" s="140"/>
      <c r="X18" s="140"/>
      <c r="Y18" s="140"/>
      <c r="Z18" s="140"/>
    </row>
    <row r="19" spans="1:26" ht="15.75" customHeight="1" x14ac:dyDescent="0.3">
      <c r="A19" s="47"/>
      <c r="B19" s="598"/>
      <c r="C19" s="509"/>
      <c r="D19" s="140"/>
      <c r="E19" s="598"/>
      <c r="F19" s="509"/>
      <c r="G19" s="509"/>
      <c r="H19" s="195"/>
      <c r="I19" s="193"/>
      <c r="J19" s="193"/>
      <c r="K19" s="193"/>
      <c r="L19" s="193"/>
      <c r="M19" s="595"/>
      <c r="N19" s="509"/>
      <c r="O19" s="509"/>
      <c r="P19" s="509"/>
      <c r="Q19" s="193"/>
      <c r="R19" s="193"/>
      <c r="S19" s="140"/>
      <c r="T19" s="196"/>
      <c r="U19" s="140"/>
      <c r="V19" s="140"/>
      <c r="W19" s="140"/>
      <c r="X19" s="140"/>
      <c r="Y19" s="140"/>
      <c r="Z19" s="140"/>
    </row>
    <row r="20" spans="1:26" ht="13.2" x14ac:dyDescent="0.25">
      <c r="A20" s="140"/>
      <c r="B20" s="140"/>
      <c r="C20" s="140"/>
      <c r="D20" s="140"/>
      <c r="E20" s="140"/>
      <c r="F20" s="140"/>
      <c r="G20" s="140"/>
      <c r="H20" s="140"/>
      <c r="I20" s="140"/>
      <c r="J20" s="140"/>
      <c r="K20" s="140"/>
      <c r="L20" s="140"/>
      <c r="M20" s="140"/>
      <c r="N20" s="140"/>
      <c r="O20" s="140"/>
      <c r="P20" s="140"/>
      <c r="Q20" s="140"/>
      <c r="R20" s="140"/>
      <c r="S20" s="140"/>
      <c r="T20" s="196"/>
      <c r="U20" s="140"/>
      <c r="V20" s="140"/>
      <c r="W20" s="140"/>
      <c r="X20" s="140"/>
      <c r="Y20" s="140"/>
      <c r="Z20" s="140"/>
    </row>
    <row r="21" spans="1:26" ht="15.75" customHeight="1" x14ac:dyDescent="0.25">
      <c r="A21" s="140"/>
      <c r="B21" s="140"/>
      <c r="C21" s="140"/>
      <c r="D21" s="140"/>
      <c r="E21" s="140"/>
      <c r="F21" s="140"/>
      <c r="G21" s="140"/>
      <c r="H21" s="140"/>
      <c r="I21" s="140"/>
      <c r="J21" s="140"/>
      <c r="K21" s="140"/>
      <c r="L21" s="140"/>
      <c r="M21" s="140"/>
      <c r="N21" s="140"/>
      <c r="O21" s="140"/>
      <c r="P21" s="140"/>
      <c r="Q21" s="140"/>
      <c r="R21" s="140"/>
      <c r="S21" s="140"/>
      <c r="T21" s="196"/>
      <c r="U21" s="140"/>
      <c r="V21" s="140"/>
      <c r="W21" s="140"/>
      <c r="X21" s="140"/>
      <c r="Y21" s="140"/>
      <c r="Z21" s="140"/>
    </row>
    <row r="22" spans="1:26" ht="15.75" customHeight="1" x14ac:dyDescent="0.25">
      <c r="A22" s="140"/>
      <c r="B22" s="140"/>
      <c r="C22" s="140"/>
      <c r="D22" s="140"/>
      <c r="E22" s="140"/>
      <c r="F22" s="140"/>
      <c r="G22" s="140"/>
      <c r="H22" s="140"/>
      <c r="I22" s="140"/>
      <c r="J22" s="140"/>
      <c r="K22" s="140"/>
      <c r="L22" s="140"/>
      <c r="M22" s="140"/>
      <c r="N22" s="140"/>
      <c r="O22" s="140"/>
      <c r="P22" s="140"/>
      <c r="Q22" s="140"/>
      <c r="R22" s="140"/>
      <c r="S22" s="140"/>
      <c r="T22" s="196"/>
      <c r="U22" s="140"/>
      <c r="V22" s="140"/>
      <c r="W22" s="140"/>
      <c r="X22" s="140"/>
      <c r="Y22" s="140"/>
      <c r="Z22" s="140"/>
    </row>
    <row r="23" spans="1:26" ht="15.75" customHeight="1" x14ac:dyDescent="0.25">
      <c r="A23" s="140"/>
      <c r="B23" s="140"/>
      <c r="C23" s="140"/>
      <c r="D23" s="140"/>
      <c r="E23" s="140"/>
      <c r="F23" s="140"/>
      <c r="G23" s="140"/>
      <c r="H23" s="140"/>
      <c r="I23" s="140"/>
      <c r="J23" s="140"/>
      <c r="K23" s="140"/>
      <c r="L23" s="140"/>
      <c r="M23" s="140"/>
      <c r="N23" s="140"/>
      <c r="O23" s="140"/>
      <c r="P23" s="140"/>
      <c r="Q23" s="140"/>
      <c r="R23" s="140"/>
      <c r="S23" s="140"/>
      <c r="T23" s="196"/>
      <c r="U23" s="140"/>
      <c r="V23" s="140"/>
      <c r="W23" s="140"/>
      <c r="X23" s="140"/>
      <c r="Y23" s="140"/>
      <c r="Z23" s="140"/>
    </row>
    <row r="24" spans="1:26" ht="15.75" customHeight="1" x14ac:dyDescent="0.25">
      <c r="A24" s="140"/>
      <c r="B24" s="140"/>
      <c r="C24" s="140"/>
      <c r="D24" s="140"/>
      <c r="E24" s="140"/>
      <c r="F24" s="140"/>
      <c r="G24" s="140"/>
      <c r="H24" s="140"/>
      <c r="I24" s="140"/>
      <c r="J24" s="140"/>
      <c r="K24" s="140"/>
      <c r="L24" s="140"/>
      <c r="M24" s="140"/>
      <c r="N24" s="140"/>
      <c r="O24" s="140"/>
      <c r="P24" s="140"/>
      <c r="Q24" s="140"/>
      <c r="R24" s="140"/>
      <c r="S24" s="140"/>
      <c r="T24" s="196"/>
      <c r="U24" s="140"/>
      <c r="V24" s="140"/>
      <c r="W24" s="140"/>
      <c r="X24" s="140"/>
      <c r="Y24" s="140"/>
      <c r="Z24" s="140"/>
    </row>
    <row r="25" spans="1:26" ht="15.75" customHeight="1" x14ac:dyDescent="0.25">
      <c r="A25" s="140"/>
      <c r="B25" s="140"/>
      <c r="C25" s="140"/>
      <c r="D25" s="140"/>
      <c r="E25" s="140"/>
      <c r="F25" s="140"/>
      <c r="G25" s="140"/>
      <c r="H25" s="140"/>
      <c r="I25" s="140"/>
      <c r="J25" s="140"/>
      <c r="K25" s="140"/>
      <c r="L25" s="140"/>
      <c r="M25" s="140"/>
      <c r="N25" s="140"/>
      <c r="O25" s="140"/>
      <c r="P25" s="140"/>
      <c r="Q25" s="140"/>
      <c r="R25" s="140"/>
      <c r="S25" s="140"/>
      <c r="T25" s="196"/>
      <c r="U25" s="140"/>
      <c r="V25" s="140"/>
      <c r="W25" s="140"/>
      <c r="X25" s="140"/>
      <c r="Y25" s="140"/>
      <c r="Z25" s="140"/>
    </row>
    <row r="26" spans="1:26" ht="15.75" customHeight="1" x14ac:dyDescent="0.25">
      <c r="A26" s="140"/>
      <c r="B26" s="140"/>
      <c r="C26" s="140"/>
      <c r="D26" s="140"/>
      <c r="E26" s="140"/>
      <c r="F26" s="140"/>
      <c r="G26" s="140"/>
      <c r="H26" s="140"/>
      <c r="I26" s="140"/>
      <c r="J26" s="140"/>
      <c r="K26" s="140"/>
      <c r="L26" s="140"/>
      <c r="M26" s="140"/>
      <c r="N26" s="140"/>
      <c r="O26" s="140"/>
      <c r="P26" s="140"/>
      <c r="Q26" s="140"/>
      <c r="R26" s="140"/>
      <c r="S26" s="140"/>
      <c r="T26" s="196"/>
      <c r="U26" s="140"/>
      <c r="V26" s="140"/>
      <c r="W26" s="140"/>
      <c r="X26" s="140"/>
      <c r="Y26" s="140"/>
      <c r="Z26" s="140"/>
    </row>
    <row r="27" spans="1:26" ht="15.75" customHeight="1" x14ac:dyDescent="0.25">
      <c r="A27" s="140"/>
      <c r="B27" s="140"/>
      <c r="C27" s="140"/>
      <c r="D27" s="140"/>
      <c r="E27" s="140"/>
      <c r="F27" s="140"/>
      <c r="G27" s="140"/>
      <c r="H27" s="140"/>
      <c r="I27" s="140"/>
      <c r="J27" s="140"/>
      <c r="K27" s="140"/>
      <c r="L27" s="140"/>
      <c r="M27" s="140"/>
      <c r="N27" s="140"/>
      <c r="O27" s="140"/>
      <c r="P27" s="140"/>
      <c r="Q27" s="140"/>
      <c r="R27" s="140"/>
      <c r="S27" s="140"/>
      <c r="T27" s="196"/>
      <c r="U27" s="140"/>
      <c r="V27" s="140"/>
      <c r="W27" s="140"/>
      <c r="X27" s="140"/>
      <c r="Y27" s="140"/>
      <c r="Z27" s="140"/>
    </row>
    <row r="28" spans="1:26" ht="15.75" customHeight="1" x14ac:dyDescent="0.25">
      <c r="A28" s="140"/>
      <c r="B28" s="140"/>
      <c r="C28" s="140"/>
      <c r="D28" s="140"/>
      <c r="E28" s="140"/>
      <c r="F28" s="140"/>
      <c r="G28" s="140"/>
      <c r="H28" s="140"/>
      <c r="I28" s="140"/>
      <c r="J28" s="140"/>
      <c r="K28" s="140"/>
      <c r="L28" s="140"/>
      <c r="M28" s="140"/>
      <c r="N28" s="140"/>
      <c r="O28" s="140"/>
      <c r="P28" s="140"/>
      <c r="Q28" s="140"/>
      <c r="R28" s="140"/>
      <c r="S28" s="140"/>
      <c r="T28" s="196"/>
      <c r="U28" s="140"/>
      <c r="V28" s="140"/>
      <c r="W28" s="140"/>
      <c r="X28" s="140"/>
      <c r="Y28" s="140"/>
      <c r="Z28" s="140"/>
    </row>
    <row r="29" spans="1:26" ht="15.75" customHeight="1" x14ac:dyDescent="0.25">
      <c r="A29" s="140"/>
      <c r="B29" s="140"/>
      <c r="C29" s="140"/>
      <c r="D29" s="140"/>
      <c r="E29" s="140"/>
      <c r="F29" s="140"/>
      <c r="G29" s="140"/>
      <c r="H29" s="140"/>
      <c r="I29" s="140"/>
      <c r="J29" s="140"/>
      <c r="K29" s="140"/>
      <c r="L29" s="140"/>
      <c r="M29" s="140"/>
      <c r="N29" s="140"/>
      <c r="O29" s="140"/>
      <c r="P29" s="140"/>
      <c r="Q29" s="140"/>
      <c r="R29" s="140"/>
      <c r="S29" s="140"/>
      <c r="T29" s="196"/>
      <c r="U29" s="140"/>
      <c r="V29" s="140"/>
      <c r="W29" s="140"/>
      <c r="X29" s="140"/>
      <c r="Y29" s="140"/>
      <c r="Z29" s="140"/>
    </row>
    <row r="30" spans="1:26" ht="15.75" customHeight="1" x14ac:dyDescent="0.25">
      <c r="A30" s="140"/>
      <c r="B30" s="140"/>
      <c r="C30" s="140"/>
      <c r="D30" s="140"/>
      <c r="E30" s="140"/>
      <c r="F30" s="140"/>
      <c r="G30" s="140"/>
      <c r="H30" s="140"/>
      <c r="I30" s="140"/>
      <c r="J30" s="140"/>
      <c r="K30" s="140"/>
      <c r="L30" s="140"/>
      <c r="M30" s="140"/>
      <c r="N30" s="140"/>
      <c r="O30" s="140"/>
      <c r="P30" s="140"/>
      <c r="Q30" s="140"/>
      <c r="R30" s="140"/>
      <c r="S30" s="140"/>
      <c r="T30" s="196"/>
      <c r="U30" s="140"/>
      <c r="V30" s="140"/>
      <c r="W30" s="140"/>
      <c r="X30" s="140"/>
      <c r="Y30" s="140"/>
      <c r="Z30" s="140"/>
    </row>
    <row r="31" spans="1:26" ht="15.75" customHeight="1" x14ac:dyDescent="0.25">
      <c r="A31" s="140"/>
      <c r="B31" s="140"/>
      <c r="C31" s="140"/>
      <c r="D31" s="140"/>
      <c r="E31" s="140"/>
      <c r="F31" s="140"/>
      <c r="G31" s="140"/>
      <c r="H31" s="140"/>
      <c r="I31" s="140"/>
      <c r="J31" s="140"/>
      <c r="K31" s="140"/>
      <c r="L31" s="140"/>
      <c r="M31" s="140"/>
      <c r="N31" s="140"/>
      <c r="O31" s="140"/>
      <c r="P31" s="140"/>
      <c r="Q31" s="140"/>
      <c r="R31" s="140"/>
      <c r="S31" s="140"/>
      <c r="T31" s="196"/>
      <c r="U31" s="140"/>
      <c r="V31" s="140"/>
      <c r="W31" s="140"/>
      <c r="X31" s="140"/>
      <c r="Y31" s="140"/>
      <c r="Z31" s="140"/>
    </row>
    <row r="32" spans="1:26" ht="15.75" customHeight="1" x14ac:dyDescent="0.25">
      <c r="A32" s="140"/>
      <c r="B32" s="140"/>
      <c r="C32" s="140"/>
      <c r="D32" s="140"/>
      <c r="E32" s="140"/>
      <c r="F32" s="140"/>
      <c r="G32" s="140"/>
      <c r="H32" s="140"/>
      <c r="I32" s="140"/>
      <c r="J32" s="140"/>
      <c r="K32" s="140"/>
      <c r="L32" s="140"/>
      <c r="M32" s="140"/>
      <c r="N32" s="140"/>
      <c r="O32" s="140"/>
      <c r="P32" s="140"/>
      <c r="Q32" s="140"/>
      <c r="R32" s="140"/>
      <c r="S32" s="140"/>
      <c r="T32" s="196"/>
      <c r="U32" s="140"/>
      <c r="V32" s="140"/>
      <c r="W32" s="140"/>
      <c r="X32" s="140"/>
      <c r="Y32" s="140"/>
      <c r="Z32" s="140"/>
    </row>
    <row r="33" spans="1:26" ht="15.75" customHeight="1" x14ac:dyDescent="0.25">
      <c r="A33" s="140"/>
      <c r="B33" s="140"/>
      <c r="C33" s="140"/>
      <c r="D33" s="140"/>
      <c r="E33" s="140"/>
      <c r="F33" s="140"/>
      <c r="G33" s="140"/>
      <c r="H33" s="140"/>
      <c r="I33" s="140"/>
      <c r="J33" s="140"/>
      <c r="K33" s="140"/>
      <c r="L33" s="140"/>
      <c r="M33" s="140"/>
      <c r="N33" s="140"/>
      <c r="O33" s="140"/>
      <c r="P33" s="140"/>
      <c r="Q33" s="140"/>
      <c r="R33" s="140"/>
      <c r="S33" s="140"/>
      <c r="T33" s="196"/>
      <c r="U33" s="140"/>
      <c r="V33" s="140"/>
      <c r="W33" s="140"/>
      <c r="X33" s="140"/>
      <c r="Y33" s="140"/>
      <c r="Z33" s="140"/>
    </row>
    <row r="34" spans="1:26" ht="15.75" customHeight="1" x14ac:dyDescent="0.25">
      <c r="A34" s="140"/>
      <c r="B34" s="140"/>
      <c r="C34" s="140"/>
      <c r="D34" s="140"/>
      <c r="E34" s="140"/>
      <c r="F34" s="140"/>
      <c r="G34" s="140"/>
      <c r="H34" s="140"/>
      <c r="I34" s="140"/>
      <c r="J34" s="140"/>
      <c r="K34" s="140"/>
      <c r="L34" s="140"/>
      <c r="M34" s="140"/>
      <c r="N34" s="140"/>
      <c r="O34" s="140"/>
      <c r="P34" s="140"/>
      <c r="Q34" s="140"/>
      <c r="R34" s="140"/>
      <c r="S34" s="140"/>
      <c r="T34" s="196"/>
      <c r="U34" s="140"/>
      <c r="V34" s="140"/>
      <c r="W34" s="140"/>
      <c r="X34" s="140"/>
      <c r="Y34" s="140"/>
      <c r="Z34" s="140"/>
    </row>
    <row r="35" spans="1:26" ht="15.75" customHeight="1" x14ac:dyDescent="0.25">
      <c r="A35" s="140"/>
      <c r="B35" s="140"/>
      <c r="C35" s="140"/>
      <c r="D35" s="140"/>
      <c r="E35" s="140"/>
      <c r="F35" s="140"/>
      <c r="G35" s="140"/>
      <c r="H35" s="140"/>
      <c r="I35" s="140"/>
      <c r="J35" s="140"/>
      <c r="K35" s="140"/>
      <c r="L35" s="140"/>
      <c r="M35" s="140"/>
      <c r="N35" s="140"/>
      <c r="O35" s="140"/>
      <c r="P35" s="140"/>
      <c r="Q35" s="140"/>
      <c r="R35" s="140"/>
      <c r="S35" s="140"/>
      <c r="T35" s="196"/>
      <c r="U35" s="140"/>
      <c r="V35" s="140"/>
      <c r="W35" s="140"/>
      <c r="X35" s="140"/>
      <c r="Y35" s="140"/>
      <c r="Z35" s="140"/>
    </row>
    <row r="36" spans="1:26" ht="15.75" customHeight="1" x14ac:dyDescent="0.25">
      <c r="A36" s="140"/>
      <c r="B36" s="140"/>
      <c r="C36" s="140"/>
      <c r="D36" s="140"/>
      <c r="E36" s="140"/>
      <c r="F36" s="140"/>
      <c r="G36" s="140"/>
      <c r="H36" s="140"/>
      <c r="I36" s="140"/>
      <c r="J36" s="140"/>
      <c r="K36" s="140"/>
      <c r="L36" s="140"/>
      <c r="M36" s="140"/>
      <c r="N36" s="140"/>
      <c r="O36" s="140"/>
      <c r="P36" s="140"/>
      <c r="Q36" s="140"/>
      <c r="R36" s="140"/>
      <c r="S36" s="140"/>
      <c r="T36" s="196"/>
      <c r="U36" s="140"/>
      <c r="V36" s="140"/>
      <c r="W36" s="140"/>
      <c r="X36" s="140"/>
      <c r="Y36" s="140"/>
      <c r="Z36" s="140"/>
    </row>
    <row r="37" spans="1:26" ht="15.75" customHeight="1" x14ac:dyDescent="0.25">
      <c r="A37" s="140"/>
      <c r="B37" s="140"/>
      <c r="C37" s="140"/>
      <c r="D37" s="140"/>
      <c r="E37" s="140"/>
      <c r="F37" s="140"/>
      <c r="G37" s="140"/>
      <c r="H37" s="140"/>
      <c r="I37" s="140"/>
      <c r="J37" s="140"/>
      <c r="K37" s="140"/>
      <c r="L37" s="140"/>
      <c r="M37" s="140"/>
      <c r="N37" s="140"/>
      <c r="O37" s="140"/>
      <c r="P37" s="140"/>
      <c r="Q37" s="140"/>
      <c r="R37" s="140"/>
      <c r="S37" s="140"/>
      <c r="T37" s="196"/>
      <c r="U37" s="140"/>
      <c r="V37" s="140"/>
      <c r="W37" s="140"/>
      <c r="X37" s="140"/>
      <c r="Y37" s="140"/>
      <c r="Z37" s="140"/>
    </row>
    <row r="38" spans="1:26" ht="15.75" customHeight="1" x14ac:dyDescent="0.25">
      <c r="A38" s="140"/>
      <c r="B38" s="140"/>
      <c r="C38" s="140"/>
      <c r="D38" s="140"/>
      <c r="E38" s="140"/>
      <c r="F38" s="140"/>
      <c r="G38" s="140"/>
      <c r="H38" s="140"/>
      <c r="I38" s="140"/>
      <c r="J38" s="140"/>
      <c r="K38" s="140"/>
      <c r="L38" s="140"/>
      <c r="M38" s="140"/>
      <c r="N38" s="140"/>
      <c r="O38" s="140"/>
      <c r="P38" s="140"/>
      <c r="Q38" s="140"/>
      <c r="R38" s="140"/>
      <c r="S38" s="140"/>
      <c r="T38" s="196"/>
      <c r="U38" s="140"/>
      <c r="V38" s="140"/>
      <c r="W38" s="140"/>
      <c r="X38" s="140"/>
      <c r="Y38" s="140"/>
      <c r="Z38" s="140"/>
    </row>
    <row r="39" spans="1:26" ht="15.75" customHeight="1" x14ac:dyDescent="0.25">
      <c r="A39" s="140"/>
      <c r="B39" s="140"/>
      <c r="C39" s="140"/>
      <c r="D39" s="140"/>
      <c r="E39" s="140"/>
      <c r="F39" s="140"/>
      <c r="G39" s="140"/>
      <c r="H39" s="140"/>
      <c r="I39" s="140"/>
      <c r="J39" s="140"/>
      <c r="K39" s="140"/>
      <c r="L39" s="140"/>
      <c r="M39" s="140"/>
      <c r="N39" s="140"/>
      <c r="O39" s="140"/>
      <c r="P39" s="140"/>
      <c r="Q39" s="140"/>
      <c r="R39" s="140"/>
      <c r="S39" s="140"/>
      <c r="T39" s="196"/>
      <c r="U39" s="140"/>
      <c r="V39" s="140"/>
      <c r="W39" s="140"/>
      <c r="X39" s="140"/>
      <c r="Y39" s="140"/>
      <c r="Z39" s="140"/>
    </row>
    <row r="40" spans="1:26" ht="15.75" customHeight="1" x14ac:dyDescent="0.25">
      <c r="A40" s="140"/>
      <c r="B40" s="140"/>
      <c r="C40" s="140"/>
      <c r="D40" s="140"/>
      <c r="E40" s="140"/>
      <c r="F40" s="140"/>
      <c r="G40" s="140"/>
      <c r="H40" s="140"/>
      <c r="I40" s="140"/>
      <c r="J40" s="140"/>
      <c r="K40" s="140"/>
      <c r="L40" s="140"/>
      <c r="M40" s="140"/>
      <c r="N40" s="140"/>
      <c r="O40" s="140"/>
      <c r="P40" s="140"/>
      <c r="Q40" s="140"/>
      <c r="R40" s="140"/>
      <c r="S40" s="140"/>
      <c r="T40" s="196"/>
      <c r="U40" s="140"/>
      <c r="V40" s="140"/>
      <c r="W40" s="140"/>
      <c r="X40" s="140"/>
      <c r="Y40" s="140"/>
      <c r="Z40" s="140"/>
    </row>
    <row r="41" spans="1:26" ht="15.75" customHeight="1" x14ac:dyDescent="0.25">
      <c r="A41" s="140"/>
      <c r="B41" s="140"/>
      <c r="C41" s="140"/>
      <c r="D41" s="140"/>
      <c r="E41" s="140"/>
      <c r="F41" s="140"/>
      <c r="G41" s="140"/>
      <c r="H41" s="140"/>
      <c r="I41" s="140"/>
      <c r="J41" s="140"/>
      <c r="K41" s="140"/>
      <c r="L41" s="140"/>
      <c r="M41" s="140"/>
      <c r="N41" s="140"/>
      <c r="O41" s="140"/>
      <c r="P41" s="140"/>
      <c r="Q41" s="140"/>
      <c r="R41" s="140"/>
      <c r="S41" s="140"/>
      <c r="T41" s="196"/>
      <c r="U41" s="140"/>
      <c r="V41" s="140"/>
      <c r="W41" s="140"/>
      <c r="X41" s="140"/>
      <c r="Y41" s="140"/>
      <c r="Z41" s="140"/>
    </row>
    <row r="42" spans="1:26" ht="15.75" customHeight="1" x14ac:dyDescent="0.25">
      <c r="A42" s="140"/>
      <c r="B42" s="140"/>
      <c r="C42" s="140"/>
      <c r="D42" s="140"/>
      <c r="E42" s="140"/>
      <c r="F42" s="140"/>
      <c r="G42" s="140"/>
      <c r="H42" s="140"/>
      <c r="I42" s="140"/>
      <c r="J42" s="140"/>
      <c r="K42" s="140"/>
      <c r="L42" s="140"/>
      <c r="M42" s="140"/>
      <c r="N42" s="140"/>
      <c r="O42" s="140"/>
      <c r="P42" s="140"/>
      <c r="Q42" s="140"/>
      <c r="R42" s="140"/>
      <c r="S42" s="140"/>
      <c r="T42" s="196"/>
      <c r="U42" s="140"/>
      <c r="V42" s="140"/>
      <c r="W42" s="140"/>
      <c r="X42" s="140"/>
      <c r="Y42" s="140"/>
      <c r="Z42" s="140"/>
    </row>
    <row r="43" spans="1:26" ht="15.75" customHeight="1" x14ac:dyDescent="0.25">
      <c r="A43" s="140"/>
      <c r="B43" s="140"/>
      <c r="C43" s="140"/>
      <c r="D43" s="140"/>
      <c r="E43" s="140"/>
      <c r="F43" s="140"/>
      <c r="G43" s="140"/>
      <c r="H43" s="140"/>
      <c r="I43" s="140"/>
      <c r="J43" s="140"/>
      <c r="K43" s="140"/>
      <c r="L43" s="140"/>
      <c r="M43" s="140"/>
      <c r="N43" s="140"/>
      <c r="O43" s="140"/>
      <c r="P43" s="140"/>
      <c r="Q43" s="140"/>
      <c r="R43" s="140"/>
      <c r="S43" s="140"/>
      <c r="T43" s="196"/>
      <c r="U43" s="140"/>
      <c r="V43" s="140"/>
      <c r="W43" s="140"/>
      <c r="X43" s="140"/>
      <c r="Y43" s="140"/>
      <c r="Z43" s="140"/>
    </row>
    <row r="44" spans="1:26" ht="15.75" customHeight="1" x14ac:dyDescent="0.25">
      <c r="A44" s="140"/>
      <c r="B44" s="140"/>
      <c r="C44" s="140"/>
      <c r="D44" s="140"/>
      <c r="E44" s="140"/>
      <c r="F44" s="140"/>
      <c r="G44" s="140"/>
      <c r="H44" s="140"/>
      <c r="I44" s="140"/>
      <c r="J44" s="140"/>
      <c r="K44" s="140"/>
      <c r="L44" s="140"/>
      <c r="M44" s="140"/>
      <c r="N44" s="140"/>
      <c r="O44" s="140"/>
      <c r="P44" s="140"/>
      <c r="Q44" s="140"/>
      <c r="R44" s="140"/>
      <c r="S44" s="140"/>
      <c r="T44" s="196"/>
      <c r="U44" s="140"/>
      <c r="V44" s="140"/>
      <c r="W44" s="140"/>
      <c r="X44" s="140"/>
      <c r="Y44" s="140"/>
      <c r="Z44" s="140"/>
    </row>
    <row r="45" spans="1:26" ht="15.75" customHeight="1" x14ac:dyDescent="0.25">
      <c r="A45" s="140"/>
      <c r="B45" s="140"/>
      <c r="C45" s="140"/>
      <c r="D45" s="140"/>
      <c r="E45" s="140"/>
      <c r="F45" s="140"/>
      <c r="G45" s="140"/>
      <c r="H45" s="140"/>
      <c r="I45" s="140"/>
      <c r="J45" s="140"/>
      <c r="K45" s="140"/>
      <c r="L45" s="140"/>
      <c r="M45" s="140"/>
      <c r="N45" s="140"/>
      <c r="O45" s="140"/>
      <c r="P45" s="140"/>
      <c r="Q45" s="140"/>
      <c r="R45" s="140"/>
      <c r="S45" s="140"/>
      <c r="T45" s="196"/>
      <c r="U45" s="140"/>
      <c r="V45" s="140"/>
      <c r="W45" s="140"/>
      <c r="X45" s="140"/>
      <c r="Y45" s="140"/>
      <c r="Z45" s="140"/>
    </row>
    <row r="46" spans="1:26" ht="15.75" customHeight="1" x14ac:dyDescent="0.25">
      <c r="A46" s="140"/>
      <c r="B46" s="140"/>
      <c r="C46" s="140"/>
      <c r="D46" s="140"/>
      <c r="E46" s="140"/>
      <c r="F46" s="140"/>
      <c r="G46" s="140"/>
      <c r="H46" s="140"/>
      <c r="I46" s="140"/>
      <c r="J46" s="140"/>
      <c r="K46" s="140"/>
      <c r="L46" s="140"/>
      <c r="M46" s="140"/>
      <c r="N46" s="140"/>
      <c r="O46" s="140"/>
      <c r="P46" s="140"/>
      <c r="Q46" s="140"/>
      <c r="R46" s="140"/>
      <c r="S46" s="140"/>
      <c r="T46" s="196"/>
      <c r="U46" s="140"/>
      <c r="V46" s="140"/>
      <c r="W46" s="140"/>
      <c r="X46" s="140"/>
      <c r="Y46" s="140"/>
      <c r="Z46" s="140"/>
    </row>
    <row r="47" spans="1:26" ht="15.75" customHeight="1" x14ac:dyDescent="0.25">
      <c r="A47" s="140"/>
      <c r="B47" s="140"/>
      <c r="C47" s="140"/>
      <c r="D47" s="140"/>
      <c r="E47" s="140"/>
      <c r="F47" s="140"/>
      <c r="G47" s="140"/>
      <c r="H47" s="140"/>
      <c r="I47" s="140"/>
      <c r="J47" s="140"/>
      <c r="K47" s="140"/>
      <c r="L47" s="140"/>
      <c r="M47" s="140"/>
      <c r="N47" s="140"/>
      <c r="O47" s="140"/>
      <c r="P47" s="140"/>
      <c r="Q47" s="140"/>
      <c r="R47" s="140"/>
      <c r="S47" s="140"/>
      <c r="T47" s="196"/>
      <c r="U47" s="140"/>
      <c r="V47" s="140"/>
      <c r="W47" s="140"/>
      <c r="X47" s="140"/>
      <c r="Y47" s="140"/>
      <c r="Z47" s="140"/>
    </row>
    <row r="48" spans="1:26" ht="15.75" customHeight="1" x14ac:dyDescent="0.25">
      <c r="A48" s="140"/>
      <c r="B48" s="140"/>
      <c r="C48" s="140"/>
      <c r="D48" s="140"/>
      <c r="E48" s="140"/>
      <c r="F48" s="140"/>
      <c r="G48" s="140"/>
      <c r="H48" s="140"/>
      <c r="I48" s="140"/>
      <c r="J48" s="140"/>
      <c r="K48" s="140"/>
      <c r="L48" s="140"/>
      <c r="M48" s="140"/>
      <c r="N48" s="140"/>
      <c r="O48" s="140"/>
      <c r="P48" s="140"/>
      <c r="Q48" s="140"/>
      <c r="R48" s="140"/>
      <c r="S48" s="140"/>
      <c r="T48" s="196"/>
      <c r="U48" s="140"/>
      <c r="V48" s="140"/>
      <c r="W48" s="140"/>
      <c r="X48" s="140"/>
      <c r="Y48" s="140"/>
      <c r="Z48" s="140"/>
    </row>
    <row r="49" spans="1:26" ht="15.75" customHeight="1" x14ac:dyDescent="0.25">
      <c r="A49" s="140"/>
      <c r="B49" s="140"/>
      <c r="C49" s="140"/>
      <c r="D49" s="140"/>
      <c r="E49" s="140"/>
      <c r="F49" s="140"/>
      <c r="G49" s="140"/>
      <c r="H49" s="140"/>
      <c r="I49" s="140"/>
      <c r="J49" s="140"/>
      <c r="K49" s="140"/>
      <c r="L49" s="140"/>
      <c r="M49" s="140"/>
      <c r="N49" s="140"/>
      <c r="O49" s="140"/>
      <c r="P49" s="140"/>
      <c r="Q49" s="140"/>
      <c r="R49" s="140"/>
      <c r="S49" s="140"/>
      <c r="T49" s="196"/>
      <c r="U49" s="140"/>
      <c r="V49" s="140"/>
      <c r="W49" s="140"/>
      <c r="X49" s="140"/>
      <c r="Y49" s="140"/>
      <c r="Z49" s="140"/>
    </row>
    <row r="50" spans="1:26" ht="15.75" customHeight="1" x14ac:dyDescent="0.25">
      <c r="A50" s="140"/>
      <c r="B50" s="140"/>
      <c r="C50" s="140"/>
      <c r="D50" s="140"/>
      <c r="E50" s="140"/>
      <c r="F50" s="140"/>
      <c r="G50" s="140"/>
      <c r="H50" s="140"/>
      <c r="I50" s="140"/>
      <c r="J50" s="140"/>
      <c r="K50" s="140"/>
      <c r="L50" s="140"/>
      <c r="M50" s="140"/>
      <c r="N50" s="140"/>
      <c r="O50" s="140"/>
      <c r="P50" s="140"/>
      <c r="Q50" s="140"/>
      <c r="R50" s="140"/>
      <c r="S50" s="140"/>
      <c r="T50" s="196"/>
      <c r="U50" s="140"/>
      <c r="V50" s="140"/>
      <c r="W50" s="140"/>
      <c r="X50" s="140"/>
      <c r="Y50" s="140"/>
      <c r="Z50" s="140"/>
    </row>
    <row r="51" spans="1:26" ht="15.75" customHeight="1" x14ac:dyDescent="0.25">
      <c r="A51" s="140"/>
      <c r="B51" s="140"/>
      <c r="C51" s="140"/>
      <c r="D51" s="140"/>
      <c r="E51" s="140"/>
      <c r="F51" s="140"/>
      <c r="G51" s="140"/>
      <c r="H51" s="140"/>
      <c r="I51" s="140"/>
      <c r="J51" s="140"/>
      <c r="K51" s="140"/>
      <c r="L51" s="140"/>
      <c r="M51" s="140"/>
      <c r="N51" s="140"/>
      <c r="O51" s="140"/>
      <c r="P51" s="140"/>
      <c r="Q51" s="140"/>
      <c r="R51" s="140"/>
      <c r="S51" s="140"/>
      <c r="T51" s="196"/>
      <c r="U51" s="140"/>
      <c r="V51" s="140"/>
      <c r="W51" s="140"/>
      <c r="X51" s="140"/>
      <c r="Y51" s="140"/>
      <c r="Z51" s="140"/>
    </row>
    <row r="52" spans="1:26" ht="15.75" customHeight="1" x14ac:dyDescent="0.25">
      <c r="A52" s="140"/>
      <c r="B52" s="140"/>
      <c r="C52" s="140"/>
      <c r="D52" s="140"/>
      <c r="E52" s="140"/>
      <c r="F52" s="140"/>
      <c r="G52" s="140"/>
      <c r="H52" s="140"/>
      <c r="I52" s="140"/>
      <c r="J52" s="140"/>
      <c r="K52" s="140"/>
      <c r="L52" s="140"/>
      <c r="M52" s="140"/>
      <c r="N52" s="140"/>
      <c r="O52" s="140"/>
      <c r="P52" s="140"/>
      <c r="Q52" s="140"/>
      <c r="R52" s="140"/>
      <c r="S52" s="140"/>
      <c r="T52" s="196"/>
      <c r="U52" s="140"/>
      <c r="V52" s="140"/>
      <c r="W52" s="140"/>
      <c r="X52" s="140"/>
      <c r="Y52" s="140"/>
      <c r="Z52" s="140"/>
    </row>
    <row r="53" spans="1:26" ht="15.75" customHeight="1" x14ac:dyDescent="0.25">
      <c r="A53" s="140"/>
      <c r="B53" s="140"/>
      <c r="C53" s="140"/>
      <c r="D53" s="140"/>
      <c r="E53" s="140"/>
      <c r="F53" s="140"/>
      <c r="G53" s="140"/>
      <c r="H53" s="140"/>
      <c r="I53" s="140"/>
      <c r="J53" s="140"/>
      <c r="K53" s="140"/>
      <c r="L53" s="140"/>
      <c r="M53" s="140"/>
      <c r="N53" s="140"/>
      <c r="O53" s="140"/>
      <c r="P53" s="140"/>
      <c r="Q53" s="140"/>
      <c r="R53" s="140"/>
      <c r="S53" s="140"/>
      <c r="T53" s="196"/>
      <c r="U53" s="140"/>
      <c r="V53" s="140"/>
      <c r="W53" s="140"/>
      <c r="X53" s="140"/>
      <c r="Y53" s="140"/>
      <c r="Z53" s="140"/>
    </row>
    <row r="54" spans="1:26" ht="15.75" customHeight="1" x14ac:dyDescent="0.25">
      <c r="A54" s="140"/>
      <c r="B54" s="140"/>
      <c r="C54" s="140"/>
      <c r="D54" s="140"/>
      <c r="E54" s="140"/>
      <c r="F54" s="140"/>
      <c r="G54" s="140"/>
      <c r="H54" s="140"/>
      <c r="I54" s="140"/>
      <c r="J54" s="140"/>
      <c r="K54" s="140"/>
      <c r="L54" s="140"/>
      <c r="M54" s="140"/>
      <c r="N54" s="140"/>
      <c r="O54" s="140"/>
      <c r="P54" s="140"/>
      <c r="Q54" s="140"/>
      <c r="R54" s="140"/>
      <c r="S54" s="140"/>
      <c r="T54" s="196"/>
      <c r="U54" s="140"/>
      <c r="V54" s="140"/>
      <c r="W54" s="140"/>
      <c r="X54" s="140"/>
      <c r="Y54" s="140"/>
      <c r="Z54" s="140"/>
    </row>
    <row r="55" spans="1:26" ht="15.75" customHeight="1" x14ac:dyDescent="0.25">
      <c r="A55" s="140"/>
      <c r="B55" s="140"/>
      <c r="C55" s="140"/>
      <c r="D55" s="140"/>
      <c r="E55" s="140"/>
      <c r="F55" s="140"/>
      <c r="G55" s="140"/>
      <c r="H55" s="140"/>
      <c r="I55" s="140"/>
      <c r="J55" s="140"/>
      <c r="K55" s="140"/>
      <c r="L55" s="140"/>
      <c r="M55" s="140"/>
      <c r="N55" s="140"/>
      <c r="O55" s="140"/>
      <c r="P55" s="140"/>
      <c r="Q55" s="140"/>
      <c r="R55" s="140"/>
      <c r="S55" s="140"/>
      <c r="T55" s="196"/>
      <c r="U55" s="140"/>
      <c r="V55" s="140"/>
      <c r="W55" s="140"/>
      <c r="X55" s="140"/>
      <c r="Y55" s="140"/>
      <c r="Z55" s="140"/>
    </row>
    <row r="56" spans="1:26" ht="15.75" customHeight="1" x14ac:dyDescent="0.25">
      <c r="A56" s="140"/>
      <c r="B56" s="140"/>
      <c r="C56" s="140"/>
      <c r="D56" s="140"/>
      <c r="E56" s="140"/>
      <c r="F56" s="140"/>
      <c r="G56" s="140"/>
      <c r="H56" s="140"/>
      <c r="I56" s="140"/>
      <c r="J56" s="140"/>
      <c r="K56" s="140"/>
      <c r="L56" s="140"/>
      <c r="M56" s="140"/>
      <c r="N56" s="140"/>
      <c r="O56" s="140"/>
      <c r="P56" s="140"/>
      <c r="Q56" s="140"/>
      <c r="R56" s="140"/>
      <c r="S56" s="140"/>
      <c r="T56" s="196"/>
      <c r="U56" s="140"/>
      <c r="V56" s="140"/>
      <c r="W56" s="140"/>
      <c r="X56" s="140"/>
      <c r="Y56" s="140"/>
      <c r="Z56" s="140"/>
    </row>
    <row r="57" spans="1:26" ht="15.75" customHeight="1" x14ac:dyDescent="0.25">
      <c r="A57" s="140"/>
      <c r="B57" s="140"/>
      <c r="C57" s="140"/>
      <c r="D57" s="140"/>
      <c r="E57" s="140"/>
      <c r="F57" s="140"/>
      <c r="G57" s="140"/>
      <c r="H57" s="140"/>
      <c r="I57" s="140"/>
      <c r="J57" s="140"/>
      <c r="K57" s="140"/>
      <c r="L57" s="140"/>
      <c r="M57" s="140"/>
      <c r="N57" s="140"/>
      <c r="O57" s="140"/>
      <c r="P57" s="140"/>
      <c r="Q57" s="140"/>
      <c r="R57" s="140"/>
      <c r="S57" s="140"/>
      <c r="T57" s="196"/>
      <c r="U57" s="140"/>
      <c r="V57" s="140"/>
      <c r="W57" s="140"/>
      <c r="X57" s="140"/>
      <c r="Y57" s="140"/>
      <c r="Z57" s="140"/>
    </row>
    <row r="58" spans="1:26" ht="15.75" customHeight="1" x14ac:dyDescent="0.25">
      <c r="A58" s="140"/>
      <c r="B58" s="140"/>
      <c r="C58" s="140"/>
      <c r="D58" s="140"/>
      <c r="E58" s="140"/>
      <c r="F58" s="140"/>
      <c r="G58" s="140"/>
      <c r="H58" s="140"/>
      <c r="I58" s="140"/>
      <c r="J58" s="140"/>
      <c r="K58" s="140"/>
      <c r="L58" s="140"/>
      <c r="M58" s="140"/>
      <c r="N58" s="140"/>
      <c r="O58" s="140"/>
      <c r="P58" s="140"/>
      <c r="Q58" s="140"/>
      <c r="R58" s="140"/>
      <c r="S58" s="140"/>
      <c r="T58" s="196"/>
      <c r="U58" s="140"/>
      <c r="V58" s="140"/>
      <c r="W58" s="140"/>
      <c r="X58" s="140"/>
      <c r="Y58" s="140"/>
      <c r="Z58" s="140"/>
    </row>
    <row r="59" spans="1:26" ht="15.75" customHeight="1" x14ac:dyDescent="0.25">
      <c r="A59" s="140"/>
      <c r="B59" s="140"/>
      <c r="C59" s="140"/>
      <c r="D59" s="140"/>
      <c r="E59" s="140"/>
      <c r="F59" s="140"/>
      <c r="G59" s="140"/>
      <c r="H59" s="140"/>
      <c r="I59" s="140"/>
      <c r="J59" s="140"/>
      <c r="K59" s="140"/>
      <c r="L59" s="140"/>
      <c r="M59" s="140"/>
      <c r="N59" s="140"/>
      <c r="O59" s="140"/>
      <c r="P59" s="140"/>
      <c r="Q59" s="140"/>
      <c r="R59" s="140"/>
      <c r="S59" s="140"/>
      <c r="T59" s="196"/>
      <c r="U59" s="140"/>
      <c r="V59" s="140"/>
      <c r="W59" s="140"/>
      <c r="X59" s="140"/>
      <c r="Y59" s="140"/>
      <c r="Z59" s="140"/>
    </row>
    <row r="60" spans="1:26" ht="15.75" customHeight="1" x14ac:dyDescent="0.25">
      <c r="A60" s="140"/>
      <c r="B60" s="140"/>
      <c r="C60" s="140"/>
      <c r="D60" s="140"/>
      <c r="E60" s="140"/>
      <c r="F60" s="140"/>
      <c r="G60" s="140"/>
      <c r="H60" s="140"/>
      <c r="I60" s="140"/>
      <c r="J60" s="140"/>
      <c r="K60" s="140"/>
      <c r="L60" s="140"/>
      <c r="M60" s="140"/>
      <c r="N60" s="140"/>
      <c r="O60" s="140"/>
      <c r="P60" s="140"/>
      <c r="Q60" s="140"/>
      <c r="R60" s="140"/>
      <c r="S60" s="140"/>
      <c r="T60" s="196"/>
      <c r="U60" s="140"/>
      <c r="V60" s="140"/>
      <c r="W60" s="140"/>
      <c r="X60" s="140"/>
      <c r="Y60" s="140"/>
      <c r="Z60" s="140"/>
    </row>
    <row r="61" spans="1:26" ht="15.75" customHeight="1" x14ac:dyDescent="0.25">
      <c r="A61" s="140"/>
      <c r="B61" s="140"/>
      <c r="C61" s="140"/>
      <c r="D61" s="140"/>
      <c r="E61" s="140"/>
      <c r="F61" s="140"/>
      <c r="G61" s="140"/>
      <c r="H61" s="140"/>
      <c r="I61" s="140"/>
      <c r="J61" s="140"/>
      <c r="K61" s="140"/>
      <c r="L61" s="140"/>
      <c r="M61" s="140"/>
      <c r="N61" s="140"/>
      <c r="O61" s="140"/>
      <c r="P61" s="140"/>
      <c r="Q61" s="140"/>
      <c r="R61" s="140"/>
      <c r="S61" s="140"/>
      <c r="T61" s="196"/>
      <c r="U61" s="140"/>
      <c r="V61" s="140"/>
      <c r="W61" s="140"/>
      <c r="X61" s="140"/>
      <c r="Y61" s="140"/>
      <c r="Z61" s="140"/>
    </row>
    <row r="62" spans="1:26" ht="15.75" customHeight="1" x14ac:dyDescent="0.25">
      <c r="A62" s="140"/>
      <c r="B62" s="140"/>
      <c r="C62" s="140"/>
      <c r="D62" s="140"/>
      <c r="E62" s="140"/>
      <c r="F62" s="140"/>
      <c r="G62" s="140"/>
      <c r="H62" s="140"/>
      <c r="I62" s="140"/>
      <c r="J62" s="140"/>
      <c r="K62" s="140"/>
      <c r="L62" s="140"/>
      <c r="M62" s="140"/>
      <c r="N62" s="140"/>
      <c r="O62" s="140"/>
      <c r="P62" s="140"/>
      <c r="Q62" s="140"/>
      <c r="R62" s="140"/>
      <c r="S62" s="140"/>
      <c r="T62" s="196"/>
      <c r="U62" s="140"/>
      <c r="V62" s="140"/>
      <c r="W62" s="140"/>
      <c r="X62" s="140"/>
      <c r="Y62" s="140"/>
      <c r="Z62" s="140"/>
    </row>
    <row r="63" spans="1:26" ht="15.75" customHeight="1" x14ac:dyDescent="0.25">
      <c r="A63" s="140"/>
      <c r="B63" s="140"/>
      <c r="C63" s="140"/>
      <c r="D63" s="140"/>
      <c r="E63" s="140"/>
      <c r="F63" s="140"/>
      <c r="G63" s="140"/>
      <c r="H63" s="140"/>
      <c r="I63" s="140"/>
      <c r="J63" s="140"/>
      <c r="K63" s="140"/>
      <c r="L63" s="140"/>
      <c r="M63" s="140"/>
      <c r="N63" s="140"/>
      <c r="O63" s="140"/>
      <c r="P63" s="140"/>
      <c r="Q63" s="140"/>
      <c r="R63" s="140"/>
      <c r="S63" s="140"/>
      <c r="T63" s="196"/>
      <c r="U63" s="140"/>
      <c r="V63" s="140"/>
      <c r="W63" s="140"/>
      <c r="X63" s="140"/>
      <c r="Y63" s="140"/>
      <c r="Z63" s="140"/>
    </row>
    <row r="64" spans="1:26" ht="15.75" customHeight="1" x14ac:dyDescent="0.25">
      <c r="A64" s="140"/>
      <c r="B64" s="140"/>
      <c r="C64" s="140"/>
      <c r="D64" s="140"/>
      <c r="E64" s="140"/>
      <c r="F64" s="140"/>
      <c r="G64" s="140"/>
      <c r="H64" s="140"/>
      <c r="I64" s="140"/>
      <c r="J64" s="140"/>
      <c r="K64" s="140"/>
      <c r="L64" s="140"/>
      <c r="M64" s="140"/>
      <c r="N64" s="140"/>
      <c r="O64" s="140"/>
      <c r="P64" s="140"/>
      <c r="Q64" s="140"/>
      <c r="R64" s="140"/>
      <c r="S64" s="140"/>
      <c r="T64" s="196"/>
      <c r="U64" s="140"/>
      <c r="V64" s="140"/>
      <c r="W64" s="140"/>
      <c r="X64" s="140"/>
      <c r="Y64" s="140"/>
      <c r="Z64" s="140"/>
    </row>
    <row r="65" spans="1:26" ht="15.75" customHeight="1" x14ac:dyDescent="0.25">
      <c r="A65" s="140"/>
      <c r="B65" s="140"/>
      <c r="C65" s="140"/>
      <c r="D65" s="140"/>
      <c r="E65" s="140"/>
      <c r="F65" s="140"/>
      <c r="G65" s="140"/>
      <c r="H65" s="140"/>
      <c r="I65" s="140"/>
      <c r="J65" s="140"/>
      <c r="K65" s="140"/>
      <c r="L65" s="140"/>
      <c r="M65" s="140"/>
      <c r="N65" s="140"/>
      <c r="O65" s="140"/>
      <c r="P65" s="140"/>
      <c r="Q65" s="140"/>
      <c r="R65" s="140"/>
      <c r="S65" s="140"/>
      <c r="T65" s="196"/>
      <c r="U65" s="140"/>
      <c r="V65" s="140"/>
      <c r="W65" s="140"/>
      <c r="X65" s="140"/>
      <c r="Y65" s="140"/>
      <c r="Z65" s="140"/>
    </row>
    <row r="66" spans="1:26" ht="15.75" customHeight="1" x14ac:dyDescent="0.25">
      <c r="A66" s="140"/>
      <c r="B66" s="140"/>
      <c r="C66" s="140"/>
      <c r="D66" s="140"/>
      <c r="E66" s="140"/>
      <c r="F66" s="140"/>
      <c r="G66" s="140"/>
      <c r="H66" s="140"/>
      <c r="I66" s="140"/>
      <c r="J66" s="140"/>
      <c r="K66" s="140"/>
      <c r="L66" s="140"/>
      <c r="M66" s="140"/>
      <c r="N66" s="140"/>
      <c r="O66" s="140"/>
      <c r="P66" s="140"/>
      <c r="Q66" s="140"/>
      <c r="R66" s="140"/>
      <c r="S66" s="140"/>
      <c r="T66" s="196"/>
      <c r="U66" s="140"/>
      <c r="V66" s="140"/>
      <c r="W66" s="140"/>
      <c r="X66" s="140"/>
      <c r="Y66" s="140"/>
      <c r="Z66" s="140"/>
    </row>
    <row r="67" spans="1:26" ht="15.75" customHeight="1" x14ac:dyDescent="0.25">
      <c r="A67" s="140"/>
      <c r="B67" s="140"/>
      <c r="C67" s="140"/>
      <c r="D67" s="140"/>
      <c r="E67" s="140"/>
      <c r="F67" s="140"/>
      <c r="G67" s="140"/>
      <c r="H67" s="140"/>
      <c r="I67" s="140"/>
      <c r="J67" s="140"/>
      <c r="K67" s="140"/>
      <c r="L67" s="140"/>
      <c r="M67" s="140"/>
      <c r="N67" s="140"/>
      <c r="O67" s="140"/>
      <c r="P67" s="140"/>
      <c r="Q67" s="140"/>
      <c r="R67" s="140"/>
      <c r="S67" s="140"/>
      <c r="T67" s="196"/>
      <c r="U67" s="140"/>
      <c r="V67" s="140"/>
      <c r="W67" s="140"/>
      <c r="X67" s="140"/>
      <c r="Y67" s="140"/>
      <c r="Z67" s="140"/>
    </row>
    <row r="68" spans="1:26" ht="15.75" customHeight="1" x14ac:dyDescent="0.25">
      <c r="A68" s="140"/>
      <c r="B68" s="140"/>
      <c r="C68" s="140"/>
      <c r="D68" s="140"/>
      <c r="E68" s="140"/>
      <c r="F68" s="140"/>
      <c r="G68" s="140"/>
      <c r="H68" s="140"/>
      <c r="I68" s="140"/>
      <c r="J68" s="140"/>
      <c r="K68" s="140"/>
      <c r="L68" s="140"/>
      <c r="M68" s="140"/>
      <c r="N68" s="140"/>
      <c r="O68" s="140"/>
      <c r="P68" s="140"/>
      <c r="Q68" s="140"/>
      <c r="R68" s="140"/>
      <c r="S68" s="140"/>
      <c r="T68" s="196"/>
      <c r="U68" s="140"/>
      <c r="V68" s="140"/>
      <c r="W68" s="140"/>
      <c r="X68" s="140"/>
      <c r="Y68" s="140"/>
      <c r="Z68" s="140"/>
    </row>
    <row r="69" spans="1:26" ht="15.75" customHeight="1" x14ac:dyDescent="0.25">
      <c r="A69" s="140"/>
      <c r="B69" s="140"/>
      <c r="C69" s="140"/>
      <c r="D69" s="140"/>
      <c r="E69" s="140"/>
      <c r="F69" s="140"/>
      <c r="G69" s="140"/>
      <c r="H69" s="140"/>
      <c r="I69" s="140"/>
      <c r="J69" s="140"/>
      <c r="K69" s="140"/>
      <c r="L69" s="140"/>
      <c r="M69" s="140"/>
      <c r="N69" s="140"/>
      <c r="O69" s="140"/>
      <c r="P69" s="140"/>
      <c r="Q69" s="140"/>
      <c r="R69" s="140"/>
      <c r="S69" s="140"/>
      <c r="T69" s="196"/>
      <c r="U69" s="140"/>
      <c r="V69" s="140"/>
      <c r="W69" s="140"/>
      <c r="X69" s="140"/>
      <c r="Y69" s="140"/>
      <c r="Z69" s="140"/>
    </row>
    <row r="70" spans="1:26" ht="15.75" customHeight="1" x14ac:dyDescent="0.25">
      <c r="A70" s="140"/>
      <c r="B70" s="140"/>
      <c r="C70" s="140"/>
      <c r="D70" s="140"/>
      <c r="E70" s="140"/>
      <c r="F70" s="140"/>
      <c r="G70" s="140"/>
      <c r="H70" s="140"/>
      <c r="I70" s="140"/>
      <c r="J70" s="140"/>
      <c r="K70" s="140"/>
      <c r="L70" s="140"/>
      <c r="M70" s="140"/>
      <c r="N70" s="140"/>
      <c r="O70" s="140"/>
      <c r="P70" s="140"/>
      <c r="Q70" s="140"/>
      <c r="R70" s="140"/>
      <c r="S70" s="140"/>
      <c r="T70" s="196"/>
      <c r="U70" s="140"/>
      <c r="V70" s="140"/>
      <c r="W70" s="140"/>
      <c r="X70" s="140"/>
      <c r="Y70" s="140"/>
      <c r="Z70" s="140"/>
    </row>
    <row r="71" spans="1:26" ht="15.75" customHeight="1" x14ac:dyDescent="0.25">
      <c r="A71" s="140"/>
      <c r="B71" s="140"/>
      <c r="C71" s="140"/>
      <c r="D71" s="140"/>
      <c r="E71" s="140"/>
      <c r="F71" s="140"/>
      <c r="G71" s="140"/>
      <c r="H71" s="140"/>
      <c r="I71" s="140"/>
      <c r="J71" s="140"/>
      <c r="K71" s="140"/>
      <c r="L71" s="140"/>
      <c r="M71" s="140"/>
      <c r="N71" s="140"/>
      <c r="O71" s="140"/>
      <c r="P71" s="140"/>
      <c r="Q71" s="140"/>
      <c r="R71" s="140"/>
      <c r="S71" s="140"/>
      <c r="T71" s="196"/>
      <c r="U71" s="140"/>
      <c r="V71" s="140"/>
      <c r="W71" s="140"/>
      <c r="X71" s="140"/>
      <c r="Y71" s="140"/>
      <c r="Z71" s="140"/>
    </row>
    <row r="72" spans="1:26" ht="15.75" customHeight="1" x14ac:dyDescent="0.25">
      <c r="A72" s="140"/>
      <c r="B72" s="140"/>
      <c r="C72" s="140"/>
      <c r="D72" s="140"/>
      <c r="E72" s="140"/>
      <c r="F72" s="140"/>
      <c r="G72" s="140"/>
      <c r="H72" s="140"/>
      <c r="I72" s="140"/>
      <c r="J72" s="140"/>
      <c r="K72" s="140"/>
      <c r="L72" s="140"/>
      <c r="M72" s="140"/>
      <c r="N72" s="140"/>
      <c r="O72" s="140"/>
      <c r="P72" s="140"/>
      <c r="Q72" s="140"/>
      <c r="R72" s="140"/>
      <c r="S72" s="140"/>
      <c r="T72" s="196"/>
      <c r="U72" s="140"/>
      <c r="V72" s="140"/>
      <c r="W72" s="140"/>
      <c r="X72" s="140"/>
      <c r="Y72" s="140"/>
      <c r="Z72" s="140"/>
    </row>
    <row r="73" spans="1:26" ht="15.75" customHeight="1" x14ac:dyDescent="0.25">
      <c r="A73" s="140"/>
      <c r="B73" s="140"/>
      <c r="C73" s="140"/>
      <c r="D73" s="140"/>
      <c r="E73" s="140"/>
      <c r="F73" s="140"/>
      <c r="G73" s="140"/>
      <c r="H73" s="140"/>
      <c r="I73" s="140"/>
      <c r="J73" s="140"/>
      <c r="K73" s="140"/>
      <c r="L73" s="140"/>
      <c r="M73" s="140"/>
      <c r="N73" s="140"/>
      <c r="O73" s="140"/>
      <c r="P73" s="140"/>
      <c r="Q73" s="140"/>
      <c r="R73" s="140"/>
      <c r="S73" s="140"/>
      <c r="T73" s="196"/>
      <c r="U73" s="140"/>
      <c r="V73" s="140"/>
      <c r="W73" s="140"/>
      <c r="X73" s="140"/>
      <c r="Y73" s="140"/>
      <c r="Z73" s="140"/>
    </row>
    <row r="74" spans="1:26" ht="15.75" customHeight="1" x14ac:dyDescent="0.25">
      <c r="A74" s="140"/>
      <c r="B74" s="140"/>
      <c r="C74" s="140"/>
      <c r="D74" s="140"/>
      <c r="E74" s="140"/>
      <c r="F74" s="140"/>
      <c r="G74" s="140"/>
      <c r="H74" s="140"/>
      <c r="I74" s="140"/>
      <c r="J74" s="140"/>
      <c r="K74" s="140"/>
      <c r="L74" s="140"/>
      <c r="M74" s="140"/>
      <c r="N74" s="140"/>
      <c r="O74" s="140"/>
      <c r="P74" s="140"/>
      <c r="Q74" s="140"/>
      <c r="R74" s="140"/>
      <c r="S74" s="140"/>
      <c r="T74" s="196"/>
      <c r="U74" s="140"/>
      <c r="V74" s="140"/>
      <c r="W74" s="140"/>
      <c r="X74" s="140"/>
      <c r="Y74" s="140"/>
      <c r="Z74" s="140"/>
    </row>
    <row r="75" spans="1:26" ht="15.75" customHeight="1" x14ac:dyDescent="0.25">
      <c r="A75" s="140"/>
      <c r="B75" s="140"/>
      <c r="C75" s="140"/>
      <c r="D75" s="140"/>
      <c r="E75" s="140"/>
      <c r="F75" s="140"/>
      <c r="G75" s="140"/>
      <c r="H75" s="140"/>
      <c r="I75" s="140"/>
      <c r="J75" s="140"/>
      <c r="K75" s="140"/>
      <c r="L75" s="140"/>
      <c r="M75" s="140"/>
      <c r="N75" s="140"/>
      <c r="O75" s="140"/>
      <c r="P75" s="140"/>
      <c r="Q75" s="140"/>
      <c r="R75" s="140"/>
      <c r="S75" s="140"/>
      <c r="T75" s="196"/>
      <c r="U75" s="140"/>
      <c r="V75" s="140"/>
      <c r="W75" s="140"/>
      <c r="X75" s="140"/>
      <c r="Y75" s="140"/>
      <c r="Z75" s="140"/>
    </row>
    <row r="76" spans="1:26" ht="15.75" customHeight="1" x14ac:dyDescent="0.25">
      <c r="A76" s="140"/>
      <c r="B76" s="140"/>
      <c r="C76" s="140"/>
      <c r="D76" s="140"/>
      <c r="E76" s="140"/>
      <c r="F76" s="140"/>
      <c r="G76" s="140"/>
      <c r="H76" s="140"/>
      <c r="I76" s="140"/>
      <c r="J76" s="140"/>
      <c r="K76" s="140"/>
      <c r="L76" s="140"/>
      <c r="M76" s="140"/>
      <c r="N76" s="140"/>
      <c r="O76" s="140"/>
      <c r="P76" s="140"/>
      <c r="Q76" s="140"/>
      <c r="R76" s="140"/>
      <c r="S76" s="140"/>
      <c r="T76" s="196"/>
      <c r="U76" s="140"/>
      <c r="V76" s="140"/>
      <c r="W76" s="140"/>
      <c r="X76" s="140"/>
      <c r="Y76" s="140"/>
      <c r="Z76" s="140"/>
    </row>
    <row r="77" spans="1:26" ht="15.75" customHeight="1" x14ac:dyDescent="0.25">
      <c r="A77" s="140"/>
      <c r="B77" s="140"/>
      <c r="C77" s="140"/>
      <c r="D77" s="140"/>
      <c r="E77" s="140"/>
      <c r="F77" s="140"/>
      <c r="G77" s="140"/>
      <c r="H77" s="140"/>
      <c r="I77" s="140"/>
      <c r="J77" s="140"/>
      <c r="K77" s="140"/>
      <c r="L77" s="140"/>
      <c r="M77" s="140"/>
      <c r="N77" s="140"/>
      <c r="O77" s="140"/>
      <c r="P77" s="140"/>
      <c r="Q77" s="140"/>
      <c r="R77" s="140"/>
      <c r="S77" s="140"/>
      <c r="T77" s="196"/>
      <c r="U77" s="140"/>
      <c r="V77" s="140"/>
      <c r="W77" s="140"/>
      <c r="X77" s="140"/>
      <c r="Y77" s="140"/>
      <c r="Z77" s="140"/>
    </row>
    <row r="78" spans="1:26" ht="15.75" customHeight="1" x14ac:dyDescent="0.25">
      <c r="A78" s="140"/>
      <c r="B78" s="140"/>
      <c r="C78" s="140"/>
      <c r="D78" s="140"/>
      <c r="E78" s="140"/>
      <c r="F78" s="140"/>
      <c r="G78" s="140"/>
      <c r="H78" s="140"/>
      <c r="I78" s="140"/>
      <c r="J78" s="140"/>
      <c r="K78" s="140"/>
      <c r="L78" s="140"/>
      <c r="M78" s="140"/>
      <c r="N78" s="140"/>
      <c r="O78" s="140"/>
      <c r="P78" s="140"/>
      <c r="Q78" s="140"/>
      <c r="R78" s="140"/>
      <c r="S78" s="140"/>
      <c r="T78" s="196"/>
      <c r="U78" s="140"/>
      <c r="V78" s="140"/>
      <c r="W78" s="140"/>
      <c r="X78" s="140"/>
      <c r="Y78" s="140"/>
      <c r="Z78" s="140"/>
    </row>
    <row r="79" spans="1:26" ht="15.75" customHeight="1" x14ac:dyDescent="0.25">
      <c r="A79" s="140"/>
      <c r="B79" s="140"/>
      <c r="C79" s="140"/>
      <c r="D79" s="140"/>
      <c r="E79" s="140"/>
      <c r="F79" s="140"/>
      <c r="G79" s="140"/>
      <c r="H79" s="140"/>
      <c r="I79" s="140"/>
      <c r="J79" s="140"/>
      <c r="K79" s="140"/>
      <c r="L79" s="140"/>
      <c r="M79" s="140"/>
      <c r="N79" s="140"/>
      <c r="O79" s="140"/>
      <c r="P79" s="140"/>
      <c r="Q79" s="140"/>
      <c r="R79" s="140"/>
      <c r="S79" s="140"/>
      <c r="T79" s="196"/>
      <c r="U79" s="140"/>
      <c r="V79" s="140"/>
      <c r="W79" s="140"/>
      <c r="X79" s="140"/>
      <c r="Y79" s="140"/>
      <c r="Z79" s="140"/>
    </row>
    <row r="80" spans="1:26" ht="15.75" customHeight="1" x14ac:dyDescent="0.25">
      <c r="A80" s="140"/>
      <c r="B80" s="140"/>
      <c r="C80" s="140"/>
      <c r="D80" s="140"/>
      <c r="E80" s="140"/>
      <c r="F80" s="140"/>
      <c r="G80" s="140"/>
      <c r="H80" s="140"/>
      <c r="I80" s="140"/>
      <c r="J80" s="140"/>
      <c r="K80" s="140"/>
      <c r="L80" s="140"/>
      <c r="M80" s="140"/>
      <c r="N80" s="140"/>
      <c r="O80" s="140"/>
      <c r="P80" s="140"/>
      <c r="Q80" s="140"/>
      <c r="R80" s="140"/>
      <c r="S80" s="140"/>
      <c r="T80" s="196"/>
      <c r="U80" s="140"/>
      <c r="V80" s="140"/>
      <c r="W80" s="140"/>
      <c r="X80" s="140"/>
      <c r="Y80" s="140"/>
      <c r="Z80" s="140"/>
    </row>
    <row r="81" spans="1:26" ht="15.75" customHeight="1" x14ac:dyDescent="0.25">
      <c r="A81" s="140"/>
      <c r="B81" s="140"/>
      <c r="C81" s="140"/>
      <c r="D81" s="140"/>
      <c r="E81" s="140"/>
      <c r="F81" s="140"/>
      <c r="G81" s="140"/>
      <c r="H81" s="140"/>
      <c r="I81" s="140"/>
      <c r="J81" s="140"/>
      <c r="K81" s="140"/>
      <c r="L81" s="140"/>
      <c r="M81" s="140"/>
      <c r="N81" s="140"/>
      <c r="O81" s="140"/>
      <c r="P81" s="140"/>
      <c r="Q81" s="140"/>
      <c r="R81" s="140"/>
      <c r="S81" s="140"/>
      <c r="T81" s="196"/>
      <c r="U81" s="140"/>
      <c r="V81" s="140"/>
      <c r="W81" s="140"/>
      <c r="X81" s="140"/>
      <c r="Y81" s="140"/>
      <c r="Z81" s="140"/>
    </row>
    <row r="82" spans="1:26" ht="15.75" customHeight="1" x14ac:dyDescent="0.25">
      <c r="A82" s="140"/>
      <c r="B82" s="140"/>
      <c r="C82" s="140"/>
      <c r="D82" s="140"/>
      <c r="E82" s="140"/>
      <c r="F82" s="140"/>
      <c r="G82" s="140"/>
      <c r="H82" s="140"/>
      <c r="I82" s="140"/>
      <c r="J82" s="140"/>
      <c r="K82" s="140"/>
      <c r="L82" s="140"/>
      <c r="M82" s="140"/>
      <c r="N82" s="140"/>
      <c r="O82" s="140"/>
      <c r="P82" s="140"/>
      <c r="Q82" s="140"/>
      <c r="R82" s="140"/>
      <c r="S82" s="140"/>
      <c r="T82" s="196"/>
      <c r="U82" s="140"/>
      <c r="V82" s="140"/>
      <c r="W82" s="140"/>
      <c r="X82" s="140"/>
      <c r="Y82" s="140"/>
      <c r="Z82" s="140"/>
    </row>
    <row r="83" spans="1:26" ht="15.75" customHeight="1" x14ac:dyDescent="0.25">
      <c r="A83" s="140"/>
      <c r="B83" s="140"/>
      <c r="C83" s="140"/>
      <c r="D83" s="140"/>
      <c r="E83" s="140"/>
      <c r="F83" s="140"/>
      <c r="G83" s="140"/>
      <c r="H83" s="140"/>
      <c r="I83" s="140"/>
      <c r="J83" s="140"/>
      <c r="K83" s="140"/>
      <c r="L83" s="140"/>
      <c r="M83" s="140"/>
      <c r="N83" s="140"/>
      <c r="O83" s="140"/>
      <c r="P83" s="140"/>
      <c r="Q83" s="140"/>
      <c r="R83" s="140"/>
      <c r="S83" s="140"/>
      <c r="T83" s="196"/>
      <c r="U83" s="140"/>
      <c r="V83" s="140"/>
      <c r="W83" s="140"/>
      <c r="X83" s="140"/>
      <c r="Y83" s="140"/>
      <c r="Z83" s="140"/>
    </row>
    <row r="84" spans="1:26" ht="15.75" customHeight="1" x14ac:dyDescent="0.25">
      <c r="A84" s="140"/>
      <c r="B84" s="140"/>
      <c r="C84" s="140"/>
      <c r="D84" s="140"/>
      <c r="E84" s="140"/>
      <c r="F84" s="140"/>
      <c r="G84" s="140"/>
      <c r="H84" s="140"/>
      <c r="I84" s="140"/>
      <c r="J84" s="140"/>
      <c r="K84" s="140"/>
      <c r="L84" s="140"/>
      <c r="M84" s="140"/>
      <c r="N84" s="140"/>
      <c r="O84" s="140"/>
      <c r="P84" s="140"/>
      <c r="Q84" s="140"/>
      <c r="R84" s="140"/>
      <c r="S84" s="140"/>
      <c r="T84" s="196"/>
      <c r="U84" s="140"/>
      <c r="V84" s="140"/>
      <c r="W84" s="140"/>
      <c r="X84" s="140"/>
      <c r="Y84" s="140"/>
      <c r="Z84" s="140"/>
    </row>
    <row r="85" spans="1:26" ht="15.75" customHeight="1" x14ac:dyDescent="0.25">
      <c r="A85" s="140"/>
      <c r="B85" s="140"/>
      <c r="C85" s="140"/>
      <c r="D85" s="140"/>
      <c r="E85" s="140"/>
      <c r="F85" s="140"/>
      <c r="G85" s="140"/>
      <c r="H85" s="140"/>
      <c r="I85" s="140"/>
      <c r="J85" s="140"/>
      <c r="K85" s="140"/>
      <c r="L85" s="140"/>
      <c r="M85" s="140"/>
      <c r="N85" s="140"/>
      <c r="O85" s="140"/>
      <c r="P85" s="140"/>
      <c r="Q85" s="140"/>
      <c r="R85" s="140"/>
      <c r="S85" s="140"/>
      <c r="T85" s="196"/>
      <c r="U85" s="140"/>
      <c r="V85" s="140"/>
      <c r="W85" s="140"/>
      <c r="X85" s="140"/>
      <c r="Y85" s="140"/>
      <c r="Z85" s="140"/>
    </row>
    <row r="86" spans="1:26" ht="15.75" customHeight="1" x14ac:dyDescent="0.25">
      <c r="A86" s="140"/>
      <c r="B86" s="140"/>
      <c r="C86" s="140"/>
      <c r="D86" s="140"/>
      <c r="E86" s="140"/>
      <c r="F86" s="140"/>
      <c r="G86" s="140"/>
      <c r="H86" s="140"/>
      <c r="I86" s="140"/>
      <c r="J86" s="140"/>
      <c r="K86" s="140"/>
      <c r="L86" s="140"/>
      <c r="M86" s="140"/>
      <c r="N86" s="140"/>
      <c r="O86" s="140"/>
      <c r="P86" s="140"/>
      <c r="Q86" s="140"/>
      <c r="R86" s="140"/>
      <c r="S86" s="140"/>
      <c r="T86" s="196"/>
      <c r="U86" s="140"/>
      <c r="V86" s="140"/>
      <c r="W86" s="140"/>
      <c r="X86" s="140"/>
      <c r="Y86" s="140"/>
      <c r="Z86" s="140"/>
    </row>
    <row r="87" spans="1:26" ht="15.75" customHeight="1" x14ac:dyDescent="0.25">
      <c r="A87" s="140"/>
      <c r="B87" s="140"/>
      <c r="C87" s="140"/>
      <c r="D87" s="140"/>
      <c r="E87" s="140"/>
      <c r="F87" s="140"/>
      <c r="G87" s="140"/>
      <c r="H87" s="140"/>
      <c r="I87" s="140"/>
      <c r="J87" s="140"/>
      <c r="K87" s="140"/>
      <c r="L87" s="140"/>
      <c r="M87" s="140"/>
      <c r="N87" s="140"/>
      <c r="O87" s="140"/>
      <c r="P87" s="140"/>
      <c r="Q87" s="140"/>
      <c r="R87" s="140"/>
      <c r="S87" s="140"/>
      <c r="T87" s="196"/>
      <c r="U87" s="140"/>
      <c r="V87" s="140"/>
      <c r="W87" s="140"/>
      <c r="X87" s="140"/>
      <c r="Y87" s="140"/>
      <c r="Z87" s="140"/>
    </row>
    <row r="88" spans="1:26" ht="15.75" customHeight="1" x14ac:dyDescent="0.25">
      <c r="A88" s="140"/>
      <c r="B88" s="140"/>
      <c r="C88" s="140"/>
      <c r="D88" s="140"/>
      <c r="E88" s="140"/>
      <c r="F88" s="140"/>
      <c r="G88" s="140"/>
      <c r="H88" s="140"/>
      <c r="I88" s="140"/>
      <c r="J88" s="140"/>
      <c r="K88" s="140"/>
      <c r="L88" s="140"/>
      <c r="M88" s="140"/>
      <c r="N88" s="140"/>
      <c r="O88" s="140"/>
      <c r="P88" s="140"/>
      <c r="Q88" s="140"/>
      <c r="R88" s="140"/>
      <c r="S88" s="140"/>
      <c r="T88" s="196"/>
      <c r="U88" s="140"/>
      <c r="V88" s="140"/>
      <c r="W88" s="140"/>
      <c r="X88" s="140"/>
      <c r="Y88" s="140"/>
      <c r="Z88" s="140"/>
    </row>
    <row r="89" spans="1:26" ht="15.75" customHeight="1" x14ac:dyDescent="0.25">
      <c r="A89" s="140"/>
      <c r="B89" s="140"/>
      <c r="C89" s="140"/>
      <c r="D89" s="140"/>
      <c r="E89" s="140"/>
      <c r="F89" s="140"/>
      <c r="G89" s="140"/>
      <c r="H89" s="140"/>
      <c r="I89" s="140"/>
      <c r="J89" s="140"/>
      <c r="K89" s="140"/>
      <c r="L89" s="140"/>
      <c r="M89" s="140"/>
      <c r="N89" s="140"/>
      <c r="O89" s="140"/>
      <c r="P89" s="140"/>
      <c r="Q89" s="140"/>
      <c r="R89" s="140"/>
      <c r="S89" s="140"/>
      <c r="T89" s="196"/>
      <c r="U89" s="140"/>
      <c r="V89" s="140"/>
      <c r="W89" s="140"/>
      <c r="X89" s="140"/>
      <c r="Y89" s="140"/>
      <c r="Z89" s="140"/>
    </row>
    <row r="90" spans="1:26" ht="15.75" customHeight="1" x14ac:dyDescent="0.25">
      <c r="A90" s="140"/>
      <c r="B90" s="140"/>
      <c r="C90" s="140"/>
      <c r="D90" s="140"/>
      <c r="E90" s="140"/>
      <c r="F90" s="140"/>
      <c r="G90" s="140"/>
      <c r="H90" s="140"/>
      <c r="I90" s="140"/>
      <c r="J90" s="140"/>
      <c r="K90" s="140"/>
      <c r="L90" s="140"/>
      <c r="M90" s="140"/>
      <c r="N90" s="140"/>
      <c r="O90" s="140"/>
      <c r="P90" s="140"/>
      <c r="Q90" s="140"/>
      <c r="R90" s="140"/>
      <c r="S90" s="140"/>
      <c r="T90" s="196"/>
      <c r="U90" s="140"/>
      <c r="V90" s="140"/>
      <c r="W90" s="140"/>
      <c r="X90" s="140"/>
      <c r="Y90" s="140"/>
      <c r="Z90" s="140"/>
    </row>
    <row r="91" spans="1:26" ht="15.75" customHeight="1" x14ac:dyDescent="0.25">
      <c r="A91" s="140"/>
      <c r="B91" s="140"/>
      <c r="C91" s="140"/>
      <c r="D91" s="140"/>
      <c r="E91" s="140"/>
      <c r="F91" s="140"/>
      <c r="G91" s="140"/>
      <c r="H91" s="140"/>
      <c r="I91" s="140"/>
      <c r="J91" s="140"/>
      <c r="K91" s="140"/>
      <c r="L91" s="140"/>
      <c r="M91" s="140"/>
      <c r="N91" s="140"/>
      <c r="O91" s="140"/>
      <c r="P91" s="140"/>
      <c r="Q91" s="140"/>
      <c r="R91" s="140"/>
      <c r="S91" s="140"/>
      <c r="T91" s="196"/>
      <c r="U91" s="140"/>
      <c r="V91" s="140"/>
      <c r="W91" s="140"/>
      <c r="X91" s="140"/>
      <c r="Y91" s="140"/>
      <c r="Z91" s="140"/>
    </row>
    <row r="92" spans="1:26" ht="15.75" customHeight="1" x14ac:dyDescent="0.25">
      <c r="A92" s="140"/>
      <c r="B92" s="140"/>
      <c r="C92" s="140"/>
      <c r="D92" s="140"/>
      <c r="E92" s="140"/>
      <c r="F92" s="140"/>
      <c r="G92" s="140"/>
      <c r="H92" s="140"/>
      <c r="I92" s="140"/>
      <c r="J92" s="140"/>
      <c r="K92" s="140"/>
      <c r="L92" s="140"/>
      <c r="M92" s="140"/>
      <c r="N92" s="140"/>
      <c r="O92" s="140"/>
      <c r="P92" s="140"/>
      <c r="Q92" s="140"/>
      <c r="R92" s="140"/>
      <c r="S92" s="140"/>
      <c r="T92" s="196"/>
      <c r="U92" s="140"/>
      <c r="V92" s="140"/>
      <c r="W92" s="140"/>
      <c r="X92" s="140"/>
      <c r="Y92" s="140"/>
      <c r="Z92" s="140"/>
    </row>
    <row r="93" spans="1:26" ht="15.75" customHeight="1" x14ac:dyDescent="0.25">
      <c r="A93" s="140"/>
      <c r="B93" s="140"/>
      <c r="C93" s="140"/>
      <c r="D93" s="140"/>
      <c r="E93" s="140"/>
      <c r="F93" s="140"/>
      <c r="G93" s="140"/>
      <c r="H93" s="140"/>
      <c r="I93" s="140"/>
      <c r="J93" s="140"/>
      <c r="K93" s="140"/>
      <c r="L93" s="140"/>
      <c r="M93" s="140"/>
      <c r="N93" s="140"/>
      <c r="O93" s="140"/>
      <c r="P93" s="140"/>
      <c r="Q93" s="140"/>
      <c r="R93" s="140"/>
      <c r="S93" s="140"/>
      <c r="T93" s="196"/>
      <c r="U93" s="140"/>
      <c r="V93" s="140"/>
      <c r="W93" s="140"/>
      <c r="X93" s="140"/>
      <c r="Y93" s="140"/>
      <c r="Z93" s="140"/>
    </row>
    <row r="94" spans="1:26" ht="15.75" customHeight="1" x14ac:dyDescent="0.25">
      <c r="A94" s="140"/>
      <c r="B94" s="140"/>
      <c r="C94" s="140"/>
      <c r="D94" s="140"/>
      <c r="E94" s="140"/>
      <c r="F94" s="140"/>
      <c r="G94" s="140"/>
      <c r="H94" s="140"/>
      <c r="I94" s="140"/>
      <c r="J94" s="140"/>
      <c r="K94" s="140"/>
      <c r="L94" s="140"/>
      <c r="M94" s="140"/>
      <c r="N94" s="140"/>
      <c r="O94" s="140"/>
      <c r="P94" s="140"/>
      <c r="Q94" s="140"/>
      <c r="R94" s="140"/>
      <c r="S94" s="140"/>
      <c r="T94" s="196"/>
      <c r="U94" s="140"/>
      <c r="V94" s="140"/>
      <c r="W94" s="140"/>
      <c r="X94" s="140"/>
      <c r="Y94" s="140"/>
      <c r="Z94" s="140"/>
    </row>
    <row r="95" spans="1:26" ht="15.75" customHeight="1" x14ac:dyDescent="0.25">
      <c r="A95" s="140"/>
      <c r="B95" s="140"/>
      <c r="C95" s="140"/>
      <c r="D95" s="140"/>
      <c r="E95" s="140"/>
      <c r="F95" s="140"/>
      <c r="G95" s="140"/>
      <c r="H95" s="140"/>
      <c r="I95" s="140"/>
      <c r="J95" s="140"/>
      <c r="K95" s="140"/>
      <c r="L95" s="140"/>
      <c r="M95" s="140"/>
      <c r="N95" s="140"/>
      <c r="O95" s="140"/>
      <c r="P95" s="140"/>
      <c r="Q95" s="140"/>
      <c r="R95" s="140"/>
      <c r="S95" s="140"/>
      <c r="T95" s="196"/>
      <c r="U95" s="140"/>
      <c r="V95" s="140"/>
      <c r="W95" s="140"/>
      <c r="X95" s="140"/>
      <c r="Y95" s="140"/>
      <c r="Z95" s="140"/>
    </row>
    <row r="96" spans="1:26" ht="15.75" customHeight="1" x14ac:dyDescent="0.25">
      <c r="A96" s="140"/>
      <c r="B96" s="140"/>
      <c r="C96" s="140"/>
      <c r="D96" s="140"/>
      <c r="E96" s="140"/>
      <c r="F96" s="140"/>
      <c r="G96" s="140"/>
      <c r="H96" s="140"/>
      <c r="I96" s="140"/>
      <c r="J96" s="140"/>
      <c r="K96" s="140"/>
      <c r="L96" s="140"/>
      <c r="M96" s="140"/>
      <c r="N96" s="140"/>
      <c r="O96" s="140"/>
      <c r="P96" s="140"/>
      <c r="Q96" s="140"/>
      <c r="R96" s="140"/>
      <c r="S96" s="140"/>
      <c r="T96" s="196"/>
      <c r="U96" s="140"/>
      <c r="V96" s="140"/>
      <c r="W96" s="140"/>
      <c r="X96" s="140"/>
      <c r="Y96" s="140"/>
      <c r="Z96" s="140"/>
    </row>
    <row r="97" spans="1:26" ht="15.75" customHeight="1" x14ac:dyDescent="0.25">
      <c r="A97" s="140"/>
      <c r="B97" s="140"/>
      <c r="C97" s="140"/>
      <c r="D97" s="140"/>
      <c r="E97" s="140"/>
      <c r="F97" s="140"/>
      <c r="G97" s="140"/>
      <c r="H97" s="140"/>
      <c r="I97" s="140"/>
      <c r="J97" s="140"/>
      <c r="K97" s="140"/>
      <c r="L97" s="140"/>
      <c r="M97" s="140"/>
      <c r="N97" s="140"/>
      <c r="O97" s="140"/>
      <c r="P97" s="140"/>
      <c r="Q97" s="140"/>
      <c r="R97" s="140"/>
      <c r="S97" s="140"/>
      <c r="T97" s="196"/>
      <c r="U97" s="140"/>
      <c r="V97" s="140"/>
      <c r="W97" s="140"/>
      <c r="X97" s="140"/>
      <c r="Y97" s="140"/>
      <c r="Z97" s="140"/>
    </row>
    <row r="98" spans="1:26" ht="15.75" customHeight="1" x14ac:dyDescent="0.25">
      <c r="A98" s="140"/>
      <c r="B98" s="140"/>
      <c r="C98" s="140"/>
      <c r="D98" s="140"/>
      <c r="E98" s="140"/>
      <c r="F98" s="140"/>
      <c r="G98" s="140"/>
      <c r="H98" s="140"/>
      <c r="I98" s="140"/>
      <c r="J98" s="140"/>
      <c r="K98" s="140"/>
      <c r="L98" s="140"/>
      <c r="M98" s="140"/>
      <c r="N98" s="140"/>
      <c r="O98" s="140"/>
      <c r="P98" s="140"/>
      <c r="Q98" s="140"/>
      <c r="R98" s="140"/>
      <c r="S98" s="140"/>
      <c r="T98" s="196"/>
      <c r="U98" s="140"/>
      <c r="V98" s="140"/>
      <c r="W98" s="140"/>
      <c r="X98" s="140"/>
      <c r="Y98" s="140"/>
      <c r="Z98" s="140"/>
    </row>
    <row r="99" spans="1:26" ht="15.75" customHeight="1" x14ac:dyDescent="0.25">
      <c r="A99" s="140"/>
      <c r="B99" s="140"/>
      <c r="C99" s="140"/>
      <c r="D99" s="140"/>
      <c r="E99" s="140"/>
      <c r="F99" s="140"/>
      <c r="G99" s="140"/>
      <c r="H99" s="140"/>
      <c r="I99" s="140"/>
      <c r="J99" s="140"/>
      <c r="K99" s="140"/>
      <c r="L99" s="140"/>
      <c r="M99" s="140"/>
      <c r="N99" s="140"/>
      <c r="O99" s="140"/>
      <c r="P99" s="140"/>
      <c r="Q99" s="140"/>
      <c r="R99" s="140"/>
      <c r="S99" s="140"/>
      <c r="T99" s="196"/>
      <c r="U99" s="140"/>
      <c r="V99" s="140"/>
      <c r="W99" s="140"/>
      <c r="X99" s="140"/>
      <c r="Y99" s="140"/>
      <c r="Z99" s="140"/>
    </row>
    <row r="100" spans="1:26"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96"/>
      <c r="U100" s="140"/>
      <c r="V100" s="140"/>
      <c r="W100" s="140"/>
      <c r="X100" s="140"/>
      <c r="Y100" s="140"/>
      <c r="Z100" s="140"/>
    </row>
    <row r="101" spans="1:26"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96"/>
      <c r="U101" s="140"/>
      <c r="V101" s="140"/>
      <c r="W101" s="140"/>
      <c r="X101" s="140"/>
      <c r="Y101" s="140"/>
      <c r="Z101" s="140"/>
    </row>
    <row r="102" spans="1:26"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96"/>
      <c r="U102" s="140"/>
      <c r="V102" s="140"/>
      <c r="W102" s="140"/>
      <c r="X102" s="140"/>
      <c r="Y102" s="140"/>
      <c r="Z102" s="140"/>
    </row>
    <row r="103" spans="1:26"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96"/>
      <c r="U103" s="140"/>
      <c r="V103" s="140"/>
      <c r="W103" s="140"/>
      <c r="X103" s="140"/>
      <c r="Y103" s="140"/>
      <c r="Z103" s="140"/>
    </row>
    <row r="104" spans="1:26"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96"/>
      <c r="U104" s="140"/>
      <c r="V104" s="140"/>
      <c r="W104" s="140"/>
      <c r="X104" s="140"/>
      <c r="Y104" s="140"/>
      <c r="Z104" s="140"/>
    </row>
    <row r="105" spans="1:26"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96"/>
      <c r="U105" s="140"/>
      <c r="V105" s="140"/>
      <c r="W105" s="140"/>
      <c r="X105" s="140"/>
      <c r="Y105" s="140"/>
      <c r="Z105" s="140"/>
    </row>
    <row r="106" spans="1:26"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96"/>
      <c r="U106" s="140"/>
      <c r="V106" s="140"/>
      <c r="W106" s="140"/>
      <c r="X106" s="140"/>
      <c r="Y106" s="140"/>
      <c r="Z106" s="140"/>
    </row>
    <row r="107" spans="1:26"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96"/>
      <c r="U107" s="140"/>
      <c r="V107" s="140"/>
      <c r="W107" s="140"/>
      <c r="X107" s="140"/>
      <c r="Y107" s="140"/>
      <c r="Z107" s="140"/>
    </row>
    <row r="108" spans="1:26"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96"/>
      <c r="U108" s="140"/>
      <c r="V108" s="140"/>
      <c r="W108" s="140"/>
      <c r="X108" s="140"/>
      <c r="Y108" s="140"/>
      <c r="Z108" s="140"/>
    </row>
    <row r="109" spans="1:26"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96"/>
      <c r="U109" s="140"/>
      <c r="V109" s="140"/>
      <c r="W109" s="140"/>
      <c r="X109" s="140"/>
      <c r="Y109" s="140"/>
      <c r="Z109" s="140"/>
    </row>
    <row r="110" spans="1:26"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96"/>
      <c r="U110" s="140"/>
      <c r="V110" s="140"/>
      <c r="W110" s="140"/>
      <c r="X110" s="140"/>
      <c r="Y110" s="140"/>
      <c r="Z110" s="140"/>
    </row>
    <row r="111" spans="1:26"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96"/>
      <c r="U111" s="140"/>
      <c r="V111" s="140"/>
      <c r="W111" s="140"/>
      <c r="X111" s="140"/>
      <c r="Y111" s="140"/>
      <c r="Z111" s="140"/>
    </row>
    <row r="112" spans="1:26"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96"/>
      <c r="U112" s="140"/>
      <c r="V112" s="140"/>
      <c r="W112" s="140"/>
      <c r="X112" s="140"/>
      <c r="Y112" s="140"/>
      <c r="Z112" s="140"/>
    </row>
    <row r="113" spans="1:26"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96"/>
      <c r="U113" s="140"/>
      <c r="V113" s="140"/>
      <c r="W113" s="140"/>
      <c r="X113" s="140"/>
      <c r="Y113" s="140"/>
      <c r="Z113" s="140"/>
    </row>
    <row r="114" spans="1:26"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96"/>
      <c r="U114" s="140"/>
      <c r="V114" s="140"/>
      <c r="W114" s="140"/>
      <c r="X114" s="140"/>
      <c r="Y114" s="140"/>
      <c r="Z114" s="140"/>
    </row>
    <row r="115" spans="1:26"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96"/>
      <c r="U115" s="140"/>
      <c r="V115" s="140"/>
      <c r="W115" s="140"/>
      <c r="X115" s="140"/>
      <c r="Y115" s="140"/>
      <c r="Z115" s="140"/>
    </row>
    <row r="116" spans="1:26"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96"/>
      <c r="U116" s="140"/>
      <c r="V116" s="140"/>
      <c r="W116" s="140"/>
      <c r="X116" s="140"/>
      <c r="Y116" s="140"/>
      <c r="Z116" s="140"/>
    </row>
    <row r="117" spans="1:26"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96"/>
      <c r="U117" s="140"/>
      <c r="V117" s="140"/>
      <c r="W117" s="140"/>
      <c r="X117" s="140"/>
      <c r="Y117" s="140"/>
      <c r="Z117" s="140"/>
    </row>
    <row r="118" spans="1:26"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96"/>
      <c r="U118" s="140"/>
      <c r="V118" s="140"/>
      <c r="W118" s="140"/>
      <c r="X118" s="140"/>
      <c r="Y118" s="140"/>
      <c r="Z118" s="140"/>
    </row>
    <row r="119" spans="1:26"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96"/>
      <c r="U119" s="140"/>
      <c r="V119" s="140"/>
      <c r="W119" s="140"/>
      <c r="X119" s="140"/>
      <c r="Y119" s="140"/>
      <c r="Z119" s="140"/>
    </row>
    <row r="120" spans="1:26"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96"/>
      <c r="U120" s="140"/>
      <c r="V120" s="140"/>
      <c r="W120" s="140"/>
      <c r="X120" s="140"/>
      <c r="Y120" s="140"/>
      <c r="Z120" s="140"/>
    </row>
    <row r="121" spans="1:26"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96"/>
      <c r="U121" s="140"/>
      <c r="V121" s="140"/>
      <c r="W121" s="140"/>
      <c r="X121" s="140"/>
      <c r="Y121" s="140"/>
      <c r="Z121" s="140"/>
    </row>
    <row r="122" spans="1:26"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96"/>
      <c r="U122" s="140"/>
      <c r="V122" s="140"/>
      <c r="W122" s="140"/>
      <c r="X122" s="140"/>
      <c r="Y122" s="140"/>
      <c r="Z122" s="140"/>
    </row>
    <row r="123" spans="1:26"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96"/>
      <c r="U123" s="140"/>
      <c r="V123" s="140"/>
      <c r="W123" s="140"/>
      <c r="X123" s="140"/>
      <c r="Y123" s="140"/>
      <c r="Z123" s="140"/>
    </row>
    <row r="124" spans="1:26"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96"/>
      <c r="U124" s="140"/>
      <c r="V124" s="140"/>
      <c r="W124" s="140"/>
      <c r="X124" s="140"/>
      <c r="Y124" s="140"/>
      <c r="Z124" s="140"/>
    </row>
    <row r="125" spans="1:26"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96"/>
      <c r="U125" s="140"/>
      <c r="V125" s="140"/>
      <c r="W125" s="140"/>
      <c r="X125" s="140"/>
      <c r="Y125" s="140"/>
      <c r="Z125" s="140"/>
    </row>
    <row r="126" spans="1:26"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96"/>
      <c r="U126" s="140"/>
      <c r="V126" s="140"/>
      <c r="W126" s="140"/>
      <c r="X126" s="140"/>
      <c r="Y126" s="140"/>
      <c r="Z126" s="140"/>
    </row>
    <row r="127" spans="1:26"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96"/>
      <c r="U127" s="140"/>
      <c r="V127" s="140"/>
      <c r="W127" s="140"/>
      <c r="X127" s="140"/>
      <c r="Y127" s="140"/>
      <c r="Z127" s="140"/>
    </row>
    <row r="128" spans="1:26"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96"/>
      <c r="U128" s="140"/>
      <c r="V128" s="140"/>
      <c r="W128" s="140"/>
      <c r="X128" s="140"/>
      <c r="Y128" s="140"/>
      <c r="Z128" s="140"/>
    </row>
    <row r="129" spans="1:26"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96"/>
      <c r="U129" s="140"/>
      <c r="V129" s="140"/>
      <c r="W129" s="140"/>
      <c r="X129" s="140"/>
      <c r="Y129" s="140"/>
      <c r="Z129" s="140"/>
    </row>
    <row r="130" spans="1:26"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96"/>
      <c r="U130" s="140"/>
      <c r="V130" s="140"/>
      <c r="W130" s="140"/>
      <c r="X130" s="140"/>
      <c r="Y130" s="140"/>
      <c r="Z130" s="140"/>
    </row>
    <row r="131" spans="1:26"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96"/>
      <c r="U131" s="140"/>
      <c r="V131" s="140"/>
      <c r="W131" s="140"/>
      <c r="X131" s="140"/>
      <c r="Y131" s="140"/>
      <c r="Z131" s="140"/>
    </row>
    <row r="132" spans="1:26"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96"/>
      <c r="U132" s="140"/>
      <c r="V132" s="140"/>
      <c r="W132" s="140"/>
      <c r="X132" s="140"/>
      <c r="Y132" s="140"/>
      <c r="Z132" s="140"/>
    </row>
    <row r="133" spans="1:26"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96"/>
      <c r="U133" s="140"/>
      <c r="V133" s="140"/>
      <c r="W133" s="140"/>
      <c r="X133" s="140"/>
      <c r="Y133" s="140"/>
      <c r="Z133" s="140"/>
    </row>
    <row r="134" spans="1:26"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96"/>
      <c r="U134" s="140"/>
      <c r="V134" s="140"/>
      <c r="W134" s="140"/>
      <c r="X134" s="140"/>
      <c r="Y134" s="140"/>
      <c r="Z134" s="140"/>
    </row>
    <row r="135" spans="1:26"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96"/>
      <c r="U135" s="140"/>
      <c r="V135" s="140"/>
      <c r="W135" s="140"/>
      <c r="X135" s="140"/>
      <c r="Y135" s="140"/>
      <c r="Z135" s="140"/>
    </row>
    <row r="136" spans="1:26"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96"/>
      <c r="U136" s="140"/>
      <c r="V136" s="140"/>
      <c r="W136" s="140"/>
      <c r="X136" s="140"/>
      <c r="Y136" s="140"/>
      <c r="Z136" s="140"/>
    </row>
    <row r="137" spans="1:26"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96"/>
      <c r="U137" s="140"/>
      <c r="V137" s="140"/>
      <c r="W137" s="140"/>
      <c r="X137" s="140"/>
      <c r="Y137" s="140"/>
      <c r="Z137" s="140"/>
    </row>
    <row r="138" spans="1:26"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96"/>
      <c r="U138" s="140"/>
      <c r="V138" s="140"/>
      <c r="W138" s="140"/>
      <c r="X138" s="140"/>
      <c r="Y138" s="140"/>
      <c r="Z138" s="140"/>
    </row>
    <row r="139" spans="1:26"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96"/>
      <c r="U139" s="140"/>
      <c r="V139" s="140"/>
      <c r="W139" s="140"/>
      <c r="X139" s="140"/>
      <c r="Y139" s="140"/>
      <c r="Z139" s="140"/>
    </row>
    <row r="140" spans="1:26"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96"/>
      <c r="U140" s="140"/>
      <c r="V140" s="140"/>
      <c r="W140" s="140"/>
      <c r="X140" s="140"/>
      <c r="Y140" s="140"/>
      <c r="Z140" s="140"/>
    </row>
    <row r="141" spans="1:26"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96"/>
      <c r="U141" s="140"/>
      <c r="V141" s="140"/>
      <c r="W141" s="140"/>
      <c r="X141" s="140"/>
      <c r="Y141" s="140"/>
      <c r="Z141" s="140"/>
    </row>
    <row r="142" spans="1:26"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96"/>
      <c r="U142" s="140"/>
      <c r="V142" s="140"/>
      <c r="W142" s="140"/>
      <c r="X142" s="140"/>
      <c r="Y142" s="140"/>
      <c r="Z142" s="140"/>
    </row>
    <row r="143" spans="1:26"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96"/>
      <c r="U143" s="140"/>
      <c r="V143" s="140"/>
      <c r="W143" s="140"/>
      <c r="X143" s="140"/>
      <c r="Y143" s="140"/>
      <c r="Z143" s="140"/>
    </row>
    <row r="144" spans="1:26"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96"/>
      <c r="U144" s="140"/>
      <c r="V144" s="140"/>
      <c r="W144" s="140"/>
      <c r="X144" s="140"/>
      <c r="Y144" s="140"/>
      <c r="Z144" s="140"/>
    </row>
    <row r="145" spans="1:26"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96"/>
      <c r="U145" s="140"/>
      <c r="V145" s="140"/>
      <c r="W145" s="140"/>
      <c r="X145" s="140"/>
      <c r="Y145" s="140"/>
      <c r="Z145" s="140"/>
    </row>
    <row r="146" spans="1:26"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96"/>
      <c r="U146" s="140"/>
      <c r="V146" s="140"/>
      <c r="W146" s="140"/>
      <c r="X146" s="140"/>
      <c r="Y146" s="140"/>
      <c r="Z146" s="140"/>
    </row>
    <row r="147" spans="1:26"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96"/>
      <c r="U147" s="140"/>
      <c r="V147" s="140"/>
      <c r="W147" s="140"/>
      <c r="X147" s="140"/>
      <c r="Y147" s="140"/>
      <c r="Z147" s="140"/>
    </row>
    <row r="148" spans="1:26"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96"/>
      <c r="U148" s="140"/>
      <c r="V148" s="140"/>
      <c r="W148" s="140"/>
      <c r="X148" s="140"/>
      <c r="Y148" s="140"/>
      <c r="Z148" s="140"/>
    </row>
    <row r="149" spans="1:26"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96"/>
      <c r="U149" s="140"/>
      <c r="V149" s="140"/>
      <c r="W149" s="140"/>
      <c r="X149" s="140"/>
      <c r="Y149" s="140"/>
      <c r="Z149" s="140"/>
    </row>
    <row r="150" spans="1:26"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96"/>
      <c r="U150" s="140"/>
      <c r="V150" s="140"/>
      <c r="W150" s="140"/>
      <c r="X150" s="140"/>
      <c r="Y150" s="140"/>
      <c r="Z150" s="140"/>
    </row>
    <row r="151" spans="1:26"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96"/>
      <c r="U151" s="140"/>
      <c r="V151" s="140"/>
      <c r="W151" s="140"/>
      <c r="X151" s="140"/>
      <c r="Y151" s="140"/>
      <c r="Z151" s="140"/>
    </row>
    <row r="152" spans="1:26"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96"/>
      <c r="U152" s="140"/>
      <c r="V152" s="140"/>
      <c r="W152" s="140"/>
      <c r="X152" s="140"/>
      <c r="Y152" s="140"/>
      <c r="Z152" s="140"/>
    </row>
    <row r="153" spans="1:26"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96"/>
      <c r="U153" s="140"/>
      <c r="V153" s="140"/>
      <c r="W153" s="140"/>
      <c r="X153" s="140"/>
      <c r="Y153" s="140"/>
      <c r="Z153" s="140"/>
    </row>
    <row r="154" spans="1:26"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96"/>
      <c r="U154" s="140"/>
      <c r="V154" s="140"/>
      <c r="W154" s="140"/>
      <c r="X154" s="140"/>
      <c r="Y154" s="140"/>
      <c r="Z154" s="140"/>
    </row>
    <row r="155" spans="1:26"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96"/>
      <c r="U155" s="140"/>
      <c r="V155" s="140"/>
      <c r="W155" s="140"/>
      <c r="X155" s="140"/>
      <c r="Y155" s="140"/>
      <c r="Z155" s="140"/>
    </row>
    <row r="156" spans="1:26"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96"/>
      <c r="U156" s="140"/>
      <c r="V156" s="140"/>
      <c r="W156" s="140"/>
      <c r="X156" s="140"/>
      <c r="Y156" s="140"/>
      <c r="Z156" s="140"/>
    </row>
    <row r="157" spans="1:26"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96"/>
      <c r="U157" s="140"/>
      <c r="V157" s="140"/>
      <c r="W157" s="140"/>
      <c r="X157" s="140"/>
      <c r="Y157" s="140"/>
      <c r="Z157" s="140"/>
    </row>
    <row r="158" spans="1:26"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96"/>
      <c r="U158" s="140"/>
      <c r="V158" s="140"/>
      <c r="W158" s="140"/>
      <c r="X158" s="140"/>
      <c r="Y158" s="140"/>
      <c r="Z158" s="140"/>
    </row>
    <row r="159" spans="1:26"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96"/>
      <c r="U159" s="140"/>
      <c r="V159" s="140"/>
      <c r="W159" s="140"/>
      <c r="X159" s="140"/>
      <c r="Y159" s="140"/>
      <c r="Z159" s="140"/>
    </row>
    <row r="160" spans="1:26"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96"/>
      <c r="U160" s="140"/>
      <c r="V160" s="140"/>
      <c r="W160" s="140"/>
      <c r="X160" s="140"/>
      <c r="Y160" s="140"/>
      <c r="Z160" s="140"/>
    </row>
    <row r="161" spans="1:26"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96"/>
      <c r="U161" s="140"/>
      <c r="V161" s="140"/>
      <c r="W161" s="140"/>
      <c r="X161" s="140"/>
      <c r="Y161" s="140"/>
      <c r="Z161" s="140"/>
    </row>
    <row r="162" spans="1:26"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96"/>
      <c r="U162" s="140"/>
      <c r="V162" s="140"/>
      <c r="W162" s="140"/>
      <c r="X162" s="140"/>
      <c r="Y162" s="140"/>
      <c r="Z162" s="140"/>
    </row>
    <row r="163" spans="1:26"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96"/>
      <c r="U163" s="140"/>
      <c r="V163" s="140"/>
      <c r="W163" s="140"/>
      <c r="X163" s="140"/>
      <c r="Y163" s="140"/>
      <c r="Z163" s="140"/>
    </row>
    <row r="164" spans="1:26"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96"/>
      <c r="U164" s="140"/>
      <c r="V164" s="140"/>
      <c r="W164" s="140"/>
      <c r="X164" s="140"/>
      <c r="Y164" s="140"/>
      <c r="Z164" s="140"/>
    </row>
    <row r="165" spans="1:26"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96"/>
      <c r="U165" s="140"/>
      <c r="V165" s="140"/>
      <c r="W165" s="140"/>
      <c r="X165" s="140"/>
      <c r="Y165" s="140"/>
      <c r="Z165" s="140"/>
    </row>
    <row r="166" spans="1:26"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96"/>
      <c r="U166" s="140"/>
      <c r="V166" s="140"/>
      <c r="W166" s="140"/>
      <c r="X166" s="140"/>
      <c r="Y166" s="140"/>
      <c r="Z166" s="140"/>
    </row>
    <row r="167" spans="1:26"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96"/>
      <c r="U167" s="140"/>
      <c r="V167" s="140"/>
      <c r="W167" s="140"/>
      <c r="X167" s="140"/>
      <c r="Y167" s="140"/>
      <c r="Z167" s="140"/>
    </row>
    <row r="168" spans="1:26"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96"/>
      <c r="U168" s="140"/>
      <c r="V168" s="140"/>
      <c r="W168" s="140"/>
      <c r="X168" s="140"/>
      <c r="Y168" s="140"/>
      <c r="Z168" s="140"/>
    </row>
    <row r="169" spans="1:26"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96"/>
      <c r="U169" s="140"/>
      <c r="V169" s="140"/>
      <c r="W169" s="140"/>
      <c r="X169" s="140"/>
      <c r="Y169" s="140"/>
      <c r="Z169" s="140"/>
    </row>
    <row r="170" spans="1:26"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96"/>
      <c r="U170" s="140"/>
      <c r="V170" s="140"/>
      <c r="W170" s="140"/>
      <c r="X170" s="140"/>
      <c r="Y170" s="140"/>
      <c r="Z170" s="140"/>
    </row>
    <row r="171" spans="1:26"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96"/>
      <c r="U171" s="140"/>
      <c r="V171" s="140"/>
      <c r="W171" s="140"/>
      <c r="X171" s="140"/>
      <c r="Y171" s="140"/>
      <c r="Z171" s="140"/>
    </row>
    <row r="172" spans="1:26"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96"/>
      <c r="U172" s="140"/>
      <c r="V172" s="140"/>
      <c r="W172" s="140"/>
      <c r="X172" s="140"/>
      <c r="Y172" s="140"/>
      <c r="Z172" s="140"/>
    </row>
    <row r="173" spans="1:26"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96"/>
      <c r="U173" s="140"/>
      <c r="V173" s="140"/>
      <c r="W173" s="140"/>
      <c r="X173" s="140"/>
      <c r="Y173" s="140"/>
      <c r="Z173" s="140"/>
    </row>
    <row r="174" spans="1:26"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96"/>
      <c r="U174" s="140"/>
      <c r="V174" s="140"/>
      <c r="W174" s="140"/>
      <c r="X174" s="140"/>
      <c r="Y174" s="140"/>
      <c r="Z174" s="140"/>
    </row>
    <row r="175" spans="1:26"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96"/>
      <c r="U175" s="140"/>
      <c r="V175" s="140"/>
      <c r="W175" s="140"/>
      <c r="X175" s="140"/>
      <c r="Y175" s="140"/>
      <c r="Z175" s="140"/>
    </row>
    <row r="176" spans="1:26"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96"/>
      <c r="U176" s="140"/>
      <c r="V176" s="140"/>
      <c r="W176" s="140"/>
      <c r="X176" s="140"/>
      <c r="Y176" s="140"/>
      <c r="Z176" s="140"/>
    </row>
    <row r="177" spans="1:26"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96"/>
      <c r="U177" s="140"/>
      <c r="V177" s="140"/>
      <c r="W177" s="140"/>
      <c r="X177" s="140"/>
      <c r="Y177" s="140"/>
      <c r="Z177" s="140"/>
    </row>
    <row r="178" spans="1:26"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96"/>
      <c r="U178" s="140"/>
      <c r="V178" s="140"/>
      <c r="W178" s="140"/>
      <c r="X178" s="140"/>
      <c r="Y178" s="140"/>
      <c r="Z178" s="140"/>
    </row>
    <row r="179" spans="1:26"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96"/>
      <c r="U179" s="140"/>
      <c r="V179" s="140"/>
      <c r="W179" s="140"/>
      <c r="X179" s="140"/>
      <c r="Y179" s="140"/>
      <c r="Z179" s="140"/>
    </row>
    <row r="180" spans="1:26"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96"/>
      <c r="U180" s="140"/>
      <c r="V180" s="140"/>
      <c r="W180" s="140"/>
      <c r="X180" s="140"/>
      <c r="Y180" s="140"/>
      <c r="Z180" s="140"/>
    </row>
    <row r="181" spans="1:26"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96"/>
      <c r="U181" s="140"/>
      <c r="V181" s="140"/>
      <c r="W181" s="140"/>
      <c r="X181" s="140"/>
      <c r="Y181" s="140"/>
      <c r="Z181" s="140"/>
    </row>
    <row r="182" spans="1:26"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96"/>
      <c r="U182" s="140"/>
      <c r="V182" s="140"/>
      <c r="W182" s="140"/>
      <c r="X182" s="140"/>
      <c r="Y182" s="140"/>
      <c r="Z182" s="140"/>
    </row>
    <row r="183" spans="1:26"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96"/>
      <c r="U183" s="140"/>
      <c r="V183" s="140"/>
      <c r="W183" s="140"/>
      <c r="X183" s="140"/>
      <c r="Y183" s="140"/>
      <c r="Z183" s="140"/>
    </row>
    <row r="184" spans="1:26"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96"/>
      <c r="U184" s="140"/>
      <c r="V184" s="140"/>
      <c r="W184" s="140"/>
      <c r="X184" s="140"/>
      <c r="Y184" s="140"/>
      <c r="Z184" s="140"/>
    </row>
    <row r="185" spans="1:26"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96"/>
      <c r="U185" s="140"/>
      <c r="V185" s="140"/>
      <c r="W185" s="140"/>
      <c r="X185" s="140"/>
      <c r="Y185" s="140"/>
      <c r="Z185" s="140"/>
    </row>
    <row r="186" spans="1:26"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96"/>
      <c r="U186" s="140"/>
      <c r="V186" s="140"/>
      <c r="W186" s="140"/>
      <c r="X186" s="140"/>
      <c r="Y186" s="140"/>
      <c r="Z186" s="140"/>
    </row>
    <row r="187" spans="1:26"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96"/>
      <c r="U187" s="140"/>
      <c r="V187" s="140"/>
      <c r="W187" s="140"/>
      <c r="X187" s="140"/>
      <c r="Y187" s="140"/>
      <c r="Z187" s="140"/>
    </row>
    <row r="188" spans="1:26"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96"/>
      <c r="U188" s="140"/>
      <c r="V188" s="140"/>
      <c r="W188" s="140"/>
      <c r="X188" s="140"/>
      <c r="Y188" s="140"/>
      <c r="Z188" s="140"/>
    </row>
    <row r="189" spans="1:26"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96"/>
      <c r="U189" s="140"/>
      <c r="V189" s="140"/>
      <c r="W189" s="140"/>
      <c r="X189" s="140"/>
      <c r="Y189" s="140"/>
      <c r="Z189" s="140"/>
    </row>
    <row r="190" spans="1:26"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96"/>
      <c r="U190" s="140"/>
      <c r="V190" s="140"/>
      <c r="W190" s="140"/>
      <c r="X190" s="140"/>
      <c r="Y190" s="140"/>
      <c r="Z190" s="140"/>
    </row>
    <row r="191" spans="1:26"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96"/>
      <c r="U191" s="140"/>
      <c r="V191" s="140"/>
      <c r="W191" s="140"/>
      <c r="X191" s="140"/>
      <c r="Y191" s="140"/>
      <c r="Z191" s="140"/>
    </row>
    <row r="192" spans="1:26"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96"/>
      <c r="U192" s="140"/>
      <c r="V192" s="140"/>
      <c r="W192" s="140"/>
      <c r="X192" s="140"/>
      <c r="Y192" s="140"/>
      <c r="Z192" s="140"/>
    </row>
    <row r="193" spans="1:26"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96"/>
      <c r="U193" s="140"/>
      <c r="V193" s="140"/>
      <c r="W193" s="140"/>
      <c r="X193" s="140"/>
      <c r="Y193" s="140"/>
      <c r="Z193" s="140"/>
    </row>
    <row r="194" spans="1:26"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96"/>
      <c r="U194" s="140"/>
      <c r="V194" s="140"/>
      <c r="W194" s="140"/>
      <c r="X194" s="140"/>
      <c r="Y194" s="140"/>
      <c r="Z194" s="140"/>
    </row>
    <row r="195" spans="1:26"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96"/>
      <c r="U195" s="140"/>
      <c r="V195" s="140"/>
      <c r="W195" s="140"/>
      <c r="X195" s="140"/>
      <c r="Y195" s="140"/>
      <c r="Z195" s="140"/>
    </row>
    <row r="196" spans="1:26"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96"/>
      <c r="U196" s="140"/>
      <c r="V196" s="140"/>
      <c r="W196" s="140"/>
      <c r="X196" s="140"/>
      <c r="Y196" s="140"/>
      <c r="Z196" s="140"/>
    </row>
    <row r="197" spans="1:26"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96"/>
      <c r="U197" s="140"/>
      <c r="V197" s="140"/>
      <c r="W197" s="140"/>
      <c r="X197" s="140"/>
      <c r="Y197" s="140"/>
      <c r="Z197" s="140"/>
    </row>
    <row r="198" spans="1:26"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96"/>
      <c r="U198" s="140"/>
      <c r="V198" s="140"/>
      <c r="W198" s="140"/>
      <c r="X198" s="140"/>
      <c r="Y198" s="140"/>
      <c r="Z198" s="140"/>
    </row>
    <row r="199" spans="1:26"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96"/>
      <c r="U199" s="140"/>
      <c r="V199" s="140"/>
      <c r="W199" s="140"/>
      <c r="X199" s="140"/>
      <c r="Y199" s="140"/>
      <c r="Z199" s="140"/>
    </row>
    <row r="200" spans="1:26"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96"/>
      <c r="U200" s="140"/>
      <c r="V200" s="140"/>
      <c r="W200" s="140"/>
      <c r="X200" s="140"/>
      <c r="Y200" s="140"/>
      <c r="Z200" s="140"/>
    </row>
    <row r="201" spans="1:26"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96"/>
      <c r="U201" s="140"/>
      <c r="V201" s="140"/>
      <c r="W201" s="140"/>
      <c r="X201" s="140"/>
      <c r="Y201" s="140"/>
      <c r="Z201" s="140"/>
    </row>
    <row r="202" spans="1:26"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96"/>
      <c r="U202" s="140"/>
      <c r="V202" s="140"/>
      <c r="W202" s="140"/>
      <c r="X202" s="140"/>
      <c r="Y202" s="140"/>
      <c r="Z202" s="140"/>
    </row>
    <row r="203" spans="1:26"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96"/>
      <c r="U203" s="140"/>
      <c r="V203" s="140"/>
      <c r="W203" s="140"/>
      <c r="X203" s="140"/>
      <c r="Y203" s="140"/>
      <c r="Z203" s="140"/>
    </row>
    <row r="204" spans="1:26"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96"/>
      <c r="U204" s="140"/>
      <c r="V204" s="140"/>
      <c r="W204" s="140"/>
      <c r="X204" s="140"/>
      <c r="Y204" s="140"/>
      <c r="Z204" s="140"/>
    </row>
    <row r="205" spans="1:26"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96"/>
      <c r="U205" s="140"/>
      <c r="V205" s="140"/>
      <c r="W205" s="140"/>
      <c r="X205" s="140"/>
      <c r="Y205" s="140"/>
      <c r="Z205" s="140"/>
    </row>
    <row r="206" spans="1:26"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96"/>
      <c r="U206" s="140"/>
      <c r="V206" s="140"/>
      <c r="W206" s="140"/>
      <c r="X206" s="140"/>
      <c r="Y206" s="140"/>
      <c r="Z206" s="140"/>
    </row>
    <row r="207" spans="1:26"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96"/>
      <c r="U207" s="140"/>
      <c r="V207" s="140"/>
      <c r="W207" s="140"/>
      <c r="X207" s="140"/>
      <c r="Y207" s="140"/>
      <c r="Z207" s="140"/>
    </row>
    <row r="208" spans="1:26"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96"/>
      <c r="U208" s="140"/>
      <c r="V208" s="140"/>
      <c r="W208" s="140"/>
      <c r="X208" s="140"/>
      <c r="Y208" s="140"/>
      <c r="Z208" s="140"/>
    </row>
    <row r="209" spans="1:26"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96"/>
      <c r="U209" s="140"/>
      <c r="V209" s="140"/>
      <c r="W209" s="140"/>
      <c r="X209" s="140"/>
      <c r="Y209" s="140"/>
      <c r="Z209" s="140"/>
    </row>
    <row r="210" spans="1:26"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96"/>
      <c r="U210" s="140"/>
      <c r="V210" s="140"/>
      <c r="W210" s="140"/>
      <c r="X210" s="140"/>
      <c r="Y210" s="140"/>
      <c r="Z210" s="140"/>
    </row>
    <row r="211" spans="1:26"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96"/>
      <c r="U211" s="140"/>
      <c r="V211" s="140"/>
      <c r="W211" s="140"/>
      <c r="X211" s="140"/>
      <c r="Y211" s="140"/>
      <c r="Z211" s="140"/>
    </row>
    <row r="212" spans="1:26"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96"/>
      <c r="U212" s="140"/>
      <c r="V212" s="140"/>
      <c r="W212" s="140"/>
      <c r="X212" s="140"/>
      <c r="Y212" s="140"/>
      <c r="Z212" s="140"/>
    </row>
    <row r="213" spans="1:26"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96"/>
      <c r="U213" s="140"/>
      <c r="V213" s="140"/>
      <c r="W213" s="140"/>
      <c r="X213" s="140"/>
      <c r="Y213" s="140"/>
      <c r="Z213" s="140"/>
    </row>
    <row r="214" spans="1:26"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96"/>
      <c r="U214" s="140"/>
      <c r="V214" s="140"/>
      <c r="W214" s="140"/>
      <c r="X214" s="140"/>
      <c r="Y214" s="140"/>
      <c r="Z214" s="140"/>
    </row>
    <row r="215" spans="1:26"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96"/>
      <c r="U215" s="140"/>
      <c r="V215" s="140"/>
      <c r="W215" s="140"/>
      <c r="X215" s="140"/>
      <c r="Y215" s="140"/>
      <c r="Z215" s="140"/>
    </row>
    <row r="216" spans="1:26"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96"/>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96"/>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96"/>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96"/>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96"/>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96"/>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96"/>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96"/>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96"/>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96"/>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96"/>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96"/>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96"/>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96"/>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96"/>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96"/>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96"/>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96"/>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96"/>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96"/>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96"/>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96"/>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96"/>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96"/>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96"/>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96"/>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96"/>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96"/>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96"/>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96"/>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96"/>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96"/>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96"/>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96"/>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96"/>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96"/>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96"/>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96"/>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96"/>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96"/>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96"/>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96"/>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96"/>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96"/>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96"/>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96"/>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96"/>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96"/>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96"/>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96"/>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96"/>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96"/>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96"/>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96"/>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96"/>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96"/>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96"/>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96"/>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96"/>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96"/>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96"/>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96"/>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96"/>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96"/>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96"/>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96"/>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96"/>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96"/>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96"/>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96"/>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96"/>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96"/>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96"/>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96"/>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96"/>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96"/>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96"/>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96"/>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96"/>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96"/>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96"/>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96"/>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96"/>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96"/>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96"/>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96"/>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96"/>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96"/>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96"/>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96"/>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96"/>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96"/>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96"/>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96"/>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96"/>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96"/>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96"/>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96"/>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96"/>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96"/>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96"/>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96"/>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96"/>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96"/>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96"/>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96"/>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96"/>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96"/>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96"/>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96"/>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96"/>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96"/>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96"/>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96"/>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96"/>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96"/>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96"/>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96"/>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96"/>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96"/>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96"/>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96"/>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96"/>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96"/>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96"/>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96"/>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96"/>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96"/>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96"/>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96"/>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96"/>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96"/>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96"/>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96"/>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96"/>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96"/>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96"/>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96"/>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96"/>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96"/>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96"/>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96"/>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96"/>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96"/>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96"/>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96"/>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96"/>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96"/>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96"/>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96"/>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96"/>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96"/>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96"/>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96"/>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96"/>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96"/>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96"/>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96"/>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96"/>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96"/>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96"/>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96"/>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96"/>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96"/>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96"/>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96"/>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96"/>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96"/>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96"/>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96"/>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96"/>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96"/>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96"/>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96"/>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96"/>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96"/>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96"/>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96"/>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96"/>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96"/>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96"/>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96"/>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96"/>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96"/>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96"/>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96"/>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96"/>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96"/>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96"/>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96"/>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96"/>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96"/>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96"/>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96"/>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96"/>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96"/>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96"/>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96"/>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96"/>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96"/>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96"/>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96"/>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96"/>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96"/>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96"/>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96"/>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96"/>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96"/>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96"/>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96"/>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96"/>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96"/>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96"/>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96"/>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96"/>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96"/>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96"/>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96"/>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96"/>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96"/>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96"/>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96"/>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96"/>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96"/>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96"/>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96"/>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96"/>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96"/>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96"/>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96"/>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96"/>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96"/>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96"/>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96"/>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96"/>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96"/>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96"/>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96"/>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96"/>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96"/>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96"/>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96"/>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96"/>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96"/>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96"/>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96"/>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96"/>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96"/>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96"/>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96"/>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96"/>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96"/>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96"/>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96"/>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96"/>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96"/>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96"/>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96"/>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96"/>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96"/>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96"/>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96"/>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96"/>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96"/>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96"/>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96"/>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96"/>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96"/>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96"/>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96"/>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96"/>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96"/>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96"/>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96"/>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96"/>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96"/>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96"/>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96"/>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96"/>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96"/>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96"/>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96"/>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96"/>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96"/>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96"/>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96"/>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96"/>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96"/>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96"/>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96"/>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96"/>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96"/>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96"/>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96"/>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96"/>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96"/>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96"/>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96"/>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96"/>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96"/>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96"/>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96"/>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96"/>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96"/>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96"/>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96"/>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96"/>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96"/>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96"/>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96"/>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96"/>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96"/>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96"/>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96"/>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96"/>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96"/>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96"/>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96"/>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96"/>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96"/>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96"/>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96"/>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96"/>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96"/>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96"/>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96"/>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96"/>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96"/>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96"/>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96"/>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96"/>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96"/>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96"/>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96"/>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96"/>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96"/>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96"/>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96"/>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96"/>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96"/>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96"/>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96"/>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96"/>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96"/>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96"/>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96"/>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96"/>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96"/>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96"/>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96"/>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96"/>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96"/>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96"/>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96"/>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96"/>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96"/>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96"/>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96"/>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96"/>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96"/>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96"/>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96"/>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96"/>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96"/>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96"/>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96"/>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96"/>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96"/>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96"/>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96"/>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96"/>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96"/>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96"/>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96"/>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96"/>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96"/>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96"/>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96"/>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96"/>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96"/>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96"/>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96"/>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96"/>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96"/>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96"/>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96"/>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96"/>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96"/>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96"/>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96"/>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96"/>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96"/>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96"/>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96"/>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96"/>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96"/>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96"/>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96"/>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96"/>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96"/>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96"/>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96"/>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96"/>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96"/>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96"/>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96"/>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96"/>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96"/>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96"/>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96"/>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96"/>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96"/>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96"/>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96"/>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96"/>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96"/>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96"/>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96"/>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96"/>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96"/>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96"/>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96"/>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96"/>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96"/>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96"/>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96"/>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96"/>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96"/>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96"/>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96"/>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96"/>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96"/>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96"/>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96"/>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96"/>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96"/>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96"/>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96"/>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96"/>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96"/>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96"/>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96"/>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96"/>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96"/>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96"/>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96"/>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96"/>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96"/>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96"/>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96"/>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96"/>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96"/>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96"/>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96"/>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96"/>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96"/>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96"/>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96"/>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96"/>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96"/>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96"/>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96"/>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96"/>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96"/>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96"/>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96"/>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96"/>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96"/>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96"/>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96"/>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96"/>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96"/>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96"/>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96"/>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96"/>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96"/>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96"/>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96"/>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96"/>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96"/>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96"/>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96"/>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96"/>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96"/>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96"/>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96"/>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96"/>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96"/>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96"/>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96"/>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96"/>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96"/>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96"/>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96"/>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96"/>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96"/>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96"/>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96"/>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96"/>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96"/>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96"/>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96"/>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96"/>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96"/>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96"/>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96"/>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96"/>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96"/>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96"/>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96"/>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96"/>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96"/>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96"/>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96"/>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96"/>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96"/>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96"/>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96"/>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96"/>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96"/>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96"/>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96"/>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96"/>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96"/>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96"/>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96"/>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96"/>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96"/>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96"/>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96"/>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96"/>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96"/>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96"/>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96"/>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96"/>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96"/>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96"/>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96"/>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96"/>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96"/>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96"/>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96"/>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96"/>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96"/>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96"/>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96"/>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96"/>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96"/>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96"/>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96"/>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96"/>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96"/>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96"/>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96"/>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96"/>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96"/>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96"/>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96"/>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96"/>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96"/>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96"/>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96"/>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96"/>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96"/>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96"/>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96"/>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96"/>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96"/>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96"/>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96"/>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96"/>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96"/>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96"/>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96"/>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96"/>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96"/>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96"/>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96"/>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96"/>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96"/>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96"/>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96"/>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96"/>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96"/>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96"/>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96"/>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96"/>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96"/>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96"/>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96"/>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96"/>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96"/>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96"/>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96"/>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96"/>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96"/>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96"/>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96"/>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96"/>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96"/>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96"/>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96"/>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96"/>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96"/>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96"/>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96"/>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96"/>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96"/>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96"/>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96"/>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96"/>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96"/>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96"/>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96"/>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96"/>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96"/>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96"/>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96"/>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96"/>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96"/>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96"/>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96"/>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96"/>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96"/>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96"/>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96"/>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96"/>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96"/>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96"/>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96"/>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96"/>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96"/>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96"/>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96"/>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96"/>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96"/>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96"/>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96"/>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96"/>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96"/>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96"/>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96"/>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96"/>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96"/>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96"/>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96"/>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96"/>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96"/>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96"/>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96"/>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96"/>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96"/>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96"/>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96"/>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96"/>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96"/>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96"/>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96"/>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96"/>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96"/>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96"/>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96"/>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96"/>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96"/>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96"/>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96"/>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96"/>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96"/>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96"/>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96"/>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96"/>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96"/>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96"/>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96"/>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96"/>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96"/>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96"/>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96"/>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96"/>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96"/>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96"/>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96"/>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96"/>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96"/>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96"/>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96"/>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96"/>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96"/>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96"/>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96"/>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96"/>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96"/>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96"/>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96"/>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96"/>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96"/>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96"/>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96"/>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96"/>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96"/>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96"/>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96"/>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96"/>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96"/>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96"/>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96"/>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96"/>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96"/>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96"/>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96"/>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96"/>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96"/>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96"/>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96"/>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96"/>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96"/>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96"/>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96"/>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96"/>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96"/>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96"/>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96"/>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96"/>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96"/>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96"/>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96"/>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96"/>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96"/>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96"/>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96"/>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96"/>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96"/>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96"/>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96"/>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96"/>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96"/>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96"/>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96"/>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96"/>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96"/>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96"/>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96"/>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96"/>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96"/>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96"/>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96"/>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96"/>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96"/>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96"/>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96"/>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96"/>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96"/>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96"/>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96"/>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96"/>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96"/>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96"/>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96"/>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96"/>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96"/>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96"/>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96"/>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96"/>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96"/>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96"/>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96"/>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96"/>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96"/>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96"/>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96"/>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96"/>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96"/>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96"/>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96"/>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96"/>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96"/>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96"/>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96"/>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96"/>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96"/>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96"/>
      <c r="U996" s="140"/>
      <c r="V996" s="140"/>
      <c r="W996" s="140"/>
      <c r="X996" s="140"/>
      <c r="Y996" s="140"/>
      <c r="Z996" s="140"/>
    </row>
    <row r="997" spans="1:26" ht="15.75" customHeight="1" x14ac:dyDescent="0.25">
      <c r="A997" s="140"/>
      <c r="B997" s="140"/>
      <c r="C997" s="140"/>
      <c r="D997" s="140"/>
      <c r="E997" s="140"/>
      <c r="F997" s="140"/>
      <c r="G997" s="140"/>
      <c r="H997" s="140"/>
      <c r="I997" s="140"/>
      <c r="J997" s="140"/>
      <c r="K997" s="140"/>
      <c r="L997" s="140"/>
      <c r="M997" s="140"/>
      <c r="N997" s="140"/>
      <c r="O997" s="140"/>
      <c r="P997" s="140"/>
      <c r="Q997" s="140"/>
      <c r="R997" s="140"/>
      <c r="S997" s="140"/>
      <c r="T997" s="196"/>
      <c r="U997" s="140"/>
      <c r="V997" s="140"/>
      <c r="W997" s="140"/>
      <c r="X997" s="140"/>
      <c r="Y997" s="140"/>
      <c r="Z997" s="140"/>
    </row>
    <row r="998" spans="1:26" ht="15.75" customHeight="1" x14ac:dyDescent="0.25">
      <c r="A998" s="140"/>
      <c r="B998" s="140"/>
      <c r="C998" s="140"/>
      <c r="D998" s="140"/>
      <c r="E998" s="140"/>
      <c r="F998" s="140"/>
      <c r="G998" s="140"/>
      <c r="H998" s="140"/>
      <c r="I998" s="140"/>
      <c r="J998" s="140"/>
      <c r="K998" s="140"/>
      <c r="L998" s="140"/>
      <c r="M998" s="140"/>
      <c r="N998" s="140"/>
      <c r="O998" s="140"/>
      <c r="P998" s="140"/>
      <c r="Q998" s="140"/>
      <c r="R998" s="140"/>
      <c r="S998" s="140"/>
      <c r="T998" s="196"/>
      <c r="U998" s="140"/>
      <c r="V998" s="140"/>
      <c r="W998" s="140"/>
      <c r="X998" s="140"/>
      <c r="Y998" s="140"/>
      <c r="Z998" s="140"/>
    </row>
    <row r="999" spans="1:26" ht="15.75" customHeight="1" x14ac:dyDescent="0.25">
      <c r="A999" s="140"/>
      <c r="B999" s="140"/>
      <c r="C999" s="140"/>
      <c r="D999" s="140"/>
      <c r="E999" s="140"/>
      <c r="F999" s="140"/>
      <c r="G999" s="140"/>
      <c r="H999" s="140"/>
      <c r="I999" s="140"/>
      <c r="J999" s="140"/>
      <c r="K999" s="140"/>
      <c r="L999" s="140"/>
      <c r="M999" s="140"/>
      <c r="N999" s="140"/>
      <c r="O999" s="140"/>
      <c r="P999" s="140"/>
      <c r="Q999" s="140"/>
      <c r="R999" s="140"/>
      <c r="S999" s="140"/>
      <c r="T999" s="196"/>
      <c r="U999" s="140"/>
      <c r="V999" s="140"/>
      <c r="W999" s="140"/>
      <c r="X999" s="140"/>
      <c r="Y999" s="140"/>
      <c r="Z999" s="140"/>
    </row>
    <row r="1000" spans="1:26" ht="15.75" customHeight="1" x14ac:dyDescent="0.25">
      <c r="A1000" s="140"/>
      <c r="B1000" s="140"/>
      <c r="C1000" s="140"/>
      <c r="D1000" s="140"/>
      <c r="E1000" s="140"/>
      <c r="F1000" s="140"/>
      <c r="G1000" s="140"/>
      <c r="H1000" s="140"/>
      <c r="I1000" s="140"/>
      <c r="J1000" s="140"/>
      <c r="K1000" s="140"/>
      <c r="L1000" s="140"/>
      <c r="M1000" s="140"/>
      <c r="N1000" s="140"/>
      <c r="O1000" s="140"/>
      <c r="P1000" s="140"/>
      <c r="Q1000" s="140"/>
      <c r="R1000" s="140"/>
      <c r="S1000" s="140"/>
      <c r="T1000" s="196"/>
      <c r="U1000" s="140"/>
      <c r="V1000" s="140"/>
      <c r="W1000" s="140"/>
      <c r="X1000" s="140"/>
      <c r="Y1000" s="140"/>
      <c r="Z1000" s="140"/>
    </row>
  </sheetData>
  <mergeCells count="24">
    <mergeCell ref="A2:R3"/>
    <mergeCell ref="A4:A6"/>
    <mergeCell ref="B4:B6"/>
    <mergeCell ref="C4:C6"/>
    <mergeCell ref="D4:D6"/>
    <mergeCell ref="E4:E6"/>
    <mergeCell ref="F4:F6"/>
    <mergeCell ref="I4:I6"/>
    <mergeCell ref="G4:G6"/>
    <mergeCell ref="H4:H6"/>
    <mergeCell ref="A9:E9"/>
    <mergeCell ref="G12:J12"/>
    <mergeCell ref="M12:P12"/>
    <mergeCell ref="C13:E13"/>
    <mergeCell ref="G13:J13"/>
    <mergeCell ref="E19:G19"/>
    <mergeCell ref="M19:P19"/>
    <mergeCell ref="A13:B13"/>
    <mergeCell ref="A14:B14"/>
    <mergeCell ref="A15:B15"/>
    <mergeCell ref="A16:B16"/>
    <mergeCell ref="C18:E18"/>
    <mergeCell ref="G18:J18"/>
    <mergeCell ref="B19:C19"/>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993"/>
  <sheetViews>
    <sheetView showGridLines="0" zoomScale="75" zoomScaleNormal="75" workbookViewId="0">
      <pane xSplit="6" ySplit="10" topLeftCell="AK28" activePane="bottomRight" state="frozen"/>
      <selection pane="topRight" activeCell="G1" sqref="G1"/>
      <selection pane="bottomLeft" activeCell="A11" sqref="A11"/>
      <selection pane="bottomRight" activeCell="AQ29" sqref="AQ29"/>
    </sheetView>
  </sheetViews>
  <sheetFormatPr defaultColWidth="12.6640625" defaultRowHeight="15" customHeight="1" x14ac:dyDescent="0.25"/>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0" max="10" width="14.44140625" bestFit="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s>
  <sheetData>
    <row r="1" spans="1:50" ht="27.75" customHeight="1" x14ac:dyDescent="0.25">
      <c r="A1" s="641"/>
      <c r="B1" s="509"/>
      <c r="C1" s="563" t="s">
        <v>327</v>
      </c>
      <c r="D1" s="509"/>
      <c r="E1" s="509"/>
      <c r="F1" s="509"/>
      <c r="G1" s="509"/>
      <c r="H1" s="509"/>
      <c r="I1" s="509"/>
      <c r="J1" s="509"/>
      <c r="K1" s="509"/>
      <c r="L1" s="642" t="s">
        <v>406</v>
      </c>
      <c r="M1" s="509"/>
      <c r="N1" s="509"/>
      <c r="O1" s="509"/>
      <c r="P1" s="509"/>
      <c r="Q1" s="509"/>
      <c r="R1" s="509"/>
      <c r="S1" s="509"/>
      <c r="T1" s="509"/>
      <c r="U1" s="509"/>
      <c r="V1" s="509"/>
      <c r="W1" s="509"/>
      <c r="X1" s="509"/>
      <c r="Y1" s="509"/>
      <c r="Z1" s="509"/>
      <c r="AA1" s="509"/>
      <c r="AB1" s="509"/>
      <c r="AC1" s="509"/>
      <c r="AD1" s="509"/>
      <c r="AE1" s="509"/>
      <c r="AF1" s="509"/>
      <c r="AG1" s="509"/>
      <c r="AH1" s="509"/>
      <c r="AI1" s="509"/>
      <c r="AJ1" s="509"/>
      <c r="AK1" s="643"/>
      <c r="AL1" s="509"/>
      <c r="AM1" s="202"/>
      <c r="AN1" s="202"/>
      <c r="AO1" s="202"/>
      <c r="AP1" s="202"/>
      <c r="AQ1" s="202"/>
      <c r="AR1" s="202"/>
      <c r="AS1" s="202"/>
      <c r="AT1" s="202"/>
      <c r="AU1" s="202"/>
      <c r="AV1" s="202"/>
      <c r="AW1" s="202"/>
    </row>
    <row r="2" spans="1:50" ht="34.5" customHeight="1" x14ac:dyDescent="0.25">
      <c r="A2" s="509"/>
      <c r="B2" s="509"/>
      <c r="C2" s="509"/>
      <c r="D2" s="509"/>
      <c r="E2" s="509"/>
      <c r="F2" s="509"/>
      <c r="G2" s="509"/>
      <c r="H2" s="509"/>
      <c r="I2" s="509"/>
      <c r="J2" s="509"/>
      <c r="K2" s="509"/>
      <c r="L2" s="509"/>
      <c r="M2" s="509"/>
      <c r="N2" s="509"/>
      <c r="O2" s="509"/>
      <c r="P2" s="509"/>
      <c r="Q2" s="509"/>
      <c r="R2" s="509"/>
      <c r="S2" s="509"/>
      <c r="T2" s="509"/>
      <c r="U2" s="509"/>
      <c r="V2" s="509"/>
      <c r="W2" s="509"/>
      <c r="X2" s="509"/>
      <c r="Y2" s="509"/>
      <c r="Z2" s="509"/>
      <c r="AA2" s="509"/>
      <c r="AB2" s="509"/>
      <c r="AC2" s="509"/>
      <c r="AD2" s="509"/>
      <c r="AE2" s="509"/>
      <c r="AF2" s="509"/>
      <c r="AG2" s="509"/>
      <c r="AH2" s="509"/>
      <c r="AI2" s="509"/>
      <c r="AJ2" s="509"/>
      <c r="AK2" s="509"/>
      <c r="AL2" s="509"/>
      <c r="AM2" s="202"/>
      <c r="AN2" s="202"/>
      <c r="AO2" s="202"/>
      <c r="AP2" s="202"/>
      <c r="AQ2" s="202"/>
      <c r="AR2" s="202"/>
      <c r="AS2" s="202"/>
      <c r="AT2" s="202"/>
      <c r="AU2" s="202"/>
      <c r="AV2" s="202"/>
      <c r="AW2" s="202"/>
    </row>
    <row r="3" spans="1:50" ht="36" customHeight="1" x14ac:dyDescent="0.25">
      <c r="A3" s="509"/>
      <c r="B3" s="509"/>
      <c r="C3" s="509"/>
      <c r="D3" s="509"/>
      <c r="E3" s="509"/>
      <c r="F3" s="509"/>
      <c r="G3" s="509"/>
      <c r="H3" s="509"/>
      <c r="I3" s="509"/>
      <c r="J3" s="509"/>
      <c r="K3" s="509"/>
      <c r="N3" s="203"/>
      <c r="AE3" s="190"/>
      <c r="AH3" s="445"/>
      <c r="AM3" s="201"/>
      <c r="AN3" s="201"/>
      <c r="AO3" s="201"/>
      <c r="AP3" s="201"/>
      <c r="AQ3" s="201"/>
      <c r="AR3" s="201"/>
      <c r="AS3" s="201"/>
      <c r="AT3" s="201"/>
      <c r="AU3" s="204"/>
      <c r="AV3" s="201"/>
      <c r="AW3" s="201"/>
    </row>
    <row r="4" spans="1:50" ht="27" customHeight="1" x14ac:dyDescent="0.25">
      <c r="A4" s="627" t="s">
        <v>165</v>
      </c>
      <c r="B4" s="551"/>
      <c r="C4" s="551"/>
      <c r="D4" s="551"/>
      <c r="E4" s="551"/>
      <c r="F4" s="552"/>
      <c r="G4" s="205">
        <f>'3. BẢNG CHẤM CÔNG'!$AU$11</f>
        <v>23</v>
      </c>
      <c r="H4" s="206"/>
      <c r="I4" s="206"/>
      <c r="J4" s="206"/>
      <c r="K4" s="206"/>
      <c r="L4" s="206"/>
      <c r="M4" s="206"/>
      <c r="N4" s="207"/>
      <c r="O4" s="206"/>
      <c r="P4" s="206"/>
      <c r="Q4" s="206"/>
      <c r="R4" s="206"/>
      <c r="S4" s="206"/>
      <c r="T4" s="206"/>
      <c r="U4" s="206"/>
      <c r="V4" s="206"/>
      <c r="W4" s="208"/>
      <c r="X4" s="206"/>
      <c r="Y4" s="206"/>
      <c r="Z4" s="206"/>
      <c r="AA4" s="206"/>
      <c r="AB4" s="206"/>
      <c r="AC4" s="206"/>
      <c r="AD4" s="206"/>
      <c r="AE4" s="206"/>
      <c r="AF4" s="206"/>
      <c r="AG4" s="206"/>
      <c r="AH4" s="206"/>
      <c r="AI4" s="206"/>
      <c r="AJ4" s="209"/>
      <c r="AK4" s="206"/>
      <c r="AL4" s="206"/>
      <c r="AM4" s="206"/>
      <c r="AN4" s="206"/>
      <c r="AO4" s="206"/>
      <c r="AP4" s="206"/>
      <c r="AQ4" s="206"/>
      <c r="AR4" s="206"/>
      <c r="AS4" s="206"/>
      <c r="AT4" s="206"/>
      <c r="AU4" s="209"/>
      <c r="AV4" s="206"/>
      <c r="AW4" s="210"/>
    </row>
    <row r="5" spans="1:50" ht="45.75" customHeight="1" x14ac:dyDescent="0.25">
      <c r="A5" s="588" t="s">
        <v>166</v>
      </c>
      <c r="B5" s="588" t="s">
        <v>167</v>
      </c>
      <c r="C5" s="588" t="s">
        <v>41</v>
      </c>
      <c r="D5" s="588" t="s">
        <v>129</v>
      </c>
      <c r="E5" s="588" t="s">
        <v>168</v>
      </c>
      <c r="F5" s="588" t="s">
        <v>169</v>
      </c>
      <c r="G5" s="627" t="s">
        <v>170</v>
      </c>
      <c r="H5" s="551"/>
      <c r="I5" s="551"/>
      <c r="J5" s="551"/>
      <c r="K5" s="551"/>
      <c r="L5" s="552"/>
      <c r="M5" s="627" t="s">
        <v>171</v>
      </c>
      <c r="N5" s="551"/>
      <c r="O5" s="552"/>
      <c r="P5" s="628" t="s">
        <v>172</v>
      </c>
      <c r="Q5" s="629"/>
      <c r="R5" s="629"/>
      <c r="S5" s="630"/>
      <c r="T5" s="627" t="s">
        <v>173</v>
      </c>
      <c r="U5" s="551"/>
      <c r="V5" s="552"/>
      <c r="W5" s="627" t="s">
        <v>174</v>
      </c>
      <c r="X5" s="551"/>
      <c r="Y5" s="551"/>
      <c r="Z5" s="551"/>
      <c r="AA5" s="551"/>
      <c r="AB5" s="551"/>
      <c r="AC5" s="551"/>
      <c r="AD5" s="552"/>
      <c r="AE5" s="588" t="s">
        <v>136</v>
      </c>
      <c r="AF5" s="588" t="s">
        <v>175</v>
      </c>
      <c r="AG5" s="627" t="s">
        <v>176</v>
      </c>
      <c r="AH5" s="551"/>
      <c r="AI5" s="551"/>
      <c r="AJ5" s="551"/>
      <c r="AK5" s="551"/>
      <c r="AL5" s="551"/>
      <c r="AM5" s="551"/>
      <c r="AN5" s="552"/>
      <c r="AO5" s="634" t="s">
        <v>177</v>
      </c>
      <c r="AP5" s="629"/>
      <c r="AQ5" s="629"/>
      <c r="AR5" s="630"/>
      <c r="AS5" s="633" t="s">
        <v>178</v>
      </c>
      <c r="AT5" s="633" t="s">
        <v>179</v>
      </c>
      <c r="AU5" s="588" t="s">
        <v>317</v>
      </c>
      <c r="AV5" s="588" t="s">
        <v>181</v>
      </c>
      <c r="AW5" s="588" t="s">
        <v>182</v>
      </c>
    </row>
    <row r="6" spans="1:50" ht="40.5" customHeight="1" x14ac:dyDescent="0.25">
      <c r="A6" s="623"/>
      <c r="B6" s="623"/>
      <c r="C6" s="623"/>
      <c r="D6" s="623"/>
      <c r="E6" s="623"/>
      <c r="F6" s="623"/>
      <c r="G6" s="627" t="s">
        <v>183</v>
      </c>
      <c r="H6" s="551"/>
      <c r="I6" s="552"/>
      <c r="J6" s="588" t="s">
        <v>184</v>
      </c>
      <c r="K6" s="588" t="s">
        <v>185</v>
      </c>
      <c r="L6" s="633" t="s">
        <v>186</v>
      </c>
      <c r="M6" s="588" t="s">
        <v>187</v>
      </c>
      <c r="N6" s="638" t="s">
        <v>188</v>
      </c>
      <c r="O6" s="633" t="s">
        <v>189</v>
      </c>
      <c r="P6" s="631"/>
      <c r="Q6" s="581"/>
      <c r="R6" s="581"/>
      <c r="S6" s="632"/>
      <c r="T6" s="588" t="s">
        <v>190</v>
      </c>
      <c r="U6" s="588" t="s">
        <v>191</v>
      </c>
      <c r="V6" s="633" t="s">
        <v>192</v>
      </c>
      <c r="W6" s="627" t="s">
        <v>193</v>
      </c>
      <c r="X6" s="551"/>
      <c r="Y6" s="551"/>
      <c r="Z6" s="552"/>
      <c r="AA6" s="644" t="s">
        <v>194</v>
      </c>
      <c r="AB6" s="592"/>
      <c r="AC6" s="593"/>
      <c r="AD6" s="633" t="s">
        <v>195</v>
      </c>
      <c r="AE6" s="623"/>
      <c r="AF6" s="623"/>
      <c r="AG6" s="627" t="s">
        <v>196</v>
      </c>
      <c r="AH6" s="551"/>
      <c r="AI6" s="551"/>
      <c r="AJ6" s="552"/>
      <c r="AK6" s="627" t="s">
        <v>197</v>
      </c>
      <c r="AL6" s="551"/>
      <c r="AM6" s="551"/>
      <c r="AN6" s="552"/>
      <c r="AO6" s="631"/>
      <c r="AP6" s="581"/>
      <c r="AQ6" s="581"/>
      <c r="AR6" s="632"/>
      <c r="AS6" s="623"/>
      <c r="AT6" s="623"/>
      <c r="AU6" s="623"/>
      <c r="AV6" s="623"/>
      <c r="AW6" s="623"/>
    </row>
    <row r="7" spans="1:50" ht="48" customHeight="1" x14ac:dyDescent="0.25">
      <c r="A7" s="623"/>
      <c r="B7" s="623"/>
      <c r="C7" s="623"/>
      <c r="D7" s="623"/>
      <c r="E7" s="623"/>
      <c r="F7" s="623"/>
      <c r="G7" s="588" t="s">
        <v>198</v>
      </c>
      <c r="H7" s="588" t="s">
        <v>199</v>
      </c>
      <c r="I7" s="588" t="s">
        <v>200</v>
      </c>
      <c r="J7" s="623"/>
      <c r="K7" s="623"/>
      <c r="L7" s="623"/>
      <c r="M7" s="623"/>
      <c r="N7" s="623"/>
      <c r="O7" s="623"/>
      <c r="P7" s="588" t="s">
        <v>142</v>
      </c>
      <c r="Q7" s="588" t="s">
        <v>141</v>
      </c>
      <c r="R7" s="639" t="s">
        <v>201</v>
      </c>
      <c r="S7" s="633" t="s">
        <v>202</v>
      </c>
      <c r="T7" s="623"/>
      <c r="U7" s="623"/>
      <c r="V7" s="623"/>
      <c r="W7" s="588" t="s">
        <v>143</v>
      </c>
      <c r="X7" s="588" t="s">
        <v>144</v>
      </c>
      <c r="Y7" s="588" t="s">
        <v>145</v>
      </c>
      <c r="Z7" s="588" t="s">
        <v>203</v>
      </c>
      <c r="AA7" s="588" t="s">
        <v>147</v>
      </c>
      <c r="AB7" s="588" t="s">
        <v>204</v>
      </c>
      <c r="AC7" s="588" t="s">
        <v>205</v>
      </c>
      <c r="AD7" s="623"/>
      <c r="AE7" s="623"/>
      <c r="AF7" s="623"/>
      <c r="AG7" s="211" t="s">
        <v>206</v>
      </c>
      <c r="AH7" s="211" t="s">
        <v>207</v>
      </c>
      <c r="AI7" s="211" t="s">
        <v>208</v>
      </c>
      <c r="AJ7" s="633" t="s">
        <v>209</v>
      </c>
      <c r="AK7" s="211" t="s">
        <v>210</v>
      </c>
      <c r="AL7" s="211" t="s">
        <v>211</v>
      </c>
      <c r="AM7" s="211" t="s">
        <v>208</v>
      </c>
      <c r="AN7" s="633" t="s">
        <v>212</v>
      </c>
      <c r="AO7" s="635" t="s">
        <v>213</v>
      </c>
      <c r="AP7" s="636" t="s">
        <v>214</v>
      </c>
      <c r="AQ7" s="582"/>
      <c r="AR7" s="588" t="s">
        <v>215</v>
      </c>
      <c r="AS7" s="623"/>
      <c r="AT7" s="623"/>
      <c r="AU7" s="623"/>
      <c r="AV7" s="623"/>
      <c r="AW7" s="623"/>
    </row>
    <row r="8" spans="1:50" ht="43.5" customHeight="1" x14ac:dyDescent="0.25">
      <c r="A8" s="623"/>
      <c r="B8" s="623"/>
      <c r="C8" s="623"/>
      <c r="D8" s="623"/>
      <c r="E8" s="623"/>
      <c r="F8" s="623"/>
      <c r="G8" s="589"/>
      <c r="H8" s="589"/>
      <c r="I8" s="589"/>
      <c r="J8" s="589"/>
      <c r="K8" s="589"/>
      <c r="L8" s="589"/>
      <c r="M8" s="589"/>
      <c r="N8" s="589"/>
      <c r="O8" s="589"/>
      <c r="P8" s="589"/>
      <c r="Q8" s="589"/>
      <c r="R8" s="589"/>
      <c r="S8" s="589"/>
      <c r="T8" s="589"/>
      <c r="U8" s="589"/>
      <c r="V8" s="589"/>
      <c r="W8" s="589"/>
      <c r="X8" s="589"/>
      <c r="Y8" s="589"/>
      <c r="Z8" s="589"/>
      <c r="AA8" s="589"/>
      <c r="AB8" s="589"/>
      <c r="AC8" s="589"/>
      <c r="AD8" s="589"/>
      <c r="AE8" s="589"/>
      <c r="AF8" s="589"/>
      <c r="AG8" s="212">
        <v>0.17499999999999999</v>
      </c>
      <c r="AH8" s="213">
        <v>0.03</v>
      </c>
      <c r="AI8" s="212">
        <v>0.01</v>
      </c>
      <c r="AJ8" s="589"/>
      <c r="AK8" s="212">
        <v>0.08</v>
      </c>
      <c r="AL8" s="212">
        <v>1.4999999999999999E-2</v>
      </c>
      <c r="AM8" s="212">
        <v>0.01</v>
      </c>
      <c r="AN8" s="589"/>
      <c r="AO8" s="589"/>
      <c r="AP8" s="211" t="s">
        <v>216</v>
      </c>
      <c r="AQ8" s="211" t="s">
        <v>217</v>
      </c>
      <c r="AR8" s="589"/>
      <c r="AS8" s="589"/>
      <c r="AT8" s="589"/>
      <c r="AU8" s="589"/>
      <c r="AV8" s="589"/>
      <c r="AW8" s="589"/>
    </row>
    <row r="9" spans="1:50" ht="16.5" customHeight="1" x14ac:dyDescent="0.25">
      <c r="A9" s="589"/>
      <c r="B9" s="589"/>
      <c r="C9" s="589"/>
      <c r="D9" s="589"/>
      <c r="E9" s="589"/>
      <c r="F9" s="589"/>
      <c r="G9" s="214">
        <v>6</v>
      </c>
      <c r="H9" s="214">
        <f t="shared" ref="H9:AA9" si="0">G9+1</f>
        <v>7</v>
      </c>
      <c r="I9" s="214">
        <f t="shared" si="0"/>
        <v>8</v>
      </c>
      <c r="J9" s="214">
        <f t="shared" si="0"/>
        <v>9</v>
      </c>
      <c r="K9" s="214">
        <f t="shared" si="0"/>
        <v>10</v>
      </c>
      <c r="L9" s="214">
        <f t="shared" si="0"/>
        <v>11</v>
      </c>
      <c r="M9" s="214">
        <f t="shared" si="0"/>
        <v>12</v>
      </c>
      <c r="N9" s="214">
        <f t="shared" si="0"/>
        <v>13</v>
      </c>
      <c r="O9" s="214">
        <f t="shared" si="0"/>
        <v>14</v>
      </c>
      <c r="P9" s="214">
        <f t="shared" si="0"/>
        <v>15</v>
      </c>
      <c r="Q9" s="214">
        <f t="shared" si="0"/>
        <v>16</v>
      </c>
      <c r="R9" s="214">
        <f t="shared" si="0"/>
        <v>17</v>
      </c>
      <c r="S9" s="214">
        <f t="shared" si="0"/>
        <v>18</v>
      </c>
      <c r="T9" s="214">
        <f t="shared" si="0"/>
        <v>19</v>
      </c>
      <c r="U9" s="214">
        <f t="shared" si="0"/>
        <v>20</v>
      </c>
      <c r="V9" s="214">
        <f t="shared" si="0"/>
        <v>21</v>
      </c>
      <c r="W9" s="214">
        <f t="shared" si="0"/>
        <v>22</v>
      </c>
      <c r="X9" s="214">
        <f t="shared" si="0"/>
        <v>23</v>
      </c>
      <c r="Y9" s="214">
        <f t="shared" si="0"/>
        <v>24</v>
      </c>
      <c r="Z9" s="214">
        <f t="shared" si="0"/>
        <v>25</v>
      </c>
      <c r="AA9" s="214">
        <f t="shared" si="0"/>
        <v>26</v>
      </c>
      <c r="AB9" s="214"/>
      <c r="AC9" s="214">
        <f>AA9+1</f>
        <v>27</v>
      </c>
      <c r="AD9" s="214">
        <f t="shared" ref="AD9:AW9" si="1">AC9+1</f>
        <v>28</v>
      </c>
      <c r="AE9" s="214">
        <f t="shared" si="1"/>
        <v>29</v>
      </c>
      <c r="AF9" s="214">
        <f t="shared" si="1"/>
        <v>30</v>
      </c>
      <c r="AG9" s="214">
        <f t="shared" si="1"/>
        <v>31</v>
      </c>
      <c r="AH9" s="214">
        <f t="shared" si="1"/>
        <v>32</v>
      </c>
      <c r="AI9" s="214">
        <f t="shared" si="1"/>
        <v>33</v>
      </c>
      <c r="AJ9" s="214">
        <f t="shared" si="1"/>
        <v>34</v>
      </c>
      <c r="AK9" s="214">
        <f t="shared" si="1"/>
        <v>35</v>
      </c>
      <c r="AL9" s="214">
        <f t="shared" si="1"/>
        <v>36</v>
      </c>
      <c r="AM9" s="214">
        <f t="shared" si="1"/>
        <v>37</v>
      </c>
      <c r="AN9" s="214">
        <f t="shared" si="1"/>
        <v>38</v>
      </c>
      <c r="AO9" s="214">
        <f t="shared" si="1"/>
        <v>39</v>
      </c>
      <c r="AP9" s="214">
        <f t="shared" si="1"/>
        <v>40</v>
      </c>
      <c r="AQ9" s="214">
        <f t="shared" si="1"/>
        <v>41</v>
      </c>
      <c r="AR9" s="214">
        <f t="shared" si="1"/>
        <v>42</v>
      </c>
      <c r="AS9" s="214">
        <f t="shared" si="1"/>
        <v>43</v>
      </c>
      <c r="AT9" s="214">
        <f t="shared" si="1"/>
        <v>44</v>
      </c>
      <c r="AU9" s="214">
        <f t="shared" si="1"/>
        <v>45</v>
      </c>
      <c r="AV9" s="214">
        <f t="shared" si="1"/>
        <v>46</v>
      </c>
      <c r="AW9" s="214">
        <f t="shared" si="1"/>
        <v>47</v>
      </c>
    </row>
    <row r="10" spans="1:50" ht="16.5" customHeight="1" x14ac:dyDescent="0.25">
      <c r="A10" s="171"/>
      <c r="C10" s="169"/>
      <c r="D10" s="141"/>
      <c r="E10" s="215"/>
      <c r="F10" s="171"/>
      <c r="G10" s="214"/>
      <c r="H10" s="214"/>
      <c r="I10" s="214"/>
      <c r="J10" s="214"/>
      <c r="K10" s="214"/>
      <c r="L10" s="214"/>
      <c r="M10" s="214"/>
      <c r="N10" s="216"/>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7">
        <v>15500000</v>
      </c>
      <c r="AP10" s="214"/>
      <c r="AQ10" s="217">
        <v>6200000</v>
      </c>
      <c r="AR10" s="214"/>
      <c r="AS10" s="214"/>
      <c r="AT10" s="214"/>
      <c r="AU10" s="214"/>
      <c r="AV10" s="214"/>
      <c r="AW10" s="214"/>
    </row>
    <row r="11" spans="1:50" ht="16.5" customHeight="1" x14ac:dyDescent="0.25">
      <c r="A11" s="218"/>
      <c r="B11" s="219" t="s">
        <v>326</v>
      </c>
      <c r="C11" s="220"/>
      <c r="D11" s="221"/>
      <c r="E11" s="378"/>
      <c r="F11" s="222"/>
      <c r="G11" s="223"/>
      <c r="H11" s="223"/>
      <c r="I11" s="223"/>
      <c r="J11" s="230">
        <f t="shared" ref="J11:AT11" si="2">SUBTOTAL(9,J12:J13)</f>
        <v>0</v>
      </c>
      <c r="K11" s="230">
        <f t="shared" si="2"/>
        <v>0</v>
      </c>
      <c r="L11" s="230">
        <f t="shared" si="2"/>
        <v>0</v>
      </c>
      <c r="M11" s="230">
        <f t="shared" si="2"/>
        <v>18815556</v>
      </c>
      <c r="N11" s="230">
        <f t="shared" si="2"/>
        <v>2</v>
      </c>
      <c r="O11" s="230">
        <f t="shared" si="2"/>
        <v>18815556</v>
      </c>
      <c r="P11" s="230">
        <f t="shared" si="2"/>
        <v>0</v>
      </c>
      <c r="Q11" s="230">
        <f t="shared" si="2"/>
        <v>0</v>
      </c>
      <c r="R11" s="230">
        <f t="shared" si="2"/>
        <v>0</v>
      </c>
      <c r="S11" s="230">
        <f t="shared" si="2"/>
        <v>0</v>
      </c>
      <c r="T11" s="230">
        <f t="shared" si="2"/>
        <v>0</v>
      </c>
      <c r="U11" s="230">
        <f t="shared" si="2"/>
        <v>0</v>
      </c>
      <c r="V11" s="230">
        <f t="shared" si="2"/>
        <v>0</v>
      </c>
      <c r="W11" s="230">
        <f t="shared" si="2"/>
        <v>1440000</v>
      </c>
      <c r="X11" s="230">
        <f t="shared" si="2"/>
        <v>800000</v>
      </c>
      <c r="Y11" s="230">
        <f t="shared" si="2"/>
        <v>4500000</v>
      </c>
      <c r="Z11" s="230">
        <f t="shared" si="2"/>
        <v>6740000</v>
      </c>
      <c r="AA11" s="230">
        <f t="shared" si="2"/>
        <v>0</v>
      </c>
      <c r="AB11" s="230">
        <f t="shared" si="2"/>
        <v>0</v>
      </c>
      <c r="AC11" s="230">
        <f t="shared" si="2"/>
        <v>0</v>
      </c>
      <c r="AD11" s="230">
        <f t="shared" si="2"/>
        <v>6740000</v>
      </c>
      <c r="AE11" s="230">
        <f t="shared" si="2"/>
        <v>25555556</v>
      </c>
      <c r="AF11" s="230">
        <f t="shared" si="2"/>
        <v>25555556</v>
      </c>
      <c r="AG11" s="230">
        <f t="shared" si="2"/>
        <v>0</v>
      </c>
      <c r="AH11" s="230">
        <f t="shared" si="2"/>
        <v>0</v>
      </c>
      <c r="AI11" s="230">
        <f t="shared" si="2"/>
        <v>0</v>
      </c>
      <c r="AJ11" s="230">
        <f t="shared" si="2"/>
        <v>0</v>
      </c>
      <c r="AK11" s="230">
        <f t="shared" si="2"/>
        <v>0</v>
      </c>
      <c r="AL11" s="230">
        <f t="shared" si="2"/>
        <v>0</v>
      </c>
      <c r="AM11" s="230">
        <f t="shared" si="2"/>
        <v>0</v>
      </c>
      <c r="AN11" s="230">
        <f t="shared" si="2"/>
        <v>0</v>
      </c>
      <c r="AO11" s="230">
        <f t="shared" si="2"/>
        <v>0</v>
      </c>
      <c r="AP11" s="230">
        <f t="shared" si="2"/>
        <v>0</v>
      </c>
      <c r="AQ11" s="230">
        <f t="shared" si="2"/>
        <v>0</v>
      </c>
      <c r="AR11" s="230">
        <f t="shared" si="2"/>
        <v>0</v>
      </c>
      <c r="AS11" s="230">
        <f t="shared" si="2"/>
        <v>25555556</v>
      </c>
      <c r="AT11" s="230">
        <f t="shared" si="2"/>
        <v>2555555.6</v>
      </c>
      <c r="AU11" s="222"/>
      <c r="AV11" s="230">
        <f>SUM(AV12:AV14)</f>
        <v>37467600</v>
      </c>
      <c r="AW11" s="214"/>
    </row>
    <row r="12" spans="1:50" ht="52.8" customHeight="1" x14ac:dyDescent="0.25">
      <c r="A12" s="100">
        <f>SUBTOTAL(3,$C$11:C12)</f>
        <v>1</v>
      </c>
      <c r="B12" s="37" t="s">
        <v>339</v>
      </c>
      <c r="C12" s="220" t="s">
        <v>340</v>
      </c>
      <c r="D12" s="221" t="s">
        <v>320</v>
      </c>
      <c r="E12" s="173" t="s">
        <v>342</v>
      </c>
      <c r="F12" s="222" t="str">
        <f>IFERROR(VLOOKUP($B12,'3. BẢNG CHẤM CÔNG'!$B$11:$AV$25,6,0),0)</f>
        <v>Chính Thức</v>
      </c>
      <c r="G12" s="223">
        <f>IFERROR(VLOOKUP($B12, '3. BẢNG CHẤM CÔNG'!$B$10:$AV29,43,0),0)</f>
        <v>23</v>
      </c>
      <c r="H12" s="223">
        <f>IFERROR(VLOOKUP($B12, '3. BẢNG CHẤM CÔNG'!$B$10:$AV29,44,0),0)</f>
        <v>0</v>
      </c>
      <c r="I12" s="223"/>
      <c r="J12" s="222">
        <f>IFERROR(VLOOKUP($B12,' 5. Thông số TL'!$D$12:$S$34,4,0),0)</f>
        <v>0</v>
      </c>
      <c r="K12" s="222">
        <f>IFERROR(IF($F12="Chính Thức",$J12/$G$4*($G12+$H12),IF($F12="Thử Việc",$J12/$G$4*($G12+$H12)*85%,"")),0)</f>
        <v>0</v>
      </c>
      <c r="L12" s="224">
        <f t="shared" ref="L12" si="3">SUM(K12)</f>
        <v>0</v>
      </c>
      <c r="M12" s="222">
        <f>IFERROR(VLOOKUP($B12,' 5. Thông số TL'!$D$12:$S$34,5,0),0)</f>
        <v>13046667</v>
      </c>
      <c r="N12" s="225">
        <v>1</v>
      </c>
      <c r="O12" s="222">
        <f>IFERROR(IF($F12="Chính Thức",$M12/$G$4*($G12+$H12)*N12,IF($F12="Thử Việc",$M12/$G$4*N12*($G12+$H12)*85%)),0)</f>
        <v>13046666.999999998</v>
      </c>
      <c r="P12" s="222"/>
      <c r="Q12" s="226"/>
      <c r="R12" s="222"/>
      <c r="S12" s="224"/>
      <c r="T12" s="222"/>
      <c r="U12" s="222"/>
      <c r="V12" s="224">
        <f t="shared" ref="V12" si="4">SUM(T12:U12)</f>
        <v>0</v>
      </c>
      <c r="W12" s="222">
        <f>IFERROR(IF($F12="Chính Thức",VLOOKUP($B12,' 5. Thông số TL'!$D$12:$S$34,6,0)/$G$4*($G12+$H12),IF($F12="Thử Việc",VLOOKUP($B12,' 5. Thông số TL'!$D$12:$S$34,6,0)/$G$4*($G12+$H12)*85%,"")),0)</f>
        <v>720000</v>
      </c>
      <c r="X12" s="222">
        <f>IFERROR(IF($F12="Chính Thức",VLOOKUP($B12,' 5. Thông số TL'!$D$12:$S$34,7,0)/$G$4*($G12+$H12),IF($F12="Thử Việc",VLOOKUP($B12,' 5. Thông số TL'!$D$12:$S$34,7,0)/$G$4*($G12+$H12)*85%,"")),0)</f>
        <v>400000</v>
      </c>
      <c r="Y12" s="222">
        <f>IFERROR(IF($F12="Chính Thức",VLOOKUP($B12,' 5. Thông số TL'!$D$12:$S$34,8,0)/$G$4*($G12+$H12),IF($F12="Thử Việc",VLOOKUP($B12,' 5. Thông số TL'!$D$12:$S$34,8,0)/$G$4*($G12+$H12)*85%,"")),0)</f>
        <v>2500000</v>
      </c>
      <c r="Z12" s="222">
        <f t="shared" ref="Z12" si="5">SUM(W12:Y12)</f>
        <v>3620000</v>
      </c>
      <c r="AA12" s="222">
        <f>IFERROR(IF($F12="Chính Thức",VLOOKUP($B12,' 5. Thông số TL'!$D$12:$S$34,10,0)/$G$4*($G12+$H12),IF($F12="Thử Việc",VLOOKUP($B12,' 5. Thông số TL'!$D$12:$S$34,10,0)/$G$4*($G12+$H12)*85%,"")),0)</f>
        <v>0</v>
      </c>
      <c r="AB12" s="222"/>
      <c r="AC12" s="222">
        <f t="shared" ref="AC12" si="6">SUM(AA12:AB12)</f>
        <v>0</v>
      </c>
      <c r="AD12" s="224">
        <f t="shared" ref="AD12" si="7">Z12+AC12</f>
        <v>3620000</v>
      </c>
      <c r="AE12" s="224">
        <f>L12+O12+S12+V12+AD12</f>
        <v>16666666.999999998</v>
      </c>
      <c r="AF12" s="222">
        <f>IF(F12="Chính Thức",AE12,IF(F12="Thử Việc",AE12-W12-X12,IF(F12="CTV",AE12,0)))</f>
        <v>16666666.999999998</v>
      </c>
      <c r="AG12" s="227">
        <f t="shared" ref="AG12:AI12" si="8">IFERROR(IF(AND($F12="Chính Thức",($G12+$H12)&gt;=11),$J12*AG$8,IF(AND($F12="Chính Thức",($G12+$H12)&lt;11,0),IF($F12="Thử Việc",0),"")),0)</f>
        <v>0</v>
      </c>
      <c r="AH12" s="227">
        <f t="shared" si="8"/>
        <v>0</v>
      </c>
      <c r="AI12" s="227">
        <f t="shared" si="8"/>
        <v>0</v>
      </c>
      <c r="AJ12" s="228">
        <f t="shared" ref="AJ12" si="9">ROUND(SUM(AG12:AI12),0)</f>
        <v>0</v>
      </c>
      <c r="AK12" s="227">
        <f t="shared" ref="AK12:AM12" si="10">IFERROR(IF(AND($F12="Chính Thức",($G12+$H12)&gt;=11),$J12*AK$8,IF(AND($F12="Chính Thức",($G12+$H12)&lt;11,0),IF($F12="Thử Việc",0),"")),0)</f>
        <v>0</v>
      </c>
      <c r="AL12" s="227">
        <f t="shared" si="10"/>
        <v>0</v>
      </c>
      <c r="AM12" s="227">
        <f t="shared" si="10"/>
        <v>0</v>
      </c>
      <c r="AN12" s="224">
        <f t="shared" ref="AN12" si="11">ROUND(SUM(AK12:AM12),-1)</f>
        <v>0</v>
      </c>
      <c r="AO12" s="228">
        <v>0</v>
      </c>
      <c r="AP12" s="229"/>
      <c r="AQ12" s="222">
        <f t="shared" ref="AQ12" si="12">AP12*$AQ$10</f>
        <v>0</v>
      </c>
      <c r="AR12" s="222">
        <f t="shared" ref="AR12" si="13">+AO12+AQ12</f>
        <v>0</v>
      </c>
      <c r="AS12" s="222">
        <f>MAX(AF12,0)</f>
        <v>16666666.999999998</v>
      </c>
      <c r="AT12" s="224">
        <f>AS12*10%</f>
        <v>1666666.7</v>
      </c>
      <c r="AU12" s="222"/>
      <c r="AV12" s="224">
        <f t="shared" ref="AV12" si="14">ROUND(AE12-AN12-AT12+AU12,-2)</f>
        <v>15000000</v>
      </c>
      <c r="AW12" s="214"/>
      <c r="AX12" s="451"/>
    </row>
    <row r="13" spans="1:50" ht="58.5" customHeight="1" x14ac:dyDescent="0.25">
      <c r="A13" s="100">
        <f>SUBTOTAL(3,$C$11:C13)</f>
        <v>2</v>
      </c>
      <c r="B13" s="182" t="s">
        <v>353</v>
      </c>
      <c r="C13" s="220" t="s">
        <v>354</v>
      </c>
      <c r="D13" s="221" t="s">
        <v>320</v>
      </c>
      <c r="E13" s="173" t="s">
        <v>352</v>
      </c>
      <c r="F13" s="222" t="str">
        <f>IFERROR(VLOOKUP($B13,'3. BẢNG CHẤM CÔNG'!$B$11:$AV$25,6,0),0)</f>
        <v>Chính Thức</v>
      </c>
      <c r="G13" s="223">
        <f>IFERROR(VLOOKUP($B13, '3. BẢNG CHẤM CÔNG'!$B$10:$AV30,43,0),0)</f>
        <v>23</v>
      </c>
      <c r="H13" s="223">
        <f>IFERROR(VLOOKUP($B13, '3. BẢNG CHẤM CÔNG'!$B$10:$AV30,44,0),0)</f>
        <v>0</v>
      </c>
      <c r="I13" s="223"/>
      <c r="J13" s="222">
        <f>IFERROR(VLOOKUP($B13,' 5. Thông số TL'!$D$12:$S$34,4,0),0)</f>
        <v>0</v>
      </c>
      <c r="K13" s="222">
        <f>IFERROR(IF($F13="Chính Thức",$J13/$G$4*($G13+$H13),IF($F13="Thử Việc",$J13/$G$4*($G13+$H13)*85%,"")),0)</f>
        <v>0</v>
      </c>
      <c r="L13" s="224">
        <f t="shared" ref="L13:L14" si="15">SUM(K13)</f>
        <v>0</v>
      </c>
      <c r="M13" s="222">
        <f>IFERROR(VLOOKUP($B13,' 5. Thông số TL'!$D$12:$S$34,5,0),0)</f>
        <v>5768889</v>
      </c>
      <c r="N13" s="225">
        <v>1</v>
      </c>
      <c r="O13" s="222">
        <f>IFERROR(IF($F13="Chính Thức",$M13/$G$4*($G13+$H13)*N13,IF($F13="Thử Việc",$M13/$G$4*N13*($G13+$H13)*85%)),0)</f>
        <v>5768889</v>
      </c>
      <c r="P13" s="222"/>
      <c r="Q13" s="226"/>
      <c r="R13" s="222"/>
      <c r="S13" s="224"/>
      <c r="T13" s="222"/>
      <c r="U13" s="222"/>
      <c r="V13" s="224">
        <f t="shared" ref="V13:V14" si="16">SUM(T13:U13)</f>
        <v>0</v>
      </c>
      <c r="W13" s="222">
        <f>IFERROR(IF($F13="Chính Thức",VLOOKUP($B13,' 5. Thông số TL'!$D$12:$S$34,6,0)/$G$4*($G13+$H13),IF($F13="Thử Việc",VLOOKUP($B13,' 5. Thông số TL'!$D$12:$S$34,6,0)/$G$4*($G13+$H13)*85%,"")),0)</f>
        <v>720000</v>
      </c>
      <c r="X13" s="222">
        <f>IFERROR(IF($F13="Chính Thức",VLOOKUP($B13,' 5. Thông số TL'!$D$12:$S$34,7,0)/$G$4*($G13+$H13),IF($F13="Thử Việc",VLOOKUP($B13,' 5. Thông số TL'!$D$12:$S$34,7,0)/$G$4*($G13+$H13)*85%,"")),0)</f>
        <v>400000</v>
      </c>
      <c r="Y13" s="222">
        <f>IFERROR(IF($F13="Chính Thức",VLOOKUP($B13,' 5. Thông số TL'!$D$12:$S$34,8,0)/$G$4*($G13+$H13),IF($F13="Thử Việc",VLOOKUP($B13,' 5. Thông số TL'!$D$12:$S$34,8,0)/$G$4*($G13+$H13)*85%,"")),0)</f>
        <v>2000000</v>
      </c>
      <c r="Z13" s="222">
        <f t="shared" ref="Z13:Z14" si="17">SUM(W13:Y13)</f>
        <v>3120000</v>
      </c>
      <c r="AA13" s="222">
        <f>IFERROR(IF($F13="Chính Thức",VLOOKUP($B13,' 5. Thông số TL'!$D$12:$S$34,10,0)/$G$4*($G13+$H13),IF($F13="Thử Việc",VLOOKUP($B13,' 5. Thông số TL'!$D$12:$S$34,10,0)/$G$4*($G13+$H13)*85%,"")),0)</f>
        <v>0</v>
      </c>
      <c r="AB13" s="222"/>
      <c r="AC13" s="222">
        <f t="shared" ref="AC13:AC14" si="18">SUM(AA13:AB13)</f>
        <v>0</v>
      </c>
      <c r="AD13" s="224">
        <f t="shared" ref="AD13:AD14" si="19">Z13+AC13</f>
        <v>3120000</v>
      </c>
      <c r="AE13" s="224">
        <f>L13+O13+S13+V13+AD13</f>
        <v>8888889</v>
      </c>
      <c r="AF13" s="222">
        <f>IF(F13="Chính Thức",AE13,IF(F13="Thử Việc",AE13-W13-X13,IF(F13="CTV",AE13,0)))</f>
        <v>8888889</v>
      </c>
      <c r="AG13" s="227">
        <f t="shared" ref="AG13:AI14" si="20">IFERROR(IF(AND($F13="Chính Thức",($G13+$H13)&gt;=11),$J13*AG$8,IF(AND($F13="Chính Thức",($G13+$H13)&lt;11,0),IF($F13="Thử Việc",0),"")),0)</f>
        <v>0</v>
      </c>
      <c r="AH13" s="227">
        <f t="shared" si="20"/>
        <v>0</v>
      </c>
      <c r="AI13" s="227">
        <f t="shared" si="20"/>
        <v>0</v>
      </c>
      <c r="AJ13" s="228">
        <f t="shared" ref="AJ13:AJ14" si="21">ROUND(SUM(AG13:AI13),0)</f>
        <v>0</v>
      </c>
      <c r="AK13" s="227">
        <f t="shared" ref="AK13:AM14" si="22">IFERROR(IF(AND($F13="Chính Thức",($G13+$H13)&gt;=11),$J13*AK$8,IF(AND($F13="Chính Thức",($G13+$H13)&lt;11,0),IF($F13="Thử Việc",0),"")),0)</f>
        <v>0</v>
      </c>
      <c r="AL13" s="227">
        <f t="shared" si="22"/>
        <v>0</v>
      </c>
      <c r="AM13" s="227">
        <f t="shared" si="22"/>
        <v>0</v>
      </c>
      <c r="AN13" s="224">
        <f t="shared" ref="AN13:AN14" si="23">ROUND(SUM(AK13:AM13),-1)</f>
        <v>0</v>
      </c>
      <c r="AO13" s="228">
        <v>0</v>
      </c>
      <c r="AP13" s="229"/>
      <c r="AQ13" s="222">
        <f t="shared" ref="AQ13:AQ14" si="24">AP13*$AQ$10</f>
        <v>0</v>
      </c>
      <c r="AR13" s="222">
        <f t="shared" ref="AR13:AR14" si="25">+AO13+AQ13</f>
        <v>0</v>
      </c>
      <c r="AS13" s="222">
        <f>MAX(AF13,0)</f>
        <v>8888889</v>
      </c>
      <c r="AT13" s="224">
        <f>AS13*10%</f>
        <v>888888.9</v>
      </c>
      <c r="AU13" s="222"/>
      <c r="AV13" s="224">
        <f t="shared" ref="AV13:AV14" si="26">ROUND(AE13-AN13-AT13+AU13,-2)</f>
        <v>8000000</v>
      </c>
      <c r="AW13" s="222"/>
    </row>
    <row r="14" spans="1:50" ht="58.5" customHeight="1" x14ac:dyDescent="0.25">
      <c r="A14" s="456">
        <v>3</v>
      </c>
      <c r="B14" s="381" t="s">
        <v>398</v>
      </c>
      <c r="C14" s="398" t="s">
        <v>399</v>
      </c>
      <c r="D14" s="221" t="s">
        <v>320</v>
      </c>
      <c r="E14" s="400" t="s">
        <v>324</v>
      </c>
      <c r="F14" s="222" t="str">
        <f>IFERROR(VLOOKUP($B14,'3. BẢNG CHẤM CÔNG'!$B$11:$AV$25,6,0),0)</f>
        <v>Thử Việc</v>
      </c>
      <c r="G14" s="223">
        <f>IFERROR(VLOOKUP($B14, '3. BẢNG CHẤM CÔNG'!$B$10:$AV30,43,0),0)</f>
        <v>23</v>
      </c>
      <c r="H14" s="409">
        <f>IFERROR(VLOOKUP($B14, '3. BẢNG CHẤM CÔNG'!$B$10:$AV29,44,0),0)</f>
        <v>0</v>
      </c>
      <c r="I14" s="409"/>
      <c r="J14" s="408">
        <f>IFERROR(VLOOKUP($B14,' 5. Thông số TL'!$D$12:$S$34,4,0),0)</f>
        <v>7500000</v>
      </c>
      <c r="K14" s="408">
        <f>IFERROR(IF($F14="Chính Thức",$J14/$G$4*($G14+$H14),IF($F14="Thử Việc",$J14/$G$4*($G14+$H14)*85%,"")),0)</f>
        <v>6375000</v>
      </c>
      <c r="L14" s="410">
        <f t="shared" si="15"/>
        <v>6375000</v>
      </c>
      <c r="M14" s="408">
        <f>IFERROR(VLOOKUP($B14,' 5. Thông số TL'!$D$12:$S$34,5,0),0)</f>
        <v>7667500</v>
      </c>
      <c r="N14" s="411">
        <v>1</v>
      </c>
      <c r="O14" s="408">
        <f>IFERROR(IF($F14="Chính Thức",$M14/$G$4*($G14+$H14)*N14,IF($F14="Thử Việc",$M14/$G$4*N14*($G14+$H14)*85%)),0)</f>
        <v>6517375</v>
      </c>
      <c r="P14" s="408"/>
      <c r="Q14" s="412"/>
      <c r="R14" s="408"/>
      <c r="S14" s="410"/>
      <c r="T14" s="408"/>
      <c r="U14" s="408"/>
      <c r="V14" s="410">
        <f t="shared" si="16"/>
        <v>0</v>
      </c>
      <c r="W14" s="408">
        <f>IFERROR(IF($F14="Chính Thức",VLOOKUP($B14,' 5. Thông số TL'!$D$12:$S$34,6,0)/$G$4*($G14+$H14),IF($F14="Thử Việc",VLOOKUP($B14,' 5. Thông số TL'!$D$12:$S$34,6,0)/$G$4*($G14+$H14)*85%,"")),0)</f>
        <v>612000</v>
      </c>
      <c r="X14" s="408">
        <f>IFERROR(IF($F14="Chính Thức",VLOOKUP($B14,' 5. Thông số TL'!$D$12:$S$34,7,0)/$G$4*($G14+$H14),IF($F14="Thử Việc",VLOOKUP($B14,' 5. Thông số TL'!$D$12:$S$34,7,0)/$G$4*($G14+$H14)*85%,"")),0)</f>
        <v>340000</v>
      </c>
      <c r="Y14" s="408">
        <f>IFERROR(IF($F14="Chính Thức",VLOOKUP($B14,' 5. Thông số TL'!$D$12:$S$34,8,0)/$G$4*($G14+$H14),IF($F14="Thử Việc",VLOOKUP($B14,' 5. Thông số TL'!$D$12:$S$34,8,0)/$G$4*($G14+$H14)*85%,"")),0)</f>
        <v>2125000</v>
      </c>
      <c r="Z14" s="408">
        <f t="shared" si="17"/>
        <v>3077000</v>
      </c>
      <c r="AA14" s="408">
        <f>IFERROR(IF($F14="Chính Thức",VLOOKUP($B14,' 5. Thông số TL'!$D$12:$S$34,10,0)/$G$4*($G14+$H14),IF($F14="Thử Việc",VLOOKUP($B14,' 5. Thông số TL'!$D$12:$S$34,10,0)/$G$4*($G14+$H14)*85%,"")),0)</f>
        <v>0</v>
      </c>
      <c r="AB14" s="408"/>
      <c r="AC14" s="408">
        <f t="shared" si="18"/>
        <v>0</v>
      </c>
      <c r="AD14" s="410">
        <f t="shared" si="19"/>
        <v>3077000</v>
      </c>
      <c r="AE14" s="410">
        <f t="shared" ref="AE14" si="27">L14+O14+S14+V14+AD14</f>
        <v>15969375</v>
      </c>
      <c r="AF14" s="408">
        <f>IF(F14="Chính Thức",AE14-Z14,IF(F14="Thử Việc",AE14-W14-X14,IF(F14="CTV",AE14,0)))</f>
        <v>15017375</v>
      </c>
      <c r="AG14" s="413" t="str">
        <f t="shared" si="20"/>
        <v/>
      </c>
      <c r="AH14" s="413" t="str">
        <f t="shared" si="20"/>
        <v/>
      </c>
      <c r="AI14" s="413" t="str">
        <f t="shared" si="20"/>
        <v/>
      </c>
      <c r="AJ14" s="414">
        <f t="shared" si="21"/>
        <v>0</v>
      </c>
      <c r="AK14" s="413" t="str">
        <f t="shared" si="22"/>
        <v/>
      </c>
      <c r="AL14" s="413" t="str">
        <f t="shared" si="22"/>
        <v/>
      </c>
      <c r="AM14" s="413" t="str">
        <f t="shared" si="22"/>
        <v/>
      </c>
      <c r="AN14" s="410">
        <f t="shared" si="23"/>
        <v>0</v>
      </c>
      <c r="AO14" s="414">
        <f>IF(F14="Chính Thức",$AO$10,0)</f>
        <v>0</v>
      </c>
      <c r="AP14" s="415"/>
      <c r="AQ14" s="408">
        <f t="shared" si="24"/>
        <v>0</v>
      </c>
      <c r="AR14" s="408">
        <f t="shared" si="25"/>
        <v>0</v>
      </c>
      <c r="AS14" s="408">
        <f t="shared" ref="AS14" si="28">MAX(AF14-AR14-AN14,0)</f>
        <v>15017375</v>
      </c>
      <c r="AT14" s="410">
        <f>IF(F14="Chính Thức",IF(AS14&lt;=0,,IF(AND(AS14&gt;0,AS14&lt;=5000000),5%*AS14,IF(AND(AS14&gt;5000000,AS14&lt;=10000000),10%*AS14-250000,IF(AND(AS14&gt;10000000,AS14&lt;=18000000),15%*AS14-750000,IF(AND(AS14&gt;18000000,AS14&lt;=32000000),20%*AS14-1650000,IF(AND(AS14&gt;32000000,AS14&lt;=52000000),25%*AS14-3250000,IF(AND(AS14&gt;52000000,AS14&lt;=80000000),30%*AS14-5850000,IF(AS14&gt;80000000,35%*AS14-9850000)))))))),IF(AND(F14="Thử Việc",AS14&gt;=2000000),AS14*10%,IF(F14="CTV",AS14*10%)))</f>
        <v>1501737.5</v>
      </c>
      <c r="AU14" s="408"/>
      <c r="AV14" s="410">
        <f t="shared" si="26"/>
        <v>14467600</v>
      </c>
      <c r="AW14" s="222"/>
    </row>
    <row r="15" spans="1:50" ht="58.5" customHeight="1" x14ac:dyDescent="0.25">
      <c r="A15" s="397"/>
      <c r="B15" s="452" t="s">
        <v>319</v>
      </c>
      <c r="C15" s="398"/>
      <c r="D15" s="399"/>
      <c r="E15" s="400"/>
      <c r="F15" s="401"/>
      <c r="G15" s="402"/>
      <c r="H15" s="402"/>
      <c r="I15" s="402"/>
      <c r="J15" s="453">
        <f t="shared" ref="J15:AU15" si="29">SUBTOTAL(9,J16:J19)</f>
        <v>23600000</v>
      </c>
      <c r="K15" s="453">
        <f t="shared" si="29"/>
        <v>22132608.695652172</v>
      </c>
      <c r="L15" s="453">
        <f t="shared" si="29"/>
        <v>22132608.695652172</v>
      </c>
      <c r="M15" s="453">
        <f t="shared" si="29"/>
        <v>12810500</v>
      </c>
      <c r="N15" s="453">
        <f t="shared" si="29"/>
        <v>4</v>
      </c>
      <c r="O15" s="453">
        <f t="shared" si="29"/>
        <v>11855717.391304348</v>
      </c>
      <c r="P15" s="453">
        <f t="shared" si="29"/>
        <v>0</v>
      </c>
      <c r="Q15" s="453">
        <f t="shared" si="29"/>
        <v>0</v>
      </c>
      <c r="R15" s="453">
        <f t="shared" si="29"/>
        <v>0</v>
      </c>
      <c r="S15" s="453">
        <f t="shared" si="29"/>
        <v>0</v>
      </c>
      <c r="T15" s="453">
        <f t="shared" si="29"/>
        <v>0</v>
      </c>
      <c r="U15" s="453">
        <f t="shared" si="29"/>
        <v>0</v>
      </c>
      <c r="V15" s="453">
        <f t="shared" si="29"/>
        <v>0</v>
      </c>
      <c r="W15" s="453">
        <f t="shared" si="29"/>
        <v>2739130.4347826084</v>
      </c>
      <c r="X15" s="453">
        <f t="shared" si="29"/>
        <v>1521739.1304347827</v>
      </c>
      <c r="Y15" s="453">
        <f t="shared" si="29"/>
        <v>3310869.5652173916</v>
      </c>
      <c r="Z15" s="453">
        <f t="shared" si="29"/>
        <v>7571739.1304347832</v>
      </c>
      <c r="AA15" s="453">
        <f t="shared" si="29"/>
        <v>0</v>
      </c>
      <c r="AB15" s="453">
        <f t="shared" si="29"/>
        <v>0</v>
      </c>
      <c r="AC15" s="453">
        <f t="shared" si="29"/>
        <v>0</v>
      </c>
      <c r="AD15" s="453">
        <f t="shared" si="29"/>
        <v>7571739.1304347832</v>
      </c>
      <c r="AE15" s="453">
        <f t="shared" si="29"/>
        <v>41560065.217391305</v>
      </c>
      <c r="AF15" s="453">
        <f t="shared" si="29"/>
        <v>33988326.086956523</v>
      </c>
      <c r="AG15" s="453">
        <f t="shared" si="29"/>
        <v>4130000</v>
      </c>
      <c r="AH15" s="453">
        <f t="shared" si="29"/>
        <v>708000</v>
      </c>
      <c r="AI15" s="453">
        <f t="shared" si="29"/>
        <v>236000</v>
      </c>
      <c r="AJ15" s="453">
        <f t="shared" si="29"/>
        <v>5074000</v>
      </c>
      <c r="AK15" s="453">
        <f t="shared" si="29"/>
        <v>1888000</v>
      </c>
      <c r="AL15" s="453">
        <f t="shared" si="29"/>
        <v>354000</v>
      </c>
      <c r="AM15" s="453">
        <f t="shared" si="29"/>
        <v>236000</v>
      </c>
      <c r="AN15" s="453">
        <f t="shared" si="29"/>
        <v>2478000</v>
      </c>
      <c r="AO15" s="453">
        <f t="shared" si="29"/>
        <v>62000000</v>
      </c>
      <c r="AP15" s="453">
        <f t="shared" si="29"/>
        <v>0</v>
      </c>
      <c r="AQ15" s="453">
        <f t="shared" si="29"/>
        <v>0</v>
      </c>
      <c r="AR15" s="453">
        <f t="shared" si="29"/>
        <v>62000000</v>
      </c>
      <c r="AS15" s="453">
        <f t="shared" si="29"/>
        <v>0</v>
      </c>
      <c r="AT15" s="453">
        <f t="shared" si="29"/>
        <v>0</v>
      </c>
      <c r="AU15" s="453">
        <f t="shared" si="29"/>
        <v>0</v>
      </c>
      <c r="AV15" s="453">
        <f>SUM(AV16:AV20)</f>
        <v>48082100</v>
      </c>
      <c r="AW15" s="222"/>
    </row>
    <row r="16" spans="1:50" ht="58.5" customHeight="1" x14ac:dyDescent="0.25">
      <c r="A16" s="100">
        <f>SUBTOTAL(3,$C$11:C16)</f>
        <v>4</v>
      </c>
      <c r="B16" s="389" t="s">
        <v>322</v>
      </c>
      <c r="C16" s="406" t="s">
        <v>318</v>
      </c>
      <c r="D16" s="407" t="s">
        <v>319</v>
      </c>
      <c r="E16" s="407" t="s">
        <v>321</v>
      </c>
      <c r="F16" s="408" t="str">
        <f>IFERROR(VLOOKUP($B16,'3. BẢNG CHẤM CÔNG'!$B$11:$AV$25,6,0),0)</f>
        <v>Chính Thức</v>
      </c>
      <c r="G16" s="223">
        <f>IFERROR(VLOOKUP($B16, '3. BẢNG CHẤM CÔNG'!$B$10:$AV32,43,0),0)+9/2</f>
        <v>18.5</v>
      </c>
      <c r="H16" s="409">
        <f>IFERROR(VLOOKUP($B16, '3. BẢNG CHẤM CÔNG'!$B$10:$AV31,44,0),0)</f>
        <v>0</v>
      </c>
      <c r="I16" s="409"/>
      <c r="J16" s="408">
        <f>IFERROR(VLOOKUP($B16,' 5. Thông số TL'!$D$12:$S$34,4,0),0)</f>
        <v>7500000</v>
      </c>
      <c r="K16" s="408">
        <f>IFERROR(IF($F16="Chính Thức",$J16/$G$4*($G16+$H16),IF($F16="Thử Việc",$J16/$G$4*($G16+$H16)*85%,"")),0)</f>
        <v>6032608.6956521738</v>
      </c>
      <c r="L16" s="410">
        <f t="shared" ref="L16" si="30">SUM(K16)</f>
        <v>6032608.6956521738</v>
      </c>
      <c r="M16" s="408">
        <f>IFERROR(VLOOKUP($B16,' 5. Thông số TL'!$D$12:$S$34,5,0),0)</f>
        <v>4880000</v>
      </c>
      <c r="N16" s="411">
        <v>1</v>
      </c>
      <c r="O16" s="408">
        <f>IFERROR(IF($F16="Chính Thức",$M16/$G$4*($G16+$H16)*N16,IF($F16="Thử Việc",$M16/$G$4*N16*($G16+$H16)*85%)),0)</f>
        <v>3925217.3913043481</v>
      </c>
      <c r="P16" s="408"/>
      <c r="Q16" s="412"/>
      <c r="R16" s="408"/>
      <c r="S16" s="410"/>
      <c r="T16" s="408"/>
      <c r="U16" s="408"/>
      <c r="V16" s="410">
        <f t="shared" ref="V16" si="31">SUM(T16:U16)</f>
        <v>0</v>
      </c>
      <c r="W16" s="408">
        <f>IFERROR(IF($F16="Chính Thức",VLOOKUP($B16,' 5. Thông số TL'!$D$12:$S$34,6,0)/$G$4*($G16+$H16),IF($F16="Thử Việc",VLOOKUP($B16,' 5. Thông số TL'!$D$12:$S$34,6,0)/$G$4*($G16+$H16)*85%,"")),0)</f>
        <v>579130.43478260865</v>
      </c>
      <c r="X16" s="408">
        <f>IFERROR(IF($F16="Chính Thức",VLOOKUP($B16,' 5. Thông số TL'!$D$12:$S$34,7,0)/$G$4*($G16+$H16),IF($F16="Thử Việc",VLOOKUP($B16,' 5. Thông số TL'!$D$12:$S$34,7,0)/$G$4*($G16+$H16)*85%,"")),0)</f>
        <v>321739.13043478265</v>
      </c>
      <c r="Y16" s="408">
        <f>IFERROR(IF($F16="Chính Thức",VLOOKUP($B16,' 5. Thông số TL'!$D$12:$S$34,8,0)/$G$4*($G16+$H16),IF($F16="Thử Việc",VLOOKUP($B16,' 5. Thông số TL'!$D$12:$S$34,8,0)/$G$4*($G16+$H16)*85%,"")),0)</f>
        <v>2010869.5652173914</v>
      </c>
      <c r="Z16" s="408">
        <f t="shared" ref="Z16" si="32">SUM(W16:Y16)</f>
        <v>2911739.1304347827</v>
      </c>
      <c r="AA16" s="408">
        <f>IFERROR(IF($F16="Chính Thức",VLOOKUP($B16,' 5. Thông số TL'!$D$12:$S$34,10,0)/$G$4*($G16+$H16),IF($F16="Thử Việc",VLOOKUP($B16,' 5. Thông số TL'!$D$12:$S$34,10,0)/$G$4*($G16+$H16)*85%,"")),0)</f>
        <v>0</v>
      </c>
      <c r="AB16" s="408"/>
      <c r="AC16" s="408">
        <f t="shared" ref="AC16" si="33">SUM(AA16:AB16)</f>
        <v>0</v>
      </c>
      <c r="AD16" s="410">
        <f t="shared" ref="AD16" si="34">Z16+AC16</f>
        <v>2911739.1304347827</v>
      </c>
      <c r="AE16" s="410">
        <f t="shared" ref="AE16" si="35">L16+O16+S16+V16+AD16</f>
        <v>12869565.217391305</v>
      </c>
      <c r="AF16" s="408">
        <f>IF(F16="Chính Thức",AE16-Z16,IF(F16="Thử Việc",AE16-W16-X16,IF(F16="CTV",AE16,0)))</f>
        <v>9957826.0869565215</v>
      </c>
      <c r="AG16" s="413">
        <f>IFERROR(IF(AND($F16="Chính Thức",($G16+$H16)&gt;=11),$J16*AG$8,IF(AND($F16="Chính Thức",($G16+$H16)&lt;11,0),IF($F16="Thử Việc",0),"")),0)</f>
        <v>1312500</v>
      </c>
      <c r="AH16" s="413">
        <f>IFERROR(IF(AND($F16="Chính Thức",($G16+$H16)&gt;=11),$J16*AH$8,IF(AND($F16="Chính Thức",($G16+$H16)&lt;11,0),IF($F16="Thử Việc",0),"")),0)</f>
        <v>225000</v>
      </c>
      <c r="AI16" s="413">
        <f>IFERROR(IF(AND($F16="Chính Thức",($G16+$H16)&gt;=11),$J16*AI$8,IF(AND($F16="Chính Thức",($G16+$H16)&lt;11,0),IF($F16="Thử Việc",0),"")),0)</f>
        <v>75000</v>
      </c>
      <c r="AJ16" s="414">
        <f t="shared" ref="AJ16" si="36">ROUND(SUM(AG16:AI16),0)</f>
        <v>1612500</v>
      </c>
      <c r="AK16" s="413">
        <f>IFERROR(IF(AND($F16="Chính Thức",($G16+$H16)&gt;=11),$J16*AK$8,IF(AND($F16="Chính Thức",($G16+$H16)&lt;11,0),IF($F16="Thử Việc",0),"")),0)</f>
        <v>600000</v>
      </c>
      <c r="AL16" s="413">
        <f>IFERROR(IF(AND($F16="Chính Thức",($G16+$H16)&gt;=11),$J16*AL$8,IF(AND($F16="Chính Thức",($G16+$H16)&lt;11,0),IF($F16="Thử Việc",0),"")),0)</f>
        <v>112500</v>
      </c>
      <c r="AM16" s="413">
        <f>IFERROR(IF(AND($F16="Chính Thức",($G16+$H16)&gt;=11),$J16*AM$8,IF(AND($F16="Chính Thức",($G16+$H16)&lt;11,0),IF($F16="Thử Việc",0),"")),0)</f>
        <v>75000</v>
      </c>
      <c r="AN16" s="410">
        <f t="shared" ref="AN16" si="37">ROUND(SUM(AK16:AM16),-1)</f>
        <v>787500</v>
      </c>
      <c r="AO16" s="414">
        <f>IF(F16="Chính Thức",$AO$10,0)</f>
        <v>15500000</v>
      </c>
      <c r="AP16" s="415"/>
      <c r="AQ16" s="408">
        <f t="shared" ref="AQ16" si="38">AP16*$AQ$10</f>
        <v>0</v>
      </c>
      <c r="AR16" s="408">
        <f t="shared" ref="AR16" si="39">+AO16+AQ16</f>
        <v>15500000</v>
      </c>
      <c r="AS16" s="408">
        <f t="shared" ref="AS16" si="40">MAX(AF16-AR16-AN16,0)</f>
        <v>0</v>
      </c>
      <c r="AT16" s="410">
        <f>IF(F16="Chính Thức",IF(AS16&lt;=0,,IF(AND(AS16&gt;0,AS16&lt;=5000000),5%*AS16,IF(AND(AS16&gt;5000000,AS16&lt;=10000000),10%*AS16-250000,IF(AND(AS16&gt;10000000,AS16&lt;=18000000),15%*AS16-750000,IF(AND(AS16&gt;18000000,AS16&lt;=32000000),20%*AS16-1650000,IF(AND(AS16&gt;32000000,AS16&lt;=52000000),25%*AS16-3250000,IF(AND(AS16&gt;52000000,AS16&lt;=80000000),30%*AS16-5850000,IF(AS16&gt;80000000,35%*AS16-9850000)))))))),IF(AND(F16="Thử Việc",AS16&gt;=2000000),AS16*10%,IF(F16="CTV",AS16*10%)))</f>
        <v>0</v>
      </c>
      <c r="AU16" s="408"/>
      <c r="AV16" s="410">
        <f t="shared" ref="AV16" si="41">ROUND(AE16-AN16-AT16+AU16,-2)</f>
        <v>12082100</v>
      </c>
      <c r="AW16" s="396"/>
    </row>
    <row r="17" spans="1:50" ht="58.5" customHeight="1" x14ac:dyDescent="0.25">
      <c r="A17" s="100">
        <f>SUBTOTAL(3,$C$11:C17)</f>
        <v>5</v>
      </c>
      <c r="B17" s="389" t="s">
        <v>364</v>
      </c>
      <c r="C17" s="406" t="str">
        <f>VLOOKUP(B17,' 5. Thông số TL'!$D$12:$E$25,2,0)</f>
        <v>Đinh Thị Bích Ngọc</v>
      </c>
      <c r="D17" s="407" t="s">
        <v>319</v>
      </c>
      <c r="E17" s="407" t="s">
        <v>363</v>
      </c>
      <c r="F17" s="408" t="str">
        <f>IFERROR(VLOOKUP($B17,'3. BẢNG CHẤM CÔNG'!$B$11:$AV$25,6,0),0)</f>
        <v>Chính Thức</v>
      </c>
      <c r="G17" s="409">
        <f>IFERROR(VLOOKUP($B17, '3. BẢNG CHẤM CÔNG'!$B$10:$AV32,43,0),0)</f>
        <v>23</v>
      </c>
      <c r="H17" s="409">
        <f>IFERROR(VLOOKUP($B17, '3. BẢNG CHẤM CÔNG'!$B$10:$AV32,44,0),0)</f>
        <v>0</v>
      </c>
      <c r="I17" s="409"/>
      <c r="J17" s="408">
        <f>IFERROR(VLOOKUP($B17,' 5. Thông số TL'!$D$12:$S$34,4,0),0)</f>
        <v>5300000</v>
      </c>
      <c r="K17" s="408">
        <f t="shared" ref="K17:K19" si="42">IFERROR(IF($F17="Chính Thức",$J17/$G$4*($G17+$H17),IF($F17="Thử Việc",$J17/$G$4*($G17+$H17)*85%,"")),0)</f>
        <v>5300000</v>
      </c>
      <c r="L17" s="410">
        <f t="shared" ref="L17:L20" si="43">SUM(K17)</f>
        <v>5300000</v>
      </c>
      <c r="M17" s="408">
        <f>IFERROR(VLOOKUP($B17,' 5. Thông số TL'!$D$12:$S$34,5,0),0)</f>
        <v>736500</v>
      </c>
      <c r="N17" s="411">
        <v>1</v>
      </c>
      <c r="O17" s="408">
        <f t="shared" ref="O17:O19" si="44">IFERROR(IF($F17="Chính Thức",$M17/$G$4*($G17+$H17)*N17,IF($F17="Thử Việc",$M17/$G$4*N17*($G17+$H17)*85%)),0)</f>
        <v>736500</v>
      </c>
      <c r="P17" s="408"/>
      <c r="Q17" s="412"/>
      <c r="R17" s="408"/>
      <c r="S17" s="410"/>
      <c r="T17" s="408"/>
      <c r="U17" s="408"/>
      <c r="V17" s="410">
        <f t="shared" ref="V17:V20" si="45">SUM(T17:U17)</f>
        <v>0</v>
      </c>
      <c r="W17" s="408">
        <f>IFERROR(IF($F17="Chính Thức",VLOOKUP($B17,' 5. Thông số TL'!$D$12:$S$34,6,0)/$G$4*($G17+$H17),IF($F17="Thử Việc",VLOOKUP($B17,' 5. Thông số TL'!$D$12:$S$34,6,0)/$G$4*($G17+$H17)*85%,"")),0)</f>
        <v>720000</v>
      </c>
      <c r="X17" s="408">
        <f>IFERROR(IF($F17="Chính Thức",VLOOKUP($B17,' 5. Thông số TL'!$D$12:$S$34,7,0)/$G$4*($G17+$H17),IF($F17="Thử Việc",VLOOKUP($B17,' 5. Thông số TL'!$D$12:$S$34,7,0)/$G$4*($G17+$H17)*85%,"")),0)</f>
        <v>400000</v>
      </c>
      <c r="Y17" s="408">
        <f>IFERROR(IF($F17="Chính Thức",VLOOKUP($B17,' 5. Thông số TL'!$D$12:$S$34,8,0)/$G$4*($G17+$H17),IF($F17="Thử Việc",VLOOKUP($B17,' 5. Thông số TL'!$D$12:$S$34,8,0)/$G$4*($G17+$H17)*85%,"")),0)</f>
        <v>400000</v>
      </c>
      <c r="Z17" s="408">
        <f t="shared" ref="Z17:Z20" si="46">SUM(W17:Y17)</f>
        <v>1520000</v>
      </c>
      <c r="AA17" s="408">
        <f>IFERROR(IF($F17="Chính Thức",VLOOKUP($B17,' 5. Thông số TL'!$D$12:$S$34,10,0)/$G$4*($G17+$H17),IF($F17="Thử Việc",VLOOKUP($B17,' 5. Thông số TL'!$D$12:$S$34,10,0)/$G$4*($G17+$H17)*85%,"")),0)</f>
        <v>0</v>
      </c>
      <c r="AB17" s="408"/>
      <c r="AC17" s="408">
        <f t="shared" ref="AC17:AC20" si="47">SUM(AA17:AB17)</f>
        <v>0</v>
      </c>
      <c r="AD17" s="410">
        <f t="shared" ref="AD17:AD20" si="48">Z17+AC17</f>
        <v>1520000</v>
      </c>
      <c r="AE17" s="410">
        <f t="shared" ref="AE17:AE20" si="49">L17+O17+S17+V17+AD17</f>
        <v>7556500</v>
      </c>
      <c r="AF17" s="408">
        <f t="shared" ref="AF17:AF19" si="50">IF(F17="Chính Thức",AE17-Z17,IF(F17="Thử Việc",AE17-W17-X17,IF(F17="CTV",AE17,0)))</f>
        <v>6036500</v>
      </c>
      <c r="AG17" s="413">
        <f t="shared" ref="AG17:AI19" si="51">IFERROR(IF(AND($F17="Chính Thức",($G17+$H17)&gt;=11),$J17*AG$8,IF(AND($F17="Chính Thức",($G17+$H17)&lt;11,0),IF($F17="Thử Việc",0),"")),0)</f>
        <v>927499.99999999988</v>
      </c>
      <c r="AH17" s="413">
        <f t="shared" si="51"/>
        <v>159000</v>
      </c>
      <c r="AI17" s="413">
        <f t="shared" si="51"/>
        <v>53000</v>
      </c>
      <c r="AJ17" s="414">
        <f t="shared" ref="AJ17:AJ20" si="52">ROUND(SUM(AG17:AI17),0)</f>
        <v>1139500</v>
      </c>
      <c r="AK17" s="413">
        <f t="shared" ref="AK17:AM19" si="53">IFERROR(IF(AND($F17="Chính Thức",($G17+$H17)&gt;=11),$J17*AK$8,IF(AND($F17="Chính Thức",($G17+$H17)&lt;11,0),IF($F17="Thử Việc",0),"")),0)</f>
        <v>424000</v>
      </c>
      <c r="AL17" s="413">
        <f t="shared" si="53"/>
        <v>79500</v>
      </c>
      <c r="AM17" s="413">
        <f t="shared" si="53"/>
        <v>53000</v>
      </c>
      <c r="AN17" s="410">
        <f t="shared" ref="AN17:AN20" si="54">ROUND(SUM(AK17:AM17),-1)</f>
        <v>556500</v>
      </c>
      <c r="AO17" s="414">
        <f t="shared" ref="AO17:AO19" si="55">IF(F17="Chính Thức",$AO$10,0)</f>
        <v>15500000</v>
      </c>
      <c r="AP17" s="415"/>
      <c r="AQ17" s="408">
        <f t="shared" ref="AQ17:AQ20" si="56">AP17*$AQ$10</f>
        <v>0</v>
      </c>
      <c r="AR17" s="408">
        <f t="shared" ref="AR17:AR20" si="57">+AO17+AQ17</f>
        <v>15500000</v>
      </c>
      <c r="AS17" s="408">
        <f t="shared" ref="AS17:AS20" si="58">MAX(AF17-AR17-AN17,0)</f>
        <v>0</v>
      </c>
      <c r="AT17" s="410">
        <f t="shared" ref="AT17:AT19" si="59">IF(F17="Chính Thức",IF(AS17&lt;=0,,IF(AND(AS17&gt;0,AS17&lt;=5000000),5%*AS17,IF(AND(AS17&gt;5000000,AS17&lt;=10000000),10%*AS17-250000,IF(AND(AS17&gt;10000000,AS17&lt;=18000000),15%*AS17-750000,IF(AND(AS17&gt;18000000,AS17&lt;=32000000),20%*AS17-1650000,IF(AND(AS17&gt;32000000,AS17&lt;=52000000),25%*AS17-3250000,IF(AND(AS17&gt;52000000,AS17&lt;=80000000),30%*AS17-5850000,IF(AS17&gt;80000000,35%*AS17-9850000)))))))),IF(AND(F17="Thử Việc",AS17&gt;=2000000),AS17*10%,IF(F17="CTV",AS17*10%)))</f>
        <v>0</v>
      </c>
      <c r="AU17" s="408"/>
      <c r="AV17" s="410">
        <f t="shared" ref="AV17:AV20" si="60">ROUND(AE17-AN17-AT17+AU17,-2)</f>
        <v>7000000</v>
      </c>
      <c r="AW17" s="396"/>
    </row>
    <row r="18" spans="1:50" ht="58.5" customHeight="1" x14ac:dyDescent="0.25">
      <c r="A18" s="100">
        <f>SUBTOTAL(3,$C$11:C18)</f>
        <v>6</v>
      </c>
      <c r="B18" s="389" t="s">
        <v>366</v>
      </c>
      <c r="C18" s="406" t="str">
        <f>VLOOKUP(B18,' 5. Thông số TL'!$D$12:$E$25,2,0)</f>
        <v>Lương Văn Châm</v>
      </c>
      <c r="D18" s="407" t="s">
        <v>319</v>
      </c>
      <c r="E18" s="407" t="s">
        <v>372</v>
      </c>
      <c r="F18" s="408" t="str">
        <f>IFERROR(VLOOKUP($B18,'3. BẢNG CHẤM CÔNG'!$B$11:$AV$25,6,0),0)</f>
        <v>Chính Thức</v>
      </c>
      <c r="G18" s="409">
        <f>IFERROR(VLOOKUP($B18, '3. BẢNG CHẤM CÔNG'!$B$10:$AV33,43,0),0)</f>
        <v>23</v>
      </c>
      <c r="H18" s="409">
        <f>IFERROR(VLOOKUP($B18, '3. BẢNG CHẤM CÔNG'!$B$10:$AV33,44,0),0)</f>
        <v>0</v>
      </c>
      <c r="I18" s="409"/>
      <c r="J18" s="408">
        <f>IFERROR(VLOOKUP($B18,' 5. Thông số TL'!$D$12:$S$34,4,0),0)</f>
        <v>5300000</v>
      </c>
      <c r="K18" s="408">
        <f t="shared" si="42"/>
        <v>5300000</v>
      </c>
      <c r="L18" s="410">
        <f t="shared" si="43"/>
        <v>5300000</v>
      </c>
      <c r="M18" s="408">
        <f>IFERROR(VLOOKUP($B18,' 5. Thông số TL'!$D$12:$S$34,5,0),0)</f>
        <v>3736500</v>
      </c>
      <c r="N18" s="411">
        <v>1</v>
      </c>
      <c r="O18" s="408">
        <f t="shared" si="44"/>
        <v>3736500</v>
      </c>
      <c r="P18" s="408"/>
      <c r="Q18" s="412"/>
      <c r="R18" s="408"/>
      <c r="S18" s="410"/>
      <c r="T18" s="408"/>
      <c r="U18" s="408"/>
      <c r="V18" s="410">
        <f t="shared" si="45"/>
        <v>0</v>
      </c>
      <c r="W18" s="408">
        <f>IFERROR(IF($F18="Chính Thức",VLOOKUP($B18,' 5. Thông số TL'!$D$12:$S$34,6,0)/$G$4*($G18+$H18),IF($F18="Thử Việc",VLOOKUP($B18,' 5. Thông số TL'!$D$12:$S$34,6,0)/$G$4*($G18+$H18)*85%,"")),0)</f>
        <v>720000</v>
      </c>
      <c r="X18" s="408">
        <f>IFERROR(IF($F18="Chính Thức",VLOOKUP($B18,' 5. Thông số TL'!$D$12:$S$34,7,0)/$G$4*($G18+$H18),IF($F18="Thử Việc",VLOOKUP($B18,' 5. Thông số TL'!$D$12:$S$34,7,0)/$G$4*($G18+$H18)*85%,"")),0)</f>
        <v>400000</v>
      </c>
      <c r="Y18" s="408">
        <f>IFERROR(IF($F18="Chính Thức",VLOOKUP($B18,' 5. Thông số TL'!$D$12:$S$34,8,0)/$G$4*($G18+$H18),IF($F18="Thử Việc",VLOOKUP($B18,' 5. Thông số TL'!$D$12:$S$34,8,0)/$G$4*($G18+$H18)*85%,"")),0)</f>
        <v>400000</v>
      </c>
      <c r="Z18" s="408">
        <f t="shared" si="46"/>
        <v>1520000</v>
      </c>
      <c r="AA18" s="408">
        <f>IFERROR(IF($F18="Chính Thức",VLOOKUP($B18,' 5. Thông số TL'!$D$12:$S$34,10,0)/$G$4*($G18+$H18),IF($F18="Thử Việc",VLOOKUP($B18,' 5. Thông số TL'!$D$12:$S$34,10,0)/$G$4*($G18+$H18)*85%,"")),0)</f>
        <v>0</v>
      </c>
      <c r="AB18" s="408"/>
      <c r="AC18" s="408">
        <f t="shared" si="47"/>
        <v>0</v>
      </c>
      <c r="AD18" s="410">
        <f t="shared" si="48"/>
        <v>1520000</v>
      </c>
      <c r="AE18" s="410">
        <f t="shared" si="49"/>
        <v>10556500</v>
      </c>
      <c r="AF18" s="408">
        <f t="shared" si="50"/>
        <v>9036500</v>
      </c>
      <c r="AG18" s="413">
        <f t="shared" si="51"/>
        <v>927499.99999999988</v>
      </c>
      <c r="AH18" s="413">
        <f t="shared" si="51"/>
        <v>159000</v>
      </c>
      <c r="AI18" s="413">
        <f t="shared" si="51"/>
        <v>53000</v>
      </c>
      <c r="AJ18" s="414">
        <f t="shared" si="52"/>
        <v>1139500</v>
      </c>
      <c r="AK18" s="413">
        <f t="shared" si="53"/>
        <v>424000</v>
      </c>
      <c r="AL18" s="413">
        <f t="shared" si="53"/>
        <v>79500</v>
      </c>
      <c r="AM18" s="413">
        <f t="shared" si="53"/>
        <v>53000</v>
      </c>
      <c r="AN18" s="410">
        <f t="shared" si="54"/>
        <v>556500</v>
      </c>
      <c r="AO18" s="414">
        <f t="shared" si="55"/>
        <v>15500000</v>
      </c>
      <c r="AP18" s="415"/>
      <c r="AQ18" s="408">
        <f t="shared" si="56"/>
        <v>0</v>
      </c>
      <c r="AR18" s="408">
        <f t="shared" si="57"/>
        <v>15500000</v>
      </c>
      <c r="AS18" s="408">
        <f t="shared" si="58"/>
        <v>0</v>
      </c>
      <c r="AT18" s="410">
        <f t="shared" si="59"/>
        <v>0</v>
      </c>
      <c r="AU18" s="408"/>
      <c r="AV18" s="410">
        <f t="shared" si="60"/>
        <v>10000000</v>
      </c>
      <c r="AW18" s="396"/>
    </row>
    <row r="19" spans="1:50" ht="58.5" customHeight="1" x14ac:dyDescent="0.25">
      <c r="A19" s="100">
        <f>SUBTOTAL(3,$C$11:C19)</f>
        <v>7</v>
      </c>
      <c r="B19" s="389" t="s">
        <v>368</v>
      </c>
      <c r="C19" s="406" t="str">
        <f>VLOOKUP(B19,' 5. Thông số TL'!$D$12:$E$25,2,0)</f>
        <v>Nguyễn Thị Phúc</v>
      </c>
      <c r="D19" s="407" t="s">
        <v>319</v>
      </c>
      <c r="E19" s="407" t="s">
        <v>373</v>
      </c>
      <c r="F19" s="408" t="str">
        <f>IFERROR(VLOOKUP($B19,'3. BẢNG CHẤM CÔNG'!$B$11:$AV$25,6,0),0)</f>
        <v>Chính Thức</v>
      </c>
      <c r="G19" s="409">
        <f>IFERROR(VLOOKUP($B19, '3. BẢNG CHẤM CÔNG'!$B$10:$AV34,43,0),0)</f>
        <v>23</v>
      </c>
      <c r="H19" s="409">
        <f>IFERROR(VLOOKUP($B19, '3. BẢNG CHẤM CÔNG'!$B$10:$AV34,44,0),0)</f>
        <v>0</v>
      </c>
      <c r="I19" s="409"/>
      <c r="J19" s="408">
        <f>IFERROR(VLOOKUP($B19,' 5. Thông số TL'!$D$12:$S$34,4,0),0)</f>
        <v>5500000</v>
      </c>
      <c r="K19" s="408">
        <f t="shared" si="42"/>
        <v>5500000</v>
      </c>
      <c r="L19" s="410">
        <f t="shared" si="43"/>
        <v>5500000</v>
      </c>
      <c r="M19" s="408">
        <f>IFERROR(VLOOKUP($B19,' 5. Thông số TL'!$D$12:$S$34,5,0),0)</f>
        <v>3457500</v>
      </c>
      <c r="N19" s="411">
        <v>1</v>
      </c>
      <c r="O19" s="408">
        <f t="shared" si="44"/>
        <v>3457500</v>
      </c>
      <c r="P19" s="408"/>
      <c r="Q19" s="412"/>
      <c r="R19" s="408"/>
      <c r="S19" s="410"/>
      <c r="T19" s="408"/>
      <c r="U19" s="408"/>
      <c r="V19" s="410">
        <f t="shared" si="45"/>
        <v>0</v>
      </c>
      <c r="W19" s="408">
        <f>IFERROR(IF($F19="Chính Thức",VLOOKUP($B19,' 5. Thông số TL'!$D$12:$S$34,6,0)/$G$4*($G19+$H19),IF($F19="Thử Việc",VLOOKUP($B19,' 5. Thông số TL'!$D$12:$S$34,6,0)/$G$4*($G19+$H19)*85%,"")),0)</f>
        <v>720000</v>
      </c>
      <c r="X19" s="408">
        <f>IFERROR(IF($F19="Chính Thức",VLOOKUP($B19,' 5. Thông số TL'!$D$12:$S$34,7,0)/$G$4*($G19+$H19),IF($F19="Thử Việc",VLOOKUP($B19,' 5. Thông số TL'!$D$12:$S$34,7,0)/$G$4*($G19+$H19)*85%,"")),0)</f>
        <v>400000</v>
      </c>
      <c r="Y19" s="408">
        <f>IFERROR(IF($F19="Chính Thức",VLOOKUP($B19,' 5. Thông số TL'!$D$12:$S$34,8,0)/$G$4*($G19+$H19),IF($F19="Thử Việc",VLOOKUP($B19,' 5. Thông số TL'!$D$12:$S$34,8,0)/$G$4*($G19+$H19)*85%,"")),0)</f>
        <v>500000</v>
      </c>
      <c r="Z19" s="408">
        <f t="shared" si="46"/>
        <v>1620000</v>
      </c>
      <c r="AA19" s="408">
        <f>IFERROR(IF($F19="Chính Thức",VLOOKUP($B19,' 5. Thông số TL'!$D$12:$S$34,10,0)/$G$4*($G19+$H19),IF($F19="Thử Việc",VLOOKUP($B19,' 5. Thông số TL'!$D$12:$S$34,10,0)/$G$4*($G19+$H19)*85%,"")),0)</f>
        <v>0</v>
      </c>
      <c r="AB19" s="408"/>
      <c r="AC19" s="408">
        <f t="shared" si="47"/>
        <v>0</v>
      </c>
      <c r="AD19" s="410">
        <f t="shared" si="48"/>
        <v>1620000</v>
      </c>
      <c r="AE19" s="410">
        <f t="shared" si="49"/>
        <v>10577500</v>
      </c>
      <c r="AF19" s="408">
        <f t="shared" si="50"/>
        <v>8957500</v>
      </c>
      <c r="AG19" s="413">
        <f t="shared" si="51"/>
        <v>962499.99999999988</v>
      </c>
      <c r="AH19" s="413">
        <f t="shared" si="51"/>
        <v>165000</v>
      </c>
      <c r="AI19" s="413">
        <f t="shared" si="51"/>
        <v>55000</v>
      </c>
      <c r="AJ19" s="414">
        <f t="shared" si="52"/>
        <v>1182500</v>
      </c>
      <c r="AK19" s="413">
        <f t="shared" si="53"/>
        <v>440000</v>
      </c>
      <c r="AL19" s="413">
        <f t="shared" si="53"/>
        <v>82500</v>
      </c>
      <c r="AM19" s="413">
        <f t="shared" si="53"/>
        <v>55000</v>
      </c>
      <c r="AN19" s="410">
        <f t="shared" si="54"/>
        <v>577500</v>
      </c>
      <c r="AO19" s="414">
        <f t="shared" si="55"/>
        <v>15500000</v>
      </c>
      <c r="AP19" s="415"/>
      <c r="AQ19" s="408">
        <f t="shared" si="56"/>
        <v>0</v>
      </c>
      <c r="AR19" s="408">
        <f t="shared" si="57"/>
        <v>15500000</v>
      </c>
      <c r="AS19" s="408">
        <f t="shared" si="58"/>
        <v>0</v>
      </c>
      <c r="AT19" s="410">
        <f t="shared" si="59"/>
        <v>0</v>
      </c>
      <c r="AU19" s="408"/>
      <c r="AV19" s="410">
        <f t="shared" si="60"/>
        <v>10000000</v>
      </c>
      <c r="AW19" s="396"/>
    </row>
    <row r="20" spans="1:50" ht="58.5" customHeight="1" x14ac:dyDescent="0.25">
      <c r="A20" s="100">
        <f>SUBTOTAL(3,$C$11:C20)</f>
        <v>8</v>
      </c>
      <c r="B20" s="389" t="s">
        <v>387</v>
      </c>
      <c r="C20" s="406" t="s">
        <v>388</v>
      </c>
      <c r="D20" s="407" t="s">
        <v>319</v>
      </c>
      <c r="E20" s="407" t="s">
        <v>386</v>
      </c>
      <c r="F20" s="408" t="str">
        <f>IFERROR(VLOOKUP($B20,'3. BẢNG CHẤM CÔNG'!$B$11:$AV$25,6,0),0)</f>
        <v>Chính Thức</v>
      </c>
      <c r="G20" s="223">
        <f>IFERROR(VLOOKUP($B20, '3. BẢNG CHẤM CÔNG'!$B$10:$AV36,43,0),0)</f>
        <v>23</v>
      </c>
      <c r="H20" s="409">
        <f>IFERROR(VLOOKUP($B20, '3. BẢNG CHẤM CÔNG'!$B$10:$AV35,44,0),0)</f>
        <v>0</v>
      </c>
      <c r="I20" s="409"/>
      <c r="J20" s="408">
        <f>IFERROR(VLOOKUP($B20,' 5. Thông số TL'!$D$12:$S$34,4,0),0)</f>
        <v>5300000</v>
      </c>
      <c r="K20" s="408">
        <f>IFERROR(IF($F20="Chính Thức",$J20/$G$4*($G20+$H20),IF($F20="Thử Việc",$J20/$G$4*($G20+$H20)*85%,"")),0)</f>
        <v>5300000</v>
      </c>
      <c r="L20" s="410">
        <f t="shared" si="43"/>
        <v>5300000</v>
      </c>
      <c r="M20" s="408">
        <f>IFERROR(VLOOKUP($B20,' 5. Thông số TL'!$D$12:$S$34,5,0),0)</f>
        <v>2736500</v>
      </c>
      <c r="N20" s="411">
        <v>1</v>
      </c>
      <c r="O20" s="408">
        <f>IFERROR(IF($F20="Chính Thức",$M20/$G$4*($G20+$H20)*N20,IF($F20="Thử Việc",$M20/$G$4*N20*($G20+$H20)*85%)),0)</f>
        <v>2736500</v>
      </c>
      <c r="P20" s="408"/>
      <c r="Q20" s="412"/>
      <c r="R20" s="408"/>
      <c r="S20" s="410"/>
      <c r="T20" s="408"/>
      <c r="U20" s="408"/>
      <c r="V20" s="410">
        <f t="shared" si="45"/>
        <v>0</v>
      </c>
      <c r="W20" s="408">
        <f>IFERROR(IF($F20="Chính Thức",VLOOKUP($B20,' 5. Thông số TL'!$D$12:$S$34,6,0)/$G$4*($G20+$H20),IF($F20="Thử Việc",VLOOKUP($B20,' 5. Thông số TL'!$D$12:$S$34,6,0)/$G$4*($G20+$H20)*85%,"")),0)</f>
        <v>720000</v>
      </c>
      <c r="X20" s="408">
        <f>IFERROR(IF($F20="Chính Thức",VLOOKUP($B20,' 5. Thông số TL'!$D$12:$S$34,7,0)/$G$4*($G20+$H20),IF($F20="Thử Việc",VLOOKUP($B20,' 5. Thông số TL'!$D$12:$S$34,7,0)/$G$4*($G20+$H20)*85%,"")),0)</f>
        <v>400000</v>
      </c>
      <c r="Y20" s="408">
        <f>IFERROR(IF($F20="Chính Thức",VLOOKUP($B20,' 5. Thông số TL'!$D$12:$S$34,8,0)/$G$4*($G20+$H20),IF($F20="Thử Việc",VLOOKUP($B20,' 5. Thông số TL'!$D$12:$S$34,8,0)/$G$4*($G20+$H20)*85%,"")),0)</f>
        <v>400000</v>
      </c>
      <c r="Z20" s="408">
        <f t="shared" si="46"/>
        <v>1520000</v>
      </c>
      <c r="AA20" s="408">
        <f>IFERROR(IF($F20="Chính Thức",VLOOKUP($B20,' 5. Thông số TL'!$D$12:$S$34,10,0)/$G$4*($G20+$H20),IF($F20="Thử Việc",VLOOKUP($B20,' 5. Thông số TL'!$D$12:$S$34,10,0)/$G$4*($G20+$H20)*85%,"")),0)</f>
        <v>0</v>
      </c>
      <c r="AB20" s="408"/>
      <c r="AC20" s="408">
        <f t="shared" si="47"/>
        <v>0</v>
      </c>
      <c r="AD20" s="410">
        <f t="shared" si="48"/>
        <v>1520000</v>
      </c>
      <c r="AE20" s="410">
        <f t="shared" si="49"/>
        <v>9556500</v>
      </c>
      <c r="AF20" s="408">
        <f>IF(F20="Chính Thức",AE20-Z20,IF(F20="Thử Việc",AE20-W20-X20,IF(F20="CTV",AE20,0)))</f>
        <v>8036500</v>
      </c>
      <c r="AG20" s="413">
        <f>IFERROR(IF(AND($F20="Chính Thức",($G20+$H20)&gt;=11),$J20*AG$8,IF(AND($F20="Chính Thức",($G20+$H20)&lt;11,0),IF($F20="Thử Việc",0),"")),0)</f>
        <v>927499.99999999988</v>
      </c>
      <c r="AH20" s="413">
        <f>IFERROR(IF(AND($F20="Chính Thức",($G20+$H20)&gt;=11),$J20*AH$8,IF(AND($F20="Chính Thức",($G20+$H20)&lt;11,0),IF($F20="Thử Việc",0),"")),0)</f>
        <v>159000</v>
      </c>
      <c r="AI20" s="413">
        <f>IFERROR(IF(AND($F20="Chính Thức",($G20+$H20)&gt;=11),$J20*AI$8,IF(AND($F20="Chính Thức",($G20+$H20)&lt;11,0),IF($F20="Thử Việc",0),"")),0)</f>
        <v>53000</v>
      </c>
      <c r="AJ20" s="414">
        <f t="shared" si="52"/>
        <v>1139500</v>
      </c>
      <c r="AK20" s="413">
        <f>IFERROR(IF(AND($F20="Chính Thức",($G20+$H20)&gt;=11),$J20*AK$8,IF(AND($F20="Chính Thức",($G20+$H20)&lt;11,0),IF($F20="Thử Việc",0),"")),0)</f>
        <v>424000</v>
      </c>
      <c r="AL20" s="413">
        <f>IFERROR(IF(AND($F20="Chính Thức",($G20+$H20)&gt;=11),$J20*AL$8,IF(AND($F20="Chính Thức",($G20+$H20)&lt;11,0),IF($F20="Thử Việc",0),"")),0)</f>
        <v>79500</v>
      </c>
      <c r="AM20" s="413">
        <f>IFERROR(IF(AND($F20="Chính Thức",($G20+$H20)&gt;=11),$J20*AM$8,IF(AND($F20="Chính Thức",($G20+$H20)&lt;11,0),IF($F20="Thử Việc",0),"")),0)</f>
        <v>53000</v>
      </c>
      <c r="AN20" s="410">
        <f t="shared" si="54"/>
        <v>556500</v>
      </c>
      <c r="AO20" s="414">
        <f>IF(F20="Chính Thức",$AO$10,0)</f>
        <v>15500000</v>
      </c>
      <c r="AP20" s="415"/>
      <c r="AQ20" s="408">
        <f t="shared" si="56"/>
        <v>0</v>
      </c>
      <c r="AR20" s="408">
        <f t="shared" si="57"/>
        <v>15500000</v>
      </c>
      <c r="AS20" s="408">
        <f t="shared" si="58"/>
        <v>0</v>
      </c>
      <c r="AT20" s="410">
        <f>IF(F20="Chính Thức",IF(AS20&lt;=0,,IF(AND(AS20&gt;0,AS20&lt;=5000000),5%*AS20,IF(AND(AS20&gt;5000000,AS20&lt;=10000000),10%*AS20-250000,IF(AND(AS20&gt;10000000,AS20&lt;=18000000),15%*AS20-750000,IF(AND(AS20&gt;18000000,AS20&lt;=32000000),20%*AS20-1650000,IF(AND(AS20&gt;32000000,AS20&lt;=52000000),25%*AS20-3250000,IF(AND(AS20&gt;52000000,AS20&lt;=80000000),30%*AS20-5850000,IF(AS20&gt;80000000,35%*AS20-9850000)))))))),IF(AND(F20="Thử Việc",AS20&gt;=2000000),AS20*10%,IF(F20="CTV",AS20*10%)))</f>
        <v>0</v>
      </c>
      <c r="AU20" s="408"/>
      <c r="AV20" s="410">
        <f t="shared" si="60"/>
        <v>9000000</v>
      </c>
      <c r="AW20" s="396"/>
    </row>
    <row r="21" spans="1:50" ht="58.5" customHeight="1" x14ac:dyDescent="0.25">
      <c r="A21" s="404"/>
      <c r="B21" s="405" t="s">
        <v>338</v>
      </c>
      <c r="C21" s="406"/>
      <c r="D21" s="407"/>
      <c r="E21" s="407"/>
      <c r="F21" s="408"/>
      <c r="G21" s="409"/>
      <c r="H21" s="409"/>
      <c r="I21" s="409"/>
      <c r="J21" s="416">
        <f>J22+J23+J24+J25+J26+J27</f>
        <v>33000000</v>
      </c>
      <c r="K21" s="416">
        <f t="shared" ref="K21:AV21" si="61">K22+K23+K24+K25+K26+K27</f>
        <v>31475543.478260867</v>
      </c>
      <c r="L21" s="416">
        <f t="shared" si="61"/>
        <v>31475543.478260867</v>
      </c>
      <c r="M21" s="416">
        <f t="shared" si="61"/>
        <v>62594150</v>
      </c>
      <c r="N21" s="416">
        <f t="shared" si="61"/>
        <v>6</v>
      </c>
      <c r="O21" s="416">
        <f t="shared" si="61"/>
        <v>57076130.978260875</v>
      </c>
      <c r="P21" s="416">
        <f t="shared" si="61"/>
        <v>0</v>
      </c>
      <c r="Q21" s="416">
        <f t="shared" si="61"/>
        <v>0</v>
      </c>
      <c r="R21" s="416">
        <f t="shared" si="61"/>
        <v>0</v>
      </c>
      <c r="S21" s="416">
        <f t="shared" si="61"/>
        <v>0</v>
      </c>
      <c r="T21" s="416">
        <f t="shared" si="61"/>
        <v>0</v>
      </c>
      <c r="U21" s="416">
        <f t="shared" si="61"/>
        <v>0</v>
      </c>
      <c r="V21" s="416">
        <f t="shared" si="61"/>
        <v>0</v>
      </c>
      <c r="W21" s="416">
        <f t="shared" si="61"/>
        <v>4120434.7826086958</v>
      </c>
      <c r="X21" s="416">
        <f t="shared" si="61"/>
        <v>2289130.4347826089</v>
      </c>
      <c r="Y21" s="416">
        <f t="shared" si="61"/>
        <v>3217934.7826086958</v>
      </c>
      <c r="Z21" s="416">
        <f t="shared" si="61"/>
        <v>9627500</v>
      </c>
      <c r="AA21" s="416">
        <f t="shared" si="61"/>
        <v>0</v>
      </c>
      <c r="AB21" s="416">
        <f t="shared" si="61"/>
        <v>0</v>
      </c>
      <c r="AC21" s="416">
        <f t="shared" si="61"/>
        <v>0</v>
      </c>
      <c r="AD21" s="416">
        <f t="shared" si="61"/>
        <v>9627500</v>
      </c>
      <c r="AE21" s="416">
        <f t="shared" si="61"/>
        <v>98179174.456521735</v>
      </c>
      <c r="AF21" s="416">
        <f t="shared" si="61"/>
        <v>88967435.326086953</v>
      </c>
      <c r="AG21" s="416" t="e">
        <f t="shared" si="61"/>
        <v>#VALUE!</v>
      </c>
      <c r="AH21" s="416" t="e">
        <f t="shared" si="61"/>
        <v>#VALUE!</v>
      </c>
      <c r="AI21" s="416" t="e">
        <f t="shared" si="61"/>
        <v>#VALUE!</v>
      </c>
      <c r="AJ21" s="416">
        <f t="shared" si="61"/>
        <v>4730000</v>
      </c>
      <c r="AK21" s="416" t="e">
        <f t="shared" si="61"/>
        <v>#VALUE!</v>
      </c>
      <c r="AL21" s="416" t="e">
        <f t="shared" si="61"/>
        <v>#VALUE!</v>
      </c>
      <c r="AM21" s="416" t="e">
        <f t="shared" si="61"/>
        <v>#VALUE!</v>
      </c>
      <c r="AN21" s="416">
        <f t="shared" si="61"/>
        <v>2310000</v>
      </c>
      <c r="AO21" s="416">
        <f t="shared" si="61"/>
        <v>77500000</v>
      </c>
      <c r="AP21" s="416">
        <f t="shared" si="61"/>
        <v>0</v>
      </c>
      <c r="AQ21" s="416">
        <f t="shared" si="61"/>
        <v>0</v>
      </c>
      <c r="AR21" s="416">
        <f t="shared" si="61"/>
        <v>77500000</v>
      </c>
      <c r="AS21" s="416">
        <f t="shared" si="61"/>
        <v>36637435.326086953</v>
      </c>
      <c r="AT21" s="416">
        <f t="shared" si="61"/>
        <v>4724771.0326086953</v>
      </c>
      <c r="AU21" s="416">
        <f t="shared" si="61"/>
        <v>0</v>
      </c>
      <c r="AV21" s="416">
        <f t="shared" si="61"/>
        <v>91144400</v>
      </c>
      <c r="AW21" s="396"/>
    </row>
    <row r="22" spans="1:50" ht="58.5" customHeight="1" x14ac:dyDescent="0.25">
      <c r="A22" s="100">
        <f>SUBTOTAL(3,$C$11:C22)</f>
        <v>9</v>
      </c>
      <c r="B22" s="389" t="s">
        <v>335</v>
      </c>
      <c r="C22" s="406" t="s">
        <v>337</v>
      </c>
      <c r="D22" s="407" t="s">
        <v>338</v>
      </c>
      <c r="E22" s="407" t="s">
        <v>336</v>
      </c>
      <c r="F22" s="408" t="str">
        <f>IFERROR(VLOOKUP($B22,'3. BẢNG CHẤM CÔNG'!$B$11:$AV$25,6,0),0)</f>
        <v>Chính Thức</v>
      </c>
      <c r="G22" s="409">
        <f>IFERROR(VLOOKUP($B22, '3. BẢNG CHẤM CÔNG'!$B$10:$AV33,43,0),0)</f>
        <v>20.5</v>
      </c>
      <c r="H22" s="409">
        <f>IFERROR(VLOOKUP($B22, '3. BẢNG CHẤM CÔNG'!$B$10:$AV33,44,0),0)</f>
        <v>0</v>
      </c>
      <c r="I22" s="409"/>
      <c r="J22" s="408">
        <f>IFERROR(VLOOKUP($B22,' 5. Thông số TL'!$D$12:$S$34,4,0),0)</f>
        <v>5500000</v>
      </c>
      <c r="K22" s="408">
        <f t="shared" ref="K22:K24" si="62">IFERROR(IF($F22="Chính Thức",$J22/$G$4*($G22+$H22),IF($F22="Thử Việc",$J22/$G$4*($G22+$H22)*85%,"")),0)</f>
        <v>4902173.9130434785</v>
      </c>
      <c r="L22" s="410">
        <f t="shared" ref="L22:L23" si="63">SUM(K22)</f>
        <v>4902173.9130434785</v>
      </c>
      <c r="M22" s="408">
        <f>IFERROR(VLOOKUP($B22,' 5. Thông số TL'!$D$12:$S$34,5,0),0)</f>
        <v>42306650</v>
      </c>
      <c r="N22" s="411">
        <v>1</v>
      </c>
      <c r="O22" s="408">
        <f t="shared" ref="O22:O24" si="64">IFERROR(IF($F22="Chính Thức",$M22/$G$4*($G22+$H22)*N22,IF($F22="Thử Việc",$M22/$G$4*N22*($G22+$H22)*85%)),0)</f>
        <v>37708101.086956523</v>
      </c>
      <c r="P22" s="408"/>
      <c r="Q22" s="412"/>
      <c r="R22" s="408"/>
      <c r="S22" s="410"/>
      <c r="T22" s="408"/>
      <c r="U22" s="408"/>
      <c r="V22" s="410">
        <f t="shared" ref="V22:V23" si="65">SUM(T22:U22)</f>
        <v>0</v>
      </c>
      <c r="W22" s="408">
        <f>IFERROR(IF($F22="Chính Thức",VLOOKUP($B22,' 5. Thông số TL'!$D$12:$S$34,6,0)/$G$4*($G22+$H22),IF($F22="Thử Việc",VLOOKUP($B22,' 5. Thông số TL'!$D$12:$S$34,6,0)/$G$4*($G22+$H22)*85%,"")),0)</f>
        <v>641739.13043478259</v>
      </c>
      <c r="X22" s="408">
        <f>IFERROR(IF($F22="Chính Thức",VLOOKUP($B22,' 5. Thông số TL'!$D$12:$S$34,7,0)/$G$4*($G22+$H22),IF($F22="Thử Việc",VLOOKUP($B22,' 5. Thông số TL'!$D$12:$S$34,7,0)/$G$4*($G22+$H22)*85%,"")),0)</f>
        <v>356521.73913043481</v>
      </c>
      <c r="Y22" s="408">
        <f>IFERROR(IF($F22="Chính Thức",VLOOKUP($B22,' 5. Thông số TL'!$D$12:$S$34,8,0)/$G$4*($G22+$H22),IF($F22="Thử Việc",VLOOKUP($B22,' 5. Thông số TL'!$D$12:$S$34,8,0)/$G$4*($G22+$H22)*85%,"")),0)</f>
        <v>802173.91304347827</v>
      </c>
      <c r="Z22" s="408">
        <f t="shared" ref="Z22:Z23" si="66">SUM(W22:Y22)</f>
        <v>1800434.7826086958</v>
      </c>
      <c r="AA22" s="408">
        <f>IFERROR(IF($F22="Chính Thức",VLOOKUP($B22,' 5. Thông số TL'!$D$12:$S$34,10,0)/$G$4*($G22+$H22),IF($F22="Thử Việc",VLOOKUP($B22,' 5. Thông số TL'!$D$12:$S$34,10,0)/$G$4*($G22+$H22)*85%,"")),0)</f>
        <v>0</v>
      </c>
      <c r="AB22" s="408"/>
      <c r="AC22" s="408">
        <f t="shared" ref="AC22:AC23" si="67">SUM(AA22:AB22)</f>
        <v>0</v>
      </c>
      <c r="AD22" s="410">
        <f t="shared" ref="AD22:AD23" si="68">Z22+AC22</f>
        <v>1800434.7826086958</v>
      </c>
      <c r="AE22" s="410">
        <f t="shared" ref="AE22:AE23" si="69">L22+O22+S22+V22+AD22</f>
        <v>44410709.782608695</v>
      </c>
      <c r="AF22" s="408">
        <f>IF(F22="Chính Thức",AE22-Z22,IF(F22="Thử Việc",AE22,IF(F22="CTV",AE22,0)))</f>
        <v>42610275</v>
      </c>
      <c r="AG22" s="413">
        <v>0</v>
      </c>
      <c r="AH22" s="413">
        <v>0</v>
      </c>
      <c r="AI22" s="413">
        <v>0</v>
      </c>
      <c r="AJ22" s="413">
        <v>0</v>
      </c>
      <c r="AK22" s="413">
        <v>0</v>
      </c>
      <c r="AL22" s="413">
        <v>0</v>
      </c>
      <c r="AM22" s="413">
        <v>0</v>
      </c>
      <c r="AN22" s="413">
        <v>0</v>
      </c>
      <c r="AO22" s="414">
        <f t="shared" ref="AO22:AO24" si="70">IF(F22="Chính Thức",$AO$10,0)</f>
        <v>15500000</v>
      </c>
      <c r="AP22" s="415"/>
      <c r="AQ22" s="408">
        <f t="shared" ref="AQ22:AQ23" si="71">AP22*$AQ$10</f>
        <v>0</v>
      </c>
      <c r="AR22" s="408">
        <f t="shared" ref="AR22:AR23" si="72">+AO22+AQ22</f>
        <v>15500000</v>
      </c>
      <c r="AS22" s="408">
        <f t="shared" ref="AS22:AS23" si="73">MAX(AF22-AR22-AN22,0)</f>
        <v>27110275</v>
      </c>
      <c r="AT22" s="410">
        <f>IF(F22="Chính Thức",IF(AS22&lt;=0,,IF(AND(AS22&gt;0,AS22&lt;=5000000),5%*AS22,IF(AND(AS22&gt;5000000,AS22&lt;=10000000),10%*AS22-250000,IF(AND(AS22&gt;10000000,AS22&lt;=18000000),15%*AS22-750000,IF(AND(AS22&gt;18000000,AS22&lt;=32000000),20%*AS22-1650000,IF(AND(AS22&gt;32000000,AS22&lt;=52000000),25%*AS22-3250000,IF(AND(AS22&gt;52000000,AS22&lt;=80000000),30%*AS22-5850000,IF(AS22&gt;80000000,35%*AS22-9850000)))))))),IF(AND(F22="Thử Việc",AS22&gt;=2000000),AS22*20%,IF(F22="CTV",AS22*10%)))</f>
        <v>3772055</v>
      </c>
      <c r="AU22" s="408"/>
      <c r="AV22" s="410">
        <f t="shared" ref="AV22:AV23" si="74">ROUND(AE22-AN22-AT22+AU22,-2)</f>
        <v>40638700</v>
      </c>
      <c r="AW22" s="396"/>
    </row>
    <row r="23" spans="1:50" ht="58.5" customHeight="1" x14ac:dyDescent="0.25">
      <c r="A23" s="100">
        <f>SUBTOTAL(3,$C$11:C23)</f>
        <v>10</v>
      </c>
      <c r="B23" s="389" t="s">
        <v>348</v>
      </c>
      <c r="C23" s="374" t="s">
        <v>377</v>
      </c>
      <c r="D23" s="407" t="s">
        <v>338</v>
      </c>
      <c r="E23" s="407" t="s">
        <v>349</v>
      </c>
      <c r="F23" s="408" t="str">
        <f>IFERROR(VLOOKUP($B23,'3. BẢNG CHẤM CÔNG'!$B$11:$AV$25,6,0),0)</f>
        <v>Chính Thức</v>
      </c>
      <c r="G23" s="409">
        <f>IFERROR(VLOOKUP($B23, '3. BẢNG CHẤM CÔNG'!$B$10:$AV35,43,0),0)</f>
        <v>23</v>
      </c>
      <c r="H23" s="409">
        <f>IFERROR(VLOOKUP($B23, '3. BẢNG CHẤM CÔNG'!$B$10:$AV35,44,0),0)</f>
        <v>0</v>
      </c>
      <c r="I23" s="409"/>
      <c r="J23" s="408">
        <f>IFERROR(VLOOKUP($B23,' 5. Thông số TL'!$D$12:$S$34,4,0),0)</f>
        <v>5500000</v>
      </c>
      <c r="K23" s="408">
        <f t="shared" si="62"/>
        <v>5500000</v>
      </c>
      <c r="L23" s="410">
        <f t="shared" si="63"/>
        <v>5500000</v>
      </c>
      <c r="M23" s="408">
        <f>IFERROR(VLOOKUP($B23,' 5. Thông số TL'!$D$12:$S$34,5,0),0)</f>
        <v>2457500</v>
      </c>
      <c r="N23" s="411">
        <v>1</v>
      </c>
      <c r="O23" s="408">
        <f t="shared" si="64"/>
        <v>2457500</v>
      </c>
      <c r="P23" s="408"/>
      <c r="Q23" s="412"/>
      <c r="R23" s="408"/>
      <c r="S23" s="410"/>
      <c r="T23" s="408"/>
      <c r="U23" s="408"/>
      <c r="V23" s="410">
        <f t="shared" si="65"/>
        <v>0</v>
      </c>
      <c r="W23" s="408">
        <f>IFERROR(IF($F23="Chính Thức",VLOOKUP($B23,' 5. Thông số TL'!$D$12:$S$34,6,0)/$G$4*($G23+$H23),IF($F23="Thử Việc",VLOOKUP($B23,' 5. Thông số TL'!$D$12:$S$34,6,0)/$G$4*($G23+$H23)*85%,"")),0)</f>
        <v>720000</v>
      </c>
      <c r="X23" s="408">
        <f>IFERROR(IF($F23="Chính Thức",VLOOKUP($B23,' 5. Thông số TL'!$D$12:$S$34,7,0)/$G$4*($G23+$H23),IF($F23="Thử Việc",VLOOKUP($B23,' 5. Thông số TL'!$D$12:$S$34,7,0)/$G$4*($G23+$H23)*85%,"")),0)</f>
        <v>400000</v>
      </c>
      <c r="Y23" s="408">
        <f>IFERROR(IF($F23="Chính Thức",VLOOKUP($B23,' 5. Thông số TL'!$D$12:$S$34,8,0)/$G$4*($G23+$H23),IF($F23="Thử Việc",VLOOKUP($B23,' 5. Thông số TL'!$D$12:$S$34,8,0)/$G$4*($G23+$H23)*85%,"")),0)</f>
        <v>500000</v>
      </c>
      <c r="Z23" s="408">
        <f t="shared" si="66"/>
        <v>1620000</v>
      </c>
      <c r="AA23" s="408">
        <f>IFERROR(IF($F23="Chính Thức",VLOOKUP($B23,' 5. Thông số TL'!$D$12:$S$34,10,0)/$G$4*($G23+$H23),IF($F23="Thử Việc",VLOOKUP($B23,' 5. Thông số TL'!$D$12:$S$34,10,0)/$G$4*($G23+$H23)*85%,"")),0)</f>
        <v>0</v>
      </c>
      <c r="AB23" s="408"/>
      <c r="AC23" s="408">
        <f t="shared" si="67"/>
        <v>0</v>
      </c>
      <c r="AD23" s="410">
        <f t="shared" si="68"/>
        <v>1620000</v>
      </c>
      <c r="AE23" s="410">
        <f t="shared" si="69"/>
        <v>9577500</v>
      </c>
      <c r="AF23" s="408">
        <f>IF(F23="Chính Thức",AE23-Z23,IF(F23="Thử Việc",AE23,IF(F23="CTV",AE23,0)))</f>
        <v>7957500</v>
      </c>
      <c r="AG23" s="413">
        <f t="shared" ref="AG23:AI27" si="75">IFERROR(IF(AND($F23="Chính Thức",($G23+$H23)&gt;=11),$J23*AG$8,IF(AND($F23="Chính Thức",($G23+$H23)&lt;11,0),IF($F23="Thử Việc",0),"")),0)</f>
        <v>962499.99999999988</v>
      </c>
      <c r="AH23" s="413">
        <f t="shared" si="75"/>
        <v>165000</v>
      </c>
      <c r="AI23" s="413">
        <f t="shared" si="75"/>
        <v>55000</v>
      </c>
      <c r="AJ23" s="414">
        <f t="shared" ref="AJ23" si="76">ROUND(SUM(AG23:AI23),0)</f>
        <v>1182500</v>
      </c>
      <c r="AK23" s="413">
        <f t="shared" ref="AK23:AM27" si="77">IFERROR(IF(AND($F23="Chính Thức",($G23+$H23)&gt;=11),$J23*AK$8,IF(AND($F23="Chính Thức",($G23+$H23)&lt;11,0),IF($F23="Thử Việc",0),"")),0)</f>
        <v>440000</v>
      </c>
      <c r="AL23" s="413">
        <f t="shared" si="77"/>
        <v>82500</v>
      </c>
      <c r="AM23" s="413">
        <f t="shared" si="77"/>
        <v>55000</v>
      </c>
      <c r="AN23" s="410">
        <f t="shared" ref="AN23" si="78">ROUND(SUM(AK23:AM23),-1)</f>
        <v>577500</v>
      </c>
      <c r="AO23" s="414">
        <f t="shared" si="70"/>
        <v>15500000</v>
      </c>
      <c r="AP23" s="415"/>
      <c r="AQ23" s="408">
        <f t="shared" si="71"/>
        <v>0</v>
      </c>
      <c r="AR23" s="408">
        <f t="shared" si="72"/>
        <v>15500000</v>
      </c>
      <c r="AS23" s="408">
        <f t="shared" si="73"/>
        <v>0</v>
      </c>
      <c r="AT23" s="410">
        <f>IF(F23="Chính Thức",IF(AS23&lt;=0,,IF(AND(AS23&gt;0,AS23&lt;=5000000),5%*AS23,IF(AND(AS23&gt;5000000,AS23&lt;=10000000),10%*AS23-250000,IF(AND(AS23&gt;10000000,AS23&lt;=18000000),15%*AS23-750000,IF(AND(AS23&gt;18000000,AS23&lt;=32000000),20%*AS23-1650000,IF(AND(AS23&gt;32000000,AS23&lt;=52000000),25%*AS23-3250000,IF(AND(AS23&gt;52000000,AS23&lt;=80000000),30%*AS23-5850000,IF(AS23&gt;80000000,35%*AS23-9850000)))))))),IF(AND(F23="Thử Việc",AS23&gt;=2000000),AS23*20%,IF(F23="CTV",AS23*10%)))</f>
        <v>0</v>
      </c>
      <c r="AU23" s="408"/>
      <c r="AV23" s="410">
        <f t="shared" si="74"/>
        <v>9000000</v>
      </c>
      <c r="AW23" s="396"/>
      <c r="AX23" s="451"/>
    </row>
    <row r="24" spans="1:50" ht="58.5" customHeight="1" x14ac:dyDescent="0.25">
      <c r="A24" s="100">
        <f>SUBTOTAL(3,$C$11:C24)</f>
        <v>11</v>
      </c>
      <c r="B24" s="389" t="s">
        <v>362</v>
      </c>
      <c r="C24" s="374" t="s">
        <v>361</v>
      </c>
      <c r="D24" s="407" t="s">
        <v>338</v>
      </c>
      <c r="E24" s="407" t="s">
        <v>349</v>
      </c>
      <c r="F24" s="408" t="str">
        <f>IFERROR(VLOOKUP($B24,'3. BẢNG CHẤM CÔNG'!$B$11:$AV$26,6,0),0)</f>
        <v>Chính Thức</v>
      </c>
      <c r="G24" s="409">
        <f>IFERROR(VLOOKUP($B24, '3. BẢNG CHẤM CÔNG'!$B$10:$AV37,43,0),0)</f>
        <v>23</v>
      </c>
      <c r="H24" s="409">
        <f>IFERROR(VLOOKUP($B24, '3. BẢNG CHẤM CÔNG'!$B$10:$AV37,44,0),0)</f>
        <v>0</v>
      </c>
      <c r="I24" s="409"/>
      <c r="J24" s="408">
        <f>IFERROR(VLOOKUP($B24,' 5. Thông số TL'!$D$12:$S$34,4,0),0)</f>
        <v>5500000</v>
      </c>
      <c r="K24" s="408">
        <f t="shared" si="62"/>
        <v>5500000</v>
      </c>
      <c r="L24" s="410">
        <f t="shared" ref="L24" si="79">SUM(K24)</f>
        <v>5500000</v>
      </c>
      <c r="M24" s="408">
        <f>IFERROR(VLOOKUP($B24,' 5. Thông số TL'!$D$12:$S$34,5,0),0)</f>
        <v>2457500</v>
      </c>
      <c r="N24" s="411">
        <v>1</v>
      </c>
      <c r="O24" s="408">
        <f t="shared" si="64"/>
        <v>2457500</v>
      </c>
      <c r="P24" s="408"/>
      <c r="Q24" s="412"/>
      <c r="R24" s="408"/>
      <c r="S24" s="410"/>
      <c r="T24" s="408"/>
      <c r="U24" s="408"/>
      <c r="V24" s="410">
        <f t="shared" ref="V24" si="80">SUM(T24:U24)</f>
        <v>0</v>
      </c>
      <c r="W24" s="408">
        <f>IFERROR(IF($F24="Chính Thức",VLOOKUP($B24,' 5. Thông số TL'!$D$12:$S$34,6,0)/$G$4*($G24+$H24),IF($F24="Thử Việc",VLOOKUP($B24,' 5. Thông số TL'!$D$12:$S$34,6,0)/$G$4*($G24+$H24)*85%,"")),0)</f>
        <v>720000</v>
      </c>
      <c r="X24" s="408">
        <f>IFERROR(IF($F24="Chính Thức",VLOOKUP($B24,' 5. Thông số TL'!$D$12:$S$34,7,0)/$G$4*($G24+$H24),IF($F24="Thử Việc",VLOOKUP($B24,' 5. Thông số TL'!$D$12:$S$34,7,0)/$G$4*($G24+$H24)*85%,"")),0)</f>
        <v>400000</v>
      </c>
      <c r="Y24" s="408">
        <f>IFERROR(IF($F24="Chính Thức",VLOOKUP($B24,' 5. Thông số TL'!$D$12:$S$34,8,0)/$G$4*($G24+$H24),IF($F24="Thử Việc",VLOOKUP($B24,' 5. Thông số TL'!$D$12:$S$34,8,0)/$G$4*($G24+$H24)*85%,"")),0)</f>
        <v>500000</v>
      </c>
      <c r="Z24" s="408">
        <f t="shared" ref="Z24" si="81">SUM(W24:Y24)</f>
        <v>1620000</v>
      </c>
      <c r="AA24" s="408">
        <f>IFERROR(IF($F24="Chính Thức",VLOOKUP($B24,' 5. Thông số TL'!$D$12:$S$34,10,0)/$G$4*($G24+$H24),IF($F24="Thử Việc",VLOOKUP($B24,' 5. Thông số TL'!$D$12:$S$34,10,0)/$G$4*($G24+$H24)*85%,"")),0)</f>
        <v>0</v>
      </c>
      <c r="AB24" s="408"/>
      <c r="AC24" s="408">
        <f t="shared" ref="AC24" si="82">SUM(AA24:AB24)</f>
        <v>0</v>
      </c>
      <c r="AD24" s="410">
        <f t="shared" ref="AD24" si="83">Z24+AC24</f>
        <v>1620000</v>
      </c>
      <c r="AE24" s="410">
        <f t="shared" ref="AE24" si="84">L24+O24+S24+V24+AD24</f>
        <v>9577500</v>
      </c>
      <c r="AF24" s="408">
        <f>IF(F24="Chính Thức",AE24-Z24,IF(F24="Thử Việc",AE24,IF(F24="CTV",AE24,0)))</f>
        <v>7957500</v>
      </c>
      <c r="AG24" s="413">
        <f t="shared" si="75"/>
        <v>962499.99999999988</v>
      </c>
      <c r="AH24" s="413">
        <f t="shared" si="75"/>
        <v>165000</v>
      </c>
      <c r="AI24" s="413">
        <f t="shared" si="75"/>
        <v>55000</v>
      </c>
      <c r="AJ24" s="414">
        <f t="shared" ref="AJ24" si="85">ROUND(SUM(AG24:AI24),0)</f>
        <v>1182500</v>
      </c>
      <c r="AK24" s="413">
        <f t="shared" si="77"/>
        <v>440000</v>
      </c>
      <c r="AL24" s="413">
        <f t="shared" si="77"/>
        <v>82500</v>
      </c>
      <c r="AM24" s="413">
        <f t="shared" si="77"/>
        <v>55000</v>
      </c>
      <c r="AN24" s="410">
        <f t="shared" ref="AN24" si="86">ROUND(SUM(AK24:AM24),-1)</f>
        <v>577500</v>
      </c>
      <c r="AO24" s="414">
        <f t="shared" si="70"/>
        <v>15500000</v>
      </c>
      <c r="AP24" s="415"/>
      <c r="AQ24" s="408">
        <f t="shared" ref="AQ24" si="87">AP24*$AQ$10</f>
        <v>0</v>
      </c>
      <c r="AR24" s="408">
        <f t="shared" ref="AR24" si="88">+AO24+AQ24</f>
        <v>15500000</v>
      </c>
      <c r="AS24" s="408">
        <f t="shared" ref="AS24" si="89">MAX(AF24-AR24-AN24,0)</f>
        <v>0</v>
      </c>
      <c r="AT24" s="410">
        <f>IF(F24="Chính Thức",IF(AS24&lt;=0,,IF(AND(AS24&gt;0,AS24&lt;=5000000),5%*AS24,IF(AND(AS24&gt;5000000,AS24&lt;=10000000),10%*AS24-250000,IF(AND(AS24&gt;10000000,AS24&lt;=18000000),15%*AS24-750000,IF(AND(AS24&gt;18000000,AS24&lt;=32000000),20%*AS24-1650000,IF(AND(AS24&gt;32000000,AS24&lt;=52000000),25%*AS24-3250000,IF(AND(AS24&gt;52000000,AS24&lt;=80000000),30%*AS24-5850000,IF(AS24&gt;80000000,35%*AS24-9850000)))))))),IF(AND(F24="Thử Việc",AS24&gt;=2000000),AS24*10%,IF(F24="CTV",AS24*10%)))</f>
        <v>0</v>
      </c>
      <c r="AU24" s="408"/>
      <c r="AV24" s="410">
        <f t="shared" ref="AV24" si="90">ROUND(AE24-AN24-AT24+AU24,-2)</f>
        <v>9000000</v>
      </c>
      <c r="AW24" s="396"/>
    </row>
    <row r="25" spans="1:50" ht="51" customHeight="1" x14ac:dyDescent="0.25">
      <c r="A25" s="100">
        <f>SUBTOTAL(3,$C$11:C25)</f>
        <v>12</v>
      </c>
      <c r="B25" s="389" t="s">
        <v>390</v>
      </c>
      <c r="C25" s="406" t="s">
        <v>392</v>
      </c>
      <c r="D25" s="477" t="s">
        <v>338</v>
      </c>
      <c r="E25" s="477" t="s">
        <v>349</v>
      </c>
      <c r="F25" s="408" t="str">
        <f>IFERROR(VLOOKUP($B25,'3. BẢNG CHẤM CÔNG'!$B$11:$AV$26,6,0),0)</f>
        <v>Chính Thức</v>
      </c>
      <c r="G25" s="409">
        <v>23</v>
      </c>
      <c r="H25" s="479">
        <f>IFERROR(VLOOKUP($B25, '3. BẢNG CHẤM CÔNG'!$B$10:$AV40,44,0),0)</f>
        <v>0</v>
      </c>
      <c r="I25" s="479"/>
      <c r="J25" s="478">
        <f>IFERROR(VLOOKUP($B25,' 5. Thông số TL'!$D$12:$S$34,4,0),0)</f>
        <v>5500000</v>
      </c>
      <c r="K25" s="478">
        <f>IFERROR(IF($F25="Chính Thức",$J25/$G$4*($G25+$H25),IF($F25="Thử Việc",$J25/$G$4*($G25+$H25)*85%,"")),0)</f>
        <v>5500000</v>
      </c>
      <c r="L25" s="480">
        <f t="shared" ref="L25" si="91">SUM(K25)</f>
        <v>5500000</v>
      </c>
      <c r="M25" s="478">
        <f>IFERROR(VLOOKUP($B25,' 5. Thông số TL'!$D$12:$S$34,5,0),0)</f>
        <v>5457500</v>
      </c>
      <c r="N25" s="481">
        <v>1</v>
      </c>
      <c r="O25" s="478">
        <f>IFERROR(IF($F25="Chính Thức",$M25/$G$4*($G25+$H25)*N25,IF($F25="Thử Việc",$M25/$G$4*N25*($G25+$H25)*85%)),0)</f>
        <v>5457500</v>
      </c>
      <c r="P25" s="478"/>
      <c r="Q25" s="482"/>
      <c r="R25" s="478"/>
      <c r="S25" s="480"/>
      <c r="T25" s="478"/>
      <c r="U25" s="478"/>
      <c r="V25" s="480">
        <f t="shared" ref="V25" si="92">SUM(T25:U25)</f>
        <v>0</v>
      </c>
      <c r="W25" s="478">
        <f>IFERROR(IF($F25="Chính Thức",VLOOKUP($B25,' 5. Thông số TL'!$D$12:$S$34,6,0)/$G$4*($G25+$H25),IF($F25="Thử Việc",VLOOKUP($B25,' 5. Thông số TL'!$D$12:$S$34,6,0)/$G$4*($G25+$H25)*85%,"")),0)</f>
        <v>720000</v>
      </c>
      <c r="X25" s="478">
        <f>IFERROR(IF($F25="Chính Thức",VLOOKUP($B25,' 5. Thông số TL'!$D$12:$S$34,7,0)/$G$4*($G25+$H25),IF($F25="Thử Việc",VLOOKUP($B25,' 5. Thông số TL'!$D$12:$S$34,7,0)/$G$4*($G25+$H25)*85%,"")),0)</f>
        <v>400000</v>
      </c>
      <c r="Y25" s="478">
        <f>IFERROR(IF($F25="Chính Thức",VLOOKUP($B25,' 5. Thông số TL'!$D$12:$S$34,8,0)/$G$4*($G25+$H25),IF($F25="Thử Việc",VLOOKUP($B25,' 5. Thông số TL'!$D$12:$S$34,8,0)/$G$4*($G25+$H25)*85%,"")),0)</f>
        <v>500000</v>
      </c>
      <c r="Z25" s="478">
        <f t="shared" ref="Z25" si="93">SUM(W25:Y25)</f>
        <v>1620000</v>
      </c>
      <c r="AA25" s="478">
        <f>IFERROR(IF($F25="Chính Thức",VLOOKUP($B25,' 5. Thông số TL'!$D$12:$S$34,10,0)/$G$4*($G25+$H25),IF($F25="Thử Việc",VLOOKUP($B25,' 5. Thông số TL'!$D$12:$S$34,10,0)/$G$4*($G25+$H25)*85%,"")),0)</f>
        <v>0</v>
      </c>
      <c r="AB25" s="478"/>
      <c r="AC25" s="478">
        <f t="shared" ref="AC25" si="94">SUM(AA25:AB25)</f>
        <v>0</v>
      </c>
      <c r="AD25" s="480">
        <f t="shared" ref="AD25" si="95">Z25+AC25</f>
        <v>1620000</v>
      </c>
      <c r="AE25" s="480">
        <f t="shared" ref="AE25" si="96">L25+O25+S25+V25+AD25</f>
        <v>12577500</v>
      </c>
      <c r="AF25" s="478">
        <f>IF(F25="Chính Thức",AE25-Z25,IF(F25="Thử Việc",AE25,IF(F25="CTV",AE25,0)))</f>
        <v>10957500</v>
      </c>
      <c r="AG25" s="483">
        <f t="shared" si="75"/>
        <v>962499.99999999988</v>
      </c>
      <c r="AH25" s="483">
        <f t="shared" si="75"/>
        <v>165000</v>
      </c>
      <c r="AI25" s="483">
        <f t="shared" si="75"/>
        <v>55000</v>
      </c>
      <c r="AJ25" s="484">
        <f t="shared" ref="AJ25" si="97">ROUND(SUM(AG25:AI25),0)</f>
        <v>1182500</v>
      </c>
      <c r="AK25" s="483">
        <f t="shared" si="77"/>
        <v>440000</v>
      </c>
      <c r="AL25" s="483">
        <f t="shared" si="77"/>
        <v>82500</v>
      </c>
      <c r="AM25" s="483">
        <f t="shared" si="77"/>
        <v>55000</v>
      </c>
      <c r="AN25" s="480">
        <f t="shared" ref="AN25" si="98">ROUND(SUM(AK25:AM25),-1)</f>
        <v>577500</v>
      </c>
      <c r="AO25" s="484">
        <f t="shared" ref="AO25" si="99">IF(F25="Chính Thức",$AO$10,0)</f>
        <v>15500000</v>
      </c>
      <c r="AP25" s="485"/>
      <c r="AQ25" s="478">
        <f t="shared" ref="AQ25" si="100">AP25*$AQ$10</f>
        <v>0</v>
      </c>
      <c r="AR25" s="478">
        <f t="shared" ref="AR25" si="101">+AO25+AQ25</f>
        <v>15500000</v>
      </c>
      <c r="AS25" s="478">
        <f t="shared" ref="AS25" si="102">MAX(AF25-AR25-AN25,0)</f>
        <v>0</v>
      </c>
      <c r="AT25" s="480">
        <f>IF(F25="Chính Thức",IF(AS25&lt;=0,,IF(AND(AS25&gt;0,AS25&lt;=5000000),5%*AS25,IF(AND(AS25&gt;5000000,AS25&lt;=10000000),10%*AS25-250000,IF(AND(AS25&gt;10000000,AS25&lt;=18000000),15%*AS25-750000,IF(AND(AS25&gt;18000000,AS25&lt;=32000000),20%*AS25-1650000,IF(AND(AS25&gt;32000000,AS25&lt;=52000000),25%*AS25-3250000,IF(AND(AS25&gt;52000000,AS25&lt;=80000000),30%*AS25-5850000,IF(AS25&gt;80000000,35%*AS25-9850000)))))))),IF(AND(F25="Thử Việc",AS25&gt;=2000000),AS25*10%,IF(F25="CTV",AS25*10%)))</f>
        <v>0</v>
      </c>
      <c r="AU25" s="478"/>
      <c r="AV25" s="480">
        <f t="shared" ref="AV25" si="103">ROUND(AE25-AN25-AT25+AU25,-2)</f>
        <v>12000000</v>
      </c>
      <c r="AW25" s="396"/>
    </row>
    <row r="26" spans="1:50" ht="51" customHeight="1" x14ac:dyDescent="0.25">
      <c r="A26" s="456">
        <f>SUBTOTAL(3,$C$11:C26)</f>
        <v>13</v>
      </c>
      <c r="B26" s="476" t="s">
        <v>391</v>
      </c>
      <c r="C26" s="458" t="s">
        <v>393</v>
      </c>
      <c r="D26" s="477" t="s">
        <v>338</v>
      </c>
      <c r="E26" s="477" t="s">
        <v>349</v>
      </c>
      <c r="F26" s="478" t="str">
        <f>IFERROR(VLOOKUP($B26,'3. BẢNG CHẤM CÔNG'!$B$11:$AV$26,6,0),0)</f>
        <v>Chính Thức</v>
      </c>
      <c r="G26" s="409">
        <f>IFERROR(VLOOKUP($B26, '3. BẢNG CHẤM CÔNG'!$B$10:$AV40,43,0),0)</f>
        <v>23</v>
      </c>
      <c r="H26" s="479">
        <f>IFERROR(VLOOKUP($B26, '3. BẢNG CHẤM CÔNG'!$B$10:$AV41,44,0),0)</f>
        <v>0</v>
      </c>
      <c r="I26" s="479"/>
      <c r="J26" s="478">
        <f>IFERROR(VLOOKUP($B26,' 5. Thông số TL'!$D$12:$S$34,4,0),0)</f>
        <v>5500000</v>
      </c>
      <c r="K26" s="478">
        <f t="shared" ref="K26" si="104">IFERROR(IF($F26="Chính Thức",$J26/$G$4*($G26+$H26),IF($F26="Thử Việc",$J26/$G$4*($G26+$H26)*85%,"")),0)</f>
        <v>5500000</v>
      </c>
      <c r="L26" s="480">
        <f t="shared" ref="L26:L27" si="105">SUM(K26)</f>
        <v>5500000</v>
      </c>
      <c r="M26" s="478">
        <f>IFERROR(VLOOKUP($B26,' 5. Thông số TL'!$D$12:$S$34,5,0),0)</f>
        <v>4457500</v>
      </c>
      <c r="N26" s="481">
        <v>1</v>
      </c>
      <c r="O26" s="478">
        <f t="shared" ref="O26" si="106">IFERROR(IF($F26="Chính Thức",$M26/$G$4*($G26+$H26)*N26,IF($F26="Thử Việc",$M26/$G$4*N26*($G26+$H26)*85%)),0)</f>
        <v>4457500</v>
      </c>
      <c r="P26" s="478"/>
      <c r="Q26" s="482"/>
      <c r="R26" s="478"/>
      <c r="S26" s="480"/>
      <c r="T26" s="478"/>
      <c r="U26" s="478"/>
      <c r="V26" s="480">
        <f t="shared" ref="V26:V27" si="107">SUM(T26:U26)</f>
        <v>0</v>
      </c>
      <c r="W26" s="478">
        <f>IFERROR(IF($F26="Chính Thức",VLOOKUP($B26,' 5. Thông số TL'!$D$12:$S$34,6,0)/$G$4*($G26+$H26),IF($F26="Thử Việc",VLOOKUP($B26,' 5. Thông số TL'!$D$12:$S$34,6,0)/$G$4*($G26+$H26)*85%,"")),0)</f>
        <v>720000</v>
      </c>
      <c r="X26" s="478">
        <f>IFERROR(IF($F26="Chính Thức",VLOOKUP($B26,' 5. Thông số TL'!$D$12:$S$34,7,0)/$G$4*($G26+$H26),IF($F26="Thử Việc",VLOOKUP($B26,' 5. Thông số TL'!$D$12:$S$34,7,0)/$G$4*($G26+$H26)*85%,"")),0)</f>
        <v>400000</v>
      </c>
      <c r="Y26" s="478">
        <f>IFERROR(IF($F26="Chính Thức",VLOOKUP($B26,' 5. Thông số TL'!$D$12:$S$34,8,0)/$G$4*($G26+$H26),IF($F26="Thử Việc",VLOOKUP($B26,' 5. Thông số TL'!$D$12:$S$34,8,0)/$G$4*($G26+$H26)*85%,"")),0)</f>
        <v>500000</v>
      </c>
      <c r="Z26" s="478">
        <f t="shared" ref="Z26:Z27" si="108">SUM(W26:Y26)</f>
        <v>1620000</v>
      </c>
      <c r="AA26" s="478">
        <f>IFERROR(IF($F26="Chính Thức",VLOOKUP($B26,' 5. Thông số TL'!$D$12:$S$34,10,0)/$G$4*($G26+$H26),IF($F26="Thử Việc",VLOOKUP($B26,' 5. Thông số TL'!$D$12:$S$34,10,0)/$G$4*($G26+$H26)*85%,"")),0)</f>
        <v>0</v>
      </c>
      <c r="AB26" s="478"/>
      <c r="AC26" s="478">
        <f t="shared" ref="AC26:AC27" si="109">SUM(AA26:AB26)</f>
        <v>0</v>
      </c>
      <c r="AD26" s="480">
        <f t="shared" ref="AD26:AD27" si="110">Z26+AC26</f>
        <v>1620000</v>
      </c>
      <c r="AE26" s="480">
        <f t="shared" ref="AE26:AE27" si="111">L26+O26+S26+V26+AD26</f>
        <v>11577500</v>
      </c>
      <c r="AF26" s="478">
        <f t="shared" ref="AF26" si="112">IF(F26="Chính Thức",AE26-Z26,IF(F26="Thử Việc",AE26,IF(F26="CTV",AE26,0)))</f>
        <v>9957500</v>
      </c>
      <c r="AG26" s="483">
        <f t="shared" si="75"/>
        <v>962499.99999999988</v>
      </c>
      <c r="AH26" s="483">
        <f t="shared" si="75"/>
        <v>165000</v>
      </c>
      <c r="AI26" s="483">
        <f t="shared" si="75"/>
        <v>55000</v>
      </c>
      <c r="AJ26" s="484">
        <f t="shared" ref="AJ26:AJ27" si="113">ROUND(SUM(AG26:AI26),0)</f>
        <v>1182500</v>
      </c>
      <c r="AK26" s="483">
        <f t="shared" si="77"/>
        <v>440000</v>
      </c>
      <c r="AL26" s="483">
        <f t="shared" si="77"/>
        <v>82500</v>
      </c>
      <c r="AM26" s="483">
        <f t="shared" si="77"/>
        <v>55000</v>
      </c>
      <c r="AN26" s="480">
        <f t="shared" ref="AN26:AN27" si="114">ROUND(SUM(AK26:AM26),-1)</f>
        <v>577500</v>
      </c>
      <c r="AO26" s="484">
        <f t="shared" ref="AO26" si="115">IF(F26="Chính Thức",$AO$10,0)</f>
        <v>15500000</v>
      </c>
      <c r="AP26" s="485"/>
      <c r="AQ26" s="478">
        <f t="shared" ref="AQ26:AQ27" si="116">AP26*$AQ$10</f>
        <v>0</v>
      </c>
      <c r="AR26" s="478">
        <f t="shared" ref="AR26:AR27" si="117">+AO26+AQ26</f>
        <v>15500000</v>
      </c>
      <c r="AS26" s="478">
        <f t="shared" ref="AS26:AS27" si="118">MAX(AF26-AR26-AN26,0)</f>
        <v>0</v>
      </c>
      <c r="AT26" s="480">
        <f t="shared" ref="AT26" si="119">IF(F26="Chính Thức",IF(AS26&lt;=0,,IF(AND(AS26&gt;0,AS26&lt;=5000000),5%*AS26,IF(AND(AS26&gt;5000000,AS26&lt;=10000000),10%*AS26-250000,IF(AND(AS26&gt;10000000,AS26&lt;=18000000),15%*AS26-750000,IF(AND(AS26&gt;18000000,AS26&lt;=32000000),20%*AS26-1650000,IF(AND(AS26&gt;32000000,AS26&lt;=52000000),25%*AS26-3250000,IF(AND(AS26&gt;52000000,AS26&lt;=80000000),30%*AS26-5850000,IF(AS26&gt;80000000,35%*AS26-9850000)))))))),IF(AND(F26="Thử Việc",AS26&gt;=2000000),AS26*10%,IF(F26="CTV",AS26*10%)))</f>
        <v>0</v>
      </c>
      <c r="AU26" s="478"/>
      <c r="AV26" s="480">
        <f t="shared" ref="AV26:AV27" si="120">ROUND(AE26-AN26-AT26+AU26,-2)</f>
        <v>11000000</v>
      </c>
      <c r="AW26" s="396"/>
    </row>
    <row r="27" spans="1:50" ht="51" customHeight="1" x14ac:dyDescent="0.25">
      <c r="A27" s="449">
        <v>16</v>
      </c>
      <c r="B27" s="389" t="s">
        <v>394</v>
      </c>
      <c r="C27" s="374" t="s">
        <v>395</v>
      </c>
      <c r="D27" s="407" t="s">
        <v>338</v>
      </c>
      <c r="E27" s="407" t="s">
        <v>349</v>
      </c>
      <c r="F27" s="408" t="str">
        <f>IFERROR(VLOOKUP($B27,'3. BẢNG CHẤM CÔNG'!$B$11:$AV$26,6,0),0)</f>
        <v>Thử Việc</v>
      </c>
      <c r="G27" s="223">
        <f>IFERROR(VLOOKUP($B27, '3. BẢNG CHẤM CÔNG'!$B$10:$AV45,43,0),0)</f>
        <v>22.5</v>
      </c>
      <c r="H27" s="409">
        <f>IFERROR(VLOOKUP($B27, '3. BẢNG CHẤM CÔNG'!$B$10:$AV44,44,0),0)</f>
        <v>0</v>
      </c>
      <c r="I27" s="409"/>
      <c r="J27" s="408">
        <f>IFERROR(VLOOKUP($B27,' 5. Thông số TL'!$D$12:$S$34,4,0),0)</f>
        <v>5500000</v>
      </c>
      <c r="K27" s="408">
        <f>IFERROR(IF($F27="Chính Thức",$J27/$G$4*($G27+$H27),IF($F27="Thử Việc",$J27/$G$4*($G27+$H27)*85%,"")),0)</f>
        <v>4573369.5652173916</v>
      </c>
      <c r="L27" s="410">
        <f t="shared" si="105"/>
        <v>4573369.5652173916</v>
      </c>
      <c r="M27" s="408">
        <f>IFERROR(VLOOKUP($B27,' 5. Thông số TL'!$D$12:$S$34,5,0),0)</f>
        <v>5457500</v>
      </c>
      <c r="N27" s="411">
        <v>1</v>
      </c>
      <c r="O27" s="408">
        <f>IFERROR(IF($F27="Chính Thức",$M27/$G$4*($G27+$H27)*N27,IF($F27="Thử Việc",$M27/$G$4*N27*($G27+$H27)*85%)),0)</f>
        <v>4538029.8913043477</v>
      </c>
      <c r="P27" s="408"/>
      <c r="Q27" s="412"/>
      <c r="R27" s="408"/>
      <c r="S27" s="410"/>
      <c r="T27" s="408"/>
      <c r="U27" s="408"/>
      <c r="V27" s="410">
        <f t="shared" si="107"/>
        <v>0</v>
      </c>
      <c r="W27" s="408">
        <f>IFERROR(IF($F27="Chính Thức",VLOOKUP($B27,' 5. Thông số TL'!$D$12:$S$34,6,0)/$G$4*($G27+$H27),IF($F27="Thử Việc",VLOOKUP($B27,' 5. Thông số TL'!$D$12:$S$34,6,0)/$G$4*($G27+$H27)*85%,"")),0)</f>
        <v>598695.65217391308</v>
      </c>
      <c r="X27" s="408">
        <f>IFERROR(IF($F27="Chính Thức",VLOOKUP($B27,' 5. Thông số TL'!$D$12:$S$34,7,0)/$G$4*($G27+$H27),IF($F27="Thử Việc",VLOOKUP($B27,' 5. Thông số TL'!$D$12:$S$34,7,0)/$G$4*($G27+$H27)*85%,"")),0)</f>
        <v>332608.69565217395</v>
      </c>
      <c r="Y27" s="408">
        <f>IFERROR(IF($F27="Chính Thức",VLOOKUP($B27,' 5. Thông số TL'!$D$12:$S$34,8,0)/$G$4*($G27+$H27),IF($F27="Thử Việc",VLOOKUP($B27,' 5. Thông số TL'!$D$12:$S$34,8,0)/$G$4*($G27+$H27)*85%,"")),0)</f>
        <v>415760.86956521741</v>
      </c>
      <c r="Z27" s="408">
        <f t="shared" si="108"/>
        <v>1347065.2173913044</v>
      </c>
      <c r="AA27" s="408">
        <f>IFERROR(IF($F27="Chính Thức",VLOOKUP($B27,' 5. Thông số TL'!$D$12:$S$34,10,0)/$G$4*($G27+$H27),IF($F27="Thử Việc",VLOOKUP($B27,' 5. Thông số TL'!$D$12:$S$34,10,0)/$G$4*($G27+$H27)*85%,"")),0)</f>
        <v>0</v>
      </c>
      <c r="AB27" s="408"/>
      <c r="AC27" s="408">
        <f t="shared" si="109"/>
        <v>0</v>
      </c>
      <c r="AD27" s="410">
        <f t="shared" si="110"/>
        <v>1347065.2173913044</v>
      </c>
      <c r="AE27" s="410">
        <f t="shared" si="111"/>
        <v>10458464.673913043</v>
      </c>
      <c r="AF27" s="408">
        <f>IF(F27="Chính Thức",AE27-Z27,IF(F27="Thử Việc",AE27-W27-X27,IF(F27="CTV",AE27,0)))</f>
        <v>9527160.3260869551</v>
      </c>
      <c r="AG27" s="413" t="str">
        <f t="shared" si="75"/>
        <v/>
      </c>
      <c r="AH27" s="413" t="str">
        <f t="shared" si="75"/>
        <v/>
      </c>
      <c r="AI27" s="413" t="str">
        <f t="shared" si="75"/>
        <v/>
      </c>
      <c r="AJ27" s="414">
        <f t="shared" si="113"/>
        <v>0</v>
      </c>
      <c r="AK27" s="413" t="str">
        <f t="shared" si="77"/>
        <v/>
      </c>
      <c r="AL27" s="413" t="str">
        <f t="shared" si="77"/>
        <v/>
      </c>
      <c r="AM27" s="413" t="str">
        <f t="shared" si="77"/>
        <v/>
      </c>
      <c r="AN27" s="410">
        <f t="shared" si="114"/>
        <v>0</v>
      </c>
      <c r="AO27" s="414">
        <f>IF(F27="Chính Thức",$AO$10,0)</f>
        <v>0</v>
      </c>
      <c r="AP27" s="415"/>
      <c r="AQ27" s="408">
        <f t="shared" si="116"/>
        <v>0</v>
      </c>
      <c r="AR27" s="408">
        <f t="shared" si="117"/>
        <v>0</v>
      </c>
      <c r="AS27" s="408">
        <f t="shared" si="118"/>
        <v>9527160.3260869551</v>
      </c>
      <c r="AT27" s="410">
        <f>IF(F27="Chính Thức",IF(AS27&lt;=0,,IF(AND(AS27&gt;0,AS27&lt;=5000000),5%*AS27,IF(AND(AS27&gt;5000000,AS27&lt;=10000000),10%*AS27-250000,IF(AND(AS27&gt;10000000,AS27&lt;=18000000),15%*AS27-750000,IF(AND(AS27&gt;18000000,AS27&lt;=32000000),20%*AS27-1650000,IF(AND(AS27&gt;32000000,AS27&lt;=52000000),25%*AS27-3250000,IF(AND(AS27&gt;52000000,AS27&lt;=80000000),30%*AS27-5850000,IF(AS27&gt;80000000,35%*AS27-9850000)))))))),IF(AND(F27="Thử Việc",AS27&gt;=2000000),AS27*10%,IF(F27="CTV",AS27*10%)))</f>
        <v>952716.03260869556</v>
      </c>
      <c r="AU27" s="408"/>
      <c r="AV27" s="410">
        <f t="shared" si="120"/>
        <v>9505700</v>
      </c>
      <c r="AW27" s="396"/>
    </row>
    <row r="28" spans="1:50" ht="58.5" customHeight="1" x14ac:dyDescent="0.25">
      <c r="A28" s="640" t="s">
        <v>218</v>
      </c>
      <c r="B28" s="581"/>
      <c r="C28" s="582"/>
      <c r="D28" s="403"/>
      <c r="E28" s="403"/>
      <c r="F28" s="403"/>
      <c r="G28" s="403">
        <f>SUBTOTAL(9,G11:G22)</f>
        <v>200</v>
      </c>
      <c r="H28" s="403">
        <f>SUBTOTAL(9,H11:H22)</f>
        <v>0</v>
      </c>
      <c r="I28" s="403">
        <f>SUBTOTAL(9,I11:I22)</f>
        <v>0</v>
      </c>
      <c r="J28" s="403">
        <f t="shared" ref="J28:AU28" si="121">J21+J15+J11</f>
        <v>56600000</v>
      </c>
      <c r="K28" s="403">
        <f t="shared" si="121"/>
        <v>53608152.173913039</v>
      </c>
      <c r="L28" s="403">
        <f t="shared" si="121"/>
        <v>53608152.173913039</v>
      </c>
      <c r="M28" s="403">
        <f t="shared" si="121"/>
        <v>94220206</v>
      </c>
      <c r="N28" s="403">
        <f t="shared" si="121"/>
        <v>12</v>
      </c>
      <c r="O28" s="403">
        <f t="shared" si="121"/>
        <v>87747404.369565219</v>
      </c>
      <c r="P28" s="403">
        <f t="shared" si="121"/>
        <v>0</v>
      </c>
      <c r="Q28" s="403">
        <f t="shared" si="121"/>
        <v>0</v>
      </c>
      <c r="R28" s="403">
        <f t="shared" si="121"/>
        <v>0</v>
      </c>
      <c r="S28" s="403">
        <f t="shared" si="121"/>
        <v>0</v>
      </c>
      <c r="T28" s="403">
        <f t="shared" si="121"/>
        <v>0</v>
      </c>
      <c r="U28" s="403">
        <f t="shared" si="121"/>
        <v>0</v>
      </c>
      <c r="V28" s="403">
        <f t="shared" si="121"/>
        <v>0</v>
      </c>
      <c r="W28" s="403">
        <f t="shared" si="121"/>
        <v>8299565.2173913047</v>
      </c>
      <c r="X28" s="403">
        <f t="shared" si="121"/>
        <v>4610869.5652173916</v>
      </c>
      <c r="Y28" s="403">
        <f t="shared" si="121"/>
        <v>11028804.347826088</v>
      </c>
      <c r="Z28" s="403">
        <f t="shared" si="121"/>
        <v>23939239.130434781</v>
      </c>
      <c r="AA28" s="403">
        <f t="shared" si="121"/>
        <v>0</v>
      </c>
      <c r="AB28" s="403">
        <f t="shared" si="121"/>
        <v>0</v>
      </c>
      <c r="AC28" s="403">
        <f t="shared" si="121"/>
        <v>0</v>
      </c>
      <c r="AD28" s="403">
        <f t="shared" si="121"/>
        <v>23939239.130434781</v>
      </c>
      <c r="AE28" s="403">
        <f t="shared" si="121"/>
        <v>165294795.67391303</v>
      </c>
      <c r="AF28" s="403">
        <f t="shared" si="121"/>
        <v>148511317.41304347</v>
      </c>
      <c r="AG28" s="403" t="e">
        <f t="shared" si="121"/>
        <v>#VALUE!</v>
      </c>
      <c r="AH28" s="403" t="e">
        <f t="shared" si="121"/>
        <v>#VALUE!</v>
      </c>
      <c r="AI28" s="403" t="e">
        <f t="shared" si="121"/>
        <v>#VALUE!</v>
      </c>
      <c r="AJ28" s="403">
        <f t="shared" si="121"/>
        <v>9804000</v>
      </c>
      <c r="AK28" s="403" t="e">
        <f t="shared" si="121"/>
        <v>#VALUE!</v>
      </c>
      <c r="AL28" s="403" t="e">
        <f t="shared" si="121"/>
        <v>#VALUE!</v>
      </c>
      <c r="AM28" s="403" t="e">
        <f t="shared" si="121"/>
        <v>#VALUE!</v>
      </c>
      <c r="AN28" s="403">
        <f t="shared" si="121"/>
        <v>4788000</v>
      </c>
      <c r="AO28" s="403">
        <f t="shared" si="121"/>
        <v>139500000</v>
      </c>
      <c r="AP28" s="403">
        <f t="shared" si="121"/>
        <v>0</v>
      </c>
      <c r="AQ28" s="403">
        <f t="shared" si="121"/>
        <v>0</v>
      </c>
      <c r="AR28" s="403">
        <f t="shared" si="121"/>
        <v>139500000</v>
      </c>
      <c r="AS28" s="403">
        <f t="shared" si="121"/>
        <v>62192991.326086953</v>
      </c>
      <c r="AT28" s="403">
        <f t="shared" si="121"/>
        <v>7280326.632608695</v>
      </c>
      <c r="AU28" s="403">
        <f t="shared" si="121"/>
        <v>0</v>
      </c>
      <c r="AV28" s="403">
        <f>AV21+AV15+AV11</f>
        <v>176694100</v>
      </c>
      <c r="AW28" s="231">
        <f>SUBTOTAL(9,AW16:AW16)</f>
        <v>0</v>
      </c>
    </row>
    <row r="29" spans="1:50" ht="21.75" customHeight="1" x14ac:dyDescent="0.25">
      <c r="A29" s="232"/>
      <c r="B29" s="232"/>
      <c r="C29" s="232"/>
      <c r="D29" s="201"/>
      <c r="E29" s="201"/>
      <c r="F29" s="201"/>
      <c r="G29" s="201"/>
      <c r="H29" s="201"/>
      <c r="I29" s="201"/>
      <c r="J29" s="201"/>
      <c r="K29" s="201"/>
      <c r="L29" s="232"/>
      <c r="M29" s="232"/>
      <c r="N29" s="233"/>
      <c r="O29" s="232"/>
      <c r="P29" s="201"/>
      <c r="Q29" s="201"/>
      <c r="R29" s="232"/>
      <c r="S29" s="201"/>
      <c r="T29" s="201"/>
      <c r="U29" s="201"/>
      <c r="V29" s="201"/>
      <c r="W29" s="201"/>
      <c r="X29" s="201"/>
      <c r="Y29" s="201"/>
      <c r="Z29" s="232"/>
      <c r="AA29" s="232"/>
      <c r="AB29" s="232"/>
      <c r="AC29" s="232"/>
      <c r="AD29" s="232"/>
      <c r="AE29" s="232"/>
      <c r="AF29" s="232"/>
      <c r="AG29" s="201"/>
      <c r="AH29" s="201"/>
      <c r="AI29" s="201"/>
      <c r="AJ29" s="234"/>
      <c r="AK29" s="201"/>
      <c r="AL29" s="235"/>
      <c r="AM29" s="235"/>
      <c r="AN29" s="235"/>
      <c r="AO29" s="235"/>
      <c r="AP29" s="235"/>
      <c r="AQ29" s="235"/>
      <c r="AR29" s="235"/>
      <c r="AS29" s="235"/>
      <c r="AT29" s="235"/>
      <c r="AU29" s="235"/>
      <c r="AV29" s="235"/>
      <c r="AW29" s="201"/>
    </row>
    <row r="30" spans="1:50" ht="43.5" customHeight="1" x14ac:dyDescent="0.25">
      <c r="A30" s="232"/>
      <c r="B30" s="232"/>
      <c r="C30" s="232"/>
      <c r="D30" s="201"/>
      <c r="E30" s="236"/>
      <c r="F30" s="201"/>
      <c r="H30" s="201"/>
      <c r="I30" s="201"/>
      <c r="J30" s="201"/>
      <c r="K30" s="201"/>
      <c r="L30" s="232"/>
      <c r="M30" s="232"/>
      <c r="N30" s="233"/>
      <c r="O30" s="232"/>
      <c r="P30" s="201"/>
      <c r="Q30" s="201"/>
      <c r="R30" s="232"/>
      <c r="S30" s="201"/>
      <c r="T30" s="201"/>
      <c r="U30" s="201"/>
      <c r="V30" s="201"/>
      <c r="W30" s="201"/>
      <c r="X30" s="201"/>
      <c r="Y30" s="201"/>
      <c r="Z30" s="232"/>
      <c r="AA30" s="232"/>
      <c r="AB30" s="232"/>
      <c r="AC30" s="232"/>
      <c r="AD30" s="232"/>
      <c r="AE30" s="232"/>
      <c r="AF30" s="232"/>
      <c r="AG30" s="201"/>
      <c r="AH30" s="201"/>
      <c r="AI30" s="201"/>
      <c r="AJ30" s="234"/>
      <c r="AK30" s="201"/>
      <c r="AL30" s="637" t="s">
        <v>219</v>
      </c>
      <c r="AM30" s="509"/>
      <c r="AN30" s="509"/>
      <c r="AO30" s="509"/>
      <c r="AP30" s="509"/>
      <c r="AQ30" s="509"/>
      <c r="AR30" s="509"/>
      <c r="AS30" s="509"/>
      <c r="AT30" s="509"/>
      <c r="AU30" s="509"/>
      <c r="AV30" s="509"/>
      <c r="AW30" s="201"/>
    </row>
    <row r="31" spans="1:50" ht="36.75" customHeight="1" x14ac:dyDescent="0.25">
      <c r="A31" s="44"/>
      <c r="B31" s="44"/>
      <c r="C31" s="571" t="s">
        <v>52</v>
      </c>
      <c r="D31" s="509"/>
      <c r="E31" s="509"/>
      <c r="G31" s="44"/>
      <c r="H31" s="44"/>
      <c r="I31" s="584" t="s">
        <v>53</v>
      </c>
      <c r="J31" s="509"/>
      <c r="K31" s="509"/>
      <c r="L31" s="509"/>
      <c r="M31" s="509"/>
      <c r="N31" s="509"/>
      <c r="O31" s="509"/>
      <c r="P31" s="509"/>
      <c r="Q31" s="509"/>
      <c r="R31" s="509"/>
      <c r="S31" s="509"/>
      <c r="T31" s="509"/>
      <c r="U31" s="509"/>
      <c r="V31" s="509"/>
      <c r="W31" s="509"/>
      <c r="X31" s="509"/>
      <c r="Y31" s="509"/>
      <c r="Z31" s="509"/>
      <c r="AA31" s="45"/>
      <c r="AB31" s="45"/>
      <c r="AC31" s="45"/>
      <c r="AD31" s="514" t="s">
        <v>220</v>
      </c>
      <c r="AE31" s="509"/>
      <c r="AF31" s="509"/>
      <c r="AG31" s="509"/>
      <c r="AH31" s="509"/>
      <c r="AI31" s="509"/>
      <c r="AJ31" s="509"/>
      <c r="AK31" s="237"/>
      <c r="AL31" s="571" t="s">
        <v>55</v>
      </c>
      <c r="AM31" s="509"/>
      <c r="AN31" s="509"/>
      <c r="AO31" s="509"/>
      <c r="AP31" s="509"/>
      <c r="AQ31" s="509"/>
      <c r="AR31" s="509"/>
      <c r="AS31" s="509"/>
      <c r="AT31" s="509"/>
      <c r="AU31" s="509"/>
      <c r="AV31" s="509"/>
      <c r="AW31" s="237"/>
    </row>
    <row r="32" spans="1:50" ht="203.25" customHeight="1" x14ac:dyDescent="0.25">
      <c r="A32" s="238"/>
      <c r="B32" s="239"/>
      <c r="C32" s="239"/>
      <c r="D32" s="240"/>
      <c r="E32" s="238"/>
      <c r="F32" s="238"/>
      <c r="G32" s="241"/>
      <c r="H32" s="242"/>
      <c r="I32" s="238"/>
      <c r="J32" s="238"/>
      <c r="K32" s="238"/>
      <c r="L32" s="238"/>
      <c r="M32" s="238"/>
      <c r="N32" s="243"/>
      <c r="O32" s="238"/>
      <c r="P32" s="244"/>
      <c r="Q32" s="244"/>
      <c r="R32" s="238"/>
      <c r="S32" s="238"/>
      <c r="T32" s="201"/>
      <c r="U32" s="201"/>
      <c r="V32" s="201"/>
      <c r="W32" s="201"/>
      <c r="X32" s="238"/>
      <c r="Y32" s="238"/>
      <c r="Z32" s="238"/>
      <c r="AA32" s="238"/>
      <c r="AB32" s="238"/>
      <c r="AC32" s="238"/>
      <c r="AD32" s="45"/>
      <c r="AE32" s="45"/>
      <c r="AF32" s="245"/>
      <c r="AG32" s="45"/>
      <c r="AH32" s="45"/>
      <c r="AI32" s="45"/>
      <c r="AJ32" s="45"/>
      <c r="AK32" s="238"/>
      <c r="AL32" s="238"/>
      <c r="AM32" s="238"/>
      <c r="AN32" s="246"/>
      <c r="AO32" s="246"/>
      <c r="AP32" s="238"/>
      <c r="AQ32" s="246"/>
      <c r="AR32" s="246"/>
      <c r="AS32" s="246"/>
      <c r="AT32" s="238"/>
      <c r="AU32" s="247"/>
      <c r="AV32" s="238"/>
      <c r="AW32" s="238"/>
    </row>
    <row r="33" spans="1:49" ht="27" customHeight="1" x14ac:dyDescent="0.25">
      <c r="A33" s="44"/>
      <c r="B33" s="44"/>
      <c r="C33" s="571"/>
      <c r="D33" s="509"/>
      <c r="E33" s="509"/>
      <c r="G33" s="44"/>
      <c r="H33" s="44"/>
      <c r="I33" s="584"/>
      <c r="J33" s="509"/>
      <c r="K33" s="509"/>
      <c r="L33" s="509"/>
      <c r="M33" s="509"/>
      <c r="N33" s="509"/>
      <c r="O33" s="509"/>
      <c r="P33" s="509"/>
      <c r="Q33" s="509"/>
      <c r="R33" s="509"/>
      <c r="S33" s="509"/>
      <c r="T33" s="509"/>
      <c r="U33" s="509"/>
      <c r="V33" s="509"/>
      <c r="W33" s="509"/>
      <c r="X33" s="509"/>
      <c r="Y33" s="509"/>
      <c r="Z33" s="509"/>
      <c r="AA33" s="45"/>
      <c r="AB33" s="45"/>
      <c r="AC33" s="45"/>
      <c r="AD33" s="514"/>
      <c r="AE33" s="509"/>
      <c r="AF33" s="509"/>
      <c r="AG33" s="509"/>
      <c r="AH33" s="509"/>
      <c r="AI33" s="509"/>
      <c r="AJ33" s="509"/>
      <c r="AK33" s="237"/>
      <c r="AL33" s="571"/>
      <c r="AM33" s="509"/>
      <c r="AN33" s="509"/>
      <c r="AO33" s="509"/>
      <c r="AP33" s="509"/>
      <c r="AQ33" s="509"/>
      <c r="AR33" s="509"/>
      <c r="AS33" s="509"/>
      <c r="AT33" s="509"/>
      <c r="AU33" s="509"/>
      <c r="AV33" s="509"/>
      <c r="AW33" s="237"/>
    </row>
    <row r="34" spans="1:49" ht="15" hidden="1" customHeight="1" x14ac:dyDescent="0.25">
      <c r="N34" s="203"/>
      <c r="AS34" s="141" t="s">
        <v>132</v>
      </c>
      <c r="AV34" s="43">
        <f>L28</f>
        <v>53608152.173913039</v>
      </c>
    </row>
    <row r="35" spans="1:49" ht="15" hidden="1" customHeight="1" x14ac:dyDescent="0.25">
      <c r="N35" s="203"/>
      <c r="AS35" s="141" t="s">
        <v>222</v>
      </c>
      <c r="AV35" s="43">
        <f>O28</f>
        <v>87747404.369565219</v>
      </c>
    </row>
    <row r="36" spans="1:49" ht="15" hidden="1" customHeight="1" x14ac:dyDescent="0.25">
      <c r="N36" s="203"/>
      <c r="AQ36" s="149"/>
      <c r="AR36" s="43"/>
      <c r="AS36" s="141" t="s">
        <v>223</v>
      </c>
      <c r="AV36" s="43">
        <f>V28</f>
        <v>0</v>
      </c>
    </row>
    <row r="37" spans="1:49" ht="15" hidden="1" customHeight="1" x14ac:dyDescent="0.25">
      <c r="N37" s="203"/>
      <c r="AS37" s="149" t="s">
        <v>224</v>
      </c>
      <c r="AV37" s="43">
        <f>AD28</f>
        <v>23939239.130434781</v>
      </c>
    </row>
    <row r="38" spans="1:49" ht="15" hidden="1" customHeight="1" x14ac:dyDescent="0.25">
      <c r="N38" s="203"/>
      <c r="AQ38" s="149"/>
      <c r="AR38" s="43"/>
      <c r="AS38" s="141" t="s">
        <v>136</v>
      </c>
      <c r="AV38" s="43">
        <f>SUM(AV34:AV37)</f>
        <v>165294795.67391303</v>
      </c>
    </row>
    <row r="39" spans="1:49" ht="15" hidden="1" customHeight="1" x14ac:dyDescent="0.25">
      <c r="N39" s="203"/>
      <c r="AQ39" s="149"/>
      <c r="AR39" s="43"/>
      <c r="AS39" s="141" t="s">
        <v>225</v>
      </c>
      <c r="AV39" s="43">
        <f>AN28</f>
        <v>4788000</v>
      </c>
    </row>
    <row r="40" spans="1:49" ht="15" hidden="1" customHeight="1" x14ac:dyDescent="0.25">
      <c r="N40" s="203"/>
      <c r="AQ40" s="149"/>
      <c r="AR40" s="43"/>
      <c r="AS40" s="141" t="s">
        <v>179</v>
      </c>
      <c r="AV40" s="43">
        <f>AT28</f>
        <v>7280326.632608695</v>
      </c>
    </row>
    <row r="41" spans="1:49" ht="15" hidden="1" customHeight="1" x14ac:dyDescent="0.25">
      <c r="N41" s="203"/>
      <c r="AQ41" s="149"/>
      <c r="AR41" s="43"/>
      <c r="AS41" s="141" t="s">
        <v>226</v>
      </c>
      <c r="AV41" s="43">
        <f>AU28</f>
        <v>0</v>
      </c>
    </row>
    <row r="42" spans="1:49" ht="15" hidden="1" customHeight="1" x14ac:dyDescent="0.25">
      <c r="N42" s="203"/>
      <c r="AQ42" s="149"/>
      <c r="AR42" s="43"/>
      <c r="AS42" s="141" t="s">
        <v>227</v>
      </c>
      <c r="AV42" s="43">
        <f>AV38-AV39-AV40-AV41</f>
        <v>153226469.04130435</v>
      </c>
    </row>
    <row r="43" spans="1:49" ht="15" hidden="1" customHeight="1" x14ac:dyDescent="0.25">
      <c r="N43" s="203"/>
      <c r="AQ43" s="149"/>
      <c r="AR43" s="248"/>
      <c r="AS43" s="141" t="s">
        <v>228</v>
      </c>
      <c r="AV43" s="43">
        <f>AV42-AV28</f>
        <v>-23467630.95869565</v>
      </c>
    </row>
    <row r="44" spans="1:49" ht="15" customHeight="1" x14ac:dyDescent="0.25">
      <c r="N44" s="203"/>
      <c r="AQ44" s="149"/>
      <c r="AR44" s="43"/>
    </row>
    <row r="45" spans="1:49" ht="15" customHeight="1" x14ac:dyDescent="0.25">
      <c r="N45" s="203"/>
      <c r="AQ45" s="149"/>
      <c r="AR45" s="43"/>
    </row>
    <row r="46" spans="1:49" ht="15" customHeight="1" x14ac:dyDescent="0.25">
      <c r="N46" s="203"/>
      <c r="AQ46" s="149"/>
      <c r="AR46" s="43"/>
    </row>
    <row r="47" spans="1:49" ht="15" customHeight="1" x14ac:dyDescent="0.25">
      <c r="N47" s="203"/>
      <c r="AQ47" s="149"/>
      <c r="AR47" s="43"/>
    </row>
    <row r="48" spans="1:49" ht="15" customHeight="1" x14ac:dyDescent="0.25">
      <c r="N48" s="203"/>
      <c r="AQ48" s="149"/>
      <c r="AR48" s="43"/>
    </row>
    <row r="49" spans="14:14" ht="15.75" customHeight="1" x14ac:dyDescent="0.25">
      <c r="N49" s="203"/>
    </row>
    <row r="50" spans="14:14" ht="15.75" customHeight="1" x14ac:dyDescent="0.25">
      <c r="N50" s="203"/>
    </row>
    <row r="51" spans="14:14" ht="15.75" customHeight="1" x14ac:dyDescent="0.25">
      <c r="N51" s="203"/>
    </row>
    <row r="52" spans="14:14" ht="15.75" customHeight="1" x14ac:dyDescent="0.25">
      <c r="N52" s="203"/>
    </row>
    <row r="53" spans="14:14" ht="15.75" customHeight="1" x14ac:dyDescent="0.25">
      <c r="N53" s="203"/>
    </row>
    <row r="54" spans="14:14" ht="15.75" customHeight="1" x14ac:dyDescent="0.25">
      <c r="N54" s="203"/>
    </row>
    <row r="55" spans="14:14" ht="15.75" customHeight="1" x14ac:dyDescent="0.25">
      <c r="N55" s="203"/>
    </row>
    <row r="56" spans="14:14" ht="15.75" customHeight="1" x14ac:dyDescent="0.25">
      <c r="N56" s="203"/>
    </row>
    <row r="57" spans="14:14" ht="15.75" customHeight="1" x14ac:dyDescent="0.25">
      <c r="N57" s="203"/>
    </row>
    <row r="58" spans="14:14" ht="15.75" customHeight="1" x14ac:dyDescent="0.25">
      <c r="N58" s="203"/>
    </row>
    <row r="59" spans="14:14" ht="15.75" customHeight="1" x14ac:dyDescent="0.25">
      <c r="N59" s="203"/>
    </row>
    <row r="60" spans="14:14" ht="15.75" customHeight="1" x14ac:dyDescent="0.25">
      <c r="N60" s="203"/>
    </row>
    <row r="61" spans="14:14" ht="15.75" customHeight="1" x14ac:dyDescent="0.25">
      <c r="N61" s="203"/>
    </row>
    <row r="62" spans="14:14" ht="15.75" customHeight="1" x14ac:dyDescent="0.25">
      <c r="N62" s="203"/>
    </row>
    <row r="63" spans="14:14" ht="15.75" customHeight="1" x14ac:dyDescent="0.25">
      <c r="N63" s="203"/>
    </row>
    <row r="64" spans="14:14" ht="15.75" customHeight="1" x14ac:dyDescent="0.25">
      <c r="N64" s="203"/>
    </row>
    <row r="65" spans="14:14" ht="15.75" customHeight="1" x14ac:dyDescent="0.25">
      <c r="N65" s="203"/>
    </row>
    <row r="66" spans="14:14" ht="15.75" customHeight="1" x14ac:dyDescent="0.25">
      <c r="N66" s="203"/>
    </row>
    <row r="67" spans="14:14" ht="15.75" customHeight="1" x14ac:dyDescent="0.25">
      <c r="N67" s="203"/>
    </row>
    <row r="68" spans="14:14" ht="15.75" customHeight="1" x14ac:dyDescent="0.25">
      <c r="N68" s="203"/>
    </row>
    <row r="69" spans="14:14" ht="15.75" customHeight="1" x14ac:dyDescent="0.25">
      <c r="N69" s="203"/>
    </row>
    <row r="70" spans="14:14" ht="15.75" customHeight="1" x14ac:dyDescent="0.25">
      <c r="N70" s="203"/>
    </row>
    <row r="71" spans="14:14" ht="15.75" customHeight="1" x14ac:dyDescent="0.25">
      <c r="N71" s="203"/>
    </row>
    <row r="72" spans="14:14" ht="15.75" customHeight="1" x14ac:dyDescent="0.25">
      <c r="N72" s="203"/>
    </row>
    <row r="73" spans="14:14" ht="15.75" customHeight="1" x14ac:dyDescent="0.25">
      <c r="N73" s="203"/>
    </row>
    <row r="74" spans="14:14" ht="15.75" customHeight="1" x14ac:dyDescent="0.25">
      <c r="N74" s="203"/>
    </row>
    <row r="75" spans="14:14" ht="15.75" customHeight="1" x14ac:dyDescent="0.25">
      <c r="N75" s="203"/>
    </row>
    <row r="76" spans="14:14" ht="15.75" customHeight="1" x14ac:dyDescent="0.25">
      <c r="N76" s="203"/>
    </row>
    <row r="77" spans="14:14" ht="15.75" customHeight="1" x14ac:dyDescent="0.25">
      <c r="N77" s="203"/>
    </row>
    <row r="78" spans="14:14" ht="15.75" customHeight="1" x14ac:dyDescent="0.25">
      <c r="N78" s="203"/>
    </row>
    <row r="79" spans="14:14" ht="15.75" customHeight="1" x14ac:dyDescent="0.25">
      <c r="N79" s="203"/>
    </row>
    <row r="80" spans="14:14" ht="15.75" customHeight="1" x14ac:dyDescent="0.25">
      <c r="N80" s="203"/>
    </row>
    <row r="81" spans="14:14" ht="15.75" customHeight="1" x14ac:dyDescent="0.25">
      <c r="N81" s="203"/>
    </row>
    <row r="82" spans="14:14" ht="15.75" customHeight="1" x14ac:dyDescent="0.25">
      <c r="N82" s="203"/>
    </row>
    <row r="83" spans="14:14" ht="15.75" customHeight="1" x14ac:dyDescent="0.25">
      <c r="N83" s="203"/>
    </row>
    <row r="84" spans="14:14" ht="15.75" customHeight="1" x14ac:dyDescent="0.25">
      <c r="N84" s="203"/>
    </row>
    <row r="85" spans="14:14" ht="15.75" customHeight="1" x14ac:dyDescent="0.25">
      <c r="N85" s="203"/>
    </row>
    <row r="86" spans="14:14" ht="15.75" customHeight="1" x14ac:dyDescent="0.25">
      <c r="N86" s="203"/>
    </row>
    <row r="87" spans="14:14" ht="15.75" customHeight="1" x14ac:dyDescent="0.25">
      <c r="N87" s="203"/>
    </row>
    <row r="88" spans="14:14" ht="15.75" customHeight="1" x14ac:dyDescent="0.25">
      <c r="N88" s="203"/>
    </row>
    <row r="89" spans="14:14" ht="15.75" customHeight="1" x14ac:dyDescent="0.25">
      <c r="N89" s="203"/>
    </row>
    <row r="90" spans="14:14" ht="15.75" customHeight="1" x14ac:dyDescent="0.25">
      <c r="N90" s="203"/>
    </row>
    <row r="91" spans="14:14" ht="15.75" customHeight="1" x14ac:dyDescent="0.25">
      <c r="N91" s="203"/>
    </row>
    <row r="92" spans="14:14" ht="15.75" customHeight="1" x14ac:dyDescent="0.25">
      <c r="N92" s="203"/>
    </row>
    <row r="93" spans="14:14" ht="15.75" customHeight="1" x14ac:dyDescent="0.25">
      <c r="N93" s="203"/>
    </row>
    <row r="94" spans="14:14" ht="15.75" customHeight="1" x14ac:dyDescent="0.25">
      <c r="N94" s="203"/>
    </row>
    <row r="95" spans="14:14" ht="15.75" customHeight="1" x14ac:dyDescent="0.25">
      <c r="N95" s="203"/>
    </row>
    <row r="96" spans="14:14" ht="15.75" customHeight="1" x14ac:dyDescent="0.25">
      <c r="N96" s="203"/>
    </row>
    <row r="97" spans="14:14" ht="15.75" customHeight="1" x14ac:dyDescent="0.25">
      <c r="N97" s="203"/>
    </row>
    <row r="98" spans="14:14" ht="15.75" customHeight="1" x14ac:dyDescent="0.25">
      <c r="N98" s="203"/>
    </row>
    <row r="99" spans="14:14" ht="15.75" customHeight="1" x14ac:dyDescent="0.25">
      <c r="N99" s="203"/>
    </row>
    <row r="100" spans="14:14" ht="15.75" customHeight="1" x14ac:dyDescent="0.25">
      <c r="N100" s="203"/>
    </row>
    <row r="101" spans="14:14" ht="15.75" customHeight="1" x14ac:dyDescent="0.25">
      <c r="N101" s="203"/>
    </row>
    <row r="102" spans="14:14" ht="15.75" customHeight="1" x14ac:dyDescent="0.25">
      <c r="N102" s="203"/>
    </row>
    <row r="103" spans="14:14" ht="15.75" customHeight="1" x14ac:dyDescent="0.25">
      <c r="N103" s="203"/>
    </row>
    <row r="104" spans="14:14" ht="15.75" customHeight="1" x14ac:dyDescent="0.25">
      <c r="N104" s="203"/>
    </row>
    <row r="105" spans="14:14" ht="15.75" customHeight="1" x14ac:dyDescent="0.25">
      <c r="N105" s="203"/>
    </row>
    <row r="106" spans="14:14" ht="15.75" customHeight="1" x14ac:dyDescent="0.25">
      <c r="N106" s="203"/>
    </row>
    <row r="107" spans="14:14" ht="15.75" customHeight="1" x14ac:dyDescent="0.25">
      <c r="N107" s="203"/>
    </row>
    <row r="108" spans="14:14" ht="15.75" customHeight="1" x14ac:dyDescent="0.25">
      <c r="N108" s="203"/>
    </row>
    <row r="109" spans="14:14" ht="15.75" customHeight="1" x14ac:dyDescent="0.25">
      <c r="N109" s="203"/>
    </row>
    <row r="110" spans="14:14" ht="15.75" customHeight="1" x14ac:dyDescent="0.25">
      <c r="N110" s="203"/>
    </row>
    <row r="111" spans="14:14" ht="15.75" customHeight="1" x14ac:dyDescent="0.25">
      <c r="N111" s="203"/>
    </row>
    <row r="112" spans="14:14" ht="15.75" customHeight="1" x14ac:dyDescent="0.25">
      <c r="N112" s="203"/>
    </row>
    <row r="113" spans="14:14" ht="15.75" customHeight="1" x14ac:dyDescent="0.25">
      <c r="N113" s="203"/>
    </row>
    <row r="114" spans="14:14" ht="15.75" customHeight="1" x14ac:dyDescent="0.25">
      <c r="N114" s="203"/>
    </row>
    <row r="115" spans="14:14" ht="15.75" customHeight="1" x14ac:dyDescent="0.25">
      <c r="N115" s="203"/>
    </row>
    <row r="116" spans="14:14" ht="15.75" customHeight="1" x14ac:dyDescent="0.25">
      <c r="N116" s="203"/>
    </row>
    <row r="117" spans="14:14" ht="15.75" customHeight="1" x14ac:dyDescent="0.25">
      <c r="N117" s="203"/>
    </row>
    <row r="118" spans="14:14" ht="15.75" customHeight="1" x14ac:dyDescent="0.25">
      <c r="N118" s="203"/>
    </row>
    <row r="119" spans="14:14" ht="15.75" customHeight="1" x14ac:dyDescent="0.25">
      <c r="N119" s="203"/>
    </row>
    <row r="120" spans="14:14" ht="15.75" customHeight="1" x14ac:dyDescent="0.25">
      <c r="N120" s="203"/>
    </row>
    <row r="121" spans="14:14" ht="15.75" customHeight="1" x14ac:dyDescent="0.25">
      <c r="N121" s="203"/>
    </row>
    <row r="122" spans="14:14" ht="15.75" customHeight="1" x14ac:dyDescent="0.25">
      <c r="N122" s="203"/>
    </row>
    <row r="123" spans="14:14" ht="15.75" customHeight="1" x14ac:dyDescent="0.25">
      <c r="N123" s="203"/>
    </row>
    <row r="124" spans="14:14" ht="15.75" customHeight="1" x14ac:dyDescent="0.25">
      <c r="N124" s="203"/>
    </row>
    <row r="125" spans="14:14" ht="15.75" customHeight="1" x14ac:dyDescent="0.25">
      <c r="N125" s="203"/>
    </row>
    <row r="126" spans="14:14" ht="15.75" customHeight="1" x14ac:dyDescent="0.25">
      <c r="N126" s="203"/>
    </row>
    <row r="127" spans="14:14" ht="15.75" customHeight="1" x14ac:dyDescent="0.25">
      <c r="N127" s="203"/>
    </row>
    <row r="128" spans="14:14" ht="15.75" customHeight="1" x14ac:dyDescent="0.25">
      <c r="N128" s="203"/>
    </row>
    <row r="129" spans="14:14" ht="15.75" customHeight="1" x14ac:dyDescent="0.25">
      <c r="N129" s="203"/>
    </row>
    <row r="130" spans="14:14" ht="15.75" customHeight="1" x14ac:dyDescent="0.25">
      <c r="N130" s="203"/>
    </row>
    <row r="131" spans="14:14" ht="15.75" customHeight="1" x14ac:dyDescent="0.25">
      <c r="N131" s="203"/>
    </row>
    <row r="132" spans="14:14" ht="15.75" customHeight="1" x14ac:dyDescent="0.25">
      <c r="N132" s="203"/>
    </row>
    <row r="133" spans="14:14" ht="15.75" customHeight="1" x14ac:dyDescent="0.25">
      <c r="N133" s="203"/>
    </row>
    <row r="134" spans="14:14" ht="15.75" customHeight="1" x14ac:dyDescent="0.25">
      <c r="N134" s="203"/>
    </row>
    <row r="135" spans="14:14" ht="15.75" customHeight="1" x14ac:dyDescent="0.25">
      <c r="N135" s="203"/>
    </row>
    <row r="136" spans="14:14" ht="15.75" customHeight="1" x14ac:dyDescent="0.25">
      <c r="N136" s="203"/>
    </row>
    <row r="137" spans="14:14" ht="15.75" customHeight="1" x14ac:dyDescent="0.25">
      <c r="N137" s="203"/>
    </row>
    <row r="138" spans="14:14" ht="15.75" customHeight="1" x14ac:dyDescent="0.25">
      <c r="N138" s="203"/>
    </row>
    <row r="139" spans="14:14" ht="15.75" customHeight="1" x14ac:dyDescent="0.25">
      <c r="N139" s="203"/>
    </row>
    <row r="140" spans="14:14" ht="15.75" customHeight="1" x14ac:dyDescent="0.25">
      <c r="N140" s="203"/>
    </row>
    <row r="141" spans="14:14" ht="15.75" customHeight="1" x14ac:dyDescent="0.25">
      <c r="N141" s="203"/>
    </row>
    <row r="142" spans="14:14" ht="15.75" customHeight="1" x14ac:dyDescent="0.25">
      <c r="N142" s="203"/>
    </row>
    <row r="143" spans="14:14" ht="15.75" customHeight="1" x14ac:dyDescent="0.25">
      <c r="N143" s="203"/>
    </row>
    <row r="144" spans="14:14" ht="15.75" customHeight="1" x14ac:dyDescent="0.25">
      <c r="N144" s="203"/>
    </row>
    <row r="145" spans="14:14" ht="15.75" customHeight="1" x14ac:dyDescent="0.25">
      <c r="N145" s="203"/>
    </row>
    <row r="146" spans="14:14" ht="15.75" customHeight="1" x14ac:dyDescent="0.25">
      <c r="N146" s="203"/>
    </row>
    <row r="147" spans="14:14" ht="15.75" customHeight="1" x14ac:dyDescent="0.25">
      <c r="N147" s="203"/>
    </row>
    <row r="148" spans="14:14" ht="15.75" customHeight="1" x14ac:dyDescent="0.25">
      <c r="N148" s="203"/>
    </row>
    <row r="149" spans="14:14" ht="15.75" customHeight="1" x14ac:dyDescent="0.25">
      <c r="N149" s="203"/>
    </row>
    <row r="150" spans="14:14" ht="15.75" customHeight="1" x14ac:dyDescent="0.25">
      <c r="N150" s="203"/>
    </row>
    <row r="151" spans="14:14" ht="15.75" customHeight="1" x14ac:dyDescent="0.25">
      <c r="N151" s="203"/>
    </row>
    <row r="152" spans="14:14" ht="15.75" customHeight="1" x14ac:dyDescent="0.25">
      <c r="N152" s="203"/>
    </row>
    <row r="153" spans="14:14" ht="15.75" customHeight="1" x14ac:dyDescent="0.25">
      <c r="N153" s="203"/>
    </row>
    <row r="154" spans="14:14" ht="15.75" customHeight="1" x14ac:dyDescent="0.25">
      <c r="N154" s="203"/>
    </row>
    <row r="155" spans="14:14" ht="15.75" customHeight="1" x14ac:dyDescent="0.25">
      <c r="N155" s="203"/>
    </row>
    <row r="156" spans="14:14" ht="15.75" customHeight="1" x14ac:dyDescent="0.25">
      <c r="N156" s="203"/>
    </row>
    <row r="157" spans="14:14" ht="15.75" customHeight="1" x14ac:dyDescent="0.25">
      <c r="N157" s="203"/>
    </row>
    <row r="158" spans="14:14" ht="15.75" customHeight="1" x14ac:dyDescent="0.25">
      <c r="N158" s="203"/>
    </row>
    <row r="159" spans="14:14" ht="15.75" customHeight="1" x14ac:dyDescent="0.25">
      <c r="N159" s="203"/>
    </row>
    <row r="160" spans="14:14" ht="15.75" customHeight="1" x14ac:dyDescent="0.25">
      <c r="N160" s="203"/>
    </row>
    <row r="161" spans="14:14" ht="15.75" customHeight="1" x14ac:dyDescent="0.25">
      <c r="N161" s="203"/>
    </row>
    <row r="162" spans="14:14" ht="15.75" customHeight="1" x14ac:dyDescent="0.25">
      <c r="N162" s="203"/>
    </row>
    <row r="163" spans="14:14" ht="15.75" customHeight="1" x14ac:dyDescent="0.25">
      <c r="N163" s="203"/>
    </row>
    <row r="164" spans="14:14" ht="15.75" customHeight="1" x14ac:dyDescent="0.25">
      <c r="N164" s="203"/>
    </row>
    <row r="165" spans="14:14" ht="15.75" customHeight="1" x14ac:dyDescent="0.25">
      <c r="N165" s="203"/>
    </row>
    <row r="166" spans="14:14" ht="15.75" customHeight="1" x14ac:dyDescent="0.25">
      <c r="N166" s="203"/>
    </row>
    <row r="167" spans="14:14" ht="15.75" customHeight="1" x14ac:dyDescent="0.25">
      <c r="N167" s="203"/>
    </row>
    <row r="168" spans="14:14" ht="15.75" customHeight="1" x14ac:dyDescent="0.25">
      <c r="N168" s="203"/>
    </row>
    <row r="169" spans="14:14" ht="15.75" customHeight="1" x14ac:dyDescent="0.25">
      <c r="N169" s="203"/>
    </row>
    <row r="170" spans="14:14" ht="15.75" customHeight="1" x14ac:dyDescent="0.25">
      <c r="N170" s="203"/>
    </row>
    <row r="171" spans="14:14" ht="15.75" customHeight="1" x14ac:dyDescent="0.25">
      <c r="N171" s="203"/>
    </row>
    <row r="172" spans="14:14" ht="15.75" customHeight="1" x14ac:dyDescent="0.25">
      <c r="N172" s="203"/>
    </row>
    <row r="173" spans="14:14" ht="15.75" customHeight="1" x14ac:dyDescent="0.25">
      <c r="N173" s="203"/>
    </row>
    <row r="174" spans="14:14" ht="15.75" customHeight="1" x14ac:dyDescent="0.25">
      <c r="N174" s="203"/>
    </row>
    <row r="175" spans="14:14" ht="15.75" customHeight="1" x14ac:dyDescent="0.25">
      <c r="N175" s="203"/>
    </row>
    <row r="176" spans="14:14" ht="15.75" customHeight="1" x14ac:dyDescent="0.25">
      <c r="N176" s="203"/>
    </row>
    <row r="177" spans="14:14" ht="15.75" customHeight="1" x14ac:dyDescent="0.25">
      <c r="N177" s="203"/>
    </row>
    <row r="178" spans="14:14" ht="15.75" customHeight="1" x14ac:dyDescent="0.25">
      <c r="N178" s="203"/>
    </row>
    <row r="179" spans="14:14" ht="15.75" customHeight="1" x14ac:dyDescent="0.25">
      <c r="N179" s="203"/>
    </row>
    <row r="180" spans="14:14" ht="15.75" customHeight="1" x14ac:dyDescent="0.25">
      <c r="N180" s="203"/>
    </row>
    <row r="181" spans="14:14" ht="15.75" customHeight="1" x14ac:dyDescent="0.25">
      <c r="N181" s="203"/>
    </row>
    <row r="182" spans="14:14" ht="15.75" customHeight="1" x14ac:dyDescent="0.25">
      <c r="N182" s="203"/>
    </row>
    <row r="183" spans="14:14" ht="15.75" customHeight="1" x14ac:dyDescent="0.25">
      <c r="N183" s="203"/>
    </row>
    <row r="184" spans="14:14" ht="15.75" customHeight="1" x14ac:dyDescent="0.25">
      <c r="N184" s="203"/>
    </row>
    <row r="185" spans="14:14" ht="15.75" customHeight="1" x14ac:dyDescent="0.25">
      <c r="N185" s="203"/>
    </row>
    <row r="186" spans="14:14" ht="15.75" customHeight="1" x14ac:dyDescent="0.25">
      <c r="N186" s="203"/>
    </row>
    <row r="187" spans="14:14" ht="15.75" customHeight="1" x14ac:dyDescent="0.25">
      <c r="N187" s="203"/>
    </row>
    <row r="188" spans="14:14" ht="15.75" customHeight="1" x14ac:dyDescent="0.25">
      <c r="N188" s="203"/>
    </row>
    <row r="189" spans="14:14" ht="15.75" customHeight="1" x14ac:dyDescent="0.25">
      <c r="N189" s="203"/>
    </row>
    <row r="190" spans="14:14" ht="15.75" customHeight="1" x14ac:dyDescent="0.25">
      <c r="N190" s="203"/>
    </row>
    <row r="191" spans="14:14" ht="15.75" customHeight="1" x14ac:dyDescent="0.25">
      <c r="N191" s="203"/>
    </row>
    <row r="192" spans="14:14" ht="15.75" customHeight="1" x14ac:dyDescent="0.25">
      <c r="N192" s="203"/>
    </row>
    <row r="193" spans="14:14" ht="15.75" customHeight="1" x14ac:dyDescent="0.25">
      <c r="N193" s="203"/>
    </row>
    <row r="194" spans="14:14" ht="15.75" customHeight="1" x14ac:dyDescent="0.25">
      <c r="N194" s="203"/>
    </row>
    <row r="195" spans="14:14" ht="15.75" customHeight="1" x14ac:dyDescent="0.25">
      <c r="N195" s="203"/>
    </row>
    <row r="196" spans="14:14" ht="15.75" customHeight="1" x14ac:dyDescent="0.25">
      <c r="N196" s="203"/>
    </row>
    <row r="197" spans="14:14" ht="15.75" customHeight="1" x14ac:dyDescent="0.25">
      <c r="N197" s="203"/>
    </row>
    <row r="198" spans="14:14" ht="15.75" customHeight="1" x14ac:dyDescent="0.25">
      <c r="N198" s="203"/>
    </row>
    <row r="199" spans="14:14" ht="15.75" customHeight="1" x14ac:dyDescent="0.25">
      <c r="N199" s="203"/>
    </row>
    <row r="200" spans="14:14" ht="15.75" customHeight="1" x14ac:dyDescent="0.25">
      <c r="N200" s="203"/>
    </row>
    <row r="201" spans="14:14" ht="15.75" customHeight="1" x14ac:dyDescent="0.25">
      <c r="N201" s="203"/>
    </row>
    <row r="202" spans="14:14" ht="15.75" customHeight="1" x14ac:dyDescent="0.25">
      <c r="N202" s="203"/>
    </row>
    <row r="203" spans="14:14" ht="15.75" customHeight="1" x14ac:dyDescent="0.25">
      <c r="N203" s="203"/>
    </row>
    <row r="204" spans="14:14" ht="15.75" customHeight="1" x14ac:dyDescent="0.25">
      <c r="N204" s="203"/>
    </row>
    <row r="205" spans="14:14" ht="15.75" customHeight="1" x14ac:dyDescent="0.25">
      <c r="N205" s="203"/>
    </row>
    <row r="206" spans="14:14" ht="15.75" customHeight="1" x14ac:dyDescent="0.25">
      <c r="N206" s="203"/>
    </row>
    <row r="207" spans="14:14" ht="15.75" customHeight="1" x14ac:dyDescent="0.25">
      <c r="N207" s="203"/>
    </row>
    <row r="208" spans="14:14" ht="15.75" customHeight="1" x14ac:dyDescent="0.25">
      <c r="N208" s="203"/>
    </row>
    <row r="209" spans="14:14" ht="15.75" customHeight="1" x14ac:dyDescent="0.25">
      <c r="N209" s="203"/>
    </row>
    <row r="210" spans="14:14" ht="15.75" customHeight="1" x14ac:dyDescent="0.25">
      <c r="N210" s="203"/>
    </row>
    <row r="211" spans="14:14" ht="15.75" customHeight="1" x14ac:dyDescent="0.25">
      <c r="N211" s="203"/>
    </row>
    <row r="212" spans="14:14" ht="15.75" customHeight="1" x14ac:dyDescent="0.25">
      <c r="N212" s="203"/>
    </row>
    <row r="213" spans="14:14" ht="15.75" customHeight="1" x14ac:dyDescent="0.25">
      <c r="N213" s="203"/>
    </row>
    <row r="214" spans="14:14" ht="15.75" customHeight="1" x14ac:dyDescent="0.25">
      <c r="N214" s="203"/>
    </row>
    <row r="215" spans="14:14" ht="15.75" customHeight="1" x14ac:dyDescent="0.25">
      <c r="N215" s="203"/>
    </row>
    <row r="216" spans="14:14" ht="15.75" customHeight="1" x14ac:dyDescent="0.25">
      <c r="N216" s="203"/>
    </row>
    <row r="217" spans="14:14" ht="15.75" customHeight="1" x14ac:dyDescent="0.25">
      <c r="N217" s="203"/>
    </row>
    <row r="218" spans="14:14" ht="15.75" customHeight="1" x14ac:dyDescent="0.25">
      <c r="N218" s="203"/>
    </row>
    <row r="219" spans="14:14" ht="15.75" customHeight="1" x14ac:dyDescent="0.25">
      <c r="N219" s="203"/>
    </row>
    <row r="220" spans="14:14" ht="15.75" customHeight="1" x14ac:dyDescent="0.25">
      <c r="N220" s="203"/>
    </row>
    <row r="221" spans="14:14" ht="15.75" customHeight="1" x14ac:dyDescent="0.25">
      <c r="N221" s="203"/>
    </row>
    <row r="222" spans="14:14" ht="15.75" customHeight="1" x14ac:dyDescent="0.25">
      <c r="N222" s="203"/>
    </row>
    <row r="223" spans="14:14" ht="15.75" customHeight="1" x14ac:dyDescent="0.25">
      <c r="N223" s="203"/>
    </row>
    <row r="224" spans="14:14" ht="15.75" customHeight="1" x14ac:dyDescent="0.25">
      <c r="N224" s="203"/>
    </row>
    <row r="225" spans="14:14" ht="15.75" customHeight="1" x14ac:dyDescent="0.25">
      <c r="N225" s="203"/>
    </row>
    <row r="226" spans="14:14" ht="15.75" customHeight="1" x14ac:dyDescent="0.25">
      <c r="N226" s="203"/>
    </row>
    <row r="227" spans="14:14" ht="15.75" customHeight="1" x14ac:dyDescent="0.25">
      <c r="N227" s="203"/>
    </row>
    <row r="228" spans="14:14" ht="15.75" customHeight="1" x14ac:dyDescent="0.25">
      <c r="N228" s="203"/>
    </row>
    <row r="229" spans="14:14" ht="15.75" customHeight="1" x14ac:dyDescent="0.25">
      <c r="N229" s="203"/>
    </row>
    <row r="230" spans="14:14" ht="15.75" customHeight="1" x14ac:dyDescent="0.25">
      <c r="N230" s="203"/>
    </row>
    <row r="231" spans="14:14" ht="15.75" customHeight="1" x14ac:dyDescent="0.25">
      <c r="N231" s="203"/>
    </row>
    <row r="232" spans="14:14" ht="15.75" customHeight="1" x14ac:dyDescent="0.25">
      <c r="N232" s="203"/>
    </row>
    <row r="233" spans="14:14" ht="15.75" customHeight="1" x14ac:dyDescent="0.25">
      <c r="N233" s="203"/>
    </row>
    <row r="234" spans="14:14" ht="15.75" customHeight="1" x14ac:dyDescent="0.25">
      <c r="N234" s="203"/>
    </row>
    <row r="235" spans="14:14" ht="15.75" customHeight="1" x14ac:dyDescent="0.25">
      <c r="N235" s="203"/>
    </row>
    <row r="236" spans="14:14" ht="15.75" customHeight="1" x14ac:dyDescent="0.25">
      <c r="N236" s="203"/>
    </row>
    <row r="237" spans="14:14" ht="15.75" customHeight="1" x14ac:dyDescent="0.25">
      <c r="N237" s="203"/>
    </row>
    <row r="238" spans="14:14" ht="15.75" customHeight="1" x14ac:dyDescent="0.25">
      <c r="N238" s="203"/>
    </row>
    <row r="239" spans="14:14" ht="15.75" customHeight="1" x14ac:dyDescent="0.25">
      <c r="N239" s="203"/>
    </row>
    <row r="240" spans="14:14" ht="15.75" customHeight="1" x14ac:dyDescent="0.25">
      <c r="N240" s="203"/>
    </row>
    <row r="241" spans="14:14" ht="15.75" customHeight="1" x14ac:dyDescent="0.25">
      <c r="N241" s="203"/>
    </row>
    <row r="242" spans="14:14" ht="15.75" customHeight="1" x14ac:dyDescent="0.25">
      <c r="N242" s="203"/>
    </row>
    <row r="243" spans="14:14" ht="15.75" customHeight="1" x14ac:dyDescent="0.25">
      <c r="N243" s="203"/>
    </row>
    <row r="244" spans="14:14" ht="15.75" customHeight="1" x14ac:dyDescent="0.25">
      <c r="N244" s="203"/>
    </row>
    <row r="245" spans="14:14" ht="15.75" customHeight="1" x14ac:dyDescent="0.25">
      <c r="N245" s="203"/>
    </row>
    <row r="246" spans="14:14" ht="15.75" customHeight="1" x14ac:dyDescent="0.25">
      <c r="N246" s="203"/>
    </row>
    <row r="247" spans="14:14" ht="15.75" customHeight="1" x14ac:dyDescent="0.25">
      <c r="N247" s="203"/>
    </row>
    <row r="248" spans="14:14" ht="15.75" customHeight="1" x14ac:dyDescent="0.25">
      <c r="N248" s="203"/>
    </row>
    <row r="249" spans="14:14" ht="15.75" customHeight="1" x14ac:dyDescent="0.25">
      <c r="N249" s="203"/>
    </row>
    <row r="250" spans="14:14" ht="15.75" customHeight="1" x14ac:dyDescent="0.25">
      <c r="N250" s="203"/>
    </row>
    <row r="251" spans="14:14" ht="15.75" customHeight="1" x14ac:dyDescent="0.25">
      <c r="N251" s="203"/>
    </row>
    <row r="252" spans="14:14" ht="15.75" customHeight="1" x14ac:dyDescent="0.25">
      <c r="N252" s="203"/>
    </row>
    <row r="253" spans="14:14" ht="15.75" customHeight="1" x14ac:dyDescent="0.25">
      <c r="N253" s="203"/>
    </row>
    <row r="254" spans="14:14" ht="15.75" customHeight="1" x14ac:dyDescent="0.25">
      <c r="N254" s="203"/>
    </row>
    <row r="255" spans="14:14" ht="15.75" customHeight="1" x14ac:dyDescent="0.25">
      <c r="N255" s="203"/>
    </row>
    <row r="256" spans="14:14" ht="15.75" customHeight="1" x14ac:dyDescent="0.25">
      <c r="N256" s="203"/>
    </row>
    <row r="257" spans="14:14" ht="15.75" customHeight="1" x14ac:dyDescent="0.25">
      <c r="N257" s="203"/>
    </row>
    <row r="258" spans="14:14" ht="15.75" customHeight="1" x14ac:dyDescent="0.25">
      <c r="N258" s="203"/>
    </row>
    <row r="259" spans="14:14" ht="15.75" customHeight="1" x14ac:dyDescent="0.25">
      <c r="N259" s="203"/>
    </row>
    <row r="260" spans="14:14" ht="15.75" customHeight="1" x14ac:dyDescent="0.25">
      <c r="N260" s="203"/>
    </row>
    <row r="261" spans="14:14" ht="15.75" customHeight="1" x14ac:dyDescent="0.25">
      <c r="N261" s="203"/>
    </row>
    <row r="262" spans="14:14" ht="15.75" customHeight="1" x14ac:dyDescent="0.25">
      <c r="N262" s="203"/>
    </row>
    <row r="263" spans="14:14" ht="15.75" customHeight="1" x14ac:dyDescent="0.25">
      <c r="N263" s="203"/>
    </row>
    <row r="264" spans="14:14" ht="15.75" customHeight="1" x14ac:dyDescent="0.25">
      <c r="N264" s="203"/>
    </row>
    <row r="265" spans="14:14" ht="15.75" customHeight="1" x14ac:dyDescent="0.25">
      <c r="N265" s="203"/>
    </row>
    <row r="266" spans="14:14" ht="15.75" customHeight="1" x14ac:dyDescent="0.25">
      <c r="N266" s="203"/>
    </row>
    <row r="267" spans="14:14" ht="15.75" customHeight="1" x14ac:dyDescent="0.25">
      <c r="N267" s="203"/>
    </row>
    <row r="268" spans="14:14" ht="15.75" customHeight="1" x14ac:dyDescent="0.25">
      <c r="N268" s="203"/>
    </row>
    <row r="269" spans="14:14" ht="15.75" customHeight="1" x14ac:dyDescent="0.25">
      <c r="N269" s="203"/>
    </row>
    <row r="270" spans="14:14" ht="15.75" customHeight="1" x14ac:dyDescent="0.25">
      <c r="N270" s="203"/>
    </row>
    <row r="271" spans="14:14" ht="15.75" customHeight="1" x14ac:dyDescent="0.25">
      <c r="N271" s="203"/>
    </row>
    <row r="272" spans="14:14" ht="15.75" customHeight="1" x14ac:dyDescent="0.25">
      <c r="N272" s="203"/>
    </row>
    <row r="273" spans="14:14" ht="15.75" customHeight="1" x14ac:dyDescent="0.25">
      <c r="N273" s="203"/>
    </row>
    <row r="274" spans="14:14" ht="15.75" customHeight="1" x14ac:dyDescent="0.25">
      <c r="N274" s="203"/>
    </row>
    <row r="275" spans="14:14" ht="15.75" customHeight="1" x14ac:dyDescent="0.25">
      <c r="N275" s="203"/>
    </row>
    <row r="276" spans="14:14" ht="15.75" customHeight="1" x14ac:dyDescent="0.25">
      <c r="N276" s="203"/>
    </row>
    <row r="277" spans="14:14" ht="15.75" customHeight="1" x14ac:dyDescent="0.25">
      <c r="N277" s="203"/>
    </row>
    <row r="278" spans="14:14" ht="15.75" customHeight="1" x14ac:dyDescent="0.25">
      <c r="N278" s="203"/>
    </row>
    <row r="279" spans="14:14" ht="15.75" customHeight="1" x14ac:dyDescent="0.25">
      <c r="N279" s="203"/>
    </row>
    <row r="280" spans="14:14" ht="15.75" customHeight="1" x14ac:dyDescent="0.25">
      <c r="N280" s="203"/>
    </row>
    <row r="281" spans="14:14" ht="15.75" customHeight="1" x14ac:dyDescent="0.25">
      <c r="N281" s="203"/>
    </row>
    <row r="282" spans="14:14" ht="15.75" customHeight="1" x14ac:dyDescent="0.25">
      <c r="N282" s="203"/>
    </row>
    <row r="283" spans="14:14" ht="15.75" customHeight="1" x14ac:dyDescent="0.25">
      <c r="N283" s="203"/>
    </row>
    <row r="284" spans="14:14" ht="15.75" customHeight="1" x14ac:dyDescent="0.25">
      <c r="N284" s="203"/>
    </row>
    <row r="285" spans="14:14" ht="15.75" customHeight="1" x14ac:dyDescent="0.25">
      <c r="N285" s="203"/>
    </row>
    <row r="286" spans="14:14" ht="15.75" customHeight="1" x14ac:dyDescent="0.25">
      <c r="N286" s="203"/>
    </row>
    <row r="287" spans="14:14" ht="15.75" customHeight="1" x14ac:dyDescent="0.25">
      <c r="N287" s="203"/>
    </row>
    <row r="288" spans="14:14" ht="15.75" customHeight="1" x14ac:dyDescent="0.25">
      <c r="N288" s="203"/>
    </row>
    <row r="289" spans="14:14" ht="15.75" customHeight="1" x14ac:dyDescent="0.25">
      <c r="N289" s="203"/>
    </row>
    <row r="290" spans="14:14" ht="15.75" customHeight="1" x14ac:dyDescent="0.25">
      <c r="N290" s="203"/>
    </row>
    <row r="291" spans="14:14" ht="15.75" customHeight="1" x14ac:dyDescent="0.25">
      <c r="N291" s="203"/>
    </row>
    <row r="292" spans="14:14" ht="15.75" customHeight="1" x14ac:dyDescent="0.25">
      <c r="N292" s="203"/>
    </row>
    <row r="293" spans="14:14" ht="15.75" customHeight="1" x14ac:dyDescent="0.25">
      <c r="N293" s="203"/>
    </row>
    <row r="294" spans="14:14" ht="15.75" customHeight="1" x14ac:dyDescent="0.25">
      <c r="N294" s="203"/>
    </row>
    <row r="295" spans="14:14" ht="15.75" customHeight="1" x14ac:dyDescent="0.25">
      <c r="N295" s="203"/>
    </row>
    <row r="296" spans="14:14" ht="15.75" customHeight="1" x14ac:dyDescent="0.25">
      <c r="N296" s="203"/>
    </row>
    <row r="297" spans="14:14" ht="15.75" customHeight="1" x14ac:dyDescent="0.25">
      <c r="N297" s="203"/>
    </row>
    <row r="298" spans="14:14" ht="15.75" customHeight="1" x14ac:dyDescent="0.25">
      <c r="N298" s="203"/>
    </row>
    <row r="299" spans="14:14" ht="15.75" customHeight="1" x14ac:dyDescent="0.25">
      <c r="N299" s="203"/>
    </row>
    <row r="300" spans="14:14" ht="15.75" customHeight="1" x14ac:dyDescent="0.25">
      <c r="N300" s="203"/>
    </row>
    <row r="301" spans="14:14" ht="15.75" customHeight="1" x14ac:dyDescent="0.25">
      <c r="N301" s="203"/>
    </row>
    <row r="302" spans="14:14" ht="15.75" customHeight="1" x14ac:dyDescent="0.25">
      <c r="N302" s="203"/>
    </row>
    <row r="303" spans="14:14" ht="15.75" customHeight="1" x14ac:dyDescent="0.25">
      <c r="N303" s="203"/>
    </row>
    <row r="304" spans="14:14" ht="15.75" customHeight="1" x14ac:dyDescent="0.25">
      <c r="N304" s="203"/>
    </row>
    <row r="305" spans="14:14" ht="15.75" customHeight="1" x14ac:dyDescent="0.25">
      <c r="N305" s="203"/>
    </row>
    <row r="306" spans="14:14" ht="15.75" customHeight="1" x14ac:dyDescent="0.25">
      <c r="N306" s="203"/>
    </row>
    <row r="307" spans="14:14" ht="15.75" customHeight="1" x14ac:dyDescent="0.25">
      <c r="N307" s="203"/>
    </row>
    <row r="308" spans="14:14" ht="15.75" customHeight="1" x14ac:dyDescent="0.25">
      <c r="N308" s="203"/>
    </row>
    <row r="309" spans="14:14" ht="15.75" customHeight="1" x14ac:dyDescent="0.25">
      <c r="N309" s="203"/>
    </row>
    <row r="310" spans="14:14" ht="15.75" customHeight="1" x14ac:dyDescent="0.25">
      <c r="N310" s="203"/>
    </row>
    <row r="311" spans="14:14" ht="15.75" customHeight="1" x14ac:dyDescent="0.25">
      <c r="N311" s="203"/>
    </row>
    <row r="312" spans="14:14" ht="15.75" customHeight="1" x14ac:dyDescent="0.25">
      <c r="N312" s="203"/>
    </row>
    <row r="313" spans="14:14" ht="15.75" customHeight="1" x14ac:dyDescent="0.25">
      <c r="N313" s="203"/>
    </row>
    <row r="314" spans="14:14" ht="15.75" customHeight="1" x14ac:dyDescent="0.25">
      <c r="N314" s="203"/>
    </row>
    <row r="315" spans="14:14" ht="15.75" customHeight="1" x14ac:dyDescent="0.25">
      <c r="N315" s="203"/>
    </row>
    <row r="316" spans="14:14" ht="15.75" customHeight="1" x14ac:dyDescent="0.25">
      <c r="N316" s="203"/>
    </row>
    <row r="317" spans="14:14" ht="15.75" customHeight="1" x14ac:dyDescent="0.25">
      <c r="N317" s="203"/>
    </row>
    <row r="318" spans="14:14" ht="15.75" customHeight="1" x14ac:dyDescent="0.25">
      <c r="N318" s="203"/>
    </row>
    <row r="319" spans="14:14" ht="15.75" customHeight="1" x14ac:dyDescent="0.25">
      <c r="N319" s="203"/>
    </row>
    <row r="320" spans="14:14" ht="15.75" customHeight="1" x14ac:dyDescent="0.25">
      <c r="N320" s="203"/>
    </row>
    <row r="321" spans="14:14" ht="15.75" customHeight="1" x14ac:dyDescent="0.25">
      <c r="N321" s="203"/>
    </row>
    <row r="322" spans="14:14" ht="15.75" customHeight="1" x14ac:dyDescent="0.25">
      <c r="N322" s="203"/>
    </row>
    <row r="323" spans="14:14" ht="15.75" customHeight="1" x14ac:dyDescent="0.25">
      <c r="N323" s="203"/>
    </row>
    <row r="324" spans="14:14" ht="15.75" customHeight="1" x14ac:dyDescent="0.25">
      <c r="N324" s="203"/>
    </row>
    <row r="325" spans="14:14" ht="15.75" customHeight="1" x14ac:dyDescent="0.25">
      <c r="N325" s="203"/>
    </row>
    <row r="326" spans="14:14" ht="15.75" customHeight="1" x14ac:dyDescent="0.25">
      <c r="N326" s="203"/>
    </row>
    <row r="327" spans="14:14" ht="15.75" customHeight="1" x14ac:dyDescent="0.25">
      <c r="N327" s="203"/>
    </row>
    <row r="328" spans="14:14" ht="15.75" customHeight="1" x14ac:dyDescent="0.25">
      <c r="N328" s="203"/>
    </row>
    <row r="329" spans="14:14" ht="15.75" customHeight="1" x14ac:dyDescent="0.25">
      <c r="N329" s="203"/>
    </row>
    <row r="330" spans="14:14" ht="15.75" customHeight="1" x14ac:dyDescent="0.25">
      <c r="N330" s="203"/>
    </row>
    <row r="331" spans="14:14" ht="15.75" customHeight="1" x14ac:dyDescent="0.25">
      <c r="N331" s="203"/>
    </row>
    <row r="332" spans="14:14" ht="15.75" customHeight="1" x14ac:dyDescent="0.25">
      <c r="N332" s="203"/>
    </row>
    <row r="333" spans="14:14" ht="15.75" customHeight="1" x14ac:dyDescent="0.25">
      <c r="N333" s="203"/>
    </row>
    <row r="334" spans="14:14" ht="15.75" customHeight="1" x14ac:dyDescent="0.25">
      <c r="N334" s="203"/>
    </row>
    <row r="335" spans="14:14" ht="15.75" customHeight="1" x14ac:dyDescent="0.25">
      <c r="N335" s="203"/>
    </row>
    <row r="336" spans="14:14" ht="15.75" customHeight="1" x14ac:dyDescent="0.25">
      <c r="N336" s="203"/>
    </row>
    <row r="337" spans="14:14" ht="15.75" customHeight="1" x14ac:dyDescent="0.25">
      <c r="N337" s="203"/>
    </row>
    <row r="338" spans="14:14" ht="15.75" customHeight="1" x14ac:dyDescent="0.25">
      <c r="N338" s="203"/>
    </row>
    <row r="339" spans="14:14" ht="15.75" customHeight="1" x14ac:dyDescent="0.25">
      <c r="N339" s="203"/>
    </row>
    <row r="340" spans="14:14" ht="15.75" customHeight="1" x14ac:dyDescent="0.25">
      <c r="N340" s="203"/>
    </row>
    <row r="341" spans="14:14" ht="15.75" customHeight="1" x14ac:dyDescent="0.25">
      <c r="N341" s="203"/>
    </row>
    <row r="342" spans="14:14" ht="15.75" customHeight="1" x14ac:dyDescent="0.25">
      <c r="N342" s="203"/>
    </row>
    <row r="343" spans="14:14" ht="15.75" customHeight="1" x14ac:dyDescent="0.25">
      <c r="N343" s="203"/>
    </row>
    <row r="344" spans="14:14" ht="15.75" customHeight="1" x14ac:dyDescent="0.25">
      <c r="N344" s="203"/>
    </row>
    <row r="345" spans="14:14" ht="15.75" customHeight="1" x14ac:dyDescent="0.25">
      <c r="N345" s="203"/>
    </row>
    <row r="346" spans="14:14" ht="15.75" customHeight="1" x14ac:dyDescent="0.25">
      <c r="N346" s="203"/>
    </row>
    <row r="347" spans="14:14" ht="15.75" customHeight="1" x14ac:dyDescent="0.25">
      <c r="N347" s="203"/>
    </row>
    <row r="348" spans="14:14" ht="15.75" customHeight="1" x14ac:dyDescent="0.25">
      <c r="N348" s="203"/>
    </row>
    <row r="349" spans="14:14" ht="15.75" customHeight="1" x14ac:dyDescent="0.25">
      <c r="N349" s="203"/>
    </row>
    <row r="350" spans="14:14" ht="15.75" customHeight="1" x14ac:dyDescent="0.25">
      <c r="N350" s="203"/>
    </row>
    <row r="351" spans="14:14" ht="15.75" customHeight="1" x14ac:dyDescent="0.25">
      <c r="N351" s="203"/>
    </row>
    <row r="352" spans="14:14" ht="15.75" customHeight="1" x14ac:dyDescent="0.25">
      <c r="N352" s="203"/>
    </row>
    <row r="353" spans="14:14" ht="15.75" customHeight="1" x14ac:dyDescent="0.25">
      <c r="N353" s="203"/>
    </row>
    <row r="354" spans="14:14" ht="15.75" customHeight="1" x14ac:dyDescent="0.25">
      <c r="N354" s="203"/>
    </row>
    <row r="355" spans="14:14" ht="15.75" customHeight="1" x14ac:dyDescent="0.25">
      <c r="N355" s="203"/>
    </row>
    <row r="356" spans="14:14" ht="15.75" customHeight="1" x14ac:dyDescent="0.25">
      <c r="N356" s="203"/>
    </row>
    <row r="357" spans="14:14" ht="15.75" customHeight="1" x14ac:dyDescent="0.25">
      <c r="N357" s="203"/>
    </row>
    <row r="358" spans="14:14" ht="15.75" customHeight="1" x14ac:dyDescent="0.25">
      <c r="N358" s="203"/>
    </row>
    <row r="359" spans="14:14" ht="15.75" customHeight="1" x14ac:dyDescent="0.25">
      <c r="N359" s="203"/>
    </row>
    <row r="360" spans="14:14" ht="15.75" customHeight="1" x14ac:dyDescent="0.25">
      <c r="N360" s="203"/>
    </row>
    <row r="361" spans="14:14" ht="15.75" customHeight="1" x14ac:dyDescent="0.25">
      <c r="N361" s="203"/>
    </row>
    <row r="362" spans="14:14" ht="15.75" customHeight="1" x14ac:dyDescent="0.25">
      <c r="N362" s="203"/>
    </row>
    <row r="363" spans="14:14" ht="15.75" customHeight="1" x14ac:dyDescent="0.25">
      <c r="N363" s="203"/>
    </row>
    <row r="364" spans="14:14" ht="15.75" customHeight="1" x14ac:dyDescent="0.25">
      <c r="N364" s="203"/>
    </row>
    <row r="365" spans="14:14" ht="15.75" customHeight="1" x14ac:dyDescent="0.25">
      <c r="N365" s="203"/>
    </row>
    <row r="366" spans="14:14" ht="15.75" customHeight="1" x14ac:dyDescent="0.25">
      <c r="N366" s="203"/>
    </row>
    <row r="367" spans="14:14" ht="15.75" customHeight="1" x14ac:dyDescent="0.25">
      <c r="N367" s="203"/>
    </row>
    <row r="368" spans="14:14" ht="15.75" customHeight="1" x14ac:dyDescent="0.25">
      <c r="N368" s="203"/>
    </row>
    <row r="369" spans="14:14" ht="15.75" customHeight="1" x14ac:dyDescent="0.25">
      <c r="N369" s="203"/>
    </row>
    <row r="370" spans="14:14" ht="15.75" customHeight="1" x14ac:dyDescent="0.25">
      <c r="N370" s="203"/>
    </row>
    <row r="371" spans="14:14" ht="15.75" customHeight="1" x14ac:dyDescent="0.25">
      <c r="N371" s="203"/>
    </row>
    <row r="372" spans="14:14" ht="15.75" customHeight="1" x14ac:dyDescent="0.25">
      <c r="N372" s="203"/>
    </row>
    <row r="373" spans="14:14" ht="15.75" customHeight="1" x14ac:dyDescent="0.25">
      <c r="N373" s="203"/>
    </row>
    <row r="374" spans="14:14" ht="15.75" customHeight="1" x14ac:dyDescent="0.25">
      <c r="N374" s="203"/>
    </row>
    <row r="375" spans="14:14" ht="15.75" customHeight="1" x14ac:dyDescent="0.25">
      <c r="N375" s="203"/>
    </row>
    <row r="376" spans="14:14" ht="15.75" customHeight="1" x14ac:dyDescent="0.25">
      <c r="N376" s="203"/>
    </row>
    <row r="377" spans="14:14" ht="15.75" customHeight="1" x14ac:dyDescent="0.25">
      <c r="N377" s="203"/>
    </row>
    <row r="378" spans="14:14" ht="15.75" customHeight="1" x14ac:dyDescent="0.25">
      <c r="N378" s="203"/>
    </row>
    <row r="379" spans="14:14" ht="15.75" customHeight="1" x14ac:dyDescent="0.25">
      <c r="N379" s="203"/>
    </row>
    <row r="380" spans="14:14" ht="15.75" customHeight="1" x14ac:dyDescent="0.25">
      <c r="N380" s="203"/>
    </row>
    <row r="381" spans="14:14" ht="15.75" customHeight="1" x14ac:dyDescent="0.25">
      <c r="N381" s="203"/>
    </row>
    <row r="382" spans="14:14" ht="15.75" customHeight="1" x14ac:dyDescent="0.25">
      <c r="N382" s="203"/>
    </row>
    <row r="383" spans="14:14" ht="15.75" customHeight="1" x14ac:dyDescent="0.25">
      <c r="N383" s="203"/>
    </row>
    <row r="384" spans="14:14" ht="15.75" customHeight="1" x14ac:dyDescent="0.25">
      <c r="N384" s="203"/>
    </row>
    <row r="385" spans="14:14" ht="15.75" customHeight="1" x14ac:dyDescent="0.25">
      <c r="N385" s="203"/>
    </row>
    <row r="386" spans="14:14" ht="15.75" customHeight="1" x14ac:dyDescent="0.25">
      <c r="N386" s="203"/>
    </row>
    <row r="387" spans="14:14" ht="15.75" customHeight="1" x14ac:dyDescent="0.25">
      <c r="N387" s="203"/>
    </row>
    <row r="388" spans="14:14" ht="15.75" customHeight="1" x14ac:dyDescent="0.25">
      <c r="N388" s="203"/>
    </row>
    <row r="389" spans="14:14" ht="15.75" customHeight="1" x14ac:dyDescent="0.25">
      <c r="N389" s="203"/>
    </row>
    <row r="390" spans="14:14" ht="15.75" customHeight="1" x14ac:dyDescent="0.25">
      <c r="N390" s="203"/>
    </row>
    <row r="391" spans="14:14" ht="15.75" customHeight="1" x14ac:dyDescent="0.25">
      <c r="N391" s="203"/>
    </row>
    <row r="392" spans="14:14" ht="15.75" customHeight="1" x14ac:dyDescent="0.25">
      <c r="N392" s="203"/>
    </row>
    <row r="393" spans="14:14" ht="15.75" customHeight="1" x14ac:dyDescent="0.25">
      <c r="N393" s="203"/>
    </row>
    <row r="394" spans="14:14" ht="15.75" customHeight="1" x14ac:dyDescent="0.25">
      <c r="N394" s="203"/>
    </row>
    <row r="395" spans="14:14" ht="15.75" customHeight="1" x14ac:dyDescent="0.25">
      <c r="N395" s="203"/>
    </row>
    <row r="396" spans="14:14" ht="15.75" customHeight="1" x14ac:dyDescent="0.25">
      <c r="N396" s="203"/>
    </row>
    <row r="397" spans="14:14" ht="15.75" customHeight="1" x14ac:dyDescent="0.25">
      <c r="N397" s="203"/>
    </row>
    <row r="398" spans="14:14" ht="15.75" customHeight="1" x14ac:dyDescent="0.25">
      <c r="N398" s="203"/>
    </row>
    <row r="399" spans="14:14" ht="15.75" customHeight="1" x14ac:dyDescent="0.25">
      <c r="N399" s="203"/>
    </row>
    <row r="400" spans="14:14" ht="15.75" customHeight="1" x14ac:dyDescent="0.25">
      <c r="N400" s="203"/>
    </row>
    <row r="401" spans="14:14" ht="15.75" customHeight="1" x14ac:dyDescent="0.25">
      <c r="N401" s="203"/>
    </row>
    <row r="402" spans="14:14" ht="15.75" customHeight="1" x14ac:dyDescent="0.25">
      <c r="N402" s="203"/>
    </row>
    <row r="403" spans="14:14" ht="15.75" customHeight="1" x14ac:dyDescent="0.25">
      <c r="N403" s="203"/>
    </row>
    <row r="404" spans="14:14" ht="15.75" customHeight="1" x14ac:dyDescent="0.25">
      <c r="N404" s="203"/>
    </row>
    <row r="405" spans="14:14" ht="15.75" customHeight="1" x14ac:dyDescent="0.25">
      <c r="N405" s="203"/>
    </row>
    <row r="406" spans="14:14" ht="15.75" customHeight="1" x14ac:dyDescent="0.25">
      <c r="N406" s="203"/>
    </row>
    <row r="407" spans="14:14" ht="15.75" customHeight="1" x14ac:dyDescent="0.25">
      <c r="N407" s="203"/>
    </row>
    <row r="408" spans="14:14" ht="15.75" customHeight="1" x14ac:dyDescent="0.25">
      <c r="N408" s="203"/>
    </row>
    <row r="409" spans="14:14" ht="15.75" customHeight="1" x14ac:dyDescent="0.25">
      <c r="N409" s="203"/>
    </row>
    <row r="410" spans="14:14" ht="15.75" customHeight="1" x14ac:dyDescent="0.25">
      <c r="N410" s="203"/>
    </row>
    <row r="411" spans="14:14" ht="15.75" customHeight="1" x14ac:dyDescent="0.25">
      <c r="N411" s="203"/>
    </row>
    <row r="412" spans="14:14" ht="15.75" customHeight="1" x14ac:dyDescent="0.25">
      <c r="N412" s="203"/>
    </row>
    <row r="413" spans="14:14" ht="15.75" customHeight="1" x14ac:dyDescent="0.25">
      <c r="N413" s="203"/>
    </row>
    <row r="414" spans="14:14" ht="15.75" customHeight="1" x14ac:dyDescent="0.25">
      <c r="N414" s="203"/>
    </row>
    <row r="415" spans="14:14" ht="15.75" customHeight="1" x14ac:dyDescent="0.25">
      <c r="N415" s="203"/>
    </row>
    <row r="416" spans="14:14" ht="15.75" customHeight="1" x14ac:dyDescent="0.25">
      <c r="N416" s="203"/>
    </row>
    <row r="417" spans="14:14" ht="15.75" customHeight="1" x14ac:dyDescent="0.25">
      <c r="N417" s="203"/>
    </row>
    <row r="418" spans="14:14" ht="15.75" customHeight="1" x14ac:dyDescent="0.25">
      <c r="N418" s="203"/>
    </row>
    <row r="419" spans="14:14" ht="15.75" customHeight="1" x14ac:dyDescent="0.25">
      <c r="N419" s="203"/>
    </row>
    <row r="420" spans="14:14" ht="15.75" customHeight="1" x14ac:dyDescent="0.25">
      <c r="N420" s="203"/>
    </row>
    <row r="421" spans="14:14" ht="15.75" customHeight="1" x14ac:dyDescent="0.25">
      <c r="N421" s="203"/>
    </row>
    <row r="422" spans="14:14" ht="15.75" customHeight="1" x14ac:dyDescent="0.25">
      <c r="N422" s="203"/>
    </row>
    <row r="423" spans="14:14" ht="15.75" customHeight="1" x14ac:dyDescent="0.25">
      <c r="N423" s="203"/>
    </row>
    <row r="424" spans="14:14" ht="15.75" customHeight="1" x14ac:dyDescent="0.25">
      <c r="N424" s="203"/>
    </row>
    <row r="425" spans="14:14" ht="15.75" customHeight="1" x14ac:dyDescent="0.25">
      <c r="N425" s="203"/>
    </row>
    <row r="426" spans="14:14" ht="15.75" customHeight="1" x14ac:dyDescent="0.25">
      <c r="N426" s="203"/>
    </row>
    <row r="427" spans="14:14" ht="15.75" customHeight="1" x14ac:dyDescent="0.25">
      <c r="N427" s="203"/>
    </row>
    <row r="428" spans="14:14" ht="15.75" customHeight="1" x14ac:dyDescent="0.25">
      <c r="N428" s="203"/>
    </row>
    <row r="429" spans="14:14" ht="15.75" customHeight="1" x14ac:dyDescent="0.25">
      <c r="N429" s="203"/>
    </row>
    <row r="430" spans="14:14" ht="15.75" customHeight="1" x14ac:dyDescent="0.25">
      <c r="N430" s="203"/>
    </row>
    <row r="431" spans="14:14" ht="15.75" customHeight="1" x14ac:dyDescent="0.25">
      <c r="N431" s="203"/>
    </row>
    <row r="432" spans="14:14" ht="15.75" customHeight="1" x14ac:dyDescent="0.25">
      <c r="N432" s="203"/>
    </row>
    <row r="433" spans="14:14" ht="15.75" customHeight="1" x14ac:dyDescent="0.25">
      <c r="N433" s="203"/>
    </row>
    <row r="434" spans="14:14" ht="15.75" customHeight="1" x14ac:dyDescent="0.25">
      <c r="N434" s="203"/>
    </row>
    <row r="435" spans="14:14" ht="15.75" customHeight="1" x14ac:dyDescent="0.25">
      <c r="N435" s="203"/>
    </row>
    <row r="436" spans="14:14" ht="15.75" customHeight="1" x14ac:dyDescent="0.25">
      <c r="N436" s="203"/>
    </row>
    <row r="437" spans="14:14" ht="15.75" customHeight="1" x14ac:dyDescent="0.25">
      <c r="N437" s="203"/>
    </row>
    <row r="438" spans="14:14" ht="15.75" customHeight="1" x14ac:dyDescent="0.25">
      <c r="N438" s="203"/>
    </row>
    <row r="439" spans="14:14" ht="15.75" customHeight="1" x14ac:dyDescent="0.25">
      <c r="N439" s="203"/>
    </row>
    <row r="440" spans="14:14" ht="15.75" customHeight="1" x14ac:dyDescent="0.25">
      <c r="N440" s="203"/>
    </row>
    <row r="441" spans="14:14" ht="15.75" customHeight="1" x14ac:dyDescent="0.25">
      <c r="N441" s="203"/>
    </row>
    <row r="442" spans="14:14" ht="15.75" customHeight="1" x14ac:dyDescent="0.25">
      <c r="N442" s="203"/>
    </row>
    <row r="443" spans="14:14" ht="15.75" customHeight="1" x14ac:dyDescent="0.25">
      <c r="N443" s="203"/>
    </row>
    <row r="444" spans="14:14" ht="15.75" customHeight="1" x14ac:dyDescent="0.25">
      <c r="N444" s="203"/>
    </row>
    <row r="445" spans="14:14" ht="15.75" customHeight="1" x14ac:dyDescent="0.25">
      <c r="N445" s="203"/>
    </row>
    <row r="446" spans="14:14" ht="15.75" customHeight="1" x14ac:dyDescent="0.25">
      <c r="N446" s="203"/>
    </row>
    <row r="447" spans="14:14" ht="15.75" customHeight="1" x14ac:dyDescent="0.25">
      <c r="N447" s="203"/>
    </row>
    <row r="448" spans="14:14" ht="15.75" customHeight="1" x14ac:dyDescent="0.25">
      <c r="N448" s="203"/>
    </row>
    <row r="449" spans="14:14" ht="15.75" customHeight="1" x14ac:dyDescent="0.25">
      <c r="N449" s="203"/>
    </row>
    <row r="450" spans="14:14" ht="15.75" customHeight="1" x14ac:dyDescent="0.25">
      <c r="N450" s="203"/>
    </row>
    <row r="451" spans="14:14" ht="15.75" customHeight="1" x14ac:dyDescent="0.25">
      <c r="N451" s="203"/>
    </row>
    <row r="452" spans="14:14" ht="15.75" customHeight="1" x14ac:dyDescent="0.25">
      <c r="N452" s="203"/>
    </row>
    <row r="453" spans="14:14" ht="15.75" customHeight="1" x14ac:dyDescent="0.25">
      <c r="N453" s="203"/>
    </row>
    <row r="454" spans="14:14" ht="15.75" customHeight="1" x14ac:dyDescent="0.25">
      <c r="N454" s="203"/>
    </row>
    <row r="455" spans="14:14" ht="15.75" customHeight="1" x14ac:dyDescent="0.25">
      <c r="N455" s="203"/>
    </row>
    <row r="456" spans="14:14" ht="15.75" customHeight="1" x14ac:dyDescent="0.25">
      <c r="N456" s="203"/>
    </row>
    <row r="457" spans="14:14" ht="15.75" customHeight="1" x14ac:dyDescent="0.25">
      <c r="N457" s="203"/>
    </row>
    <row r="458" spans="14:14" ht="15.75" customHeight="1" x14ac:dyDescent="0.25">
      <c r="N458" s="203"/>
    </row>
    <row r="459" spans="14:14" ht="15.75" customHeight="1" x14ac:dyDescent="0.25">
      <c r="N459" s="203"/>
    </row>
    <row r="460" spans="14:14" ht="15.75" customHeight="1" x14ac:dyDescent="0.25">
      <c r="N460" s="203"/>
    </row>
    <row r="461" spans="14:14" ht="15.75" customHeight="1" x14ac:dyDescent="0.25">
      <c r="N461" s="203"/>
    </row>
    <row r="462" spans="14:14" ht="15.75" customHeight="1" x14ac:dyDescent="0.25">
      <c r="N462" s="203"/>
    </row>
    <row r="463" spans="14:14" ht="15.75" customHeight="1" x14ac:dyDescent="0.25">
      <c r="N463" s="203"/>
    </row>
    <row r="464" spans="14:14" ht="15.75" customHeight="1" x14ac:dyDescent="0.25">
      <c r="N464" s="203"/>
    </row>
    <row r="465" spans="14:14" ht="15.75" customHeight="1" x14ac:dyDescent="0.25">
      <c r="N465" s="203"/>
    </row>
    <row r="466" spans="14:14" ht="15.75" customHeight="1" x14ac:dyDescent="0.25">
      <c r="N466" s="203"/>
    </row>
    <row r="467" spans="14:14" ht="15.75" customHeight="1" x14ac:dyDescent="0.25">
      <c r="N467" s="203"/>
    </row>
    <row r="468" spans="14:14" ht="15.75" customHeight="1" x14ac:dyDescent="0.25">
      <c r="N468" s="203"/>
    </row>
    <row r="469" spans="14:14" ht="15.75" customHeight="1" x14ac:dyDescent="0.25">
      <c r="N469" s="203"/>
    </row>
    <row r="470" spans="14:14" ht="15.75" customHeight="1" x14ac:dyDescent="0.25">
      <c r="N470" s="203"/>
    </row>
    <row r="471" spans="14:14" ht="15.75" customHeight="1" x14ac:dyDescent="0.25">
      <c r="N471" s="203"/>
    </row>
    <row r="472" spans="14:14" ht="15.75" customHeight="1" x14ac:dyDescent="0.25">
      <c r="N472" s="203"/>
    </row>
    <row r="473" spans="14:14" ht="15.75" customHeight="1" x14ac:dyDescent="0.25">
      <c r="N473" s="203"/>
    </row>
    <row r="474" spans="14:14" ht="15.75" customHeight="1" x14ac:dyDescent="0.25">
      <c r="N474" s="203"/>
    </row>
    <row r="475" spans="14:14" ht="15.75" customHeight="1" x14ac:dyDescent="0.25">
      <c r="N475" s="203"/>
    </row>
    <row r="476" spans="14:14" ht="15.75" customHeight="1" x14ac:dyDescent="0.25">
      <c r="N476" s="203"/>
    </row>
    <row r="477" spans="14:14" ht="15.75" customHeight="1" x14ac:dyDescent="0.25">
      <c r="N477" s="203"/>
    </row>
    <row r="478" spans="14:14" ht="15.75" customHeight="1" x14ac:dyDescent="0.25">
      <c r="N478" s="203"/>
    </row>
    <row r="479" spans="14:14" ht="15.75" customHeight="1" x14ac:dyDescent="0.25">
      <c r="N479" s="203"/>
    </row>
    <row r="480" spans="14:14" ht="15.75" customHeight="1" x14ac:dyDescent="0.25">
      <c r="N480" s="203"/>
    </row>
    <row r="481" spans="14:14" ht="15.75" customHeight="1" x14ac:dyDescent="0.25">
      <c r="N481" s="203"/>
    </row>
    <row r="482" spans="14:14" ht="15.75" customHeight="1" x14ac:dyDescent="0.25">
      <c r="N482" s="203"/>
    </row>
    <row r="483" spans="14:14" ht="15.75" customHeight="1" x14ac:dyDescent="0.25">
      <c r="N483" s="203"/>
    </row>
    <row r="484" spans="14:14" ht="15.75" customHeight="1" x14ac:dyDescent="0.25">
      <c r="N484" s="203"/>
    </row>
    <row r="485" spans="14:14" ht="15.75" customHeight="1" x14ac:dyDescent="0.25">
      <c r="N485" s="203"/>
    </row>
    <row r="486" spans="14:14" ht="15.75" customHeight="1" x14ac:dyDescent="0.25">
      <c r="N486" s="203"/>
    </row>
    <row r="487" spans="14:14" ht="15.75" customHeight="1" x14ac:dyDescent="0.25">
      <c r="N487" s="203"/>
    </row>
    <row r="488" spans="14:14" ht="15.75" customHeight="1" x14ac:dyDescent="0.25">
      <c r="N488" s="203"/>
    </row>
    <row r="489" spans="14:14" ht="15.75" customHeight="1" x14ac:dyDescent="0.25">
      <c r="N489" s="203"/>
    </row>
    <row r="490" spans="14:14" ht="15.75" customHeight="1" x14ac:dyDescent="0.25">
      <c r="N490" s="203"/>
    </row>
    <row r="491" spans="14:14" ht="15.75" customHeight="1" x14ac:dyDescent="0.25">
      <c r="N491" s="203"/>
    </row>
    <row r="492" spans="14:14" ht="15.75" customHeight="1" x14ac:dyDescent="0.25">
      <c r="N492" s="203"/>
    </row>
    <row r="493" spans="14:14" ht="15.75" customHeight="1" x14ac:dyDescent="0.25">
      <c r="N493" s="203"/>
    </row>
    <row r="494" spans="14:14" ht="15.75" customHeight="1" x14ac:dyDescent="0.25">
      <c r="N494" s="203"/>
    </row>
    <row r="495" spans="14:14" ht="15.75" customHeight="1" x14ac:dyDescent="0.25">
      <c r="N495" s="203"/>
    </row>
    <row r="496" spans="14:14" ht="15.75" customHeight="1" x14ac:dyDescent="0.25">
      <c r="N496" s="203"/>
    </row>
    <row r="497" spans="14:14" ht="15.75" customHeight="1" x14ac:dyDescent="0.25">
      <c r="N497" s="203"/>
    </row>
    <row r="498" spans="14:14" ht="15.75" customHeight="1" x14ac:dyDescent="0.25">
      <c r="N498" s="203"/>
    </row>
    <row r="499" spans="14:14" ht="15.75" customHeight="1" x14ac:dyDescent="0.25">
      <c r="N499" s="203"/>
    </row>
    <row r="500" spans="14:14" ht="15.75" customHeight="1" x14ac:dyDescent="0.25">
      <c r="N500" s="203"/>
    </row>
    <row r="501" spans="14:14" ht="15.75" customHeight="1" x14ac:dyDescent="0.25">
      <c r="N501" s="203"/>
    </row>
    <row r="502" spans="14:14" ht="15.75" customHeight="1" x14ac:dyDescent="0.25">
      <c r="N502" s="203"/>
    </row>
    <row r="503" spans="14:14" ht="15.75" customHeight="1" x14ac:dyDescent="0.25">
      <c r="N503" s="203"/>
    </row>
    <row r="504" spans="14:14" ht="15.75" customHeight="1" x14ac:dyDescent="0.25">
      <c r="N504" s="203"/>
    </row>
    <row r="505" spans="14:14" ht="15.75" customHeight="1" x14ac:dyDescent="0.25">
      <c r="N505" s="203"/>
    </row>
    <row r="506" spans="14:14" ht="15.75" customHeight="1" x14ac:dyDescent="0.25">
      <c r="N506" s="203"/>
    </row>
    <row r="507" spans="14:14" ht="15.75" customHeight="1" x14ac:dyDescent="0.25">
      <c r="N507" s="203"/>
    </row>
    <row r="508" spans="14:14" ht="15.75" customHeight="1" x14ac:dyDescent="0.25">
      <c r="N508" s="203"/>
    </row>
    <row r="509" spans="14:14" ht="15.75" customHeight="1" x14ac:dyDescent="0.25">
      <c r="N509" s="203"/>
    </row>
    <row r="510" spans="14:14" ht="15.75" customHeight="1" x14ac:dyDescent="0.25">
      <c r="N510" s="203"/>
    </row>
    <row r="511" spans="14:14" ht="15.75" customHeight="1" x14ac:dyDescent="0.25">
      <c r="N511" s="203"/>
    </row>
    <row r="512" spans="14:14" ht="15.75" customHeight="1" x14ac:dyDescent="0.25">
      <c r="N512" s="203"/>
    </row>
    <row r="513" spans="14:14" ht="15.75" customHeight="1" x14ac:dyDescent="0.25">
      <c r="N513" s="203"/>
    </row>
    <row r="514" spans="14:14" ht="15.75" customHeight="1" x14ac:dyDescent="0.25">
      <c r="N514" s="203"/>
    </row>
    <row r="515" spans="14:14" ht="15.75" customHeight="1" x14ac:dyDescent="0.25">
      <c r="N515" s="203"/>
    </row>
    <row r="516" spans="14:14" ht="15.75" customHeight="1" x14ac:dyDescent="0.25">
      <c r="N516" s="203"/>
    </row>
    <row r="517" spans="14:14" ht="15.75" customHeight="1" x14ac:dyDescent="0.25">
      <c r="N517" s="203"/>
    </row>
    <row r="518" spans="14:14" ht="15.75" customHeight="1" x14ac:dyDescent="0.25">
      <c r="N518" s="203"/>
    </row>
    <row r="519" spans="14:14" ht="15.75" customHeight="1" x14ac:dyDescent="0.25">
      <c r="N519" s="203"/>
    </row>
    <row r="520" spans="14:14" ht="15.75" customHeight="1" x14ac:dyDescent="0.25">
      <c r="N520" s="203"/>
    </row>
    <row r="521" spans="14:14" ht="15.75" customHeight="1" x14ac:dyDescent="0.25">
      <c r="N521" s="203"/>
    </row>
    <row r="522" spans="14:14" ht="15.75" customHeight="1" x14ac:dyDescent="0.25">
      <c r="N522" s="203"/>
    </row>
    <row r="523" spans="14:14" ht="15.75" customHeight="1" x14ac:dyDescent="0.25">
      <c r="N523" s="203"/>
    </row>
    <row r="524" spans="14:14" ht="15.75" customHeight="1" x14ac:dyDescent="0.25">
      <c r="N524" s="203"/>
    </row>
    <row r="525" spans="14:14" ht="15.75" customHeight="1" x14ac:dyDescent="0.25">
      <c r="N525" s="203"/>
    </row>
    <row r="526" spans="14:14" ht="15.75" customHeight="1" x14ac:dyDescent="0.25">
      <c r="N526" s="203"/>
    </row>
    <row r="527" spans="14:14" ht="15.75" customHeight="1" x14ac:dyDescent="0.25">
      <c r="N527" s="203"/>
    </row>
    <row r="528" spans="14:14" ht="15.75" customHeight="1" x14ac:dyDescent="0.25">
      <c r="N528" s="203"/>
    </row>
    <row r="529" spans="14:14" ht="15.75" customHeight="1" x14ac:dyDescent="0.25">
      <c r="N529" s="203"/>
    </row>
    <row r="530" spans="14:14" ht="15.75" customHeight="1" x14ac:dyDescent="0.25">
      <c r="N530" s="203"/>
    </row>
    <row r="531" spans="14:14" ht="15.75" customHeight="1" x14ac:dyDescent="0.25">
      <c r="N531" s="203"/>
    </row>
    <row r="532" spans="14:14" ht="15.75" customHeight="1" x14ac:dyDescent="0.25">
      <c r="N532" s="203"/>
    </row>
    <row r="533" spans="14:14" ht="15.75" customHeight="1" x14ac:dyDescent="0.25">
      <c r="N533" s="203"/>
    </row>
    <row r="534" spans="14:14" ht="15.75" customHeight="1" x14ac:dyDescent="0.25">
      <c r="N534" s="203"/>
    </row>
    <row r="535" spans="14:14" ht="15.75" customHeight="1" x14ac:dyDescent="0.25">
      <c r="N535" s="203"/>
    </row>
    <row r="536" spans="14:14" ht="15.75" customHeight="1" x14ac:dyDescent="0.25">
      <c r="N536" s="203"/>
    </row>
    <row r="537" spans="14:14" ht="15.75" customHeight="1" x14ac:dyDescent="0.25">
      <c r="N537" s="203"/>
    </row>
    <row r="538" spans="14:14" ht="15.75" customHeight="1" x14ac:dyDescent="0.25">
      <c r="N538" s="203"/>
    </row>
    <row r="539" spans="14:14" ht="15.75" customHeight="1" x14ac:dyDescent="0.25">
      <c r="N539" s="203"/>
    </row>
    <row r="540" spans="14:14" ht="15.75" customHeight="1" x14ac:dyDescent="0.25">
      <c r="N540" s="203"/>
    </row>
    <row r="541" spans="14:14" ht="15.75" customHeight="1" x14ac:dyDescent="0.25">
      <c r="N541" s="203"/>
    </row>
    <row r="542" spans="14:14" ht="15.75" customHeight="1" x14ac:dyDescent="0.25">
      <c r="N542" s="203"/>
    </row>
    <row r="543" spans="14:14" ht="15.75" customHeight="1" x14ac:dyDescent="0.25">
      <c r="N543" s="203"/>
    </row>
    <row r="544" spans="14:14" ht="15.75" customHeight="1" x14ac:dyDescent="0.25">
      <c r="N544" s="203"/>
    </row>
    <row r="545" spans="14:14" ht="15.75" customHeight="1" x14ac:dyDescent="0.25">
      <c r="N545" s="203"/>
    </row>
    <row r="546" spans="14:14" ht="15.75" customHeight="1" x14ac:dyDescent="0.25">
      <c r="N546" s="203"/>
    </row>
    <row r="547" spans="14:14" ht="15.75" customHeight="1" x14ac:dyDescent="0.25">
      <c r="N547" s="203"/>
    </row>
    <row r="548" spans="14:14" ht="15.75" customHeight="1" x14ac:dyDescent="0.25">
      <c r="N548" s="203"/>
    </row>
    <row r="549" spans="14:14" ht="15.75" customHeight="1" x14ac:dyDescent="0.25">
      <c r="N549" s="203"/>
    </row>
    <row r="550" spans="14:14" ht="15.75" customHeight="1" x14ac:dyDescent="0.25">
      <c r="N550" s="203"/>
    </row>
    <row r="551" spans="14:14" ht="15.75" customHeight="1" x14ac:dyDescent="0.25">
      <c r="N551" s="203"/>
    </row>
    <row r="552" spans="14:14" ht="15.75" customHeight="1" x14ac:dyDescent="0.25">
      <c r="N552" s="203"/>
    </row>
    <row r="553" spans="14:14" ht="15.75" customHeight="1" x14ac:dyDescent="0.25">
      <c r="N553" s="203"/>
    </row>
    <row r="554" spans="14:14" ht="15.75" customHeight="1" x14ac:dyDescent="0.25">
      <c r="N554" s="203"/>
    </row>
    <row r="555" spans="14:14" ht="15.75" customHeight="1" x14ac:dyDescent="0.25">
      <c r="N555" s="203"/>
    </row>
    <row r="556" spans="14:14" ht="15.75" customHeight="1" x14ac:dyDescent="0.25">
      <c r="N556" s="203"/>
    </row>
    <row r="557" spans="14:14" ht="15.75" customHeight="1" x14ac:dyDescent="0.25">
      <c r="N557" s="203"/>
    </row>
    <row r="558" spans="14:14" ht="15.75" customHeight="1" x14ac:dyDescent="0.25">
      <c r="N558" s="203"/>
    </row>
    <row r="559" spans="14:14" ht="15.75" customHeight="1" x14ac:dyDescent="0.25">
      <c r="N559" s="203"/>
    </row>
    <row r="560" spans="14:14" ht="15.75" customHeight="1" x14ac:dyDescent="0.25">
      <c r="N560" s="203"/>
    </row>
    <row r="561" spans="14:14" ht="15.75" customHeight="1" x14ac:dyDescent="0.25">
      <c r="N561" s="203"/>
    </row>
    <row r="562" spans="14:14" ht="15.75" customHeight="1" x14ac:dyDescent="0.25">
      <c r="N562" s="203"/>
    </row>
    <row r="563" spans="14:14" ht="15.75" customHeight="1" x14ac:dyDescent="0.25">
      <c r="N563" s="203"/>
    </row>
    <row r="564" spans="14:14" ht="15.75" customHeight="1" x14ac:dyDescent="0.25">
      <c r="N564" s="203"/>
    </row>
    <row r="565" spans="14:14" ht="15.75" customHeight="1" x14ac:dyDescent="0.25">
      <c r="N565" s="203"/>
    </row>
    <row r="566" spans="14:14" ht="15.75" customHeight="1" x14ac:dyDescent="0.25">
      <c r="N566" s="203"/>
    </row>
    <row r="567" spans="14:14" ht="15.75" customHeight="1" x14ac:dyDescent="0.25">
      <c r="N567" s="203"/>
    </row>
    <row r="568" spans="14:14" ht="15.75" customHeight="1" x14ac:dyDescent="0.25">
      <c r="N568" s="203"/>
    </row>
    <row r="569" spans="14:14" ht="15.75" customHeight="1" x14ac:dyDescent="0.25">
      <c r="N569" s="203"/>
    </row>
    <row r="570" spans="14:14" ht="15.75" customHeight="1" x14ac:dyDescent="0.25">
      <c r="N570" s="203"/>
    </row>
    <row r="571" spans="14:14" ht="15.75" customHeight="1" x14ac:dyDescent="0.25">
      <c r="N571" s="203"/>
    </row>
    <row r="572" spans="14:14" ht="15.75" customHeight="1" x14ac:dyDescent="0.25">
      <c r="N572" s="203"/>
    </row>
    <row r="573" spans="14:14" ht="15.75" customHeight="1" x14ac:dyDescent="0.25">
      <c r="N573" s="203"/>
    </row>
    <row r="574" spans="14:14" ht="15.75" customHeight="1" x14ac:dyDescent="0.25">
      <c r="N574" s="203"/>
    </row>
    <row r="575" spans="14:14" ht="15.75" customHeight="1" x14ac:dyDescent="0.25">
      <c r="N575" s="203"/>
    </row>
    <row r="576" spans="14:14" ht="15.75" customHeight="1" x14ac:dyDescent="0.25">
      <c r="N576" s="203"/>
    </row>
    <row r="577" spans="14:14" ht="15.75" customHeight="1" x14ac:dyDescent="0.25">
      <c r="N577" s="203"/>
    </row>
    <row r="578" spans="14:14" ht="15.75" customHeight="1" x14ac:dyDescent="0.25">
      <c r="N578" s="203"/>
    </row>
    <row r="579" spans="14:14" ht="15.75" customHeight="1" x14ac:dyDescent="0.25">
      <c r="N579" s="203"/>
    </row>
    <row r="580" spans="14:14" ht="15.75" customHeight="1" x14ac:dyDescent="0.25">
      <c r="N580" s="203"/>
    </row>
    <row r="581" spans="14:14" ht="15.75" customHeight="1" x14ac:dyDescent="0.25">
      <c r="N581" s="203"/>
    </row>
    <row r="582" spans="14:14" ht="15.75" customHeight="1" x14ac:dyDescent="0.25">
      <c r="N582" s="203"/>
    </row>
    <row r="583" spans="14:14" ht="15.75" customHeight="1" x14ac:dyDescent="0.25">
      <c r="N583" s="203"/>
    </row>
    <row r="584" spans="14:14" ht="15.75" customHeight="1" x14ac:dyDescent="0.25">
      <c r="N584" s="203"/>
    </row>
    <row r="585" spans="14:14" ht="15.75" customHeight="1" x14ac:dyDescent="0.25">
      <c r="N585" s="203"/>
    </row>
    <row r="586" spans="14:14" ht="15.75" customHeight="1" x14ac:dyDescent="0.25">
      <c r="N586" s="203"/>
    </row>
    <row r="587" spans="14:14" ht="15.75" customHeight="1" x14ac:dyDescent="0.25">
      <c r="N587" s="203"/>
    </row>
    <row r="588" spans="14:14" ht="15.75" customHeight="1" x14ac:dyDescent="0.25">
      <c r="N588" s="203"/>
    </row>
    <row r="589" spans="14:14" ht="15.75" customHeight="1" x14ac:dyDescent="0.25">
      <c r="N589" s="203"/>
    </row>
    <row r="590" spans="14:14" ht="15.75" customHeight="1" x14ac:dyDescent="0.25">
      <c r="N590" s="203"/>
    </row>
    <row r="591" spans="14:14" ht="15.75" customHeight="1" x14ac:dyDescent="0.25">
      <c r="N591" s="203"/>
    </row>
    <row r="592" spans="14:14" ht="15.75" customHeight="1" x14ac:dyDescent="0.25">
      <c r="N592" s="203"/>
    </row>
    <row r="593" spans="14:14" ht="15.75" customHeight="1" x14ac:dyDescent="0.25">
      <c r="N593" s="203"/>
    </row>
    <row r="594" spans="14:14" ht="15.75" customHeight="1" x14ac:dyDescent="0.25">
      <c r="N594" s="203"/>
    </row>
    <row r="595" spans="14:14" ht="15.75" customHeight="1" x14ac:dyDescent="0.25">
      <c r="N595" s="203"/>
    </row>
    <row r="596" spans="14:14" ht="15.75" customHeight="1" x14ac:dyDescent="0.25">
      <c r="N596" s="203"/>
    </row>
    <row r="597" spans="14:14" ht="15.75" customHeight="1" x14ac:dyDescent="0.25">
      <c r="N597" s="203"/>
    </row>
    <row r="598" spans="14:14" ht="15.75" customHeight="1" x14ac:dyDescent="0.25">
      <c r="N598" s="203"/>
    </row>
    <row r="599" spans="14:14" ht="15.75" customHeight="1" x14ac:dyDescent="0.25">
      <c r="N599" s="203"/>
    </row>
    <row r="600" spans="14:14" ht="15.75" customHeight="1" x14ac:dyDescent="0.25">
      <c r="N600" s="203"/>
    </row>
    <row r="601" spans="14:14" ht="15.75" customHeight="1" x14ac:dyDescent="0.25">
      <c r="N601" s="203"/>
    </row>
    <row r="602" spans="14:14" ht="15.75" customHeight="1" x14ac:dyDescent="0.25">
      <c r="N602" s="203"/>
    </row>
    <row r="603" spans="14:14" ht="15.75" customHeight="1" x14ac:dyDescent="0.25">
      <c r="N603" s="203"/>
    </row>
    <row r="604" spans="14:14" ht="15.75" customHeight="1" x14ac:dyDescent="0.25">
      <c r="N604" s="203"/>
    </row>
    <row r="605" spans="14:14" ht="15.75" customHeight="1" x14ac:dyDescent="0.25">
      <c r="N605" s="203"/>
    </row>
    <row r="606" spans="14:14" ht="15.75" customHeight="1" x14ac:dyDescent="0.25">
      <c r="N606" s="203"/>
    </row>
    <row r="607" spans="14:14" ht="15.75" customHeight="1" x14ac:dyDescent="0.25">
      <c r="N607" s="203"/>
    </row>
    <row r="608" spans="14:14" ht="15.75" customHeight="1" x14ac:dyDescent="0.25">
      <c r="N608" s="203"/>
    </row>
    <row r="609" spans="14:14" ht="15.75" customHeight="1" x14ac:dyDescent="0.25">
      <c r="N609" s="203"/>
    </row>
    <row r="610" spans="14:14" ht="15.75" customHeight="1" x14ac:dyDescent="0.25">
      <c r="N610" s="203"/>
    </row>
    <row r="611" spans="14:14" ht="15.75" customHeight="1" x14ac:dyDescent="0.25">
      <c r="N611" s="203"/>
    </row>
    <row r="612" spans="14:14" ht="15.75" customHeight="1" x14ac:dyDescent="0.25">
      <c r="N612" s="203"/>
    </row>
    <row r="613" spans="14:14" ht="15.75" customHeight="1" x14ac:dyDescent="0.25">
      <c r="N613" s="203"/>
    </row>
    <row r="614" spans="14:14" ht="15.75" customHeight="1" x14ac:dyDescent="0.25">
      <c r="N614" s="203"/>
    </row>
    <row r="615" spans="14:14" ht="15.75" customHeight="1" x14ac:dyDescent="0.25">
      <c r="N615" s="203"/>
    </row>
    <row r="616" spans="14:14" ht="15.75" customHeight="1" x14ac:dyDescent="0.25">
      <c r="N616" s="203"/>
    </row>
    <row r="617" spans="14:14" ht="15.75" customHeight="1" x14ac:dyDescent="0.25">
      <c r="N617" s="203"/>
    </row>
    <row r="618" spans="14:14" ht="15.75" customHeight="1" x14ac:dyDescent="0.25">
      <c r="N618" s="203"/>
    </row>
    <row r="619" spans="14:14" ht="15.75" customHeight="1" x14ac:dyDescent="0.25">
      <c r="N619" s="203"/>
    </row>
    <row r="620" spans="14:14" ht="15.75" customHeight="1" x14ac:dyDescent="0.25">
      <c r="N620" s="203"/>
    </row>
    <row r="621" spans="14:14" ht="15.75" customHeight="1" x14ac:dyDescent="0.25">
      <c r="N621" s="203"/>
    </row>
    <row r="622" spans="14:14" ht="15.75" customHeight="1" x14ac:dyDescent="0.25">
      <c r="N622" s="203"/>
    </row>
    <row r="623" spans="14:14" ht="15.75" customHeight="1" x14ac:dyDescent="0.25">
      <c r="N623" s="203"/>
    </row>
    <row r="624" spans="14:14" ht="15.75" customHeight="1" x14ac:dyDescent="0.25">
      <c r="N624" s="203"/>
    </row>
    <row r="625" spans="14:14" ht="15.75" customHeight="1" x14ac:dyDescent="0.25">
      <c r="N625" s="203"/>
    </row>
    <row r="626" spans="14:14" ht="15.75" customHeight="1" x14ac:dyDescent="0.25">
      <c r="N626" s="203"/>
    </row>
    <row r="627" spans="14:14" ht="15.75" customHeight="1" x14ac:dyDescent="0.25">
      <c r="N627" s="203"/>
    </row>
    <row r="628" spans="14:14" ht="15.75" customHeight="1" x14ac:dyDescent="0.25">
      <c r="N628" s="203"/>
    </row>
    <row r="629" spans="14:14" ht="15.75" customHeight="1" x14ac:dyDescent="0.25">
      <c r="N629" s="203"/>
    </row>
    <row r="630" spans="14:14" ht="15.75" customHeight="1" x14ac:dyDescent="0.25">
      <c r="N630" s="203"/>
    </row>
    <row r="631" spans="14:14" ht="15.75" customHeight="1" x14ac:dyDescent="0.25">
      <c r="N631" s="203"/>
    </row>
    <row r="632" spans="14:14" ht="15.75" customHeight="1" x14ac:dyDescent="0.25">
      <c r="N632" s="203"/>
    </row>
    <row r="633" spans="14:14" ht="15.75" customHeight="1" x14ac:dyDescent="0.25">
      <c r="N633" s="203"/>
    </row>
    <row r="634" spans="14:14" ht="15.75" customHeight="1" x14ac:dyDescent="0.25">
      <c r="N634" s="203"/>
    </row>
    <row r="635" spans="14:14" ht="15.75" customHeight="1" x14ac:dyDescent="0.25">
      <c r="N635" s="203"/>
    </row>
    <row r="636" spans="14:14" ht="15.75" customHeight="1" x14ac:dyDescent="0.25">
      <c r="N636" s="203"/>
    </row>
    <row r="637" spans="14:14" ht="15.75" customHeight="1" x14ac:dyDescent="0.25">
      <c r="N637" s="203"/>
    </row>
    <row r="638" spans="14:14" ht="15.75" customHeight="1" x14ac:dyDescent="0.25">
      <c r="N638" s="203"/>
    </row>
    <row r="639" spans="14:14" ht="15.75" customHeight="1" x14ac:dyDescent="0.25">
      <c r="N639" s="203"/>
    </row>
    <row r="640" spans="14:14" ht="15.75" customHeight="1" x14ac:dyDescent="0.25">
      <c r="N640" s="203"/>
    </row>
    <row r="641" spans="14:14" ht="15.75" customHeight="1" x14ac:dyDescent="0.25">
      <c r="N641" s="203"/>
    </row>
    <row r="642" spans="14:14" ht="15.75" customHeight="1" x14ac:dyDescent="0.25">
      <c r="N642" s="203"/>
    </row>
    <row r="643" spans="14:14" ht="15.75" customHeight="1" x14ac:dyDescent="0.25">
      <c r="N643" s="203"/>
    </row>
    <row r="644" spans="14:14" ht="15.75" customHeight="1" x14ac:dyDescent="0.25">
      <c r="N644" s="203"/>
    </row>
    <row r="645" spans="14:14" ht="15.75" customHeight="1" x14ac:dyDescent="0.25">
      <c r="N645" s="203"/>
    </row>
    <row r="646" spans="14:14" ht="15.75" customHeight="1" x14ac:dyDescent="0.25">
      <c r="N646" s="203"/>
    </row>
    <row r="647" spans="14:14" ht="15.75" customHeight="1" x14ac:dyDescent="0.25">
      <c r="N647" s="203"/>
    </row>
    <row r="648" spans="14:14" ht="15.75" customHeight="1" x14ac:dyDescent="0.25">
      <c r="N648" s="203"/>
    </row>
    <row r="649" spans="14:14" ht="15.75" customHeight="1" x14ac:dyDescent="0.25">
      <c r="N649" s="203"/>
    </row>
    <row r="650" spans="14:14" ht="15.75" customHeight="1" x14ac:dyDescent="0.25">
      <c r="N650" s="203"/>
    </row>
    <row r="651" spans="14:14" ht="15.75" customHeight="1" x14ac:dyDescent="0.25">
      <c r="N651" s="203"/>
    </row>
    <row r="652" spans="14:14" ht="15.75" customHeight="1" x14ac:dyDescent="0.25">
      <c r="N652" s="203"/>
    </row>
    <row r="653" spans="14:14" ht="15.75" customHeight="1" x14ac:dyDescent="0.25">
      <c r="N653" s="203"/>
    </row>
    <row r="654" spans="14:14" ht="15.75" customHeight="1" x14ac:dyDescent="0.25">
      <c r="N654" s="203"/>
    </row>
    <row r="655" spans="14:14" ht="15.75" customHeight="1" x14ac:dyDescent="0.25">
      <c r="N655" s="203"/>
    </row>
    <row r="656" spans="14:14" ht="15.75" customHeight="1" x14ac:dyDescent="0.25">
      <c r="N656" s="203"/>
    </row>
    <row r="657" spans="14:14" ht="15.75" customHeight="1" x14ac:dyDescent="0.25">
      <c r="N657" s="203"/>
    </row>
    <row r="658" spans="14:14" ht="15.75" customHeight="1" x14ac:dyDescent="0.25">
      <c r="N658" s="203"/>
    </row>
    <row r="659" spans="14:14" ht="15.75" customHeight="1" x14ac:dyDescent="0.25">
      <c r="N659" s="203"/>
    </row>
    <row r="660" spans="14:14" ht="15.75" customHeight="1" x14ac:dyDescent="0.25">
      <c r="N660" s="203"/>
    </row>
    <row r="661" spans="14:14" ht="15.75" customHeight="1" x14ac:dyDescent="0.25">
      <c r="N661" s="203"/>
    </row>
    <row r="662" spans="14:14" ht="15.75" customHeight="1" x14ac:dyDescent="0.25">
      <c r="N662" s="203"/>
    </row>
    <row r="663" spans="14:14" ht="15.75" customHeight="1" x14ac:dyDescent="0.25">
      <c r="N663" s="203"/>
    </row>
    <row r="664" spans="14:14" ht="15.75" customHeight="1" x14ac:dyDescent="0.25">
      <c r="N664" s="203"/>
    </row>
    <row r="665" spans="14:14" ht="15.75" customHeight="1" x14ac:dyDescent="0.25">
      <c r="N665" s="203"/>
    </row>
    <row r="666" spans="14:14" ht="15.75" customHeight="1" x14ac:dyDescent="0.25">
      <c r="N666" s="203"/>
    </row>
    <row r="667" spans="14:14" ht="15.75" customHeight="1" x14ac:dyDescent="0.25">
      <c r="N667" s="203"/>
    </row>
    <row r="668" spans="14:14" ht="15.75" customHeight="1" x14ac:dyDescent="0.25">
      <c r="N668" s="203"/>
    </row>
    <row r="669" spans="14:14" ht="15.75" customHeight="1" x14ac:dyDescent="0.25">
      <c r="N669" s="203"/>
    </row>
    <row r="670" spans="14:14" ht="15.75" customHeight="1" x14ac:dyDescent="0.25">
      <c r="N670" s="203"/>
    </row>
    <row r="671" spans="14:14" ht="15.75" customHeight="1" x14ac:dyDescent="0.25">
      <c r="N671" s="203"/>
    </row>
    <row r="672" spans="14:14" ht="15.75" customHeight="1" x14ac:dyDescent="0.25">
      <c r="N672" s="203"/>
    </row>
    <row r="673" spans="14:14" ht="15.75" customHeight="1" x14ac:dyDescent="0.25">
      <c r="N673" s="203"/>
    </row>
    <row r="674" spans="14:14" ht="15.75" customHeight="1" x14ac:dyDescent="0.25">
      <c r="N674" s="203"/>
    </row>
    <row r="675" spans="14:14" ht="15.75" customHeight="1" x14ac:dyDescent="0.25">
      <c r="N675" s="203"/>
    </row>
    <row r="676" spans="14:14" ht="15.75" customHeight="1" x14ac:dyDescent="0.25">
      <c r="N676" s="203"/>
    </row>
    <row r="677" spans="14:14" ht="15.75" customHeight="1" x14ac:dyDescent="0.25">
      <c r="N677" s="203"/>
    </row>
    <row r="678" spans="14:14" ht="15.75" customHeight="1" x14ac:dyDescent="0.25">
      <c r="N678" s="203"/>
    </row>
    <row r="679" spans="14:14" ht="15.75" customHeight="1" x14ac:dyDescent="0.25">
      <c r="N679" s="203"/>
    </row>
    <row r="680" spans="14:14" ht="15.75" customHeight="1" x14ac:dyDescent="0.25">
      <c r="N680" s="203"/>
    </row>
    <row r="681" spans="14:14" ht="15.75" customHeight="1" x14ac:dyDescent="0.25">
      <c r="N681" s="203"/>
    </row>
    <row r="682" spans="14:14" ht="15.75" customHeight="1" x14ac:dyDescent="0.25">
      <c r="N682" s="203"/>
    </row>
    <row r="683" spans="14:14" ht="15.75" customHeight="1" x14ac:dyDescent="0.25">
      <c r="N683" s="203"/>
    </row>
    <row r="684" spans="14:14" ht="15.75" customHeight="1" x14ac:dyDescent="0.25">
      <c r="N684" s="203"/>
    </row>
    <row r="685" spans="14:14" ht="15.75" customHeight="1" x14ac:dyDescent="0.25">
      <c r="N685" s="203"/>
    </row>
    <row r="686" spans="14:14" ht="15.75" customHeight="1" x14ac:dyDescent="0.25">
      <c r="N686" s="203"/>
    </row>
    <row r="687" spans="14:14" ht="15.75" customHeight="1" x14ac:dyDescent="0.25">
      <c r="N687" s="203"/>
    </row>
    <row r="688" spans="14:14" ht="15.75" customHeight="1" x14ac:dyDescent="0.25">
      <c r="N688" s="203"/>
    </row>
    <row r="689" spans="14:14" ht="15.75" customHeight="1" x14ac:dyDescent="0.25">
      <c r="N689" s="203"/>
    </row>
    <row r="690" spans="14:14" ht="15.75" customHeight="1" x14ac:dyDescent="0.25">
      <c r="N690" s="203"/>
    </row>
    <row r="691" spans="14:14" ht="15.75" customHeight="1" x14ac:dyDescent="0.25">
      <c r="N691" s="203"/>
    </row>
    <row r="692" spans="14:14" ht="15.75" customHeight="1" x14ac:dyDescent="0.25">
      <c r="N692" s="203"/>
    </row>
    <row r="693" spans="14:14" ht="15.75" customHeight="1" x14ac:dyDescent="0.25">
      <c r="N693" s="203"/>
    </row>
    <row r="694" spans="14:14" ht="15.75" customHeight="1" x14ac:dyDescent="0.25">
      <c r="N694" s="203"/>
    </row>
    <row r="695" spans="14:14" ht="15.75" customHeight="1" x14ac:dyDescent="0.25">
      <c r="N695" s="203"/>
    </row>
    <row r="696" spans="14:14" ht="15.75" customHeight="1" x14ac:dyDescent="0.25">
      <c r="N696" s="203"/>
    </row>
    <row r="697" spans="14:14" ht="15.75" customHeight="1" x14ac:dyDescent="0.25">
      <c r="N697" s="203"/>
    </row>
    <row r="698" spans="14:14" ht="15.75" customHeight="1" x14ac:dyDescent="0.25">
      <c r="N698" s="203"/>
    </row>
    <row r="699" spans="14:14" ht="15.75" customHeight="1" x14ac:dyDescent="0.25">
      <c r="N699" s="203"/>
    </row>
    <row r="700" spans="14:14" ht="15.75" customHeight="1" x14ac:dyDescent="0.25">
      <c r="N700" s="203"/>
    </row>
    <row r="701" spans="14:14" ht="15.75" customHeight="1" x14ac:dyDescent="0.25">
      <c r="N701" s="203"/>
    </row>
    <row r="702" spans="14:14" ht="15.75" customHeight="1" x14ac:dyDescent="0.25">
      <c r="N702" s="203"/>
    </row>
    <row r="703" spans="14:14" ht="15.75" customHeight="1" x14ac:dyDescent="0.25">
      <c r="N703" s="203"/>
    </row>
    <row r="704" spans="14:14" ht="15.75" customHeight="1" x14ac:dyDescent="0.25">
      <c r="N704" s="203"/>
    </row>
    <row r="705" spans="14:14" ht="15.75" customHeight="1" x14ac:dyDescent="0.25">
      <c r="N705" s="203"/>
    </row>
    <row r="706" spans="14:14" ht="15.75" customHeight="1" x14ac:dyDescent="0.25">
      <c r="N706" s="203"/>
    </row>
    <row r="707" spans="14:14" ht="15.75" customHeight="1" x14ac:dyDescent="0.25">
      <c r="N707" s="203"/>
    </row>
    <row r="708" spans="14:14" ht="15.75" customHeight="1" x14ac:dyDescent="0.25">
      <c r="N708" s="203"/>
    </row>
    <row r="709" spans="14:14" ht="15.75" customHeight="1" x14ac:dyDescent="0.25">
      <c r="N709" s="203"/>
    </row>
    <row r="710" spans="14:14" ht="15.75" customHeight="1" x14ac:dyDescent="0.25">
      <c r="N710" s="203"/>
    </row>
    <row r="711" spans="14:14" ht="15.75" customHeight="1" x14ac:dyDescent="0.25">
      <c r="N711" s="203"/>
    </row>
    <row r="712" spans="14:14" ht="15.75" customHeight="1" x14ac:dyDescent="0.25">
      <c r="N712" s="203"/>
    </row>
    <row r="713" spans="14:14" ht="15.75" customHeight="1" x14ac:dyDescent="0.25">
      <c r="N713" s="203"/>
    </row>
    <row r="714" spans="14:14" ht="15.75" customHeight="1" x14ac:dyDescent="0.25">
      <c r="N714" s="203"/>
    </row>
    <row r="715" spans="14:14" ht="15.75" customHeight="1" x14ac:dyDescent="0.25">
      <c r="N715" s="203"/>
    </row>
    <row r="716" spans="14:14" ht="15.75" customHeight="1" x14ac:dyDescent="0.25">
      <c r="N716" s="203"/>
    </row>
    <row r="717" spans="14:14" ht="15.75" customHeight="1" x14ac:dyDescent="0.25">
      <c r="N717" s="203"/>
    </row>
    <row r="718" spans="14:14" ht="15.75" customHeight="1" x14ac:dyDescent="0.25">
      <c r="N718" s="203"/>
    </row>
    <row r="719" spans="14:14" ht="15.75" customHeight="1" x14ac:dyDescent="0.25">
      <c r="N719" s="203"/>
    </row>
    <row r="720" spans="14:14" ht="15.75" customHeight="1" x14ac:dyDescent="0.25">
      <c r="N720" s="203"/>
    </row>
    <row r="721" spans="14:14" ht="15.75" customHeight="1" x14ac:dyDescent="0.25">
      <c r="N721" s="203"/>
    </row>
    <row r="722" spans="14:14" ht="15.75" customHeight="1" x14ac:dyDescent="0.25">
      <c r="N722" s="203"/>
    </row>
    <row r="723" spans="14:14" ht="15.75" customHeight="1" x14ac:dyDescent="0.25">
      <c r="N723" s="203"/>
    </row>
    <row r="724" spans="14:14" ht="15.75" customHeight="1" x14ac:dyDescent="0.25">
      <c r="N724" s="203"/>
    </row>
    <row r="725" spans="14:14" ht="15.75" customHeight="1" x14ac:dyDescent="0.25">
      <c r="N725" s="203"/>
    </row>
    <row r="726" spans="14:14" ht="15.75" customHeight="1" x14ac:dyDescent="0.25">
      <c r="N726" s="203"/>
    </row>
    <row r="727" spans="14:14" ht="15.75" customHeight="1" x14ac:dyDescent="0.25">
      <c r="N727" s="203"/>
    </row>
    <row r="728" spans="14:14" ht="15.75" customHeight="1" x14ac:dyDescent="0.25">
      <c r="N728" s="203"/>
    </row>
    <row r="729" spans="14:14" ht="15.75" customHeight="1" x14ac:dyDescent="0.25">
      <c r="N729" s="203"/>
    </row>
    <row r="730" spans="14:14" ht="15.75" customHeight="1" x14ac:dyDescent="0.25">
      <c r="N730" s="203"/>
    </row>
    <row r="731" spans="14:14" ht="15.75" customHeight="1" x14ac:dyDescent="0.25">
      <c r="N731" s="203"/>
    </row>
    <row r="732" spans="14:14" ht="15.75" customHeight="1" x14ac:dyDescent="0.25">
      <c r="N732" s="203"/>
    </row>
    <row r="733" spans="14:14" ht="15.75" customHeight="1" x14ac:dyDescent="0.25">
      <c r="N733" s="203"/>
    </row>
    <row r="734" spans="14:14" ht="15.75" customHeight="1" x14ac:dyDescent="0.25">
      <c r="N734" s="203"/>
    </row>
    <row r="735" spans="14:14" ht="15.75" customHeight="1" x14ac:dyDescent="0.25">
      <c r="N735" s="203"/>
    </row>
    <row r="736" spans="14:14" ht="15.75" customHeight="1" x14ac:dyDescent="0.25">
      <c r="N736" s="203"/>
    </row>
    <row r="737" spans="14:14" ht="15.75" customHeight="1" x14ac:dyDescent="0.25">
      <c r="N737" s="203"/>
    </row>
    <row r="738" spans="14:14" ht="15.75" customHeight="1" x14ac:dyDescent="0.25">
      <c r="N738" s="203"/>
    </row>
    <row r="739" spans="14:14" ht="15.75" customHeight="1" x14ac:dyDescent="0.25">
      <c r="N739" s="203"/>
    </row>
    <row r="740" spans="14:14" ht="15.75" customHeight="1" x14ac:dyDescent="0.25">
      <c r="N740" s="203"/>
    </row>
    <row r="741" spans="14:14" ht="15.75" customHeight="1" x14ac:dyDescent="0.25">
      <c r="N741" s="203"/>
    </row>
    <row r="742" spans="14:14" ht="15.75" customHeight="1" x14ac:dyDescent="0.25">
      <c r="N742" s="203"/>
    </row>
    <row r="743" spans="14:14" ht="15.75" customHeight="1" x14ac:dyDescent="0.25">
      <c r="N743" s="203"/>
    </row>
    <row r="744" spans="14:14" ht="15.75" customHeight="1" x14ac:dyDescent="0.25">
      <c r="N744" s="203"/>
    </row>
    <row r="745" spans="14:14" ht="15.75" customHeight="1" x14ac:dyDescent="0.25">
      <c r="N745" s="203"/>
    </row>
    <row r="746" spans="14:14" ht="15.75" customHeight="1" x14ac:dyDescent="0.25">
      <c r="N746" s="203"/>
    </row>
    <row r="747" spans="14:14" ht="15.75" customHeight="1" x14ac:dyDescent="0.25">
      <c r="N747" s="203"/>
    </row>
    <row r="748" spans="14:14" ht="15.75" customHeight="1" x14ac:dyDescent="0.25">
      <c r="N748" s="203"/>
    </row>
    <row r="749" spans="14:14" ht="15.75" customHeight="1" x14ac:dyDescent="0.25">
      <c r="N749" s="203"/>
    </row>
    <row r="750" spans="14:14" ht="15.75" customHeight="1" x14ac:dyDescent="0.25">
      <c r="N750" s="203"/>
    </row>
    <row r="751" spans="14:14" ht="15.75" customHeight="1" x14ac:dyDescent="0.25">
      <c r="N751" s="203"/>
    </row>
    <row r="752" spans="14:14" ht="15.75" customHeight="1" x14ac:dyDescent="0.25">
      <c r="N752" s="203"/>
    </row>
    <row r="753" spans="14:14" ht="15.75" customHeight="1" x14ac:dyDescent="0.25">
      <c r="N753" s="203"/>
    </row>
    <row r="754" spans="14:14" ht="15.75" customHeight="1" x14ac:dyDescent="0.25">
      <c r="N754" s="203"/>
    </row>
    <row r="755" spans="14:14" ht="15.75" customHeight="1" x14ac:dyDescent="0.25">
      <c r="N755" s="203"/>
    </row>
    <row r="756" spans="14:14" ht="15.75" customHeight="1" x14ac:dyDescent="0.25">
      <c r="N756" s="203"/>
    </row>
    <row r="757" spans="14:14" ht="15.75" customHeight="1" x14ac:dyDescent="0.25">
      <c r="N757" s="203"/>
    </row>
    <row r="758" spans="14:14" ht="15.75" customHeight="1" x14ac:dyDescent="0.25">
      <c r="N758" s="203"/>
    </row>
    <row r="759" spans="14:14" ht="15.75" customHeight="1" x14ac:dyDescent="0.25">
      <c r="N759" s="203"/>
    </row>
    <row r="760" spans="14:14" ht="15.75" customHeight="1" x14ac:dyDescent="0.25">
      <c r="N760" s="203"/>
    </row>
    <row r="761" spans="14:14" ht="15.75" customHeight="1" x14ac:dyDescent="0.25">
      <c r="N761" s="203"/>
    </row>
    <row r="762" spans="14:14" ht="15.75" customHeight="1" x14ac:dyDescent="0.25">
      <c r="N762" s="203"/>
    </row>
    <row r="763" spans="14:14" ht="15.75" customHeight="1" x14ac:dyDescent="0.25">
      <c r="N763" s="203"/>
    </row>
    <row r="764" spans="14:14" ht="15.75" customHeight="1" x14ac:dyDescent="0.25">
      <c r="N764" s="203"/>
    </row>
    <row r="765" spans="14:14" ht="15.75" customHeight="1" x14ac:dyDescent="0.25">
      <c r="N765" s="203"/>
    </row>
    <row r="766" spans="14:14" ht="15.75" customHeight="1" x14ac:dyDescent="0.25">
      <c r="N766" s="203"/>
    </row>
    <row r="767" spans="14:14" ht="15.75" customHeight="1" x14ac:dyDescent="0.25">
      <c r="N767" s="203"/>
    </row>
    <row r="768" spans="14:14" ht="15.75" customHeight="1" x14ac:dyDescent="0.25">
      <c r="N768" s="203"/>
    </row>
    <row r="769" spans="14:14" ht="15.75" customHeight="1" x14ac:dyDescent="0.25">
      <c r="N769" s="203"/>
    </row>
    <row r="770" spans="14:14" ht="15.75" customHeight="1" x14ac:dyDescent="0.25">
      <c r="N770" s="203"/>
    </row>
    <row r="771" spans="14:14" ht="15.75" customHeight="1" x14ac:dyDescent="0.25">
      <c r="N771" s="203"/>
    </row>
    <row r="772" spans="14:14" ht="15.75" customHeight="1" x14ac:dyDescent="0.25">
      <c r="N772" s="203"/>
    </row>
    <row r="773" spans="14:14" ht="15.75" customHeight="1" x14ac:dyDescent="0.25">
      <c r="N773" s="203"/>
    </row>
    <row r="774" spans="14:14" ht="15.75" customHeight="1" x14ac:dyDescent="0.25">
      <c r="N774" s="203"/>
    </row>
    <row r="775" spans="14:14" ht="15.75" customHeight="1" x14ac:dyDescent="0.25">
      <c r="N775" s="203"/>
    </row>
    <row r="776" spans="14:14" ht="15.75" customHeight="1" x14ac:dyDescent="0.25">
      <c r="N776" s="203"/>
    </row>
    <row r="777" spans="14:14" ht="15.75" customHeight="1" x14ac:dyDescent="0.25">
      <c r="N777" s="203"/>
    </row>
    <row r="778" spans="14:14" ht="15.75" customHeight="1" x14ac:dyDescent="0.25">
      <c r="N778" s="203"/>
    </row>
    <row r="779" spans="14:14" ht="15.75" customHeight="1" x14ac:dyDescent="0.25">
      <c r="N779" s="203"/>
    </row>
    <row r="780" spans="14:14" ht="15.75" customHeight="1" x14ac:dyDescent="0.25">
      <c r="N780" s="203"/>
    </row>
    <row r="781" spans="14:14" ht="15.75" customHeight="1" x14ac:dyDescent="0.25">
      <c r="N781" s="203"/>
    </row>
    <row r="782" spans="14:14" ht="15.75" customHeight="1" x14ac:dyDescent="0.25">
      <c r="N782" s="203"/>
    </row>
    <row r="783" spans="14:14" ht="15.75" customHeight="1" x14ac:dyDescent="0.25">
      <c r="N783" s="203"/>
    </row>
    <row r="784" spans="14:14" ht="15.75" customHeight="1" x14ac:dyDescent="0.25">
      <c r="N784" s="203"/>
    </row>
    <row r="785" spans="14:14" ht="15.75" customHeight="1" x14ac:dyDescent="0.25">
      <c r="N785" s="203"/>
    </row>
    <row r="786" spans="14:14" ht="15.75" customHeight="1" x14ac:dyDescent="0.25">
      <c r="N786" s="203"/>
    </row>
    <row r="787" spans="14:14" ht="15.75" customHeight="1" x14ac:dyDescent="0.25">
      <c r="N787" s="203"/>
    </row>
    <row r="788" spans="14:14" ht="15.75" customHeight="1" x14ac:dyDescent="0.25">
      <c r="N788" s="203"/>
    </row>
    <row r="789" spans="14:14" ht="15.75" customHeight="1" x14ac:dyDescent="0.25">
      <c r="N789" s="203"/>
    </row>
    <row r="790" spans="14:14" ht="15.75" customHeight="1" x14ac:dyDescent="0.25">
      <c r="N790" s="203"/>
    </row>
    <row r="791" spans="14:14" ht="15.75" customHeight="1" x14ac:dyDescent="0.25">
      <c r="N791" s="203"/>
    </row>
    <row r="792" spans="14:14" ht="15.75" customHeight="1" x14ac:dyDescent="0.25">
      <c r="N792" s="203"/>
    </row>
    <row r="793" spans="14:14" ht="15.75" customHeight="1" x14ac:dyDescent="0.25">
      <c r="N793" s="203"/>
    </row>
    <row r="794" spans="14:14" ht="15.75" customHeight="1" x14ac:dyDescent="0.25">
      <c r="N794" s="203"/>
    </row>
    <row r="795" spans="14:14" ht="15.75" customHeight="1" x14ac:dyDescent="0.25">
      <c r="N795" s="203"/>
    </row>
    <row r="796" spans="14:14" ht="15.75" customHeight="1" x14ac:dyDescent="0.25">
      <c r="N796" s="203"/>
    </row>
    <row r="797" spans="14:14" ht="15.75" customHeight="1" x14ac:dyDescent="0.25">
      <c r="N797" s="203"/>
    </row>
    <row r="798" spans="14:14" ht="15.75" customHeight="1" x14ac:dyDescent="0.25">
      <c r="N798" s="203"/>
    </row>
    <row r="799" spans="14:14" ht="15.75" customHeight="1" x14ac:dyDescent="0.25">
      <c r="N799" s="203"/>
    </row>
    <row r="800" spans="14:14" ht="15.75" customHeight="1" x14ac:dyDescent="0.25">
      <c r="N800" s="203"/>
    </row>
    <row r="801" spans="14:14" ht="15.75" customHeight="1" x14ac:dyDescent="0.25">
      <c r="N801" s="203"/>
    </row>
    <row r="802" spans="14:14" ht="15.75" customHeight="1" x14ac:dyDescent="0.25">
      <c r="N802" s="203"/>
    </row>
    <row r="803" spans="14:14" ht="15.75" customHeight="1" x14ac:dyDescent="0.25">
      <c r="N803" s="203"/>
    </row>
    <row r="804" spans="14:14" ht="15.75" customHeight="1" x14ac:dyDescent="0.25">
      <c r="N804" s="203"/>
    </row>
    <row r="805" spans="14:14" ht="15.75" customHeight="1" x14ac:dyDescent="0.25">
      <c r="N805" s="203"/>
    </row>
    <row r="806" spans="14:14" ht="15.75" customHeight="1" x14ac:dyDescent="0.25">
      <c r="N806" s="203"/>
    </row>
    <row r="807" spans="14:14" ht="15.75" customHeight="1" x14ac:dyDescent="0.25">
      <c r="N807" s="203"/>
    </row>
    <row r="808" spans="14:14" ht="15.75" customHeight="1" x14ac:dyDescent="0.25">
      <c r="N808" s="203"/>
    </row>
    <row r="809" spans="14:14" ht="15.75" customHeight="1" x14ac:dyDescent="0.25">
      <c r="N809" s="203"/>
    </row>
    <row r="810" spans="14:14" ht="15.75" customHeight="1" x14ac:dyDescent="0.25">
      <c r="N810" s="203"/>
    </row>
    <row r="811" spans="14:14" ht="15.75" customHeight="1" x14ac:dyDescent="0.25">
      <c r="N811" s="203"/>
    </row>
    <row r="812" spans="14:14" ht="15.75" customHeight="1" x14ac:dyDescent="0.25">
      <c r="N812" s="203"/>
    </row>
    <row r="813" spans="14:14" ht="15.75" customHeight="1" x14ac:dyDescent="0.25">
      <c r="N813" s="203"/>
    </row>
    <row r="814" spans="14:14" ht="15.75" customHeight="1" x14ac:dyDescent="0.25">
      <c r="N814" s="203"/>
    </row>
    <row r="815" spans="14:14" ht="15.75" customHeight="1" x14ac:dyDescent="0.25">
      <c r="N815" s="203"/>
    </row>
    <row r="816" spans="14:14" ht="15.75" customHeight="1" x14ac:dyDescent="0.25">
      <c r="N816" s="203"/>
    </row>
    <row r="817" spans="14:14" ht="15.75" customHeight="1" x14ac:dyDescent="0.25">
      <c r="N817" s="203"/>
    </row>
    <row r="818" spans="14:14" ht="15.75" customHeight="1" x14ac:dyDescent="0.25">
      <c r="N818" s="203"/>
    </row>
    <row r="819" spans="14:14" ht="15.75" customHeight="1" x14ac:dyDescent="0.25">
      <c r="N819" s="203"/>
    </row>
    <row r="820" spans="14:14" ht="15.75" customHeight="1" x14ac:dyDescent="0.25">
      <c r="N820" s="203"/>
    </row>
    <row r="821" spans="14:14" ht="15.75" customHeight="1" x14ac:dyDescent="0.25">
      <c r="N821" s="203"/>
    </row>
    <row r="822" spans="14:14" ht="15.75" customHeight="1" x14ac:dyDescent="0.25">
      <c r="N822" s="203"/>
    </row>
    <row r="823" spans="14:14" ht="15.75" customHeight="1" x14ac:dyDescent="0.25">
      <c r="N823" s="203"/>
    </row>
    <row r="824" spans="14:14" ht="15.75" customHeight="1" x14ac:dyDescent="0.25">
      <c r="N824" s="203"/>
    </row>
    <row r="825" spans="14:14" ht="15.75" customHeight="1" x14ac:dyDescent="0.25">
      <c r="N825" s="203"/>
    </row>
    <row r="826" spans="14:14" ht="15.75" customHeight="1" x14ac:dyDescent="0.25">
      <c r="N826" s="203"/>
    </row>
    <row r="827" spans="14:14" ht="15.75" customHeight="1" x14ac:dyDescent="0.25">
      <c r="N827" s="203"/>
    </row>
    <row r="828" spans="14:14" ht="15.75" customHeight="1" x14ac:dyDescent="0.25">
      <c r="N828" s="203"/>
    </row>
    <row r="829" spans="14:14" ht="15.75" customHeight="1" x14ac:dyDescent="0.25">
      <c r="N829" s="203"/>
    </row>
    <row r="830" spans="14:14" ht="15.75" customHeight="1" x14ac:dyDescent="0.25">
      <c r="N830" s="203"/>
    </row>
    <row r="831" spans="14:14" ht="15.75" customHeight="1" x14ac:dyDescent="0.25">
      <c r="N831" s="203"/>
    </row>
    <row r="832" spans="14:14" ht="15.75" customHeight="1" x14ac:dyDescent="0.25">
      <c r="N832" s="203"/>
    </row>
    <row r="833" spans="14:14" ht="15.75" customHeight="1" x14ac:dyDescent="0.25">
      <c r="N833" s="203"/>
    </row>
    <row r="834" spans="14:14" ht="15.75" customHeight="1" x14ac:dyDescent="0.25">
      <c r="N834" s="203"/>
    </row>
    <row r="835" spans="14:14" ht="15.75" customHeight="1" x14ac:dyDescent="0.25">
      <c r="N835" s="203"/>
    </row>
    <row r="836" spans="14:14" ht="15.75" customHeight="1" x14ac:dyDescent="0.25">
      <c r="N836" s="203"/>
    </row>
    <row r="837" spans="14:14" ht="15.75" customHeight="1" x14ac:dyDescent="0.25">
      <c r="N837" s="203"/>
    </row>
    <row r="838" spans="14:14" ht="15.75" customHeight="1" x14ac:dyDescent="0.25">
      <c r="N838" s="203"/>
    </row>
    <row r="839" spans="14:14" ht="15.75" customHeight="1" x14ac:dyDescent="0.25">
      <c r="N839" s="203"/>
    </row>
    <row r="840" spans="14:14" ht="15.75" customHeight="1" x14ac:dyDescent="0.25">
      <c r="N840" s="203"/>
    </row>
    <row r="841" spans="14:14" ht="15.75" customHeight="1" x14ac:dyDescent="0.25">
      <c r="N841" s="203"/>
    </row>
    <row r="842" spans="14:14" ht="15.75" customHeight="1" x14ac:dyDescent="0.25">
      <c r="N842" s="203"/>
    </row>
    <row r="843" spans="14:14" ht="15.75" customHeight="1" x14ac:dyDescent="0.25">
      <c r="N843" s="203"/>
    </row>
    <row r="844" spans="14:14" ht="15.75" customHeight="1" x14ac:dyDescent="0.25">
      <c r="N844" s="203"/>
    </row>
    <row r="845" spans="14:14" ht="15.75" customHeight="1" x14ac:dyDescent="0.25">
      <c r="N845" s="203"/>
    </row>
    <row r="846" spans="14:14" ht="15.75" customHeight="1" x14ac:dyDescent="0.25">
      <c r="N846" s="203"/>
    </row>
    <row r="847" spans="14:14" ht="15.75" customHeight="1" x14ac:dyDescent="0.25">
      <c r="N847" s="203"/>
    </row>
    <row r="848" spans="14:14" ht="15.75" customHeight="1" x14ac:dyDescent="0.25">
      <c r="N848" s="203"/>
    </row>
    <row r="849" spans="14:14" ht="15.75" customHeight="1" x14ac:dyDescent="0.25">
      <c r="N849" s="203"/>
    </row>
    <row r="850" spans="14:14" ht="15.75" customHeight="1" x14ac:dyDescent="0.25">
      <c r="N850" s="203"/>
    </row>
    <row r="851" spans="14:14" ht="15.75" customHeight="1" x14ac:dyDescent="0.25">
      <c r="N851" s="203"/>
    </row>
    <row r="852" spans="14:14" ht="15.75" customHeight="1" x14ac:dyDescent="0.25">
      <c r="N852" s="203"/>
    </row>
    <row r="853" spans="14:14" ht="15.75" customHeight="1" x14ac:dyDescent="0.25">
      <c r="N853" s="203"/>
    </row>
    <row r="854" spans="14:14" ht="15.75" customHeight="1" x14ac:dyDescent="0.25">
      <c r="N854" s="203"/>
    </row>
    <row r="855" spans="14:14" ht="15.75" customHeight="1" x14ac:dyDescent="0.25">
      <c r="N855" s="203"/>
    </row>
    <row r="856" spans="14:14" ht="15.75" customHeight="1" x14ac:dyDescent="0.25">
      <c r="N856" s="203"/>
    </row>
    <row r="857" spans="14:14" ht="15.75" customHeight="1" x14ac:dyDescent="0.25">
      <c r="N857" s="203"/>
    </row>
    <row r="858" spans="14:14" ht="15.75" customHeight="1" x14ac:dyDescent="0.25">
      <c r="N858" s="203"/>
    </row>
    <row r="859" spans="14:14" ht="15.75" customHeight="1" x14ac:dyDescent="0.25">
      <c r="N859" s="203"/>
    </row>
    <row r="860" spans="14:14" ht="15.75" customHeight="1" x14ac:dyDescent="0.25">
      <c r="N860" s="203"/>
    </row>
    <row r="861" spans="14:14" ht="15.75" customHeight="1" x14ac:dyDescent="0.25">
      <c r="N861" s="203"/>
    </row>
    <row r="862" spans="14:14" ht="15.75" customHeight="1" x14ac:dyDescent="0.25">
      <c r="N862" s="203"/>
    </row>
    <row r="863" spans="14:14" ht="15.75" customHeight="1" x14ac:dyDescent="0.25">
      <c r="N863" s="203"/>
    </row>
    <row r="864" spans="14:14" ht="15.75" customHeight="1" x14ac:dyDescent="0.25">
      <c r="N864" s="203"/>
    </row>
    <row r="865" spans="14:14" ht="15.75" customHeight="1" x14ac:dyDescent="0.25">
      <c r="N865" s="203"/>
    </row>
    <row r="866" spans="14:14" ht="15.75" customHeight="1" x14ac:dyDescent="0.25">
      <c r="N866" s="203"/>
    </row>
    <row r="867" spans="14:14" ht="15.75" customHeight="1" x14ac:dyDescent="0.25">
      <c r="N867" s="203"/>
    </row>
    <row r="868" spans="14:14" ht="15.75" customHeight="1" x14ac:dyDescent="0.25">
      <c r="N868" s="203"/>
    </row>
    <row r="869" spans="14:14" ht="15.75" customHeight="1" x14ac:dyDescent="0.25">
      <c r="N869" s="203"/>
    </row>
    <row r="870" spans="14:14" ht="15.75" customHeight="1" x14ac:dyDescent="0.25">
      <c r="N870" s="203"/>
    </row>
    <row r="871" spans="14:14" ht="15.75" customHeight="1" x14ac:dyDescent="0.25">
      <c r="N871" s="203"/>
    </row>
    <row r="872" spans="14:14" ht="15.75" customHeight="1" x14ac:dyDescent="0.25">
      <c r="N872" s="203"/>
    </row>
    <row r="873" spans="14:14" ht="15.75" customHeight="1" x14ac:dyDescent="0.25">
      <c r="N873" s="203"/>
    </row>
    <row r="874" spans="14:14" ht="15.75" customHeight="1" x14ac:dyDescent="0.25">
      <c r="N874" s="203"/>
    </row>
    <row r="875" spans="14:14" ht="15.75" customHeight="1" x14ac:dyDescent="0.25">
      <c r="N875" s="203"/>
    </row>
    <row r="876" spans="14:14" ht="15.75" customHeight="1" x14ac:dyDescent="0.25">
      <c r="N876" s="203"/>
    </row>
    <row r="877" spans="14:14" ht="15.75" customHeight="1" x14ac:dyDescent="0.25">
      <c r="N877" s="203"/>
    </row>
    <row r="878" spans="14:14" ht="15.75" customHeight="1" x14ac:dyDescent="0.25">
      <c r="N878" s="203"/>
    </row>
    <row r="879" spans="14:14" ht="15.75" customHeight="1" x14ac:dyDescent="0.25">
      <c r="N879" s="203"/>
    </row>
    <row r="880" spans="14:14" ht="15.75" customHeight="1" x14ac:dyDescent="0.25">
      <c r="N880" s="203"/>
    </row>
    <row r="881" spans="14:14" ht="15.75" customHeight="1" x14ac:dyDescent="0.25">
      <c r="N881" s="203"/>
    </row>
    <row r="882" spans="14:14" ht="15.75" customHeight="1" x14ac:dyDescent="0.25">
      <c r="N882" s="203"/>
    </row>
    <row r="883" spans="14:14" ht="15.75" customHeight="1" x14ac:dyDescent="0.25">
      <c r="N883" s="203"/>
    </row>
    <row r="884" spans="14:14" ht="15.75" customHeight="1" x14ac:dyDescent="0.25">
      <c r="N884" s="203"/>
    </row>
    <row r="885" spans="14:14" ht="15.75" customHeight="1" x14ac:dyDescent="0.25">
      <c r="N885" s="203"/>
    </row>
    <row r="886" spans="14:14" ht="15.75" customHeight="1" x14ac:dyDescent="0.25">
      <c r="N886" s="203"/>
    </row>
    <row r="887" spans="14:14" ht="15.75" customHeight="1" x14ac:dyDescent="0.25">
      <c r="N887" s="203"/>
    </row>
    <row r="888" spans="14:14" ht="15.75" customHeight="1" x14ac:dyDescent="0.25">
      <c r="N888" s="203"/>
    </row>
    <row r="889" spans="14:14" ht="15.75" customHeight="1" x14ac:dyDescent="0.25">
      <c r="N889" s="203"/>
    </row>
    <row r="890" spans="14:14" ht="15.75" customHeight="1" x14ac:dyDescent="0.25">
      <c r="N890" s="203"/>
    </row>
    <row r="891" spans="14:14" ht="15.75" customHeight="1" x14ac:dyDescent="0.25">
      <c r="N891" s="203"/>
    </row>
    <row r="892" spans="14:14" ht="15.75" customHeight="1" x14ac:dyDescent="0.25">
      <c r="N892" s="203"/>
    </row>
    <row r="893" spans="14:14" ht="15.75" customHeight="1" x14ac:dyDescent="0.25">
      <c r="N893" s="203"/>
    </row>
    <row r="894" spans="14:14" ht="15.75" customHeight="1" x14ac:dyDescent="0.25">
      <c r="N894" s="203"/>
    </row>
    <row r="895" spans="14:14" ht="15.75" customHeight="1" x14ac:dyDescent="0.25">
      <c r="N895" s="203"/>
    </row>
    <row r="896" spans="14:14" ht="15.75" customHeight="1" x14ac:dyDescent="0.25">
      <c r="N896" s="203"/>
    </row>
    <row r="897" spans="14:14" ht="15.75" customHeight="1" x14ac:dyDescent="0.25">
      <c r="N897" s="203"/>
    </row>
    <row r="898" spans="14:14" ht="15.75" customHeight="1" x14ac:dyDescent="0.25">
      <c r="N898" s="203"/>
    </row>
    <row r="899" spans="14:14" ht="15.75" customHeight="1" x14ac:dyDescent="0.25">
      <c r="N899" s="203"/>
    </row>
    <row r="900" spans="14:14" ht="15.75" customHeight="1" x14ac:dyDescent="0.25">
      <c r="N900" s="203"/>
    </row>
    <row r="901" spans="14:14" ht="15.75" customHeight="1" x14ac:dyDescent="0.25">
      <c r="N901" s="203"/>
    </row>
    <row r="902" spans="14:14" ht="15.75" customHeight="1" x14ac:dyDescent="0.25">
      <c r="N902" s="203"/>
    </row>
    <row r="903" spans="14:14" ht="15.75" customHeight="1" x14ac:dyDescent="0.25">
      <c r="N903" s="203"/>
    </row>
    <row r="904" spans="14:14" ht="15.75" customHeight="1" x14ac:dyDescent="0.25">
      <c r="N904" s="203"/>
    </row>
    <row r="905" spans="14:14" ht="15.75" customHeight="1" x14ac:dyDescent="0.25">
      <c r="N905" s="203"/>
    </row>
    <row r="906" spans="14:14" ht="15.75" customHeight="1" x14ac:dyDescent="0.25">
      <c r="N906" s="203"/>
    </row>
    <row r="907" spans="14:14" ht="15.75" customHeight="1" x14ac:dyDescent="0.25">
      <c r="N907" s="203"/>
    </row>
    <row r="908" spans="14:14" ht="15.75" customHeight="1" x14ac:dyDescent="0.25">
      <c r="N908" s="203"/>
    </row>
    <row r="909" spans="14:14" ht="15.75" customHeight="1" x14ac:dyDescent="0.25">
      <c r="N909" s="203"/>
    </row>
    <row r="910" spans="14:14" ht="15.75" customHeight="1" x14ac:dyDescent="0.25">
      <c r="N910" s="203"/>
    </row>
    <row r="911" spans="14:14" ht="15.75" customHeight="1" x14ac:dyDescent="0.25">
      <c r="N911" s="203"/>
    </row>
    <row r="912" spans="14:14" ht="15.75" customHeight="1" x14ac:dyDescent="0.25">
      <c r="N912" s="203"/>
    </row>
    <row r="913" spans="14:14" ht="15.75" customHeight="1" x14ac:dyDescent="0.25">
      <c r="N913" s="203"/>
    </row>
    <row r="914" spans="14:14" ht="15.75" customHeight="1" x14ac:dyDescent="0.25">
      <c r="N914" s="203"/>
    </row>
    <row r="915" spans="14:14" ht="15.75" customHeight="1" x14ac:dyDescent="0.25">
      <c r="N915" s="203"/>
    </row>
    <row r="916" spans="14:14" ht="15.75" customHeight="1" x14ac:dyDescent="0.25">
      <c r="N916" s="203"/>
    </row>
    <row r="917" spans="14:14" ht="15.75" customHeight="1" x14ac:dyDescent="0.25">
      <c r="N917" s="203"/>
    </row>
    <row r="918" spans="14:14" ht="15.75" customHeight="1" x14ac:dyDescent="0.25">
      <c r="N918" s="203"/>
    </row>
    <row r="919" spans="14:14" ht="15.75" customHeight="1" x14ac:dyDescent="0.25">
      <c r="N919" s="203"/>
    </row>
    <row r="920" spans="14:14" ht="15.75" customHeight="1" x14ac:dyDescent="0.25">
      <c r="N920" s="203"/>
    </row>
    <row r="921" spans="14:14" ht="15.75" customHeight="1" x14ac:dyDescent="0.25">
      <c r="N921" s="203"/>
    </row>
    <row r="922" spans="14:14" ht="15.75" customHeight="1" x14ac:dyDescent="0.25">
      <c r="N922" s="203"/>
    </row>
    <row r="923" spans="14:14" ht="15.75" customHeight="1" x14ac:dyDescent="0.25">
      <c r="N923" s="203"/>
    </row>
    <row r="924" spans="14:14" ht="15.75" customHeight="1" x14ac:dyDescent="0.25">
      <c r="N924" s="203"/>
    </row>
    <row r="925" spans="14:14" ht="15.75" customHeight="1" x14ac:dyDescent="0.25">
      <c r="N925" s="203"/>
    </row>
    <row r="926" spans="14:14" ht="15.75" customHeight="1" x14ac:dyDescent="0.25">
      <c r="N926" s="203"/>
    </row>
    <row r="927" spans="14:14" ht="15.75" customHeight="1" x14ac:dyDescent="0.25">
      <c r="N927" s="203"/>
    </row>
    <row r="928" spans="14:14" ht="15.75" customHeight="1" x14ac:dyDescent="0.25">
      <c r="N928" s="203"/>
    </row>
    <row r="929" spans="14:14" ht="15.75" customHeight="1" x14ac:dyDescent="0.25">
      <c r="N929" s="203"/>
    </row>
    <row r="930" spans="14:14" ht="15.75" customHeight="1" x14ac:dyDescent="0.25">
      <c r="N930" s="203"/>
    </row>
    <row r="931" spans="14:14" ht="15.75" customHeight="1" x14ac:dyDescent="0.25">
      <c r="N931" s="203"/>
    </row>
    <row r="932" spans="14:14" ht="15.75" customHeight="1" x14ac:dyDescent="0.25">
      <c r="N932" s="203"/>
    </row>
    <row r="933" spans="14:14" ht="15.75" customHeight="1" x14ac:dyDescent="0.25">
      <c r="N933" s="203"/>
    </row>
    <row r="934" spans="14:14" ht="15.75" customHeight="1" x14ac:dyDescent="0.25">
      <c r="N934" s="203"/>
    </row>
    <row r="935" spans="14:14" ht="15.75" customHeight="1" x14ac:dyDescent="0.25">
      <c r="N935" s="203"/>
    </row>
    <row r="936" spans="14:14" ht="15.75" customHeight="1" x14ac:dyDescent="0.25">
      <c r="N936" s="203"/>
    </row>
    <row r="937" spans="14:14" ht="15.75" customHeight="1" x14ac:dyDescent="0.25">
      <c r="N937" s="203"/>
    </row>
    <row r="938" spans="14:14" ht="15.75" customHeight="1" x14ac:dyDescent="0.25">
      <c r="N938" s="203"/>
    </row>
    <row r="939" spans="14:14" ht="15.75" customHeight="1" x14ac:dyDescent="0.25">
      <c r="N939" s="203"/>
    </row>
    <row r="940" spans="14:14" ht="15.75" customHeight="1" x14ac:dyDescent="0.25">
      <c r="N940" s="203"/>
    </row>
    <row r="941" spans="14:14" ht="15.75" customHeight="1" x14ac:dyDescent="0.25">
      <c r="N941" s="203"/>
    </row>
    <row r="942" spans="14:14" ht="15.75" customHeight="1" x14ac:dyDescent="0.25">
      <c r="N942" s="203"/>
    </row>
    <row r="943" spans="14:14" ht="15.75" customHeight="1" x14ac:dyDescent="0.25">
      <c r="N943" s="203"/>
    </row>
    <row r="944" spans="14:14" ht="15.75" customHeight="1" x14ac:dyDescent="0.25">
      <c r="N944" s="203"/>
    </row>
    <row r="945" spans="14:14" ht="15.75" customHeight="1" x14ac:dyDescent="0.25">
      <c r="N945" s="203"/>
    </row>
    <row r="946" spans="14:14" ht="15.75" customHeight="1" x14ac:dyDescent="0.25">
      <c r="N946" s="203"/>
    </row>
    <row r="947" spans="14:14" ht="15.75" customHeight="1" x14ac:dyDescent="0.25">
      <c r="N947" s="203"/>
    </row>
    <row r="948" spans="14:14" ht="15.75" customHeight="1" x14ac:dyDescent="0.25">
      <c r="N948" s="203"/>
    </row>
    <row r="949" spans="14:14" ht="15.75" customHeight="1" x14ac:dyDescent="0.25">
      <c r="N949" s="203"/>
    </row>
    <row r="950" spans="14:14" ht="15.75" customHeight="1" x14ac:dyDescent="0.25">
      <c r="N950" s="203"/>
    </row>
    <row r="951" spans="14:14" ht="15.75" customHeight="1" x14ac:dyDescent="0.25">
      <c r="N951" s="203"/>
    </row>
    <row r="952" spans="14:14" ht="15.75" customHeight="1" x14ac:dyDescent="0.25">
      <c r="N952" s="203"/>
    </row>
    <row r="953" spans="14:14" ht="15.75" customHeight="1" x14ac:dyDescent="0.25">
      <c r="N953" s="203"/>
    </row>
    <row r="954" spans="14:14" ht="15.75" customHeight="1" x14ac:dyDescent="0.25">
      <c r="N954" s="203"/>
    </row>
    <row r="955" spans="14:14" ht="15.75" customHeight="1" x14ac:dyDescent="0.25">
      <c r="N955" s="203"/>
    </row>
    <row r="956" spans="14:14" ht="15.75" customHeight="1" x14ac:dyDescent="0.25">
      <c r="N956" s="203"/>
    </row>
    <row r="957" spans="14:14" ht="15.75" customHeight="1" x14ac:dyDescent="0.25">
      <c r="N957" s="203"/>
    </row>
    <row r="958" spans="14:14" ht="15.75" customHeight="1" x14ac:dyDescent="0.25">
      <c r="N958" s="203"/>
    </row>
    <row r="959" spans="14:14" ht="15.75" customHeight="1" x14ac:dyDescent="0.25">
      <c r="N959" s="203"/>
    </row>
    <row r="960" spans="14:14" ht="15.75" customHeight="1" x14ac:dyDescent="0.25">
      <c r="N960" s="203"/>
    </row>
    <row r="961" spans="14:14" ht="15.75" customHeight="1" x14ac:dyDescent="0.25">
      <c r="N961" s="203"/>
    </row>
    <row r="962" spans="14:14" ht="15.75" customHeight="1" x14ac:dyDescent="0.25">
      <c r="N962" s="203"/>
    </row>
    <row r="963" spans="14:14" ht="15.75" customHeight="1" x14ac:dyDescent="0.25">
      <c r="N963" s="203"/>
    </row>
    <row r="964" spans="14:14" ht="15.75" customHeight="1" x14ac:dyDescent="0.25">
      <c r="N964" s="203"/>
    </row>
    <row r="965" spans="14:14" ht="15.75" customHeight="1" x14ac:dyDescent="0.25">
      <c r="N965" s="203"/>
    </row>
    <row r="966" spans="14:14" ht="15.75" customHeight="1" x14ac:dyDescent="0.25">
      <c r="N966" s="203"/>
    </row>
    <row r="967" spans="14:14" ht="15.75" customHeight="1" x14ac:dyDescent="0.25">
      <c r="N967" s="203"/>
    </row>
    <row r="968" spans="14:14" ht="15.75" customHeight="1" x14ac:dyDescent="0.25">
      <c r="N968" s="203"/>
    </row>
    <row r="969" spans="14:14" ht="15.75" customHeight="1" x14ac:dyDescent="0.25">
      <c r="N969" s="203"/>
    </row>
    <row r="970" spans="14:14" ht="15.75" customHeight="1" x14ac:dyDescent="0.25">
      <c r="N970" s="203"/>
    </row>
    <row r="971" spans="14:14" ht="15.75" customHeight="1" x14ac:dyDescent="0.25">
      <c r="N971" s="203"/>
    </row>
    <row r="972" spans="14:14" ht="15.75" customHeight="1" x14ac:dyDescent="0.25">
      <c r="N972" s="203"/>
    </row>
    <row r="973" spans="14:14" ht="15.75" customHeight="1" x14ac:dyDescent="0.25">
      <c r="N973" s="203"/>
    </row>
    <row r="974" spans="14:14" ht="15.75" customHeight="1" x14ac:dyDescent="0.25">
      <c r="N974" s="203"/>
    </row>
    <row r="975" spans="14:14" ht="15.75" customHeight="1" x14ac:dyDescent="0.25">
      <c r="N975" s="203"/>
    </row>
    <row r="976" spans="14:14" ht="15.75" customHeight="1" x14ac:dyDescent="0.25">
      <c r="N976" s="203"/>
    </row>
    <row r="977" spans="14:14" ht="15.75" customHeight="1" x14ac:dyDescent="0.25">
      <c r="N977" s="203"/>
    </row>
    <row r="978" spans="14:14" ht="15.75" customHeight="1" x14ac:dyDescent="0.25">
      <c r="N978" s="203"/>
    </row>
    <row r="979" spans="14:14" ht="15.75" customHeight="1" x14ac:dyDescent="0.25">
      <c r="N979" s="203"/>
    </row>
    <row r="980" spans="14:14" ht="15.75" customHeight="1" x14ac:dyDescent="0.25">
      <c r="N980" s="203"/>
    </row>
    <row r="981" spans="14:14" ht="15.75" customHeight="1" x14ac:dyDescent="0.25">
      <c r="N981" s="203"/>
    </row>
    <row r="982" spans="14:14" ht="15.75" customHeight="1" x14ac:dyDescent="0.25">
      <c r="N982" s="203"/>
    </row>
    <row r="983" spans="14:14" ht="15.75" customHeight="1" x14ac:dyDescent="0.25">
      <c r="N983" s="203"/>
    </row>
    <row r="984" spans="14:14" ht="15.75" customHeight="1" x14ac:dyDescent="0.25">
      <c r="N984" s="203"/>
    </row>
    <row r="985" spans="14:14" ht="15.75" customHeight="1" x14ac:dyDescent="0.25">
      <c r="N985" s="203"/>
    </row>
    <row r="986" spans="14:14" ht="15.75" customHeight="1" x14ac:dyDescent="0.25">
      <c r="N986" s="203"/>
    </row>
    <row r="987" spans="14:14" ht="15.75" customHeight="1" x14ac:dyDescent="0.25">
      <c r="N987" s="203"/>
    </row>
    <row r="988" spans="14:14" ht="15.75" customHeight="1" x14ac:dyDescent="0.25">
      <c r="N988" s="203"/>
    </row>
    <row r="989" spans="14:14" ht="15.75" customHeight="1" x14ac:dyDescent="0.25">
      <c r="N989" s="203"/>
    </row>
    <row r="990" spans="14:14" ht="15.75" customHeight="1" x14ac:dyDescent="0.25">
      <c r="N990" s="203"/>
    </row>
    <row r="991" spans="14:14" ht="15.75" customHeight="1" x14ac:dyDescent="0.25">
      <c r="N991" s="203"/>
    </row>
    <row r="992" spans="14:14" ht="15.75" customHeight="1" x14ac:dyDescent="0.25">
      <c r="N992" s="203"/>
    </row>
    <row r="993" spans="14:14" ht="15.75" customHeight="1" x14ac:dyDescent="0.25">
      <c r="N993" s="203"/>
    </row>
  </sheetData>
  <mergeCells count="69">
    <mergeCell ref="AE5:AE8"/>
    <mergeCell ref="W6:Z6"/>
    <mergeCell ref="AA6:AC6"/>
    <mergeCell ref="AD6:AD8"/>
    <mergeCell ref="W7:W8"/>
    <mergeCell ref="X7:X8"/>
    <mergeCell ref="AA7:AA8"/>
    <mergeCell ref="AB7:AB8"/>
    <mergeCell ref="A1:B3"/>
    <mergeCell ref="C1:K3"/>
    <mergeCell ref="L1:AJ2"/>
    <mergeCell ref="AK1:AL2"/>
    <mergeCell ref="A4:F4"/>
    <mergeCell ref="B5:B9"/>
    <mergeCell ref="G7:G8"/>
    <mergeCell ref="Y7:Y8"/>
    <mergeCell ref="A28:C28"/>
    <mergeCell ref="A5:A9"/>
    <mergeCell ref="W5:AD5"/>
    <mergeCell ref="U6:U8"/>
    <mergeCell ref="C31:E31"/>
    <mergeCell ref="C33:E33"/>
    <mergeCell ref="H7:H8"/>
    <mergeCell ref="I7:I8"/>
    <mergeCell ref="I31:Z31"/>
    <mergeCell ref="I33:Z33"/>
    <mergeCell ref="M6:M8"/>
    <mergeCell ref="N6:N8"/>
    <mergeCell ref="O6:O8"/>
    <mergeCell ref="T6:T8"/>
    <mergeCell ref="P7:P8"/>
    <mergeCell ref="Q7:Q8"/>
    <mergeCell ref="R7:R8"/>
    <mergeCell ref="S7:S8"/>
    <mergeCell ref="V6:V8"/>
    <mergeCell ref="Z7:Z8"/>
    <mergeCell ref="AL30:AV30"/>
    <mergeCell ref="AD31:AJ31"/>
    <mergeCell ref="AL31:AV31"/>
    <mergeCell ref="AD33:AJ33"/>
    <mergeCell ref="AL33:AV33"/>
    <mergeCell ref="AF5:AF8"/>
    <mergeCell ref="AG5:AN5"/>
    <mergeCell ref="AS5:AS8"/>
    <mergeCell ref="AT5:AT8"/>
    <mergeCell ref="AU5:AU8"/>
    <mergeCell ref="AO5:AR6"/>
    <mergeCell ref="AK6:AN6"/>
    <mergeCell ref="AN7:AN8"/>
    <mergeCell ref="AO7:AO8"/>
    <mergeCell ref="AP7:AQ7"/>
    <mergeCell ref="AR7:AR8"/>
    <mergeCell ref="AG6:AJ6"/>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6640625" defaultRowHeight="15" customHeight="1" x14ac:dyDescent="0.25"/>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x14ac:dyDescent="0.25">
      <c r="A1" s="652"/>
      <c r="B1" s="528"/>
      <c r="C1" s="654" t="s">
        <v>229</v>
      </c>
      <c r="D1" s="528"/>
      <c r="E1" s="528"/>
      <c r="F1" s="495"/>
      <c r="G1" s="201"/>
      <c r="H1" s="201"/>
      <c r="I1" s="656" t="s">
        <v>230</v>
      </c>
      <c r="J1" s="509"/>
      <c r="K1" s="509"/>
      <c r="L1" s="509"/>
      <c r="M1" s="509"/>
      <c r="N1" s="509"/>
      <c r="O1" s="509"/>
      <c r="P1" s="509"/>
      <c r="Q1" s="249"/>
      <c r="R1" s="201"/>
      <c r="S1" s="201"/>
      <c r="T1" s="250"/>
      <c r="U1" s="201"/>
      <c r="V1" s="201"/>
    </row>
    <row r="2" spans="1:22" ht="20.25" customHeight="1" x14ac:dyDescent="0.25">
      <c r="A2" s="529"/>
      <c r="B2" s="509"/>
      <c r="C2" s="509"/>
      <c r="D2" s="509"/>
      <c r="E2" s="509"/>
      <c r="F2" s="655"/>
      <c r="G2" s="201"/>
      <c r="H2" s="201"/>
      <c r="I2" s="509"/>
      <c r="J2" s="509"/>
      <c r="K2" s="509"/>
      <c r="L2" s="509"/>
      <c r="M2" s="509"/>
      <c r="N2" s="509"/>
      <c r="O2" s="509"/>
      <c r="P2" s="509"/>
      <c r="Q2" s="249"/>
      <c r="R2" s="201"/>
      <c r="S2" s="201"/>
      <c r="T2" s="250"/>
      <c r="U2" s="201"/>
      <c r="V2" s="201"/>
    </row>
    <row r="3" spans="1:22" ht="20.25" customHeight="1" x14ac:dyDescent="0.25">
      <c r="A3" s="496"/>
      <c r="B3" s="653"/>
      <c r="C3" s="653"/>
      <c r="D3" s="653"/>
      <c r="E3" s="653"/>
      <c r="F3" s="497"/>
      <c r="G3" s="201"/>
      <c r="H3" s="201"/>
      <c r="I3" s="509"/>
      <c r="J3" s="509"/>
      <c r="K3" s="509"/>
      <c r="L3" s="509"/>
      <c r="M3" s="509"/>
      <c r="N3" s="509"/>
      <c r="O3" s="509"/>
      <c r="P3" s="509"/>
      <c r="Q3" s="249"/>
      <c r="R3" s="201"/>
      <c r="S3" s="201"/>
      <c r="T3" s="250"/>
      <c r="U3" s="201"/>
      <c r="V3" s="201"/>
    </row>
    <row r="4" spans="1:22" ht="27.75" customHeight="1" x14ac:dyDescent="0.25">
      <c r="A4" s="588" t="s">
        <v>1</v>
      </c>
      <c r="B4" s="588" t="s">
        <v>231</v>
      </c>
      <c r="C4" s="588" t="s">
        <v>41</v>
      </c>
      <c r="D4" s="588" t="s">
        <v>232</v>
      </c>
      <c r="E4" s="588" t="s">
        <v>233</v>
      </c>
      <c r="F4" s="588" t="s">
        <v>234</v>
      </c>
      <c r="G4" s="646" t="s">
        <v>235</v>
      </c>
      <c r="H4" s="645" t="s">
        <v>236</v>
      </c>
      <c r="I4" s="551"/>
      <c r="J4" s="552"/>
      <c r="K4" s="645" t="s">
        <v>237</v>
      </c>
      <c r="L4" s="551"/>
      <c r="M4" s="657"/>
      <c r="N4" s="647" t="s">
        <v>238</v>
      </c>
      <c r="O4" s="647" t="s">
        <v>239</v>
      </c>
      <c r="P4" s="645" t="s">
        <v>240</v>
      </c>
      <c r="Q4" s="551"/>
      <c r="R4" s="551"/>
      <c r="S4" s="551"/>
      <c r="T4" s="552"/>
      <c r="U4" s="646" t="s">
        <v>241</v>
      </c>
      <c r="V4" s="646" t="s">
        <v>242</v>
      </c>
    </row>
    <row r="5" spans="1:22" ht="18.75" customHeight="1" x14ac:dyDescent="0.25">
      <c r="A5" s="623"/>
      <c r="B5" s="623"/>
      <c r="C5" s="623"/>
      <c r="D5" s="623"/>
      <c r="E5" s="623"/>
      <c r="F5" s="623"/>
      <c r="G5" s="623"/>
      <c r="H5" s="647" t="s">
        <v>143</v>
      </c>
      <c r="I5" s="647" t="s">
        <v>243</v>
      </c>
      <c r="J5" s="647" t="s">
        <v>145</v>
      </c>
      <c r="K5" s="647" t="s">
        <v>244</v>
      </c>
      <c r="L5" s="647" t="s">
        <v>245</v>
      </c>
      <c r="M5" s="647" t="s">
        <v>246</v>
      </c>
      <c r="N5" s="623"/>
      <c r="O5" s="623"/>
      <c r="P5" s="646" t="s">
        <v>213</v>
      </c>
      <c r="Q5" s="648" t="s">
        <v>247</v>
      </c>
      <c r="R5" s="552"/>
      <c r="S5" s="646" t="s">
        <v>248</v>
      </c>
      <c r="T5" s="646" t="s">
        <v>249</v>
      </c>
      <c r="U5" s="623"/>
      <c r="V5" s="623"/>
    </row>
    <row r="6" spans="1:22" ht="18.75" customHeight="1" x14ac:dyDescent="0.25">
      <c r="A6" s="589"/>
      <c r="B6" s="589"/>
      <c r="C6" s="589"/>
      <c r="D6" s="589"/>
      <c r="E6" s="589"/>
      <c r="F6" s="589"/>
      <c r="G6" s="589"/>
      <c r="H6" s="589"/>
      <c r="I6" s="589"/>
      <c r="J6" s="589"/>
      <c r="K6" s="589"/>
      <c r="L6" s="589"/>
      <c r="M6" s="589"/>
      <c r="N6" s="589"/>
      <c r="O6" s="589"/>
      <c r="P6" s="589"/>
      <c r="Q6" s="251" t="s">
        <v>250</v>
      </c>
      <c r="R6" s="252" t="s">
        <v>251</v>
      </c>
      <c r="S6" s="589"/>
      <c r="T6" s="589"/>
      <c r="U6" s="589"/>
      <c r="V6" s="589"/>
    </row>
    <row r="7" spans="1:22" ht="33" customHeight="1" x14ac:dyDescent="0.25">
      <c r="A7" s="253">
        <v>1</v>
      </c>
      <c r="B7" s="254" t="s">
        <v>101</v>
      </c>
      <c r="C7" s="255" t="s">
        <v>39</v>
      </c>
      <c r="D7" s="255" t="s">
        <v>252</v>
      </c>
      <c r="E7" s="256" t="s">
        <v>253</v>
      </c>
      <c r="F7" s="34"/>
      <c r="G7" s="257" t="e">
        <f>VLOOKUP(B7,'6.Bảng lương  '!$B$16:$AW32,34,0)</f>
        <v>#N/A</v>
      </c>
      <c r="H7" s="257" t="e">
        <f>VLOOKUP(B7,'6.Bảng lương  '!$B$16:$AW32,25,0)</f>
        <v>#N/A</v>
      </c>
      <c r="I7" s="257" t="e">
        <f>VLOOKUP(B7, '6.Bảng lương  '!$B$16:$AW32, 26,0)</f>
        <v>#N/A</v>
      </c>
      <c r="J7" s="257" t="e">
        <f>VLOOKUP(B7, '6.Bảng lương  '!$B$16:$AW32,27,0)</f>
        <v>#N/A</v>
      </c>
      <c r="K7" s="257" t="e">
        <f>VLOOKUP(B7, '6.Bảng lương  '!$B$16:$AW32, 29,0)</f>
        <v>#N/A</v>
      </c>
      <c r="L7" s="257" t="e">
        <f>VLOOKUP(B7, '6.Bảng lương  '!$B$16:$AW32, 31,0)</f>
        <v>#N/A</v>
      </c>
      <c r="M7" s="257" t="e">
        <f>VLOOKUP(B7, '6.Bảng lương  '!$B$16:$AW32, 30,0)</f>
        <v>#N/A</v>
      </c>
      <c r="N7" s="257" t="e">
        <f t="shared" ref="N7:N10" si="0">SUM(H7:M7)</f>
        <v>#N/A</v>
      </c>
      <c r="O7" s="257" t="e">
        <f t="shared" ref="O7:O10" si="1">G7-H7-I7-J7</f>
        <v>#N/A</v>
      </c>
      <c r="P7" s="257" t="e">
        <f>VLOOKUP(B7, '6.Bảng lương  '!$B$16:$AW32,44,0)</f>
        <v>#N/A</v>
      </c>
      <c r="Q7" s="258" t="e">
        <f>VLOOKUP(B7, '6.Bảng lương  '!$B$16:$AW32,45,0)</f>
        <v>#N/A</v>
      </c>
      <c r="R7" s="259" t="e">
        <f t="shared" ref="R7:R10" si="2">Q7*4400000</f>
        <v>#N/A</v>
      </c>
      <c r="S7" s="259" t="e">
        <f t="shared" ref="S7:S10" si="3">+P7+R7</f>
        <v>#N/A</v>
      </c>
      <c r="T7" s="259" t="e">
        <f>VLOOKUP(B7, '6.Bảng lương  '!$B$16:$AW32,43,0)</f>
        <v>#N/A</v>
      </c>
      <c r="U7" s="259">
        <v>0</v>
      </c>
      <c r="V7" s="259">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5">
      <c r="A8" s="253">
        <v>2</v>
      </c>
      <c r="B8" s="260" t="s">
        <v>46</v>
      </c>
      <c r="C8" s="255" t="s">
        <v>47</v>
      </c>
      <c r="D8" s="255" t="s">
        <v>252</v>
      </c>
      <c r="E8" s="256" t="s">
        <v>254</v>
      </c>
      <c r="F8" s="34"/>
      <c r="G8" s="257" t="e">
        <f>VLOOKUP(B8,'6.Bảng lương  '!$B$16:$AW32,34,0)</f>
        <v>#N/A</v>
      </c>
      <c r="H8" s="257" t="e">
        <f>VLOOKUP(B8,'6.Bảng lương  '!$B$16:$AW32,25,0)</f>
        <v>#N/A</v>
      </c>
      <c r="I8" s="257" t="e">
        <f>VLOOKUP(B8, '6.Bảng lương  '!$B$16:$AW32, 26,0)</f>
        <v>#N/A</v>
      </c>
      <c r="J8" s="257" t="e">
        <f>VLOOKUP(B8, '6.Bảng lương  '!$B$16:$AW32,27,0)</f>
        <v>#N/A</v>
      </c>
      <c r="K8" s="257" t="e">
        <f>VLOOKUP(B8, '6.Bảng lương  '!$B$16:$AW32, 29,0)</f>
        <v>#N/A</v>
      </c>
      <c r="L8" s="257" t="e">
        <f>VLOOKUP(B8, '6.Bảng lương  '!$B$16:$AW32, 31,0)</f>
        <v>#N/A</v>
      </c>
      <c r="M8" s="257" t="e">
        <f>VLOOKUP(B8, '6.Bảng lương  '!$B$16:$AW32, 30,0)</f>
        <v>#N/A</v>
      </c>
      <c r="N8" s="257" t="e">
        <f t="shared" si="0"/>
        <v>#N/A</v>
      </c>
      <c r="O8" s="257" t="e">
        <f t="shared" si="1"/>
        <v>#N/A</v>
      </c>
      <c r="P8" s="257" t="e">
        <f>VLOOKUP(B8, '6.Bảng lương  '!$B$16:$AW32,44,0)</f>
        <v>#N/A</v>
      </c>
      <c r="Q8" s="258" t="e">
        <f>VLOOKUP(B8, '6.Bảng lương  '!$B$16:$AW32,45,0)</f>
        <v>#N/A</v>
      </c>
      <c r="R8" s="259" t="e">
        <f t="shared" si="2"/>
        <v>#N/A</v>
      </c>
      <c r="S8" s="259" t="e">
        <f t="shared" si="3"/>
        <v>#N/A</v>
      </c>
      <c r="T8" s="259" t="e">
        <f>VLOOKUP(B8, '6.Bảng lương  '!$B$16:$AW32,43,0)</f>
        <v>#N/A</v>
      </c>
      <c r="U8" s="259" t="e">
        <f>O8-S8-T8</f>
        <v>#N/A</v>
      </c>
      <c r="V8" s="259" t="e">
        <f t="shared" si="4"/>
        <v>#N/A</v>
      </c>
    </row>
    <row r="9" spans="1:22" ht="27" customHeight="1" x14ac:dyDescent="0.25">
      <c r="A9" s="253">
        <v>3</v>
      </c>
      <c r="B9" s="260" t="s">
        <v>48</v>
      </c>
      <c r="C9" s="255" t="s">
        <v>255</v>
      </c>
      <c r="D9" s="255" t="s">
        <v>252</v>
      </c>
      <c r="E9" s="256" t="s">
        <v>102</v>
      </c>
      <c r="F9" s="34"/>
      <c r="G9" s="257" t="e">
        <f>VLOOKUP(B9,'6.Bảng lương  '!$B$16:$AW32,34,0)</f>
        <v>#N/A</v>
      </c>
      <c r="H9" s="257" t="e">
        <f>VLOOKUP(B9,'6.Bảng lương  '!$B$16:$AW32,25,0)</f>
        <v>#N/A</v>
      </c>
      <c r="I9" s="257" t="e">
        <f>VLOOKUP(B9, '6.Bảng lương  '!$B$16:$AW32, 26,0)</f>
        <v>#N/A</v>
      </c>
      <c r="J9" s="257" t="e">
        <f>VLOOKUP(B9, '6.Bảng lương  '!$B$16:$AW32,27,0)</f>
        <v>#N/A</v>
      </c>
      <c r="K9" s="257" t="e">
        <f>VLOOKUP(B9, '6.Bảng lương  '!$B$16:$AW32, 29,0)</f>
        <v>#N/A</v>
      </c>
      <c r="L9" s="257" t="e">
        <f>VLOOKUP(B9, '6.Bảng lương  '!$B$16:$AW32, 31,0)</f>
        <v>#N/A</v>
      </c>
      <c r="M9" s="257" t="e">
        <f>VLOOKUP(B9, '6.Bảng lương  '!$B$16:$AW32, 30,0)</f>
        <v>#N/A</v>
      </c>
      <c r="N9" s="257" t="e">
        <f t="shared" si="0"/>
        <v>#N/A</v>
      </c>
      <c r="O9" s="257" t="e">
        <f t="shared" si="1"/>
        <v>#N/A</v>
      </c>
      <c r="P9" s="257" t="e">
        <f>VLOOKUP(B9, '6.Bảng lương  '!$B$16:$AW32,44,0)</f>
        <v>#N/A</v>
      </c>
      <c r="Q9" s="258" t="e">
        <f>VLOOKUP(B9, '6.Bảng lương  '!$B$16:$AW32,45,0)</f>
        <v>#N/A</v>
      </c>
      <c r="R9" s="259" t="e">
        <f t="shared" si="2"/>
        <v>#N/A</v>
      </c>
      <c r="S9" s="259" t="e">
        <f t="shared" si="3"/>
        <v>#N/A</v>
      </c>
      <c r="T9" s="259" t="e">
        <f>VLOOKUP(B9, '6.Bảng lương  '!$B$16:$AW32,43,0)</f>
        <v>#N/A</v>
      </c>
      <c r="U9" s="259">
        <v>0</v>
      </c>
      <c r="V9" s="259">
        <f t="shared" si="4"/>
        <v>0</v>
      </c>
    </row>
    <row r="10" spans="1:22" ht="30" customHeight="1" x14ac:dyDescent="0.25">
      <c r="A10" s="253">
        <v>4</v>
      </c>
      <c r="B10" s="261" t="s">
        <v>256</v>
      </c>
      <c r="C10" s="261" t="s">
        <v>257</v>
      </c>
      <c r="D10" s="255" t="s">
        <v>252</v>
      </c>
      <c r="E10" s="262" t="s">
        <v>258</v>
      </c>
      <c r="F10" s="253"/>
      <c r="G10" s="257" t="e">
        <f>VLOOKUP(B10,'6.Bảng lương  '!$B$16:$AW32,34,0)</f>
        <v>#N/A</v>
      </c>
      <c r="H10" s="257" t="e">
        <f>VLOOKUP(B10,'6.Bảng lương  '!$B$16:$AW32,25,0)</f>
        <v>#N/A</v>
      </c>
      <c r="I10" s="257" t="e">
        <f>VLOOKUP(B10, '6.Bảng lương  '!$B$16:$AW32, 26,0)</f>
        <v>#N/A</v>
      </c>
      <c r="J10" s="257" t="e">
        <f>VLOOKUP(B10, '6.Bảng lương  '!$B$16:$AW32,27,0)</f>
        <v>#N/A</v>
      </c>
      <c r="K10" s="257" t="e">
        <f>VLOOKUP(B10, '6.Bảng lương  '!$B$16:$AW32, 29,0)</f>
        <v>#N/A</v>
      </c>
      <c r="L10" s="257" t="e">
        <f>VLOOKUP(B10, '6.Bảng lương  '!$B$16:$AW32, 31,0)</f>
        <v>#N/A</v>
      </c>
      <c r="M10" s="257" t="e">
        <f>VLOOKUP(B10, '6.Bảng lương  '!$B$16:$AW32, 30,0)</f>
        <v>#N/A</v>
      </c>
      <c r="N10" s="257" t="e">
        <f t="shared" si="0"/>
        <v>#N/A</v>
      </c>
      <c r="O10" s="257" t="e">
        <f t="shared" si="1"/>
        <v>#N/A</v>
      </c>
      <c r="P10" s="257" t="e">
        <f>VLOOKUP(B10, '6.Bảng lương  '!$B$16:$AW32,44,0)</f>
        <v>#N/A</v>
      </c>
      <c r="Q10" s="258" t="e">
        <f>VLOOKUP(B10, '6.Bảng lương  '!$B$16:$AW32,45,0)</f>
        <v>#N/A</v>
      </c>
      <c r="R10" s="259" t="e">
        <f t="shared" si="2"/>
        <v>#N/A</v>
      </c>
      <c r="S10" s="259" t="e">
        <f t="shared" si="3"/>
        <v>#N/A</v>
      </c>
      <c r="T10" s="259" t="e">
        <f>VLOOKUP(B10, '6.Bảng lương  '!$B$16:$AW32,43,0)</f>
        <v>#N/A</v>
      </c>
      <c r="U10" s="259">
        <v>0</v>
      </c>
      <c r="V10" s="259">
        <f t="shared" si="4"/>
        <v>0</v>
      </c>
    </row>
    <row r="11" spans="1:22" ht="20.25" customHeight="1" x14ac:dyDescent="0.25">
      <c r="A11" s="658" t="s">
        <v>259</v>
      </c>
      <c r="B11" s="551"/>
      <c r="C11" s="552"/>
      <c r="D11" s="263"/>
      <c r="E11" s="263"/>
      <c r="F11" s="33"/>
      <c r="G11" s="264" t="e">
        <f t="shared" ref="G11:V11" si="5">SUBTOTAL(9,G7:G10)</f>
        <v>#N/A</v>
      </c>
      <c r="H11" s="264" t="e">
        <f t="shared" si="5"/>
        <v>#N/A</v>
      </c>
      <c r="I11" s="264" t="e">
        <f t="shared" si="5"/>
        <v>#N/A</v>
      </c>
      <c r="J11" s="264" t="e">
        <f t="shared" si="5"/>
        <v>#N/A</v>
      </c>
      <c r="K11" s="264" t="e">
        <f t="shared" si="5"/>
        <v>#N/A</v>
      </c>
      <c r="L11" s="264" t="e">
        <f t="shared" si="5"/>
        <v>#N/A</v>
      </c>
      <c r="M11" s="264" t="e">
        <f t="shared" si="5"/>
        <v>#N/A</v>
      </c>
      <c r="N11" s="264" t="e">
        <f t="shared" si="5"/>
        <v>#N/A</v>
      </c>
      <c r="O11" s="264" t="e">
        <f t="shared" si="5"/>
        <v>#N/A</v>
      </c>
      <c r="P11" s="264" t="e">
        <f t="shared" si="5"/>
        <v>#N/A</v>
      </c>
      <c r="Q11" s="264" t="e">
        <f t="shared" si="5"/>
        <v>#N/A</v>
      </c>
      <c r="R11" s="264" t="e">
        <f t="shared" si="5"/>
        <v>#N/A</v>
      </c>
      <c r="S11" s="264" t="e">
        <f t="shared" si="5"/>
        <v>#N/A</v>
      </c>
      <c r="T11" s="264" t="e">
        <f t="shared" si="5"/>
        <v>#N/A</v>
      </c>
      <c r="U11" s="264" t="e">
        <f t="shared" si="5"/>
        <v>#N/A</v>
      </c>
      <c r="V11" s="264" t="e">
        <f t="shared" si="5"/>
        <v>#N/A</v>
      </c>
    </row>
    <row r="12" spans="1:22" ht="25.5" customHeight="1" x14ac:dyDescent="0.25">
      <c r="A12" s="265"/>
      <c r="B12" s="265"/>
      <c r="C12" s="266"/>
      <c r="D12" s="266"/>
      <c r="E12" s="267"/>
      <c r="F12" s="267"/>
      <c r="G12" s="268"/>
      <c r="H12" s="269"/>
      <c r="I12" s="269"/>
      <c r="J12" s="269"/>
      <c r="K12" s="269"/>
      <c r="L12" s="269"/>
      <c r="M12" s="269"/>
      <c r="N12" s="269"/>
      <c r="O12" s="268"/>
      <c r="P12" s="269"/>
      <c r="Q12" s="649" t="s">
        <v>260</v>
      </c>
      <c r="R12" s="509"/>
      <c r="S12" s="509"/>
      <c r="T12" s="509"/>
      <c r="U12" s="509"/>
      <c r="V12" s="509"/>
    </row>
    <row r="13" spans="1:22" ht="20.25" customHeight="1" x14ac:dyDescent="0.3">
      <c r="A13" s="44"/>
      <c r="B13" s="44"/>
      <c r="C13" s="44"/>
      <c r="D13" s="598" t="s">
        <v>52</v>
      </c>
      <c r="E13" s="509"/>
      <c r="F13" s="509"/>
      <c r="G13" s="509"/>
      <c r="H13" s="584" t="s">
        <v>261</v>
      </c>
      <c r="I13" s="509"/>
      <c r="J13" s="509"/>
      <c r="K13" s="509"/>
      <c r="L13" s="509"/>
      <c r="M13" s="44"/>
      <c r="N13" s="571" t="s">
        <v>262</v>
      </c>
      <c r="O13" s="509"/>
      <c r="P13" s="509"/>
      <c r="Q13" s="650" t="s">
        <v>263</v>
      </c>
      <c r="R13" s="509"/>
      <c r="S13" s="509"/>
      <c r="T13" s="509"/>
      <c r="U13" s="509"/>
      <c r="V13" s="509"/>
    </row>
    <row r="14" spans="1:22" ht="20.25" customHeight="1" x14ac:dyDescent="0.3">
      <c r="A14" s="237"/>
      <c r="B14" s="237"/>
      <c r="C14" s="270"/>
      <c r="D14" s="270"/>
      <c r="E14" s="46"/>
      <c r="F14" s="44"/>
      <c r="G14" s="46"/>
      <c r="H14" s="39"/>
      <c r="I14" s="237"/>
      <c r="J14" s="237"/>
      <c r="K14" s="237"/>
      <c r="L14" s="237"/>
      <c r="M14" s="237"/>
      <c r="N14" s="269"/>
      <c r="O14" s="268"/>
      <c r="P14" s="269"/>
      <c r="Q14" s="271"/>
      <c r="R14" s="272"/>
      <c r="S14" s="272"/>
      <c r="T14" s="237"/>
      <c r="U14" s="273"/>
      <c r="V14" s="269"/>
    </row>
    <row r="15" spans="1:22" ht="20.25" customHeight="1" x14ac:dyDescent="0.3">
      <c r="A15" s="237"/>
      <c r="B15" s="237"/>
      <c r="C15" s="270"/>
      <c r="D15" s="270"/>
      <c r="E15" s="46"/>
      <c r="F15" s="44"/>
      <c r="G15" s="46"/>
      <c r="H15" s="39"/>
      <c r="I15" s="237"/>
      <c r="J15" s="237"/>
      <c r="K15" s="237"/>
      <c r="L15" s="237"/>
      <c r="M15" s="237"/>
      <c r="N15" s="269"/>
      <c r="O15" s="268"/>
      <c r="P15" s="269"/>
      <c r="Q15" s="271"/>
      <c r="R15" s="272"/>
      <c r="S15" s="272"/>
      <c r="T15" s="237"/>
      <c r="U15" s="273"/>
      <c r="V15" s="269"/>
    </row>
    <row r="16" spans="1:22" ht="20.25" customHeight="1" x14ac:dyDescent="0.3">
      <c r="A16" s="45"/>
      <c r="B16" s="45"/>
      <c r="C16" s="270"/>
      <c r="D16" s="270"/>
      <c r="E16" s="46"/>
      <c r="F16" s="245"/>
      <c r="G16" s="46"/>
      <c r="H16" s="39"/>
      <c r="I16" s="274"/>
      <c r="J16" s="274"/>
      <c r="K16" s="274"/>
      <c r="L16" s="274"/>
      <c r="M16" s="274"/>
      <c r="N16" s="269"/>
      <c r="O16" s="268"/>
      <c r="P16" s="269"/>
      <c r="Q16" s="275"/>
      <c r="R16" s="276"/>
      <c r="S16" s="276"/>
      <c r="T16" s="274"/>
      <c r="U16" s="273"/>
      <c r="V16" s="269"/>
    </row>
    <row r="17" spans="1:22" ht="20.25" customHeight="1" x14ac:dyDescent="0.3">
      <c r="A17" s="45"/>
      <c r="B17" s="45"/>
      <c r="C17" s="270"/>
      <c r="D17" s="270"/>
      <c r="E17" s="46"/>
      <c r="F17" s="245"/>
      <c r="G17" s="46"/>
      <c r="H17" s="39"/>
      <c r="I17" s="274"/>
      <c r="J17" s="274"/>
      <c r="K17" s="274"/>
      <c r="L17" s="274"/>
      <c r="M17" s="274"/>
      <c r="N17" s="269"/>
      <c r="O17" s="268"/>
      <c r="P17" s="269"/>
      <c r="Q17" s="275"/>
      <c r="R17" s="276"/>
      <c r="S17" s="276"/>
      <c r="T17" s="274"/>
      <c r="U17" s="273"/>
      <c r="V17" s="269"/>
    </row>
    <row r="18" spans="1:22" ht="20.25" customHeight="1" x14ac:dyDescent="0.3">
      <c r="A18" s="45"/>
      <c r="B18" s="45"/>
      <c r="C18" s="270"/>
      <c r="D18" s="270"/>
      <c r="E18" s="46"/>
      <c r="F18" s="245"/>
      <c r="G18" s="46"/>
      <c r="H18" s="571"/>
      <c r="I18" s="509"/>
      <c r="J18" s="509"/>
      <c r="K18" s="274"/>
      <c r="L18" s="274"/>
      <c r="M18" s="274"/>
      <c r="N18" s="269"/>
      <c r="O18" s="268"/>
      <c r="P18" s="269"/>
      <c r="Q18" s="275"/>
      <c r="R18" s="276"/>
      <c r="S18" s="276"/>
      <c r="T18" s="274"/>
      <c r="U18" s="273"/>
      <c r="V18" s="269"/>
    </row>
    <row r="19" spans="1:22" ht="20.25" customHeight="1" x14ac:dyDescent="0.3">
      <c r="A19" s="44"/>
      <c r="B19" s="44"/>
      <c r="C19" s="44"/>
      <c r="D19" s="598" t="s">
        <v>264</v>
      </c>
      <c r="E19" s="509"/>
      <c r="F19" s="509"/>
      <c r="G19" s="509"/>
      <c r="H19" s="571" t="s">
        <v>265</v>
      </c>
      <c r="I19" s="509"/>
      <c r="J19" s="509"/>
      <c r="K19" s="509"/>
      <c r="L19" s="509"/>
      <c r="M19" s="44"/>
      <c r="N19" s="571" t="s">
        <v>221</v>
      </c>
      <c r="O19" s="509"/>
      <c r="P19" s="509"/>
      <c r="Q19" s="651" t="s">
        <v>266</v>
      </c>
      <c r="R19" s="509"/>
      <c r="S19" s="509"/>
      <c r="T19" s="509"/>
      <c r="U19" s="509"/>
      <c r="V19" s="509"/>
    </row>
    <row r="21" spans="1:22" ht="15.75" customHeight="1" x14ac:dyDescent="0.25"/>
    <row r="22" spans="1:22" ht="15.75" customHeight="1" x14ac:dyDescent="0.25"/>
    <row r="23" spans="1:22" ht="15.75" customHeight="1" x14ac:dyDescent="0.25"/>
    <row r="24" spans="1:22" ht="15.75" customHeight="1" x14ac:dyDescent="0.25"/>
    <row r="25" spans="1:22" ht="15.75" customHeight="1" x14ac:dyDescent="0.25"/>
    <row r="26" spans="1:22" ht="15.75" customHeight="1" x14ac:dyDescent="0.25"/>
    <row r="27" spans="1:22" ht="15.75" customHeight="1" x14ac:dyDescent="0.25"/>
    <row r="28" spans="1:22" ht="15.75" customHeight="1" x14ac:dyDescent="0.25"/>
    <row r="29" spans="1:22" ht="15.75" customHeight="1" x14ac:dyDescent="0.25"/>
    <row r="30" spans="1:22" ht="15.75" customHeight="1" x14ac:dyDescent="0.25"/>
    <row r="31" spans="1:22" ht="15.75" customHeight="1" x14ac:dyDescent="0.25"/>
    <row r="32" spans="1: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8">
    <mergeCell ref="E4:E6"/>
    <mergeCell ref="F4:F6"/>
    <mergeCell ref="A11:C11"/>
    <mergeCell ref="D13:G13"/>
    <mergeCell ref="D19:G19"/>
    <mergeCell ref="G4:G6"/>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Q12:V12"/>
    <mergeCell ref="Q13:V13"/>
    <mergeCell ref="Q19:V19"/>
    <mergeCell ref="H18:J18"/>
    <mergeCell ref="H19:L19"/>
    <mergeCell ref="N13:P13"/>
    <mergeCell ref="N19:P19"/>
    <mergeCell ref="H13:L13"/>
    <mergeCell ref="P4:T4"/>
    <mergeCell ref="U4:U6"/>
    <mergeCell ref="V4:V6"/>
    <mergeCell ref="K5:K6"/>
    <mergeCell ref="L5:L6"/>
    <mergeCell ref="T5:T6"/>
    <mergeCell ref="Q5:R5"/>
    <mergeCell ref="S5:S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x14ac:dyDescent="0.25"/>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x14ac:dyDescent="0.5">
      <c r="A1" s="660" t="s">
        <v>267</v>
      </c>
      <c r="B1" s="509"/>
      <c r="C1" s="509"/>
      <c r="D1" s="509"/>
      <c r="E1" s="277"/>
      <c r="F1" s="278"/>
      <c r="G1" s="279"/>
      <c r="H1" s="280"/>
      <c r="I1" s="280"/>
      <c r="J1" s="280"/>
      <c r="K1" s="281"/>
      <c r="L1" s="140"/>
      <c r="M1" s="140"/>
      <c r="N1" s="140"/>
      <c r="O1" s="281"/>
      <c r="P1" s="140"/>
      <c r="Q1" s="140"/>
      <c r="R1" s="140"/>
      <c r="S1" s="140"/>
      <c r="T1" s="140"/>
      <c r="U1" s="140"/>
      <c r="V1" s="140"/>
      <c r="W1" s="140"/>
      <c r="X1" s="140"/>
      <c r="Y1" s="140"/>
      <c r="Z1" s="140"/>
    </row>
    <row r="2" spans="1:26" ht="15.6" x14ac:dyDescent="0.25">
      <c r="A2" s="282">
        <v>1</v>
      </c>
      <c r="B2" s="282">
        <v>2</v>
      </c>
      <c r="C2" s="282">
        <v>3</v>
      </c>
      <c r="D2" s="282">
        <v>4</v>
      </c>
      <c r="E2" s="282">
        <v>5</v>
      </c>
      <c r="F2" s="282">
        <v>6</v>
      </c>
      <c r="G2" s="282">
        <v>7</v>
      </c>
      <c r="H2" s="282">
        <v>8</v>
      </c>
      <c r="I2" s="282">
        <v>9</v>
      </c>
      <c r="J2" s="282">
        <v>10</v>
      </c>
      <c r="K2" s="282">
        <v>11</v>
      </c>
      <c r="L2" s="282">
        <v>12</v>
      </c>
      <c r="M2" s="282">
        <v>13</v>
      </c>
      <c r="N2" s="282"/>
      <c r="O2" s="282">
        <v>14</v>
      </c>
      <c r="P2" s="282">
        <v>15</v>
      </c>
      <c r="Q2" s="140"/>
      <c r="R2" s="140"/>
      <c r="S2" s="140"/>
      <c r="T2" s="140"/>
      <c r="U2" s="140"/>
      <c r="V2" s="140"/>
      <c r="W2" s="140"/>
      <c r="X2" s="140"/>
      <c r="Y2" s="140"/>
      <c r="Z2" s="140"/>
    </row>
    <row r="3" spans="1:26" ht="17.25" customHeight="1" x14ac:dyDescent="0.3">
      <c r="A3" s="661" t="s">
        <v>1</v>
      </c>
      <c r="B3" s="662" t="s">
        <v>40</v>
      </c>
      <c r="C3" s="662" t="s">
        <v>268</v>
      </c>
      <c r="D3" s="661" t="s">
        <v>98</v>
      </c>
      <c r="E3" s="588" t="s">
        <v>269</v>
      </c>
      <c r="F3" s="588" t="s">
        <v>96</v>
      </c>
      <c r="G3" s="588" t="s">
        <v>129</v>
      </c>
      <c r="H3" s="588" t="s">
        <v>270</v>
      </c>
      <c r="I3" s="588" t="s">
        <v>234</v>
      </c>
      <c r="J3" s="627" t="s">
        <v>271</v>
      </c>
      <c r="K3" s="551"/>
      <c r="L3" s="551"/>
      <c r="M3" s="551"/>
      <c r="N3" s="552"/>
      <c r="O3" s="659" t="s">
        <v>272</v>
      </c>
      <c r="P3" s="552"/>
      <c r="Q3" s="140"/>
      <c r="R3" s="140"/>
      <c r="S3" s="140"/>
      <c r="T3" s="140"/>
      <c r="U3" s="140"/>
      <c r="V3" s="140"/>
      <c r="W3" s="140"/>
      <c r="X3" s="140"/>
      <c r="Y3" s="140"/>
      <c r="Z3" s="140"/>
    </row>
    <row r="4" spans="1:26" ht="36" customHeight="1" x14ac:dyDescent="0.25">
      <c r="A4" s="589"/>
      <c r="B4" s="589"/>
      <c r="C4" s="589"/>
      <c r="D4" s="589"/>
      <c r="E4" s="589"/>
      <c r="F4" s="589"/>
      <c r="G4" s="589"/>
      <c r="H4" s="589"/>
      <c r="I4" s="589"/>
      <c r="J4" s="211" t="s">
        <v>250</v>
      </c>
      <c r="K4" s="211" t="s">
        <v>214</v>
      </c>
      <c r="L4" s="211" t="s">
        <v>273</v>
      </c>
      <c r="M4" s="211" t="s">
        <v>274</v>
      </c>
      <c r="N4" s="283" t="s">
        <v>275</v>
      </c>
      <c r="O4" s="211" t="s">
        <v>276</v>
      </c>
      <c r="P4" s="33" t="s">
        <v>169</v>
      </c>
      <c r="Q4" s="140"/>
      <c r="R4" s="140"/>
      <c r="S4" s="140"/>
      <c r="T4" s="140"/>
      <c r="U4" s="140"/>
      <c r="V4" s="140"/>
      <c r="W4" s="140"/>
      <c r="X4" s="140"/>
      <c r="Y4" s="140"/>
      <c r="Z4" s="140"/>
    </row>
    <row r="5" spans="1:26" ht="13.2" x14ac:dyDescent="0.25">
      <c r="A5" s="284"/>
      <c r="B5" s="285"/>
      <c r="C5" s="140"/>
      <c r="D5" s="140"/>
      <c r="E5" s="140"/>
      <c r="F5" s="285"/>
      <c r="G5" s="140"/>
      <c r="H5" s="140"/>
      <c r="I5" s="285"/>
      <c r="J5" s="285"/>
      <c r="K5" s="281"/>
      <c r="L5" s="140"/>
      <c r="M5" s="140"/>
      <c r="N5" s="140"/>
      <c r="O5" s="281"/>
      <c r="P5" s="140"/>
      <c r="Q5" s="140"/>
      <c r="R5" s="140"/>
      <c r="S5" s="140"/>
      <c r="T5" s="140"/>
      <c r="U5" s="140"/>
      <c r="V5" s="140"/>
      <c r="W5" s="140"/>
      <c r="X5" s="140"/>
      <c r="Y5" s="140"/>
      <c r="Z5" s="140"/>
    </row>
    <row r="6" spans="1:26" ht="13.2" x14ac:dyDescent="0.25">
      <c r="A6" s="284"/>
      <c r="B6" s="285"/>
      <c r="C6" s="140"/>
      <c r="D6" s="140"/>
      <c r="E6" s="140"/>
      <c r="F6" s="285"/>
      <c r="G6" s="140"/>
      <c r="H6" s="140"/>
      <c r="I6" s="285"/>
      <c r="J6" s="285"/>
      <c r="K6" s="281"/>
      <c r="L6" s="140"/>
      <c r="M6" s="140"/>
      <c r="N6" s="140"/>
      <c r="O6" s="281"/>
      <c r="P6" s="140"/>
      <c r="Q6" s="140"/>
      <c r="R6" s="140"/>
      <c r="S6" s="140"/>
      <c r="T6" s="140"/>
      <c r="U6" s="140"/>
      <c r="V6" s="140"/>
      <c r="W6" s="140"/>
      <c r="X6" s="140"/>
      <c r="Y6" s="140"/>
      <c r="Z6" s="140"/>
    </row>
    <row r="7" spans="1:26" ht="13.2" x14ac:dyDescent="0.25">
      <c r="A7" s="284"/>
      <c r="B7" s="285"/>
      <c r="C7" s="140"/>
      <c r="D7" s="140"/>
      <c r="E7" s="140"/>
      <c r="F7" s="285"/>
      <c r="G7" s="140"/>
      <c r="H7" s="140"/>
      <c r="I7" s="285"/>
      <c r="J7" s="285"/>
      <c r="K7" s="281"/>
      <c r="L7" s="140"/>
      <c r="M7" s="140"/>
      <c r="N7" s="140"/>
      <c r="O7" s="281"/>
      <c r="P7" s="140"/>
      <c r="Q7" s="140"/>
      <c r="R7" s="140"/>
      <c r="S7" s="140"/>
      <c r="T7" s="140"/>
      <c r="U7" s="140"/>
      <c r="V7" s="140"/>
      <c r="W7" s="140"/>
      <c r="X7" s="140"/>
      <c r="Y7" s="140"/>
      <c r="Z7" s="140"/>
    </row>
    <row r="8" spans="1:26" ht="13.2" x14ac:dyDescent="0.25">
      <c r="A8" s="284"/>
      <c r="B8" s="285"/>
      <c r="C8" s="140"/>
      <c r="D8" s="140"/>
      <c r="E8" s="140"/>
      <c r="F8" s="285"/>
      <c r="G8" s="140"/>
      <c r="H8" s="140"/>
      <c r="I8" s="285"/>
      <c r="J8" s="285"/>
      <c r="K8" s="281"/>
      <c r="L8" s="140"/>
      <c r="M8" s="140"/>
      <c r="N8" s="140"/>
      <c r="O8" s="281"/>
      <c r="P8" s="140"/>
      <c r="Q8" s="140"/>
      <c r="R8" s="140"/>
      <c r="S8" s="140"/>
      <c r="T8" s="140"/>
      <c r="U8" s="140"/>
      <c r="V8" s="140"/>
      <c r="W8" s="140"/>
      <c r="X8" s="140"/>
      <c r="Y8" s="140"/>
      <c r="Z8" s="140"/>
    </row>
    <row r="9" spans="1:26" ht="13.2" x14ac:dyDescent="0.25">
      <c r="A9" s="284"/>
      <c r="B9" s="285"/>
      <c r="C9" s="140"/>
      <c r="D9" s="140"/>
      <c r="E9" s="140"/>
      <c r="F9" s="285"/>
      <c r="G9" s="140"/>
      <c r="H9" s="140"/>
      <c r="I9" s="285"/>
      <c r="J9" s="285"/>
      <c r="K9" s="281"/>
      <c r="L9" s="140"/>
      <c r="M9" s="140"/>
      <c r="N9" s="140"/>
      <c r="O9" s="281"/>
      <c r="P9" s="140"/>
      <c r="Q9" s="140"/>
      <c r="R9" s="140"/>
      <c r="S9" s="140"/>
      <c r="T9" s="140"/>
      <c r="U9" s="140"/>
      <c r="V9" s="140"/>
      <c r="W9" s="140"/>
      <c r="X9" s="140"/>
      <c r="Y9" s="140"/>
      <c r="Z9" s="140"/>
    </row>
    <row r="10" spans="1:26" ht="13.2" x14ac:dyDescent="0.25">
      <c r="A10" s="284"/>
      <c r="B10" s="285"/>
      <c r="C10" s="140"/>
      <c r="D10" s="140"/>
      <c r="E10" s="140"/>
      <c r="F10" s="285"/>
      <c r="G10" s="140"/>
      <c r="H10" s="140"/>
      <c r="I10" s="285"/>
      <c r="J10" s="285"/>
      <c r="K10" s="281"/>
      <c r="L10" s="140"/>
      <c r="M10" s="140"/>
      <c r="N10" s="140"/>
      <c r="O10" s="281"/>
      <c r="P10" s="140"/>
      <c r="Q10" s="140"/>
      <c r="R10" s="140"/>
      <c r="S10" s="140"/>
      <c r="T10" s="140"/>
      <c r="U10" s="140"/>
      <c r="V10" s="140"/>
      <c r="W10" s="140"/>
      <c r="X10" s="140"/>
      <c r="Y10" s="140"/>
      <c r="Z10" s="140"/>
    </row>
    <row r="11" spans="1:26" ht="13.2" x14ac:dyDescent="0.25">
      <c r="A11" s="284"/>
      <c r="B11" s="285"/>
      <c r="C11" s="140"/>
      <c r="D11" s="140"/>
      <c r="E11" s="140"/>
      <c r="F11" s="285"/>
      <c r="G11" s="140"/>
      <c r="H11" s="140"/>
      <c r="I11" s="285"/>
      <c r="J11" s="285"/>
      <c r="K11" s="281"/>
      <c r="L11" s="140"/>
      <c r="M11" s="140"/>
      <c r="N11" s="140"/>
      <c r="O11" s="281"/>
      <c r="P11" s="140"/>
      <c r="Q11" s="140"/>
      <c r="R11" s="140"/>
      <c r="S11" s="140"/>
      <c r="T11" s="140"/>
      <c r="U11" s="140"/>
      <c r="V11" s="140"/>
      <c r="W11" s="140"/>
      <c r="X11" s="140"/>
      <c r="Y11" s="140"/>
      <c r="Z11" s="140"/>
    </row>
    <row r="12" spans="1:26" ht="13.2" x14ac:dyDescent="0.25">
      <c r="A12" s="284"/>
      <c r="B12" s="285"/>
      <c r="C12" s="140"/>
      <c r="D12" s="140"/>
      <c r="E12" s="140"/>
      <c r="F12" s="285"/>
      <c r="G12" s="140"/>
      <c r="H12" s="140"/>
      <c r="I12" s="285"/>
      <c r="J12" s="285"/>
      <c r="K12" s="281"/>
      <c r="L12" s="140"/>
      <c r="M12" s="140"/>
      <c r="N12" s="140"/>
      <c r="O12" s="281"/>
      <c r="P12" s="140"/>
      <c r="Q12" s="140"/>
      <c r="R12" s="140"/>
      <c r="S12" s="140"/>
      <c r="T12" s="140"/>
      <c r="U12" s="140"/>
      <c r="V12" s="140"/>
      <c r="W12" s="140"/>
      <c r="X12" s="140"/>
      <c r="Y12" s="140"/>
      <c r="Z12" s="140"/>
    </row>
    <row r="13" spans="1:26" ht="13.2" x14ac:dyDescent="0.25">
      <c r="A13" s="284"/>
      <c r="B13" s="285"/>
      <c r="C13" s="140"/>
      <c r="D13" s="140"/>
      <c r="E13" s="140"/>
      <c r="F13" s="285"/>
      <c r="G13" s="140"/>
      <c r="H13" s="140"/>
      <c r="I13" s="285"/>
      <c r="J13" s="285"/>
      <c r="K13" s="281"/>
      <c r="L13" s="140"/>
      <c r="M13" s="140"/>
      <c r="N13" s="140"/>
      <c r="O13" s="281"/>
      <c r="P13" s="140"/>
      <c r="Q13" s="140"/>
      <c r="R13" s="140"/>
      <c r="S13" s="140"/>
      <c r="T13" s="140"/>
      <c r="U13" s="140"/>
      <c r="V13" s="140"/>
      <c r="W13" s="140"/>
      <c r="X13" s="140"/>
      <c r="Y13" s="140"/>
      <c r="Z13" s="140"/>
    </row>
    <row r="14" spans="1:26" ht="13.2" x14ac:dyDescent="0.25">
      <c r="A14" s="284"/>
      <c r="B14" s="285"/>
      <c r="C14" s="140"/>
      <c r="D14" s="140"/>
      <c r="E14" s="140"/>
      <c r="F14" s="285"/>
      <c r="G14" s="140"/>
      <c r="H14" s="140"/>
      <c r="I14" s="285"/>
      <c r="J14" s="285"/>
      <c r="K14" s="281"/>
      <c r="L14" s="140"/>
      <c r="M14" s="140"/>
      <c r="N14" s="140"/>
      <c r="O14" s="281"/>
      <c r="P14" s="140"/>
      <c r="Q14" s="140"/>
      <c r="R14" s="140"/>
      <c r="S14" s="140"/>
      <c r="T14" s="140"/>
      <c r="U14" s="140"/>
      <c r="V14" s="140"/>
      <c r="W14" s="140"/>
      <c r="X14" s="140"/>
      <c r="Y14" s="140"/>
      <c r="Z14" s="140"/>
    </row>
    <row r="15" spans="1:26" ht="13.2" x14ac:dyDescent="0.25">
      <c r="A15" s="284"/>
      <c r="B15" s="285"/>
      <c r="C15" s="140"/>
      <c r="D15" s="140"/>
      <c r="E15" s="140"/>
      <c r="F15" s="285"/>
      <c r="G15" s="140"/>
      <c r="H15" s="140"/>
      <c r="I15" s="285"/>
      <c r="J15" s="285"/>
      <c r="K15" s="281"/>
      <c r="L15" s="140"/>
      <c r="M15" s="140"/>
      <c r="N15" s="140"/>
      <c r="O15" s="281"/>
      <c r="P15" s="140"/>
      <c r="Q15" s="140"/>
      <c r="R15" s="140"/>
      <c r="S15" s="140"/>
      <c r="T15" s="140"/>
      <c r="U15" s="140"/>
      <c r="V15" s="140"/>
      <c r="W15" s="140"/>
      <c r="X15" s="140"/>
      <c r="Y15" s="140"/>
      <c r="Z15" s="140"/>
    </row>
    <row r="16" spans="1:26" ht="13.2" x14ac:dyDescent="0.25">
      <c r="A16" s="284"/>
      <c r="B16" s="285"/>
      <c r="C16" s="140"/>
      <c r="D16" s="140"/>
      <c r="E16" s="140"/>
      <c r="F16" s="285"/>
      <c r="G16" s="140"/>
      <c r="H16" s="140"/>
      <c r="I16" s="285"/>
      <c r="J16" s="285"/>
      <c r="K16" s="281"/>
      <c r="L16" s="140"/>
      <c r="M16" s="140"/>
      <c r="N16" s="140"/>
      <c r="O16" s="281"/>
      <c r="P16" s="140"/>
      <c r="Q16" s="140"/>
      <c r="R16" s="140"/>
      <c r="S16" s="140"/>
      <c r="T16" s="140"/>
      <c r="U16" s="140"/>
      <c r="V16" s="140"/>
      <c r="W16" s="140"/>
      <c r="X16" s="140"/>
      <c r="Y16" s="140"/>
      <c r="Z16" s="140"/>
    </row>
    <row r="17" spans="1:26" ht="15.75" customHeight="1" x14ac:dyDescent="0.25">
      <c r="A17" s="284"/>
      <c r="B17" s="285"/>
      <c r="C17" s="140"/>
      <c r="D17" s="140"/>
      <c r="E17" s="140"/>
      <c r="F17" s="285"/>
      <c r="G17" s="140"/>
      <c r="H17" s="140"/>
      <c r="I17" s="285"/>
      <c r="J17" s="285"/>
      <c r="K17" s="281"/>
      <c r="L17" s="140"/>
      <c r="M17" s="140"/>
      <c r="N17" s="140"/>
      <c r="O17" s="281"/>
      <c r="P17" s="140"/>
      <c r="Q17" s="140"/>
      <c r="R17" s="140"/>
      <c r="S17" s="140"/>
      <c r="T17" s="140"/>
      <c r="U17" s="140"/>
      <c r="V17" s="140"/>
      <c r="W17" s="140"/>
      <c r="X17" s="140"/>
      <c r="Y17" s="140"/>
      <c r="Z17" s="140"/>
    </row>
    <row r="18" spans="1:26" ht="15.75" customHeight="1" x14ac:dyDescent="0.25">
      <c r="A18" s="284"/>
      <c r="B18" s="285"/>
      <c r="C18" s="140"/>
      <c r="D18" s="140"/>
      <c r="E18" s="140"/>
      <c r="F18" s="285"/>
      <c r="G18" s="140"/>
      <c r="H18" s="140"/>
      <c r="I18" s="285"/>
      <c r="J18" s="285"/>
      <c r="K18" s="281"/>
      <c r="L18" s="140"/>
      <c r="M18" s="140"/>
      <c r="N18" s="140"/>
      <c r="O18" s="281"/>
      <c r="P18" s="140"/>
      <c r="Q18" s="140"/>
      <c r="R18" s="140"/>
      <c r="S18" s="140"/>
      <c r="T18" s="140"/>
      <c r="U18" s="140"/>
      <c r="V18" s="140"/>
      <c r="W18" s="140"/>
      <c r="X18" s="140"/>
      <c r="Y18" s="140"/>
      <c r="Z18" s="140"/>
    </row>
    <row r="19" spans="1:26" ht="15.75" customHeight="1" x14ac:dyDescent="0.25">
      <c r="A19" s="284"/>
      <c r="B19" s="285"/>
      <c r="C19" s="140"/>
      <c r="D19" s="140"/>
      <c r="E19" s="140"/>
      <c r="F19" s="285"/>
      <c r="G19" s="140"/>
      <c r="H19" s="140"/>
      <c r="I19" s="285"/>
      <c r="J19" s="285"/>
      <c r="K19" s="281"/>
      <c r="L19" s="140"/>
      <c r="M19" s="140"/>
      <c r="N19" s="140"/>
      <c r="O19" s="281"/>
      <c r="P19" s="140"/>
      <c r="Q19" s="140"/>
      <c r="R19" s="140"/>
      <c r="S19" s="140"/>
      <c r="T19" s="140"/>
      <c r="U19" s="140"/>
      <c r="V19" s="140"/>
      <c r="W19" s="140"/>
      <c r="X19" s="140"/>
      <c r="Y19" s="140"/>
      <c r="Z19" s="140"/>
    </row>
    <row r="20" spans="1:26" ht="15.75" customHeight="1" x14ac:dyDescent="0.25">
      <c r="A20" s="284"/>
      <c r="B20" s="285"/>
      <c r="C20" s="140"/>
      <c r="D20" s="140"/>
      <c r="E20" s="140"/>
      <c r="F20" s="285"/>
      <c r="G20" s="140"/>
      <c r="H20" s="140"/>
      <c r="I20" s="285"/>
      <c r="J20" s="285"/>
      <c r="K20" s="281"/>
      <c r="L20" s="140"/>
      <c r="M20" s="140"/>
      <c r="N20" s="140"/>
      <c r="O20" s="281"/>
      <c r="P20" s="140"/>
      <c r="Q20" s="140"/>
      <c r="R20" s="140"/>
      <c r="S20" s="140"/>
      <c r="T20" s="140"/>
      <c r="U20" s="140"/>
      <c r="V20" s="140"/>
      <c r="W20" s="140"/>
      <c r="X20" s="140"/>
      <c r="Y20" s="140"/>
      <c r="Z20" s="140"/>
    </row>
    <row r="21" spans="1:26" ht="15.75" customHeight="1" x14ac:dyDescent="0.25">
      <c r="A21" s="284"/>
      <c r="B21" s="285"/>
      <c r="C21" s="140"/>
      <c r="D21" s="140"/>
      <c r="E21" s="140"/>
      <c r="F21" s="285"/>
      <c r="G21" s="140"/>
      <c r="H21" s="140"/>
      <c r="I21" s="285"/>
      <c r="J21" s="285"/>
      <c r="K21" s="281"/>
      <c r="L21" s="140"/>
      <c r="M21" s="140"/>
      <c r="N21" s="140"/>
      <c r="O21" s="281"/>
      <c r="P21" s="140"/>
      <c r="Q21" s="140"/>
      <c r="R21" s="140"/>
      <c r="S21" s="140"/>
      <c r="T21" s="140"/>
      <c r="U21" s="140"/>
      <c r="V21" s="140"/>
      <c r="W21" s="140"/>
      <c r="X21" s="140"/>
      <c r="Y21" s="140"/>
      <c r="Z21" s="140"/>
    </row>
    <row r="22" spans="1:26" ht="15.75" customHeight="1" x14ac:dyDescent="0.25">
      <c r="A22" s="284"/>
      <c r="B22" s="285"/>
      <c r="C22" s="140"/>
      <c r="D22" s="140"/>
      <c r="E22" s="140"/>
      <c r="F22" s="285"/>
      <c r="G22" s="140"/>
      <c r="H22" s="140"/>
      <c r="I22" s="285"/>
      <c r="J22" s="285"/>
      <c r="K22" s="281"/>
      <c r="L22" s="140"/>
      <c r="M22" s="140"/>
      <c r="N22" s="140"/>
      <c r="O22" s="281"/>
      <c r="P22" s="140"/>
      <c r="Q22" s="140"/>
      <c r="R22" s="140"/>
      <c r="S22" s="140"/>
      <c r="T22" s="140"/>
      <c r="U22" s="140"/>
      <c r="V22" s="140"/>
      <c r="W22" s="140"/>
      <c r="X22" s="140"/>
      <c r="Y22" s="140"/>
      <c r="Z22" s="140"/>
    </row>
    <row r="23" spans="1:26" ht="15.75" customHeight="1" x14ac:dyDescent="0.25">
      <c r="A23" s="284"/>
      <c r="B23" s="285"/>
      <c r="C23" s="140"/>
      <c r="D23" s="140"/>
      <c r="E23" s="140"/>
      <c r="F23" s="285"/>
      <c r="G23" s="140"/>
      <c r="H23" s="140"/>
      <c r="I23" s="285"/>
      <c r="J23" s="285"/>
      <c r="K23" s="281"/>
      <c r="L23" s="140"/>
      <c r="M23" s="140"/>
      <c r="N23" s="140"/>
      <c r="O23" s="281"/>
      <c r="P23" s="140"/>
      <c r="Q23" s="140"/>
      <c r="R23" s="140"/>
      <c r="S23" s="140"/>
      <c r="T23" s="140"/>
      <c r="U23" s="140"/>
      <c r="V23" s="140"/>
      <c r="W23" s="140"/>
      <c r="X23" s="140"/>
      <c r="Y23" s="140"/>
      <c r="Z23" s="140"/>
    </row>
    <row r="24" spans="1:26" ht="15.75" customHeight="1" x14ac:dyDescent="0.25">
      <c r="A24" s="284"/>
      <c r="B24" s="285"/>
      <c r="C24" s="140"/>
      <c r="D24" s="140"/>
      <c r="E24" s="140"/>
      <c r="F24" s="285"/>
      <c r="G24" s="140"/>
      <c r="H24" s="140"/>
      <c r="I24" s="285"/>
      <c r="J24" s="285"/>
      <c r="K24" s="281"/>
      <c r="L24" s="140"/>
      <c r="M24" s="140"/>
      <c r="N24" s="140"/>
      <c r="O24" s="281"/>
      <c r="P24" s="140"/>
      <c r="Q24" s="140"/>
      <c r="R24" s="140"/>
      <c r="S24" s="140"/>
      <c r="T24" s="140"/>
      <c r="U24" s="140"/>
      <c r="V24" s="140"/>
      <c r="W24" s="140"/>
      <c r="X24" s="140"/>
      <c r="Y24" s="140"/>
      <c r="Z24" s="140"/>
    </row>
    <row r="25" spans="1:26" ht="15.75" customHeight="1" x14ac:dyDescent="0.25">
      <c r="A25" s="284"/>
      <c r="B25" s="285"/>
      <c r="C25" s="140"/>
      <c r="D25" s="140"/>
      <c r="E25" s="140"/>
      <c r="F25" s="285"/>
      <c r="G25" s="140"/>
      <c r="H25" s="140"/>
      <c r="I25" s="285"/>
      <c r="J25" s="285"/>
      <c r="K25" s="281"/>
      <c r="L25" s="140"/>
      <c r="M25" s="140"/>
      <c r="N25" s="140"/>
      <c r="O25" s="281"/>
      <c r="P25" s="140"/>
      <c r="Q25" s="140"/>
      <c r="R25" s="140"/>
      <c r="S25" s="140"/>
      <c r="T25" s="140"/>
      <c r="U25" s="140"/>
      <c r="V25" s="140"/>
      <c r="W25" s="140"/>
      <c r="X25" s="140"/>
      <c r="Y25" s="140"/>
      <c r="Z25" s="140"/>
    </row>
    <row r="26" spans="1:26" ht="15.75" customHeight="1" x14ac:dyDescent="0.25">
      <c r="A26" s="284"/>
      <c r="B26" s="285"/>
      <c r="C26" s="140"/>
      <c r="D26" s="140"/>
      <c r="E26" s="140"/>
      <c r="F26" s="285"/>
      <c r="G26" s="140"/>
      <c r="H26" s="140"/>
      <c r="I26" s="285"/>
      <c r="J26" s="285"/>
      <c r="K26" s="281"/>
      <c r="L26" s="140"/>
      <c r="M26" s="140"/>
      <c r="N26" s="140"/>
      <c r="O26" s="281"/>
      <c r="P26" s="140"/>
      <c r="Q26" s="140"/>
      <c r="R26" s="140"/>
      <c r="S26" s="140"/>
      <c r="T26" s="140"/>
      <c r="U26" s="140"/>
      <c r="V26" s="140"/>
      <c r="W26" s="140"/>
      <c r="X26" s="140"/>
      <c r="Y26" s="140"/>
      <c r="Z26" s="140"/>
    </row>
    <row r="27" spans="1:26" ht="15.75" customHeight="1" x14ac:dyDescent="0.25">
      <c r="A27" s="284"/>
      <c r="B27" s="285"/>
      <c r="C27" s="140"/>
      <c r="D27" s="140"/>
      <c r="E27" s="140"/>
      <c r="F27" s="285"/>
      <c r="G27" s="140"/>
      <c r="H27" s="140"/>
      <c r="I27" s="285"/>
      <c r="J27" s="285"/>
      <c r="K27" s="281"/>
      <c r="L27" s="140"/>
      <c r="M27" s="140"/>
      <c r="N27" s="140"/>
      <c r="O27" s="281"/>
      <c r="P27" s="140"/>
      <c r="Q27" s="140"/>
      <c r="R27" s="140"/>
      <c r="S27" s="140"/>
      <c r="T27" s="140"/>
      <c r="U27" s="140"/>
      <c r="V27" s="140"/>
      <c r="W27" s="140"/>
      <c r="X27" s="140"/>
      <c r="Y27" s="140"/>
      <c r="Z27" s="140"/>
    </row>
    <row r="28" spans="1:26" ht="15.75" customHeight="1" x14ac:dyDescent="0.25">
      <c r="A28" s="284"/>
      <c r="B28" s="285"/>
      <c r="C28" s="140"/>
      <c r="D28" s="140"/>
      <c r="E28" s="140"/>
      <c r="F28" s="285"/>
      <c r="G28" s="140"/>
      <c r="H28" s="140"/>
      <c r="I28" s="285"/>
      <c r="J28" s="285"/>
      <c r="K28" s="281"/>
      <c r="L28" s="140"/>
      <c r="M28" s="140"/>
      <c r="N28" s="140"/>
      <c r="O28" s="281"/>
      <c r="P28" s="140"/>
      <c r="Q28" s="140"/>
      <c r="R28" s="140"/>
      <c r="S28" s="140"/>
      <c r="T28" s="140"/>
      <c r="U28" s="140"/>
      <c r="V28" s="140"/>
      <c r="W28" s="140"/>
      <c r="X28" s="140"/>
      <c r="Y28" s="140"/>
      <c r="Z28" s="140"/>
    </row>
    <row r="29" spans="1:26" ht="15.75" customHeight="1" x14ac:dyDescent="0.25">
      <c r="A29" s="284"/>
      <c r="B29" s="285"/>
      <c r="C29" s="140"/>
      <c r="D29" s="140"/>
      <c r="E29" s="140"/>
      <c r="F29" s="285"/>
      <c r="G29" s="140"/>
      <c r="H29" s="140"/>
      <c r="I29" s="285"/>
      <c r="J29" s="285"/>
      <c r="K29" s="281"/>
      <c r="L29" s="140"/>
      <c r="M29" s="140"/>
      <c r="N29" s="140"/>
      <c r="O29" s="281"/>
      <c r="P29" s="140"/>
      <c r="Q29" s="140"/>
      <c r="R29" s="140"/>
      <c r="S29" s="140"/>
      <c r="T29" s="140"/>
      <c r="U29" s="140"/>
      <c r="V29" s="140"/>
      <c r="W29" s="140"/>
      <c r="X29" s="140"/>
      <c r="Y29" s="140"/>
      <c r="Z29" s="140"/>
    </row>
    <row r="30" spans="1:26" ht="15.75" customHeight="1" x14ac:dyDescent="0.25">
      <c r="A30" s="284"/>
      <c r="B30" s="285"/>
      <c r="C30" s="140"/>
      <c r="D30" s="140"/>
      <c r="E30" s="140"/>
      <c r="F30" s="285"/>
      <c r="G30" s="140"/>
      <c r="H30" s="140"/>
      <c r="I30" s="285"/>
      <c r="J30" s="285"/>
      <c r="K30" s="281"/>
      <c r="L30" s="140"/>
      <c r="M30" s="140"/>
      <c r="N30" s="140"/>
      <c r="O30" s="281"/>
      <c r="P30" s="140"/>
      <c r="Q30" s="140"/>
      <c r="R30" s="140"/>
      <c r="S30" s="140"/>
      <c r="T30" s="140"/>
      <c r="U30" s="140"/>
      <c r="V30" s="140"/>
      <c r="W30" s="140"/>
      <c r="X30" s="140"/>
      <c r="Y30" s="140"/>
      <c r="Z30" s="140"/>
    </row>
    <row r="31" spans="1:26" ht="15.75" customHeight="1" x14ac:dyDescent="0.25">
      <c r="A31" s="284"/>
      <c r="B31" s="285"/>
      <c r="C31" s="140"/>
      <c r="D31" s="140"/>
      <c r="E31" s="140"/>
      <c r="F31" s="285"/>
      <c r="G31" s="140"/>
      <c r="H31" s="140"/>
      <c r="I31" s="285"/>
      <c r="J31" s="285"/>
      <c r="K31" s="281"/>
      <c r="L31" s="140"/>
      <c r="M31" s="140"/>
      <c r="N31" s="140"/>
      <c r="O31" s="281"/>
      <c r="P31" s="140"/>
      <c r="Q31" s="140"/>
      <c r="R31" s="140"/>
      <c r="S31" s="140"/>
      <c r="T31" s="140"/>
      <c r="U31" s="140"/>
      <c r="V31" s="140"/>
      <c r="W31" s="140"/>
      <c r="X31" s="140"/>
      <c r="Y31" s="140"/>
      <c r="Z31" s="140"/>
    </row>
    <row r="32" spans="1:26" ht="15.75" customHeight="1" x14ac:dyDescent="0.25">
      <c r="A32" s="284"/>
      <c r="B32" s="285"/>
      <c r="C32" s="140"/>
      <c r="D32" s="140"/>
      <c r="E32" s="140"/>
      <c r="F32" s="285"/>
      <c r="G32" s="140"/>
      <c r="H32" s="140"/>
      <c r="I32" s="285"/>
      <c r="J32" s="285"/>
      <c r="K32" s="281"/>
      <c r="L32" s="140"/>
      <c r="M32" s="140"/>
      <c r="N32" s="140"/>
      <c r="O32" s="281"/>
      <c r="P32" s="140"/>
      <c r="Q32" s="140"/>
      <c r="R32" s="140"/>
      <c r="S32" s="140"/>
      <c r="T32" s="140"/>
      <c r="U32" s="140"/>
      <c r="V32" s="140"/>
      <c r="W32" s="140"/>
      <c r="X32" s="140"/>
      <c r="Y32" s="140"/>
      <c r="Z32" s="140"/>
    </row>
    <row r="33" spans="1:26" ht="15.75" customHeight="1" x14ac:dyDescent="0.25">
      <c r="A33" s="284"/>
      <c r="B33" s="285"/>
      <c r="C33" s="140"/>
      <c r="D33" s="140"/>
      <c r="E33" s="140"/>
      <c r="F33" s="285"/>
      <c r="G33" s="140"/>
      <c r="H33" s="140"/>
      <c r="I33" s="285"/>
      <c r="J33" s="285"/>
      <c r="K33" s="281"/>
      <c r="L33" s="140"/>
      <c r="M33" s="140"/>
      <c r="N33" s="140"/>
      <c r="O33" s="281"/>
      <c r="P33" s="140"/>
      <c r="Q33" s="140"/>
      <c r="R33" s="140"/>
      <c r="S33" s="140"/>
      <c r="T33" s="140"/>
      <c r="U33" s="140"/>
      <c r="V33" s="140"/>
      <c r="W33" s="140"/>
      <c r="X33" s="140"/>
      <c r="Y33" s="140"/>
      <c r="Z33" s="140"/>
    </row>
    <row r="34" spans="1:26" ht="15.75" customHeight="1" x14ac:dyDescent="0.25">
      <c r="A34" s="284"/>
      <c r="B34" s="285"/>
      <c r="C34" s="140"/>
      <c r="D34" s="140"/>
      <c r="E34" s="140"/>
      <c r="F34" s="285"/>
      <c r="G34" s="140"/>
      <c r="H34" s="140"/>
      <c r="I34" s="285"/>
      <c r="J34" s="285"/>
      <c r="K34" s="281"/>
      <c r="L34" s="140"/>
      <c r="M34" s="140"/>
      <c r="N34" s="140"/>
      <c r="O34" s="281"/>
      <c r="P34" s="140"/>
      <c r="Q34" s="140"/>
      <c r="R34" s="140"/>
      <c r="S34" s="140"/>
      <c r="T34" s="140"/>
      <c r="U34" s="140"/>
      <c r="V34" s="140"/>
      <c r="W34" s="140"/>
      <c r="X34" s="140"/>
      <c r="Y34" s="140"/>
      <c r="Z34" s="140"/>
    </row>
    <row r="35" spans="1:26" ht="15.75" customHeight="1" x14ac:dyDescent="0.25">
      <c r="A35" s="284"/>
      <c r="B35" s="285"/>
      <c r="C35" s="140"/>
      <c r="D35" s="140"/>
      <c r="E35" s="140"/>
      <c r="F35" s="285"/>
      <c r="G35" s="140"/>
      <c r="H35" s="140"/>
      <c r="I35" s="285"/>
      <c r="J35" s="285"/>
      <c r="K35" s="281"/>
      <c r="L35" s="140"/>
      <c r="M35" s="140"/>
      <c r="N35" s="140"/>
      <c r="O35" s="281"/>
      <c r="P35" s="140"/>
      <c r="Q35" s="140"/>
      <c r="R35" s="140"/>
      <c r="S35" s="140"/>
      <c r="T35" s="140"/>
      <c r="U35" s="140"/>
      <c r="V35" s="140"/>
      <c r="W35" s="140"/>
      <c r="X35" s="140"/>
      <c r="Y35" s="140"/>
      <c r="Z35" s="140"/>
    </row>
    <row r="36" spans="1:26" ht="15.75" customHeight="1" x14ac:dyDescent="0.25">
      <c r="A36" s="284"/>
      <c r="B36" s="285"/>
      <c r="C36" s="140"/>
      <c r="D36" s="140"/>
      <c r="E36" s="140"/>
      <c r="F36" s="285"/>
      <c r="G36" s="140"/>
      <c r="H36" s="140"/>
      <c r="I36" s="285"/>
      <c r="J36" s="285"/>
      <c r="K36" s="281"/>
      <c r="L36" s="140"/>
      <c r="M36" s="140"/>
      <c r="N36" s="140"/>
      <c r="O36" s="281"/>
      <c r="P36" s="140"/>
      <c r="Q36" s="140"/>
      <c r="R36" s="140"/>
      <c r="S36" s="140"/>
      <c r="T36" s="140"/>
      <c r="U36" s="140"/>
      <c r="V36" s="140"/>
      <c r="W36" s="140"/>
      <c r="X36" s="140"/>
      <c r="Y36" s="140"/>
      <c r="Z36" s="140"/>
    </row>
    <row r="37" spans="1:26" ht="15.75" customHeight="1" x14ac:dyDescent="0.25">
      <c r="A37" s="284"/>
      <c r="B37" s="285"/>
      <c r="C37" s="140"/>
      <c r="D37" s="140"/>
      <c r="E37" s="140"/>
      <c r="F37" s="285"/>
      <c r="G37" s="140"/>
      <c r="H37" s="140"/>
      <c r="I37" s="285"/>
      <c r="J37" s="285"/>
      <c r="K37" s="281"/>
      <c r="L37" s="140"/>
      <c r="M37" s="140"/>
      <c r="N37" s="140"/>
      <c r="O37" s="281"/>
      <c r="P37" s="140"/>
      <c r="Q37" s="140"/>
      <c r="R37" s="140"/>
      <c r="S37" s="140"/>
      <c r="T37" s="140"/>
      <c r="U37" s="140"/>
      <c r="V37" s="140"/>
      <c r="W37" s="140"/>
      <c r="X37" s="140"/>
      <c r="Y37" s="140"/>
      <c r="Z37" s="140"/>
    </row>
    <row r="38" spans="1:26" ht="15.75" customHeight="1" x14ac:dyDescent="0.25">
      <c r="A38" s="284"/>
      <c r="B38" s="285"/>
      <c r="C38" s="140"/>
      <c r="D38" s="140"/>
      <c r="E38" s="140"/>
      <c r="F38" s="285"/>
      <c r="G38" s="140"/>
      <c r="H38" s="140"/>
      <c r="I38" s="285"/>
      <c r="J38" s="285"/>
      <c r="K38" s="281"/>
      <c r="L38" s="140"/>
      <c r="M38" s="140"/>
      <c r="N38" s="140"/>
      <c r="O38" s="281"/>
      <c r="P38" s="140"/>
      <c r="Q38" s="140"/>
      <c r="R38" s="140"/>
      <c r="S38" s="140"/>
      <c r="T38" s="140"/>
      <c r="U38" s="140"/>
      <c r="V38" s="140"/>
      <c r="W38" s="140"/>
      <c r="X38" s="140"/>
      <c r="Y38" s="140"/>
      <c r="Z38" s="140"/>
    </row>
    <row r="39" spans="1:26" ht="15.75" customHeight="1" x14ac:dyDescent="0.25">
      <c r="A39" s="284"/>
      <c r="B39" s="285"/>
      <c r="C39" s="140"/>
      <c r="D39" s="140"/>
      <c r="E39" s="140"/>
      <c r="F39" s="285"/>
      <c r="G39" s="140"/>
      <c r="H39" s="140"/>
      <c r="I39" s="285"/>
      <c r="J39" s="285"/>
      <c r="K39" s="281"/>
      <c r="L39" s="140"/>
      <c r="M39" s="140"/>
      <c r="N39" s="140"/>
      <c r="O39" s="281"/>
      <c r="P39" s="140"/>
      <c r="Q39" s="140"/>
      <c r="R39" s="140"/>
      <c r="S39" s="140"/>
      <c r="T39" s="140"/>
      <c r="U39" s="140"/>
      <c r="V39" s="140"/>
      <c r="W39" s="140"/>
      <c r="X39" s="140"/>
      <c r="Y39" s="140"/>
      <c r="Z39" s="140"/>
    </row>
    <row r="40" spans="1:26" ht="15.75" customHeight="1" x14ac:dyDescent="0.25">
      <c r="A40" s="284"/>
      <c r="B40" s="285"/>
      <c r="C40" s="140"/>
      <c r="D40" s="140"/>
      <c r="E40" s="140"/>
      <c r="F40" s="285"/>
      <c r="G40" s="140"/>
      <c r="H40" s="140"/>
      <c r="I40" s="285"/>
      <c r="J40" s="285"/>
      <c r="K40" s="281"/>
      <c r="L40" s="140"/>
      <c r="M40" s="140"/>
      <c r="N40" s="140"/>
      <c r="O40" s="281"/>
      <c r="P40" s="140"/>
      <c r="Q40" s="140"/>
      <c r="R40" s="140"/>
      <c r="S40" s="140"/>
      <c r="T40" s="140"/>
      <c r="U40" s="140"/>
      <c r="V40" s="140"/>
      <c r="W40" s="140"/>
      <c r="X40" s="140"/>
      <c r="Y40" s="140"/>
      <c r="Z40" s="140"/>
    </row>
    <row r="41" spans="1:26" ht="15.75" customHeight="1" x14ac:dyDescent="0.25">
      <c r="A41" s="284"/>
      <c r="B41" s="285"/>
      <c r="C41" s="140"/>
      <c r="D41" s="140"/>
      <c r="E41" s="140"/>
      <c r="F41" s="285"/>
      <c r="G41" s="140"/>
      <c r="H41" s="140"/>
      <c r="I41" s="285"/>
      <c r="J41" s="285"/>
      <c r="K41" s="281"/>
      <c r="L41" s="140"/>
      <c r="M41" s="140"/>
      <c r="N41" s="140"/>
      <c r="O41" s="281"/>
      <c r="P41" s="140"/>
      <c r="Q41" s="140"/>
      <c r="R41" s="140"/>
      <c r="S41" s="140"/>
      <c r="T41" s="140"/>
      <c r="U41" s="140"/>
      <c r="V41" s="140"/>
      <c r="W41" s="140"/>
      <c r="X41" s="140"/>
      <c r="Y41" s="140"/>
      <c r="Z41" s="140"/>
    </row>
    <row r="42" spans="1:26" ht="15.75" customHeight="1" x14ac:dyDescent="0.25">
      <c r="A42" s="284"/>
      <c r="B42" s="285"/>
      <c r="C42" s="140"/>
      <c r="D42" s="140"/>
      <c r="E42" s="140"/>
      <c r="F42" s="285"/>
      <c r="G42" s="140"/>
      <c r="H42" s="140"/>
      <c r="I42" s="285"/>
      <c r="J42" s="285"/>
      <c r="K42" s="281"/>
      <c r="L42" s="140"/>
      <c r="M42" s="140"/>
      <c r="N42" s="140"/>
      <c r="O42" s="281"/>
      <c r="P42" s="140"/>
      <c r="Q42" s="140"/>
      <c r="R42" s="140"/>
      <c r="S42" s="140"/>
      <c r="T42" s="140"/>
      <c r="U42" s="140"/>
      <c r="V42" s="140"/>
      <c r="W42" s="140"/>
      <c r="X42" s="140"/>
      <c r="Y42" s="140"/>
      <c r="Z42" s="140"/>
    </row>
    <row r="43" spans="1:26" ht="15.75" customHeight="1" x14ac:dyDescent="0.25">
      <c r="A43" s="284"/>
      <c r="B43" s="285"/>
      <c r="C43" s="140"/>
      <c r="D43" s="140"/>
      <c r="E43" s="140"/>
      <c r="F43" s="285"/>
      <c r="G43" s="140"/>
      <c r="H43" s="140"/>
      <c r="I43" s="285"/>
      <c r="J43" s="285"/>
      <c r="K43" s="281"/>
      <c r="L43" s="140"/>
      <c r="M43" s="140"/>
      <c r="N43" s="140"/>
      <c r="O43" s="281"/>
      <c r="P43" s="140"/>
      <c r="Q43" s="140"/>
      <c r="R43" s="140"/>
      <c r="S43" s="140"/>
      <c r="T43" s="140"/>
      <c r="U43" s="140"/>
      <c r="V43" s="140"/>
      <c r="W43" s="140"/>
      <c r="X43" s="140"/>
      <c r="Y43" s="140"/>
      <c r="Z43" s="140"/>
    </row>
    <row r="44" spans="1:26" ht="15.75" customHeight="1" x14ac:dyDescent="0.25">
      <c r="A44" s="284"/>
      <c r="B44" s="285"/>
      <c r="C44" s="140"/>
      <c r="D44" s="140"/>
      <c r="E44" s="140"/>
      <c r="F44" s="285"/>
      <c r="G44" s="140"/>
      <c r="H44" s="140"/>
      <c r="I44" s="285"/>
      <c r="J44" s="285"/>
      <c r="K44" s="281"/>
      <c r="L44" s="140"/>
      <c r="M44" s="140"/>
      <c r="N44" s="140"/>
      <c r="O44" s="281"/>
      <c r="P44" s="140"/>
      <c r="Q44" s="140"/>
      <c r="R44" s="140"/>
      <c r="S44" s="140"/>
      <c r="T44" s="140"/>
      <c r="U44" s="140"/>
      <c r="V44" s="140"/>
      <c r="W44" s="140"/>
      <c r="X44" s="140"/>
      <c r="Y44" s="140"/>
      <c r="Z44" s="140"/>
    </row>
    <row r="45" spans="1:26" ht="15.75" customHeight="1" x14ac:dyDescent="0.25">
      <c r="A45" s="284"/>
      <c r="B45" s="285"/>
      <c r="C45" s="140"/>
      <c r="D45" s="140"/>
      <c r="E45" s="140"/>
      <c r="F45" s="285"/>
      <c r="G45" s="140"/>
      <c r="H45" s="140"/>
      <c r="I45" s="285"/>
      <c r="J45" s="285"/>
      <c r="K45" s="281"/>
      <c r="L45" s="140"/>
      <c r="M45" s="140"/>
      <c r="N45" s="140"/>
      <c r="O45" s="281"/>
      <c r="P45" s="140"/>
      <c r="Q45" s="140"/>
      <c r="R45" s="140"/>
      <c r="S45" s="140"/>
      <c r="T45" s="140"/>
      <c r="U45" s="140"/>
      <c r="V45" s="140"/>
      <c r="W45" s="140"/>
      <c r="X45" s="140"/>
      <c r="Y45" s="140"/>
      <c r="Z45" s="140"/>
    </row>
    <row r="46" spans="1:26" ht="15.75" customHeight="1" x14ac:dyDescent="0.25">
      <c r="A46" s="284"/>
      <c r="B46" s="285"/>
      <c r="C46" s="140"/>
      <c r="D46" s="140"/>
      <c r="E46" s="140"/>
      <c r="F46" s="285"/>
      <c r="G46" s="140"/>
      <c r="H46" s="140"/>
      <c r="I46" s="285"/>
      <c r="J46" s="285"/>
      <c r="K46" s="281"/>
      <c r="L46" s="140"/>
      <c r="M46" s="140"/>
      <c r="N46" s="140"/>
      <c r="O46" s="281"/>
      <c r="P46" s="140"/>
      <c r="Q46" s="140"/>
      <c r="R46" s="140"/>
      <c r="S46" s="140"/>
      <c r="T46" s="140"/>
      <c r="U46" s="140"/>
      <c r="V46" s="140"/>
      <c r="W46" s="140"/>
      <c r="X46" s="140"/>
      <c r="Y46" s="140"/>
      <c r="Z46" s="140"/>
    </row>
    <row r="47" spans="1:26" ht="15.75" customHeight="1" x14ac:dyDescent="0.25">
      <c r="A47" s="284"/>
      <c r="B47" s="285"/>
      <c r="C47" s="140"/>
      <c r="D47" s="140"/>
      <c r="E47" s="140"/>
      <c r="F47" s="285"/>
      <c r="G47" s="140"/>
      <c r="H47" s="140"/>
      <c r="I47" s="285"/>
      <c r="J47" s="285"/>
      <c r="K47" s="281"/>
      <c r="L47" s="140"/>
      <c r="M47" s="140"/>
      <c r="N47" s="140"/>
      <c r="O47" s="281"/>
      <c r="P47" s="140"/>
      <c r="Q47" s="140"/>
      <c r="R47" s="140"/>
      <c r="S47" s="140"/>
      <c r="T47" s="140"/>
      <c r="U47" s="140"/>
      <c r="V47" s="140"/>
      <c r="W47" s="140"/>
      <c r="X47" s="140"/>
      <c r="Y47" s="140"/>
      <c r="Z47" s="140"/>
    </row>
    <row r="48" spans="1:26" ht="15.75" customHeight="1" x14ac:dyDescent="0.25">
      <c r="A48" s="284"/>
      <c r="B48" s="285"/>
      <c r="C48" s="140"/>
      <c r="D48" s="140"/>
      <c r="E48" s="140"/>
      <c r="F48" s="285"/>
      <c r="G48" s="140"/>
      <c r="H48" s="140"/>
      <c r="I48" s="285"/>
      <c r="J48" s="285"/>
      <c r="K48" s="281"/>
      <c r="L48" s="140"/>
      <c r="M48" s="140"/>
      <c r="N48" s="140"/>
      <c r="O48" s="281"/>
      <c r="P48" s="140"/>
      <c r="Q48" s="140"/>
      <c r="R48" s="140"/>
      <c r="S48" s="140"/>
      <c r="T48" s="140"/>
      <c r="U48" s="140"/>
      <c r="V48" s="140"/>
      <c r="W48" s="140"/>
      <c r="X48" s="140"/>
      <c r="Y48" s="140"/>
      <c r="Z48" s="140"/>
    </row>
    <row r="49" spans="1:26" ht="15.75" customHeight="1" x14ac:dyDescent="0.25">
      <c r="A49" s="284"/>
      <c r="B49" s="285"/>
      <c r="C49" s="140"/>
      <c r="D49" s="140"/>
      <c r="E49" s="140"/>
      <c r="F49" s="285"/>
      <c r="G49" s="140"/>
      <c r="H49" s="140"/>
      <c r="I49" s="285"/>
      <c r="J49" s="285"/>
      <c r="K49" s="281"/>
      <c r="L49" s="140"/>
      <c r="M49" s="140"/>
      <c r="N49" s="140"/>
      <c r="O49" s="281"/>
      <c r="P49" s="140"/>
      <c r="Q49" s="140"/>
      <c r="R49" s="140"/>
      <c r="S49" s="140"/>
      <c r="T49" s="140"/>
      <c r="U49" s="140"/>
      <c r="V49" s="140"/>
      <c r="W49" s="140"/>
      <c r="X49" s="140"/>
      <c r="Y49" s="140"/>
      <c r="Z49" s="140"/>
    </row>
    <row r="50" spans="1:26" ht="15.75" customHeight="1" x14ac:dyDescent="0.25">
      <c r="A50" s="284"/>
      <c r="B50" s="285"/>
      <c r="C50" s="140"/>
      <c r="D50" s="140"/>
      <c r="E50" s="140"/>
      <c r="F50" s="285"/>
      <c r="G50" s="140"/>
      <c r="H50" s="140"/>
      <c r="I50" s="285"/>
      <c r="J50" s="285"/>
      <c r="K50" s="281"/>
      <c r="L50" s="140"/>
      <c r="M50" s="140"/>
      <c r="N50" s="140"/>
      <c r="O50" s="281"/>
      <c r="P50" s="140"/>
      <c r="Q50" s="140"/>
      <c r="R50" s="140"/>
      <c r="S50" s="140"/>
      <c r="T50" s="140"/>
      <c r="U50" s="140"/>
      <c r="V50" s="140"/>
      <c r="W50" s="140"/>
      <c r="X50" s="140"/>
      <c r="Y50" s="140"/>
      <c r="Z50" s="140"/>
    </row>
    <row r="51" spans="1:26" ht="15.75" customHeight="1" x14ac:dyDescent="0.25">
      <c r="A51" s="284"/>
      <c r="B51" s="285"/>
      <c r="C51" s="140"/>
      <c r="D51" s="140"/>
      <c r="E51" s="140"/>
      <c r="F51" s="285"/>
      <c r="G51" s="140"/>
      <c r="H51" s="140"/>
      <c r="I51" s="285"/>
      <c r="J51" s="285"/>
      <c r="K51" s="281"/>
      <c r="L51" s="140"/>
      <c r="M51" s="140"/>
      <c r="N51" s="140"/>
      <c r="O51" s="281"/>
      <c r="P51" s="140"/>
      <c r="Q51" s="140"/>
      <c r="R51" s="140"/>
      <c r="S51" s="140"/>
      <c r="T51" s="140"/>
      <c r="U51" s="140"/>
      <c r="V51" s="140"/>
      <c r="W51" s="140"/>
      <c r="X51" s="140"/>
      <c r="Y51" s="140"/>
      <c r="Z51" s="140"/>
    </row>
    <row r="52" spans="1:26" ht="15.75" customHeight="1" x14ac:dyDescent="0.25">
      <c r="A52" s="284"/>
      <c r="B52" s="285"/>
      <c r="C52" s="140"/>
      <c r="D52" s="140"/>
      <c r="E52" s="140"/>
      <c r="F52" s="285"/>
      <c r="G52" s="140"/>
      <c r="H52" s="140"/>
      <c r="I52" s="285"/>
      <c r="J52" s="285"/>
      <c r="K52" s="281"/>
      <c r="L52" s="140"/>
      <c r="M52" s="140"/>
      <c r="N52" s="140"/>
      <c r="O52" s="281"/>
      <c r="P52" s="140"/>
      <c r="Q52" s="140"/>
      <c r="R52" s="140"/>
      <c r="S52" s="140"/>
      <c r="T52" s="140"/>
      <c r="U52" s="140"/>
      <c r="V52" s="140"/>
      <c r="W52" s="140"/>
      <c r="X52" s="140"/>
      <c r="Y52" s="140"/>
      <c r="Z52" s="140"/>
    </row>
    <row r="53" spans="1:26" ht="15.75" customHeight="1" x14ac:dyDescent="0.25">
      <c r="A53" s="284"/>
      <c r="B53" s="285"/>
      <c r="C53" s="140"/>
      <c r="D53" s="140"/>
      <c r="E53" s="140"/>
      <c r="F53" s="285"/>
      <c r="G53" s="140"/>
      <c r="H53" s="140"/>
      <c r="I53" s="285"/>
      <c r="J53" s="285"/>
      <c r="K53" s="281"/>
      <c r="L53" s="140"/>
      <c r="M53" s="140"/>
      <c r="N53" s="140"/>
      <c r="O53" s="281"/>
      <c r="P53" s="140"/>
      <c r="Q53" s="140"/>
      <c r="R53" s="140"/>
      <c r="S53" s="140"/>
      <c r="T53" s="140"/>
      <c r="U53" s="140"/>
      <c r="V53" s="140"/>
      <c r="W53" s="140"/>
      <c r="X53" s="140"/>
      <c r="Y53" s="140"/>
      <c r="Z53" s="140"/>
    </row>
    <row r="54" spans="1:26" ht="15.75" customHeight="1" x14ac:dyDescent="0.25">
      <c r="A54" s="284"/>
      <c r="B54" s="285"/>
      <c r="C54" s="140"/>
      <c r="D54" s="140"/>
      <c r="E54" s="140"/>
      <c r="F54" s="285"/>
      <c r="G54" s="140"/>
      <c r="H54" s="140"/>
      <c r="I54" s="285"/>
      <c r="J54" s="285"/>
      <c r="K54" s="281"/>
      <c r="L54" s="140"/>
      <c r="M54" s="140"/>
      <c r="N54" s="140"/>
      <c r="O54" s="281"/>
      <c r="P54" s="140"/>
      <c r="Q54" s="140"/>
      <c r="R54" s="140"/>
      <c r="S54" s="140"/>
      <c r="T54" s="140"/>
      <c r="U54" s="140"/>
      <c r="V54" s="140"/>
      <c r="W54" s="140"/>
      <c r="X54" s="140"/>
      <c r="Y54" s="140"/>
      <c r="Z54" s="140"/>
    </row>
    <row r="55" spans="1:26" ht="15.75" customHeight="1" x14ac:dyDescent="0.25">
      <c r="A55" s="284"/>
      <c r="B55" s="285"/>
      <c r="C55" s="140"/>
      <c r="D55" s="140"/>
      <c r="E55" s="140"/>
      <c r="F55" s="285"/>
      <c r="G55" s="140"/>
      <c r="H55" s="140"/>
      <c r="I55" s="285"/>
      <c r="J55" s="285"/>
      <c r="K55" s="281"/>
      <c r="L55" s="140"/>
      <c r="M55" s="140"/>
      <c r="N55" s="140"/>
      <c r="O55" s="281"/>
      <c r="P55" s="140"/>
      <c r="Q55" s="140"/>
      <c r="R55" s="140"/>
      <c r="S55" s="140"/>
      <c r="T55" s="140"/>
      <c r="U55" s="140"/>
      <c r="V55" s="140"/>
      <c r="W55" s="140"/>
      <c r="X55" s="140"/>
      <c r="Y55" s="140"/>
      <c r="Z55" s="140"/>
    </row>
    <row r="56" spans="1:26" ht="15.75" customHeight="1" x14ac:dyDescent="0.25">
      <c r="A56" s="284"/>
      <c r="B56" s="285"/>
      <c r="C56" s="140"/>
      <c r="D56" s="140"/>
      <c r="E56" s="140"/>
      <c r="F56" s="285"/>
      <c r="G56" s="140"/>
      <c r="H56" s="140"/>
      <c r="I56" s="285"/>
      <c r="J56" s="285"/>
      <c r="K56" s="281"/>
      <c r="L56" s="140"/>
      <c r="M56" s="140"/>
      <c r="N56" s="140"/>
      <c r="O56" s="281"/>
      <c r="P56" s="140"/>
      <c r="Q56" s="140"/>
      <c r="R56" s="140"/>
      <c r="S56" s="140"/>
      <c r="T56" s="140"/>
      <c r="U56" s="140"/>
      <c r="V56" s="140"/>
      <c r="W56" s="140"/>
      <c r="X56" s="140"/>
      <c r="Y56" s="140"/>
      <c r="Z56" s="140"/>
    </row>
    <row r="57" spans="1:26" ht="15.75" customHeight="1" x14ac:dyDescent="0.25">
      <c r="A57" s="284"/>
      <c r="B57" s="285"/>
      <c r="C57" s="140"/>
      <c r="D57" s="140"/>
      <c r="E57" s="140"/>
      <c r="F57" s="285"/>
      <c r="G57" s="140"/>
      <c r="H57" s="140"/>
      <c r="I57" s="285"/>
      <c r="J57" s="285"/>
      <c r="K57" s="281"/>
      <c r="L57" s="140"/>
      <c r="M57" s="140"/>
      <c r="N57" s="140"/>
      <c r="O57" s="281"/>
      <c r="P57" s="140"/>
      <c r="Q57" s="140"/>
      <c r="R57" s="140"/>
      <c r="S57" s="140"/>
      <c r="T57" s="140"/>
      <c r="U57" s="140"/>
      <c r="V57" s="140"/>
      <c r="W57" s="140"/>
      <c r="X57" s="140"/>
      <c r="Y57" s="140"/>
      <c r="Z57" s="140"/>
    </row>
    <row r="58" spans="1:26" ht="15.75" customHeight="1" x14ac:dyDescent="0.25">
      <c r="A58" s="284"/>
      <c r="B58" s="285"/>
      <c r="C58" s="140"/>
      <c r="D58" s="140"/>
      <c r="E58" s="140"/>
      <c r="F58" s="285"/>
      <c r="G58" s="140"/>
      <c r="H58" s="140"/>
      <c r="I58" s="285"/>
      <c r="J58" s="285"/>
      <c r="K58" s="281"/>
      <c r="L58" s="140"/>
      <c r="M58" s="140"/>
      <c r="N58" s="140"/>
      <c r="O58" s="281"/>
      <c r="P58" s="140"/>
      <c r="Q58" s="140"/>
      <c r="R58" s="140"/>
      <c r="S58" s="140"/>
      <c r="T58" s="140"/>
      <c r="U58" s="140"/>
      <c r="V58" s="140"/>
      <c r="W58" s="140"/>
      <c r="X58" s="140"/>
      <c r="Y58" s="140"/>
      <c r="Z58" s="140"/>
    </row>
    <row r="59" spans="1:26" ht="15.75" customHeight="1" x14ac:dyDescent="0.25">
      <c r="A59" s="284"/>
      <c r="B59" s="285"/>
      <c r="C59" s="140"/>
      <c r="D59" s="140"/>
      <c r="E59" s="140"/>
      <c r="F59" s="285"/>
      <c r="G59" s="140"/>
      <c r="H59" s="140"/>
      <c r="I59" s="285"/>
      <c r="J59" s="285"/>
      <c r="K59" s="281"/>
      <c r="L59" s="140"/>
      <c r="M59" s="140"/>
      <c r="N59" s="140"/>
      <c r="O59" s="281"/>
      <c r="P59" s="140"/>
      <c r="Q59" s="140"/>
      <c r="R59" s="140"/>
      <c r="S59" s="140"/>
      <c r="T59" s="140"/>
      <c r="U59" s="140"/>
      <c r="V59" s="140"/>
      <c r="W59" s="140"/>
      <c r="X59" s="140"/>
      <c r="Y59" s="140"/>
      <c r="Z59" s="140"/>
    </row>
    <row r="60" spans="1:26" ht="15.75" customHeight="1" x14ac:dyDescent="0.25">
      <c r="A60" s="284"/>
      <c r="B60" s="285"/>
      <c r="C60" s="140"/>
      <c r="D60" s="140"/>
      <c r="E60" s="140"/>
      <c r="F60" s="285"/>
      <c r="G60" s="140"/>
      <c r="H60" s="140"/>
      <c r="I60" s="285"/>
      <c r="J60" s="285"/>
      <c r="K60" s="281"/>
      <c r="L60" s="140"/>
      <c r="M60" s="140"/>
      <c r="N60" s="140"/>
      <c r="O60" s="281"/>
      <c r="P60" s="140"/>
      <c r="Q60" s="140"/>
      <c r="R60" s="140"/>
      <c r="S60" s="140"/>
      <c r="T60" s="140"/>
      <c r="U60" s="140"/>
      <c r="V60" s="140"/>
      <c r="W60" s="140"/>
      <c r="X60" s="140"/>
      <c r="Y60" s="140"/>
      <c r="Z60" s="140"/>
    </row>
    <row r="61" spans="1:26" ht="15.75" customHeight="1" x14ac:dyDescent="0.25">
      <c r="A61" s="284"/>
      <c r="B61" s="285"/>
      <c r="C61" s="140"/>
      <c r="D61" s="140"/>
      <c r="E61" s="140"/>
      <c r="F61" s="285"/>
      <c r="G61" s="140"/>
      <c r="H61" s="140"/>
      <c r="I61" s="285"/>
      <c r="J61" s="285"/>
      <c r="K61" s="281"/>
      <c r="L61" s="140"/>
      <c r="M61" s="140"/>
      <c r="N61" s="140"/>
      <c r="O61" s="281"/>
      <c r="P61" s="140"/>
      <c r="Q61" s="140"/>
      <c r="R61" s="140"/>
      <c r="S61" s="140"/>
      <c r="T61" s="140"/>
      <c r="U61" s="140"/>
      <c r="V61" s="140"/>
      <c r="W61" s="140"/>
      <c r="X61" s="140"/>
      <c r="Y61" s="140"/>
      <c r="Z61" s="140"/>
    </row>
    <row r="62" spans="1:26" ht="15.75" customHeight="1" x14ac:dyDescent="0.25">
      <c r="A62" s="284"/>
      <c r="B62" s="285"/>
      <c r="C62" s="140"/>
      <c r="D62" s="140"/>
      <c r="E62" s="140"/>
      <c r="F62" s="285"/>
      <c r="G62" s="140"/>
      <c r="H62" s="140"/>
      <c r="I62" s="285"/>
      <c r="J62" s="285"/>
      <c r="K62" s="281"/>
      <c r="L62" s="140"/>
      <c r="M62" s="140"/>
      <c r="N62" s="140"/>
      <c r="O62" s="281"/>
      <c r="P62" s="140"/>
      <c r="Q62" s="140"/>
      <c r="R62" s="140"/>
      <c r="S62" s="140"/>
      <c r="T62" s="140"/>
      <c r="U62" s="140"/>
      <c r="V62" s="140"/>
      <c r="W62" s="140"/>
      <c r="X62" s="140"/>
      <c r="Y62" s="140"/>
      <c r="Z62" s="140"/>
    </row>
    <row r="63" spans="1:26" ht="15.75" customHeight="1" x14ac:dyDescent="0.25">
      <c r="A63" s="284"/>
      <c r="B63" s="285"/>
      <c r="C63" s="140"/>
      <c r="D63" s="140"/>
      <c r="E63" s="140"/>
      <c r="F63" s="285"/>
      <c r="G63" s="140"/>
      <c r="H63" s="140"/>
      <c r="I63" s="285"/>
      <c r="J63" s="285"/>
      <c r="K63" s="281"/>
      <c r="L63" s="140"/>
      <c r="M63" s="140"/>
      <c r="N63" s="140"/>
      <c r="O63" s="281"/>
      <c r="P63" s="140"/>
      <c r="Q63" s="140"/>
      <c r="R63" s="140"/>
      <c r="S63" s="140"/>
      <c r="T63" s="140"/>
      <c r="U63" s="140"/>
      <c r="V63" s="140"/>
      <c r="W63" s="140"/>
      <c r="X63" s="140"/>
      <c r="Y63" s="140"/>
      <c r="Z63" s="140"/>
    </row>
    <row r="64" spans="1:26" ht="15.75" customHeight="1" x14ac:dyDescent="0.25">
      <c r="A64" s="284"/>
      <c r="B64" s="285"/>
      <c r="C64" s="140"/>
      <c r="D64" s="140"/>
      <c r="E64" s="140"/>
      <c r="F64" s="285"/>
      <c r="G64" s="140"/>
      <c r="H64" s="140"/>
      <c r="I64" s="285"/>
      <c r="J64" s="285"/>
      <c r="K64" s="281"/>
      <c r="L64" s="140"/>
      <c r="M64" s="140"/>
      <c r="N64" s="140"/>
      <c r="O64" s="281"/>
      <c r="P64" s="140"/>
      <c r="Q64" s="140"/>
      <c r="R64" s="140"/>
      <c r="S64" s="140"/>
      <c r="T64" s="140"/>
      <c r="U64" s="140"/>
      <c r="V64" s="140"/>
      <c r="W64" s="140"/>
      <c r="X64" s="140"/>
      <c r="Y64" s="140"/>
      <c r="Z64" s="140"/>
    </row>
    <row r="65" spans="1:26" ht="15.75" customHeight="1" x14ac:dyDescent="0.25">
      <c r="A65" s="284"/>
      <c r="B65" s="285"/>
      <c r="C65" s="140"/>
      <c r="D65" s="140"/>
      <c r="E65" s="140"/>
      <c r="F65" s="285"/>
      <c r="G65" s="140"/>
      <c r="H65" s="140"/>
      <c r="I65" s="285"/>
      <c r="J65" s="285"/>
      <c r="K65" s="281"/>
      <c r="L65" s="140"/>
      <c r="M65" s="140"/>
      <c r="N65" s="140"/>
      <c r="O65" s="281"/>
      <c r="P65" s="140"/>
      <c r="Q65" s="140"/>
      <c r="R65" s="140"/>
      <c r="S65" s="140"/>
      <c r="T65" s="140"/>
      <c r="U65" s="140"/>
      <c r="V65" s="140"/>
      <c r="W65" s="140"/>
      <c r="X65" s="140"/>
      <c r="Y65" s="140"/>
      <c r="Z65" s="140"/>
    </row>
    <row r="66" spans="1:26" ht="15.75" customHeight="1" x14ac:dyDescent="0.25">
      <c r="A66" s="284"/>
      <c r="B66" s="285"/>
      <c r="C66" s="140"/>
      <c r="D66" s="140"/>
      <c r="E66" s="140"/>
      <c r="F66" s="285"/>
      <c r="G66" s="140"/>
      <c r="H66" s="140"/>
      <c r="I66" s="285"/>
      <c r="J66" s="285"/>
      <c r="K66" s="281"/>
      <c r="L66" s="140"/>
      <c r="M66" s="140"/>
      <c r="N66" s="140"/>
      <c r="O66" s="281"/>
      <c r="P66" s="140"/>
      <c r="Q66" s="140"/>
      <c r="R66" s="140"/>
      <c r="S66" s="140"/>
      <c r="T66" s="140"/>
      <c r="U66" s="140"/>
      <c r="V66" s="140"/>
      <c r="W66" s="140"/>
      <c r="X66" s="140"/>
      <c r="Y66" s="140"/>
      <c r="Z66" s="140"/>
    </row>
    <row r="67" spans="1:26" ht="15.75" customHeight="1" x14ac:dyDescent="0.25">
      <c r="A67" s="284"/>
      <c r="B67" s="285"/>
      <c r="C67" s="140"/>
      <c r="D67" s="140"/>
      <c r="E67" s="140"/>
      <c r="F67" s="285"/>
      <c r="G67" s="140"/>
      <c r="H67" s="140"/>
      <c r="I67" s="285"/>
      <c r="J67" s="285"/>
      <c r="K67" s="281"/>
      <c r="L67" s="140"/>
      <c r="M67" s="140"/>
      <c r="N67" s="140"/>
      <c r="O67" s="281"/>
      <c r="P67" s="140"/>
      <c r="Q67" s="140"/>
      <c r="R67" s="140"/>
      <c r="S67" s="140"/>
      <c r="T67" s="140"/>
      <c r="U67" s="140"/>
      <c r="V67" s="140"/>
      <c r="W67" s="140"/>
      <c r="X67" s="140"/>
      <c r="Y67" s="140"/>
      <c r="Z67" s="140"/>
    </row>
    <row r="68" spans="1:26" ht="15.75" customHeight="1" x14ac:dyDescent="0.25">
      <c r="A68" s="284"/>
      <c r="B68" s="285"/>
      <c r="C68" s="140"/>
      <c r="D68" s="140"/>
      <c r="E68" s="140"/>
      <c r="F68" s="285"/>
      <c r="G68" s="140"/>
      <c r="H68" s="140"/>
      <c r="I68" s="285"/>
      <c r="J68" s="285"/>
      <c r="K68" s="281"/>
      <c r="L68" s="140"/>
      <c r="M68" s="140"/>
      <c r="N68" s="140"/>
      <c r="O68" s="281"/>
      <c r="P68" s="140"/>
      <c r="Q68" s="140"/>
      <c r="R68" s="140"/>
      <c r="S68" s="140"/>
      <c r="T68" s="140"/>
      <c r="U68" s="140"/>
      <c r="V68" s="140"/>
      <c r="W68" s="140"/>
      <c r="X68" s="140"/>
      <c r="Y68" s="140"/>
      <c r="Z68" s="140"/>
    </row>
    <row r="69" spans="1:26" ht="15.75" customHeight="1" x14ac:dyDescent="0.25">
      <c r="A69" s="284"/>
      <c r="B69" s="285"/>
      <c r="C69" s="140"/>
      <c r="D69" s="140"/>
      <c r="E69" s="140"/>
      <c r="F69" s="285"/>
      <c r="G69" s="140"/>
      <c r="H69" s="140"/>
      <c r="I69" s="285"/>
      <c r="J69" s="285"/>
      <c r="K69" s="281"/>
      <c r="L69" s="140"/>
      <c r="M69" s="140"/>
      <c r="N69" s="140"/>
      <c r="O69" s="281"/>
      <c r="P69" s="140"/>
      <c r="Q69" s="140"/>
      <c r="R69" s="140"/>
      <c r="S69" s="140"/>
      <c r="T69" s="140"/>
      <c r="U69" s="140"/>
      <c r="V69" s="140"/>
      <c r="W69" s="140"/>
      <c r="X69" s="140"/>
      <c r="Y69" s="140"/>
      <c r="Z69" s="140"/>
    </row>
    <row r="70" spans="1:26" ht="15.75" customHeight="1" x14ac:dyDescent="0.25">
      <c r="A70" s="284"/>
      <c r="B70" s="285"/>
      <c r="C70" s="140"/>
      <c r="D70" s="140"/>
      <c r="E70" s="140"/>
      <c r="F70" s="285"/>
      <c r="G70" s="140"/>
      <c r="H70" s="140"/>
      <c r="I70" s="285"/>
      <c r="J70" s="285"/>
      <c r="K70" s="281"/>
      <c r="L70" s="140"/>
      <c r="M70" s="140"/>
      <c r="N70" s="140"/>
      <c r="O70" s="281"/>
      <c r="P70" s="140"/>
      <c r="Q70" s="140"/>
      <c r="R70" s="140"/>
      <c r="S70" s="140"/>
      <c r="T70" s="140"/>
      <c r="U70" s="140"/>
      <c r="V70" s="140"/>
      <c r="W70" s="140"/>
      <c r="X70" s="140"/>
      <c r="Y70" s="140"/>
      <c r="Z70" s="140"/>
    </row>
    <row r="71" spans="1:26" ht="15.75" customHeight="1" x14ac:dyDescent="0.25">
      <c r="A71" s="284"/>
      <c r="B71" s="285"/>
      <c r="C71" s="140"/>
      <c r="D71" s="140"/>
      <c r="E71" s="140"/>
      <c r="F71" s="285"/>
      <c r="G71" s="140"/>
      <c r="H71" s="140"/>
      <c r="I71" s="285"/>
      <c r="J71" s="285"/>
      <c r="K71" s="281"/>
      <c r="L71" s="140"/>
      <c r="M71" s="140"/>
      <c r="N71" s="140"/>
      <c r="O71" s="281"/>
      <c r="P71" s="140"/>
      <c r="Q71" s="140"/>
      <c r="R71" s="140"/>
      <c r="S71" s="140"/>
      <c r="T71" s="140"/>
      <c r="U71" s="140"/>
      <c r="V71" s="140"/>
      <c r="W71" s="140"/>
      <c r="X71" s="140"/>
      <c r="Y71" s="140"/>
      <c r="Z71" s="140"/>
    </row>
    <row r="72" spans="1:26" ht="15.75" customHeight="1" x14ac:dyDescent="0.25">
      <c r="A72" s="284"/>
      <c r="B72" s="285"/>
      <c r="C72" s="140"/>
      <c r="D72" s="140"/>
      <c r="E72" s="140"/>
      <c r="F72" s="285"/>
      <c r="G72" s="140"/>
      <c r="H72" s="140"/>
      <c r="I72" s="285"/>
      <c r="J72" s="285"/>
      <c r="K72" s="281"/>
      <c r="L72" s="140"/>
      <c r="M72" s="140"/>
      <c r="N72" s="140"/>
      <c r="O72" s="281"/>
      <c r="P72" s="140"/>
      <c r="Q72" s="140"/>
      <c r="R72" s="140"/>
      <c r="S72" s="140"/>
      <c r="T72" s="140"/>
      <c r="U72" s="140"/>
      <c r="V72" s="140"/>
      <c r="W72" s="140"/>
      <c r="X72" s="140"/>
      <c r="Y72" s="140"/>
      <c r="Z72" s="140"/>
    </row>
    <row r="73" spans="1:26" ht="15.75" customHeight="1" x14ac:dyDescent="0.25">
      <c r="A73" s="284"/>
      <c r="B73" s="285"/>
      <c r="C73" s="140"/>
      <c r="D73" s="140"/>
      <c r="E73" s="140"/>
      <c r="F73" s="285"/>
      <c r="G73" s="140"/>
      <c r="H73" s="140"/>
      <c r="I73" s="285"/>
      <c r="J73" s="285"/>
      <c r="K73" s="281"/>
      <c r="L73" s="140"/>
      <c r="M73" s="140"/>
      <c r="N73" s="140"/>
      <c r="O73" s="281"/>
      <c r="P73" s="140"/>
      <c r="Q73" s="140"/>
      <c r="R73" s="140"/>
      <c r="S73" s="140"/>
      <c r="T73" s="140"/>
      <c r="U73" s="140"/>
      <c r="V73" s="140"/>
      <c r="W73" s="140"/>
      <c r="X73" s="140"/>
      <c r="Y73" s="140"/>
      <c r="Z73" s="140"/>
    </row>
    <row r="74" spans="1:26" ht="15.75" customHeight="1" x14ac:dyDescent="0.25">
      <c r="A74" s="284"/>
      <c r="B74" s="285"/>
      <c r="C74" s="140"/>
      <c r="D74" s="140"/>
      <c r="E74" s="140"/>
      <c r="F74" s="285"/>
      <c r="G74" s="140"/>
      <c r="H74" s="140"/>
      <c r="I74" s="285"/>
      <c r="J74" s="285"/>
      <c r="K74" s="281"/>
      <c r="L74" s="140"/>
      <c r="M74" s="140"/>
      <c r="N74" s="140"/>
      <c r="O74" s="281"/>
      <c r="P74" s="140"/>
      <c r="Q74" s="140"/>
      <c r="R74" s="140"/>
      <c r="S74" s="140"/>
      <c r="T74" s="140"/>
      <c r="U74" s="140"/>
      <c r="V74" s="140"/>
      <c r="W74" s="140"/>
      <c r="X74" s="140"/>
      <c r="Y74" s="140"/>
      <c r="Z74" s="140"/>
    </row>
    <row r="75" spans="1:26" ht="15.75" customHeight="1" x14ac:dyDescent="0.25">
      <c r="A75" s="284"/>
      <c r="B75" s="285"/>
      <c r="C75" s="140"/>
      <c r="D75" s="140"/>
      <c r="E75" s="140"/>
      <c r="F75" s="285"/>
      <c r="G75" s="140"/>
      <c r="H75" s="140"/>
      <c r="I75" s="285"/>
      <c r="J75" s="285"/>
      <c r="K75" s="281"/>
      <c r="L75" s="140"/>
      <c r="M75" s="140"/>
      <c r="N75" s="140"/>
      <c r="O75" s="281"/>
      <c r="P75" s="140"/>
      <c r="Q75" s="140"/>
      <c r="R75" s="140"/>
      <c r="S75" s="140"/>
      <c r="T75" s="140"/>
      <c r="U75" s="140"/>
      <c r="V75" s="140"/>
      <c r="W75" s="140"/>
      <c r="X75" s="140"/>
      <c r="Y75" s="140"/>
      <c r="Z75" s="140"/>
    </row>
    <row r="76" spans="1:26" ht="15.75" customHeight="1" x14ac:dyDescent="0.25">
      <c r="A76" s="284"/>
      <c r="B76" s="285"/>
      <c r="C76" s="140"/>
      <c r="D76" s="140"/>
      <c r="E76" s="140"/>
      <c r="F76" s="285"/>
      <c r="G76" s="140"/>
      <c r="H76" s="140"/>
      <c r="I76" s="285"/>
      <c r="J76" s="285"/>
      <c r="K76" s="281"/>
      <c r="L76" s="140"/>
      <c r="M76" s="140"/>
      <c r="N76" s="140"/>
      <c r="O76" s="281"/>
      <c r="P76" s="140"/>
      <c r="Q76" s="140"/>
      <c r="R76" s="140"/>
      <c r="S76" s="140"/>
      <c r="T76" s="140"/>
      <c r="U76" s="140"/>
      <c r="V76" s="140"/>
      <c r="W76" s="140"/>
      <c r="X76" s="140"/>
      <c r="Y76" s="140"/>
      <c r="Z76" s="140"/>
    </row>
    <row r="77" spans="1:26" ht="15.75" customHeight="1" x14ac:dyDescent="0.25">
      <c r="A77" s="284"/>
      <c r="B77" s="285"/>
      <c r="C77" s="140"/>
      <c r="D77" s="140"/>
      <c r="E77" s="140"/>
      <c r="F77" s="285"/>
      <c r="G77" s="140"/>
      <c r="H77" s="140"/>
      <c r="I77" s="285"/>
      <c r="J77" s="285"/>
      <c r="K77" s="281"/>
      <c r="L77" s="140"/>
      <c r="M77" s="140"/>
      <c r="N77" s="140"/>
      <c r="O77" s="281"/>
      <c r="P77" s="140"/>
      <c r="Q77" s="140"/>
      <c r="R77" s="140"/>
      <c r="S77" s="140"/>
      <c r="T77" s="140"/>
      <c r="U77" s="140"/>
      <c r="V77" s="140"/>
      <c r="W77" s="140"/>
      <c r="X77" s="140"/>
      <c r="Y77" s="140"/>
      <c r="Z77" s="140"/>
    </row>
    <row r="78" spans="1:26" ht="15.75" customHeight="1" x14ac:dyDescent="0.25">
      <c r="A78" s="284"/>
      <c r="B78" s="285"/>
      <c r="C78" s="140"/>
      <c r="D78" s="140"/>
      <c r="E78" s="140"/>
      <c r="F78" s="285"/>
      <c r="G78" s="140"/>
      <c r="H78" s="140"/>
      <c r="I78" s="285"/>
      <c r="J78" s="285"/>
      <c r="K78" s="281"/>
      <c r="L78" s="140"/>
      <c r="M78" s="140"/>
      <c r="N78" s="140"/>
      <c r="O78" s="281"/>
      <c r="P78" s="140"/>
      <c r="Q78" s="140"/>
      <c r="R78" s="140"/>
      <c r="S78" s="140"/>
      <c r="T78" s="140"/>
      <c r="U78" s="140"/>
      <c r="V78" s="140"/>
      <c r="W78" s="140"/>
      <c r="X78" s="140"/>
      <c r="Y78" s="140"/>
      <c r="Z78" s="140"/>
    </row>
    <row r="79" spans="1:26" ht="15.75" customHeight="1" x14ac:dyDescent="0.25">
      <c r="A79" s="284"/>
      <c r="B79" s="285"/>
      <c r="C79" s="140"/>
      <c r="D79" s="140"/>
      <c r="E79" s="140"/>
      <c r="F79" s="285"/>
      <c r="G79" s="140"/>
      <c r="H79" s="140"/>
      <c r="I79" s="285"/>
      <c r="J79" s="285"/>
      <c r="K79" s="281"/>
      <c r="L79" s="140"/>
      <c r="M79" s="140"/>
      <c r="N79" s="140"/>
      <c r="O79" s="281"/>
      <c r="P79" s="140"/>
      <c r="Q79" s="140"/>
      <c r="R79" s="140"/>
      <c r="S79" s="140"/>
      <c r="T79" s="140"/>
      <c r="U79" s="140"/>
      <c r="V79" s="140"/>
      <c r="W79" s="140"/>
      <c r="X79" s="140"/>
      <c r="Y79" s="140"/>
      <c r="Z79" s="140"/>
    </row>
    <row r="80" spans="1:26" ht="15.75" customHeight="1" x14ac:dyDescent="0.25">
      <c r="A80" s="284"/>
      <c r="B80" s="285"/>
      <c r="C80" s="140"/>
      <c r="D80" s="140"/>
      <c r="E80" s="140"/>
      <c r="F80" s="285"/>
      <c r="G80" s="140"/>
      <c r="H80" s="140"/>
      <c r="I80" s="285"/>
      <c r="J80" s="285"/>
      <c r="K80" s="281"/>
      <c r="L80" s="140"/>
      <c r="M80" s="140"/>
      <c r="N80" s="140"/>
      <c r="O80" s="281"/>
      <c r="P80" s="140"/>
      <c r="Q80" s="140"/>
      <c r="R80" s="140"/>
      <c r="S80" s="140"/>
      <c r="T80" s="140"/>
      <c r="U80" s="140"/>
      <c r="V80" s="140"/>
      <c r="W80" s="140"/>
      <c r="X80" s="140"/>
      <c r="Y80" s="140"/>
      <c r="Z80" s="140"/>
    </row>
    <row r="81" spans="1:26" ht="15.75" customHeight="1" x14ac:dyDescent="0.25">
      <c r="A81" s="284"/>
      <c r="B81" s="285"/>
      <c r="C81" s="140"/>
      <c r="D81" s="140"/>
      <c r="E81" s="140"/>
      <c r="F81" s="285"/>
      <c r="G81" s="140"/>
      <c r="H81" s="140"/>
      <c r="I81" s="285"/>
      <c r="J81" s="285"/>
      <c r="K81" s="281"/>
      <c r="L81" s="140"/>
      <c r="M81" s="140"/>
      <c r="N81" s="140"/>
      <c r="O81" s="281"/>
      <c r="P81" s="140"/>
      <c r="Q81" s="140"/>
      <c r="R81" s="140"/>
      <c r="S81" s="140"/>
      <c r="T81" s="140"/>
      <c r="U81" s="140"/>
      <c r="V81" s="140"/>
      <c r="W81" s="140"/>
      <c r="X81" s="140"/>
      <c r="Y81" s="140"/>
      <c r="Z81" s="140"/>
    </row>
    <row r="82" spans="1:26" ht="15.75" customHeight="1" x14ac:dyDescent="0.25">
      <c r="A82" s="284"/>
      <c r="B82" s="285"/>
      <c r="C82" s="140"/>
      <c r="D82" s="140"/>
      <c r="E82" s="140"/>
      <c r="F82" s="285"/>
      <c r="G82" s="140"/>
      <c r="H82" s="140"/>
      <c r="I82" s="285"/>
      <c r="J82" s="285"/>
      <c r="K82" s="281"/>
      <c r="L82" s="140"/>
      <c r="M82" s="140"/>
      <c r="N82" s="140"/>
      <c r="O82" s="281"/>
      <c r="P82" s="140"/>
      <c r="Q82" s="140"/>
      <c r="R82" s="140"/>
      <c r="S82" s="140"/>
      <c r="T82" s="140"/>
      <c r="U82" s="140"/>
      <c r="V82" s="140"/>
      <c r="W82" s="140"/>
      <c r="X82" s="140"/>
      <c r="Y82" s="140"/>
      <c r="Z82" s="140"/>
    </row>
    <row r="83" spans="1:26" ht="15.75" customHeight="1" x14ac:dyDescent="0.25">
      <c r="A83" s="284"/>
      <c r="B83" s="285"/>
      <c r="C83" s="140"/>
      <c r="D83" s="140"/>
      <c r="E83" s="140"/>
      <c r="F83" s="285"/>
      <c r="G83" s="140"/>
      <c r="H83" s="140"/>
      <c r="I83" s="285"/>
      <c r="J83" s="285"/>
      <c r="K83" s="281"/>
      <c r="L83" s="140"/>
      <c r="M83" s="140"/>
      <c r="N83" s="140"/>
      <c r="O83" s="281"/>
      <c r="P83" s="140"/>
      <c r="Q83" s="140"/>
      <c r="R83" s="140"/>
      <c r="S83" s="140"/>
      <c r="T83" s="140"/>
      <c r="U83" s="140"/>
      <c r="V83" s="140"/>
      <c r="W83" s="140"/>
      <c r="X83" s="140"/>
      <c r="Y83" s="140"/>
      <c r="Z83" s="140"/>
    </row>
    <row r="84" spans="1:26" ht="15.75" customHeight="1" x14ac:dyDescent="0.25">
      <c r="A84" s="284"/>
      <c r="B84" s="285"/>
      <c r="C84" s="140"/>
      <c r="D84" s="140"/>
      <c r="E84" s="140"/>
      <c r="F84" s="285"/>
      <c r="G84" s="140"/>
      <c r="H84" s="140"/>
      <c r="I84" s="285"/>
      <c r="J84" s="285"/>
      <c r="K84" s="281"/>
      <c r="L84" s="140"/>
      <c r="M84" s="140"/>
      <c r="N84" s="140"/>
      <c r="O84" s="281"/>
      <c r="P84" s="140"/>
      <c r="Q84" s="140"/>
      <c r="R84" s="140"/>
      <c r="S84" s="140"/>
      <c r="T84" s="140"/>
      <c r="U84" s="140"/>
      <c r="V84" s="140"/>
      <c r="W84" s="140"/>
      <c r="X84" s="140"/>
      <c r="Y84" s="140"/>
      <c r="Z84" s="140"/>
    </row>
    <row r="85" spans="1:26" ht="15.75" customHeight="1" x14ac:dyDescent="0.25">
      <c r="A85" s="284"/>
      <c r="B85" s="285"/>
      <c r="C85" s="140"/>
      <c r="D85" s="140"/>
      <c r="E85" s="140"/>
      <c r="F85" s="285"/>
      <c r="G85" s="140"/>
      <c r="H85" s="140"/>
      <c r="I85" s="285"/>
      <c r="J85" s="285"/>
      <c r="K85" s="281"/>
      <c r="L85" s="140"/>
      <c r="M85" s="140"/>
      <c r="N85" s="140"/>
      <c r="O85" s="281"/>
      <c r="P85" s="140"/>
      <c r="Q85" s="140"/>
      <c r="R85" s="140"/>
      <c r="S85" s="140"/>
      <c r="T85" s="140"/>
      <c r="U85" s="140"/>
      <c r="V85" s="140"/>
      <c r="W85" s="140"/>
      <c r="X85" s="140"/>
      <c r="Y85" s="140"/>
      <c r="Z85" s="140"/>
    </row>
    <row r="86" spans="1:26" ht="15.75" customHeight="1" x14ac:dyDescent="0.25">
      <c r="A86" s="284"/>
      <c r="B86" s="285"/>
      <c r="C86" s="140"/>
      <c r="D86" s="140"/>
      <c r="E86" s="140"/>
      <c r="F86" s="285"/>
      <c r="G86" s="140"/>
      <c r="H86" s="140"/>
      <c r="I86" s="285"/>
      <c r="J86" s="285"/>
      <c r="K86" s="281"/>
      <c r="L86" s="140"/>
      <c r="M86" s="140"/>
      <c r="N86" s="140"/>
      <c r="O86" s="281"/>
      <c r="P86" s="140"/>
      <c r="Q86" s="140"/>
      <c r="R86" s="140"/>
      <c r="S86" s="140"/>
      <c r="T86" s="140"/>
      <c r="U86" s="140"/>
      <c r="V86" s="140"/>
      <c r="W86" s="140"/>
      <c r="X86" s="140"/>
      <c r="Y86" s="140"/>
      <c r="Z86" s="140"/>
    </row>
    <row r="87" spans="1:26" ht="15.75" customHeight="1" x14ac:dyDescent="0.25">
      <c r="A87" s="284"/>
      <c r="B87" s="285"/>
      <c r="C87" s="140"/>
      <c r="D87" s="140"/>
      <c r="E87" s="140"/>
      <c r="F87" s="285"/>
      <c r="G87" s="140"/>
      <c r="H87" s="140"/>
      <c r="I87" s="285"/>
      <c r="J87" s="285"/>
      <c r="K87" s="281"/>
      <c r="L87" s="140"/>
      <c r="M87" s="140"/>
      <c r="N87" s="140"/>
      <c r="O87" s="281"/>
      <c r="P87" s="140"/>
      <c r="Q87" s="140"/>
      <c r="R87" s="140"/>
      <c r="S87" s="140"/>
      <c r="T87" s="140"/>
      <c r="U87" s="140"/>
      <c r="V87" s="140"/>
      <c r="W87" s="140"/>
      <c r="X87" s="140"/>
      <c r="Y87" s="140"/>
      <c r="Z87" s="140"/>
    </row>
    <row r="88" spans="1:26" ht="15.75" customHeight="1" x14ac:dyDescent="0.25">
      <c r="A88" s="284"/>
      <c r="B88" s="285"/>
      <c r="C88" s="140"/>
      <c r="D88" s="140"/>
      <c r="E88" s="140"/>
      <c r="F88" s="285"/>
      <c r="G88" s="140"/>
      <c r="H88" s="140"/>
      <c r="I88" s="285"/>
      <c r="J88" s="285"/>
      <c r="K88" s="281"/>
      <c r="L88" s="140"/>
      <c r="M88" s="140"/>
      <c r="N88" s="140"/>
      <c r="O88" s="281"/>
      <c r="P88" s="140"/>
      <c r="Q88" s="140"/>
      <c r="R88" s="140"/>
      <c r="S88" s="140"/>
      <c r="T88" s="140"/>
      <c r="U88" s="140"/>
      <c r="V88" s="140"/>
      <c r="W88" s="140"/>
      <c r="X88" s="140"/>
      <c r="Y88" s="140"/>
      <c r="Z88" s="140"/>
    </row>
    <row r="89" spans="1:26" ht="15.75" customHeight="1" x14ac:dyDescent="0.25">
      <c r="A89" s="284"/>
      <c r="B89" s="285"/>
      <c r="C89" s="140"/>
      <c r="D89" s="140"/>
      <c r="E89" s="140"/>
      <c r="F89" s="285"/>
      <c r="G89" s="140"/>
      <c r="H89" s="140"/>
      <c r="I89" s="285"/>
      <c r="J89" s="285"/>
      <c r="K89" s="281"/>
      <c r="L89" s="140"/>
      <c r="M89" s="140"/>
      <c r="N89" s="140"/>
      <c r="O89" s="281"/>
      <c r="P89" s="140"/>
      <c r="Q89" s="140"/>
      <c r="R89" s="140"/>
      <c r="S89" s="140"/>
      <c r="T89" s="140"/>
      <c r="U89" s="140"/>
      <c r="V89" s="140"/>
      <c r="W89" s="140"/>
      <c r="X89" s="140"/>
      <c r="Y89" s="140"/>
      <c r="Z89" s="140"/>
    </row>
    <row r="90" spans="1:26" ht="15.75" customHeight="1" x14ac:dyDescent="0.25">
      <c r="A90" s="284"/>
      <c r="B90" s="285"/>
      <c r="C90" s="140"/>
      <c r="D90" s="140"/>
      <c r="E90" s="140"/>
      <c r="F90" s="285"/>
      <c r="G90" s="140"/>
      <c r="H90" s="140"/>
      <c r="I90" s="285"/>
      <c r="J90" s="285"/>
      <c r="K90" s="281"/>
      <c r="L90" s="140"/>
      <c r="M90" s="140"/>
      <c r="N90" s="140"/>
      <c r="O90" s="281"/>
      <c r="P90" s="140"/>
      <c r="Q90" s="140"/>
      <c r="R90" s="140"/>
      <c r="S90" s="140"/>
      <c r="T90" s="140"/>
      <c r="U90" s="140"/>
      <c r="V90" s="140"/>
      <c r="W90" s="140"/>
      <c r="X90" s="140"/>
      <c r="Y90" s="140"/>
      <c r="Z90" s="140"/>
    </row>
    <row r="91" spans="1:26" ht="15.75" customHeight="1" x14ac:dyDescent="0.25">
      <c r="A91" s="284"/>
      <c r="B91" s="285"/>
      <c r="C91" s="140"/>
      <c r="D91" s="140"/>
      <c r="E91" s="140"/>
      <c r="F91" s="285"/>
      <c r="G91" s="140"/>
      <c r="H91" s="140"/>
      <c r="I91" s="285"/>
      <c r="J91" s="285"/>
      <c r="K91" s="281"/>
      <c r="L91" s="140"/>
      <c r="M91" s="140"/>
      <c r="N91" s="140"/>
      <c r="O91" s="281"/>
      <c r="P91" s="140"/>
      <c r="Q91" s="140"/>
      <c r="R91" s="140"/>
      <c r="S91" s="140"/>
      <c r="T91" s="140"/>
      <c r="U91" s="140"/>
      <c r="V91" s="140"/>
      <c r="W91" s="140"/>
      <c r="X91" s="140"/>
      <c r="Y91" s="140"/>
      <c r="Z91" s="140"/>
    </row>
    <row r="92" spans="1:26" ht="15.75" customHeight="1" x14ac:dyDescent="0.25">
      <c r="A92" s="284"/>
      <c r="B92" s="285"/>
      <c r="C92" s="140"/>
      <c r="D92" s="140"/>
      <c r="E92" s="140"/>
      <c r="F92" s="285"/>
      <c r="G92" s="140"/>
      <c r="H92" s="140"/>
      <c r="I92" s="285"/>
      <c r="J92" s="285"/>
      <c r="K92" s="281"/>
      <c r="L92" s="140"/>
      <c r="M92" s="140"/>
      <c r="N92" s="140"/>
      <c r="O92" s="281"/>
      <c r="P92" s="140"/>
      <c r="Q92" s="140"/>
      <c r="R92" s="140"/>
      <c r="S92" s="140"/>
      <c r="T92" s="140"/>
      <c r="U92" s="140"/>
      <c r="V92" s="140"/>
      <c r="W92" s="140"/>
      <c r="X92" s="140"/>
      <c r="Y92" s="140"/>
      <c r="Z92" s="140"/>
    </row>
    <row r="93" spans="1:26" ht="15.75" customHeight="1" x14ac:dyDescent="0.25">
      <c r="A93" s="284"/>
      <c r="B93" s="285"/>
      <c r="C93" s="140"/>
      <c r="D93" s="140"/>
      <c r="E93" s="140"/>
      <c r="F93" s="285"/>
      <c r="G93" s="140"/>
      <c r="H93" s="140"/>
      <c r="I93" s="285"/>
      <c r="J93" s="285"/>
      <c r="K93" s="281"/>
      <c r="L93" s="140"/>
      <c r="M93" s="140"/>
      <c r="N93" s="140"/>
      <c r="O93" s="281"/>
      <c r="P93" s="140"/>
      <c r="Q93" s="140"/>
      <c r="R93" s="140"/>
      <c r="S93" s="140"/>
      <c r="T93" s="140"/>
      <c r="U93" s="140"/>
      <c r="V93" s="140"/>
      <c r="W93" s="140"/>
      <c r="X93" s="140"/>
      <c r="Y93" s="140"/>
      <c r="Z93" s="140"/>
    </row>
    <row r="94" spans="1:26" ht="15.75" customHeight="1" x14ac:dyDescent="0.25">
      <c r="A94" s="284"/>
      <c r="B94" s="285"/>
      <c r="C94" s="140"/>
      <c r="D94" s="140"/>
      <c r="E94" s="140"/>
      <c r="F94" s="285"/>
      <c r="G94" s="140"/>
      <c r="H94" s="140"/>
      <c r="I94" s="285"/>
      <c r="J94" s="285"/>
      <c r="K94" s="281"/>
      <c r="L94" s="140"/>
      <c r="M94" s="140"/>
      <c r="N94" s="140"/>
      <c r="O94" s="281"/>
      <c r="P94" s="140"/>
      <c r="Q94" s="140"/>
      <c r="R94" s="140"/>
      <c r="S94" s="140"/>
      <c r="T94" s="140"/>
      <c r="U94" s="140"/>
      <c r="V94" s="140"/>
      <c r="W94" s="140"/>
      <c r="X94" s="140"/>
      <c r="Y94" s="140"/>
      <c r="Z94" s="140"/>
    </row>
    <row r="95" spans="1:26" ht="15.75" customHeight="1" x14ac:dyDescent="0.25">
      <c r="A95" s="284"/>
      <c r="B95" s="285"/>
      <c r="C95" s="140"/>
      <c r="D95" s="140"/>
      <c r="E95" s="140"/>
      <c r="F95" s="285"/>
      <c r="G95" s="140"/>
      <c r="H95" s="140"/>
      <c r="I95" s="285"/>
      <c r="J95" s="285"/>
      <c r="K95" s="281"/>
      <c r="L95" s="140"/>
      <c r="M95" s="140"/>
      <c r="N95" s="140"/>
      <c r="O95" s="281"/>
      <c r="P95" s="140"/>
      <c r="Q95" s="140"/>
      <c r="R95" s="140"/>
      <c r="S95" s="140"/>
      <c r="T95" s="140"/>
      <c r="U95" s="140"/>
      <c r="V95" s="140"/>
      <c r="W95" s="140"/>
      <c r="X95" s="140"/>
      <c r="Y95" s="140"/>
      <c r="Z95" s="140"/>
    </row>
    <row r="96" spans="1:26" ht="15.75" customHeight="1" x14ac:dyDescent="0.25">
      <c r="A96" s="284"/>
      <c r="B96" s="285"/>
      <c r="C96" s="140"/>
      <c r="D96" s="140"/>
      <c r="E96" s="140"/>
      <c r="F96" s="285"/>
      <c r="G96" s="140"/>
      <c r="H96" s="140"/>
      <c r="I96" s="285"/>
      <c r="J96" s="285"/>
      <c r="K96" s="281"/>
      <c r="L96" s="140"/>
      <c r="M96" s="140"/>
      <c r="N96" s="140"/>
      <c r="O96" s="281"/>
      <c r="P96" s="140"/>
      <c r="Q96" s="140"/>
      <c r="R96" s="140"/>
      <c r="S96" s="140"/>
      <c r="T96" s="140"/>
      <c r="U96" s="140"/>
      <c r="V96" s="140"/>
      <c r="W96" s="140"/>
      <c r="X96" s="140"/>
      <c r="Y96" s="140"/>
      <c r="Z96" s="140"/>
    </row>
    <row r="97" spans="1:26" ht="15.75" customHeight="1" x14ac:dyDescent="0.25">
      <c r="A97" s="284"/>
      <c r="B97" s="285"/>
      <c r="C97" s="140"/>
      <c r="D97" s="140"/>
      <c r="E97" s="140"/>
      <c r="F97" s="285"/>
      <c r="G97" s="140"/>
      <c r="H97" s="140"/>
      <c r="I97" s="285"/>
      <c r="J97" s="285"/>
      <c r="K97" s="281"/>
      <c r="L97" s="140"/>
      <c r="M97" s="140"/>
      <c r="N97" s="140"/>
      <c r="O97" s="281"/>
      <c r="P97" s="140"/>
      <c r="Q97" s="140"/>
      <c r="R97" s="140"/>
      <c r="S97" s="140"/>
      <c r="T97" s="140"/>
      <c r="U97" s="140"/>
      <c r="V97" s="140"/>
      <c r="W97" s="140"/>
      <c r="X97" s="140"/>
      <c r="Y97" s="140"/>
      <c r="Z97" s="140"/>
    </row>
    <row r="98" spans="1:26" ht="15.75" customHeight="1" x14ac:dyDescent="0.25">
      <c r="A98" s="284"/>
      <c r="B98" s="285"/>
      <c r="C98" s="140"/>
      <c r="D98" s="140"/>
      <c r="E98" s="140"/>
      <c r="F98" s="285"/>
      <c r="G98" s="140"/>
      <c r="H98" s="140"/>
      <c r="I98" s="285"/>
      <c r="J98" s="285"/>
      <c r="K98" s="281"/>
      <c r="L98" s="140"/>
      <c r="M98" s="140"/>
      <c r="N98" s="140"/>
      <c r="O98" s="281"/>
      <c r="P98" s="140"/>
      <c r="Q98" s="140"/>
      <c r="R98" s="140"/>
      <c r="S98" s="140"/>
      <c r="T98" s="140"/>
      <c r="U98" s="140"/>
      <c r="V98" s="140"/>
      <c r="W98" s="140"/>
      <c r="X98" s="140"/>
      <c r="Y98" s="140"/>
      <c r="Z98" s="140"/>
    </row>
    <row r="99" spans="1:26" ht="15.75" customHeight="1" x14ac:dyDescent="0.25">
      <c r="A99" s="284"/>
      <c r="B99" s="285"/>
      <c r="C99" s="140"/>
      <c r="D99" s="140"/>
      <c r="E99" s="140"/>
      <c r="F99" s="285"/>
      <c r="G99" s="140"/>
      <c r="H99" s="140"/>
      <c r="I99" s="285"/>
      <c r="J99" s="285"/>
      <c r="K99" s="281"/>
      <c r="L99" s="140"/>
      <c r="M99" s="140"/>
      <c r="N99" s="140"/>
      <c r="O99" s="281"/>
      <c r="P99" s="140"/>
      <c r="Q99" s="140"/>
      <c r="R99" s="140"/>
      <c r="S99" s="140"/>
      <c r="T99" s="140"/>
      <c r="U99" s="140"/>
      <c r="V99" s="140"/>
      <c r="W99" s="140"/>
      <c r="X99" s="140"/>
      <c r="Y99" s="140"/>
      <c r="Z99" s="140"/>
    </row>
    <row r="100" spans="1:26" ht="15.75" customHeight="1" x14ac:dyDescent="0.25">
      <c r="A100" s="284"/>
      <c r="B100" s="285"/>
      <c r="C100" s="140"/>
      <c r="D100" s="140"/>
      <c r="E100" s="140"/>
      <c r="F100" s="285"/>
      <c r="G100" s="140"/>
      <c r="H100" s="140"/>
      <c r="I100" s="285"/>
      <c r="J100" s="285"/>
      <c r="K100" s="281"/>
      <c r="L100" s="140"/>
      <c r="M100" s="140"/>
      <c r="N100" s="140"/>
      <c r="O100" s="281"/>
      <c r="P100" s="140"/>
      <c r="Q100" s="140"/>
      <c r="R100" s="140"/>
      <c r="S100" s="140"/>
      <c r="T100" s="140"/>
      <c r="U100" s="140"/>
      <c r="V100" s="140"/>
      <c r="W100" s="140"/>
      <c r="X100" s="140"/>
      <c r="Y100" s="140"/>
      <c r="Z100" s="140"/>
    </row>
    <row r="101" spans="1:26" ht="15.75" customHeight="1" x14ac:dyDescent="0.25">
      <c r="A101" s="284"/>
      <c r="B101" s="285"/>
      <c r="C101" s="140"/>
      <c r="D101" s="140"/>
      <c r="E101" s="140"/>
      <c r="F101" s="285"/>
      <c r="G101" s="140"/>
      <c r="H101" s="140"/>
      <c r="I101" s="285"/>
      <c r="J101" s="285"/>
      <c r="K101" s="281"/>
      <c r="L101" s="140"/>
      <c r="M101" s="140"/>
      <c r="N101" s="140"/>
      <c r="O101" s="281"/>
      <c r="P101" s="140"/>
      <c r="Q101" s="140"/>
      <c r="R101" s="140"/>
      <c r="S101" s="140"/>
      <c r="T101" s="140"/>
      <c r="U101" s="140"/>
      <c r="V101" s="140"/>
      <c r="W101" s="140"/>
      <c r="X101" s="140"/>
      <c r="Y101" s="140"/>
      <c r="Z101" s="140"/>
    </row>
    <row r="102" spans="1:26" ht="15.75" customHeight="1" x14ac:dyDescent="0.25">
      <c r="A102" s="284"/>
      <c r="B102" s="285"/>
      <c r="C102" s="140"/>
      <c r="D102" s="140"/>
      <c r="E102" s="140"/>
      <c r="F102" s="285"/>
      <c r="G102" s="140"/>
      <c r="H102" s="140"/>
      <c r="I102" s="285"/>
      <c r="J102" s="285"/>
      <c r="K102" s="281"/>
      <c r="L102" s="140"/>
      <c r="M102" s="140"/>
      <c r="N102" s="140"/>
      <c r="O102" s="281"/>
      <c r="P102" s="140"/>
      <c r="Q102" s="140"/>
      <c r="R102" s="140"/>
      <c r="S102" s="140"/>
      <c r="T102" s="140"/>
      <c r="U102" s="140"/>
      <c r="V102" s="140"/>
      <c r="W102" s="140"/>
      <c r="X102" s="140"/>
      <c r="Y102" s="140"/>
      <c r="Z102" s="140"/>
    </row>
    <row r="103" spans="1:26" ht="15.75" customHeight="1" x14ac:dyDescent="0.25">
      <c r="A103" s="284"/>
      <c r="B103" s="285"/>
      <c r="C103" s="140"/>
      <c r="D103" s="140"/>
      <c r="E103" s="140"/>
      <c r="F103" s="285"/>
      <c r="G103" s="140"/>
      <c r="H103" s="140"/>
      <c r="I103" s="285"/>
      <c r="J103" s="285"/>
      <c r="K103" s="281"/>
      <c r="L103" s="140"/>
      <c r="M103" s="140"/>
      <c r="N103" s="140"/>
      <c r="O103" s="281"/>
      <c r="P103" s="140"/>
      <c r="Q103" s="140"/>
      <c r="R103" s="140"/>
      <c r="S103" s="140"/>
      <c r="T103" s="140"/>
      <c r="U103" s="140"/>
      <c r="V103" s="140"/>
      <c r="W103" s="140"/>
      <c r="X103" s="140"/>
      <c r="Y103" s="140"/>
      <c r="Z103" s="140"/>
    </row>
    <row r="104" spans="1:26" ht="15.75" customHeight="1" x14ac:dyDescent="0.25">
      <c r="A104" s="284"/>
      <c r="B104" s="285"/>
      <c r="C104" s="140"/>
      <c r="D104" s="140"/>
      <c r="E104" s="140"/>
      <c r="F104" s="285"/>
      <c r="G104" s="140"/>
      <c r="H104" s="140"/>
      <c r="I104" s="285"/>
      <c r="J104" s="285"/>
      <c r="K104" s="281"/>
      <c r="L104" s="140"/>
      <c r="M104" s="140"/>
      <c r="N104" s="140"/>
      <c r="O104" s="281"/>
      <c r="P104" s="140"/>
      <c r="Q104" s="140"/>
      <c r="R104" s="140"/>
      <c r="S104" s="140"/>
      <c r="T104" s="140"/>
      <c r="U104" s="140"/>
      <c r="V104" s="140"/>
      <c r="W104" s="140"/>
      <c r="X104" s="140"/>
      <c r="Y104" s="140"/>
      <c r="Z104" s="140"/>
    </row>
    <row r="105" spans="1:26" ht="15.75" customHeight="1" x14ac:dyDescent="0.25">
      <c r="A105" s="284"/>
      <c r="B105" s="285"/>
      <c r="C105" s="140"/>
      <c r="D105" s="140"/>
      <c r="E105" s="140"/>
      <c r="F105" s="285"/>
      <c r="G105" s="140"/>
      <c r="H105" s="140"/>
      <c r="I105" s="285"/>
      <c r="J105" s="285"/>
      <c r="K105" s="281"/>
      <c r="L105" s="140"/>
      <c r="M105" s="140"/>
      <c r="N105" s="140"/>
      <c r="O105" s="281"/>
      <c r="P105" s="140"/>
      <c r="Q105" s="140"/>
      <c r="R105" s="140"/>
      <c r="S105" s="140"/>
      <c r="T105" s="140"/>
      <c r="U105" s="140"/>
      <c r="V105" s="140"/>
      <c r="W105" s="140"/>
      <c r="X105" s="140"/>
      <c r="Y105" s="140"/>
      <c r="Z105" s="140"/>
    </row>
    <row r="106" spans="1:26" ht="15.75" customHeight="1" x14ac:dyDescent="0.25">
      <c r="A106" s="284"/>
      <c r="B106" s="285"/>
      <c r="C106" s="140"/>
      <c r="D106" s="140"/>
      <c r="E106" s="140"/>
      <c r="F106" s="285"/>
      <c r="G106" s="140"/>
      <c r="H106" s="140"/>
      <c r="I106" s="285"/>
      <c r="J106" s="285"/>
      <c r="K106" s="281"/>
      <c r="L106" s="140"/>
      <c r="M106" s="140"/>
      <c r="N106" s="140"/>
      <c r="O106" s="281"/>
      <c r="P106" s="140"/>
      <c r="Q106" s="140"/>
      <c r="R106" s="140"/>
      <c r="S106" s="140"/>
      <c r="T106" s="140"/>
      <c r="U106" s="140"/>
      <c r="V106" s="140"/>
      <c r="W106" s="140"/>
      <c r="X106" s="140"/>
      <c r="Y106" s="140"/>
      <c r="Z106" s="140"/>
    </row>
    <row r="107" spans="1:26" ht="15.75" customHeight="1" x14ac:dyDescent="0.25">
      <c r="A107" s="284"/>
      <c r="B107" s="285"/>
      <c r="C107" s="140"/>
      <c r="D107" s="140"/>
      <c r="E107" s="140"/>
      <c r="F107" s="285"/>
      <c r="G107" s="140"/>
      <c r="H107" s="140"/>
      <c r="I107" s="285"/>
      <c r="J107" s="285"/>
      <c r="K107" s="281"/>
      <c r="L107" s="140"/>
      <c r="M107" s="140"/>
      <c r="N107" s="140"/>
      <c r="O107" s="281"/>
      <c r="P107" s="140"/>
      <c r="Q107" s="140"/>
      <c r="R107" s="140"/>
      <c r="S107" s="140"/>
      <c r="T107" s="140"/>
      <c r="U107" s="140"/>
      <c r="V107" s="140"/>
      <c r="W107" s="140"/>
      <c r="X107" s="140"/>
      <c r="Y107" s="140"/>
      <c r="Z107" s="140"/>
    </row>
    <row r="108" spans="1:26" ht="15.75" customHeight="1" x14ac:dyDescent="0.25">
      <c r="A108" s="284"/>
      <c r="B108" s="285"/>
      <c r="C108" s="140"/>
      <c r="D108" s="140"/>
      <c r="E108" s="140"/>
      <c r="F108" s="285"/>
      <c r="G108" s="140"/>
      <c r="H108" s="140"/>
      <c r="I108" s="285"/>
      <c r="J108" s="285"/>
      <c r="K108" s="281"/>
      <c r="L108" s="140"/>
      <c r="M108" s="140"/>
      <c r="N108" s="140"/>
      <c r="O108" s="281"/>
      <c r="P108" s="140"/>
      <c r="Q108" s="140"/>
      <c r="R108" s="140"/>
      <c r="S108" s="140"/>
      <c r="T108" s="140"/>
      <c r="U108" s="140"/>
      <c r="V108" s="140"/>
      <c r="W108" s="140"/>
      <c r="X108" s="140"/>
      <c r="Y108" s="140"/>
      <c r="Z108" s="140"/>
    </row>
    <row r="109" spans="1:26" ht="15.75" customHeight="1" x14ac:dyDescent="0.25">
      <c r="A109" s="284"/>
      <c r="B109" s="285"/>
      <c r="C109" s="140"/>
      <c r="D109" s="140"/>
      <c r="E109" s="140"/>
      <c r="F109" s="285"/>
      <c r="G109" s="140"/>
      <c r="H109" s="140"/>
      <c r="I109" s="285"/>
      <c r="J109" s="285"/>
      <c r="K109" s="281"/>
      <c r="L109" s="140"/>
      <c r="M109" s="140"/>
      <c r="N109" s="140"/>
      <c r="O109" s="281"/>
      <c r="P109" s="140"/>
      <c r="Q109" s="140"/>
      <c r="R109" s="140"/>
      <c r="S109" s="140"/>
      <c r="T109" s="140"/>
      <c r="U109" s="140"/>
      <c r="V109" s="140"/>
      <c r="W109" s="140"/>
      <c r="X109" s="140"/>
      <c r="Y109" s="140"/>
      <c r="Z109" s="140"/>
    </row>
    <row r="110" spans="1:26" ht="15.75" customHeight="1" x14ac:dyDescent="0.25">
      <c r="A110" s="284"/>
      <c r="B110" s="285"/>
      <c r="C110" s="140"/>
      <c r="D110" s="140"/>
      <c r="E110" s="140"/>
      <c r="F110" s="285"/>
      <c r="G110" s="140"/>
      <c r="H110" s="140"/>
      <c r="I110" s="285"/>
      <c r="J110" s="285"/>
      <c r="K110" s="281"/>
      <c r="L110" s="140"/>
      <c r="M110" s="140"/>
      <c r="N110" s="140"/>
      <c r="O110" s="281"/>
      <c r="P110" s="140"/>
      <c r="Q110" s="140"/>
      <c r="R110" s="140"/>
      <c r="S110" s="140"/>
      <c r="T110" s="140"/>
      <c r="U110" s="140"/>
      <c r="V110" s="140"/>
      <c r="W110" s="140"/>
      <c r="X110" s="140"/>
      <c r="Y110" s="140"/>
      <c r="Z110" s="140"/>
    </row>
    <row r="111" spans="1:26" ht="15.75" customHeight="1" x14ac:dyDescent="0.25">
      <c r="A111" s="284"/>
      <c r="B111" s="285"/>
      <c r="C111" s="140"/>
      <c r="D111" s="140"/>
      <c r="E111" s="140"/>
      <c r="F111" s="285"/>
      <c r="G111" s="140"/>
      <c r="H111" s="140"/>
      <c r="I111" s="285"/>
      <c r="J111" s="285"/>
      <c r="K111" s="281"/>
      <c r="L111" s="140"/>
      <c r="M111" s="140"/>
      <c r="N111" s="140"/>
      <c r="O111" s="281"/>
      <c r="P111" s="140"/>
      <c r="Q111" s="140"/>
      <c r="R111" s="140"/>
      <c r="S111" s="140"/>
      <c r="T111" s="140"/>
      <c r="U111" s="140"/>
      <c r="V111" s="140"/>
      <c r="W111" s="140"/>
      <c r="X111" s="140"/>
      <c r="Y111" s="140"/>
      <c r="Z111" s="140"/>
    </row>
    <row r="112" spans="1:26" ht="15.75" customHeight="1" x14ac:dyDescent="0.25">
      <c r="A112" s="284"/>
      <c r="B112" s="285"/>
      <c r="C112" s="140"/>
      <c r="D112" s="140"/>
      <c r="E112" s="140"/>
      <c r="F112" s="285"/>
      <c r="G112" s="140"/>
      <c r="H112" s="140"/>
      <c r="I112" s="285"/>
      <c r="J112" s="285"/>
      <c r="K112" s="281"/>
      <c r="L112" s="140"/>
      <c r="M112" s="140"/>
      <c r="N112" s="140"/>
      <c r="O112" s="281"/>
      <c r="P112" s="140"/>
      <c r="Q112" s="140"/>
      <c r="R112" s="140"/>
      <c r="S112" s="140"/>
      <c r="T112" s="140"/>
      <c r="U112" s="140"/>
      <c r="V112" s="140"/>
      <c r="W112" s="140"/>
      <c r="X112" s="140"/>
      <c r="Y112" s="140"/>
      <c r="Z112" s="140"/>
    </row>
    <row r="113" spans="1:26" ht="15.75" customHeight="1" x14ac:dyDescent="0.25">
      <c r="A113" s="284"/>
      <c r="B113" s="285"/>
      <c r="C113" s="140"/>
      <c r="D113" s="140"/>
      <c r="E113" s="140"/>
      <c r="F113" s="285"/>
      <c r="G113" s="140"/>
      <c r="H113" s="140"/>
      <c r="I113" s="285"/>
      <c r="J113" s="285"/>
      <c r="K113" s="281"/>
      <c r="L113" s="140"/>
      <c r="M113" s="140"/>
      <c r="N113" s="140"/>
      <c r="O113" s="281"/>
      <c r="P113" s="140"/>
      <c r="Q113" s="140"/>
      <c r="R113" s="140"/>
      <c r="S113" s="140"/>
      <c r="T113" s="140"/>
      <c r="U113" s="140"/>
      <c r="V113" s="140"/>
      <c r="W113" s="140"/>
      <c r="X113" s="140"/>
      <c r="Y113" s="140"/>
      <c r="Z113" s="140"/>
    </row>
    <row r="114" spans="1:26" ht="15.75" customHeight="1" x14ac:dyDescent="0.25">
      <c r="A114" s="284"/>
      <c r="B114" s="285"/>
      <c r="C114" s="140"/>
      <c r="D114" s="140"/>
      <c r="E114" s="140"/>
      <c r="F114" s="285"/>
      <c r="G114" s="140"/>
      <c r="H114" s="140"/>
      <c r="I114" s="285"/>
      <c r="J114" s="285"/>
      <c r="K114" s="281"/>
      <c r="L114" s="140"/>
      <c r="M114" s="140"/>
      <c r="N114" s="140"/>
      <c r="O114" s="281"/>
      <c r="P114" s="140"/>
      <c r="Q114" s="140"/>
      <c r="R114" s="140"/>
      <c r="S114" s="140"/>
      <c r="T114" s="140"/>
      <c r="U114" s="140"/>
      <c r="V114" s="140"/>
      <c r="W114" s="140"/>
      <c r="X114" s="140"/>
      <c r="Y114" s="140"/>
      <c r="Z114" s="140"/>
    </row>
    <row r="115" spans="1:26" ht="15.75" customHeight="1" x14ac:dyDescent="0.25">
      <c r="A115" s="284"/>
      <c r="B115" s="285"/>
      <c r="C115" s="140"/>
      <c r="D115" s="140"/>
      <c r="E115" s="140"/>
      <c r="F115" s="285"/>
      <c r="G115" s="140"/>
      <c r="H115" s="140"/>
      <c r="I115" s="285"/>
      <c r="J115" s="285"/>
      <c r="K115" s="281"/>
      <c r="L115" s="140"/>
      <c r="M115" s="140"/>
      <c r="N115" s="140"/>
      <c r="O115" s="281"/>
      <c r="P115" s="140"/>
      <c r="Q115" s="140"/>
      <c r="R115" s="140"/>
      <c r="S115" s="140"/>
      <c r="T115" s="140"/>
      <c r="U115" s="140"/>
      <c r="V115" s="140"/>
      <c r="W115" s="140"/>
      <c r="X115" s="140"/>
      <c r="Y115" s="140"/>
      <c r="Z115" s="140"/>
    </row>
    <row r="116" spans="1:26" ht="15.75" customHeight="1" x14ac:dyDescent="0.25">
      <c r="A116" s="284"/>
      <c r="B116" s="285"/>
      <c r="C116" s="140"/>
      <c r="D116" s="140"/>
      <c r="E116" s="140"/>
      <c r="F116" s="285"/>
      <c r="G116" s="140"/>
      <c r="H116" s="140"/>
      <c r="I116" s="285"/>
      <c r="J116" s="285"/>
      <c r="K116" s="281"/>
      <c r="L116" s="140"/>
      <c r="M116" s="140"/>
      <c r="N116" s="140"/>
      <c r="O116" s="281"/>
      <c r="P116" s="140"/>
      <c r="Q116" s="140"/>
      <c r="R116" s="140"/>
      <c r="S116" s="140"/>
      <c r="T116" s="140"/>
      <c r="U116" s="140"/>
      <c r="V116" s="140"/>
      <c r="W116" s="140"/>
      <c r="X116" s="140"/>
      <c r="Y116" s="140"/>
      <c r="Z116" s="140"/>
    </row>
    <row r="117" spans="1:26" ht="15.75" customHeight="1" x14ac:dyDescent="0.25">
      <c r="A117" s="284"/>
      <c r="B117" s="285"/>
      <c r="C117" s="140"/>
      <c r="D117" s="140"/>
      <c r="E117" s="140"/>
      <c r="F117" s="285"/>
      <c r="G117" s="140"/>
      <c r="H117" s="140"/>
      <c r="I117" s="285"/>
      <c r="J117" s="285"/>
      <c r="K117" s="281"/>
      <c r="L117" s="140"/>
      <c r="M117" s="140"/>
      <c r="N117" s="140"/>
      <c r="O117" s="281"/>
      <c r="P117" s="140"/>
      <c r="Q117" s="140"/>
      <c r="R117" s="140"/>
      <c r="S117" s="140"/>
      <c r="T117" s="140"/>
      <c r="U117" s="140"/>
      <c r="V117" s="140"/>
      <c r="W117" s="140"/>
      <c r="X117" s="140"/>
      <c r="Y117" s="140"/>
      <c r="Z117" s="140"/>
    </row>
    <row r="118" spans="1:26" ht="15.75" customHeight="1" x14ac:dyDescent="0.25">
      <c r="A118" s="284"/>
      <c r="B118" s="285"/>
      <c r="C118" s="140"/>
      <c r="D118" s="140"/>
      <c r="E118" s="140"/>
      <c r="F118" s="285"/>
      <c r="G118" s="140"/>
      <c r="H118" s="140"/>
      <c r="I118" s="285"/>
      <c r="J118" s="285"/>
      <c r="K118" s="281"/>
      <c r="L118" s="140"/>
      <c r="M118" s="140"/>
      <c r="N118" s="140"/>
      <c r="O118" s="281"/>
      <c r="P118" s="140"/>
      <c r="Q118" s="140"/>
      <c r="R118" s="140"/>
      <c r="S118" s="140"/>
      <c r="T118" s="140"/>
      <c r="U118" s="140"/>
      <c r="V118" s="140"/>
      <c r="W118" s="140"/>
      <c r="X118" s="140"/>
      <c r="Y118" s="140"/>
      <c r="Z118" s="140"/>
    </row>
    <row r="119" spans="1:26" ht="15.75" customHeight="1" x14ac:dyDescent="0.25">
      <c r="A119" s="284"/>
      <c r="B119" s="285"/>
      <c r="C119" s="140"/>
      <c r="D119" s="140"/>
      <c r="E119" s="140"/>
      <c r="F119" s="285"/>
      <c r="G119" s="140"/>
      <c r="H119" s="140"/>
      <c r="I119" s="285"/>
      <c r="J119" s="285"/>
      <c r="K119" s="281"/>
      <c r="L119" s="140"/>
      <c r="M119" s="140"/>
      <c r="N119" s="140"/>
      <c r="O119" s="281"/>
      <c r="P119" s="140"/>
      <c r="Q119" s="140"/>
      <c r="R119" s="140"/>
      <c r="S119" s="140"/>
      <c r="T119" s="140"/>
      <c r="U119" s="140"/>
      <c r="V119" s="140"/>
      <c r="W119" s="140"/>
      <c r="X119" s="140"/>
      <c r="Y119" s="140"/>
      <c r="Z119" s="140"/>
    </row>
    <row r="120" spans="1:26" ht="15.75" customHeight="1" x14ac:dyDescent="0.25">
      <c r="A120" s="284"/>
      <c r="B120" s="285"/>
      <c r="C120" s="140"/>
      <c r="D120" s="140"/>
      <c r="E120" s="140"/>
      <c r="F120" s="285"/>
      <c r="G120" s="140"/>
      <c r="H120" s="140"/>
      <c r="I120" s="285"/>
      <c r="J120" s="285"/>
      <c r="K120" s="281"/>
      <c r="L120" s="140"/>
      <c r="M120" s="140"/>
      <c r="N120" s="140"/>
      <c r="O120" s="281"/>
      <c r="P120" s="140"/>
      <c r="Q120" s="140"/>
      <c r="R120" s="140"/>
      <c r="S120" s="140"/>
      <c r="T120" s="140"/>
      <c r="U120" s="140"/>
      <c r="V120" s="140"/>
      <c r="W120" s="140"/>
      <c r="X120" s="140"/>
      <c r="Y120" s="140"/>
      <c r="Z120" s="140"/>
    </row>
    <row r="121" spans="1:26" ht="15.75" customHeight="1" x14ac:dyDescent="0.25">
      <c r="A121" s="284"/>
      <c r="B121" s="285"/>
      <c r="C121" s="140"/>
      <c r="D121" s="140"/>
      <c r="E121" s="140"/>
      <c r="F121" s="285"/>
      <c r="G121" s="140"/>
      <c r="H121" s="140"/>
      <c r="I121" s="285"/>
      <c r="J121" s="285"/>
      <c r="K121" s="281"/>
      <c r="L121" s="140"/>
      <c r="M121" s="140"/>
      <c r="N121" s="140"/>
      <c r="O121" s="281"/>
      <c r="P121" s="140"/>
      <c r="Q121" s="140"/>
      <c r="R121" s="140"/>
      <c r="S121" s="140"/>
      <c r="T121" s="140"/>
      <c r="U121" s="140"/>
      <c r="V121" s="140"/>
      <c r="W121" s="140"/>
      <c r="X121" s="140"/>
      <c r="Y121" s="140"/>
      <c r="Z121" s="140"/>
    </row>
    <row r="122" spans="1:26" ht="15.75" customHeight="1" x14ac:dyDescent="0.25">
      <c r="A122" s="284"/>
      <c r="B122" s="285"/>
      <c r="C122" s="140"/>
      <c r="D122" s="140"/>
      <c r="E122" s="140"/>
      <c r="F122" s="285"/>
      <c r="G122" s="140"/>
      <c r="H122" s="140"/>
      <c r="I122" s="285"/>
      <c r="J122" s="285"/>
      <c r="K122" s="281"/>
      <c r="L122" s="140"/>
      <c r="M122" s="140"/>
      <c r="N122" s="140"/>
      <c r="O122" s="281"/>
      <c r="P122" s="140"/>
      <c r="Q122" s="140"/>
      <c r="R122" s="140"/>
      <c r="S122" s="140"/>
      <c r="T122" s="140"/>
      <c r="U122" s="140"/>
      <c r="V122" s="140"/>
      <c r="W122" s="140"/>
      <c r="X122" s="140"/>
      <c r="Y122" s="140"/>
      <c r="Z122" s="140"/>
    </row>
    <row r="123" spans="1:26" ht="15.75" customHeight="1" x14ac:dyDescent="0.25">
      <c r="A123" s="284"/>
      <c r="B123" s="285"/>
      <c r="C123" s="140"/>
      <c r="D123" s="140"/>
      <c r="E123" s="140"/>
      <c r="F123" s="285"/>
      <c r="G123" s="140"/>
      <c r="H123" s="140"/>
      <c r="I123" s="285"/>
      <c r="J123" s="285"/>
      <c r="K123" s="281"/>
      <c r="L123" s="140"/>
      <c r="M123" s="140"/>
      <c r="N123" s="140"/>
      <c r="O123" s="281"/>
      <c r="P123" s="140"/>
      <c r="Q123" s="140"/>
      <c r="R123" s="140"/>
      <c r="S123" s="140"/>
      <c r="T123" s="140"/>
      <c r="U123" s="140"/>
      <c r="V123" s="140"/>
      <c r="W123" s="140"/>
      <c r="X123" s="140"/>
      <c r="Y123" s="140"/>
      <c r="Z123" s="140"/>
    </row>
    <row r="124" spans="1:26" ht="15.75" customHeight="1" x14ac:dyDescent="0.25">
      <c r="A124" s="284"/>
      <c r="B124" s="285"/>
      <c r="C124" s="140"/>
      <c r="D124" s="140"/>
      <c r="E124" s="140"/>
      <c r="F124" s="285"/>
      <c r="G124" s="140"/>
      <c r="H124" s="140"/>
      <c r="I124" s="285"/>
      <c r="J124" s="285"/>
      <c r="K124" s="281"/>
      <c r="L124" s="140"/>
      <c r="M124" s="140"/>
      <c r="N124" s="140"/>
      <c r="O124" s="281"/>
      <c r="P124" s="140"/>
      <c r="Q124" s="140"/>
      <c r="R124" s="140"/>
      <c r="S124" s="140"/>
      <c r="T124" s="140"/>
      <c r="U124" s="140"/>
      <c r="V124" s="140"/>
      <c r="W124" s="140"/>
      <c r="X124" s="140"/>
      <c r="Y124" s="140"/>
      <c r="Z124" s="140"/>
    </row>
    <row r="125" spans="1:26" ht="15.75" customHeight="1" x14ac:dyDescent="0.25">
      <c r="A125" s="284"/>
      <c r="B125" s="285"/>
      <c r="C125" s="140"/>
      <c r="D125" s="140"/>
      <c r="E125" s="140"/>
      <c r="F125" s="285"/>
      <c r="G125" s="140"/>
      <c r="H125" s="140"/>
      <c r="I125" s="285"/>
      <c r="J125" s="285"/>
      <c r="K125" s="281"/>
      <c r="L125" s="140"/>
      <c r="M125" s="140"/>
      <c r="N125" s="140"/>
      <c r="O125" s="281"/>
      <c r="P125" s="140"/>
      <c r="Q125" s="140"/>
      <c r="R125" s="140"/>
      <c r="S125" s="140"/>
      <c r="T125" s="140"/>
      <c r="U125" s="140"/>
      <c r="V125" s="140"/>
      <c r="W125" s="140"/>
      <c r="X125" s="140"/>
      <c r="Y125" s="140"/>
      <c r="Z125" s="140"/>
    </row>
    <row r="126" spans="1:26" ht="15.75" customHeight="1" x14ac:dyDescent="0.25">
      <c r="A126" s="284"/>
      <c r="B126" s="285"/>
      <c r="C126" s="140"/>
      <c r="D126" s="140"/>
      <c r="E126" s="140"/>
      <c r="F126" s="285"/>
      <c r="G126" s="140"/>
      <c r="H126" s="140"/>
      <c r="I126" s="285"/>
      <c r="J126" s="285"/>
      <c r="K126" s="281"/>
      <c r="L126" s="140"/>
      <c r="M126" s="140"/>
      <c r="N126" s="140"/>
      <c r="O126" s="281"/>
      <c r="P126" s="140"/>
      <c r="Q126" s="140"/>
      <c r="R126" s="140"/>
      <c r="S126" s="140"/>
      <c r="T126" s="140"/>
      <c r="U126" s="140"/>
      <c r="V126" s="140"/>
      <c r="W126" s="140"/>
      <c r="X126" s="140"/>
      <c r="Y126" s="140"/>
      <c r="Z126" s="140"/>
    </row>
    <row r="127" spans="1:26" ht="15.75" customHeight="1" x14ac:dyDescent="0.25">
      <c r="A127" s="284"/>
      <c r="B127" s="285"/>
      <c r="C127" s="140"/>
      <c r="D127" s="140"/>
      <c r="E127" s="140"/>
      <c r="F127" s="285"/>
      <c r="G127" s="140"/>
      <c r="H127" s="140"/>
      <c r="I127" s="285"/>
      <c r="J127" s="285"/>
      <c r="K127" s="281"/>
      <c r="L127" s="140"/>
      <c r="M127" s="140"/>
      <c r="N127" s="140"/>
      <c r="O127" s="281"/>
      <c r="P127" s="140"/>
      <c r="Q127" s="140"/>
      <c r="R127" s="140"/>
      <c r="S127" s="140"/>
      <c r="T127" s="140"/>
      <c r="U127" s="140"/>
      <c r="V127" s="140"/>
      <c r="W127" s="140"/>
      <c r="X127" s="140"/>
      <c r="Y127" s="140"/>
      <c r="Z127" s="140"/>
    </row>
    <row r="128" spans="1:26" ht="15.75" customHeight="1" x14ac:dyDescent="0.25">
      <c r="A128" s="284"/>
      <c r="B128" s="285"/>
      <c r="C128" s="140"/>
      <c r="D128" s="140"/>
      <c r="E128" s="140"/>
      <c r="F128" s="285"/>
      <c r="G128" s="140"/>
      <c r="H128" s="140"/>
      <c r="I128" s="285"/>
      <c r="J128" s="285"/>
      <c r="K128" s="281"/>
      <c r="L128" s="140"/>
      <c r="M128" s="140"/>
      <c r="N128" s="140"/>
      <c r="O128" s="281"/>
      <c r="P128" s="140"/>
      <c r="Q128" s="140"/>
      <c r="R128" s="140"/>
      <c r="S128" s="140"/>
      <c r="T128" s="140"/>
      <c r="U128" s="140"/>
      <c r="V128" s="140"/>
      <c r="W128" s="140"/>
      <c r="X128" s="140"/>
      <c r="Y128" s="140"/>
      <c r="Z128" s="140"/>
    </row>
    <row r="129" spans="1:26" ht="15.75" customHeight="1" x14ac:dyDescent="0.25">
      <c r="A129" s="284"/>
      <c r="B129" s="285"/>
      <c r="C129" s="140"/>
      <c r="D129" s="140"/>
      <c r="E129" s="140"/>
      <c r="F129" s="285"/>
      <c r="G129" s="140"/>
      <c r="H129" s="140"/>
      <c r="I129" s="285"/>
      <c r="J129" s="285"/>
      <c r="K129" s="281"/>
      <c r="L129" s="140"/>
      <c r="M129" s="140"/>
      <c r="N129" s="140"/>
      <c r="O129" s="281"/>
      <c r="P129" s="140"/>
      <c r="Q129" s="140"/>
      <c r="R129" s="140"/>
      <c r="S129" s="140"/>
      <c r="T129" s="140"/>
      <c r="U129" s="140"/>
      <c r="V129" s="140"/>
      <c r="W129" s="140"/>
      <c r="X129" s="140"/>
      <c r="Y129" s="140"/>
      <c r="Z129" s="140"/>
    </row>
    <row r="130" spans="1:26" ht="15.75" customHeight="1" x14ac:dyDescent="0.25">
      <c r="A130" s="284"/>
      <c r="B130" s="285"/>
      <c r="C130" s="140"/>
      <c r="D130" s="140"/>
      <c r="E130" s="140"/>
      <c r="F130" s="285"/>
      <c r="G130" s="140"/>
      <c r="H130" s="140"/>
      <c r="I130" s="285"/>
      <c r="J130" s="285"/>
      <c r="K130" s="281"/>
      <c r="L130" s="140"/>
      <c r="M130" s="140"/>
      <c r="N130" s="140"/>
      <c r="O130" s="281"/>
      <c r="P130" s="140"/>
      <c r="Q130" s="140"/>
      <c r="R130" s="140"/>
      <c r="S130" s="140"/>
      <c r="T130" s="140"/>
      <c r="U130" s="140"/>
      <c r="V130" s="140"/>
      <c r="W130" s="140"/>
      <c r="X130" s="140"/>
      <c r="Y130" s="140"/>
      <c r="Z130" s="140"/>
    </row>
    <row r="131" spans="1:26" ht="15.75" customHeight="1" x14ac:dyDescent="0.25">
      <c r="A131" s="284"/>
      <c r="B131" s="285"/>
      <c r="C131" s="140"/>
      <c r="D131" s="140"/>
      <c r="E131" s="140"/>
      <c r="F131" s="285"/>
      <c r="G131" s="140"/>
      <c r="H131" s="140"/>
      <c r="I131" s="285"/>
      <c r="J131" s="285"/>
      <c r="K131" s="281"/>
      <c r="L131" s="140"/>
      <c r="M131" s="140"/>
      <c r="N131" s="140"/>
      <c r="O131" s="281"/>
      <c r="P131" s="140"/>
      <c r="Q131" s="140"/>
      <c r="R131" s="140"/>
      <c r="S131" s="140"/>
      <c r="T131" s="140"/>
      <c r="U131" s="140"/>
      <c r="V131" s="140"/>
      <c r="W131" s="140"/>
      <c r="X131" s="140"/>
      <c r="Y131" s="140"/>
      <c r="Z131" s="140"/>
    </row>
    <row r="132" spans="1:26" ht="15.75" customHeight="1" x14ac:dyDescent="0.25">
      <c r="A132" s="284"/>
      <c r="B132" s="285"/>
      <c r="C132" s="140"/>
      <c r="D132" s="140"/>
      <c r="E132" s="140"/>
      <c r="F132" s="285"/>
      <c r="G132" s="140"/>
      <c r="H132" s="140"/>
      <c r="I132" s="285"/>
      <c r="J132" s="285"/>
      <c r="K132" s="281"/>
      <c r="L132" s="140"/>
      <c r="M132" s="140"/>
      <c r="N132" s="140"/>
      <c r="O132" s="281"/>
      <c r="P132" s="140"/>
      <c r="Q132" s="140"/>
      <c r="R132" s="140"/>
      <c r="S132" s="140"/>
      <c r="T132" s="140"/>
      <c r="U132" s="140"/>
      <c r="V132" s="140"/>
      <c r="W132" s="140"/>
      <c r="X132" s="140"/>
      <c r="Y132" s="140"/>
      <c r="Z132" s="140"/>
    </row>
    <row r="133" spans="1:26" ht="15.75" customHeight="1" x14ac:dyDescent="0.25">
      <c r="A133" s="284"/>
      <c r="B133" s="285"/>
      <c r="C133" s="140"/>
      <c r="D133" s="140"/>
      <c r="E133" s="140"/>
      <c r="F133" s="285"/>
      <c r="G133" s="140"/>
      <c r="H133" s="140"/>
      <c r="I133" s="285"/>
      <c r="J133" s="285"/>
      <c r="K133" s="281"/>
      <c r="L133" s="140"/>
      <c r="M133" s="140"/>
      <c r="N133" s="140"/>
      <c r="O133" s="281"/>
      <c r="P133" s="140"/>
      <c r="Q133" s="140"/>
      <c r="R133" s="140"/>
      <c r="S133" s="140"/>
      <c r="T133" s="140"/>
      <c r="U133" s="140"/>
      <c r="V133" s="140"/>
      <c r="W133" s="140"/>
      <c r="X133" s="140"/>
      <c r="Y133" s="140"/>
      <c r="Z133" s="140"/>
    </row>
    <row r="134" spans="1:26" ht="15.75" customHeight="1" x14ac:dyDescent="0.25">
      <c r="A134" s="284"/>
      <c r="B134" s="285"/>
      <c r="C134" s="140"/>
      <c r="D134" s="140"/>
      <c r="E134" s="140"/>
      <c r="F134" s="285"/>
      <c r="G134" s="140"/>
      <c r="H134" s="140"/>
      <c r="I134" s="285"/>
      <c r="J134" s="285"/>
      <c r="K134" s="281"/>
      <c r="L134" s="140"/>
      <c r="M134" s="140"/>
      <c r="N134" s="140"/>
      <c r="O134" s="281"/>
      <c r="P134" s="140"/>
      <c r="Q134" s="140"/>
      <c r="R134" s="140"/>
      <c r="S134" s="140"/>
      <c r="T134" s="140"/>
      <c r="U134" s="140"/>
      <c r="V134" s="140"/>
      <c r="W134" s="140"/>
      <c r="X134" s="140"/>
      <c r="Y134" s="140"/>
      <c r="Z134" s="140"/>
    </row>
    <row r="135" spans="1:26" ht="15.75" customHeight="1" x14ac:dyDescent="0.25">
      <c r="A135" s="284"/>
      <c r="B135" s="285"/>
      <c r="C135" s="140"/>
      <c r="D135" s="140"/>
      <c r="E135" s="140"/>
      <c r="F135" s="285"/>
      <c r="G135" s="140"/>
      <c r="H135" s="140"/>
      <c r="I135" s="285"/>
      <c r="J135" s="285"/>
      <c r="K135" s="281"/>
      <c r="L135" s="140"/>
      <c r="M135" s="140"/>
      <c r="N135" s="140"/>
      <c r="O135" s="281"/>
      <c r="P135" s="140"/>
      <c r="Q135" s="140"/>
      <c r="R135" s="140"/>
      <c r="S135" s="140"/>
      <c r="T135" s="140"/>
      <c r="U135" s="140"/>
      <c r="V135" s="140"/>
      <c r="W135" s="140"/>
      <c r="X135" s="140"/>
      <c r="Y135" s="140"/>
      <c r="Z135" s="140"/>
    </row>
    <row r="136" spans="1:26" ht="15.75" customHeight="1" x14ac:dyDescent="0.25">
      <c r="A136" s="284"/>
      <c r="B136" s="285"/>
      <c r="C136" s="140"/>
      <c r="D136" s="140"/>
      <c r="E136" s="140"/>
      <c r="F136" s="285"/>
      <c r="G136" s="140"/>
      <c r="H136" s="140"/>
      <c r="I136" s="285"/>
      <c r="J136" s="285"/>
      <c r="K136" s="281"/>
      <c r="L136" s="140"/>
      <c r="M136" s="140"/>
      <c r="N136" s="140"/>
      <c r="O136" s="281"/>
      <c r="P136" s="140"/>
      <c r="Q136" s="140"/>
      <c r="R136" s="140"/>
      <c r="S136" s="140"/>
      <c r="T136" s="140"/>
      <c r="U136" s="140"/>
      <c r="V136" s="140"/>
      <c r="W136" s="140"/>
      <c r="X136" s="140"/>
      <c r="Y136" s="140"/>
      <c r="Z136" s="140"/>
    </row>
    <row r="137" spans="1:26" ht="15.75" customHeight="1" x14ac:dyDescent="0.25">
      <c r="A137" s="284"/>
      <c r="B137" s="285"/>
      <c r="C137" s="140"/>
      <c r="D137" s="140"/>
      <c r="E137" s="140"/>
      <c r="F137" s="285"/>
      <c r="G137" s="140"/>
      <c r="H137" s="140"/>
      <c r="I137" s="285"/>
      <c r="J137" s="285"/>
      <c r="K137" s="281"/>
      <c r="L137" s="140"/>
      <c r="M137" s="140"/>
      <c r="N137" s="140"/>
      <c r="O137" s="281"/>
      <c r="P137" s="140"/>
      <c r="Q137" s="140"/>
      <c r="R137" s="140"/>
      <c r="S137" s="140"/>
      <c r="T137" s="140"/>
      <c r="U137" s="140"/>
      <c r="V137" s="140"/>
      <c r="W137" s="140"/>
      <c r="X137" s="140"/>
      <c r="Y137" s="140"/>
      <c r="Z137" s="140"/>
    </row>
    <row r="138" spans="1:26" ht="15.75" customHeight="1" x14ac:dyDescent="0.25">
      <c r="A138" s="284"/>
      <c r="B138" s="285"/>
      <c r="C138" s="140"/>
      <c r="D138" s="140"/>
      <c r="E138" s="140"/>
      <c r="F138" s="285"/>
      <c r="G138" s="140"/>
      <c r="H138" s="140"/>
      <c r="I138" s="285"/>
      <c r="J138" s="285"/>
      <c r="K138" s="281"/>
      <c r="L138" s="140"/>
      <c r="M138" s="140"/>
      <c r="N138" s="140"/>
      <c r="O138" s="281"/>
      <c r="P138" s="140"/>
      <c r="Q138" s="140"/>
      <c r="R138" s="140"/>
      <c r="S138" s="140"/>
      <c r="T138" s="140"/>
      <c r="U138" s="140"/>
      <c r="V138" s="140"/>
      <c r="W138" s="140"/>
      <c r="X138" s="140"/>
      <c r="Y138" s="140"/>
      <c r="Z138" s="140"/>
    </row>
    <row r="139" spans="1:26" ht="15.75" customHeight="1" x14ac:dyDescent="0.25">
      <c r="A139" s="284"/>
      <c r="B139" s="285"/>
      <c r="C139" s="140"/>
      <c r="D139" s="140"/>
      <c r="E139" s="140"/>
      <c r="F139" s="285"/>
      <c r="G139" s="140"/>
      <c r="H139" s="140"/>
      <c r="I139" s="285"/>
      <c r="J139" s="285"/>
      <c r="K139" s="281"/>
      <c r="L139" s="140"/>
      <c r="M139" s="140"/>
      <c r="N139" s="140"/>
      <c r="O139" s="281"/>
      <c r="P139" s="140"/>
      <c r="Q139" s="140"/>
      <c r="R139" s="140"/>
      <c r="S139" s="140"/>
      <c r="T139" s="140"/>
      <c r="U139" s="140"/>
      <c r="V139" s="140"/>
      <c r="W139" s="140"/>
      <c r="X139" s="140"/>
      <c r="Y139" s="140"/>
      <c r="Z139" s="140"/>
    </row>
    <row r="140" spans="1:26" ht="15.75" customHeight="1" x14ac:dyDescent="0.25">
      <c r="A140" s="284"/>
      <c r="B140" s="285"/>
      <c r="C140" s="140"/>
      <c r="D140" s="140"/>
      <c r="E140" s="140"/>
      <c r="F140" s="285"/>
      <c r="G140" s="140"/>
      <c r="H140" s="140"/>
      <c r="I140" s="285"/>
      <c r="J140" s="285"/>
      <c r="K140" s="281"/>
      <c r="L140" s="140"/>
      <c r="M140" s="140"/>
      <c r="N140" s="140"/>
      <c r="O140" s="281"/>
      <c r="P140" s="140"/>
      <c r="Q140" s="140"/>
      <c r="R140" s="140"/>
      <c r="S140" s="140"/>
      <c r="T140" s="140"/>
      <c r="U140" s="140"/>
      <c r="V140" s="140"/>
      <c r="W140" s="140"/>
      <c r="X140" s="140"/>
      <c r="Y140" s="140"/>
      <c r="Z140" s="140"/>
    </row>
    <row r="141" spans="1:26" ht="15.75" customHeight="1" x14ac:dyDescent="0.25">
      <c r="A141" s="284"/>
      <c r="B141" s="285"/>
      <c r="C141" s="140"/>
      <c r="D141" s="140"/>
      <c r="E141" s="140"/>
      <c r="F141" s="285"/>
      <c r="G141" s="140"/>
      <c r="H141" s="140"/>
      <c r="I141" s="285"/>
      <c r="J141" s="285"/>
      <c r="K141" s="281"/>
      <c r="L141" s="140"/>
      <c r="M141" s="140"/>
      <c r="N141" s="140"/>
      <c r="O141" s="281"/>
      <c r="P141" s="140"/>
      <c r="Q141" s="140"/>
      <c r="R141" s="140"/>
      <c r="S141" s="140"/>
      <c r="T141" s="140"/>
      <c r="U141" s="140"/>
      <c r="V141" s="140"/>
      <c r="W141" s="140"/>
      <c r="X141" s="140"/>
      <c r="Y141" s="140"/>
      <c r="Z141" s="140"/>
    </row>
    <row r="142" spans="1:26" ht="15.75" customHeight="1" x14ac:dyDescent="0.25">
      <c r="A142" s="284"/>
      <c r="B142" s="285"/>
      <c r="C142" s="140"/>
      <c r="D142" s="140"/>
      <c r="E142" s="140"/>
      <c r="F142" s="285"/>
      <c r="G142" s="140"/>
      <c r="H142" s="140"/>
      <c r="I142" s="285"/>
      <c r="J142" s="285"/>
      <c r="K142" s="281"/>
      <c r="L142" s="140"/>
      <c r="M142" s="140"/>
      <c r="N142" s="140"/>
      <c r="O142" s="281"/>
      <c r="P142" s="140"/>
      <c r="Q142" s="140"/>
      <c r="R142" s="140"/>
      <c r="S142" s="140"/>
      <c r="T142" s="140"/>
      <c r="U142" s="140"/>
      <c r="V142" s="140"/>
      <c r="W142" s="140"/>
      <c r="X142" s="140"/>
      <c r="Y142" s="140"/>
      <c r="Z142" s="140"/>
    </row>
    <row r="143" spans="1:26" ht="15.75" customHeight="1" x14ac:dyDescent="0.25">
      <c r="A143" s="284"/>
      <c r="B143" s="285"/>
      <c r="C143" s="140"/>
      <c r="D143" s="140"/>
      <c r="E143" s="140"/>
      <c r="F143" s="285"/>
      <c r="G143" s="140"/>
      <c r="H143" s="140"/>
      <c r="I143" s="285"/>
      <c r="J143" s="285"/>
      <c r="K143" s="281"/>
      <c r="L143" s="140"/>
      <c r="M143" s="140"/>
      <c r="N143" s="140"/>
      <c r="O143" s="281"/>
      <c r="P143" s="140"/>
      <c r="Q143" s="140"/>
      <c r="R143" s="140"/>
      <c r="S143" s="140"/>
      <c r="T143" s="140"/>
      <c r="U143" s="140"/>
      <c r="V143" s="140"/>
      <c r="W143" s="140"/>
      <c r="X143" s="140"/>
      <c r="Y143" s="140"/>
      <c r="Z143" s="140"/>
    </row>
    <row r="144" spans="1:26" ht="15.75" customHeight="1" x14ac:dyDescent="0.25">
      <c r="A144" s="284"/>
      <c r="B144" s="285"/>
      <c r="C144" s="140"/>
      <c r="D144" s="140"/>
      <c r="E144" s="140"/>
      <c r="F144" s="285"/>
      <c r="G144" s="140"/>
      <c r="H144" s="140"/>
      <c r="I144" s="285"/>
      <c r="J144" s="285"/>
      <c r="K144" s="281"/>
      <c r="L144" s="140"/>
      <c r="M144" s="140"/>
      <c r="N144" s="140"/>
      <c r="O144" s="281"/>
      <c r="P144" s="140"/>
      <c r="Q144" s="140"/>
      <c r="R144" s="140"/>
      <c r="S144" s="140"/>
      <c r="T144" s="140"/>
      <c r="U144" s="140"/>
      <c r="V144" s="140"/>
      <c r="W144" s="140"/>
      <c r="X144" s="140"/>
      <c r="Y144" s="140"/>
      <c r="Z144" s="140"/>
    </row>
    <row r="145" spans="1:26" ht="15.75" customHeight="1" x14ac:dyDescent="0.25">
      <c r="A145" s="284"/>
      <c r="B145" s="285"/>
      <c r="C145" s="140"/>
      <c r="D145" s="140"/>
      <c r="E145" s="140"/>
      <c r="F145" s="285"/>
      <c r="G145" s="140"/>
      <c r="H145" s="140"/>
      <c r="I145" s="285"/>
      <c r="J145" s="285"/>
      <c r="K145" s="281"/>
      <c r="L145" s="140"/>
      <c r="M145" s="140"/>
      <c r="N145" s="140"/>
      <c r="O145" s="281"/>
      <c r="P145" s="140"/>
      <c r="Q145" s="140"/>
      <c r="R145" s="140"/>
      <c r="S145" s="140"/>
      <c r="T145" s="140"/>
      <c r="U145" s="140"/>
      <c r="V145" s="140"/>
      <c r="W145" s="140"/>
      <c r="X145" s="140"/>
      <c r="Y145" s="140"/>
      <c r="Z145" s="140"/>
    </row>
    <row r="146" spans="1:26" ht="15.75" customHeight="1" x14ac:dyDescent="0.25">
      <c r="A146" s="284"/>
      <c r="B146" s="285"/>
      <c r="C146" s="140"/>
      <c r="D146" s="140"/>
      <c r="E146" s="140"/>
      <c r="F146" s="285"/>
      <c r="G146" s="140"/>
      <c r="H146" s="140"/>
      <c r="I146" s="285"/>
      <c r="J146" s="285"/>
      <c r="K146" s="281"/>
      <c r="L146" s="140"/>
      <c r="M146" s="140"/>
      <c r="N146" s="140"/>
      <c r="O146" s="281"/>
      <c r="P146" s="140"/>
      <c r="Q146" s="140"/>
      <c r="R146" s="140"/>
      <c r="S146" s="140"/>
      <c r="T146" s="140"/>
      <c r="U146" s="140"/>
      <c r="V146" s="140"/>
      <c r="W146" s="140"/>
      <c r="X146" s="140"/>
      <c r="Y146" s="140"/>
      <c r="Z146" s="140"/>
    </row>
    <row r="147" spans="1:26" ht="15.75" customHeight="1" x14ac:dyDescent="0.25">
      <c r="A147" s="284"/>
      <c r="B147" s="285"/>
      <c r="C147" s="140"/>
      <c r="D147" s="140"/>
      <c r="E147" s="140"/>
      <c r="F147" s="285"/>
      <c r="G147" s="140"/>
      <c r="H147" s="140"/>
      <c r="I147" s="285"/>
      <c r="J147" s="285"/>
      <c r="K147" s="281"/>
      <c r="L147" s="140"/>
      <c r="M147" s="140"/>
      <c r="N147" s="140"/>
      <c r="O147" s="281"/>
      <c r="P147" s="140"/>
      <c r="Q147" s="140"/>
      <c r="R147" s="140"/>
      <c r="S147" s="140"/>
      <c r="T147" s="140"/>
      <c r="U147" s="140"/>
      <c r="V147" s="140"/>
      <c r="W147" s="140"/>
      <c r="X147" s="140"/>
      <c r="Y147" s="140"/>
      <c r="Z147" s="140"/>
    </row>
    <row r="148" spans="1:26" ht="15.75" customHeight="1" x14ac:dyDescent="0.25">
      <c r="A148" s="284"/>
      <c r="B148" s="285"/>
      <c r="C148" s="140"/>
      <c r="D148" s="140"/>
      <c r="E148" s="140"/>
      <c r="F148" s="285"/>
      <c r="G148" s="140"/>
      <c r="H148" s="140"/>
      <c r="I148" s="285"/>
      <c r="J148" s="285"/>
      <c r="K148" s="281"/>
      <c r="L148" s="140"/>
      <c r="M148" s="140"/>
      <c r="N148" s="140"/>
      <c r="O148" s="281"/>
      <c r="P148" s="140"/>
      <c r="Q148" s="140"/>
      <c r="R148" s="140"/>
      <c r="S148" s="140"/>
      <c r="T148" s="140"/>
      <c r="U148" s="140"/>
      <c r="V148" s="140"/>
      <c r="W148" s="140"/>
      <c r="X148" s="140"/>
      <c r="Y148" s="140"/>
      <c r="Z148" s="140"/>
    </row>
    <row r="149" spans="1:26" ht="15.75" customHeight="1" x14ac:dyDescent="0.25">
      <c r="A149" s="284"/>
      <c r="B149" s="285"/>
      <c r="C149" s="140"/>
      <c r="D149" s="140"/>
      <c r="E149" s="140"/>
      <c r="F149" s="285"/>
      <c r="G149" s="140"/>
      <c r="H149" s="140"/>
      <c r="I149" s="285"/>
      <c r="J149" s="285"/>
      <c r="K149" s="281"/>
      <c r="L149" s="140"/>
      <c r="M149" s="140"/>
      <c r="N149" s="140"/>
      <c r="O149" s="281"/>
      <c r="P149" s="140"/>
      <c r="Q149" s="140"/>
      <c r="R149" s="140"/>
      <c r="S149" s="140"/>
      <c r="T149" s="140"/>
      <c r="U149" s="140"/>
      <c r="V149" s="140"/>
      <c r="W149" s="140"/>
      <c r="X149" s="140"/>
      <c r="Y149" s="140"/>
      <c r="Z149" s="140"/>
    </row>
    <row r="150" spans="1:26" ht="15.75" customHeight="1" x14ac:dyDescent="0.25">
      <c r="A150" s="284"/>
      <c r="B150" s="285"/>
      <c r="C150" s="140"/>
      <c r="D150" s="140"/>
      <c r="E150" s="140"/>
      <c r="F150" s="285"/>
      <c r="G150" s="140"/>
      <c r="H150" s="140"/>
      <c r="I150" s="285"/>
      <c r="J150" s="285"/>
      <c r="K150" s="281"/>
      <c r="L150" s="140"/>
      <c r="M150" s="140"/>
      <c r="N150" s="140"/>
      <c r="O150" s="281"/>
      <c r="P150" s="140"/>
      <c r="Q150" s="140"/>
      <c r="R150" s="140"/>
      <c r="S150" s="140"/>
      <c r="T150" s="140"/>
      <c r="U150" s="140"/>
      <c r="V150" s="140"/>
      <c r="W150" s="140"/>
      <c r="X150" s="140"/>
      <c r="Y150" s="140"/>
      <c r="Z150" s="140"/>
    </row>
    <row r="151" spans="1:26" ht="15.75" customHeight="1" x14ac:dyDescent="0.25">
      <c r="A151" s="284"/>
      <c r="B151" s="285"/>
      <c r="C151" s="140"/>
      <c r="D151" s="140"/>
      <c r="E151" s="140"/>
      <c r="F151" s="285"/>
      <c r="G151" s="140"/>
      <c r="H151" s="140"/>
      <c r="I151" s="285"/>
      <c r="J151" s="285"/>
      <c r="K151" s="281"/>
      <c r="L151" s="140"/>
      <c r="M151" s="140"/>
      <c r="N151" s="140"/>
      <c r="O151" s="281"/>
      <c r="P151" s="140"/>
      <c r="Q151" s="140"/>
      <c r="R151" s="140"/>
      <c r="S151" s="140"/>
      <c r="T151" s="140"/>
      <c r="U151" s="140"/>
      <c r="V151" s="140"/>
      <c r="W151" s="140"/>
      <c r="X151" s="140"/>
      <c r="Y151" s="140"/>
      <c r="Z151" s="140"/>
    </row>
    <row r="152" spans="1:26" ht="15.75" customHeight="1" x14ac:dyDescent="0.25">
      <c r="A152" s="284"/>
      <c r="B152" s="285"/>
      <c r="C152" s="140"/>
      <c r="D152" s="140"/>
      <c r="E152" s="140"/>
      <c r="F152" s="285"/>
      <c r="G152" s="140"/>
      <c r="H152" s="140"/>
      <c r="I152" s="285"/>
      <c r="J152" s="285"/>
      <c r="K152" s="281"/>
      <c r="L152" s="140"/>
      <c r="M152" s="140"/>
      <c r="N152" s="140"/>
      <c r="O152" s="281"/>
      <c r="P152" s="140"/>
      <c r="Q152" s="140"/>
      <c r="R152" s="140"/>
      <c r="S152" s="140"/>
      <c r="T152" s="140"/>
      <c r="U152" s="140"/>
      <c r="V152" s="140"/>
      <c r="W152" s="140"/>
      <c r="X152" s="140"/>
      <c r="Y152" s="140"/>
      <c r="Z152" s="140"/>
    </row>
    <row r="153" spans="1:26" ht="15.75" customHeight="1" x14ac:dyDescent="0.25">
      <c r="A153" s="284"/>
      <c r="B153" s="285"/>
      <c r="C153" s="140"/>
      <c r="D153" s="140"/>
      <c r="E153" s="140"/>
      <c r="F153" s="285"/>
      <c r="G153" s="140"/>
      <c r="H153" s="140"/>
      <c r="I153" s="285"/>
      <c r="J153" s="285"/>
      <c r="K153" s="281"/>
      <c r="L153" s="140"/>
      <c r="M153" s="140"/>
      <c r="N153" s="140"/>
      <c r="O153" s="281"/>
      <c r="P153" s="140"/>
      <c r="Q153" s="140"/>
      <c r="R153" s="140"/>
      <c r="S153" s="140"/>
      <c r="T153" s="140"/>
      <c r="U153" s="140"/>
      <c r="V153" s="140"/>
      <c r="W153" s="140"/>
      <c r="X153" s="140"/>
      <c r="Y153" s="140"/>
      <c r="Z153" s="140"/>
    </row>
    <row r="154" spans="1:26" ht="15.75" customHeight="1" x14ac:dyDescent="0.25">
      <c r="A154" s="284"/>
      <c r="B154" s="285"/>
      <c r="C154" s="140"/>
      <c r="D154" s="140"/>
      <c r="E154" s="140"/>
      <c r="F154" s="285"/>
      <c r="G154" s="140"/>
      <c r="H154" s="140"/>
      <c r="I154" s="285"/>
      <c r="J154" s="285"/>
      <c r="K154" s="281"/>
      <c r="L154" s="140"/>
      <c r="M154" s="140"/>
      <c r="N154" s="140"/>
      <c r="O154" s="281"/>
      <c r="P154" s="140"/>
      <c r="Q154" s="140"/>
      <c r="R154" s="140"/>
      <c r="S154" s="140"/>
      <c r="T154" s="140"/>
      <c r="U154" s="140"/>
      <c r="V154" s="140"/>
      <c r="W154" s="140"/>
      <c r="X154" s="140"/>
      <c r="Y154" s="140"/>
      <c r="Z154" s="140"/>
    </row>
    <row r="155" spans="1:26" ht="15.75" customHeight="1" x14ac:dyDescent="0.25">
      <c r="A155" s="284"/>
      <c r="B155" s="285"/>
      <c r="C155" s="140"/>
      <c r="D155" s="140"/>
      <c r="E155" s="140"/>
      <c r="F155" s="285"/>
      <c r="G155" s="140"/>
      <c r="H155" s="140"/>
      <c r="I155" s="285"/>
      <c r="J155" s="285"/>
      <c r="K155" s="281"/>
      <c r="L155" s="140"/>
      <c r="M155" s="140"/>
      <c r="N155" s="140"/>
      <c r="O155" s="281"/>
      <c r="P155" s="140"/>
      <c r="Q155" s="140"/>
      <c r="R155" s="140"/>
      <c r="S155" s="140"/>
      <c r="T155" s="140"/>
      <c r="U155" s="140"/>
      <c r="V155" s="140"/>
      <c r="W155" s="140"/>
      <c r="X155" s="140"/>
      <c r="Y155" s="140"/>
      <c r="Z155" s="140"/>
    </row>
    <row r="156" spans="1:26" ht="15.75" customHeight="1" x14ac:dyDescent="0.25">
      <c r="A156" s="284"/>
      <c r="B156" s="285"/>
      <c r="C156" s="140"/>
      <c r="D156" s="140"/>
      <c r="E156" s="140"/>
      <c r="F156" s="285"/>
      <c r="G156" s="140"/>
      <c r="H156" s="140"/>
      <c r="I156" s="285"/>
      <c r="J156" s="285"/>
      <c r="K156" s="281"/>
      <c r="L156" s="140"/>
      <c r="M156" s="140"/>
      <c r="N156" s="140"/>
      <c r="O156" s="281"/>
      <c r="P156" s="140"/>
      <c r="Q156" s="140"/>
      <c r="R156" s="140"/>
      <c r="S156" s="140"/>
      <c r="T156" s="140"/>
      <c r="U156" s="140"/>
      <c r="V156" s="140"/>
      <c r="W156" s="140"/>
      <c r="X156" s="140"/>
      <c r="Y156" s="140"/>
      <c r="Z156" s="140"/>
    </row>
    <row r="157" spans="1:26" ht="15.75" customHeight="1" x14ac:dyDescent="0.25">
      <c r="A157" s="284"/>
      <c r="B157" s="285"/>
      <c r="C157" s="140"/>
      <c r="D157" s="140"/>
      <c r="E157" s="140"/>
      <c r="F157" s="285"/>
      <c r="G157" s="140"/>
      <c r="H157" s="140"/>
      <c r="I157" s="285"/>
      <c r="J157" s="285"/>
      <c r="K157" s="281"/>
      <c r="L157" s="140"/>
      <c r="M157" s="140"/>
      <c r="N157" s="140"/>
      <c r="O157" s="281"/>
      <c r="P157" s="140"/>
      <c r="Q157" s="140"/>
      <c r="R157" s="140"/>
      <c r="S157" s="140"/>
      <c r="T157" s="140"/>
      <c r="U157" s="140"/>
      <c r="V157" s="140"/>
      <c r="W157" s="140"/>
      <c r="X157" s="140"/>
      <c r="Y157" s="140"/>
      <c r="Z157" s="140"/>
    </row>
    <row r="158" spans="1:26" ht="15.75" customHeight="1" x14ac:dyDescent="0.25">
      <c r="A158" s="284"/>
      <c r="B158" s="285"/>
      <c r="C158" s="140"/>
      <c r="D158" s="140"/>
      <c r="E158" s="140"/>
      <c r="F158" s="285"/>
      <c r="G158" s="140"/>
      <c r="H158" s="140"/>
      <c r="I158" s="285"/>
      <c r="J158" s="285"/>
      <c r="K158" s="281"/>
      <c r="L158" s="140"/>
      <c r="M158" s="140"/>
      <c r="N158" s="140"/>
      <c r="O158" s="281"/>
      <c r="P158" s="140"/>
      <c r="Q158" s="140"/>
      <c r="R158" s="140"/>
      <c r="S158" s="140"/>
      <c r="T158" s="140"/>
      <c r="U158" s="140"/>
      <c r="V158" s="140"/>
      <c r="W158" s="140"/>
      <c r="X158" s="140"/>
      <c r="Y158" s="140"/>
      <c r="Z158" s="140"/>
    </row>
    <row r="159" spans="1:26" ht="15.75" customHeight="1" x14ac:dyDescent="0.25">
      <c r="A159" s="284"/>
      <c r="B159" s="285"/>
      <c r="C159" s="140"/>
      <c r="D159" s="140"/>
      <c r="E159" s="140"/>
      <c r="F159" s="285"/>
      <c r="G159" s="140"/>
      <c r="H159" s="140"/>
      <c r="I159" s="285"/>
      <c r="J159" s="285"/>
      <c r="K159" s="281"/>
      <c r="L159" s="140"/>
      <c r="M159" s="140"/>
      <c r="N159" s="140"/>
      <c r="O159" s="281"/>
      <c r="P159" s="140"/>
      <c r="Q159" s="140"/>
      <c r="R159" s="140"/>
      <c r="S159" s="140"/>
      <c r="T159" s="140"/>
      <c r="U159" s="140"/>
      <c r="V159" s="140"/>
      <c r="W159" s="140"/>
      <c r="X159" s="140"/>
      <c r="Y159" s="140"/>
      <c r="Z159" s="140"/>
    </row>
    <row r="160" spans="1:26" ht="15.75" customHeight="1" x14ac:dyDescent="0.25">
      <c r="A160" s="284"/>
      <c r="B160" s="285"/>
      <c r="C160" s="140"/>
      <c r="D160" s="140"/>
      <c r="E160" s="140"/>
      <c r="F160" s="285"/>
      <c r="G160" s="140"/>
      <c r="H160" s="140"/>
      <c r="I160" s="285"/>
      <c r="J160" s="285"/>
      <c r="K160" s="281"/>
      <c r="L160" s="140"/>
      <c r="M160" s="140"/>
      <c r="N160" s="140"/>
      <c r="O160" s="281"/>
      <c r="P160" s="140"/>
      <c r="Q160" s="140"/>
      <c r="R160" s="140"/>
      <c r="S160" s="140"/>
      <c r="T160" s="140"/>
      <c r="U160" s="140"/>
      <c r="V160" s="140"/>
      <c r="W160" s="140"/>
      <c r="X160" s="140"/>
      <c r="Y160" s="140"/>
      <c r="Z160" s="140"/>
    </row>
    <row r="161" spans="1:26" ht="15.75" customHeight="1" x14ac:dyDescent="0.25">
      <c r="A161" s="284"/>
      <c r="B161" s="285"/>
      <c r="C161" s="140"/>
      <c r="D161" s="140"/>
      <c r="E161" s="140"/>
      <c r="F161" s="285"/>
      <c r="G161" s="140"/>
      <c r="H161" s="140"/>
      <c r="I161" s="285"/>
      <c r="J161" s="285"/>
      <c r="K161" s="281"/>
      <c r="L161" s="140"/>
      <c r="M161" s="140"/>
      <c r="N161" s="140"/>
      <c r="O161" s="281"/>
      <c r="P161" s="140"/>
      <c r="Q161" s="140"/>
      <c r="R161" s="140"/>
      <c r="S161" s="140"/>
      <c r="T161" s="140"/>
      <c r="U161" s="140"/>
      <c r="V161" s="140"/>
      <c r="W161" s="140"/>
      <c r="X161" s="140"/>
      <c r="Y161" s="140"/>
      <c r="Z161" s="140"/>
    </row>
    <row r="162" spans="1:26" ht="15.75" customHeight="1" x14ac:dyDescent="0.25">
      <c r="A162" s="284"/>
      <c r="B162" s="285"/>
      <c r="C162" s="140"/>
      <c r="D162" s="140"/>
      <c r="E162" s="140"/>
      <c r="F162" s="285"/>
      <c r="G162" s="140"/>
      <c r="H162" s="140"/>
      <c r="I162" s="285"/>
      <c r="J162" s="285"/>
      <c r="K162" s="281"/>
      <c r="L162" s="140"/>
      <c r="M162" s="140"/>
      <c r="N162" s="140"/>
      <c r="O162" s="281"/>
      <c r="P162" s="140"/>
      <c r="Q162" s="140"/>
      <c r="R162" s="140"/>
      <c r="S162" s="140"/>
      <c r="T162" s="140"/>
      <c r="U162" s="140"/>
      <c r="V162" s="140"/>
      <c r="W162" s="140"/>
      <c r="X162" s="140"/>
      <c r="Y162" s="140"/>
      <c r="Z162" s="140"/>
    </row>
    <row r="163" spans="1:26" ht="15.75" customHeight="1" x14ac:dyDescent="0.25">
      <c r="A163" s="284"/>
      <c r="B163" s="285"/>
      <c r="C163" s="140"/>
      <c r="D163" s="140"/>
      <c r="E163" s="140"/>
      <c r="F163" s="285"/>
      <c r="G163" s="140"/>
      <c r="H163" s="140"/>
      <c r="I163" s="285"/>
      <c r="J163" s="285"/>
      <c r="K163" s="281"/>
      <c r="L163" s="140"/>
      <c r="M163" s="140"/>
      <c r="N163" s="140"/>
      <c r="O163" s="281"/>
      <c r="P163" s="140"/>
      <c r="Q163" s="140"/>
      <c r="R163" s="140"/>
      <c r="S163" s="140"/>
      <c r="T163" s="140"/>
      <c r="U163" s="140"/>
      <c r="V163" s="140"/>
      <c r="W163" s="140"/>
      <c r="X163" s="140"/>
      <c r="Y163" s="140"/>
      <c r="Z163" s="140"/>
    </row>
    <row r="164" spans="1:26" ht="15.75" customHeight="1" x14ac:dyDescent="0.25">
      <c r="A164" s="284"/>
      <c r="B164" s="285"/>
      <c r="C164" s="140"/>
      <c r="D164" s="140"/>
      <c r="E164" s="140"/>
      <c r="F164" s="285"/>
      <c r="G164" s="140"/>
      <c r="H164" s="140"/>
      <c r="I164" s="285"/>
      <c r="J164" s="285"/>
      <c r="K164" s="281"/>
      <c r="L164" s="140"/>
      <c r="M164" s="140"/>
      <c r="N164" s="140"/>
      <c r="O164" s="281"/>
      <c r="P164" s="140"/>
      <c r="Q164" s="140"/>
      <c r="R164" s="140"/>
      <c r="S164" s="140"/>
      <c r="T164" s="140"/>
      <c r="U164" s="140"/>
      <c r="V164" s="140"/>
      <c r="W164" s="140"/>
      <c r="X164" s="140"/>
      <c r="Y164" s="140"/>
      <c r="Z164" s="140"/>
    </row>
    <row r="165" spans="1:26" ht="15.75" customHeight="1" x14ac:dyDescent="0.25">
      <c r="A165" s="284"/>
      <c r="B165" s="285"/>
      <c r="C165" s="140"/>
      <c r="D165" s="140"/>
      <c r="E165" s="140"/>
      <c r="F165" s="285"/>
      <c r="G165" s="140"/>
      <c r="H165" s="140"/>
      <c r="I165" s="285"/>
      <c r="J165" s="285"/>
      <c r="K165" s="281"/>
      <c r="L165" s="140"/>
      <c r="M165" s="140"/>
      <c r="N165" s="140"/>
      <c r="O165" s="281"/>
      <c r="P165" s="140"/>
      <c r="Q165" s="140"/>
      <c r="R165" s="140"/>
      <c r="S165" s="140"/>
      <c r="T165" s="140"/>
      <c r="U165" s="140"/>
      <c r="V165" s="140"/>
      <c r="W165" s="140"/>
      <c r="X165" s="140"/>
      <c r="Y165" s="140"/>
      <c r="Z165" s="140"/>
    </row>
    <row r="166" spans="1:26" ht="15.75" customHeight="1" x14ac:dyDescent="0.25">
      <c r="A166" s="284"/>
      <c r="B166" s="285"/>
      <c r="C166" s="140"/>
      <c r="D166" s="140"/>
      <c r="E166" s="140"/>
      <c r="F166" s="285"/>
      <c r="G166" s="140"/>
      <c r="H166" s="140"/>
      <c r="I166" s="285"/>
      <c r="J166" s="285"/>
      <c r="K166" s="281"/>
      <c r="L166" s="140"/>
      <c r="M166" s="140"/>
      <c r="N166" s="140"/>
      <c r="O166" s="281"/>
      <c r="P166" s="140"/>
      <c r="Q166" s="140"/>
      <c r="R166" s="140"/>
      <c r="S166" s="140"/>
      <c r="T166" s="140"/>
      <c r="U166" s="140"/>
      <c r="V166" s="140"/>
      <c r="W166" s="140"/>
      <c r="X166" s="140"/>
      <c r="Y166" s="140"/>
      <c r="Z166" s="140"/>
    </row>
    <row r="167" spans="1:26" ht="15.75" customHeight="1" x14ac:dyDescent="0.25">
      <c r="A167" s="284"/>
      <c r="B167" s="285"/>
      <c r="C167" s="140"/>
      <c r="D167" s="140"/>
      <c r="E167" s="140"/>
      <c r="F167" s="285"/>
      <c r="G167" s="140"/>
      <c r="H167" s="140"/>
      <c r="I167" s="285"/>
      <c r="J167" s="285"/>
      <c r="K167" s="281"/>
      <c r="L167" s="140"/>
      <c r="M167" s="140"/>
      <c r="N167" s="140"/>
      <c r="O167" s="281"/>
      <c r="P167" s="140"/>
      <c r="Q167" s="140"/>
      <c r="R167" s="140"/>
      <c r="S167" s="140"/>
      <c r="T167" s="140"/>
      <c r="U167" s="140"/>
      <c r="V167" s="140"/>
      <c r="W167" s="140"/>
      <c r="X167" s="140"/>
      <c r="Y167" s="140"/>
      <c r="Z167" s="140"/>
    </row>
    <row r="168" spans="1:26" ht="15.75" customHeight="1" x14ac:dyDescent="0.25">
      <c r="A168" s="284"/>
      <c r="B168" s="285"/>
      <c r="C168" s="140"/>
      <c r="D168" s="140"/>
      <c r="E168" s="140"/>
      <c r="F168" s="285"/>
      <c r="G168" s="140"/>
      <c r="H168" s="140"/>
      <c r="I168" s="285"/>
      <c r="J168" s="285"/>
      <c r="K168" s="281"/>
      <c r="L168" s="140"/>
      <c r="M168" s="140"/>
      <c r="N168" s="140"/>
      <c r="O168" s="281"/>
      <c r="P168" s="140"/>
      <c r="Q168" s="140"/>
      <c r="R168" s="140"/>
      <c r="S168" s="140"/>
      <c r="T168" s="140"/>
      <c r="U168" s="140"/>
      <c r="V168" s="140"/>
      <c r="W168" s="140"/>
      <c r="X168" s="140"/>
      <c r="Y168" s="140"/>
      <c r="Z168" s="140"/>
    </row>
    <row r="169" spans="1:26" ht="15.75" customHeight="1" x14ac:dyDescent="0.25">
      <c r="A169" s="284"/>
      <c r="B169" s="285"/>
      <c r="C169" s="140"/>
      <c r="D169" s="140"/>
      <c r="E169" s="140"/>
      <c r="F169" s="285"/>
      <c r="G169" s="140"/>
      <c r="H169" s="140"/>
      <c r="I169" s="285"/>
      <c r="J169" s="285"/>
      <c r="K169" s="281"/>
      <c r="L169" s="140"/>
      <c r="M169" s="140"/>
      <c r="N169" s="140"/>
      <c r="O169" s="281"/>
      <c r="P169" s="140"/>
      <c r="Q169" s="140"/>
      <c r="R169" s="140"/>
      <c r="S169" s="140"/>
      <c r="T169" s="140"/>
      <c r="U169" s="140"/>
      <c r="V169" s="140"/>
      <c r="W169" s="140"/>
      <c r="X169" s="140"/>
      <c r="Y169" s="140"/>
      <c r="Z169" s="140"/>
    </row>
    <row r="170" spans="1:26" ht="15.75" customHeight="1" x14ac:dyDescent="0.25">
      <c r="A170" s="284"/>
      <c r="B170" s="285"/>
      <c r="C170" s="140"/>
      <c r="D170" s="140"/>
      <c r="E170" s="140"/>
      <c r="F170" s="285"/>
      <c r="G170" s="140"/>
      <c r="H170" s="140"/>
      <c r="I170" s="285"/>
      <c r="J170" s="285"/>
      <c r="K170" s="281"/>
      <c r="L170" s="140"/>
      <c r="M170" s="140"/>
      <c r="N170" s="140"/>
      <c r="O170" s="281"/>
      <c r="P170" s="140"/>
      <c r="Q170" s="140"/>
      <c r="R170" s="140"/>
      <c r="S170" s="140"/>
      <c r="T170" s="140"/>
      <c r="U170" s="140"/>
      <c r="V170" s="140"/>
      <c r="W170" s="140"/>
      <c r="X170" s="140"/>
      <c r="Y170" s="140"/>
      <c r="Z170" s="140"/>
    </row>
    <row r="171" spans="1:26" ht="15.75" customHeight="1" x14ac:dyDescent="0.25">
      <c r="A171" s="284"/>
      <c r="B171" s="285"/>
      <c r="C171" s="140"/>
      <c r="D171" s="140"/>
      <c r="E171" s="140"/>
      <c r="F171" s="285"/>
      <c r="G171" s="140"/>
      <c r="H171" s="140"/>
      <c r="I171" s="285"/>
      <c r="J171" s="285"/>
      <c r="K171" s="281"/>
      <c r="L171" s="140"/>
      <c r="M171" s="140"/>
      <c r="N171" s="140"/>
      <c r="O171" s="281"/>
      <c r="P171" s="140"/>
      <c r="Q171" s="140"/>
      <c r="R171" s="140"/>
      <c r="S171" s="140"/>
      <c r="T171" s="140"/>
      <c r="U171" s="140"/>
      <c r="V171" s="140"/>
      <c r="W171" s="140"/>
      <c r="X171" s="140"/>
      <c r="Y171" s="140"/>
      <c r="Z171" s="140"/>
    </row>
    <row r="172" spans="1:26" ht="15.75" customHeight="1" x14ac:dyDescent="0.25">
      <c r="A172" s="284"/>
      <c r="B172" s="285"/>
      <c r="C172" s="140"/>
      <c r="D172" s="140"/>
      <c r="E172" s="140"/>
      <c r="F172" s="285"/>
      <c r="G172" s="140"/>
      <c r="H172" s="140"/>
      <c r="I172" s="285"/>
      <c r="J172" s="285"/>
      <c r="K172" s="281"/>
      <c r="L172" s="140"/>
      <c r="M172" s="140"/>
      <c r="N172" s="140"/>
      <c r="O172" s="281"/>
      <c r="P172" s="140"/>
      <c r="Q172" s="140"/>
      <c r="R172" s="140"/>
      <c r="S172" s="140"/>
      <c r="T172" s="140"/>
      <c r="U172" s="140"/>
      <c r="V172" s="140"/>
      <c r="W172" s="140"/>
      <c r="X172" s="140"/>
      <c r="Y172" s="140"/>
      <c r="Z172" s="140"/>
    </row>
    <row r="173" spans="1:26" ht="15.75" customHeight="1" x14ac:dyDescent="0.25">
      <c r="A173" s="284"/>
      <c r="B173" s="285"/>
      <c r="C173" s="140"/>
      <c r="D173" s="140"/>
      <c r="E173" s="140"/>
      <c r="F173" s="285"/>
      <c r="G173" s="140"/>
      <c r="H173" s="140"/>
      <c r="I173" s="285"/>
      <c r="J173" s="285"/>
      <c r="K173" s="281"/>
      <c r="L173" s="140"/>
      <c r="M173" s="140"/>
      <c r="N173" s="140"/>
      <c r="O173" s="281"/>
      <c r="P173" s="140"/>
      <c r="Q173" s="140"/>
      <c r="R173" s="140"/>
      <c r="S173" s="140"/>
      <c r="T173" s="140"/>
      <c r="U173" s="140"/>
      <c r="V173" s="140"/>
      <c r="W173" s="140"/>
      <c r="X173" s="140"/>
      <c r="Y173" s="140"/>
      <c r="Z173" s="140"/>
    </row>
    <row r="174" spans="1:26" ht="15.75" customHeight="1" x14ac:dyDescent="0.25">
      <c r="A174" s="284"/>
      <c r="B174" s="285"/>
      <c r="C174" s="140"/>
      <c r="D174" s="140"/>
      <c r="E174" s="140"/>
      <c r="F174" s="285"/>
      <c r="G174" s="140"/>
      <c r="H174" s="140"/>
      <c r="I174" s="285"/>
      <c r="J174" s="285"/>
      <c r="K174" s="281"/>
      <c r="L174" s="140"/>
      <c r="M174" s="140"/>
      <c r="N174" s="140"/>
      <c r="O174" s="281"/>
      <c r="P174" s="140"/>
      <c r="Q174" s="140"/>
      <c r="R174" s="140"/>
      <c r="S174" s="140"/>
      <c r="T174" s="140"/>
      <c r="U174" s="140"/>
      <c r="V174" s="140"/>
      <c r="W174" s="140"/>
      <c r="X174" s="140"/>
      <c r="Y174" s="140"/>
      <c r="Z174" s="140"/>
    </row>
    <row r="175" spans="1:26" ht="15.75" customHeight="1" x14ac:dyDescent="0.25">
      <c r="A175" s="284"/>
      <c r="B175" s="285"/>
      <c r="C175" s="140"/>
      <c r="D175" s="140"/>
      <c r="E175" s="140"/>
      <c r="F175" s="285"/>
      <c r="G175" s="140"/>
      <c r="H175" s="140"/>
      <c r="I175" s="285"/>
      <c r="J175" s="285"/>
      <c r="K175" s="281"/>
      <c r="L175" s="140"/>
      <c r="M175" s="140"/>
      <c r="N175" s="140"/>
      <c r="O175" s="281"/>
      <c r="P175" s="140"/>
      <c r="Q175" s="140"/>
      <c r="R175" s="140"/>
      <c r="S175" s="140"/>
      <c r="T175" s="140"/>
      <c r="U175" s="140"/>
      <c r="V175" s="140"/>
      <c r="W175" s="140"/>
      <c r="X175" s="140"/>
      <c r="Y175" s="140"/>
      <c r="Z175" s="140"/>
    </row>
    <row r="176" spans="1:26" ht="15.75" customHeight="1" x14ac:dyDescent="0.25">
      <c r="A176" s="284"/>
      <c r="B176" s="285"/>
      <c r="C176" s="140"/>
      <c r="D176" s="140"/>
      <c r="E176" s="140"/>
      <c r="F176" s="285"/>
      <c r="G176" s="140"/>
      <c r="H176" s="140"/>
      <c r="I176" s="285"/>
      <c r="J176" s="285"/>
      <c r="K176" s="281"/>
      <c r="L176" s="140"/>
      <c r="M176" s="140"/>
      <c r="N176" s="140"/>
      <c r="O176" s="281"/>
      <c r="P176" s="140"/>
      <c r="Q176" s="140"/>
      <c r="R176" s="140"/>
      <c r="S176" s="140"/>
      <c r="T176" s="140"/>
      <c r="U176" s="140"/>
      <c r="V176" s="140"/>
      <c r="W176" s="140"/>
      <c r="X176" s="140"/>
      <c r="Y176" s="140"/>
      <c r="Z176" s="140"/>
    </row>
    <row r="177" spans="1:26" ht="15.75" customHeight="1" x14ac:dyDescent="0.25">
      <c r="A177" s="284"/>
      <c r="B177" s="285"/>
      <c r="C177" s="140"/>
      <c r="D177" s="140"/>
      <c r="E177" s="140"/>
      <c r="F177" s="285"/>
      <c r="G177" s="140"/>
      <c r="H177" s="140"/>
      <c r="I177" s="285"/>
      <c r="J177" s="285"/>
      <c r="K177" s="281"/>
      <c r="L177" s="140"/>
      <c r="M177" s="140"/>
      <c r="N177" s="140"/>
      <c r="O177" s="281"/>
      <c r="P177" s="140"/>
      <c r="Q177" s="140"/>
      <c r="R177" s="140"/>
      <c r="S177" s="140"/>
      <c r="T177" s="140"/>
      <c r="U177" s="140"/>
      <c r="V177" s="140"/>
      <c r="W177" s="140"/>
      <c r="X177" s="140"/>
      <c r="Y177" s="140"/>
      <c r="Z177" s="140"/>
    </row>
    <row r="178" spans="1:26" ht="15.75" customHeight="1" x14ac:dyDescent="0.25">
      <c r="A178" s="284"/>
      <c r="B178" s="285"/>
      <c r="C178" s="140"/>
      <c r="D178" s="140"/>
      <c r="E178" s="140"/>
      <c r="F178" s="285"/>
      <c r="G178" s="140"/>
      <c r="H178" s="140"/>
      <c r="I178" s="285"/>
      <c r="J178" s="285"/>
      <c r="K178" s="281"/>
      <c r="L178" s="140"/>
      <c r="M178" s="140"/>
      <c r="N178" s="140"/>
      <c r="O178" s="281"/>
      <c r="P178" s="140"/>
      <c r="Q178" s="140"/>
      <c r="R178" s="140"/>
      <c r="S178" s="140"/>
      <c r="T178" s="140"/>
      <c r="U178" s="140"/>
      <c r="V178" s="140"/>
      <c r="W178" s="140"/>
      <c r="X178" s="140"/>
      <c r="Y178" s="140"/>
      <c r="Z178" s="140"/>
    </row>
    <row r="179" spans="1:26" ht="15.75" customHeight="1" x14ac:dyDescent="0.25">
      <c r="A179" s="284"/>
      <c r="B179" s="285"/>
      <c r="C179" s="140"/>
      <c r="D179" s="140"/>
      <c r="E179" s="140"/>
      <c r="F179" s="285"/>
      <c r="G179" s="140"/>
      <c r="H179" s="140"/>
      <c r="I179" s="285"/>
      <c r="J179" s="285"/>
      <c r="K179" s="281"/>
      <c r="L179" s="140"/>
      <c r="M179" s="140"/>
      <c r="N179" s="140"/>
      <c r="O179" s="281"/>
      <c r="P179" s="140"/>
      <c r="Q179" s="140"/>
      <c r="R179" s="140"/>
      <c r="S179" s="140"/>
      <c r="T179" s="140"/>
      <c r="U179" s="140"/>
      <c r="V179" s="140"/>
      <c r="W179" s="140"/>
      <c r="X179" s="140"/>
      <c r="Y179" s="140"/>
      <c r="Z179" s="140"/>
    </row>
    <row r="180" spans="1:26" ht="15.75" customHeight="1" x14ac:dyDescent="0.25">
      <c r="A180" s="284"/>
      <c r="B180" s="285"/>
      <c r="C180" s="140"/>
      <c r="D180" s="140"/>
      <c r="E180" s="140"/>
      <c r="F180" s="285"/>
      <c r="G180" s="140"/>
      <c r="H180" s="140"/>
      <c r="I180" s="285"/>
      <c r="J180" s="285"/>
      <c r="K180" s="281"/>
      <c r="L180" s="140"/>
      <c r="M180" s="140"/>
      <c r="N180" s="140"/>
      <c r="O180" s="281"/>
      <c r="P180" s="140"/>
      <c r="Q180" s="140"/>
      <c r="R180" s="140"/>
      <c r="S180" s="140"/>
      <c r="T180" s="140"/>
      <c r="U180" s="140"/>
      <c r="V180" s="140"/>
      <c r="W180" s="140"/>
      <c r="X180" s="140"/>
      <c r="Y180" s="140"/>
      <c r="Z180" s="140"/>
    </row>
    <row r="181" spans="1:26" ht="15.75" customHeight="1" x14ac:dyDescent="0.25">
      <c r="A181" s="284"/>
      <c r="B181" s="285"/>
      <c r="C181" s="140"/>
      <c r="D181" s="140"/>
      <c r="E181" s="140"/>
      <c r="F181" s="285"/>
      <c r="G181" s="140"/>
      <c r="H181" s="140"/>
      <c r="I181" s="285"/>
      <c r="J181" s="285"/>
      <c r="K181" s="281"/>
      <c r="L181" s="140"/>
      <c r="M181" s="140"/>
      <c r="N181" s="140"/>
      <c r="O181" s="281"/>
      <c r="P181" s="140"/>
      <c r="Q181" s="140"/>
      <c r="R181" s="140"/>
      <c r="S181" s="140"/>
      <c r="T181" s="140"/>
      <c r="U181" s="140"/>
      <c r="V181" s="140"/>
      <c r="W181" s="140"/>
      <c r="X181" s="140"/>
      <c r="Y181" s="140"/>
      <c r="Z181" s="140"/>
    </row>
    <row r="182" spans="1:26" ht="15.75" customHeight="1" x14ac:dyDescent="0.25">
      <c r="A182" s="284"/>
      <c r="B182" s="285"/>
      <c r="C182" s="140"/>
      <c r="D182" s="140"/>
      <c r="E182" s="140"/>
      <c r="F182" s="285"/>
      <c r="G182" s="140"/>
      <c r="H182" s="140"/>
      <c r="I182" s="285"/>
      <c r="J182" s="285"/>
      <c r="K182" s="281"/>
      <c r="L182" s="140"/>
      <c r="M182" s="140"/>
      <c r="N182" s="140"/>
      <c r="O182" s="281"/>
      <c r="P182" s="140"/>
      <c r="Q182" s="140"/>
      <c r="R182" s="140"/>
      <c r="S182" s="140"/>
      <c r="T182" s="140"/>
      <c r="U182" s="140"/>
      <c r="V182" s="140"/>
      <c r="W182" s="140"/>
      <c r="X182" s="140"/>
      <c r="Y182" s="140"/>
      <c r="Z182" s="140"/>
    </row>
    <row r="183" spans="1:26" ht="15.75" customHeight="1" x14ac:dyDescent="0.25">
      <c r="A183" s="284"/>
      <c r="B183" s="285"/>
      <c r="C183" s="140"/>
      <c r="D183" s="140"/>
      <c r="E183" s="140"/>
      <c r="F183" s="285"/>
      <c r="G183" s="140"/>
      <c r="H183" s="140"/>
      <c r="I183" s="285"/>
      <c r="J183" s="285"/>
      <c r="K183" s="281"/>
      <c r="L183" s="140"/>
      <c r="M183" s="140"/>
      <c r="N183" s="140"/>
      <c r="O183" s="281"/>
      <c r="P183" s="140"/>
      <c r="Q183" s="140"/>
      <c r="R183" s="140"/>
      <c r="S183" s="140"/>
      <c r="T183" s="140"/>
      <c r="U183" s="140"/>
      <c r="V183" s="140"/>
      <c r="W183" s="140"/>
      <c r="X183" s="140"/>
      <c r="Y183" s="140"/>
      <c r="Z183" s="140"/>
    </row>
    <row r="184" spans="1:26" ht="15.75" customHeight="1" x14ac:dyDescent="0.25">
      <c r="A184" s="284"/>
      <c r="B184" s="285"/>
      <c r="C184" s="140"/>
      <c r="D184" s="140"/>
      <c r="E184" s="140"/>
      <c r="F184" s="285"/>
      <c r="G184" s="140"/>
      <c r="H184" s="140"/>
      <c r="I184" s="285"/>
      <c r="J184" s="285"/>
      <c r="K184" s="281"/>
      <c r="L184" s="140"/>
      <c r="M184" s="140"/>
      <c r="N184" s="140"/>
      <c r="O184" s="281"/>
      <c r="P184" s="140"/>
      <c r="Q184" s="140"/>
      <c r="R184" s="140"/>
      <c r="S184" s="140"/>
      <c r="T184" s="140"/>
      <c r="U184" s="140"/>
      <c r="V184" s="140"/>
      <c r="W184" s="140"/>
      <c r="X184" s="140"/>
      <c r="Y184" s="140"/>
      <c r="Z184" s="140"/>
    </row>
    <row r="185" spans="1:26" ht="15.75" customHeight="1" x14ac:dyDescent="0.25">
      <c r="A185" s="284"/>
      <c r="B185" s="285"/>
      <c r="C185" s="140"/>
      <c r="D185" s="140"/>
      <c r="E185" s="140"/>
      <c r="F185" s="285"/>
      <c r="G185" s="140"/>
      <c r="H185" s="140"/>
      <c r="I185" s="285"/>
      <c r="J185" s="285"/>
      <c r="K185" s="281"/>
      <c r="L185" s="140"/>
      <c r="M185" s="140"/>
      <c r="N185" s="140"/>
      <c r="O185" s="281"/>
      <c r="P185" s="140"/>
      <c r="Q185" s="140"/>
      <c r="R185" s="140"/>
      <c r="S185" s="140"/>
      <c r="T185" s="140"/>
      <c r="U185" s="140"/>
      <c r="V185" s="140"/>
      <c r="W185" s="140"/>
      <c r="X185" s="140"/>
      <c r="Y185" s="140"/>
      <c r="Z185" s="140"/>
    </row>
    <row r="186" spans="1:26" ht="15.75" customHeight="1" x14ac:dyDescent="0.25">
      <c r="A186" s="284"/>
      <c r="B186" s="285"/>
      <c r="C186" s="140"/>
      <c r="D186" s="140"/>
      <c r="E186" s="140"/>
      <c r="F186" s="285"/>
      <c r="G186" s="140"/>
      <c r="H186" s="140"/>
      <c r="I186" s="285"/>
      <c r="J186" s="285"/>
      <c r="K186" s="281"/>
      <c r="L186" s="140"/>
      <c r="M186" s="140"/>
      <c r="N186" s="140"/>
      <c r="O186" s="281"/>
      <c r="P186" s="140"/>
      <c r="Q186" s="140"/>
      <c r="R186" s="140"/>
      <c r="S186" s="140"/>
      <c r="T186" s="140"/>
      <c r="U186" s="140"/>
      <c r="V186" s="140"/>
      <c r="W186" s="140"/>
      <c r="X186" s="140"/>
      <c r="Y186" s="140"/>
      <c r="Z186" s="140"/>
    </row>
    <row r="187" spans="1:26" ht="15.75" customHeight="1" x14ac:dyDescent="0.25">
      <c r="A187" s="284"/>
      <c r="B187" s="285"/>
      <c r="C187" s="140"/>
      <c r="D187" s="140"/>
      <c r="E187" s="140"/>
      <c r="F187" s="285"/>
      <c r="G187" s="140"/>
      <c r="H187" s="140"/>
      <c r="I187" s="285"/>
      <c r="J187" s="285"/>
      <c r="K187" s="281"/>
      <c r="L187" s="140"/>
      <c r="M187" s="140"/>
      <c r="N187" s="140"/>
      <c r="O187" s="281"/>
      <c r="P187" s="140"/>
      <c r="Q187" s="140"/>
      <c r="R187" s="140"/>
      <c r="S187" s="140"/>
      <c r="T187" s="140"/>
      <c r="U187" s="140"/>
      <c r="V187" s="140"/>
      <c r="W187" s="140"/>
      <c r="X187" s="140"/>
      <c r="Y187" s="140"/>
      <c r="Z187" s="140"/>
    </row>
    <row r="188" spans="1:26" ht="15.75" customHeight="1" x14ac:dyDescent="0.25">
      <c r="A188" s="284"/>
      <c r="B188" s="285"/>
      <c r="C188" s="140"/>
      <c r="D188" s="140"/>
      <c r="E188" s="140"/>
      <c r="F188" s="285"/>
      <c r="G188" s="140"/>
      <c r="H188" s="140"/>
      <c r="I188" s="285"/>
      <c r="J188" s="285"/>
      <c r="K188" s="281"/>
      <c r="L188" s="140"/>
      <c r="M188" s="140"/>
      <c r="N188" s="140"/>
      <c r="O188" s="281"/>
      <c r="P188" s="140"/>
      <c r="Q188" s="140"/>
      <c r="R188" s="140"/>
      <c r="S188" s="140"/>
      <c r="T188" s="140"/>
      <c r="U188" s="140"/>
      <c r="V188" s="140"/>
      <c r="W188" s="140"/>
      <c r="X188" s="140"/>
      <c r="Y188" s="140"/>
      <c r="Z188" s="140"/>
    </row>
    <row r="189" spans="1:26" ht="15.75" customHeight="1" x14ac:dyDescent="0.25">
      <c r="A189" s="284"/>
      <c r="B189" s="285"/>
      <c r="C189" s="140"/>
      <c r="D189" s="140"/>
      <c r="E189" s="140"/>
      <c r="F189" s="285"/>
      <c r="G189" s="140"/>
      <c r="H189" s="140"/>
      <c r="I189" s="285"/>
      <c r="J189" s="285"/>
      <c r="K189" s="281"/>
      <c r="L189" s="140"/>
      <c r="M189" s="140"/>
      <c r="N189" s="140"/>
      <c r="O189" s="281"/>
      <c r="P189" s="140"/>
      <c r="Q189" s="140"/>
      <c r="R189" s="140"/>
      <c r="S189" s="140"/>
      <c r="T189" s="140"/>
      <c r="U189" s="140"/>
      <c r="V189" s="140"/>
      <c r="W189" s="140"/>
      <c r="X189" s="140"/>
      <c r="Y189" s="140"/>
      <c r="Z189" s="140"/>
    </row>
    <row r="190" spans="1:26" ht="15.75" customHeight="1" x14ac:dyDescent="0.25">
      <c r="A190" s="284"/>
      <c r="B190" s="285"/>
      <c r="C190" s="140"/>
      <c r="D190" s="140"/>
      <c r="E190" s="140"/>
      <c r="F190" s="285"/>
      <c r="G190" s="140"/>
      <c r="H190" s="140"/>
      <c r="I190" s="285"/>
      <c r="J190" s="285"/>
      <c r="K190" s="281"/>
      <c r="L190" s="140"/>
      <c r="M190" s="140"/>
      <c r="N190" s="140"/>
      <c r="O190" s="281"/>
      <c r="P190" s="140"/>
      <c r="Q190" s="140"/>
      <c r="R190" s="140"/>
      <c r="S190" s="140"/>
      <c r="T190" s="140"/>
      <c r="U190" s="140"/>
      <c r="V190" s="140"/>
      <c r="W190" s="140"/>
      <c r="X190" s="140"/>
      <c r="Y190" s="140"/>
      <c r="Z190" s="140"/>
    </row>
    <row r="191" spans="1:26" ht="15.75" customHeight="1" x14ac:dyDescent="0.25">
      <c r="A191" s="284"/>
      <c r="B191" s="285"/>
      <c r="C191" s="140"/>
      <c r="D191" s="140"/>
      <c r="E191" s="140"/>
      <c r="F191" s="285"/>
      <c r="G191" s="140"/>
      <c r="H191" s="140"/>
      <c r="I191" s="285"/>
      <c r="J191" s="285"/>
      <c r="K191" s="281"/>
      <c r="L191" s="140"/>
      <c r="M191" s="140"/>
      <c r="N191" s="140"/>
      <c r="O191" s="281"/>
      <c r="P191" s="140"/>
      <c r="Q191" s="140"/>
      <c r="R191" s="140"/>
      <c r="S191" s="140"/>
      <c r="T191" s="140"/>
      <c r="U191" s="140"/>
      <c r="V191" s="140"/>
      <c r="W191" s="140"/>
      <c r="X191" s="140"/>
      <c r="Y191" s="140"/>
      <c r="Z191" s="140"/>
    </row>
    <row r="192" spans="1:26" ht="15.75" customHeight="1" x14ac:dyDescent="0.25">
      <c r="A192" s="284"/>
      <c r="B192" s="285"/>
      <c r="C192" s="140"/>
      <c r="D192" s="140"/>
      <c r="E192" s="140"/>
      <c r="F192" s="285"/>
      <c r="G192" s="140"/>
      <c r="H192" s="140"/>
      <c r="I192" s="285"/>
      <c r="J192" s="285"/>
      <c r="K192" s="281"/>
      <c r="L192" s="140"/>
      <c r="M192" s="140"/>
      <c r="N192" s="140"/>
      <c r="O192" s="281"/>
      <c r="P192" s="140"/>
      <c r="Q192" s="140"/>
      <c r="R192" s="140"/>
      <c r="S192" s="140"/>
      <c r="T192" s="140"/>
      <c r="U192" s="140"/>
      <c r="V192" s="140"/>
      <c r="W192" s="140"/>
      <c r="X192" s="140"/>
      <c r="Y192" s="140"/>
      <c r="Z192" s="140"/>
    </row>
    <row r="193" spans="1:26" ht="15.75" customHeight="1" x14ac:dyDescent="0.25">
      <c r="A193" s="284"/>
      <c r="B193" s="285"/>
      <c r="C193" s="140"/>
      <c r="D193" s="140"/>
      <c r="E193" s="140"/>
      <c r="F193" s="285"/>
      <c r="G193" s="140"/>
      <c r="H193" s="140"/>
      <c r="I193" s="285"/>
      <c r="J193" s="285"/>
      <c r="K193" s="281"/>
      <c r="L193" s="140"/>
      <c r="M193" s="140"/>
      <c r="N193" s="140"/>
      <c r="O193" s="281"/>
      <c r="P193" s="140"/>
      <c r="Q193" s="140"/>
      <c r="R193" s="140"/>
      <c r="S193" s="140"/>
      <c r="T193" s="140"/>
      <c r="U193" s="140"/>
      <c r="V193" s="140"/>
      <c r="W193" s="140"/>
      <c r="X193" s="140"/>
      <c r="Y193" s="140"/>
      <c r="Z193" s="140"/>
    </row>
    <row r="194" spans="1:26" ht="15.75" customHeight="1" x14ac:dyDescent="0.25">
      <c r="A194" s="284"/>
      <c r="B194" s="285"/>
      <c r="C194" s="140"/>
      <c r="D194" s="140"/>
      <c r="E194" s="140"/>
      <c r="F194" s="285"/>
      <c r="G194" s="140"/>
      <c r="H194" s="140"/>
      <c r="I194" s="285"/>
      <c r="J194" s="285"/>
      <c r="K194" s="281"/>
      <c r="L194" s="140"/>
      <c r="M194" s="140"/>
      <c r="N194" s="140"/>
      <c r="O194" s="281"/>
      <c r="P194" s="140"/>
      <c r="Q194" s="140"/>
      <c r="R194" s="140"/>
      <c r="S194" s="140"/>
      <c r="T194" s="140"/>
      <c r="U194" s="140"/>
      <c r="V194" s="140"/>
      <c r="W194" s="140"/>
      <c r="X194" s="140"/>
      <c r="Y194" s="140"/>
      <c r="Z194" s="140"/>
    </row>
    <row r="195" spans="1:26" ht="15.75" customHeight="1" x14ac:dyDescent="0.25">
      <c r="A195" s="284"/>
      <c r="B195" s="285"/>
      <c r="C195" s="140"/>
      <c r="D195" s="140"/>
      <c r="E195" s="140"/>
      <c r="F195" s="285"/>
      <c r="G195" s="140"/>
      <c r="H195" s="140"/>
      <c r="I195" s="285"/>
      <c r="J195" s="285"/>
      <c r="K195" s="281"/>
      <c r="L195" s="140"/>
      <c r="M195" s="140"/>
      <c r="N195" s="140"/>
      <c r="O195" s="281"/>
      <c r="P195" s="140"/>
      <c r="Q195" s="140"/>
      <c r="R195" s="140"/>
      <c r="S195" s="140"/>
      <c r="T195" s="140"/>
      <c r="U195" s="140"/>
      <c r="V195" s="140"/>
      <c r="W195" s="140"/>
      <c r="X195" s="140"/>
      <c r="Y195" s="140"/>
      <c r="Z195" s="140"/>
    </row>
    <row r="196" spans="1:26" ht="15.75" customHeight="1" x14ac:dyDescent="0.25">
      <c r="A196" s="284"/>
      <c r="B196" s="285"/>
      <c r="C196" s="140"/>
      <c r="D196" s="140"/>
      <c r="E196" s="140"/>
      <c r="F196" s="285"/>
      <c r="G196" s="140"/>
      <c r="H196" s="140"/>
      <c r="I196" s="285"/>
      <c r="J196" s="285"/>
      <c r="K196" s="281"/>
      <c r="L196" s="140"/>
      <c r="M196" s="140"/>
      <c r="N196" s="140"/>
      <c r="O196" s="281"/>
      <c r="P196" s="140"/>
      <c r="Q196" s="140"/>
      <c r="R196" s="140"/>
      <c r="S196" s="140"/>
      <c r="T196" s="140"/>
      <c r="U196" s="140"/>
      <c r="V196" s="140"/>
      <c r="W196" s="140"/>
      <c r="X196" s="140"/>
      <c r="Y196" s="140"/>
      <c r="Z196" s="140"/>
    </row>
    <row r="197" spans="1:26" ht="15.75" customHeight="1" x14ac:dyDescent="0.25">
      <c r="A197" s="284"/>
      <c r="B197" s="285"/>
      <c r="C197" s="140"/>
      <c r="D197" s="140"/>
      <c r="E197" s="140"/>
      <c r="F197" s="285"/>
      <c r="G197" s="140"/>
      <c r="H197" s="140"/>
      <c r="I197" s="285"/>
      <c r="J197" s="285"/>
      <c r="K197" s="281"/>
      <c r="L197" s="140"/>
      <c r="M197" s="140"/>
      <c r="N197" s="140"/>
      <c r="O197" s="281"/>
      <c r="P197" s="140"/>
      <c r="Q197" s="140"/>
      <c r="R197" s="140"/>
      <c r="S197" s="140"/>
      <c r="T197" s="140"/>
      <c r="U197" s="140"/>
      <c r="V197" s="140"/>
      <c r="W197" s="140"/>
      <c r="X197" s="140"/>
      <c r="Y197" s="140"/>
      <c r="Z197" s="140"/>
    </row>
    <row r="198" spans="1:26" ht="15.75" customHeight="1" x14ac:dyDescent="0.25">
      <c r="A198" s="284"/>
      <c r="B198" s="285"/>
      <c r="C198" s="140"/>
      <c r="D198" s="140"/>
      <c r="E198" s="140"/>
      <c r="F198" s="285"/>
      <c r="G198" s="140"/>
      <c r="H198" s="140"/>
      <c r="I198" s="285"/>
      <c r="J198" s="285"/>
      <c r="K198" s="281"/>
      <c r="L198" s="140"/>
      <c r="M198" s="140"/>
      <c r="N198" s="140"/>
      <c r="O198" s="281"/>
      <c r="P198" s="140"/>
      <c r="Q198" s="140"/>
      <c r="R198" s="140"/>
      <c r="S198" s="140"/>
      <c r="T198" s="140"/>
      <c r="U198" s="140"/>
      <c r="V198" s="140"/>
      <c r="W198" s="140"/>
      <c r="X198" s="140"/>
      <c r="Y198" s="140"/>
      <c r="Z198" s="140"/>
    </row>
    <row r="199" spans="1:26" ht="15.75" customHeight="1" x14ac:dyDescent="0.25">
      <c r="A199" s="284"/>
      <c r="B199" s="285"/>
      <c r="C199" s="140"/>
      <c r="D199" s="140"/>
      <c r="E199" s="140"/>
      <c r="F199" s="285"/>
      <c r="G199" s="140"/>
      <c r="H199" s="140"/>
      <c r="I199" s="285"/>
      <c r="J199" s="285"/>
      <c r="K199" s="281"/>
      <c r="L199" s="140"/>
      <c r="M199" s="140"/>
      <c r="N199" s="140"/>
      <c r="O199" s="281"/>
      <c r="P199" s="140"/>
      <c r="Q199" s="140"/>
      <c r="R199" s="140"/>
      <c r="S199" s="140"/>
      <c r="T199" s="140"/>
      <c r="U199" s="140"/>
      <c r="V199" s="140"/>
      <c r="W199" s="140"/>
      <c r="X199" s="140"/>
      <c r="Y199" s="140"/>
      <c r="Z199" s="140"/>
    </row>
    <row r="200" spans="1:26" ht="15.75" customHeight="1" x14ac:dyDescent="0.25">
      <c r="A200" s="284"/>
      <c r="B200" s="285"/>
      <c r="C200" s="140"/>
      <c r="D200" s="140"/>
      <c r="E200" s="140"/>
      <c r="F200" s="285"/>
      <c r="G200" s="140"/>
      <c r="H200" s="140"/>
      <c r="I200" s="285"/>
      <c r="J200" s="285"/>
      <c r="K200" s="281"/>
      <c r="L200" s="140"/>
      <c r="M200" s="140"/>
      <c r="N200" s="140"/>
      <c r="O200" s="281"/>
      <c r="P200" s="140"/>
      <c r="Q200" s="140"/>
      <c r="R200" s="140"/>
      <c r="S200" s="140"/>
      <c r="T200" s="140"/>
      <c r="U200" s="140"/>
      <c r="V200" s="140"/>
      <c r="W200" s="140"/>
      <c r="X200" s="140"/>
      <c r="Y200" s="140"/>
      <c r="Z200" s="140"/>
    </row>
    <row r="201" spans="1:26" ht="15.75" customHeight="1" x14ac:dyDescent="0.25">
      <c r="A201" s="284"/>
      <c r="B201" s="285"/>
      <c r="C201" s="140"/>
      <c r="D201" s="140"/>
      <c r="E201" s="140"/>
      <c r="F201" s="285"/>
      <c r="G201" s="140"/>
      <c r="H201" s="140"/>
      <c r="I201" s="285"/>
      <c r="J201" s="285"/>
      <c r="K201" s="281"/>
      <c r="L201" s="140"/>
      <c r="M201" s="140"/>
      <c r="N201" s="140"/>
      <c r="O201" s="281"/>
      <c r="P201" s="140"/>
      <c r="Q201" s="140"/>
      <c r="R201" s="140"/>
      <c r="S201" s="140"/>
      <c r="T201" s="140"/>
      <c r="U201" s="140"/>
      <c r="V201" s="140"/>
      <c r="W201" s="140"/>
      <c r="X201" s="140"/>
      <c r="Y201" s="140"/>
      <c r="Z201" s="140"/>
    </row>
    <row r="202" spans="1:26" ht="15.75" customHeight="1" x14ac:dyDescent="0.25">
      <c r="A202" s="284"/>
      <c r="B202" s="285"/>
      <c r="C202" s="140"/>
      <c r="D202" s="140"/>
      <c r="E202" s="140"/>
      <c r="F202" s="285"/>
      <c r="G202" s="140"/>
      <c r="H202" s="140"/>
      <c r="I202" s="285"/>
      <c r="J202" s="285"/>
      <c r="K202" s="281"/>
      <c r="L202" s="140"/>
      <c r="M202" s="140"/>
      <c r="N202" s="140"/>
      <c r="O202" s="281"/>
      <c r="P202" s="140"/>
      <c r="Q202" s="140"/>
      <c r="R202" s="140"/>
      <c r="S202" s="140"/>
      <c r="T202" s="140"/>
      <c r="U202" s="140"/>
      <c r="V202" s="140"/>
      <c r="W202" s="140"/>
      <c r="X202" s="140"/>
      <c r="Y202" s="140"/>
      <c r="Z202" s="140"/>
    </row>
    <row r="203" spans="1:26" ht="15.75" customHeight="1" x14ac:dyDescent="0.25">
      <c r="A203" s="284"/>
      <c r="B203" s="285"/>
      <c r="C203" s="140"/>
      <c r="D203" s="140"/>
      <c r="E203" s="140"/>
      <c r="F203" s="285"/>
      <c r="G203" s="140"/>
      <c r="H203" s="140"/>
      <c r="I203" s="285"/>
      <c r="J203" s="285"/>
      <c r="K203" s="281"/>
      <c r="L203" s="140"/>
      <c r="M203" s="140"/>
      <c r="N203" s="140"/>
      <c r="O203" s="281"/>
      <c r="P203" s="140"/>
      <c r="Q203" s="140"/>
      <c r="R203" s="140"/>
      <c r="S203" s="140"/>
      <c r="T203" s="140"/>
      <c r="U203" s="140"/>
      <c r="V203" s="140"/>
      <c r="W203" s="140"/>
      <c r="X203" s="140"/>
      <c r="Y203" s="140"/>
      <c r="Z203" s="140"/>
    </row>
    <row r="204" spans="1:26" ht="15.75" customHeight="1" x14ac:dyDescent="0.25">
      <c r="A204" s="284"/>
      <c r="B204" s="285"/>
      <c r="C204" s="140"/>
      <c r="D204" s="140"/>
      <c r="E204" s="140"/>
      <c r="F204" s="285"/>
      <c r="G204" s="140"/>
      <c r="H204" s="140"/>
      <c r="I204" s="285"/>
      <c r="J204" s="285"/>
      <c r="K204" s="281"/>
      <c r="L204" s="140"/>
      <c r="M204" s="140"/>
      <c r="N204" s="140"/>
      <c r="O204" s="281"/>
      <c r="P204" s="140"/>
      <c r="Q204" s="140"/>
      <c r="R204" s="140"/>
      <c r="S204" s="140"/>
      <c r="T204" s="140"/>
      <c r="U204" s="140"/>
      <c r="V204" s="140"/>
      <c r="W204" s="140"/>
      <c r="X204" s="140"/>
      <c r="Y204" s="140"/>
      <c r="Z204" s="140"/>
    </row>
    <row r="205" spans="1:26" ht="15.75" customHeight="1" x14ac:dyDescent="0.25">
      <c r="A205" s="284"/>
      <c r="B205" s="285"/>
      <c r="C205" s="140"/>
      <c r="D205" s="140"/>
      <c r="E205" s="140"/>
      <c r="F205" s="285"/>
      <c r="G205" s="140"/>
      <c r="H205" s="140"/>
      <c r="I205" s="285"/>
      <c r="J205" s="285"/>
      <c r="K205" s="281"/>
      <c r="L205" s="140"/>
      <c r="M205" s="140"/>
      <c r="N205" s="140"/>
      <c r="O205" s="281"/>
      <c r="P205" s="140"/>
      <c r="Q205" s="140"/>
      <c r="R205" s="140"/>
      <c r="S205" s="140"/>
      <c r="T205" s="140"/>
      <c r="U205" s="140"/>
      <c r="V205" s="140"/>
      <c r="W205" s="140"/>
      <c r="X205" s="140"/>
      <c r="Y205" s="140"/>
      <c r="Z205" s="140"/>
    </row>
    <row r="206" spans="1:26" ht="15.75" customHeight="1" x14ac:dyDescent="0.25">
      <c r="A206" s="284"/>
      <c r="B206" s="285"/>
      <c r="C206" s="140"/>
      <c r="D206" s="140"/>
      <c r="E206" s="140"/>
      <c r="F206" s="285"/>
      <c r="G206" s="140"/>
      <c r="H206" s="140"/>
      <c r="I206" s="285"/>
      <c r="J206" s="285"/>
      <c r="K206" s="281"/>
      <c r="L206" s="140"/>
      <c r="M206" s="140"/>
      <c r="N206" s="140"/>
      <c r="O206" s="281"/>
      <c r="P206" s="140"/>
      <c r="Q206" s="140"/>
      <c r="R206" s="140"/>
      <c r="S206" s="140"/>
      <c r="T206" s="140"/>
      <c r="U206" s="140"/>
      <c r="V206" s="140"/>
      <c r="W206" s="140"/>
      <c r="X206" s="140"/>
      <c r="Y206" s="140"/>
      <c r="Z206" s="140"/>
    </row>
    <row r="207" spans="1:26" ht="15.75" customHeight="1" x14ac:dyDescent="0.25">
      <c r="A207" s="284"/>
      <c r="B207" s="285"/>
      <c r="C207" s="140"/>
      <c r="D207" s="140"/>
      <c r="E207" s="140"/>
      <c r="F207" s="285"/>
      <c r="G207" s="140"/>
      <c r="H207" s="140"/>
      <c r="I207" s="285"/>
      <c r="J207" s="285"/>
      <c r="K207" s="281"/>
      <c r="L207" s="140"/>
      <c r="M207" s="140"/>
      <c r="N207" s="140"/>
      <c r="O207" s="281"/>
      <c r="P207" s="140"/>
      <c r="Q207" s="140"/>
      <c r="R207" s="140"/>
      <c r="S207" s="140"/>
      <c r="T207" s="140"/>
      <c r="U207" s="140"/>
      <c r="V207" s="140"/>
      <c r="W207" s="140"/>
      <c r="X207" s="140"/>
      <c r="Y207" s="140"/>
      <c r="Z207" s="140"/>
    </row>
    <row r="208" spans="1:26" ht="15.75" customHeight="1" x14ac:dyDescent="0.25">
      <c r="A208" s="284"/>
      <c r="B208" s="285"/>
      <c r="C208" s="140"/>
      <c r="D208" s="140"/>
      <c r="E208" s="140"/>
      <c r="F208" s="285"/>
      <c r="G208" s="140"/>
      <c r="H208" s="140"/>
      <c r="I208" s="285"/>
      <c r="J208" s="285"/>
      <c r="K208" s="281"/>
      <c r="L208" s="140"/>
      <c r="M208" s="140"/>
      <c r="N208" s="140"/>
      <c r="O208" s="281"/>
      <c r="P208" s="140"/>
      <c r="Q208" s="140"/>
      <c r="R208" s="140"/>
      <c r="S208" s="140"/>
      <c r="T208" s="140"/>
      <c r="U208" s="140"/>
      <c r="V208" s="140"/>
      <c r="W208" s="140"/>
      <c r="X208" s="140"/>
      <c r="Y208" s="140"/>
      <c r="Z208" s="140"/>
    </row>
    <row r="209" spans="1:26" ht="15.75" customHeight="1" x14ac:dyDescent="0.25">
      <c r="A209" s="284"/>
      <c r="B209" s="285"/>
      <c r="C209" s="140"/>
      <c r="D209" s="140"/>
      <c r="E209" s="140"/>
      <c r="F209" s="285"/>
      <c r="G209" s="140"/>
      <c r="H209" s="140"/>
      <c r="I209" s="285"/>
      <c r="J209" s="285"/>
      <c r="K209" s="281"/>
      <c r="L209" s="140"/>
      <c r="M209" s="140"/>
      <c r="N209" s="140"/>
      <c r="O209" s="281"/>
      <c r="P209" s="140"/>
      <c r="Q209" s="140"/>
      <c r="R209" s="140"/>
      <c r="S209" s="140"/>
      <c r="T209" s="140"/>
      <c r="U209" s="140"/>
      <c r="V209" s="140"/>
      <c r="W209" s="140"/>
      <c r="X209" s="140"/>
      <c r="Y209" s="140"/>
      <c r="Z209" s="140"/>
    </row>
    <row r="210" spans="1:26" ht="15.75" customHeight="1" x14ac:dyDescent="0.25">
      <c r="A210" s="284"/>
      <c r="B210" s="285"/>
      <c r="C210" s="140"/>
      <c r="D210" s="140"/>
      <c r="E210" s="140"/>
      <c r="F210" s="285"/>
      <c r="G210" s="140"/>
      <c r="H210" s="140"/>
      <c r="I210" s="285"/>
      <c r="J210" s="285"/>
      <c r="K210" s="281"/>
      <c r="L210" s="140"/>
      <c r="M210" s="140"/>
      <c r="N210" s="140"/>
      <c r="O210" s="281"/>
      <c r="P210" s="140"/>
      <c r="Q210" s="140"/>
      <c r="R210" s="140"/>
      <c r="S210" s="140"/>
      <c r="T210" s="140"/>
      <c r="U210" s="140"/>
      <c r="V210" s="140"/>
      <c r="W210" s="140"/>
      <c r="X210" s="140"/>
      <c r="Y210" s="140"/>
      <c r="Z210" s="140"/>
    </row>
    <row r="211" spans="1:26" ht="15.75" customHeight="1" x14ac:dyDescent="0.25">
      <c r="A211" s="284"/>
      <c r="B211" s="285"/>
      <c r="C211" s="140"/>
      <c r="D211" s="140"/>
      <c r="E211" s="140"/>
      <c r="F211" s="285"/>
      <c r="G211" s="140"/>
      <c r="H211" s="140"/>
      <c r="I211" s="285"/>
      <c r="J211" s="285"/>
      <c r="K211" s="281"/>
      <c r="L211" s="140"/>
      <c r="M211" s="140"/>
      <c r="N211" s="140"/>
      <c r="O211" s="281"/>
      <c r="P211" s="140"/>
      <c r="Q211" s="140"/>
      <c r="R211" s="140"/>
      <c r="S211" s="140"/>
      <c r="T211" s="140"/>
      <c r="U211" s="140"/>
      <c r="V211" s="140"/>
      <c r="W211" s="140"/>
      <c r="X211" s="140"/>
      <c r="Y211" s="140"/>
      <c r="Z211" s="140"/>
    </row>
    <row r="212" spans="1:26" ht="15.75" customHeight="1" x14ac:dyDescent="0.25">
      <c r="A212" s="284"/>
      <c r="B212" s="285"/>
      <c r="C212" s="140"/>
      <c r="D212" s="140"/>
      <c r="E212" s="140"/>
      <c r="F212" s="285"/>
      <c r="G212" s="140"/>
      <c r="H212" s="140"/>
      <c r="I212" s="285"/>
      <c r="J212" s="285"/>
      <c r="K212" s="281"/>
      <c r="L212" s="140"/>
      <c r="M212" s="140"/>
      <c r="N212" s="140"/>
      <c r="O212" s="281"/>
      <c r="P212" s="140"/>
      <c r="Q212" s="140"/>
      <c r="R212" s="140"/>
      <c r="S212" s="140"/>
      <c r="T212" s="140"/>
      <c r="U212" s="140"/>
      <c r="V212" s="140"/>
      <c r="W212" s="140"/>
      <c r="X212" s="140"/>
      <c r="Y212" s="140"/>
      <c r="Z212" s="140"/>
    </row>
    <row r="213" spans="1:26" ht="15.75" customHeight="1" x14ac:dyDescent="0.25">
      <c r="A213" s="284"/>
      <c r="B213" s="285"/>
      <c r="C213" s="140"/>
      <c r="D213" s="140"/>
      <c r="E213" s="140"/>
      <c r="F213" s="285"/>
      <c r="G213" s="140"/>
      <c r="H213" s="140"/>
      <c r="I213" s="285"/>
      <c r="J213" s="285"/>
      <c r="K213" s="281"/>
      <c r="L213" s="140"/>
      <c r="M213" s="140"/>
      <c r="N213" s="140"/>
      <c r="O213" s="281"/>
      <c r="P213" s="140"/>
      <c r="Q213" s="140"/>
      <c r="R213" s="140"/>
      <c r="S213" s="140"/>
      <c r="T213" s="140"/>
      <c r="U213" s="140"/>
      <c r="V213" s="140"/>
      <c r="W213" s="140"/>
      <c r="X213" s="140"/>
      <c r="Y213" s="140"/>
      <c r="Z213" s="140"/>
    </row>
    <row r="214" spans="1:26" ht="15.75" customHeight="1" x14ac:dyDescent="0.25">
      <c r="A214" s="284"/>
      <c r="B214" s="285"/>
      <c r="C214" s="140"/>
      <c r="D214" s="140"/>
      <c r="E214" s="140"/>
      <c r="F214" s="285"/>
      <c r="G214" s="140"/>
      <c r="H214" s="140"/>
      <c r="I214" s="285"/>
      <c r="J214" s="285"/>
      <c r="K214" s="281"/>
      <c r="L214" s="140"/>
      <c r="M214" s="140"/>
      <c r="N214" s="140"/>
      <c r="O214" s="281"/>
      <c r="P214" s="140"/>
      <c r="Q214" s="140"/>
      <c r="R214" s="140"/>
      <c r="S214" s="140"/>
      <c r="T214" s="140"/>
      <c r="U214" s="140"/>
      <c r="V214" s="140"/>
      <c r="W214" s="140"/>
      <c r="X214" s="140"/>
      <c r="Y214" s="140"/>
      <c r="Z214" s="140"/>
    </row>
    <row r="215" spans="1:26" ht="15.75" customHeight="1" x14ac:dyDescent="0.25">
      <c r="A215" s="284"/>
      <c r="B215" s="285"/>
      <c r="C215" s="140"/>
      <c r="D215" s="140"/>
      <c r="E215" s="140"/>
      <c r="F215" s="285"/>
      <c r="G215" s="140"/>
      <c r="H215" s="140"/>
      <c r="I215" s="285"/>
      <c r="J215" s="285"/>
      <c r="K215" s="281"/>
      <c r="L215" s="140"/>
      <c r="M215" s="140"/>
      <c r="N215" s="140"/>
      <c r="O215" s="281"/>
      <c r="P215" s="140"/>
      <c r="Q215" s="140"/>
      <c r="R215" s="140"/>
      <c r="S215" s="140"/>
      <c r="T215" s="140"/>
      <c r="U215" s="140"/>
      <c r="V215" s="140"/>
      <c r="W215" s="140"/>
      <c r="X215" s="140"/>
      <c r="Y215" s="140"/>
      <c r="Z215" s="140"/>
    </row>
    <row r="216" spans="1:26" ht="15.75" customHeight="1" x14ac:dyDescent="0.25">
      <c r="A216" s="284"/>
      <c r="B216" s="285"/>
      <c r="C216" s="140"/>
      <c r="D216" s="140"/>
      <c r="E216" s="140"/>
      <c r="F216" s="285"/>
      <c r="G216" s="140"/>
      <c r="H216" s="140"/>
      <c r="I216" s="285"/>
      <c r="J216" s="285"/>
      <c r="K216" s="281"/>
      <c r="L216" s="140"/>
      <c r="M216" s="140"/>
      <c r="N216" s="140"/>
      <c r="O216" s="281"/>
      <c r="P216" s="140"/>
      <c r="Q216" s="140"/>
      <c r="R216" s="140"/>
      <c r="S216" s="140"/>
      <c r="T216" s="140"/>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topLeftCell="A6" zoomScale="53" zoomScaleNormal="53" workbookViewId="0">
      <selection activeCell="C7" sqref="C7"/>
    </sheetView>
  </sheetViews>
  <sheetFormatPr defaultColWidth="12.6640625" defaultRowHeight="15" customHeight="1" x14ac:dyDescent="0.25"/>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x14ac:dyDescent="0.3">
      <c r="A1" s="286"/>
      <c r="B1" s="41"/>
      <c r="C1" s="41"/>
      <c r="D1" s="41"/>
      <c r="E1" s="41"/>
      <c r="F1" s="287"/>
      <c r="G1" s="287"/>
      <c r="H1" s="287"/>
      <c r="I1" s="287"/>
      <c r="J1" s="287"/>
      <c r="K1" s="287"/>
      <c r="L1" s="287"/>
      <c r="M1" s="287"/>
      <c r="N1" s="287"/>
      <c r="O1" s="287"/>
      <c r="P1" s="287"/>
      <c r="Q1" s="287"/>
      <c r="R1" s="192"/>
      <c r="S1" s="192"/>
      <c r="T1" s="192"/>
      <c r="U1" s="192"/>
      <c r="V1" s="192"/>
      <c r="W1" s="192"/>
      <c r="X1" s="192"/>
      <c r="Y1" s="192"/>
      <c r="Z1" s="192"/>
      <c r="AA1" s="192"/>
      <c r="AB1" s="192"/>
      <c r="AC1" s="192"/>
      <c r="AD1" s="192"/>
    </row>
    <row r="2" spans="1:30" ht="15" customHeight="1" x14ac:dyDescent="0.3">
      <c r="A2" s="288"/>
      <c r="B2" s="289"/>
      <c r="C2" s="290"/>
      <c r="D2" s="290"/>
      <c r="E2" s="681" t="s">
        <v>327</v>
      </c>
      <c r="F2" s="629"/>
      <c r="G2" s="629"/>
      <c r="H2" s="629"/>
      <c r="I2" s="629"/>
      <c r="J2" s="629"/>
      <c r="K2" s="630"/>
      <c r="L2" s="291"/>
      <c r="M2" s="287"/>
      <c r="N2" s="287"/>
      <c r="O2" s="287"/>
      <c r="P2" s="287"/>
      <c r="Q2" s="287"/>
      <c r="R2" s="192"/>
      <c r="S2" s="292"/>
      <c r="T2" s="292"/>
      <c r="U2" s="292"/>
      <c r="V2" s="292"/>
      <c r="W2" s="292"/>
      <c r="X2" s="292"/>
      <c r="Y2" s="292"/>
      <c r="Z2" s="292"/>
      <c r="AA2" s="292"/>
      <c r="AB2" s="292"/>
      <c r="AC2" s="292"/>
      <c r="AD2" s="292"/>
    </row>
    <row r="3" spans="1:30" ht="22.5" customHeight="1" x14ac:dyDescent="0.3">
      <c r="A3" s="288"/>
      <c r="B3" s="293"/>
      <c r="C3" s="192"/>
      <c r="D3" s="192"/>
      <c r="E3" s="509"/>
      <c r="F3" s="509"/>
      <c r="G3" s="509"/>
      <c r="H3" s="509"/>
      <c r="I3" s="509"/>
      <c r="J3" s="509"/>
      <c r="K3" s="682"/>
      <c r="L3" s="291"/>
      <c r="M3" s="287"/>
      <c r="N3" s="287"/>
      <c r="O3" s="287"/>
      <c r="P3" s="287"/>
      <c r="Q3" s="287"/>
      <c r="R3" s="192"/>
      <c r="S3" s="192"/>
      <c r="T3" s="192"/>
      <c r="U3" s="192"/>
      <c r="V3" s="192"/>
      <c r="W3" s="192"/>
      <c r="X3" s="192"/>
      <c r="Y3" s="192"/>
      <c r="Z3" s="192"/>
      <c r="AA3" s="192"/>
      <c r="AB3" s="192"/>
      <c r="AC3" s="192"/>
      <c r="AD3" s="192"/>
    </row>
    <row r="4" spans="1:30" ht="22.5" customHeight="1" x14ac:dyDescent="0.3">
      <c r="A4" s="288"/>
      <c r="B4" s="293"/>
      <c r="C4" s="192"/>
      <c r="D4" s="192"/>
      <c r="E4" s="509"/>
      <c r="F4" s="509"/>
      <c r="G4" s="509"/>
      <c r="H4" s="509"/>
      <c r="I4" s="509"/>
      <c r="J4" s="509"/>
      <c r="K4" s="682"/>
      <c r="L4" s="291"/>
      <c r="M4" s="287"/>
      <c r="N4" s="287"/>
      <c r="O4" s="287"/>
      <c r="P4" s="287"/>
      <c r="Q4" s="287"/>
      <c r="R4" s="192"/>
      <c r="S4" s="192"/>
      <c r="T4" s="192"/>
      <c r="U4" s="192"/>
      <c r="V4" s="192"/>
      <c r="W4" s="192"/>
      <c r="X4" s="192"/>
      <c r="Y4" s="192"/>
      <c r="Z4" s="192"/>
      <c r="AA4" s="192"/>
      <c r="AB4" s="192"/>
      <c r="AC4" s="192"/>
      <c r="AD4" s="192"/>
    </row>
    <row r="5" spans="1:30" ht="15.75" customHeight="1" x14ac:dyDescent="0.3">
      <c r="A5" s="288"/>
      <c r="B5" s="294"/>
      <c r="C5" s="295"/>
      <c r="D5" s="295"/>
      <c r="E5" s="581"/>
      <c r="F5" s="581"/>
      <c r="G5" s="581"/>
      <c r="H5" s="581"/>
      <c r="I5" s="581"/>
      <c r="J5" s="581"/>
      <c r="K5" s="632"/>
      <c r="L5" s="296"/>
      <c r="M5" s="287"/>
      <c r="N5" s="287"/>
      <c r="O5" s="287"/>
      <c r="P5" s="287"/>
      <c r="Q5" s="287"/>
      <c r="R5" s="297"/>
      <c r="S5" s="297"/>
      <c r="T5" s="297"/>
      <c r="U5" s="297"/>
      <c r="V5" s="297"/>
      <c r="W5" s="297"/>
      <c r="X5" s="297"/>
      <c r="Y5" s="297"/>
      <c r="Z5" s="297"/>
      <c r="AA5" s="297"/>
      <c r="AB5" s="297"/>
      <c r="AC5" s="297"/>
      <c r="AD5" s="297"/>
    </row>
    <row r="6" spans="1:30" ht="23.25" customHeight="1" x14ac:dyDescent="0.3">
      <c r="A6" s="288"/>
      <c r="B6" s="298"/>
      <c r="C6" s="683" t="s">
        <v>397</v>
      </c>
      <c r="D6" s="684"/>
      <c r="E6" s="684"/>
      <c r="F6" s="684"/>
      <c r="G6" s="684"/>
      <c r="H6" s="684"/>
      <c r="I6" s="684"/>
      <c r="J6" s="684"/>
      <c r="K6" s="299"/>
      <c r="L6" s="300"/>
      <c r="M6" s="286"/>
      <c r="N6" s="286"/>
      <c r="O6" s="286"/>
      <c r="P6" s="286"/>
      <c r="Q6" s="286"/>
      <c r="R6" s="192"/>
      <c r="S6" s="192"/>
      <c r="T6" s="192"/>
      <c r="U6" s="192"/>
      <c r="V6" s="192"/>
      <c r="W6" s="192"/>
      <c r="X6" s="192"/>
      <c r="Y6" s="192"/>
      <c r="Z6" s="192"/>
      <c r="AA6" s="192"/>
      <c r="AB6" s="192"/>
      <c r="AC6" s="192"/>
      <c r="AD6" s="192"/>
    </row>
    <row r="7" spans="1:30" ht="15.75" customHeight="1" x14ac:dyDescent="0.3">
      <c r="A7" s="288"/>
      <c r="B7" s="301"/>
      <c r="C7" s="302"/>
      <c r="D7" s="302"/>
      <c r="E7" s="302"/>
      <c r="F7" s="303"/>
      <c r="G7" s="303"/>
      <c r="H7" s="302"/>
      <c r="I7" s="302"/>
      <c r="J7" s="304"/>
      <c r="K7" s="305"/>
      <c r="L7" s="300"/>
      <c r="M7" s="286"/>
      <c r="N7" s="286"/>
      <c r="O7" s="286"/>
      <c r="P7" s="286"/>
      <c r="Q7" s="286"/>
      <c r="R7" s="192"/>
      <c r="S7" s="192"/>
      <c r="T7" s="192"/>
      <c r="U7" s="192"/>
      <c r="V7" s="192"/>
      <c r="W7" s="192"/>
      <c r="X7" s="192"/>
      <c r="Y7" s="192"/>
      <c r="Z7" s="192"/>
      <c r="AA7" s="192"/>
      <c r="AB7" s="192"/>
      <c r="AC7" s="192"/>
      <c r="AD7" s="192"/>
    </row>
    <row r="8" spans="1:30" ht="26.25" customHeight="1" x14ac:dyDescent="0.3">
      <c r="A8" s="306"/>
      <c r="B8" s="307"/>
      <c r="C8" s="685" t="s">
        <v>277</v>
      </c>
      <c r="D8" s="543"/>
      <c r="E8" s="543"/>
      <c r="F8" s="686" t="s">
        <v>348</v>
      </c>
      <c r="G8" s="687"/>
      <c r="H8" s="688" t="s">
        <v>278</v>
      </c>
      <c r="I8" s="552"/>
      <c r="J8" s="308">
        <f>'6.Bảng lương  '!$G$4</f>
        <v>23</v>
      </c>
      <c r="K8" s="309"/>
      <c r="L8" s="310"/>
      <c r="M8" s="311"/>
      <c r="N8" s="311"/>
      <c r="O8" s="311"/>
      <c r="P8" s="311"/>
      <c r="Q8" s="311"/>
      <c r="R8" s="192"/>
      <c r="S8" s="192"/>
      <c r="T8" s="192"/>
      <c r="U8" s="192"/>
      <c r="V8" s="192"/>
      <c r="W8" s="192"/>
      <c r="X8" s="192"/>
      <c r="Y8" s="192"/>
      <c r="Z8" s="192"/>
      <c r="AA8" s="192"/>
      <c r="AB8" s="192"/>
      <c r="AC8" s="192"/>
      <c r="AD8" s="192"/>
    </row>
    <row r="9" spans="1:30" ht="30.75" customHeight="1" x14ac:dyDescent="0.3">
      <c r="A9" s="306"/>
      <c r="B9" s="307"/>
      <c r="C9" s="669" t="s">
        <v>279</v>
      </c>
      <c r="D9" s="551"/>
      <c r="E9" s="551"/>
      <c r="F9" s="670" t="str">
        <f>VLOOKUP($F$8,'6.Bảng lương  '!$B$11:$AV$40,2,0)</f>
        <v>Nguyễn Ánh Hồng</v>
      </c>
      <c r="G9" s="551"/>
      <c r="H9" s="679" t="s">
        <v>280</v>
      </c>
      <c r="I9" s="552"/>
      <c r="J9" s="312">
        <f>IF($F$12="Chính Thức",VLOOKUP($F$8,'3. BẢNG CHẤM CÔNG'!$B$11:$AU$27,38,0)+VLOOKUP($F$8,'3. BẢNG CHẤM CÔNG'!$B$11:$AU$27,39,0),"")</f>
        <v>23</v>
      </c>
      <c r="K9" s="309"/>
      <c r="L9" s="310"/>
      <c r="M9" s="311"/>
      <c r="N9" s="311"/>
      <c r="O9" s="311"/>
      <c r="P9" s="311"/>
      <c r="Q9" s="311"/>
      <c r="R9" s="192"/>
      <c r="S9" s="192"/>
      <c r="T9" s="192"/>
      <c r="U9" s="192"/>
      <c r="V9" s="192"/>
      <c r="W9" s="192"/>
      <c r="X9" s="192"/>
      <c r="Y9" s="192"/>
      <c r="Z9" s="192"/>
      <c r="AA9" s="192"/>
      <c r="AB9" s="192"/>
      <c r="AC9" s="192"/>
      <c r="AD9" s="192"/>
    </row>
    <row r="10" spans="1:30" ht="26.25" customHeight="1" x14ac:dyDescent="0.3">
      <c r="A10" s="306"/>
      <c r="B10" s="307"/>
      <c r="C10" s="669" t="s">
        <v>94</v>
      </c>
      <c r="D10" s="551"/>
      <c r="E10" s="551"/>
      <c r="F10" s="680" t="str">
        <f>VLOOKUP($F$8,'6.Bảng lương  '!$B$11:$AV$40,3,0)</f>
        <v>Giáo viên</v>
      </c>
      <c r="G10" s="551"/>
      <c r="H10" s="671" t="s">
        <v>281</v>
      </c>
      <c r="I10" s="552"/>
      <c r="J10" s="313">
        <f>IF($F$12="Thử Việc",VLOOKUP($F$8,'3. BẢNG CHẤM CÔNG'!$B$11:$AU$43,38,0)+VLOOKUP($F$8,'3. BẢNG CHẤM CÔNG'!$B$11:$AU$43,39,0),0)</f>
        <v>0</v>
      </c>
      <c r="K10" s="309"/>
      <c r="L10" s="310"/>
      <c r="M10" s="311"/>
      <c r="N10" s="311"/>
      <c r="O10" s="311"/>
      <c r="P10" s="311"/>
      <c r="Q10" s="311"/>
      <c r="R10" s="192"/>
      <c r="S10" s="192"/>
      <c r="T10" s="192"/>
      <c r="U10" s="192"/>
      <c r="V10" s="192"/>
      <c r="W10" s="192"/>
      <c r="X10" s="192"/>
      <c r="Y10" s="192"/>
      <c r="Z10" s="192"/>
      <c r="AA10" s="192"/>
      <c r="AB10" s="192"/>
      <c r="AC10" s="192"/>
      <c r="AD10" s="192"/>
    </row>
    <row r="11" spans="1:30" ht="39" customHeight="1" x14ac:dyDescent="0.3">
      <c r="A11" s="306"/>
      <c r="B11" s="307"/>
      <c r="C11" s="669" t="s">
        <v>107</v>
      </c>
      <c r="D11" s="551"/>
      <c r="E11" s="551"/>
      <c r="F11" s="670" t="str">
        <f>VLOOKUP($F$8,'6.Bảng lương  '!$B$11:$AV$40,4,0)</f>
        <v>Giáo viên mầm non</v>
      </c>
      <c r="G11" s="551"/>
      <c r="H11" s="671" t="s">
        <v>282</v>
      </c>
      <c r="I11" s="552"/>
      <c r="J11" s="313">
        <f>VLOOKUP($F$8,'3. BẢNG CHẤM CÔNG'!$B$11:$AU$43,44,0)</f>
        <v>0</v>
      </c>
      <c r="K11" s="309"/>
      <c r="L11" s="310"/>
      <c r="M11" s="311"/>
      <c r="N11" s="311"/>
      <c r="O11" s="311"/>
      <c r="P11" s="192"/>
      <c r="Q11" s="192"/>
      <c r="R11" s="192"/>
      <c r="S11" s="192"/>
      <c r="T11" s="192"/>
      <c r="U11" s="192"/>
      <c r="V11" s="192"/>
      <c r="W11" s="192"/>
      <c r="X11" s="192"/>
      <c r="Y11" s="192"/>
      <c r="Z11" s="192"/>
      <c r="AA11" s="192"/>
      <c r="AB11" s="192"/>
      <c r="AC11" s="192"/>
      <c r="AD11" s="192"/>
    </row>
    <row r="12" spans="1:30" ht="27.75" customHeight="1" x14ac:dyDescent="0.3">
      <c r="A12" s="306"/>
      <c r="B12" s="307"/>
      <c r="C12" s="669" t="s">
        <v>283</v>
      </c>
      <c r="D12" s="551"/>
      <c r="E12" s="551"/>
      <c r="F12" s="674" t="str">
        <f>VLOOKUP($F$8,'6.Bảng lương  '!$B$11:$AV$40,5,0)</f>
        <v>Chính Thức</v>
      </c>
      <c r="G12" s="551"/>
      <c r="H12" s="671" t="s">
        <v>284</v>
      </c>
      <c r="I12" s="552"/>
      <c r="J12" s="313">
        <f>VLOOKUP($F$8,'3. BẢNG CHẤM CÔNG'!$B$11:$AU$43,42,0)</f>
        <v>0</v>
      </c>
      <c r="K12" s="309"/>
      <c r="L12" s="310"/>
      <c r="M12" s="311"/>
      <c r="N12" s="311"/>
      <c r="O12" s="311"/>
      <c r="P12" s="311"/>
      <c r="Q12" s="311"/>
      <c r="R12" s="192"/>
      <c r="S12" s="192"/>
      <c r="T12" s="192"/>
      <c r="U12" s="192"/>
      <c r="V12" s="192"/>
      <c r="W12" s="192"/>
      <c r="X12" s="192"/>
      <c r="Y12" s="192"/>
      <c r="Z12" s="192"/>
      <c r="AA12" s="192"/>
      <c r="AB12" s="192"/>
      <c r="AC12" s="192"/>
      <c r="AD12" s="192"/>
    </row>
    <row r="13" spans="1:30" ht="28.5" customHeight="1" x14ac:dyDescent="0.3">
      <c r="A13" s="306"/>
      <c r="B13" s="307"/>
      <c r="C13" s="672" t="s">
        <v>285</v>
      </c>
      <c r="D13" s="666"/>
      <c r="E13" s="666"/>
      <c r="F13" s="675">
        <v>1</v>
      </c>
      <c r="G13" s="676"/>
      <c r="H13" s="671" t="s">
        <v>286</v>
      </c>
      <c r="I13" s="552"/>
      <c r="J13" s="313">
        <f>VLOOKUP($F$8,'3. BẢNG CHẤM CÔNG'!$B$11:$AU$43,45,0)</f>
        <v>0</v>
      </c>
      <c r="K13" s="309"/>
      <c r="L13" s="310"/>
      <c r="M13" s="311"/>
      <c r="N13" s="311"/>
      <c r="O13" s="311"/>
      <c r="P13" s="311"/>
      <c r="Q13" s="311"/>
      <c r="R13" s="192"/>
      <c r="S13" s="192"/>
      <c r="T13" s="192"/>
      <c r="U13" s="192"/>
      <c r="V13" s="192"/>
      <c r="W13" s="192"/>
      <c r="X13" s="192"/>
      <c r="Y13" s="192"/>
      <c r="Z13" s="192"/>
      <c r="AA13" s="192"/>
      <c r="AB13" s="192"/>
      <c r="AC13" s="192"/>
      <c r="AD13" s="192"/>
    </row>
    <row r="14" spans="1:30" ht="15.75" customHeight="1" x14ac:dyDescent="0.3">
      <c r="A14" s="288"/>
      <c r="B14" s="314"/>
      <c r="C14" s="315"/>
      <c r="D14" s="316"/>
      <c r="E14" s="316"/>
      <c r="F14" s="316"/>
      <c r="G14" s="316"/>
      <c r="H14" s="316"/>
      <c r="I14" s="316"/>
      <c r="J14" s="316"/>
      <c r="K14" s="305"/>
      <c r="L14" s="300"/>
      <c r="M14" s="286"/>
      <c r="N14" s="286"/>
      <c r="O14" s="286"/>
      <c r="P14" s="286"/>
      <c r="Q14" s="286"/>
      <c r="R14" s="192"/>
      <c r="S14" s="192"/>
      <c r="T14" s="192"/>
      <c r="U14" s="192"/>
      <c r="V14" s="192"/>
      <c r="W14" s="192"/>
      <c r="X14" s="192"/>
      <c r="Y14" s="192"/>
      <c r="Z14" s="192"/>
      <c r="AA14" s="192"/>
      <c r="AB14" s="192"/>
      <c r="AC14" s="192"/>
      <c r="AD14" s="192"/>
    </row>
    <row r="15" spans="1:30" ht="24.75" customHeight="1" x14ac:dyDescent="0.3">
      <c r="A15" s="306"/>
      <c r="B15" s="307"/>
      <c r="C15" s="677" t="s">
        <v>287</v>
      </c>
      <c r="D15" s="551"/>
      <c r="E15" s="551"/>
      <c r="F15" s="551"/>
      <c r="G15" s="551"/>
      <c r="H15" s="552"/>
      <c r="I15" s="677" t="s">
        <v>288</v>
      </c>
      <c r="J15" s="552"/>
      <c r="K15" s="309"/>
      <c r="L15" s="310"/>
      <c r="M15" s="311"/>
      <c r="N15" s="311"/>
      <c r="O15" s="311"/>
      <c r="P15" s="311"/>
      <c r="Q15" s="311"/>
      <c r="R15" s="192"/>
      <c r="S15" s="192"/>
      <c r="T15" s="192"/>
      <c r="U15" s="192"/>
      <c r="V15" s="192"/>
      <c r="W15" s="192"/>
      <c r="X15" s="192"/>
      <c r="Y15" s="192"/>
      <c r="Z15" s="192"/>
      <c r="AA15" s="192"/>
      <c r="AB15" s="192"/>
      <c r="AC15" s="192"/>
      <c r="AD15" s="192"/>
    </row>
    <row r="16" spans="1:30" ht="22.5" customHeight="1" x14ac:dyDescent="0.3">
      <c r="A16" s="288"/>
      <c r="B16" s="314"/>
      <c r="C16" s="673" t="s">
        <v>289</v>
      </c>
      <c r="D16" s="655"/>
      <c r="E16" s="678" t="s">
        <v>290</v>
      </c>
      <c r="F16" s="581"/>
      <c r="G16" s="581"/>
      <c r="H16" s="581"/>
      <c r="I16" s="664">
        <f>VLOOKUP($F$8,'6.Bảng lương  '!$B$11:$AV$40,11,0)</f>
        <v>5500000</v>
      </c>
      <c r="J16" s="552"/>
      <c r="K16" s="317"/>
      <c r="L16" s="300"/>
      <c r="M16" s="286"/>
      <c r="N16" s="286"/>
      <c r="O16" s="286"/>
      <c r="P16" s="286"/>
      <c r="Q16" s="286"/>
      <c r="R16" s="192"/>
      <c r="S16" s="192"/>
      <c r="T16" s="192"/>
      <c r="U16" s="192"/>
      <c r="V16" s="192"/>
      <c r="W16" s="192"/>
      <c r="X16" s="192"/>
      <c r="Y16" s="192"/>
      <c r="Z16" s="192"/>
      <c r="AA16" s="192"/>
      <c r="AB16" s="192"/>
      <c r="AC16" s="192"/>
      <c r="AD16" s="192"/>
    </row>
    <row r="17" spans="1:30" ht="22.5" customHeight="1" x14ac:dyDescent="0.3">
      <c r="A17" s="288"/>
      <c r="B17" s="314"/>
      <c r="C17" s="529"/>
      <c r="D17" s="655"/>
      <c r="E17" s="668" t="s">
        <v>291</v>
      </c>
      <c r="F17" s="551"/>
      <c r="G17" s="551"/>
      <c r="H17" s="551"/>
      <c r="I17" s="664">
        <f>VLOOKUP($F$8,'6.Bảng lương  '!$B$11:$AV$40,29,0)</f>
        <v>1620000</v>
      </c>
      <c r="J17" s="552"/>
      <c r="K17" s="317"/>
      <c r="L17" s="318"/>
      <c r="M17" s="286"/>
      <c r="N17" s="286"/>
      <c r="O17" s="286"/>
      <c r="P17" s="286"/>
      <c r="Q17" s="286"/>
      <c r="R17" s="192"/>
      <c r="S17" s="192"/>
      <c r="T17" s="192"/>
      <c r="U17" s="192"/>
      <c r="V17" s="192"/>
      <c r="W17" s="192"/>
      <c r="X17" s="192"/>
      <c r="Y17" s="192"/>
      <c r="Z17" s="192"/>
      <c r="AA17" s="192"/>
      <c r="AB17" s="192"/>
      <c r="AC17" s="192"/>
      <c r="AD17" s="192"/>
    </row>
    <row r="18" spans="1:30" ht="22.5" customHeight="1" x14ac:dyDescent="0.3">
      <c r="A18" s="288"/>
      <c r="B18" s="314"/>
      <c r="C18" s="529"/>
      <c r="D18" s="655"/>
      <c r="E18" s="668" t="s">
        <v>292</v>
      </c>
      <c r="F18" s="551"/>
      <c r="G18" s="551"/>
      <c r="H18" s="552"/>
      <c r="I18" s="664">
        <f>VLOOKUP($F$8,'6.Bảng lương  '!$B$11:$AV$40,14,0)</f>
        <v>2457500</v>
      </c>
      <c r="J18" s="552"/>
      <c r="K18" s="317"/>
      <c r="L18" s="318"/>
      <c r="M18" s="286"/>
      <c r="N18" s="286"/>
      <c r="O18" s="286"/>
      <c r="P18" s="286"/>
      <c r="Q18" s="286"/>
      <c r="R18" s="192"/>
      <c r="S18" s="192"/>
      <c r="T18" s="192"/>
      <c r="U18" s="192"/>
      <c r="V18" s="192"/>
      <c r="W18" s="192"/>
      <c r="X18" s="192"/>
      <c r="Y18" s="192"/>
      <c r="Z18" s="192"/>
      <c r="AA18" s="192"/>
      <c r="AB18" s="192"/>
      <c r="AC18" s="192"/>
      <c r="AD18" s="192"/>
    </row>
    <row r="19" spans="1:30" ht="22.5" customHeight="1" x14ac:dyDescent="0.3">
      <c r="A19" s="288"/>
      <c r="B19" s="314"/>
      <c r="C19" s="529"/>
      <c r="D19" s="655"/>
      <c r="E19" s="663" t="s">
        <v>293</v>
      </c>
      <c r="F19" s="551"/>
      <c r="G19" s="551"/>
      <c r="H19" s="551"/>
      <c r="I19" s="664">
        <f>VLOOKUP($F$8,'6.Bảng lương  '!$B$11:$AV$40,18,0)</f>
        <v>0</v>
      </c>
      <c r="J19" s="552"/>
      <c r="K19" s="317"/>
      <c r="L19" s="318"/>
      <c r="M19" s="286"/>
      <c r="N19" s="286"/>
      <c r="O19" s="286"/>
      <c r="P19" s="286"/>
      <c r="Q19" s="286"/>
      <c r="R19" s="192"/>
      <c r="S19" s="192"/>
      <c r="T19" s="192"/>
      <c r="U19" s="192"/>
      <c r="V19" s="192"/>
      <c r="W19" s="192"/>
      <c r="X19" s="192"/>
      <c r="Y19" s="192"/>
      <c r="Z19" s="192"/>
      <c r="AA19" s="192"/>
      <c r="AB19" s="192"/>
      <c r="AC19" s="192"/>
      <c r="AD19" s="192"/>
    </row>
    <row r="20" spans="1:30" ht="22.5" customHeight="1" x14ac:dyDescent="0.3">
      <c r="A20" s="288"/>
      <c r="B20" s="314"/>
      <c r="C20" s="529"/>
      <c r="D20" s="655"/>
      <c r="E20" s="663" t="s">
        <v>294</v>
      </c>
      <c r="F20" s="551"/>
      <c r="G20" s="551"/>
      <c r="H20" s="551"/>
      <c r="I20" s="664">
        <f>VLOOKUP($F$8,'6.Bảng lương  '!$B$11:$AV$40,19,0)</f>
        <v>0</v>
      </c>
      <c r="J20" s="552"/>
      <c r="K20" s="317"/>
      <c r="L20" s="318"/>
      <c r="M20" s="286"/>
      <c r="N20" s="286"/>
      <c r="O20" s="286"/>
      <c r="P20" s="286"/>
      <c r="Q20" s="286"/>
      <c r="R20" s="192"/>
      <c r="S20" s="192"/>
      <c r="T20" s="192"/>
      <c r="U20" s="192"/>
      <c r="V20" s="192"/>
      <c r="W20" s="192"/>
      <c r="X20" s="192"/>
      <c r="Y20" s="192"/>
      <c r="Z20" s="192"/>
      <c r="AA20" s="192"/>
      <c r="AB20" s="192"/>
      <c r="AC20" s="192"/>
      <c r="AD20" s="192"/>
    </row>
    <row r="21" spans="1:30" ht="22.5" customHeight="1" x14ac:dyDescent="0.3">
      <c r="A21" s="288"/>
      <c r="B21" s="314"/>
      <c r="C21" s="529"/>
      <c r="D21" s="655"/>
      <c r="E21" s="663" t="s">
        <v>191</v>
      </c>
      <c r="F21" s="551"/>
      <c r="G21" s="551"/>
      <c r="H21" s="551"/>
      <c r="I21" s="664">
        <f>VLOOKUP($F$8,'6.Bảng lương  '!$B$11:$AV$40,20,0)</f>
        <v>0</v>
      </c>
      <c r="J21" s="552"/>
      <c r="K21" s="317"/>
      <c r="L21" s="318"/>
      <c r="M21" s="286"/>
      <c r="N21" s="286"/>
      <c r="O21" s="286"/>
      <c r="P21" s="286"/>
      <c r="Q21" s="286"/>
      <c r="R21" s="192"/>
      <c r="S21" s="192"/>
      <c r="T21" s="192"/>
      <c r="U21" s="192"/>
      <c r="V21" s="192"/>
      <c r="W21" s="192"/>
      <c r="X21" s="192"/>
      <c r="Y21" s="192"/>
      <c r="Z21" s="192"/>
      <c r="AA21" s="192"/>
      <c r="AB21" s="192"/>
      <c r="AC21" s="192"/>
      <c r="AD21" s="192"/>
    </row>
    <row r="22" spans="1:30" ht="22.5" customHeight="1" x14ac:dyDescent="0.3">
      <c r="A22" s="288"/>
      <c r="B22" s="314"/>
      <c r="C22" s="496"/>
      <c r="D22" s="497"/>
      <c r="E22" s="665" t="s">
        <v>295</v>
      </c>
      <c r="F22" s="666"/>
      <c r="G22" s="666"/>
      <c r="H22" s="666"/>
      <c r="I22" s="664">
        <v>0</v>
      </c>
      <c r="J22" s="552"/>
      <c r="K22" s="317"/>
      <c r="L22" s="318"/>
      <c r="M22" s="286"/>
      <c r="N22" s="286"/>
      <c r="O22" s="286"/>
      <c r="P22" s="286"/>
      <c r="Q22" s="286"/>
      <c r="R22" s="192"/>
      <c r="S22" s="192"/>
      <c r="T22" s="192"/>
      <c r="U22" s="192"/>
      <c r="V22" s="192"/>
      <c r="W22" s="192"/>
      <c r="X22" s="192"/>
      <c r="Y22" s="192"/>
      <c r="Z22" s="192"/>
      <c r="AA22" s="192"/>
      <c r="AB22" s="192"/>
      <c r="AC22" s="192"/>
      <c r="AD22" s="192"/>
    </row>
    <row r="23" spans="1:30" ht="22.5" customHeight="1" x14ac:dyDescent="0.3">
      <c r="A23" s="288"/>
      <c r="B23" s="314"/>
      <c r="C23" s="319"/>
      <c r="D23" s="319"/>
      <c r="E23" s="320"/>
      <c r="F23" s="320"/>
      <c r="G23" s="320"/>
      <c r="H23" s="320"/>
      <c r="I23" s="321"/>
      <c r="J23" s="321"/>
      <c r="K23" s="317"/>
      <c r="L23" s="318"/>
      <c r="M23" s="286"/>
      <c r="N23" s="286"/>
      <c r="O23" s="286"/>
      <c r="P23" s="286"/>
      <c r="Q23" s="286"/>
      <c r="R23" s="192"/>
      <c r="S23" s="192"/>
      <c r="T23" s="192"/>
      <c r="U23" s="192"/>
      <c r="V23" s="192"/>
      <c r="W23" s="192"/>
      <c r="X23" s="192"/>
      <c r="Y23" s="192"/>
      <c r="Z23" s="192"/>
      <c r="AA23" s="192"/>
      <c r="AB23" s="192"/>
      <c r="AC23" s="192"/>
      <c r="AD23" s="192"/>
    </row>
    <row r="24" spans="1:30" ht="22.5" customHeight="1" x14ac:dyDescent="0.3">
      <c r="A24" s="288"/>
      <c r="B24" s="314"/>
      <c r="C24" s="697" t="s">
        <v>296</v>
      </c>
      <c r="D24" s="698"/>
      <c r="E24" s="667" t="s">
        <v>297</v>
      </c>
      <c r="F24" s="543"/>
      <c r="G24" s="543"/>
      <c r="H24" s="543"/>
      <c r="I24" s="664">
        <f>VLOOKUP($F$8,'6.Bảng lương  '!$B$11:$AV$40,39,0)</f>
        <v>577500</v>
      </c>
      <c r="J24" s="552"/>
      <c r="K24" s="317"/>
      <c r="L24" s="318"/>
      <c r="M24" s="286"/>
      <c r="N24" s="286"/>
      <c r="O24" s="286"/>
      <c r="P24" s="286"/>
      <c r="Q24" s="286"/>
      <c r="R24" s="192"/>
      <c r="S24" s="192"/>
      <c r="T24" s="192"/>
      <c r="U24" s="192"/>
      <c r="V24" s="192"/>
      <c r="W24" s="192"/>
      <c r="X24" s="192"/>
      <c r="Y24" s="192"/>
      <c r="Z24" s="192"/>
      <c r="AA24" s="192"/>
      <c r="AB24" s="192"/>
      <c r="AC24" s="192"/>
      <c r="AD24" s="192"/>
    </row>
    <row r="25" spans="1:30" ht="22.5" customHeight="1" x14ac:dyDescent="0.3">
      <c r="A25" s="288"/>
      <c r="B25" s="314"/>
      <c r="C25" s="529"/>
      <c r="D25" s="682"/>
      <c r="E25" s="701" t="s">
        <v>298</v>
      </c>
      <c r="F25" s="551"/>
      <c r="G25" s="551"/>
      <c r="H25" s="551"/>
      <c r="I25" s="664">
        <f>VLOOKUP($F$8,'6.Bảng lương  '!$B$11:$AV$40,45,0)</f>
        <v>0</v>
      </c>
      <c r="J25" s="552"/>
      <c r="K25" s="317"/>
      <c r="L25" s="318"/>
      <c r="M25" s="286"/>
      <c r="N25" s="286"/>
      <c r="O25" s="286"/>
      <c r="P25" s="286"/>
      <c r="Q25" s="286"/>
      <c r="R25" s="192"/>
      <c r="S25" s="192"/>
      <c r="T25" s="192"/>
      <c r="U25" s="192"/>
      <c r="V25" s="192"/>
      <c r="W25" s="192"/>
      <c r="X25" s="192"/>
      <c r="Y25" s="192"/>
      <c r="Z25" s="192"/>
      <c r="AA25" s="192"/>
      <c r="AB25" s="192"/>
      <c r="AC25" s="192"/>
      <c r="AD25" s="192"/>
    </row>
    <row r="26" spans="1:30" ht="22.5" customHeight="1" x14ac:dyDescent="0.3">
      <c r="A26" s="288"/>
      <c r="B26" s="314"/>
      <c r="C26" s="529"/>
      <c r="D26" s="682"/>
      <c r="E26" s="701" t="s">
        <v>299</v>
      </c>
      <c r="F26" s="551"/>
      <c r="G26" s="551"/>
      <c r="H26" s="551"/>
      <c r="I26" s="693">
        <v>0</v>
      </c>
      <c r="J26" s="552"/>
      <c r="K26" s="317"/>
      <c r="L26" s="318"/>
      <c r="M26" s="286"/>
      <c r="N26" s="286"/>
      <c r="O26" s="286"/>
      <c r="P26" s="286"/>
      <c r="Q26" s="286"/>
      <c r="R26" s="192"/>
      <c r="S26" s="192"/>
      <c r="T26" s="192"/>
      <c r="U26" s="192"/>
      <c r="V26" s="192"/>
      <c r="W26" s="192"/>
      <c r="X26" s="192"/>
      <c r="Y26" s="192"/>
      <c r="Z26" s="192"/>
      <c r="AA26" s="192"/>
      <c r="AB26" s="192"/>
      <c r="AC26" s="192"/>
      <c r="AD26" s="192"/>
    </row>
    <row r="27" spans="1:30" ht="30.75" customHeight="1" x14ac:dyDescent="0.3">
      <c r="A27" s="288"/>
      <c r="B27" s="314"/>
      <c r="C27" s="529"/>
      <c r="D27" s="682"/>
      <c r="E27" s="691" t="s">
        <v>180</v>
      </c>
      <c r="F27" s="551"/>
      <c r="G27" s="551"/>
      <c r="H27" s="551"/>
      <c r="I27" s="664">
        <f>VLOOKUP($F$8,'6.Bảng lương  '!$B$11:$AV$40,46,0)</f>
        <v>0</v>
      </c>
      <c r="J27" s="552"/>
      <c r="K27" s="317"/>
      <c r="L27" s="318"/>
      <c r="M27" s="286"/>
      <c r="N27" s="286"/>
      <c r="O27" s="286"/>
      <c r="P27" s="286"/>
      <c r="Q27" s="286"/>
      <c r="R27" s="192"/>
      <c r="S27" s="192"/>
      <c r="T27" s="192"/>
      <c r="U27" s="192"/>
      <c r="V27" s="192"/>
      <c r="W27" s="192"/>
      <c r="X27" s="192"/>
      <c r="Y27" s="192"/>
      <c r="Z27" s="192"/>
      <c r="AA27" s="192"/>
      <c r="AB27" s="192"/>
      <c r="AC27" s="192"/>
      <c r="AD27" s="192"/>
    </row>
    <row r="28" spans="1:30" ht="22.5" customHeight="1" x14ac:dyDescent="0.3">
      <c r="A28" s="288"/>
      <c r="B28" s="314"/>
      <c r="C28" s="496"/>
      <c r="D28" s="699"/>
      <c r="E28" s="692" t="s">
        <v>300</v>
      </c>
      <c r="F28" s="666"/>
      <c r="G28" s="666"/>
      <c r="H28" s="666"/>
      <c r="I28" s="693">
        <v>0</v>
      </c>
      <c r="J28" s="552"/>
      <c r="K28" s="317"/>
      <c r="L28" s="318"/>
      <c r="M28" s="286"/>
      <c r="N28" s="286"/>
      <c r="O28" s="286"/>
      <c r="P28" s="286"/>
      <c r="Q28" s="286"/>
      <c r="R28" s="192"/>
      <c r="S28" s="192"/>
      <c r="T28" s="192"/>
      <c r="U28" s="192"/>
      <c r="V28" s="192"/>
      <c r="W28" s="192"/>
      <c r="X28" s="192"/>
      <c r="Y28" s="192"/>
      <c r="Z28" s="192"/>
      <c r="AA28" s="192"/>
      <c r="AB28" s="192"/>
      <c r="AC28" s="192"/>
      <c r="AD28" s="192"/>
    </row>
    <row r="29" spans="1:30" ht="15.75" customHeight="1" x14ac:dyDescent="0.3">
      <c r="A29" s="288"/>
      <c r="B29" s="322"/>
      <c r="C29" s="323"/>
      <c r="D29" s="323"/>
      <c r="E29" s="323"/>
      <c r="F29" s="323"/>
      <c r="G29" s="323"/>
      <c r="H29" s="324"/>
      <c r="I29" s="325"/>
      <c r="J29" s="325"/>
      <c r="K29" s="317"/>
      <c r="L29" s="318"/>
      <c r="M29" s="286"/>
      <c r="N29" s="286"/>
      <c r="O29" s="286"/>
      <c r="P29" s="286"/>
      <c r="Q29" s="286"/>
      <c r="R29" s="192"/>
      <c r="S29" s="192"/>
      <c r="T29" s="192"/>
      <c r="U29" s="192"/>
      <c r="V29" s="192"/>
      <c r="W29" s="192"/>
      <c r="X29" s="192"/>
      <c r="Y29" s="192"/>
      <c r="Z29" s="192"/>
      <c r="AA29" s="192"/>
      <c r="AB29" s="192"/>
      <c r="AC29" s="192"/>
      <c r="AD29" s="192"/>
    </row>
    <row r="30" spans="1:30" ht="49.5" customHeight="1" x14ac:dyDescent="0.3">
      <c r="A30" s="288"/>
      <c r="B30" s="314"/>
      <c r="C30" s="700" t="s">
        <v>301</v>
      </c>
      <c r="D30" s="528"/>
      <c r="E30" s="694" t="s">
        <v>302</v>
      </c>
      <c r="F30" s="629"/>
      <c r="G30" s="629"/>
      <c r="H30" s="630"/>
      <c r="I30" s="695">
        <f>ROUND(SUM(I16:J22)-I24-I25-I26+I27-I28,-2)</f>
        <v>9000000</v>
      </c>
      <c r="J30" s="552"/>
      <c r="K30" s="317"/>
      <c r="L30" s="318"/>
      <c r="M30" s="286"/>
      <c r="N30" s="286"/>
      <c r="O30" s="286"/>
      <c r="P30" s="286"/>
      <c r="Q30" s="286"/>
      <c r="R30" s="192"/>
      <c r="S30" s="192"/>
      <c r="T30" s="192"/>
      <c r="U30" s="192"/>
      <c r="V30" s="192"/>
      <c r="W30" s="192"/>
      <c r="X30" s="192"/>
      <c r="Y30" s="192"/>
      <c r="Z30" s="192"/>
      <c r="AA30" s="192"/>
      <c r="AB30" s="192"/>
      <c r="AC30" s="192"/>
      <c r="AD30" s="192"/>
    </row>
    <row r="31" spans="1:30" ht="22.5" customHeight="1" x14ac:dyDescent="0.3">
      <c r="A31" s="306"/>
      <c r="B31" s="307"/>
      <c r="C31" s="696" t="s">
        <v>303</v>
      </c>
      <c r="D31" s="543"/>
      <c r="E31" s="543"/>
      <c r="F31" s="543"/>
      <c r="G31" s="543"/>
      <c r="H31" s="543"/>
      <c r="I31" s="664">
        <f>VLOOKUP($F$8,'6.Bảng lương  '!$B$11:$AV$40,35,0)</f>
        <v>1182500</v>
      </c>
      <c r="J31" s="552"/>
      <c r="K31" s="309"/>
      <c r="L31" s="326"/>
      <c r="M31" s="311"/>
      <c r="N31" s="311"/>
      <c r="O31" s="311"/>
      <c r="P31" s="311"/>
      <c r="Q31" s="311"/>
      <c r="R31" s="192"/>
      <c r="S31" s="192"/>
      <c r="T31" s="192"/>
      <c r="U31" s="192"/>
      <c r="V31" s="192"/>
      <c r="W31" s="192"/>
      <c r="X31" s="192"/>
      <c r="Y31" s="192"/>
      <c r="Z31" s="192"/>
      <c r="AA31" s="192"/>
      <c r="AB31" s="192"/>
      <c r="AC31" s="192"/>
      <c r="AD31" s="192"/>
    </row>
    <row r="32" spans="1:30" ht="27.75" customHeight="1" x14ac:dyDescent="0.3">
      <c r="A32" s="306"/>
      <c r="B32" s="307"/>
      <c r="C32" s="689" t="s">
        <v>304</v>
      </c>
      <c r="D32" s="666"/>
      <c r="E32" s="666"/>
      <c r="F32" s="666"/>
      <c r="G32" s="666"/>
      <c r="H32" s="666"/>
      <c r="I32" s="690">
        <f>I30+I31</f>
        <v>10182500</v>
      </c>
      <c r="J32" s="552"/>
      <c r="K32" s="309"/>
      <c r="L32" s="326"/>
      <c r="M32" s="311"/>
      <c r="N32" s="311"/>
      <c r="O32" s="311"/>
      <c r="P32" s="311"/>
      <c r="Q32" s="311"/>
      <c r="R32" s="192"/>
      <c r="S32" s="192"/>
      <c r="T32" s="192"/>
      <c r="U32" s="192"/>
      <c r="V32" s="192"/>
      <c r="W32" s="192"/>
      <c r="X32" s="192"/>
      <c r="Y32" s="192"/>
      <c r="Z32" s="192"/>
      <c r="AA32" s="192"/>
      <c r="AB32" s="192"/>
      <c r="AC32" s="192"/>
      <c r="AD32" s="192"/>
    </row>
    <row r="33" spans="1:30" ht="15.75" customHeight="1" x14ac:dyDescent="0.3">
      <c r="A33" s="288"/>
      <c r="B33" s="327"/>
      <c r="C33" s="328"/>
      <c r="D33" s="328"/>
      <c r="E33" s="328"/>
      <c r="F33" s="328"/>
      <c r="G33" s="328"/>
      <c r="H33" s="328"/>
      <c r="I33" s="328"/>
      <c r="J33" s="328"/>
      <c r="K33" s="329"/>
      <c r="L33" s="318"/>
      <c r="M33" s="286"/>
      <c r="N33" s="286"/>
      <c r="O33" s="286"/>
      <c r="P33" s="286"/>
      <c r="Q33" s="286"/>
      <c r="R33" s="192"/>
      <c r="S33" s="192"/>
      <c r="T33" s="192"/>
      <c r="U33" s="192"/>
      <c r="V33" s="192"/>
      <c r="W33" s="192"/>
      <c r="X33" s="192"/>
      <c r="Y33" s="192"/>
      <c r="Z33" s="192"/>
      <c r="AA33" s="192"/>
      <c r="AB33" s="192"/>
      <c r="AC33" s="192"/>
      <c r="AD33" s="192"/>
    </row>
    <row r="34" spans="1:30" ht="15.75" customHeight="1" x14ac:dyDescent="0.3">
      <c r="A34" s="330"/>
      <c r="B34" s="331"/>
      <c r="C34" s="331"/>
      <c r="D34" s="331"/>
      <c r="E34" s="331"/>
      <c r="F34" s="331"/>
      <c r="G34" s="331"/>
      <c r="H34" s="331"/>
      <c r="I34" s="331"/>
      <c r="J34" s="331"/>
      <c r="K34" s="331"/>
      <c r="L34" s="330"/>
      <c r="M34" s="286"/>
      <c r="N34" s="286"/>
      <c r="O34" s="286"/>
      <c r="P34" s="286"/>
      <c r="Q34" s="286"/>
      <c r="R34" s="192"/>
      <c r="S34" s="192"/>
      <c r="T34" s="192"/>
      <c r="U34" s="192"/>
      <c r="V34" s="192"/>
      <c r="W34" s="192"/>
      <c r="X34" s="192"/>
      <c r="Y34" s="192"/>
      <c r="Z34" s="192"/>
      <c r="AA34" s="192"/>
      <c r="AB34" s="192"/>
      <c r="AC34" s="192"/>
      <c r="AD34" s="192"/>
    </row>
    <row r="35" spans="1:30" ht="15.75" customHeight="1" x14ac:dyDescent="0.3">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row>
    <row r="36" spans="1:30" ht="15.75" customHeight="1" x14ac:dyDescent="0.3">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row>
    <row r="37" spans="1:30" ht="15.75" customHeight="1" x14ac:dyDescent="0.3">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row>
    <row r="38" spans="1:30" ht="15.75" customHeight="1" x14ac:dyDescent="0.3">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row>
    <row r="39" spans="1:30" ht="15.75" customHeight="1" x14ac:dyDescent="0.3">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row>
    <row r="40" spans="1:30" ht="15.75" customHeight="1" x14ac:dyDescent="0.3">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row>
    <row r="41" spans="1:30" ht="15.75" customHeight="1" x14ac:dyDescent="0.3">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row>
    <row r="42" spans="1:30" ht="15.75" customHeight="1" x14ac:dyDescent="0.3">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row>
    <row r="43" spans="1:30" ht="15.75" customHeight="1" x14ac:dyDescent="0.3">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row>
    <row r="44" spans="1:30" ht="15.75" customHeight="1" x14ac:dyDescent="0.3">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row>
    <row r="45" spans="1:30" ht="15.75" customHeight="1" x14ac:dyDescent="0.3">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row>
    <row r="46" spans="1:30" ht="15.75" customHeight="1" x14ac:dyDescent="0.3">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row>
    <row r="47" spans="1:30" ht="15.75" customHeight="1" x14ac:dyDescent="0.3">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row>
    <row r="48" spans="1:30" ht="15.75" customHeight="1" x14ac:dyDescent="0.3">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row>
    <row r="49" spans="1:30" ht="15.75" customHeight="1" x14ac:dyDescent="0.3">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row>
    <row r="50" spans="1:30" ht="15.75" customHeight="1" x14ac:dyDescent="0.3">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row>
    <row r="51" spans="1:30" ht="15.75" customHeight="1" x14ac:dyDescent="0.3">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row>
    <row r="52" spans="1:30" ht="15.75" customHeight="1" x14ac:dyDescent="0.3">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row>
    <row r="53" spans="1:30" ht="15.75" customHeight="1" x14ac:dyDescent="0.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row>
    <row r="54" spans="1:30" ht="15.75" customHeight="1" x14ac:dyDescent="0.3">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row>
    <row r="55" spans="1:30" ht="15.75" customHeight="1" x14ac:dyDescent="0.3">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row>
    <row r="56" spans="1:30" ht="15.75" customHeight="1" x14ac:dyDescent="0.3">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row>
    <row r="57" spans="1:30" ht="15.75" customHeight="1" x14ac:dyDescent="0.3">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row>
    <row r="58" spans="1:30" ht="15.75" customHeight="1" x14ac:dyDescent="0.3">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row>
    <row r="59" spans="1:30" ht="15.75" customHeight="1" x14ac:dyDescent="0.3">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row>
    <row r="60" spans="1:30" ht="15.75" customHeight="1" x14ac:dyDescent="0.3">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row>
    <row r="61" spans="1:30" ht="15.75" customHeight="1" x14ac:dyDescent="0.3">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row>
    <row r="62" spans="1:30" ht="15.75" customHeight="1" x14ac:dyDescent="0.3">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row>
    <row r="63" spans="1:30" ht="15.75" customHeight="1" x14ac:dyDescent="0.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row>
    <row r="64" spans="1:30" ht="15.75" customHeight="1" x14ac:dyDescent="0.3">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row>
    <row r="65" spans="1:30" ht="15.75" customHeight="1" x14ac:dyDescent="0.3">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row>
    <row r="66" spans="1:30" ht="15.75" customHeight="1" x14ac:dyDescent="0.3">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row>
    <row r="67" spans="1:30" ht="15.75" customHeight="1" x14ac:dyDescent="0.3">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row>
    <row r="68" spans="1:30" ht="15.75" customHeight="1" x14ac:dyDescent="0.3">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row>
    <row r="69" spans="1:30" ht="15.75" customHeight="1" x14ac:dyDescent="0.3">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row>
    <row r="70" spans="1:30" ht="15.75" customHeight="1" x14ac:dyDescent="0.3">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row>
    <row r="71" spans="1:30" ht="15.75" customHeight="1" x14ac:dyDescent="0.3">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row>
    <row r="72" spans="1:30" ht="15.75" customHeight="1" x14ac:dyDescent="0.3">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row>
    <row r="73" spans="1:30" ht="15.75" customHeight="1" x14ac:dyDescent="0.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row>
    <row r="74" spans="1:30" ht="15.75" customHeight="1" x14ac:dyDescent="0.3">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row>
    <row r="75" spans="1:30" ht="15.75" customHeight="1" x14ac:dyDescent="0.3">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row>
    <row r="76" spans="1:30" ht="15.75" customHeight="1" x14ac:dyDescent="0.3">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row>
    <row r="77" spans="1:30" ht="15.75" customHeight="1" x14ac:dyDescent="0.3">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row>
    <row r="78" spans="1:30" ht="15.75" customHeight="1" x14ac:dyDescent="0.3">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row>
    <row r="79" spans="1:30" ht="15.75" customHeight="1" x14ac:dyDescent="0.3">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row>
    <row r="80" spans="1:30" ht="15.75" customHeight="1" x14ac:dyDescent="0.3">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row>
    <row r="81" spans="1:30" ht="15.75" customHeight="1" x14ac:dyDescent="0.3">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row>
    <row r="82" spans="1:30" ht="15.75" customHeight="1" x14ac:dyDescent="0.3">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row>
    <row r="83" spans="1:30" ht="15.75" customHeight="1" x14ac:dyDescent="0.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row>
    <row r="84" spans="1:30" ht="15.75" customHeight="1" x14ac:dyDescent="0.3">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row>
    <row r="85" spans="1:30" ht="15.75" customHeight="1" x14ac:dyDescent="0.3">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row>
    <row r="86" spans="1:30" ht="15.75" customHeight="1" x14ac:dyDescent="0.3">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row>
    <row r="87" spans="1:30" ht="15.75" customHeight="1" x14ac:dyDescent="0.3">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row>
    <row r="88" spans="1:30" ht="15.75" customHeight="1" x14ac:dyDescent="0.3">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row>
    <row r="89" spans="1:30" ht="15.75" customHeight="1" x14ac:dyDescent="0.3">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row>
    <row r="90" spans="1:30" ht="15.75" customHeight="1" x14ac:dyDescent="0.3">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row>
    <row r="91" spans="1:30" ht="15.75" customHeight="1" x14ac:dyDescent="0.3">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row>
    <row r="92" spans="1:30" ht="15.75" customHeight="1" x14ac:dyDescent="0.3">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row>
    <row r="93" spans="1:30" ht="15.75" customHeight="1" x14ac:dyDescent="0.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row>
    <row r="94" spans="1:30" ht="15.75" customHeight="1" x14ac:dyDescent="0.3">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row>
    <row r="95" spans="1:30" ht="15.75" customHeight="1" x14ac:dyDescent="0.3">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row>
    <row r="96" spans="1:30" ht="15.75" customHeight="1" x14ac:dyDescent="0.3">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row>
    <row r="97" spans="1:30" ht="15.75" customHeight="1" x14ac:dyDescent="0.3">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row>
    <row r="98" spans="1:30" ht="15.75" customHeight="1" x14ac:dyDescent="0.3">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row>
    <row r="99" spans="1:30" ht="15.75" customHeight="1" x14ac:dyDescent="0.3">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row>
    <row r="100" spans="1:30" ht="15.75" customHeight="1" x14ac:dyDescent="0.3">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row>
    <row r="101" spans="1:30" ht="15.75" customHeight="1" x14ac:dyDescent="0.3">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row>
    <row r="102" spans="1:30" ht="15.75" customHeight="1" x14ac:dyDescent="0.3">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row>
    <row r="103" spans="1:30" ht="15.75" customHeight="1" x14ac:dyDescent="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row>
    <row r="104" spans="1:30" ht="15.75" customHeight="1" x14ac:dyDescent="0.3">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row>
    <row r="105" spans="1:30" ht="15.75" customHeight="1" x14ac:dyDescent="0.3">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row>
    <row r="106" spans="1:30" ht="15.75" customHeight="1" x14ac:dyDescent="0.3">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row>
    <row r="107" spans="1:30" ht="15.75" customHeight="1" x14ac:dyDescent="0.3">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row>
    <row r="108" spans="1:30" ht="15.75" customHeight="1" x14ac:dyDescent="0.3">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row>
    <row r="109" spans="1:30" ht="15.75" customHeight="1" x14ac:dyDescent="0.3">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row>
    <row r="110" spans="1:30" ht="15.75" customHeight="1" x14ac:dyDescent="0.3">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row>
    <row r="111" spans="1:30" ht="15.75" customHeight="1" x14ac:dyDescent="0.3">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row>
    <row r="112" spans="1:30" ht="15.75" customHeight="1" x14ac:dyDescent="0.3">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row>
    <row r="113" spans="1:30" ht="15.75" customHeight="1" x14ac:dyDescent="0.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row>
    <row r="114" spans="1:30" ht="15.75" customHeight="1" x14ac:dyDescent="0.3">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row>
    <row r="115" spans="1:30" ht="15.75" customHeight="1" x14ac:dyDescent="0.3">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row>
    <row r="116" spans="1:30" ht="15.75" customHeight="1" x14ac:dyDescent="0.3">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row>
    <row r="117" spans="1:30" ht="15.75" customHeight="1" x14ac:dyDescent="0.3">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row>
    <row r="118" spans="1:30" ht="15.75" customHeight="1" x14ac:dyDescent="0.3">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row>
    <row r="119" spans="1:30" ht="15.75" customHeight="1" x14ac:dyDescent="0.3">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row>
    <row r="120" spans="1:30" ht="15.75" customHeight="1" x14ac:dyDescent="0.3">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row>
    <row r="121" spans="1:30" ht="15.75" customHeight="1" x14ac:dyDescent="0.3">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row>
    <row r="122" spans="1:30" ht="15.75" customHeight="1" x14ac:dyDescent="0.3">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row>
    <row r="123" spans="1:30" ht="15.75" customHeight="1" x14ac:dyDescent="0.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row>
    <row r="124" spans="1:30" ht="15.75" customHeight="1" x14ac:dyDescent="0.3">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row>
    <row r="125" spans="1:30" ht="15.75" customHeight="1" x14ac:dyDescent="0.3">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row>
    <row r="126" spans="1:30" ht="15.75" customHeight="1" x14ac:dyDescent="0.3">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row>
    <row r="127" spans="1:30" ht="15.75" customHeight="1" x14ac:dyDescent="0.3">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row>
    <row r="128" spans="1:30" ht="15.75" customHeight="1" x14ac:dyDescent="0.3">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row>
    <row r="129" spans="1:30" ht="15.75" customHeight="1" x14ac:dyDescent="0.3">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row>
    <row r="130" spans="1:30" ht="15.75" customHeight="1" x14ac:dyDescent="0.3">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row>
    <row r="131" spans="1:30" ht="15.75" customHeight="1" x14ac:dyDescent="0.3">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row>
    <row r="132" spans="1:30" ht="15.75" customHeight="1" x14ac:dyDescent="0.3">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row>
    <row r="133" spans="1:30" ht="15.75" customHeight="1" x14ac:dyDescent="0.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row>
    <row r="134" spans="1:30" ht="15.75" customHeight="1" x14ac:dyDescent="0.3">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row>
    <row r="135" spans="1:30" ht="15.75" customHeight="1" x14ac:dyDescent="0.3">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row>
    <row r="136" spans="1:30" ht="15.75" customHeight="1" x14ac:dyDescent="0.3">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row>
    <row r="137" spans="1:30" ht="15.75" customHeight="1" x14ac:dyDescent="0.3">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row>
    <row r="138" spans="1:30" ht="15.75" customHeight="1" x14ac:dyDescent="0.3">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row>
    <row r="139" spans="1:30" ht="15.75" customHeight="1" x14ac:dyDescent="0.3">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row>
    <row r="140" spans="1:30" ht="15.75" customHeight="1" x14ac:dyDescent="0.3">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row>
    <row r="141" spans="1:30" ht="15.75" customHeight="1" x14ac:dyDescent="0.3">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row>
    <row r="142" spans="1:30" ht="15.75" customHeight="1" x14ac:dyDescent="0.3">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row>
    <row r="143" spans="1:30" ht="15.75" customHeight="1" x14ac:dyDescent="0.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row>
    <row r="144" spans="1:30" ht="15.75" customHeight="1" x14ac:dyDescent="0.3">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row>
    <row r="145" spans="1:30" ht="15.75" customHeight="1" x14ac:dyDescent="0.3">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row>
    <row r="146" spans="1:30" ht="15.75" customHeight="1" x14ac:dyDescent="0.3">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row>
    <row r="147" spans="1:30" ht="15.75" customHeight="1" x14ac:dyDescent="0.3">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row>
    <row r="148" spans="1:30" ht="15.75" customHeight="1" x14ac:dyDescent="0.3">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row>
    <row r="149" spans="1:30" ht="15.75" customHeight="1" x14ac:dyDescent="0.3">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row>
    <row r="150" spans="1:30" ht="15.75" customHeight="1" x14ac:dyDescent="0.3">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row>
    <row r="151" spans="1:30" ht="15.75" customHeight="1" x14ac:dyDescent="0.3">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row>
    <row r="152" spans="1:30" ht="15.75" customHeight="1" x14ac:dyDescent="0.3">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row>
    <row r="153" spans="1:30" ht="15.75" customHeight="1" x14ac:dyDescent="0.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row>
    <row r="154" spans="1:30" ht="15.75" customHeight="1" x14ac:dyDescent="0.3">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row>
    <row r="155" spans="1:30" ht="15.75" customHeight="1" x14ac:dyDescent="0.3">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row>
    <row r="156" spans="1:30" ht="15.75" customHeight="1" x14ac:dyDescent="0.3">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row>
    <row r="157" spans="1:30" ht="15.75" customHeight="1" x14ac:dyDescent="0.3">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row>
    <row r="158" spans="1:30" ht="15.75" customHeight="1" x14ac:dyDescent="0.3">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row>
    <row r="159" spans="1:30" ht="15.75" customHeight="1" x14ac:dyDescent="0.3">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row>
    <row r="160" spans="1:30" ht="15.75" customHeight="1" x14ac:dyDescent="0.3">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row>
    <row r="161" spans="1:30" ht="15.75" customHeight="1" x14ac:dyDescent="0.3">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row>
    <row r="162" spans="1:30" ht="15.75" customHeight="1" x14ac:dyDescent="0.3">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row>
    <row r="163" spans="1:30" ht="15.75" customHeight="1" x14ac:dyDescent="0.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row>
    <row r="164" spans="1:30" ht="15.75" customHeight="1" x14ac:dyDescent="0.3">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row>
    <row r="165" spans="1:30" ht="15.75" customHeight="1" x14ac:dyDescent="0.3">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row>
    <row r="166" spans="1:30" ht="15.75" customHeight="1" x14ac:dyDescent="0.3">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row>
    <row r="167" spans="1:30" ht="15.75" customHeight="1" x14ac:dyDescent="0.3">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row>
    <row r="168" spans="1:30" ht="15.75" customHeight="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row>
    <row r="169" spans="1:30" ht="15.75" customHeight="1" x14ac:dyDescent="0.3">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row>
    <row r="170" spans="1:30" ht="15.75" customHeight="1" x14ac:dyDescent="0.3">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row>
    <row r="171" spans="1:30" ht="15.75" customHeight="1" x14ac:dyDescent="0.3">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row>
    <row r="172" spans="1:30" ht="15.75" customHeight="1"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row>
    <row r="173" spans="1:30" ht="15.75" customHeight="1"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row>
    <row r="174" spans="1:30" ht="15.75" customHeight="1" x14ac:dyDescent="0.3">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row>
    <row r="175" spans="1:30" ht="15.75" customHeight="1" x14ac:dyDescent="0.3">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row>
    <row r="176" spans="1:30" ht="15.75" customHeight="1" x14ac:dyDescent="0.3">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row>
    <row r="177" spans="1:30" ht="15.75" customHeight="1" x14ac:dyDescent="0.3">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row>
    <row r="178" spans="1:30" ht="15.75" customHeight="1" x14ac:dyDescent="0.3">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row>
    <row r="179" spans="1:30" ht="15.75" customHeight="1" x14ac:dyDescent="0.3">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row>
    <row r="180" spans="1:30" ht="15.75" customHeight="1" x14ac:dyDescent="0.3">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row>
    <row r="181" spans="1:30" ht="15.75" customHeight="1" x14ac:dyDescent="0.3">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row>
    <row r="182" spans="1:30" ht="15.75" customHeight="1" x14ac:dyDescent="0.3">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row>
    <row r="183" spans="1:30" ht="15.75" customHeight="1" x14ac:dyDescent="0.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row>
    <row r="184" spans="1:30" ht="15.75" customHeight="1" x14ac:dyDescent="0.3">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row>
    <row r="185" spans="1:30" ht="15.75" customHeight="1" x14ac:dyDescent="0.3">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row>
    <row r="186" spans="1:30" ht="15.75" customHeight="1" x14ac:dyDescent="0.3">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row>
    <row r="187" spans="1:30" ht="15.75" customHeight="1" x14ac:dyDescent="0.3">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row>
    <row r="188" spans="1:30" ht="15.75" customHeight="1" x14ac:dyDescent="0.3">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row>
    <row r="189" spans="1:30" ht="15.75" customHeight="1" x14ac:dyDescent="0.3">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row>
    <row r="190" spans="1:30" ht="15.75" customHeight="1" x14ac:dyDescent="0.3">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row>
    <row r="191" spans="1:30" ht="15.75" customHeight="1" x14ac:dyDescent="0.3">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row>
    <row r="192" spans="1:30" ht="15.75" customHeight="1" x14ac:dyDescent="0.3">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row>
    <row r="193" spans="1:30" ht="15.75" customHeight="1" x14ac:dyDescent="0.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row>
    <row r="194" spans="1:30" ht="15.75" customHeight="1" x14ac:dyDescent="0.3">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row>
    <row r="195" spans="1:30" ht="15.75" customHeight="1" x14ac:dyDescent="0.3">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row>
    <row r="196" spans="1:30" ht="15.75" customHeight="1" x14ac:dyDescent="0.3">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row>
    <row r="197" spans="1:30" ht="15.75" customHeight="1" x14ac:dyDescent="0.3">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row>
    <row r="198" spans="1:30" ht="15.75" customHeight="1" x14ac:dyDescent="0.3">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row>
    <row r="199" spans="1:30" ht="15.75" customHeight="1" x14ac:dyDescent="0.3">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row>
    <row r="200" spans="1:30" ht="15.75" customHeight="1" x14ac:dyDescent="0.3">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row>
    <row r="201" spans="1:30" ht="15.75" customHeight="1" x14ac:dyDescent="0.3">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row>
    <row r="202" spans="1:30" ht="15.75" customHeight="1" x14ac:dyDescent="0.3">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row>
    <row r="203" spans="1:30" ht="15.75" customHeight="1" x14ac:dyDescent="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row>
    <row r="204" spans="1:30" ht="15.75" customHeight="1" x14ac:dyDescent="0.3">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row>
    <row r="205" spans="1:30" ht="15.75" customHeight="1" x14ac:dyDescent="0.3">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row>
    <row r="206" spans="1:30" ht="15.75" customHeight="1" x14ac:dyDescent="0.3">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row>
    <row r="207" spans="1:30" ht="15.75" customHeight="1" x14ac:dyDescent="0.3">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row>
    <row r="208" spans="1:30" ht="15.75" customHeight="1" x14ac:dyDescent="0.3">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row>
    <row r="209" spans="1:30" ht="15.75" customHeight="1" x14ac:dyDescent="0.3">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row>
    <row r="210" spans="1:30" ht="15.75" customHeight="1" x14ac:dyDescent="0.3">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row>
    <row r="211" spans="1:30" ht="15.75" customHeight="1" x14ac:dyDescent="0.3">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row>
    <row r="212" spans="1:30" ht="15.75" customHeight="1" x14ac:dyDescent="0.3">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row>
    <row r="213" spans="1:30" ht="15.75" customHeight="1" x14ac:dyDescent="0.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row>
    <row r="214" spans="1:30" ht="15.75" customHeight="1" x14ac:dyDescent="0.3">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row>
    <row r="215" spans="1:30" ht="15.75" customHeight="1" x14ac:dyDescent="0.3">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row>
    <row r="216" spans="1:30" ht="15.75" customHeight="1" x14ac:dyDescent="0.3">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row>
    <row r="217" spans="1:30" ht="15.75" customHeight="1" x14ac:dyDescent="0.3">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row>
    <row r="218" spans="1:30" ht="15.75" customHeight="1" x14ac:dyDescent="0.3">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row>
    <row r="219" spans="1:30" ht="15.75" customHeight="1" x14ac:dyDescent="0.3">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row>
    <row r="220" spans="1:30" ht="15.75" customHeight="1" x14ac:dyDescent="0.3">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row>
    <row r="221" spans="1:30" ht="15.75" customHeight="1" x14ac:dyDescent="0.3">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row>
    <row r="222" spans="1:30" ht="15.75" customHeight="1" x14ac:dyDescent="0.3">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row>
    <row r="223" spans="1:30" ht="15.75" customHeight="1" x14ac:dyDescent="0.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row>
    <row r="224" spans="1:30" ht="15.75" customHeight="1" x14ac:dyDescent="0.3">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row>
    <row r="225" spans="1:30" ht="15.75" customHeight="1" x14ac:dyDescent="0.3">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row>
    <row r="226" spans="1:30" ht="15.75" customHeight="1" x14ac:dyDescent="0.3">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row>
    <row r="227" spans="1:30" ht="15.75" customHeight="1" x14ac:dyDescent="0.3">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row>
    <row r="228" spans="1:30" ht="15.75" customHeight="1" x14ac:dyDescent="0.3">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row>
    <row r="229" spans="1:30" ht="15.75" customHeight="1" x14ac:dyDescent="0.3">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row>
    <row r="230" spans="1:30" ht="15.75" customHeight="1" x14ac:dyDescent="0.3">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row>
    <row r="231" spans="1:30" ht="15.75" customHeight="1" x14ac:dyDescent="0.3">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row>
    <row r="232" spans="1:30" ht="15.75" customHeight="1" x14ac:dyDescent="0.3">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row>
    <row r="233" spans="1:30" ht="15.75" customHeight="1" x14ac:dyDescent="0.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row>
    <row r="234" spans="1:30" ht="15.75" customHeight="1" x14ac:dyDescent="0.3">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row>
    <row r="235" spans="1:30" ht="15.75" customHeight="1" x14ac:dyDescent="0.3">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row>
    <row r="236" spans="1:30" ht="15.75" customHeight="1" x14ac:dyDescent="0.3">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row>
    <row r="237" spans="1:30" ht="15.75" customHeight="1" x14ac:dyDescent="0.3">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row>
    <row r="238" spans="1:30" ht="15.75" customHeight="1" x14ac:dyDescent="0.3">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row>
    <row r="239" spans="1:30" ht="15.75" customHeight="1" x14ac:dyDescent="0.3">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row>
    <row r="240" spans="1:30" ht="15.75" customHeight="1" x14ac:dyDescent="0.3">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row>
    <row r="241" spans="1:30" ht="15.75" customHeight="1" x14ac:dyDescent="0.3">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row>
    <row r="242" spans="1:30" ht="15.75" customHeight="1" x14ac:dyDescent="0.3">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row>
    <row r="243" spans="1:30" ht="15.75" customHeight="1" x14ac:dyDescent="0.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row>
    <row r="244" spans="1:30" ht="15.75" customHeight="1" x14ac:dyDescent="0.3">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row>
    <row r="245" spans="1:30" ht="15.75" customHeight="1" x14ac:dyDescent="0.3">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row>
    <row r="246" spans="1:30" ht="15.75" customHeight="1" x14ac:dyDescent="0.3">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row>
    <row r="247" spans="1:30" ht="15.75" customHeight="1" x14ac:dyDescent="0.3">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row>
    <row r="248" spans="1:30" ht="15.75" customHeight="1" x14ac:dyDescent="0.3">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row>
    <row r="249" spans="1:30" ht="15.75" customHeight="1" x14ac:dyDescent="0.3">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row>
    <row r="250" spans="1:30" ht="15.75" customHeight="1" x14ac:dyDescent="0.3">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row>
    <row r="251" spans="1:30" ht="15.75" customHeight="1" x14ac:dyDescent="0.3">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row>
    <row r="252" spans="1:30" ht="15.75" customHeight="1" x14ac:dyDescent="0.3">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row>
    <row r="253" spans="1:30" ht="15.75" customHeight="1" x14ac:dyDescent="0.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row>
    <row r="254" spans="1:30" ht="15.75" customHeight="1" x14ac:dyDescent="0.3">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row>
    <row r="255" spans="1:30" ht="15.75" customHeight="1" x14ac:dyDescent="0.3">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row>
    <row r="256" spans="1:30" ht="15.75" customHeight="1" x14ac:dyDescent="0.3">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row>
    <row r="257" spans="1:30" ht="15.75" customHeight="1" x14ac:dyDescent="0.3">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row>
    <row r="258" spans="1:30" ht="15.75" customHeight="1" x14ac:dyDescent="0.3">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row>
    <row r="259" spans="1:30" ht="15.75" customHeight="1" x14ac:dyDescent="0.3">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row>
    <row r="260" spans="1:30" ht="15.75" customHeight="1" x14ac:dyDescent="0.3">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row>
    <row r="261" spans="1:30" ht="15.75" customHeight="1" x14ac:dyDescent="0.3">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row>
    <row r="262" spans="1:30" ht="15.75" customHeight="1" x14ac:dyDescent="0.3">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row>
    <row r="263" spans="1:30" ht="15.75" customHeight="1" x14ac:dyDescent="0.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row>
    <row r="264" spans="1:30" ht="15.75" customHeight="1" x14ac:dyDescent="0.3">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row>
    <row r="265" spans="1:30" ht="15.75" customHeight="1" x14ac:dyDescent="0.3">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row>
    <row r="266" spans="1:30" ht="15.75" customHeight="1" x14ac:dyDescent="0.3">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row>
    <row r="267" spans="1:30" ht="15.75" customHeight="1" x14ac:dyDescent="0.3">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row>
    <row r="268" spans="1:30" ht="15.75" customHeight="1" x14ac:dyDescent="0.3">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row>
    <row r="269" spans="1:30" ht="15.75" customHeight="1" x14ac:dyDescent="0.3">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row>
    <row r="270" spans="1:30" ht="15.75" customHeight="1" x14ac:dyDescent="0.3">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row>
    <row r="271" spans="1:30" ht="15.75" customHeight="1" x14ac:dyDescent="0.3">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row>
    <row r="272" spans="1:30" ht="15.75" customHeight="1" x14ac:dyDescent="0.3">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row>
    <row r="273" spans="1:30" ht="15.75" customHeight="1" x14ac:dyDescent="0.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row>
    <row r="274" spans="1:30" ht="15.75" customHeight="1" x14ac:dyDescent="0.3">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row>
    <row r="275" spans="1:30" ht="15.75" customHeight="1" x14ac:dyDescent="0.3">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row>
    <row r="276" spans="1:30" ht="15.75" customHeight="1" x14ac:dyDescent="0.3">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row>
    <row r="277" spans="1:30" ht="15.75" customHeight="1" x14ac:dyDescent="0.3">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row>
    <row r="278" spans="1:30" ht="15.75" customHeight="1" x14ac:dyDescent="0.3">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row>
    <row r="279" spans="1:30" ht="15.75" customHeight="1" x14ac:dyDescent="0.3">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row>
    <row r="280" spans="1:30" ht="15.75" customHeight="1" x14ac:dyDescent="0.3">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row>
    <row r="281" spans="1:30" ht="15.75" customHeight="1" x14ac:dyDescent="0.3">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row>
    <row r="282" spans="1:30" ht="15.75" customHeight="1" x14ac:dyDescent="0.3">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row>
    <row r="283" spans="1:30" ht="15.75" customHeight="1" x14ac:dyDescent="0.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row>
    <row r="284" spans="1:30" ht="15.75" customHeight="1" x14ac:dyDescent="0.3">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row>
    <row r="285" spans="1:30" ht="15.75" customHeight="1" x14ac:dyDescent="0.3">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row>
    <row r="286" spans="1:30" ht="15.75" customHeight="1" x14ac:dyDescent="0.3">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row>
    <row r="287" spans="1:30" ht="15.75" customHeight="1" x14ac:dyDescent="0.3">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row>
    <row r="288" spans="1:30" ht="15.75" customHeight="1" x14ac:dyDescent="0.3">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row>
    <row r="289" spans="1:30" ht="15.75" customHeight="1" x14ac:dyDescent="0.3">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row>
    <row r="290" spans="1:30" ht="15.75" customHeight="1" x14ac:dyDescent="0.3">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row>
    <row r="291" spans="1:30" ht="15.75" customHeight="1" x14ac:dyDescent="0.3">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row>
    <row r="292" spans="1:30" ht="15.75" customHeight="1" x14ac:dyDescent="0.3">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row>
    <row r="293" spans="1:30" ht="15.75" customHeight="1" x14ac:dyDescent="0.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row>
    <row r="294" spans="1:30" ht="15.75" customHeight="1" x14ac:dyDescent="0.3">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row>
    <row r="295" spans="1:30" ht="15.75" customHeight="1" x14ac:dyDescent="0.3">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row>
    <row r="296" spans="1:30" ht="15.75" customHeight="1" x14ac:dyDescent="0.3">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row>
    <row r="297" spans="1:30" ht="15.75" customHeight="1" x14ac:dyDescent="0.3">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row>
    <row r="298" spans="1:30" ht="15.75" customHeight="1" x14ac:dyDescent="0.3">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row>
    <row r="299" spans="1:30" ht="15.75" customHeight="1" x14ac:dyDescent="0.3">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row>
    <row r="300" spans="1:30" ht="15.75" customHeight="1" x14ac:dyDescent="0.3">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row>
    <row r="301" spans="1:30" ht="15.75" customHeight="1" x14ac:dyDescent="0.3">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row>
    <row r="302" spans="1:30" ht="15.75" customHeight="1" x14ac:dyDescent="0.3">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row>
    <row r="303" spans="1:30" ht="15.75" customHeight="1" x14ac:dyDescent="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row>
    <row r="304" spans="1:30" ht="15.75" customHeight="1" x14ac:dyDescent="0.3">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row>
    <row r="305" spans="1:30" ht="15.75" customHeight="1" x14ac:dyDescent="0.3">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row>
    <row r="306" spans="1:30" ht="15.75" customHeight="1" x14ac:dyDescent="0.3">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row>
    <row r="307" spans="1:30" ht="15.75" customHeight="1" x14ac:dyDescent="0.3">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row>
    <row r="308" spans="1:30" ht="15.75" customHeight="1" x14ac:dyDescent="0.3">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row>
    <row r="309" spans="1:30" ht="15.75" customHeight="1" x14ac:dyDescent="0.3">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row>
    <row r="310" spans="1:30" ht="15.75" customHeight="1" x14ac:dyDescent="0.3">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row>
    <row r="311" spans="1:30" ht="15.75" customHeight="1" x14ac:dyDescent="0.3">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row>
    <row r="312" spans="1:30" ht="15.75" customHeight="1" x14ac:dyDescent="0.3">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row>
    <row r="313" spans="1:30" ht="15.75" customHeight="1" x14ac:dyDescent="0.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row>
    <row r="314" spans="1:30" ht="15.75" customHeight="1" x14ac:dyDescent="0.3">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row>
    <row r="315" spans="1:30" ht="15.75" customHeight="1" x14ac:dyDescent="0.3">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row>
    <row r="316" spans="1:30" ht="15.75" customHeight="1" x14ac:dyDescent="0.3">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row>
    <row r="317" spans="1:30" ht="15.75" customHeight="1" x14ac:dyDescent="0.3">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row>
    <row r="318" spans="1:30" ht="15.75" customHeight="1" x14ac:dyDescent="0.3">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row>
    <row r="319" spans="1:30" ht="15.75" customHeight="1" x14ac:dyDescent="0.3">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row>
    <row r="320" spans="1:30" ht="15.75" customHeight="1" x14ac:dyDescent="0.3">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row>
    <row r="321" spans="1:30" ht="15.75" customHeight="1" x14ac:dyDescent="0.3">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row>
    <row r="322" spans="1:30" ht="15.75" customHeight="1" x14ac:dyDescent="0.3">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row>
    <row r="323" spans="1:30" ht="15.75" customHeight="1" x14ac:dyDescent="0.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row>
    <row r="324" spans="1:30" ht="15.75" customHeight="1" x14ac:dyDescent="0.3">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row>
    <row r="325" spans="1:30" ht="15.75" customHeight="1" x14ac:dyDescent="0.3">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row>
    <row r="326" spans="1:30" ht="15.75" customHeight="1" x14ac:dyDescent="0.3">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row>
    <row r="327" spans="1:30" ht="15.75" customHeight="1" x14ac:dyDescent="0.3">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row>
    <row r="328" spans="1:30" ht="15.75" customHeight="1" x14ac:dyDescent="0.3">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row>
    <row r="329" spans="1:30" ht="15.75" customHeight="1" x14ac:dyDescent="0.3">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row>
    <row r="330" spans="1:30" ht="15.75" customHeight="1" x14ac:dyDescent="0.3">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row>
    <row r="331" spans="1:30" ht="15.75" customHeight="1" x14ac:dyDescent="0.3">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row>
    <row r="332" spans="1:30" ht="15.75" customHeight="1" x14ac:dyDescent="0.3">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row>
    <row r="333" spans="1:30" ht="15.75" customHeight="1" x14ac:dyDescent="0.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row>
    <row r="334" spans="1:30" ht="15.75" customHeight="1" x14ac:dyDescent="0.3">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row>
    <row r="335" spans="1:30" ht="15.75" customHeight="1" x14ac:dyDescent="0.3">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row>
    <row r="336" spans="1:30" ht="15.75" customHeight="1" x14ac:dyDescent="0.3">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row>
    <row r="337" spans="1:30" ht="15.75" customHeight="1" x14ac:dyDescent="0.3">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row>
    <row r="338" spans="1:30" ht="15.75" customHeight="1" x14ac:dyDescent="0.3">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row>
    <row r="339" spans="1:30" ht="15.75" customHeight="1" x14ac:dyDescent="0.3">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row>
    <row r="340" spans="1:30" ht="15.75" customHeight="1" x14ac:dyDescent="0.3">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row>
    <row r="341" spans="1:30" ht="15.75" customHeight="1" x14ac:dyDescent="0.3">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row>
    <row r="342" spans="1:30" ht="15.75" customHeight="1" x14ac:dyDescent="0.3">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row>
    <row r="343" spans="1:30" ht="15.75" customHeight="1" x14ac:dyDescent="0.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row>
    <row r="344" spans="1:30" ht="15.75" customHeight="1" x14ac:dyDescent="0.3">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row>
    <row r="345" spans="1:30" ht="15.75" customHeight="1" x14ac:dyDescent="0.3">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row>
    <row r="346" spans="1:30" ht="15.75" customHeight="1" x14ac:dyDescent="0.3">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row>
    <row r="347" spans="1:30" ht="15.75" customHeight="1" x14ac:dyDescent="0.3">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row>
    <row r="348" spans="1:30" ht="15.75" customHeight="1" x14ac:dyDescent="0.3">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row>
    <row r="349" spans="1:30" ht="15.75" customHeight="1" x14ac:dyDescent="0.3">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row>
    <row r="350" spans="1:30" ht="15.75" customHeight="1" x14ac:dyDescent="0.3">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row>
    <row r="351" spans="1:30" ht="15.75" customHeight="1" x14ac:dyDescent="0.3">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row>
    <row r="352" spans="1:30" ht="15.75" customHeight="1" x14ac:dyDescent="0.3">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row>
    <row r="353" spans="1:30" ht="15.75" customHeight="1" x14ac:dyDescent="0.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row>
    <row r="354" spans="1:30" ht="15.75" customHeight="1" x14ac:dyDescent="0.3">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row>
    <row r="355" spans="1:30" ht="15.75" customHeight="1" x14ac:dyDescent="0.3">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row>
    <row r="356" spans="1:30" ht="15.75" customHeight="1" x14ac:dyDescent="0.3">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row>
    <row r="357" spans="1:30" ht="15.75" customHeight="1" x14ac:dyDescent="0.3">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row>
    <row r="358" spans="1:30" ht="15.75" customHeight="1" x14ac:dyDescent="0.3">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row>
    <row r="359" spans="1:30" ht="15.75" customHeight="1" x14ac:dyDescent="0.3">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row>
    <row r="360" spans="1:30" ht="15.75" customHeight="1" x14ac:dyDescent="0.3">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row>
    <row r="361" spans="1:30" ht="15.75" customHeight="1" x14ac:dyDescent="0.3">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row>
    <row r="362" spans="1:30" ht="15.75" customHeight="1" x14ac:dyDescent="0.3">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row>
    <row r="363" spans="1:30" ht="15.75" customHeight="1" x14ac:dyDescent="0.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row>
    <row r="364" spans="1:30" ht="15.75" customHeight="1" x14ac:dyDescent="0.3">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row>
    <row r="365" spans="1:30" ht="15.75" customHeight="1" x14ac:dyDescent="0.3">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row>
    <row r="366" spans="1:30" ht="15.75" customHeight="1" x14ac:dyDescent="0.3">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row>
    <row r="367" spans="1:30" ht="15.75" customHeight="1" x14ac:dyDescent="0.3">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row>
    <row r="368" spans="1:30" ht="15.75" customHeight="1" x14ac:dyDescent="0.3">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row>
    <row r="369" spans="1:30" ht="15.75" customHeight="1" x14ac:dyDescent="0.3">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row>
    <row r="370" spans="1:30" ht="15.75" customHeight="1" x14ac:dyDescent="0.3">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row>
    <row r="371" spans="1:30" ht="15.75" customHeight="1" x14ac:dyDescent="0.3">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row>
    <row r="372" spans="1:30" ht="15.75" customHeight="1" x14ac:dyDescent="0.3">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row>
    <row r="373" spans="1:30" ht="15.75" customHeight="1" x14ac:dyDescent="0.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row>
    <row r="374" spans="1:30" ht="15.75" customHeight="1" x14ac:dyDescent="0.3">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row>
    <row r="375" spans="1:30" ht="15.75" customHeight="1" x14ac:dyDescent="0.3">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row>
    <row r="376" spans="1:30" ht="15.75" customHeight="1" x14ac:dyDescent="0.3">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row>
    <row r="377" spans="1:30" ht="15.75" customHeight="1" x14ac:dyDescent="0.3">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row>
    <row r="378" spans="1:30" ht="15.75" customHeight="1" x14ac:dyDescent="0.3">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row>
    <row r="379" spans="1:30" ht="15.75" customHeight="1" x14ac:dyDescent="0.3">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row>
    <row r="380" spans="1:30" ht="15.75" customHeight="1" x14ac:dyDescent="0.3">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row>
    <row r="381" spans="1:30" ht="15.75" customHeight="1" x14ac:dyDescent="0.3">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row>
    <row r="382" spans="1:30" ht="15.75" customHeight="1" x14ac:dyDescent="0.3">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row>
    <row r="383" spans="1:30" ht="15.75" customHeight="1" x14ac:dyDescent="0.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row>
    <row r="384" spans="1:30" ht="15.75" customHeight="1" x14ac:dyDescent="0.3">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row>
    <row r="385" spans="1:30" ht="15.75" customHeight="1" x14ac:dyDescent="0.3">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row>
    <row r="386" spans="1:30" ht="15.75" customHeight="1" x14ac:dyDescent="0.3">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row>
    <row r="387" spans="1:30" ht="15.75" customHeight="1" x14ac:dyDescent="0.3">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row>
    <row r="388" spans="1:30" ht="15.75" customHeight="1" x14ac:dyDescent="0.3">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row>
    <row r="389" spans="1:30" ht="15.75" customHeight="1" x14ac:dyDescent="0.3">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row>
    <row r="390" spans="1:30" ht="15.75" customHeight="1" x14ac:dyDescent="0.3">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row>
    <row r="391" spans="1:30" ht="15.75" customHeight="1" x14ac:dyDescent="0.3">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row>
    <row r="392" spans="1:30" ht="15.75" customHeight="1" x14ac:dyDescent="0.3">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row>
    <row r="393" spans="1:30" ht="15.75" customHeight="1" x14ac:dyDescent="0.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row>
    <row r="394" spans="1:30" ht="15.75" customHeight="1" x14ac:dyDescent="0.3">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row>
    <row r="395" spans="1:30" ht="15.75" customHeight="1" x14ac:dyDescent="0.3">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row>
    <row r="396" spans="1:30" ht="15.75" customHeight="1" x14ac:dyDescent="0.3">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row>
    <row r="397" spans="1:30" ht="15.75" customHeight="1" x14ac:dyDescent="0.3">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row>
    <row r="398" spans="1:30" ht="15.75" customHeight="1" x14ac:dyDescent="0.3">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row>
    <row r="399" spans="1:30" ht="15.75" customHeight="1" x14ac:dyDescent="0.3">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row>
    <row r="400" spans="1:30" ht="15.75" customHeight="1" x14ac:dyDescent="0.3">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row>
    <row r="401" spans="1:30" ht="15.75" customHeight="1" x14ac:dyDescent="0.3">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row>
    <row r="402" spans="1:30" ht="15.75" customHeight="1" x14ac:dyDescent="0.3">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row>
    <row r="403" spans="1:30" ht="15.75" customHeight="1" x14ac:dyDescent="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row>
    <row r="404" spans="1:30" ht="15.75" customHeight="1" x14ac:dyDescent="0.3">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row>
    <row r="405" spans="1:30" ht="15.75" customHeight="1" x14ac:dyDescent="0.3">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row>
    <row r="406" spans="1:30" ht="15.75" customHeight="1" x14ac:dyDescent="0.3">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row>
    <row r="407" spans="1:30" ht="15.75" customHeight="1" x14ac:dyDescent="0.3">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row>
    <row r="408" spans="1:30" ht="15.75" customHeight="1" x14ac:dyDescent="0.3">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row>
    <row r="409" spans="1:30" ht="15.75" customHeight="1" x14ac:dyDescent="0.3">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row>
    <row r="410" spans="1:30" ht="15.75" customHeight="1" x14ac:dyDescent="0.3">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row>
    <row r="411" spans="1:30" ht="15.75" customHeight="1" x14ac:dyDescent="0.3">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row>
    <row r="412" spans="1:30" ht="15.75" customHeight="1" x14ac:dyDescent="0.3">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row>
    <row r="413" spans="1:30" ht="15.75" customHeight="1" x14ac:dyDescent="0.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row>
    <row r="414" spans="1:30" ht="15.75" customHeight="1" x14ac:dyDescent="0.3">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row>
    <row r="415" spans="1:30" ht="15.75" customHeight="1" x14ac:dyDescent="0.3">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row>
    <row r="416" spans="1:30" ht="15.75" customHeight="1" x14ac:dyDescent="0.3">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row>
    <row r="417" spans="1:30" ht="15.75" customHeight="1" x14ac:dyDescent="0.3">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row>
    <row r="418" spans="1:30" ht="15.75" customHeight="1" x14ac:dyDescent="0.3">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row>
    <row r="419" spans="1:30" ht="15.75" customHeight="1" x14ac:dyDescent="0.3">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row>
    <row r="420" spans="1:30" ht="15.75" customHeight="1" x14ac:dyDescent="0.3">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row>
    <row r="421" spans="1:30" ht="15.75" customHeight="1" x14ac:dyDescent="0.3">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row>
    <row r="422" spans="1:30" ht="15.75" customHeight="1" x14ac:dyDescent="0.3">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row>
    <row r="423" spans="1:30" ht="15.75" customHeight="1" x14ac:dyDescent="0.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row>
    <row r="424" spans="1:30" ht="15.75" customHeight="1" x14ac:dyDescent="0.3">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row>
    <row r="425" spans="1:30" ht="15.75" customHeight="1" x14ac:dyDescent="0.3">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row>
    <row r="426" spans="1:30" ht="15.75" customHeight="1" x14ac:dyDescent="0.3">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row>
    <row r="427" spans="1:30" ht="15.75" customHeight="1" x14ac:dyDescent="0.3">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row>
    <row r="428" spans="1:30" ht="15.75" customHeight="1" x14ac:dyDescent="0.3">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row>
    <row r="429" spans="1:30" ht="15.75" customHeight="1" x14ac:dyDescent="0.3">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row>
    <row r="430" spans="1:30" ht="15.75" customHeight="1" x14ac:dyDescent="0.3">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row>
    <row r="431" spans="1:30" ht="15.75" customHeight="1" x14ac:dyDescent="0.3">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row>
    <row r="432" spans="1:30" ht="15.75" customHeight="1" x14ac:dyDescent="0.3">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row>
    <row r="433" spans="1:30" ht="15.75" customHeight="1" x14ac:dyDescent="0.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row>
    <row r="434" spans="1:30" ht="15.75" customHeight="1" x14ac:dyDescent="0.3">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row>
    <row r="435" spans="1:30" ht="15.75" customHeight="1" x14ac:dyDescent="0.3">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row>
    <row r="436" spans="1:30" ht="15.75" customHeight="1" x14ac:dyDescent="0.3">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row>
    <row r="437" spans="1:30" ht="15.75" customHeight="1" x14ac:dyDescent="0.3">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row>
    <row r="438" spans="1:30" ht="15.75" customHeight="1" x14ac:dyDescent="0.3">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row>
    <row r="439" spans="1:30" ht="15.75" customHeight="1" x14ac:dyDescent="0.3">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row>
    <row r="440" spans="1:30" ht="15.75" customHeight="1" x14ac:dyDescent="0.3">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row>
    <row r="441" spans="1:30" ht="15.75" customHeight="1" x14ac:dyDescent="0.3">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row>
    <row r="442" spans="1:30" ht="15.75" customHeight="1" x14ac:dyDescent="0.3">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row>
    <row r="443" spans="1:30" ht="15.75" customHeight="1" x14ac:dyDescent="0.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row>
    <row r="444" spans="1:30" ht="15.75" customHeight="1" x14ac:dyDescent="0.3">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row>
    <row r="445" spans="1:30" ht="15.75" customHeight="1" x14ac:dyDescent="0.3">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row>
    <row r="446" spans="1:30" ht="15.75" customHeight="1" x14ac:dyDescent="0.3">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row>
    <row r="447" spans="1:30" ht="15.75" customHeight="1" x14ac:dyDescent="0.3">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row>
    <row r="448" spans="1:30" ht="15.75" customHeight="1" x14ac:dyDescent="0.3">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row>
    <row r="449" spans="1:30" ht="15.75" customHeight="1" x14ac:dyDescent="0.3">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row>
    <row r="450" spans="1:30" ht="15.75" customHeight="1" x14ac:dyDescent="0.3">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row>
    <row r="451" spans="1:30" ht="15.75" customHeight="1" x14ac:dyDescent="0.3">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row>
    <row r="452" spans="1:30" ht="15.75" customHeight="1" x14ac:dyDescent="0.3">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row>
    <row r="453" spans="1:30" ht="15.75" customHeight="1" x14ac:dyDescent="0.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row>
    <row r="454" spans="1:30" ht="15.75" customHeight="1" x14ac:dyDescent="0.3">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row>
    <row r="455" spans="1:30" ht="15.75" customHeight="1" x14ac:dyDescent="0.3">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row>
    <row r="456" spans="1:30" ht="15.75" customHeight="1" x14ac:dyDescent="0.3">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row>
    <row r="457" spans="1:30" ht="15.75" customHeight="1" x14ac:dyDescent="0.3">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row>
    <row r="458" spans="1:30" ht="15.75" customHeight="1" x14ac:dyDescent="0.3">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row>
    <row r="459" spans="1:30" ht="15.75" customHeight="1" x14ac:dyDescent="0.3">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row>
    <row r="460" spans="1:30" ht="15.75" customHeight="1" x14ac:dyDescent="0.3">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row>
    <row r="461" spans="1:30" ht="15.75" customHeight="1" x14ac:dyDescent="0.3">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row>
    <row r="462" spans="1:30" ht="15.75" customHeight="1" x14ac:dyDescent="0.3">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row>
    <row r="463" spans="1:30" ht="15.75" customHeight="1" x14ac:dyDescent="0.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row>
    <row r="464" spans="1:30" ht="15.75" customHeight="1" x14ac:dyDescent="0.3">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row>
    <row r="465" spans="1:30" ht="15.75" customHeight="1" x14ac:dyDescent="0.3">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row>
    <row r="466" spans="1:30" ht="15.75" customHeight="1" x14ac:dyDescent="0.3">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row>
    <row r="467" spans="1:30" ht="15.75" customHeight="1" x14ac:dyDescent="0.3">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row>
    <row r="468" spans="1:30" ht="15.75" customHeight="1" x14ac:dyDescent="0.3">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row>
    <row r="469" spans="1:30" ht="15.75" customHeight="1" x14ac:dyDescent="0.3">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row>
    <row r="470" spans="1:30" ht="15.75" customHeight="1" x14ac:dyDescent="0.3">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row>
    <row r="471" spans="1:30" ht="15.75" customHeight="1" x14ac:dyDescent="0.3">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row>
    <row r="472" spans="1:30" ht="15.75" customHeight="1" x14ac:dyDescent="0.3">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row>
    <row r="473" spans="1:30" ht="15.75" customHeight="1" x14ac:dyDescent="0.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row>
    <row r="474" spans="1:30" ht="15.75" customHeight="1" x14ac:dyDescent="0.3">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row>
    <row r="475" spans="1:30" ht="15.75" customHeight="1" x14ac:dyDescent="0.3">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row>
    <row r="476" spans="1:30" ht="15.75" customHeight="1" x14ac:dyDescent="0.3">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row>
    <row r="477" spans="1:30" ht="15.75" customHeight="1" x14ac:dyDescent="0.3">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row>
    <row r="478" spans="1:30" ht="15.75" customHeight="1" x14ac:dyDescent="0.3">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row>
    <row r="479" spans="1:30" ht="15.75" customHeight="1" x14ac:dyDescent="0.3">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row>
    <row r="480" spans="1:30" ht="15.75" customHeight="1" x14ac:dyDescent="0.3">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row>
    <row r="481" spans="1:30" ht="15.75" customHeight="1" x14ac:dyDescent="0.3">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row>
    <row r="482" spans="1:30" ht="15.75" customHeight="1" x14ac:dyDescent="0.3">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row>
    <row r="483" spans="1:30" ht="15.75" customHeight="1" x14ac:dyDescent="0.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row>
    <row r="484" spans="1:30" ht="15.75" customHeight="1" x14ac:dyDescent="0.3">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row>
    <row r="485" spans="1:30" ht="15.75" customHeight="1" x14ac:dyDescent="0.3">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row>
    <row r="486" spans="1:30" ht="15.75" customHeight="1" x14ac:dyDescent="0.3">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row>
    <row r="487" spans="1:30" ht="15.75" customHeight="1" x14ac:dyDescent="0.3">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row>
    <row r="488" spans="1:30" ht="15.75" customHeight="1" x14ac:dyDescent="0.3">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row>
    <row r="489" spans="1:30" ht="15.75" customHeight="1" x14ac:dyDescent="0.3">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row>
    <row r="490" spans="1:30" ht="15.75" customHeight="1" x14ac:dyDescent="0.3">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row>
    <row r="491" spans="1:30" ht="15.75" customHeight="1" x14ac:dyDescent="0.3">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row>
    <row r="492" spans="1:30" ht="15.75" customHeight="1" x14ac:dyDescent="0.3">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row>
    <row r="493" spans="1:30" ht="15.75" customHeight="1" x14ac:dyDescent="0.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row>
    <row r="494" spans="1:30" ht="15.75" customHeight="1" x14ac:dyDescent="0.3">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row>
    <row r="495" spans="1:30" ht="15.75" customHeight="1" x14ac:dyDescent="0.3">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row>
    <row r="496" spans="1:30" ht="15.75" customHeight="1" x14ac:dyDescent="0.3">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row>
    <row r="497" spans="1:30" ht="15.75" customHeight="1" x14ac:dyDescent="0.3">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row>
    <row r="498" spans="1:30" ht="15.75" customHeight="1" x14ac:dyDescent="0.3">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row>
    <row r="499" spans="1:30" ht="15.75" customHeight="1" x14ac:dyDescent="0.3">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row>
    <row r="500" spans="1:30" ht="15.75" customHeight="1" x14ac:dyDescent="0.3">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row>
    <row r="501" spans="1:30" ht="15.75" customHeight="1" x14ac:dyDescent="0.3">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row>
    <row r="502" spans="1:30" ht="15.75" customHeight="1" x14ac:dyDescent="0.3">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row>
    <row r="503" spans="1:30" ht="15.75" customHeight="1" x14ac:dyDescent="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row>
    <row r="504" spans="1:30" ht="15.75" customHeight="1" x14ac:dyDescent="0.3">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row>
    <row r="505" spans="1:30" ht="15.75" customHeight="1" x14ac:dyDescent="0.3">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row>
    <row r="506" spans="1:30" ht="15.75" customHeight="1" x14ac:dyDescent="0.3">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row>
    <row r="507" spans="1:30" ht="15.75" customHeight="1" x14ac:dyDescent="0.3">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row>
    <row r="508" spans="1:30" ht="15.75" customHeight="1" x14ac:dyDescent="0.3">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row>
    <row r="509" spans="1:30" ht="15.75" customHeight="1" x14ac:dyDescent="0.3">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row>
    <row r="510" spans="1:30" ht="15.75" customHeight="1" x14ac:dyDescent="0.3">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row>
    <row r="511" spans="1:30" ht="15.75" customHeight="1" x14ac:dyDescent="0.3">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row>
    <row r="512" spans="1:30" ht="15.75" customHeight="1" x14ac:dyDescent="0.3">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row>
    <row r="513" spans="1:30" ht="15.75" customHeight="1" x14ac:dyDescent="0.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row>
    <row r="514" spans="1:30" ht="15.75" customHeight="1" x14ac:dyDescent="0.3">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row>
    <row r="515" spans="1:30" ht="15.75" customHeight="1" x14ac:dyDescent="0.3">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row>
    <row r="516" spans="1:30" ht="15.75" customHeight="1" x14ac:dyDescent="0.3">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row>
    <row r="517" spans="1:30" ht="15.75" customHeight="1" x14ac:dyDescent="0.3">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row>
    <row r="518" spans="1:30" ht="15.75" customHeight="1" x14ac:dyDescent="0.3">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row>
    <row r="519" spans="1:30" ht="15.75" customHeight="1" x14ac:dyDescent="0.3">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row>
    <row r="520" spans="1:30" ht="15.75" customHeight="1" x14ac:dyDescent="0.3">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row>
    <row r="521" spans="1:30" ht="15.75" customHeight="1" x14ac:dyDescent="0.3">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row>
    <row r="522" spans="1:30" ht="15.75" customHeight="1" x14ac:dyDescent="0.3">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row>
    <row r="523" spans="1:30" ht="15.75" customHeight="1" x14ac:dyDescent="0.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row>
    <row r="524" spans="1:30" ht="15.75" customHeight="1" x14ac:dyDescent="0.3">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row>
    <row r="525" spans="1:30" ht="15.75" customHeight="1" x14ac:dyDescent="0.3">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row>
    <row r="526" spans="1:30" ht="15.75" customHeight="1" x14ac:dyDescent="0.3">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row>
    <row r="527" spans="1:30" ht="15.75" customHeight="1" x14ac:dyDescent="0.3">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row>
    <row r="528" spans="1:30" ht="15.75" customHeight="1" x14ac:dyDescent="0.3">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row>
    <row r="529" spans="1:30" ht="15.75" customHeight="1" x14ac:dyDescent="0.3">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row>
    <row r="530" spans="1:30" ht="15.75" customHeight="1" x14ac:dyDescent="0.3">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row>
    <row r="531" spans="1:30" ht="15.75" customHeight="1" x14ac:dyDescent="0.3">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row>
    <row r="532" spans="1:30" ht="15.75" customHeight="1" x14ac:dyDescent="0.3">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row>
    <row r="533" spans="1:30" ht="15.75" customHeight="1" x14ac:dyDescent="0.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row>
    <row r="534" spans="1:30" ht="15.75" customHeight="1" x14ac:dyDescent="0.3">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row>
    <row r="535" spans="1:30" ht="15.75" customHeight="1" x14ac:dyDescent="0.3">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row>
    <row r="536" spans="1:30" ht="15.75" customHeight="1" x14ac:dyDescent="0.3">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row>
    <row r="537" spans="1:30" ht="15.75" customHeight="1" x14ac:dyDescent="0.3">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row>
    <row r="538" spans="1:30" ht="15.75" customHeight="1" x14ac:dyDescent="0.3">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row>
    <row r="539" spans="1:30" ht="15.75" customHeight="1" x14ac:dyDescent="0.3">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row>
    <row r="540" spans="1:30" ht="15.75" customHeight="1" x14ac:dyDescent="0.3">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row>
    <row r="541" spans="1:30" ht="15.75" customHeight="1" x14ac:dyDescent="0.3">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row>
    <row r="542" spans="1:30" ht="15.75" customHeight="1" x14ac:dyDescent="0.3">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row>
    <row r="543" spans="1:30" ht="15.75" customHeight="1" x14ac:dyDescent="0.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row>
    <row r="544" spans="1:30" ht="15.75" customHeight="1" x14ac:dyDescent="0.3">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row>
    <row r="545" spans="1:30" ht="15.75" customHeight="1" x14ac:dyDescent="0.3">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row>
    <row r="546" spans="1:30" ht="15.75" customHeight="1" x14ac:dyDescent="0.3">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row>
    <row r="547" spans="1:30" ht="15.75" customHeight="1" x14ac:dyDescent="0.3">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row>
    <row r="548" spans="1:30" ht="15.75" customHeight="1" x14ac:dyDescent="0.3">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row>
    <row r="549" spans="1:30" ht="15.75" customHeight="1" x14ac:dyDescent="0.3">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row>
    <row r="550" spans="1:30" ht="15.75" customHeight="1" x14ac:dyDescent="0.3">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row>
    <row r="551" spans="1:30" ht="15.75" customHeight="1" x14ac:dyDescent="0.3">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row>
    <row r="552" spans="1:30" ht="15.75" customHeight="1" x14ac:dyDescent="0.3">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row>
    <row r="553" spans="1:30" ht="15.75" customHeight="1" x14ac:dyDescent="0.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row>
    <row r="554" spans="1:30" ht="15.75" customHeight="1" x14ac:dyDescent="0.3">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row>
    <row r="555" spans="1:30" ht="15.75" customHeight="1" x14ac:dyDescent="0.3">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row>
    <row r="556" spans="1:30" ht="15.75" customHeight="1" x14ac:dyDescent="0.3">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row>
    <row r="557" spans="1:30" ht="15.75" customHeight="1" x14ac:dyDescent="0.3">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row>
    <row r="558" spans="1:30" ht="15.75" customHeight="1" x14ac:dyDescent="0.3">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row>
    <row r="559" spans="1:30" ht="15.75" customHeight="1" x14ac:dyDescent="0.3">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row>
    <row r="560" spans="1:30" ht="15.75" customHeight="1" x14ac:dyDescent="0.3">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row>
    <row r="561" spans="1:30" ht="15.75" customHeight="1" x14ac:dyDescent="0.3">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row>
    <row r="562" spans="1:30" ht="15.75" customHeight="1" x14ac:dyDescent="0.3">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row>
    <row r="563" spans="1:30" ht="15.75" customHeight="1" x14ac:dyDescent="0.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row>
    <row r="564" spans="1:30" ht="15.75" customHeight="1" x14ac:dyDescent="0.3">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row>
    <row r="565" spans="1:30" ht="15.75" customHeight="1" x14ac:dyDescent="0.3">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row>
    <row r="566" spans="1:30" ht="15.75" customHeight="1" x14ac:dyDescent="0.3">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row>
    <row r="567" spans="1:30" ht="15.75" customHeight="1" x14ac:dyDescent="0.3">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row>
    <row r="568" spans="1:30" ht="15.75" customHeight="1" x14ac:dyDescent="0.3">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row>
    <row r="569" spans="1:30" ht="15.75" customHeight="1" x14ac:dyDescent="0.3">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row>
    <row r="570" spans="1:30" ht="15.75" customHeight="1" x14ac:dyDescent="0.3">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row>
    <row r="571" spans="1:30" ht="15.75" customHeight="1" x14ac:dyDescent="0.3">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row>
    <row r="572" spans="1:30" ht="15.75" customHeight="1" x14ac:dyDescent="0.3">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row>
    <row r="573" spans="1:30" ht="15.75" customHeight="1" x14ac:dyDescent="0.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row>
    <row r="574" spans="1:30" ht="15.75" customHeight="1" x14ac:dyDescent="0.3">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row>
    <row r="575" spans="1:30" ht="15.75" customHeight="1" x14ac:dyDescent="0.3">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row>
    <row r="576" spans="1:30" ht="15.75" customHeight="1" x14ac:dyDescent="0.3">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row>
    <row r="577" spans="1:30" ht="15.75" customHeight="1" x14ac:dyDescent="0.3">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row>
    <row r="578" spans="1:30" ht="15.75" customHeight="1" x14ac:dyDescent="0.3">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row>
    <row r="579" spans="1:30" ht="15.75" customHeight="1" x14ac:dyDescent="0.3">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row>
    <row r="580" spans="1:30" ht="15.75" customHeight="1" x14ac:dyDescent="0.3">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row>
    <row r="581" spans="1:30" ht="15.75" customHeight="1" x14ac:dyDescent="0.3">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row>
    <row r="582" spans="1:30" ht="15.75" customHeight="1" x14ac:dyDescent="0.3">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row>
    <row r="583" spans="1:30" ht="15.75" customHeight="1" x14ac:dyDescent="0.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row>
    <row r="584" spans="1:30" ht="15.75" customHeight="1" x14ac:dyDescent="0.3">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row>
    <row r="585" spans="1:30" ht="15.75" customHeight="1" x14ac:dyDescent="0.3">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row>
    <row r="586" spans="1:30" ht="15.75" customHeight="1" x14ac:dyDescent="0.3">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row>
    <row r="587" spans="1:30" ht="15.75" customHeight="1" x14ac:dyDescent="0.3">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row>
    <row r="588" spans="1:30" ht="15.75" customHeight="1" x14ac:dyDescent="0.3">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row>
    <row r="589" spans="1:30" ht="15.75" customHeight="1" x14ac:dyDescent="0.3">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row>
    <row r="590" spans="1:30" ht="15.75" customHeight="1" x14ac:dyDescent="0.3">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row>
    <row r="591" spans="1:30" ht="15.75" customHeight="1" x14ac:dyDescent="0.3">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row>
    <row r="592" spans="1:30" ht="15.75" customHeight="1" x14ac:dyDescent="0.3">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row>
    <row r="593" spans="1:30" ht="15.75" customHeight="1" x14ac:dyDescent="0.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row>
    <row r="594" spans="1:30" ht="15.75" customHeight="1" x14ac:dyDescent="0.3">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row>
    <row r="595" spans="1:30" ht="15.75" customHeight="1" x14ac:dyDescent="0.3">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row>
    <row r="596" spans="1:30" ht="15.75" customHeight="1" x14ac:dyDescent="0.3">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row>
    <row r="597" spans="1:30" ht="15.75" customHeight="1" x14ac:dyDescent="0.3">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row>
    <row r="598" spans="1:30" ht="15.75" customHeight="1" x14ac:dyDescent="0.3">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row>
    <row r="599" spans="1:30" ht="15.75" customHeight="1" x14ac:dyDescent="0.3">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row>
    <row r="600" spans="1:30" ht="15.75" customHeight="1" x14ac:dyDescent="0.3">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row>
    <row r="601" spans="1:30" ht="15.75" customHeight="1" x14ac:dyDescent="0.3">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row>
    <row r="602" spans="1:30" ht="15.75" customHeight="1" x14ac:dyDescent="0.3">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row>
    <row r="603" spans="1:30" ht="15.75" customHeight="1" x14ac:dyDescent="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row>
    <row r="604" spans="1:30" ht="15.75" customHeight="1" x14ac:dyDescent="0.3">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row>
    <row r="605" spans="1:30" ht="15.75" customHeight="1" x14ac:dyDescent="0.3">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row>
    <row r="606" spans="1:30" ht="15.75" customHeight="1" x14ac:dyDescent="0.3">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row>
    <row r="607" spans="1:30" ht="15.75" customHeight="1" x14ac:dyDescent="0.3">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row>
    <row r="608" spans="1:30" ht="15.75" customHeight="1" x14ac:dyDescent="0.3">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row>
    <row r="609" spans="1:30" ht="15.75" customHeight="1" x14ac:dyDescent="0.3">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row>
    <row r="610" spans="1:30" ht="15.75" customHeight="1" x14ac:dyDescent="0.3">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row>
    <row r="611" spans="1:30" ht="15.75" customHeight="1" x14ac:dyDescent="0.3">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row>
    <row r="612" spans="1:30" ht="15.75" customHeight="1" x14ac:dyDescent="0.3">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row>
    <row r="613" spans="1:30" ht="15.75" customHeight="1" x14ac:dyDescent="0.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row>
    <row r="614" spans="1:30" ht="15.75" customHeight="1" x14ac:dyDescent="0.3">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row>
    <row r="615" spans="1:30" ht="15.75" customHeight="1" x14ac:dyDescent="0.3">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row>
    <row r="616" spans="1:30" ht="15.75" customHeight="1" x14ac:dyDescent="0.3">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row>
    <row r="617" spans="1:30" ht="15.75" customHeight="1" x14ac:dyDescent="0.3">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row>
    <row r="618" spans="1:30" ht="15.75" customHeight="1" x14ac:dyDescent="0.3">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row>
    <row r="619" spans="1:30" ht="15.75" customHeight="1" x14ac:dyDescent="0.3">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row>
    <row r="620" spans="1:30" ht="15.75" customHeight="1" x14ac:dyDescent="0.3">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row>
    <row r="621" spans="1:30" ht="15.75" customHeight="1" x14ac:dyDescent="0.3">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row>
    <row r="622" spans="1:30" ht="15.75" customHeight="1" x14ac:dyDescent="0.3">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row>
    <row r="623" spans="1:30" ht="15.75" customHeight="1" x14ac:dyDescent="0.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row>
    <row r="624" spans="1:30" ht="15.75" customHeight="1" x14ac:dyDescent="0.3">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row>
    <row r="625" spans="1:30" ht="15.75" customHeight="1" x14ac:dyDescent="0.3">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row>
    <row r="626" spans="1:30" ht="15.75" customHeight="1" x14ac:dyDescent="0.3">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row>
    <row r="627" spans="1:30" ht="15.75" customHeight="1" x14ac:dyDescent="0.3">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row>
    <row r="628" spans="1:30" ht="15.75" customHeight="1" x14ac:dyDescent="0.3">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row>
    <row r="629" spans="1:30" ht="15.75" customHeight="1" x14ac:dyDescent="0.3">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row>
    <row r="630" spans="1:30" ht="15.75" customHeight="1" x14ac:dyDescent="0.3">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row>
    <row r="631" spans="1:30" ht="15.75" customHeight="1" x14ac:dyDescent="0.3">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row>
    <row r="632" spans="1:30" ht="15.75" customHeight="1" x14ac:dyDescent="0.3">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row>
    <row r="633" spans="1:30" ht="15.75" customHeight="1" x14ac:dyDescent="0.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row>
    <row r="634" spans="1:30" ht="15.75" customHeight="1" x14ac:dyDescent="0.3">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row>
    <row r="635" spans="1:30" ht="15.75" customHeight="1" x14ac:dyDescent="0.3">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row>
    <row r="636" spans="1:30" ht="15.75" customHeight="1" x14ac:dyDescent="0.3">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row>
    <row r="637" spans="1:30" ht="15.75" customHeight="1" x14ac:dyDescent="0.3">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row>
    <row r="638" spans="1:30" ht="15.75" customHeight="1" x14ac:dyDescent="0.3">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row>
    <row r="639" spans="1:30" ht="15.75" customHeight="1" x14ac:dyDescent="0.3">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row>
    <row r="640" spans="1:30" ht="15.75" customHeight="1" x14ac:dyDescent="0.3">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row>
    <row r="641" spans="1:30" ht="15.75" customHeight="1" x14ac:dyDescent="0.3">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row>
    <row r="642" spans="1:30" ht="15.75" customHeight="1" x14ac:dyDescent="0.3">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row>
    <row r="643" spans="1:30" ht="15.75" customHeight="1" x14ac:dyDescent="0.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row>
    <row r="644" spans="1:30" ht="15.75" customHeight="1" x14ac:dyDescent="0.3">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row>
    <row r="645" spans="1:30" ht="15.75" customHeight="1" x14ac:dyDescent="0.3">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row>
    <row r="646" spans="1:30" ht="15.75" customHeight="1" x14ac:dyDescent="0.3">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row>
    <row r="647" spans="1:30" ht="15.75" customHeight="1" x14ac:dyDescent="0.3">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row>
    <row r="648" spans="1:30" ht="15.75" customHeight="1" x14ac:dyDescent="0.3">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row>
    <row r="649" spans="1:30" ht="15.75" customHeight="1" x14ac:dyDescent="0.3">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row>
    <row r="650" spans="1:30" ht="15.75" customHeight="1" x14ac:dyDescent="0.3">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row>
    <row r="651" spans="1:30" ht="15.75" customHeight="1" x14ac:dyDescent="0.3">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row>
    <row r="652" spans="1:30" ht="15.75" customHeight="1" x14ac:dyDescent="0.3">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row>
    <row r="653" spans="1:30" ht="15.75" customHeight="1" x14ac:dyDescent="0.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row>
    <row r="654" spans="1:30" ht="15.75" customHeight="1" x14ac:dyDescent="0.3">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row>
    <row r="655" spans="1:30" ht="15.75" customHeight="1" x14ac:dyDescent="0.3">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row>
    <row r="656" spans="1:30" ht="15.75" customHeight="1" x14ac:dyDescent="0.3">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row>
    <row r="657" spans="1:30" ht="15.75" customHeight="1" x14ac:dyDescent="0.3">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row>
    <row r="658" spans="1:30" ht="15.75" customHeight="1" x14ac:dyDescent="0.3">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row>
    <row r="659" spans="1:30" ht="15.75" customHeight="1" x14ac:dyDescent="0.3">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row>
    <row r="660" spans="1:30" ht="15.75" customHeight="1" x14ac:dyDescent="0.3">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row>
    <row r="661" spans="1:30" ht="15.75" customHeight="1" x14ac:dyDescent="0.3">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row>
    <row r="662" spans="1:30" ht="15.75" customHeight="1" x14ac:dyDescent="0.3">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row>
    <row r="663" spans="1:30" ht="15.75" customHeight="1" x14ac:dyDescent="0.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row>
    <row r="664" spans="1:30" ht="15.75" customHeight="1" x14ac:dyDescent="0.3">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row>
    <row r="665" spans="1:30" ht="15.75" customHeight="1" x14ac:dyDescent="0.3">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row>
    <row r="666" spans="1:30" ht="15.75" customHeight="1" x14ac:dyDescent="0.3">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row>
    <row r="667" spans="1:30" ht="15.75" customHeight="1" x14ac:dyDescent="0.3">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row>
    <row r="668" spans="1:30" ht="15.75" customHeight="1" x14ac:dyDescent="0.3">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row>
    <row r="669" spans="1:30" ht="15.75" customHeight="1" x14ac:dyDescent="0.3">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row>
    <row r="670" spans="1:30" ht="15.75" customHeight="1" x14ac:dyDescent="0.3">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row>
    <row r="671" spans="1:30" ht="15.75" customHeight="1" x14ac:dyDescent="0.3">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row>
    <row r="672" spans="1:30" ht="15.75" customHeight="1" x14ac:dyDescent="0.3">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row>
    <row r="673" spans="1:30" ht="15.75" customHeight="1" x14ac:dyDescent="0.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row>
    <row r="674" spans="1:30" ht="15.75" customHeight="1" x14ac:dyDescent="0.3">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row>
    <row r="675" spans="1:30" ht="15.75" customHeight="1" x14ac:dyDescent="0.3">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row>
    <row r="676" spans="1:30" ht="15.75" customHeight="1" x14ac:dyDescent="0.3">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row>
    <row r="677" spans="1:30" ht="15.75" customHeight="1" x14ac:dyDescent="0.3">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row>
    <row r="678" spans="1:30" ht="15.75" customHeight="1" x14ac:dyDescent="0.3">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row>
    <row r="679" spans="1:30" ht="15.75" customHeight="1" x14ac:dyDescent="0.3">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row>
    <row r="680" spans="1:30" ht="15.75" customHeight="1" x14ac:dyDescent="0.3">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row>
    <row r="681" spans="1:30" ht="15.75" customHeight="1" x14ac:dyDescent="0.3">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row>
    <row r="682" spans="1:30" ht="15.75" customHeight="1" x14ac:dyDescent="0.3">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row>
    <row r="683" spans="1:30" ht="15.75" customHeight="1" x14ac:dyDescent="0.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row>
    <row r="684" spans="1:30" ht="15.75" customHeight="1" x14ac:dyDescent="0.3">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row>
    <row r="685" spans="1:30" ht="15.75" customHeight="1" x14ac:dyDescent="0.3">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row>
    <row r="686" spans="1:30" ht="15.75" customHeight="1" x14ac:dyDescent="0.3">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row>
    <row r="687" spans="1:30" ht="15.75" customHeight="1" x14ac:dyDescent="0.3">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row>
    <row r="688" spans="1:30" ht="15.75" customHeight="1" x14ac:dyDescent="0.3">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row>
    <row r="689" spans="1:30" ht="15.75" customHeight="1" x14ac:dyDescent="0.3">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row>
    <row r="690" spans="1:30" ht="15.75" customHeight="1" x14ac:dyDescent="0.3">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row>
    <row r="691" spans="1:30" ht="15.75" customHeight="1" x14ac:dyDescent="0.3">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row>
    <row r="692" spans="1:30" ht="15.75" customHeight="1" x14ac:dyDescent="0.3">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row>
    <row r="693" spans="1:30" ht="15.75" customHeight="1" x14ac:dyDescent="0.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row>
    <row r="694" spans="1:30" ht="15.75" customHeight="1" x14ac:dyDescent="0.3">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row>
    <row r="695" spans="1:30" ht="15.75" customHeight="1" x14ac:dyDescent="0.3">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row>
    <row r="696" spans="1:30" ht="15.75" customHeight="1" x14ac:dyDescent="0.3">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row>
    <row r="697" spans="1:30" ht="15.75" customHeight="1" x14ac:dyDescent="0.3">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row>
    <row r="698" spans="1:30" ht="15.75" customHeight="1" x14ac:dyDescent="0.3">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row>
    <row r="699" spans="1:30" ht="15.75" customHeight="1" x14ac:dyDescent="0.3">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row>
    <row r="700" spans="1:30" ht="15.75" customHeight="1" x14ac:dyDescent="0.3">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row>
    <row r="701" spans="1:30" ht="15.75" customHeight="1" x14ac:dyDescent="0.3">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row>
    <row r="702" spans="1:30" ht="15.75" customHeight="1" x14ac:dyDescent="0.3">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row>
    <row r="703" spans="1:30" ht="15.75" customHeight="1" x14ac:dyDescent="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row>
    <row r="704" spans="1:30" ht="15.75" customHeight="1" x14ac:dyDescent="0.3">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row>
    <row r="705" spans="1:30" ht="15.75" customHeight="1" x14ac:dyDescent="0.3">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row>
    <row r="706" spans="1:30" ht="15.75" customHeight="1" x14ac:dyDescent="0.3">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row>
    <row r="707" spans="1:30" ht="15.75" customHeight="1" x14ac:dyDescent="0.3">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row>
    <row r="708" spans="1:30" ht="15.75" customHeight="1" x14ac:dyDescent="0.3">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row>
    <row r="709" spans="1:30" ht="15.75" customHeight="1" x14ac:dyDescent="0.3">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row>
    <row r="710" spans="1:30" ht="15.75" customHeight="1" x14ac:dyDescent="0.3">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row>
    <row r="711" spans="1:30" ht="15.75" customHeight="1" x14ac:dyDescent="0.3">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row>
    <row r="712" spans="1:30" ht="15.75" customHeight="1" x14ac:dyDescent="0.3">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row>
    <row r="713" spans="1:30" ht="15.75" customHeight="1" x14ac:dyDescent="0.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row>
    <row r="714" spans="1:30" ht="15.75" customHeight="1" x14ac:dyDescent="0.3">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row>
    <row r="715" spans="1:30" ht="15.75" customHeight="1" x14ac:dyDescent="0.3">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row>
    <row r="716" spans="1:30" ht="15.75" customHeight="1" x14ac:dyDescent="0.3">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row>
    <row r="717" spans="1:30" ht="15.75" customHeight="1" x14ac:dyDescent="0.3">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row>
    <row r="718" spans="1:30" ht="15.75" customHeight="1" x14ac:dyDescent="0.3">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row>
    <row r="719" spans="1:30" ht="15.75" customHeight="1" x14ac:dyDescent="0.3">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row>
    <row r="720" spans="1:30" ht="15.75" customHeight="1" x14ac:dyDescent="0.3">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row>
    <row r="721" spans="1:30" ht="15.75" customHeight="1" x14ac:dyDescent="0.3">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row>
    <row r="722" spans="1:30" ht="15.75" customHeight="1" x14ac:dyDescent="0.3">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row>
    <row r="723" spans="1:30" ht="15.75" customHeight="1" x14ac:dyDescent="0.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row>
    <row r="724" spans="1:30" ht="15.75" customHeight="1" x14ac:dyDescent="0.3">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row>
    <row r="725" spans="1:30" ht="15.75" customHeight="1" x14ac:dyDescent="0.3">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row>
    <row r="726" spans="1:30" ht="15.75" customHeight="1" x14ac:dyDescent="0.3">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row>
    <row r="727" spans="1:30" ht="15.75" customHeight="1" x14ac:dyDescent="0.3">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row>
    <row r="728" spans="1:30" ht="15.75" customHeight="1" x14ac:dyDescent="0.3">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row>
    <row r="729" spans="1:30" ht="15.75" customHeight="1" x14ac:dyDescent="0.3">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row>
    <row r="730" spans="1:30" ht="15.75" customHeight="1" x14ac:dyDescent="0.3">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row>
    <row r="731" spans="1:30" ht="15.75" customHeight="1" x14ac:dyDescent="0.3">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row>
    <row r="732" spans="1:30" ht="15.75" customHeight="1" x14ac:dyDescent="0.3">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row>
    <row r="733" spans="1:30" ht="15.75" customHeight="1" x14ac:dyDescent="0.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row>
    <row r="734" spans="1:30" ht="15.75" customHeight="1" x14ac:dyDescent="0.3">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row>
    <row r="735" spans="1:30" ht="15.75" customHeight="1" x14ac:dyDescent="0.3">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row>
    <row r="736" spans="1:30" ht="15.75" customHeight="1" x14ac:dyDescent="0.3">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row>
    <row r="737" spans="1:30" ht="15.75" customHeight="1" x14ac:dyDescent="0.3">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row>
    <row r="738" spans="1:30" ht="15.75" customHeight="1" x14ac:dyDescent="0.3">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row>
    <row r="739" spans="1:30" ht="15.75" customHeight="1" x14ac:dyDescent="0.3">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row>
    <row r="740" spans="1:30" ht="15.75" customHeight="1" x14ac:dyDescent="0.3">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row>
    <row r="741" spans="1:30" ht="15.75" customHeight="1" x14ac:dyDescent="0.3">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row>
    <row r="742" spans="1:30" ht="15.75" customHeight="1" x14ac:dyDescent="0.3">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row>
    <row r="743" spans="1:30" ht="15.75" customHeight="1" x14ac:dyDescent="0.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row>
    <row r="744" spans="1:30" ht="15.75" customHeight="1" x14ac:dyDescent="0.3">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row>
    <row r="745" spans="1:30" ht="15.75" customHeight="1" x14ac:dyDescent="0.3">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row>
    <row r="746" spans="1:30" ht="15.75" customHeight="1" x14ac:dyDescent="0.3">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row>
    <row r="747" spans="1:30" ht="15.75" customHeight="1" x14ac:dyDescent="0.3">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row>
    <row r="748" spans="1:30" ht="15.75" customHeight="1" x14ac:dyDescent="0.3">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row>
    <row r="749" spans="1:30" ht="15.75" customHeight="1" x14ac:dyDescent="0.3">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row>
    <row r="750" spans="1:30" ht="15.75" customHeight="1" x14ac:dyDescent="0.3">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row>
    <row r="751" spans="1:30" ht="15.75" customHeight="1" x14ac:dyDescent="0.3">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row>
    <row r="752" spans="1:30" ht="15.75" customHeight="1" x14ac:dyDescent="0.3">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row>
    <row r="753" spans="1:30" ht="15.75" customHeight="1" x14ac:dyDescent="0.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row>
    <row r="754" spans="1:30" ht="15.75" customHeight="1" x14ac:dyDescent="0.3">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row>
    <row r="755" spans="1:30" ht="15.75" customHeight="1" x14ac:dyDescent="0.3">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row>
    <row r="756" spans="1:30" ht="15.75" customHeight="1" x14ac:dyDescent="0.3">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row>
    <row r="757" spans="1:30" ht="15.75" customHeight="1" x14ac:dyDescent="0.3">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row>
    <row r="758" spans="1:30" ht="15.75" customHeight="1" x14ac:dyDescent="0.3">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row>
    <row r="759" spans="1:30" ht="15.75" customHeight="1" x14ac:dyDescent="0.3">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row>
    <row r="760" spans="1:30" ht="15.75" customHeight="1" x14ac:dyDescent="0.3">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row>
    <row r="761" spans="1:30" ht="15.75" customHeight="1" x14ac:dyDescent="0.3">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row>
    <row r="762" spans="1:30" ht="15.75" customHeight="1" x14ac:dyDescent="0.3">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row>
    <row r="763" spans="1:30" ht="15.75" customHeight="1" x14ac:dyDescent="0.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row>
    <row r="764" spans="1:30" ht="15.75" customHeight="1" x14ac:dyDescent="0.3">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row>
    <row r="765" spans="1:30" ht="15.75" customHeight="1" x14ac:dyDescent="0.3">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row>
    <row r="766" spans="1:30" ht="15.75" customHeight="1" x14ac:dyDescent="0.3">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row>
    <row r="767" spans="1:30" ht="15.75" customHeight="1" x14ac:dyDescent="0.3">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row>
    <row r="768" spans="1:30" ht="15.75" customHeight="1" x14ac:dyDescent="0.3">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row>
    <row r="769" spans="1:30" ht="15.75" customHeight="1" x14ac:dyDescent="0.3">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row>
    <row r="770" spans="1:30" ht="15.75" customHeight="1" x14ac:dyDescent="0.3">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row>
    <row r="771" spans="1:30" ht="15.75" customHeight="1" x14ac:dyDescent="0.3">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row>
    <row r="772" spans="1:30" ht="15.75" customHeight="1" x14ac:dyDescent="0.3">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row>
    <row r="773" spans="1:30" ht="15.75" customHeight="1" x14ac:dyDescent="0.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row>
    <row r="774" spans="1:30" ht="15.75" customHeight="1" x14ac:dyDescent="0.3">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row>
    <row r="775" spans="1:30" ht="15.75" customHeight="1" x14ac:dyDescent="0.3">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row>
    <row r="776" spans="1:30" ht="15.75" customHeight="1" x14ac:dyDescent="0.3">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row>
    <row r="777" spans="1:30" ht="15.75" customHeight="1" x14ac:dyDescent="0.3">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row>
    <row r="778" spans="1:30" ht="15.75" customHeight="1" x14ac:dyDescent="0.3">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row>
    <row r="779" spans="1:30" ht="15.75" customHeight="1" x14ac:dyDescent="0.3">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row>
    <row r="780" spans="1:30" ht="15.75" customHeight="1" x14ac:dyDescent="0.3">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row>
    <row r="781" spans="1:30" ht="15.75" customHeight="1" x14ac:dyDescent="0.3">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row>
    <row r="782" spans="1:30" ht="15.75" customHeight="1" x14ac:dyDescent="0.3">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row>
    <row r="783" spans="1:30" ht="15.75" customHeight="1" x14ac:dyDescent="0.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row>
    <row r="784" spans="1:30" ht="15.75" customHeight="1" x14ac:dyDescent="0.3">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row>
    <row r="785" spans="1:30" ht="15.75" customHeight="1" x14ac:dyDescent="0.3">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row>
    <row r="786" spans="1:30" ht="15.75" customHeight="1" x14ac:dyDescent="0.3">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row>
    <row r="787" spans="1:30" ht="15.75" customHeight="1" x14ac:dyDescent="0.3">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row>
    <row r="788" spans="1:30" ht="15.75" customHeight="1" x14ac:dyDescent="0.3">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row>
    <row r="789" spans="1:30" ht="15.75" customHeight="1" x14ac:dyDescent="0.3">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row>
    <row r="790" spans="1:30" ht="15.75" customHeight="1" x14ac:dyDescent="0.3">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row>
    <row r="791" spans="1:30" ht="15.75" customHeight="1" x14ac:dyDescent="0.3">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row>
    <row r="792" spans="1:30" ht="15.75" customHeight="1" x14ac:dyDescent="0.3">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row>
    <row r="793" spans="1:30" ht="15.75" customHeight="1" x14ac:dyDescent="0.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row>
    <row r="794" spans="1:30" ht="15.75" customHeight="1" x14ac:dyDescent="0.3">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row>
    <row r="795" spans="1:30" ht="15.75" customHeight="1" x14ac:dyDescent="0.3">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row>
    <row r="796" spans="1:30" ht="15.75" customHeight="1" x14ac:dyDescent="0.3">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row>
    <row r="797" spans="1:30" ht="15.75" customHeight="1" x14ac:dyDescent="0.3">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row>
    <row r="798" spans="1:30" ht="15.75" customHeight="1" x14ac:dyDescent="0.3">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row>
    <row r="799" spans="1:30" ht="15.75" customHeight="1" x14ac:dyDescent="0.3">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row>
    <row r="800" spans="1:30" ht="15.75" customHeight="1" x14ac:dyDescent="0.3">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row>
    <row r="801" spans="1:30" ht="15.75" customHeight="1" x14ac:dyDescent="0.3">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row>
    <row r="802" spans="1:30" ht="15.75" customHeight="1" x14ac:dyDescent="0.3">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row>
    <row r="803" spans="1:30" ht="15.75" customHeight="1" x14ac:dyDescent="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row>
    <row r="804" spans="1:30" ht="15.75" customHeight="1" x14ac:dyDescent="0.3">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row>
    <row r="805" spans="1:30" ht="15.75" customHeight="1" x14ac:dyDescent="0.3">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row>
    <row r="806" spans="1:30" ht="15.75" customHeight="1" x14ac:dyDescent="0.3">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row>
    <row r="807" spans="1:30" ht="15.75" customHeight="1" x14ac:dyDescent="0.3">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row>
    <row r="808" spans="1:30" ht="15.75" customHeight="1" x14ac:dyDescent="0.3">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row>
    <row r="809" spans="1:30" ht="15.75" customHeight="1" x14ac:dyDescent="0.3">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row>
    <row r="810" spans="1:30" ht="15.75" customHeight="1" x14ac:dyDescent="0.3">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row>
    <row r="811" spans="1:30" ht="15.75" customHeight="1" x14ac:dyDescent="0.3">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row>
    <row r="812" spans="1:30" ht="15.75" customHeight="1" x14ac:dyDescent="0.3">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row>
    <row r="813" spans="1:30" ht="15.75" customHeight="1" x14ac:dyDescent="0.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row>
    <row r="814" spans="1:30" ht="15.75" customHeight="1" x14ac:dyDescent="0.3">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row>
    <row r="815" spans="1:30" ht="15.75" customHeight="1" x14ac:dyDescent="0.3">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row>
    <row r="816" spans="1:30" ht="15.75" customHeight="1" x14ac:dyDescent="0.3">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row>
    <row r="817" spans="1:30" ht="15.75" customHeight="1" x14ac:dyDescent="0.3">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row>
    <row r="818" spans="1:30" ht="15.75" customHeight="1" x14ac:dyDescent="0.3">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row>
    <row r="819" spans="1:30" ht="15.75" customHeight="1" x14ac:dyDescent="0.3">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row>
    <row r="820" spans="1:30" ht="15.75" customHeight="1" x14ac:dyDescent="0.3">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row>
    <row r="821" spans="1:30" ht="15.75" customHeight="1" x14ac:dyDescent="0.3">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row>
    <row r="822" spans="1:30" ht="15.75" customHeight="1" x14ac:dyDescent="0.3">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row>
    <row r="823" spans="1:30" ht="15.75" customHeight="1" x14ac:dyDescent="0.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row>
    <row r="824" spans="1:30" ht="15.75" customHeight="1" x14ac:dyDescent="0.3">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row>
    <row r="825" spans="1:30" ht="15.75" customHeight="1" x14ac:dyDescent="0.3">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row>
    <row r="826" spans="1:30" ht="15.75" customHeight="1" x14ac:dyDescent="0.3">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row>
    <row r="827" spans="1:30" ht="15.75" customHeight="1" x14ac:dyDescent="0.3">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row>
    <row r="828" spans="1:30" ht="15.75" customHeight="1" x14ac:dyDescent="0.3">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row>
    <row r="829" spans="1:30" ht="15.75" customHeight="1" x14ac:dyDescent="0.3">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row>
    <row r="830" spans="1:30" ht="15.75" customHeight="1" x14ac:dyDescent="0.3">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row>
    <row r="831" spans="1:30" ht="15.75" customHeight="1" x14ac:dyDescent="0.3">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row>
    <row r="832" spans="1:30" ht="15.75" customHeight="1" x14ac:dyDescent="0.3">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row>
    <row r="833" spans="1:30" ht="15.75" customHeight="1" x14ac:dyDescent="0.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row>
    <row r="834" spans="1:30" ht="15.75" customHeight="1" x14ac:dyDescent="0.3">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row>
    <row r="835" spans="1:30" ht="15.75" customHeight="1" x14ac:dyDescent="0.3">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row>
    <row r="836" spans="1:30" ht="15.75" customHeight="1" x14ac:dyDescent="0.3">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row>
    <row r="837" spans="1:30" ht="15.75" customHeight="1" x14ac:dyDescent="0.3">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row>
    <row r="838" spans="1:30" ht="15.75" customHeight="1" x14ac:dyDescent="0.3">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row>
    <row r="839" spans="1:30" ht="15.75" customHeight="1" x14ac:dyDescent="0.3">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row>
    <row r="840" spans="1:30" ht="15.75" customHeight="1" x14ac:dyDescent="0.3">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row>
    <row r="841" spans="1:30" ht="15.75" customHeight="1" x14ac:dyDescent="0.3">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row>
    <row r="842" spans="1:30" ht="15.75" customHeight="1" x14ac:dyDescent="0.3">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row>
    <row r="843" spans="1:30" ht="15.75" customHeight="1" x14ac:dyDescent="0.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row>
    <row r="844" spans="1:30" ht="15.75" customHeight="1" x14ac:dyDescent="0.3">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row>
    <row r="845" spans="1:30" ht="15.75" customHeight="1" x14ac:dyDescent="0.3">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row>
    <row r="846" spans="1:30" ht="15.75" customHeight="1" x14ac:dyDescent="0.3">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row>
    <row r="847" spans="1:30" ht="15.75" customHeight="1" x14ac:dyDescent="0.3">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row>
    <row r="848" spans="1:30" ht="15.75" customHeight="1" x14ac:dyDescent="0.3">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row>
    <row r="849" spans="1:30" ht="15.75" customHeight="1" x14ac:dyDescent="0.3">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row>
    <row r="850" spans="1:30" ht="15.75" customHeight="1" x14ac:dyDescent="0.3">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row>
    <row r="851" spans="1:30" ht="15.75" customHeight="1" x14ac:dyDescent="0.3">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row>
    <row r="852" spans="1:30" ht="15.75" customHeight="1" x14ac:dyDescent="0.3">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row>
    <row r="853" spans="1:30" ht="15.75" customHeight="1" x14ac:dyDescent="0.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row>
    <row r="854" spans="1:30" ht="15.75" customHeight="1" x14ac:dyDescent="0.3">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row>
    <row r="855" spans="1:30" ht="15.75" customHeight="1" x14ac:dyDescent="0.3">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row>
    <row r="856" spans="1:30" ht="15.75" customHeight="1" x14ac:dyDescent="0.3">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row>
    <row r="857" spans="1:30" ht="15.75" customHeight="1" x14ac:dyDescent="0.3">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row>
    <row r="858" spans="1:30" ht="15.75" customHeight="1" x14ac:dyDescent="0.3">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row>
    <row r="859" spans="1:30" ht="15.75" customHeight="1" x14ac:dyDescent="0.3">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row>
    <row r="860" spans="1:30" ht="15.75" customHeight="1" x14ac:dyDescent="0.3">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row>
    <row r="861" spans="1:30" ht="15.75" customHeight="1" x14ac:dyDescent="0.3">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row>
    <row r="862" spans="1:30" ht="15.75" customHeight="1" x14ac:dyDescent="0.3">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row>
    <row r="863" spans="1:30" ht="15.75" customHeight="1" x14ac:dyDescent="0.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row>
    <row r="864" spans="1:30" ht="15.75" customHeight="1" x14ac:dyDescent="0.3">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row>
    <row r="865" spans="1:30" ht="15.75" customHeight="1" x14ac:dyDescent="0.3">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row>
    <row r="866" spans="1:30" ht="15.75" customHeight="1" x14ac:dyDescent="0.3">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row>
    <row r="867" spans="1:30" ht="15.75" customHeight="1" x14ac:dyDescent="0.3">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row>
    <row r="868" spans="1:30" ht="15.75" customHeight="1" x14ac:dyDescent="0.3">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row>
    <row r="869" spans="1:30" ht="15.75" customHeight="1" x14ac:dyDescent="0.3">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row>
    <row r="870" spans="1:30" ht="15.75" customHeight="1" x14ac:dyDescent="0.3">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row>
    <row r="871" spans="1:30" ht="15.75" customHeight="1" x14ac:dyDescent="0.3">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row>
    <row r="872" spans="1:30" ht="15.75" customHeight="1" x14ac:dyDescent="0.3">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row>
    <row r="873" spans="1:30" ht="15.75" customHeight="1" x14ac:dyDescent="0.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row>
    <row r="874" spans="1:30" ht="15.75" customHeight="1" x14ac:dyDescent="0.3">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row>
    <row r="875" spans="1:30" ht="15.75" customHeight="1" x14ac:dyDescent="0.3">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row>
    <row r="876" spans="1:30" ht="15.75" customHeight="1" x14ac:dyDescent="0.3">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row>
    <row r="877" spans="1:30" ht="15.75" customHeight="1" x14ac:dyDescent="0.3">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row>
    <row r="878" spans="1:30" ht="15.75" customHeight="1" x14ac:dyDescent="0.3">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row>
    <row r="879" spans="1:30" ht="15.75" customHeight="1" x14ac:dyDescent="0.3">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row>
    <row r="880" spans="1:30" ht="15.75" customHeight="1" x14ac:dyDescent="0.3">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row>
    <row r="881" spans="1:30" ht="15.75" customHeight="1" x14ac:dyDescent="0.3">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row>
    <row r="882" spans="1:30" ht="15.75" customHeight="1" x14ac:dyDescent="0.3">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row>
    <row r="883" spans="1:30" ht="15.75" customHeight="1" x14ac:dyDescent="0.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row>
    <row r="884" spans="1:30" ht="15.75" customHeight="1" x14ac:dyDescent="0.3">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row>
    <row r="885" spans="1:30" ht="15.75" customHeight="1" x14ac:dyDescent="0.3">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row>
    <row r="886" spans="1:30" ht="15.75" customHeight="1" x14ac:dyDescent="0.3">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row>
    <row r="887" spans="1:30" ht="15.75" customHeight="1" x14ac:dyDescent="0.3">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row>
    <row r="888" spans="1:30" ht="15.75" customHeight="1" x14ac:dyDescent="0.3">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row>
    <row r="889" spans="1:30" ht="15.75" customHeight="1" x14ac:dyDescent="0.3">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row>
    <row r="890" spans="1:30" ht="15.75" customHeight="1" x14ac:dyDescent="0.3">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row>
    <row r="891" spans="1:30" ht="15.75" customHeight="1" x14ac:dyDescent="0.3">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row>
    <row r="892" spans="1:30" ht="15.75" customHeight="1" x14ac:dyDescent="0.3">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row>
    <row r="893" spans="1:30" ht="15.75" customHeight="1" x14ac:dyDescent="0.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row>
    <row r="894" spans="1:30" ht="15.75" customHeight="1" x14ac:dyDescent="0.3">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row>
    <row r="895" spans="1:30" ht="15.75" customHeight="1" x14ac:dyDescent="0.3">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row>
    <row r="896" spans="1:30" ht="15.75" customHeight="1" x14ac:dyDescent="0.3">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row>
    <row r="897" spans="1:30" ht="15.75" customHeight="1" x14ac:dyDescent="0.3">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row>
    <row r="898" spans="1:30" ht="15.75" customHeight="1" x14ac:dyDescent="0.3">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row>
    <row r="899" spans="1:30" ht="15.75" customHeight="1" x14ac:dyDescent="0.3">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row>
    <row r="900" spans="1:30" ht="15.75" customHeight="1" x14ac:dyDescent="0.3">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row>
    <row r="901" spans="1:30" ht="15.75" customHeight="1" x14ac:dyDescent="0.3">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row>
    <row r="902" spans="1:30" ht="15.75" customHeight="1" x14ac:dyDescent="0.3">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row>
    <row r="903" spans="1:30" ht="15.75" customHeight="1" x14ac:dyDescent="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row>
    <row r="904" spans="1:30" ht="15.75" customHeight="1" x14ac:dyDescent="0.3">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row>
    <row r="905" spans="1:30" ht="15.75" customHeight="1" x14ac:dyDescent="0.3">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row>
    <row r="906" spans="1:30" ht="15.75" customHeight="1" x14ac:dyDescent="0.3">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row>
    <row r="907" spans="1:30" ht="15.75" customHeight="1" x14ac:dyDescent="0.3">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row>
    <row r="908" spans="1:30" ht="15.75" customHeight="1" x14ac:dyDescent="0.3">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row>
    <row r="909" spans="1:30" ht="15.75" customHeight="1" x14ac:dyDescent="0.3">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row>
    <row r="910" spans="1:30" ht="15.75" customHeight="1" x14ac:dyDescent="0.3">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row>
    <row r="911" spans="1:30" ht="15.75" customHeight="1" x14ac:dyDescent="0.3">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row>
    <row r="912" spans="1:30" ht="15.75" customHeight="1" x14ac:dyDescent="0.3">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row>
    <row r="913" spans="1:30" ht="15.75" customHeight="1" x14ac:dyDescent="0.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row>
    <row r="914" spans="1:30" ht="15.75" customHeight="1" x14ac:dyDescent="0.3">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row>
    <row r="915" spans="1:30" ht="15.75" customHeight="1" x14ac:dyDescent="0.3">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row>
    <row r="916" spans="1:30" ht="15.75" customHeight="1" x14ac:dyDescent="0.3">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row>
    <row r="917" spans="1:30" ht="15.75" customHeight="1" x14ac:dyDescent="0.3">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row>
    <row r="918" spans="1:30" ht="15.75" customHeight="1" x14ac:dyDescent="0.3">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row>
    <row r="919" spans="1:30" ht="15.75" customHeight="1" x14ac:dyDescent="0.3">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row>
    <row r="920" spans="1:30" ht="15.75" customHeight="1" x14ac:dyDescent="0.3">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row>
    <row r="921" spans="1:30" ht="15.75" customHeight="1" x14ac:dyDescent="0.3">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row>
    <row r="922" spans="1:30" ht="15.75" customHeight="1" x14ac:dyDescent="0.3">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row>
    <row r="923" spans="1:30" ht="15.75" customHeight="1" x14ac:dyDescent="0.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row>
    <row r="924" spans="1:30" ht="15.75" customHeight="1" x14ac:dyDescent="0.3">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row>
    <row r="925" spans="1:30" ht="15.75" customHeight="1" x14ac:dyDescent="0.3">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row>
    <row r="926" spans="1:30" ht="15.75" customHeight="1" x14ac:dyDescent="0.3">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row>
    <row r="927" spans="1:30" ht="15.75" customHeight="1" x14ac:dyDescent="0.3">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row>
    <row r="928" spans="1:30" ht="15.75" customHeight="1" x14ac:dyDescent="0.3">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row>
    <row r="929" spans="1:30" ht="15.75" customHeight="1" x14ac:dyDescent="0.3">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row>
    <row r="930" spans="1:30" ht="15.75" customHeight="1" x14ac:dyDescent="0.3">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row>
    <row r="931" spans="1:30" ht="15.75" customHeight="1" x14ac:dyDescent="0.3">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row>
    <row r="932" spans="1:30" ht="15.75" customHeight="1" x14ac:dyDescent="0.3">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row>
    <row r="933" spans="1:30" ht="15.75" customHeight="1" x14ac:dyDescent="0.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row>
    <row r="934" spans="1:30" ht="15.75" customHeight="1" x14ac:dyDescent="0.3">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row>
    <row r="935" spans="1:30" ht="15.75" customHeight="1" x14ac:dyDescent="0.3">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row>
    <row r="936" spans="1:30" ht="15.75" customHeight="1" x14ac:dyDescent="0.3">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row>
    <row r="937" spans="1:30" ht="15.75" customHeight="1" x14ac:dyDescent="0.3">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row>
    <row r="938" spans="1:30" ht="15.75" customHeight="1" x14ac:dyDescent="0.3">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row>
    <row r="939" spans="1:30" ht="15.75" customHeight="1" x14ac:dyDescent="0.3">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row>
    <row r="940" spans="1:30" ht="15.75" customHeight="1" x14ac:dyDescent="0.3">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row>
    <row r="941" spans="1:30" ht="15.75" customHeight="1" x14ac:dyDescent="0.3">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row>
    <row r="942" spans="1:30" ht="15.75" customHeight="1" x14ac:dyDescent="0.3">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row>
    <row r="943" spans="1:30" ht="15.75" customHeight="1" x14ac:dyDescent="0.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row>
    <row r="944" spans="1:30" ht="15.75" customHeight="1" x14ac:dyDescent="0.3">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row>
    <row r="945" spans="1:30" ht="15.75" customHeight="1" x14ac:dyDescent="0.3">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row>
    <row r="946" spans="1:30" ht="15.75" customHeight="1" x14ac:dyDescent="0.3">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row>
    <row r="947" spans="1:30" ht="15.75" customHeight="1" x14ac:dyDescent="0.3">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row>
    <row r="948" spans="1:30" ht="15.75" customHeight="1" x14ac:dyDescent="0.3">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row>
    <row r="949" spans="1:30" ht="15.75" customHeight="1" x14ac:dyDescent="0.3">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row>
    <row r="950" spans="1:30" ht="15.75" customHeight="1" x14ac:dyDescent="0.3">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row>
    <row r="951" spans="1:30" ht="15.75" customHeight="1" x14ac:dyDescent="0.3">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row>
    <row r="952" spans="1:30" ht="15.75" customHeight="1" x14ac:dyDescent="0.3">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row>
    <row r="953" spans="1:30" ht="15.75" customHeight="1" x14ac:dyDescent="0.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row>
    <row r="954" spans="1:30" ht="15.75" customHeight="1" x14ac:dyDescent="0.3">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row>
    <row r="955" spans="1:30" ht="15.75" customHeight="1" x14ac:dyDescent="0.3">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row>
    <row r="956" spans="1:30" ht="15.75" customHeight="1" x14ac:dyDescent="0.3">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row>
    <row r="957" spans="1:30" ht="15.75" customHeight="1" x14ac:dyDescent="0.3">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row>
    <row r="958" spans="1:30" ht="15.75" customHeight="1" x14ac:dyDescent="0.3">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row>
    <row r="959" spans="1:30" ht="15.75" customHeight="1" x14ac:dyDescent="0.3">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row>
    <row r="960" spans="1:30" ht="15.75" customHeight="1" x14ac:dyDescent="0.3">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row>
    <row r="961" spans="1:30" ht="15.75" customHeight="1" x14ac:dyDescent="0.3">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row>
    <row r="962" spans="1:30" ht="15.75" customHeight="1" x14ac:dyDescent="0.3">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row>
    <row r="963" spans="1:30" ht="15.75" customHeight="1" x14ac:dyDescent="0.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row>
    <row r="964" spans="1:30" ht="15.75" customHeight="1" x14ac:dyDescent="0.3">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row>
    <row r="965" spans="1:30" ht="15.75" customHeight="1" x14ac:dyDescent="0.3">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row>
    <row r="966" spans="1:30" ht="15.75" customHeight="1" x14ac:dyDescent="0.3">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row>
    <row r="967" spans="1:30" ht="15.75" customHeight="1" x14ac:dyDescent="0.3">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row>
    <row r="968" spans="1:30" ht="15.75" customHeight="1" x14ac:dyDescent="0.3">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row>
    <row r="969" spans="1:30" ht="15.75" customHeight="1" x14ac:dyDescent="0.3">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row>
    <row r="970" spans="1:30" ht="15.75" customHeight="1" x14ac:dyDescent="0.3">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row>
    <row r="971" spans="1:30" ht="15.75" customHeight="1" x14ac:dyDescent="0.3">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row>
    <row r="972" spans="1:30" ht="15.75" customHeight="1" x14ac:dyDescent="0.3">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row>
    <row r="973" spans="1:30" ht="15.75" customHeight="1" x14ac:dyDescent="0.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row>
    <row r="974" spans="1:30" ht="15.75" customHeight="1" x14ac:dyDescent="0.3">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row>
    <row r="975" spans="1:30" ht="15.75" customHeight="1" x14ac:dyDescent="0.3">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row>
    <row r="976" spans="1:30" ht="15.75" customHeight="1" x14ac:dyDescent="0.3">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row>
    <row r="977" spans="1:30" ht="15.75" customHeight="1" x14ac:dyDescent="0.3">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row>
    <row r="978" spans="1:30" ht="15.75" customHeight="1" x14ac:dyDescent="0.3">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row>
    <row r="979" spans="1:30" ht="15.75" customHeight="1" x14ac:dyDescent="0.3">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row>
    <row r="980" spans="1:30" ht="15.75" customHeight="1" x14ac:dyDescent="0.3">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row>
    <row r="981" spans="1:30" ht="15.75" customHeight="1" x14ac:dyDescent="0.3">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row>
    <row r="982" spans="1:30" ht="15.75" customHeight="1" x14ac:dyDescent="0.3">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row>
    <row r="983" spans="1:30" ht="15.75" customHeight="1" x14ac:dyDescent="0.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row>
    <row r="984" spans="1:30" ht="15.75" customHeight="1" x14ac:dyDescent="0.3">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row>
    <row r="985" spans="1:30" ht="15.75" customHeight="1" x14ac:dyDescent="0.3">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row>
    <row r="986" spans="1:30" ht="15.75" customHeight="1" x14ac:dyDescent="0.3">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row>
    <row r="987" spans="1:30" ht="15.75" customHeight="1" x14ac:dyDescent="0.3">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row>
    <row r="988" spans="1:30" ht="15.75" customHeight="1" x14ac:dyDescent="0.3">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row>
    <row r="989" spans="1:30" ht="15.75" customHeight="1" x14ac:dyDescent="0.3">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row>
    <row r="990" spans="1:30" ht="15.75" customHeight="1" x14ac:dyDescent="0.3">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row>
    <row r="991" spans="1:30" ht="15.75" customHeight="1" x14ac:dyDescent="0.3">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row>
    <row r="992" spans="1:30" ht="15.75" customHeight="1" x14ac:dyDescent="0.3">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row>
    <row r="993" spans="1:30" ht="15.75" customHeight="1" x14ac:dyDescent="0.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row>
    <row r="994" spans="1:30" ht="15.75" customHeight="1" x14ac:dyDescent="0.3">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row>
    <row r="995" spans="1:30" ht="15.75" customHeight="1" x14ac:dyDescent="0.3">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row>
    <row r="996" spans="1:30" ht="15.75" customHeight="1" x14ac:dyDescent="0.3">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row>
    <row r="997" spans="1:30" ht="15.75" customHeight="1" x14ac:dyDescent="0.3">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row>
    <row r="998" spans="1:30" ht="15.75" customHeight="1" x14ac:dyDescent="0.3">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row>
    <row r="999" spans="1:30" ht="15.75" customHeight="1" x14ac:dyDescent="0.3">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row>
    <row r="1000" spans="1:30" ht="15.75" customHeight="1" x14ac:dyDescent="0.3">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row>
  </sheetData>
  <mergeCells count="55">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 ref="E2:K5"/>
    <mergeCell ref="C6:J6"/>
    <mergeCell ref="C8:E8"/>
    <mergeCell ref="F8:G8"/>
    <mergeCell ref="H8:I8"/>
    <mergeCell ref="F9:G9"/>
    <mergeCell ref="H9:I9"/>
    <mergeCell ref="C9:E9"/>
    <mergeCell ref="C10:E10"/>
    <mergeCell ref="F10:G10"/>
    <mergeCell ref="H10:I1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E18:H18"/>
    <mergeCell ref="I18:J18"/>
    <mergeCell ref="I19:J19"/>
    <mergeCell ref="E19:H19"/>
    <mergeCell ref="E20:H20"/>
    <mergeCell ref="I20:J20"/>
    <mergeCell ref="E21:H21"/>
    <mergeCell ref="I21:J21"/>
    <mergeCell ref="E22:H22"/>
    <mergeCell ref="I22:J22"/>
    <mergeCell ref="E24:H24"/>
    <mergeCell ref="I24:J24"/>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6640625" defaultRowHeight="15" customHeight="1" x14ac:dyDescent="0.25"/>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x14ac:dyDescent="0.25">
      <c r="A1" s="332"/>
      <c r="B1" s="333"/>
      <c r="C1" s="333"/>
      <c r="D1" s="333"/>
      <c r="E1" s="333"/>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5"/>
      <c r="AF1" s="335"/>
      <c r="AG1" s="335"/>
      <c r="AH1" s="335"/>
      <c r="AI1" s="335"/>
      <c r="AJ1" s="335"/>
    </row>
    <row r="2" spans="1:36" ht="15" customHeight="1" x14ac:dyDescent="0.25">
      <c r="A2" s="336"/>
      <c r="B2" s="716"/>
      <c r="C2" s="528"/>
      <c r="D2" s="528"/>
      <c r="E2" s="717"/>
      <c r="F2" s="721" t="s">
        <v>305</v>
      </c>
      <c r="G2" s="528"/>
      <c r="H2" s="528"/>
      <c r="I2" s="528"/>
      <c r="J2" s="528"/>
      <c r="K2" s="528"/>
      <c r="L2" s="528"/>
      <c r="M2" s="528"/>
      <c r="N2" s="528"/>
      <c r="O2" s="528"/>
      <c r="P2" s="528"/>
      <c r="Q2" s="528"/>
      <c r="R2" s="528"/>
      <c r="S2" s="528"/>
      <c r="T2" s="528"/>
      <c r="U2" s="528"/>
      <c r="V2" s="528"/>
      <c r="W2" s="528"/>
      <c r="X2" s="528"/>
      <c r="Y2" s="528"/>
      <c r="Z2" s="528"/>
      <c r="AA2" s="528"/>
      <c r="AB2" s="528"/>
      <c r="AC2" s="528"/>
      <c r="AD2" s="495"/>
      <c r="AE2" s="337"/>
      <c r="AF2" s="335"/>
      <c r="AG2" s="335"/>
      <c r="AH2" s="335"/>
      <c r="AI2" s="335"/>
      <c r="AJ2" s="335"/>
    </row>
    <row r="3" spans="1:36" ht="22.5" customHeight="1" x14ac:dyDescent="0.25">
      <c r="A3" s="336"/>
      <c r="B3" s="529"/>
      <c r="C3" s="509"/>
      <c r="D3" s="509"/>
      <c r="E3" s="718"/>
      <c r="F3" s="509"/>
      <c r="G3" s="509"/>
      <c r="H3" s="509"/>
      <c r="I3" s="509"/>
      <c r="J3" s="509"/>
      <c r="K3" s="509"/>
      <c r="L3" s="509"/>
      <c r="M3" s="509"/>
      <c r="N3" s="509"/>
      <c r="O3" s="509"/>
      <c r="P3" s="509"/>
      <c r="Q3" s="509"/>
      <c r="R3" s="509"/>
      <c r="S3" s="509"/>
      <c r="T3" s="509"/>
      <c r="U3" s="509"/>
      <c r="V3" s="509"/>
      <c r="W3" s="509"/>
      <c r="X3" s="509"/>
      <c r="Y3" s="509"/>
      <c r="Z3" s="509"/>
      <c r="AA3" s="509"/>
      <c r="AB3" s="509"/>
      <c r="AC3" s="509"/>
      <c r="AD3" s="655"/>
      <c r="AE3" s="337"/>
      <c r="AF3" s="335"/>
      <c r="AG3" s="335"/>
      <c r="AH3" s="335"/>
      <c r="AI3" s="335"/>
      <c r="AJ3" s="335"/>
    </row>
    <row r="4" spans="1:36" ht="22.5" customHeight="1" x14ac:dyDescent="0.25">
      <c r="A4" s="336"/>
      <c r="B4" s="529"/>
      <c r="C4" s="509"/>
      <c r="D4" s="509"/>
      <c r="E4" s="718"/>
      <c r="F4" s="509"/>
      <c r="G4" s="509"/>
      <c r="H4" s="509"/>
      <c r="I4" s="509"/>
      <c r="J4" s="509"/>
      <c r="K4" s="509"/>
      <c r="L4" s="509"/>
      <c r="M4" s="509"/>
      <c r="N4" s="509"/>
      <c r="O4" s="509"/>
      <c r="P4" s="509"/>
      <c r="Q4" s="509"/>
      <c r="R4" s="509"/>
      <c r="S4" s="509"/>
      <c r="T4" s="509"/>
      <c r="U4" s="509"/>
      <c r="V4" s="509"/>
      <c r="W4" s="509"/>
      <c r="X4" s="509"/>
      <c r="Y4" s="509"/>
      <c r="Z4" s="509"/>
      <c r="AA4" s="509"/>
      <c r="AB4" s="509"/>
      <c r="AC4" s="509"/>
      <c r="AD4" s="655"/>
      <c r="AE4" s="337"/>
      <c r="AF4" s="335"/>
      <c r="AG4" s="335"/>
      <c r="AH4" s="335"/>
      <c r="AI4" s="335"/>
      <c r="AJ4" s="335"/>
    </row>
    <row r="5" spans="1:36" ht="15.75" customHeight="1" x14ac:dyDescent="0.25">
      <c r="A5" s="336"/>
      <c r="B5" s="719"/>
      <c r="C5" s="684"/>
      <c r="D5" s="684"/>
      <c r="E5" s="720"/>
      <c r="F5" s="684"/>
      <c r="G5" s="684"/>
      <c r="H5" s="684"/>
      <c r="I5" s="684"/>
      <c r="J5" s="684"/>
      <c r="K5" s="684"/>
      <c r="L5" s="684"/>
      <c r="M5" s="684"/>
      <c r="N5" s="684"/>
      <c r="O5" s="684"/>
      <c r="P5" s="684"/>
      <c r="Q5" s="684"/>
      <c r="R5" s="684"/>
      <c r="S5" s="684"/>
      <c r="T5" s="684"/>
      <c r="U5" s="684"/>
      <c r="V5" s="684"/>
      <c r="W5" s="684"/>
      <c r="X5" s="684"/>
      <c r="Y5" s="684"/>
      <c r="Z5" s="684"/>
      <c r="AA5" s="684"/>
      <c r="AB5" s="684"/>
      <c r="AC5" s="684"/>
      <c r="AD5" s="722"/>
      <c r="AE5" s="338"/>
      <c r="AF5" s="335"/>
      <c r="AG5" s="335"/>
      <c r="AH5" s="335"/>
      <c r="AI5" s="335"/>
      <c r="AJ5" s="335"/>
    </row>
    <row r="6" spans="1:36" ht="15.75" customHeight="1" x14ac:dyDescent="0.25">
      <c r="A6" s="336"/>
      <c r="B6" s="339"/>
      <c r="C6" s="723" t="s">
        <v>306</v>
      </c>
      <c r="D6" s="684"/>
      <c r="E6" s="684"/>
      <c r="F6" s="684"/>
      <c r="G6" s="684"/>
      <c r="H6" s="684"/>
      <c r="I6" s="684"/>
      <c r="J6" s="684"/>
      <c r="K6" s="684"/>
      <c r="L6" s="684"/>
      <c r="M6" s="684"/>
      <c r="N6" s="684"/>
      <c r="O6" s="684"/>
      <c r="P6" s="684"/>
      <c r="Q6" s="684"/>
      <c r="R6" s="684"/>
      <c r="S6" s="684"/>
      <c r="T6" s="684"/>
      <c r="U6" s="684"/>
      <c r="V6" s="684"/>
      <c r="W6" s="684"/>
      <c r="X6" s="684"/>
      <c r="Y6" s="684"/>
      <c r="Z6" s="684"/>
      <c r="AA6" s="684"/>
      <c r="AB6" s="684"/>
      <c r="AC6" s="720"/>
      <c r="AD6" s="340"/>
      <c r="AE6" s="341"/>
      <c r="AF6" s="332"/>
      <c r="AG6" s="332"/>
      <c r="AH6" s="332"/>
      <c r="AI6" s="332"/>
      <c r="AJ6" s="332"/>
    </row>
    <row r="7" spans="1:36" ht="15.75" customHeight="1" x14ac:dyDescent="0.35">
      <c r="A7" s="336"/>
      <c r="B7" s="342"/>
      <c r="C7" s="343"/>
      <c r="D7" s="343"/>
      <c r="E7" s="343"/>
      <c r="F7" s="343"/>
      <c r="G7" s="344"/>
      <c r="H7" s="344"/>
      <c r="I7" s="344"/>
      <c r="J7" s="344"/>
      <c r="K7" s="344"/>
      <c r="L7" s="344"/>
      <c r="M7" s="344"/>
      <c r="N7" s="344"/>
      <c r="O7" s="345"/>
      <c r="P7" s="345"/>
      <c r="Q7" s="345"/>
      <c r="R7" s="345"/>
      <c r="S7" s="345"/>
      <c r="T7" s="345"/>
      <c r="U7" s="345"/>
      <c r="V7" s="345"/>
      <c r="W7" s="346"/>
      <c r="X7" s="346"/>
      <c r="Y7" s="346"/>
      <c r="Z7" s="346"/>
      <c r="AA7" s="346"/>
      <c r="AB7" s="346"/>
      <c r="AC7" s="346"/>
      <c r="AD7" s="340"/>
      <c r="AE7" s="341"/>
      <c r="AF7" s="332"/>
      <c r="AG7" s="332"/>
      <c r="AH7" s="332"/>
      <c r="AI7" s="332"/>
      <c r="AJ7" s="332"/>
    </row>
    <row r="8" spans="1:36" ht="26.25" customHeight="1" x14ac:dyDescent="0.25">
      <c r="A8" s="347"/>
      <c r="B8" s="348"/>
      <c r="C8" s="724" t="s">
        <v>277</v>
      </c>
      <c r="D8" s="543"/>
      <c r="E8" s="543"/>
      <c r="F8" s="709"/>
      <c r="G8" s="686" t="s">
        <v>307</v>
      </c>
      <c r="H8" s="543"/>
      <c r="I8" s="543"/>
      <c r="J8" s="543"/>
      <c r="K8" s="543"/>
      <c r="L8" s="543"/>
      <c r="M8" s="543"/>
      <c r="N8" s="543"/>
      <c r="O8" s="543"/>
      <c r="P8" s="543"/>
      <c r="Q8" s="543"/>
      <c r="R8" s="543"/>
      <c r="S8" s="543"/>
      <c r="T8" s="543"/>
      <c r="U8" s="543"/>
      <c r="V8" s="543"/>
      <c r="W8" s="543"/>
      <c r="X8" s="543"/>
      <c r="Y8" s="543"/>
      <c r="Z8" s="543"/>
      <c r="AA8" s="543"/>
      <c r="AB8" s="543"/>
      <c r="AC8" s="709"/>
      <c r="AD8" s="349"/>
      <c r="AE8" s="350"/>
      <c r="AF8" s="351"/>
      <c r="AG8" s="351"/>
      <c r="AH8" s="351"/>
      <c r="AI8" s="351"/>
      <c r="AJ8" s="351"/>
    </row>
    <row r="9" spans="1:36" ht="26.25" customHeight="1" x14ac:dyDescent="0.25">
      <c r="A9" s="347"/>
      <c r="B9" s="348"/>
      <c r="C9" s="706" t="s">
        <v>279</v>
      </c>
      <c r="D9" s="551"/>
      <c r="E9" s="551"/>
      <c r="F9" s="552"/>
      <c r="G9" s="707" t="e">
        <f>VLOOKUP($G$8,'6.Bảng lương  '!$B$16:$AW51,2,0)</f>
        <v>#N/A</v>
      </c>
      <c r="H9" s="551"/>
      <c r="I9" s="551"/>
      <c r="J9" s="551"/>
      <c r="K9" s="551"/>
      <c r="L9" s="551"/>
      <c r="M9" s="551"/>
      <c r="N9" s="551"/>
      <c r="O9" s="551"/>
      <c r="P9" s="551"/>
      <c r="Q9" s="551"/>
      <c r="R9" s="551"/>
      <c r="S9" s="551"/>
      <c r="T9" s="551"/>
      <c r="U9" s="551"/>
      <c r="V9" s="551"/>
      <c r="W9" s="551"/>
      <c r="X9" s="551"/>
      <c r="Y9" s="551"/>
      <c r="Z9" s="551"/>
      <c r="AA9" s="551"/>
      <c r="AB9" s="551"/>
      <c r="AC9" s="552"/>
      <c r="AD9" s="349"/>
      <c r="AE9" s="350"/>
      <c r="AF9" s="351"/>
      <c r="AG9" s="351"/>
      <c r="AH9" s="351"/>
      <c r="AI9" s="351"/>
      <c r="AJ9" s="351"/>
    </row>
    <row r="10" spans="1:36" ht="26.25" customHeight="1" x14ac:dyDescent="0.25">
      <c r="A10" s="347"/>
      <c r="B10" s="348"/>
      <c r="C10" s="706" t="s">
        <v>94</v>
      </c>
      <c r="D10" s="551"/>
      <c r="E10" s="551"/>
      <c r="F10" s="552"/>
      <c r="G10" s="712" t="e">
        <f>VLOOKUP($G$8,'6.Bảng lương  '!$B$16:$AW51,3,0)</f>
        <v>#N/A</v>
      </c>
      <c r="H10" s="551"/>
      <c r="I10" s="551"/>
      <c r="J10" s="551"/>
      <c r="K10" s="551"/>
      <c r="L10" s="551"/>
      <c r="M10" s="551"/>
      <c r="N10" s="551"/>
      <c r="O10" s="551"/>
      <c r="P10" s="551"/>
      <c r="Q10" s="551"/>
      <c r="R10" s="551"/>
      <c r="S10" s="551"/>
      <c r="T10" s="551"/>
      <c r="U10" s="551"/>
      <c r="V10" s="551"/>
      <c r="W10" s="551"/>
      <c r="X10" s="551"/>
      <c r="Y10" s="551"/>
      <c r="Z10" s="551"/>
      <c r="AA10" s="551"/>
      <c r="AB10" s="551"/>
      <c r="AC10" s="552"/>
      <c r="AD10" s="349"/>
      <c r="AE10" s="350"/>
      <c r="AF10" s="351"/>
      <c r="AG10" s="351"/>
      <c r="AH10" s="351"/>
      <c r="AI10" s="351"/>
      <c r="AJ10" s="351"/>
    </row>
    <row r="11" spans="1:36" ht="39" customHeight="1" x14ac:dyDescent="0.25">
      <c r="A11" s="347"/>
      <c r="B11" s="348"/>
      <c r="C11" s="706" t="s">
        <v>107</v>
      </c>
      <c r="D11" s="551"/>
      <c r="E11" s="551"/>
      <c r="F11" s="552"/>
      <c r="G11" s="712" t="e">
        <f>VLOOKUP($G$8,'6.Bảng lương  '!$B$16:$AW51,4,0)</f>
        <v>#N/A</v>
      </c>
      <c r="H11" s="551"/>
      <c r="I11" s="551"/>
      <c r="J11" s="551"/>
      <c r="K11" s="551"/>
      <c r="L11" s="551"/>
      <c r="M11" s="551"/>
      <c r="N11" s="551"/>
      <c r="O11" s="551"/>
      <c r="P11" s="551"/>
      <c r="Q11" s="551"/>
      <c r="R11" s="551"/>
      <c r="S11" s="551"/>
      <c r="T11" s="551"/>
      <c r="U11" s="551"/>
      <c r="V11" s="551"/>
      <c r="W11" s="551"/>
      <c r="X11" s="551"/>
      <c r="Y11" s="551"/>
      <c r="Z11" s="551"/>
      <c r="AA11" s="551"/>
      <c r="AB11" s="551"/>
      <c r="AC11" s="552"/>
      <c r="AD11" s="349"/>
      <c r="AE11" s="350"/>
      <c r="AF11" s="351"/>
      <c r="AG11" s="351"/>
      <c r="AH11" s="351"/>
      <c r="AI11" s="351"/>
      <c r="AJ11" s="351"/>
    </row>
    <row r="12" spans="1:36" ht="27.75" hidden="1" customHeight="1" x14ac:dyDescent="0.25">
      <c r="A12" s="347"/>
      <c r="B12" s="348"/>
      <c r="C12" s="706" t="s">
        <v>283</v>
      </c>
      <c r="D12" s="551"/>
      <c r="E12" s="551"/>
      <c r="F12" s="552"/>
      <c r="G12" s="713" t="s">
        <v>308</v>
      </c>
      <c r="H12" s="551"/>
      <c r="I12" s="551"/>
      <c r="J12" s="551"/>
      <c r="K12" s="551"/>
      <c r="L12" s="551"/>
      <c r="M12" s="551"/>
      <c r="N12" s="552"/>
      <c r="O12" s="714"/>
      <c r="P12" s="551"/>
      <c r="Q12" s="551"/>
      <c r="R12" s="551"/>
      <c r="S12" s="551"/>
      <c r="T12" s="551"/>
      <c r="U12" s="551"/>
      <c r="V12" s="552"/>
      <c r="W12" s="715"/>
      <c r="X12" s="551"/>
      <c r="Y12" s="551"/>
      <c r="Z12" s="551"/>
      <c r="AA12" s="551"/>
      <c r="AB12" s="551"/>
      <c r="AC12" s="704"/>
      <c r="AD12" s="349"/>
      <c r="AE12" s="350"/>
      <c r="AF12" s="351"/>
      <c r="AG12" s="351"/>
      <c r="AH12" s="351"/>
      <c r="AI12" s="351"/>
      <c r="AJ12" s="351"/>
    </row>
    <row r="13" spans="1:36" ht="28.5" hidden="1" customHeight="1" x14ac:dyDescent="0.25">
      <c r="A13" s="347"/>
      <c r="B13" s="348"/>
      <c r="C13" s="738" t="s">
        <v>285</v>
      </c>
      <c r="D13" s="666"/>
      <c r="E13" s="666"/>
      <c r="F13" s="734"/>
      <c r="G13" s="739" t="e">
        <f>VLOOKUP($G$8,'3. BẢNG CHẤM CÔNG'!$B$10:$AV45,47,0)</f>
        <v>#N/A</v>
      </c>
      <c r="H13" s="666"/>
      <c r="I13" s="666"/>
      <c r="J13" s="666"/>
      <c r="K13" s="666"/>
      <c r="L13" s="666"/>
      <c r="M13" s="666"/>
      <c r="N13" s="734"/>
      <c r="O13" s="740" t="s">
        <v>309</v>
      </c>
      <c r="P13" s="666"/>
      <c r="Q13" s="666"/>
      <c r="R13" s="666"/>
      <c r="S13" s="666"/>
      <c r="T13" s="666"/>
      <c r="U13" s="666"/>
      <c r="V13" s="666"/>
      <c r="W13" s="666"/>
      <c r="X13" s="666"/>
      <c r="Y13" s="666"/>
      <c r="Z13" s="676"/>
      <c r="AA13" s="741" t="e">
        <f>VLOOKUP($G$8,'3. BẢNG CHẤM CÔNG'!$B$12:$AV45,46,0)</f>
        <v>#N/A</v>
      </c>
      <c r="AB13" s="666"/>
      <c r="AC13" s="731"/>
      <c r="AD13" s="349"/>
      <c r="AE13" s="350"/>
      <c r="AF13" s="351"/>
      <c r="AG13" s="351"/>
      <c r="AH13" s="351"/>
      <c r="AI13" s="351"/>
      <c r="AJ13" s="351"/>
    </row>
    <row r="14" spans="1:36" ht="15.75" customHeight="1" x14ac:dyDescent="0.25">
      <c r="A14" s="336"/>
      <c r="B14" s="352"/>
      <c r="C14" s="353"/>
      <c r="D14" s="354"/>
      <c r="E14" s="354"/>
      <c r="F14" s="354"/>
      <c r="G14" s="354"/>
      <c r="H14" s="354"/>
      <c r="I14" s="354"/>
      <c r="J14" s="354"/>
      <c r="K14" s="354"/>
      <c r="L14" s="354"/>
      <c r="M14" s="354"/>
      <c r="N14" s="354"/>
      <c r="O14" s="354"/>
      <c r="P14" s="354"/>
      <c r="Q14" s="355"/>
      <c r="R14" s="355"/>
      <c r="S14" s="355"/>
      <c r="T14" s="355"/>
      <c r="U14" s="355"/>
      <c r="V14" s="355"/>
      <c r="W14" s="355"/>
      <c r="X14" s="355"/>
      <c r="Y14" s="355"/>
      <c r="Z14" s="355"/>
      <c r="AA14" s="355"/>
      <c r="AB14" s="355"/>
      <c r="AC14" s="355"/>
      <c r="AD14" s="340"/>
      <c r="AE14" s="341"/>
      <c r="AF14" s="332"/>
      <c r="AG14" s="332"/>
      <c r="AH14" s="332"/>
      <c r="AI14" s="332"/>
      <c r="AJ14" s="332"/>
    </row>
    <row r="15" spans="1:36" ht="24.75" customHeight="1" x14ac:dyDescent="0.25">
      <c r="A15" s="347"/>
      <c r="B15" s="348"/>
      <c r="C15" s="356"/>
      <c r="D15" s="357"/>
      <c r="E15" s="357"/>
      <c r="F15" s="357"/>
      <c r="G15" s="357"/>
      <c r="H15" s="357"/>
      <c r="I15" s="357"/>
      <c r="J15" s="357"/>
      <c r="K15" s="357"/>
      <c r="L15" s="357"/>
      <c r="M15" s="357"/>
      <c r="N15" s="357"/>
      <c r="O15" s="357"/>
      <c r="P15" s="358"/>
      <c r="Q15" s="742" t="s">
        <v>288</v>
      </c>
      <c r="R15" s="528"/>
      <c r="S15" s="528"/>
      <c r="T15" s="528"/>
      <c r="U15" s="528"/>
      <c r="V15" s="528"/>
      <c r="W15" s="528"/>
      <c r="X15" s="528"/>
      <c r="Y15" s="528"/>
      <c r="Z15" s="528"/>
      <c r="AA15" s="528"/>
      <c r="AB15" s="528"/>
      <c r="AC15" s="495"/>
      <c r="AD15" s="349"/>
      <c r="AE15" s="350"/>
      <c r="AF15" s="351"/>
      <c r="AG15" s="351"/>
      <c r="AH15" s="351"/>
      <c r="AI15" s="351"/>
      <c r="AJ15" s="351"/>
    </row>
    <row r="16" spans="1:36" ht="22.5" customHeight="1" x14ac:dyDescent="0.25">
      <c r="A16" s="336"/>
      <c r="B16" s="352"/>
      <c r="C16" s="743" t="s">
        <v>289</v>
      </c>
      <c r="D16" s="495"/>
      <c r="E16" s="708" t="s">
        <v>290</v>
      </c>
      <c r="F16" s="543"/>
      <c r="G16" s="543"/>
      <c r="H16" s="543"/>
      <c r="I16" s="543"/>
      <c r="J16" s="543"/>
      <c r="K16" s="543"/>
      <c r="L16" s="543"/>
      <c r="M16" s="543"/>
      <c r="N16" s="543"/>
      <c r="O16" s="543"/>
      <c r="P16" s="709"/>
      <c r="Q16" s="710" t="e">
        <f>VLOOKUP($G$8,'6.Bảng lương  '!$B$16:$AW51,10,0)</f>
        <v>#N/A</v>
      </c>
      <c r="R16" s="543"/>
      <c r="S16" s="543"/>
      <c r="T16" s="543"/>
      <c r="U16" s="543"/>
      <c r="V16" s="543"/>
      <c r="W16" s="543"/>
      <c r="X16" s="543"/>
      <c r="Y16" s="543"/>
      <c r="Z16" s="543"/>
      <c r="AA16" s="543"/>
      <c r="AB16" s="543"/>
      <c r="AC16" s="544"/>
      <c r="AD16" s="359"/>
      <c r="AE16" s="341"/>
      <c r="AF16" s="332"/>
      <c r="AG16" s="332"/>
      <c r="AH16" s="332"/>
      <c r="AI16" s="332"/>
      <c r="AJ16" s="332"/>
    </row>
    <row r="17" spans="1:36" ht="22.5" customHeight="1" x14ac:dyDescent="0.25">
      <c r="A17" s="336"/>
      <c r="B17" s="352"/>
      <c r="C17" s="529"/>
      <c r="D17" s="655"/>
      <c r="E17" s="711" t="s">
        <v>310</v>
      </c>
      <c r="F17" s="551"/>
      <c r="G17" s="551"/>
      <c r="H17" s="551"/>
      <c r="I17" s="551"/>
      <c r="J17" s="551"/>
      <c r="K17" s="551"/>
      <c r="L17" s="551"/>
      <c r="M17" s="551"/>
      <c r="N17" s="551"/>
      <c r="O17" s="551"/>
      <c r="P17" s="552"/>
      <c r="Q17" s="705">
        <v>2620000</v>
      </c>
      <c r="R17" s="551"/>
      <c r="S17" s="551"/>
      <c r="T17" s="551"/>
      <c r="U17" s="551"/>
      <c r="V17" s="551"/>
      <c r="W17" s="551"/>
      <c r="X17" s="551"/>
      <c r="Y17" s="551"/>
      <c r="Z17" s="551"/>
      <c r="AA17" s="551"/>
      <c r="AB17" s="551"/>
      <c r="AC17" s="704"/>
      <c r="AD17" s="359"/>
      <c r="AE17" s="360"/>
      <c r="AF17" s="332"/>
      <c r="AG17" s="332"/>
      <c r="AH17" s="332"/>
      <c r="AI17" s="332"/>
      <c r="AJ17" s="332"/>
    </row>
    <row r="18" spans="1:36" ht="22.5" customHeight="1" x14ac:dyDescent="0.25">
      <c r="A18" s="336"/>
      <c r="B18" s="352"/>
      <c r="C18" s="529"/>
      <c r="D18" s="655"/>
      <c r="E18" s="711" t="s">
        <v>311</v>
      </c>
      <c r="F18" s="551"/>
      <c r="G18" s="551"/>
      <c r="H18" s="551"/>
      <c r="I18" s="551"/>
      <c r="J18" s="551"/>
      <c r="K18" s="551"/>
      <c r="L18" s="551"/>
      <c r="M18" s="551"/>
      <c r="N18" s="551"/>
      <c r="O18" s="551"/>
      <c r="P18" s="552"/>
      <c r="Q18" s="705">
        <v>27380000</v>
      </c>
      <c r="R18" s="551"/>
      <c r="S18" s="551"/>
      <c r="T18" s="551"/>
      <c r="U18" s="551"/>
      <c r="V18" s="551"/>
      <c r="W18" s="551"/>
      <c r="X18" s="551"/>
      <c r="Y18" s="551"/>
      <c r="Z18" s="551"/>
      <c r="AA18" s="551"/>
      <c r="AB18" s="551"/>
      <c r="AC18" s="704"/>
      <c r="AD18" s="359"/>
      <c r="AE18" s="360"/>
      <c r="AF18" s="332"/>
      <c r="AG18" s="332"/>
      <c r="AH18" s="332"/>
      <c r="AI18" s="332"/>
      <c r="AJ18" s="332"/>
    </row>
    <row r="19" spans="1:36" ht="22.5" customHeight="1" x14ac:dyDescent="0.25">
      <c r="A19" s="336"/>
      <c r="B19" s="352"/>
      <c r="C19" s="529"/>
      <c r="D19" s="655"/>
      <c r="E19" s="702" t="s">
        <v>293</v>
      </c>
      <c r="F19" s="551"/>
      <c r="G19" s="551"/>
      <c r="H19" s="551"/>
      <c r="I19" s="551"/>
      <c r="J19" s="551"/>
      <c r="K19" s="551"/>
      <c r="L19" s="551"/>
      <c r="M19" s="551"/>
      <c r="N19" s="551"/>
      <c r="O19" s="551"/>
      <c r="P19" s="552"/>
      <c r="Q19" s="703" t="e">
        <f>VLOOKUP($G$8,'6.Bảng lương  '!$B$16:$AW51,19,0)</f>
        <v>#N/A</v>
      </c>
      <c r="R19" s="551"/>
      <c r="S19" s="551"/>
      <c r="T19" s="551"/>
      <c r="U19" s="551"/>
      <c r="V19" s="551"/>
      <c r="W19" s="551"/>
      <c r="X19" s="551"/>
      <c r="Y19" s="551"/>
      <c r="Z19" s="551"/>
      <c r="AA19" s="551"/>
      <c r="AB19" s="551"/>
      <c r="AC19" s="704"/>
      <c r="AD19" s="359"/>
      <c r="AE19" s="360"/>
      <c r="AF19" s="332"/>
      <c r="AG19" s="332"/>
      <c r="AH19" s="332"/>
      <c r="AI19" s="332"/>
      <c r="AJ19" s="332"/>
    </row>
    <row r="20" spans="1:36" ht="22.5" customHeight="1" x14ac:dyDescent="0.25">
      <c r="A20" s="336"/>
      <c r="B20" s="352"/>
      <c r="C20" s="529"/>
      <c r="D20" s="655"/>
      <c r="E20" s="702" t="s">
        <v>312</v>
      </c>
      <c r="F20" s="551"/>
      <c r="G20" s="551"/>
      <c r="H20" s="551"/>
      <c r="I20" s="551"/>
      <c r="J20" s="551"/>
      <c r="K20" s="551"/>
      <c r="L20" s="551"/>
      <c r="M20" s="551"/>
      <c r="N20" s="551"/>
      <c r="O20" s="551"/>
      <c r="P20" s="552"/>
      <c r="Q20" s="703" t="e">
        <f>VLOOKUP($G$8,'6.Bảng lương  '!$B$16:$AW51,24,0)</f>
        <v>#N/A</v>
      </c>
      <c r="R20" s="551"/>
      <c r="S20" s="551"/>
      <c r="T20" s="551"/>
      <c r="U20" s="551"/>
      <c r="V20" s="551"/>
      <c r="W20" s="551"/>
      <c r="X20" s="551"/>
      <c r="Y20" s="551"/>
      <c r="Z20" s="551"/>
      <c r="AA20" s="551"/>
      <c r="AB20" s="551"/>
      <c r="AC20" s="704"/>
      <c r="AD20" s="359"/>
      <c r="AE20" s="360"/>
      <c r="AF20" s="332"/>
      <c r="AG20" s="332"/>
      <c r="AH20" s="332"/>
      <c r="AI20" s="332"/>
      <c r="AJ20" s="332"/>
    </row>
    <row r="21" spans="1:36" ht="22.5" customHeight="1" x14ac:dyDescent="0.25">
      <c r="A21" s="336"/>
      <c r="B21" s="352"/>
      <c r="C21" s="529"/>
      <c r="D21" s="655"/>
      <c r="E21" s="702" t="s">
        <v>294</v>
      </c>
      <c r="F21" s="551"/>
      <c r="G21" s="551"/>
      <c r="H21" s="551"/>
      <c r="I21" s="551"/>
      <c r="J21" s="551"/>
      <c r="K21" s="551"/>
      <c r="L21" s="551"/>
      <c r="M21" s="551"/>
      <c r="N21" s="551"/>
      <c r="O21" s="551"/>
      <c r="P21" s="552"/>
      <c r="Q21" s="703" t="e">
        <f>VLOOKUP($G$8,'6.Bảng lương  '!$B$16:$AW51,25,0)</f>
        <v>#N/A</v>
      </c>
      <c r="R21" s="551"/>
      <c r="S21" s="551"/>
      <c r="T21" s="551"/>
      <c r="U21" s="551"/>
      <c r="V21" s="551"/>
      <c r="W21" s="551"/>
      <c r="X21" s="551"/>
      <c r="Y21" s="551"/>
      <c r="Z21" s="551"/>
      <c r="AA21" s="551"/>
      <c r="AB21" s="551"/>
      <c r="AC21" s="704"/>
      <c r="AD21" s="359"/>
      <c r="AE21" s="360"/>
      <c r="AF21" s="332"/>
      <c r="AG21" s="332"/>
      <c r="AH21" s="332"/>
      <c r="AI21" s="332"/>
      <c r="AJ21" s="332"/>
    </row>
    <row r="22" spans="1:36" ht="22.5" customHeight="1" x14ac:dyDescent="0.25">
      <c r="A22" s="336"/>
      <c r="B22" s="352"/>
      <c r="C22" s="496"/>
      <c r="D22" s="497"/>
      <c r="E22" s="749" t="s">
        <v>295</v>
      </c>
      <c r="F22" s="666"/>
      <c r="G22" s="666"/>
      <c r="H22" s="666"/>
      <c r="I22" s="666"/>
      <c r="J22" s="666"/>
      <c r="K22" s="666"/>
      <c r="L22" s="666"/>
      <c r="M22" s="666"/>
      <c r="N22" s="666"/>
      <c r="O22" s="666"/>
      <c r="P22" s="734"/>
      <c r="Q22" s="750" t="e">
        <f>VLOOKUP($G$8,'6.Bảng lương  '!$B$16:$AW51,23,0)</f>
        <v>#N/A</v>
      </c>
      <c r="R22" s="666"/>
      <c r="S22" s="666"/>
      <c r="T22" s="666"/>
      <c r="U22" s="666"/>
      <c r="V22" s="666"/>
      <c r="W22" s="666"/>
      <c r="X22" s="666"/>
      <c r="Y22" s="666"/>
      <c r="Z22" s="666"/>
      <c r="AA22" s="666"/>
      <c r="AB22" s="666"/>
      <c r="AC22" s="731"/>
      <c r="AD22" s="359"/>
      <c r="AE22" s="360"/>
      <c r="AF22" s="332"/>
      <c r="AG22" s="332"/>
      <c r="AH22" s="332"/>
      <c r="AI22" s="332"/>
      <c r="AJ22" s="332"/>
    </row>
    <row r="23" spans="1:36" ht="22.5" customHeight="1" x14ac:dyDescent="0.25">
      <c r="A23" s="336"/>
      <c r="B23" s="352"/>
      <c r="C23" s="361"/>
      <c r="D23" s="361"/>
      <c r="E23" s="362"/>
      <c r="F23" s="362"/>
      <c r="G23" s="362"/>
      <c r="H23" s="362"/>
      <c r="I23" s="362"/>
      <c r="J23" s="362"/>
      <c r="K23" s="362"/>
      <c r="L23" s="362"/>
      <c r="M23" s="362"/>
      <c r="N23" s="362"/>
      <c r="O23" s="362"/>
      <c r="P23" s="362"/>
      <c r="Q23" s="363"/>
      <c r="R23" s="363"/>
      <c r="S23" s="363"/>
      <c r="T23" s="363"/>
      <c r="U23" s="363"/>
      <c r="V23" s="363"/>
      <c r="W23" s="363"/>
      <c r="X23" s="363"/>
      <c r="Y23" s="363"/>
      <c r="Z23" s="363"/>
      <c r="AA23" s="363"/>
      <c r="AB23" s="363"/>
      <c r="AC23" s="363"/>
      <c r="AD23" s="359"/>
      <c r="AE23" s="360"/>
      <c r="AF23" s="332"/>
      <c r="AG23" s="332"/>
      <c r="AH23" s="332"/>
      <c r="AI23" s="332"/>
      <c r="AJ23" s="332"/>
    </row>
    <row r="24" spans="1:36" ht="22.5" customHeight="1" x14ac:dyDescent="0.25">
      <c r="A24" s="336"/>
      <c r="B24" s="352"/>
      <c r="C24" s="744" t="s">
        <v>296</v>
      </c>
      <c r="D24" s="698"/>
      <c r="E24" s="745" t="s">
        <v>313</v>
      </c>
      <c r="F24" s="543"/>
      <c r="G24" s="543"/>
      <c r="H24" s="543"/>
      <c r="I24" s="543"/>
      <c r="J24" s="543"/>
      <c r="K24" s="543"/>
      <c r="L24" s="543"/>
      <c r="M24" s="543"/>
      <c r="N24" s="543"/>
      <c r="O24" s="543"/>
      <c r="P24" s="709"/>
      <c r="Q24" s="751" t="e">
        <f>VLOOKUP($G$8,'6.Bảng lương  '!$B$16:$AW51,46,0)</f>
        <v>#N/A</v>
      </c>
      <c r="R24" s="543"/>
      <c r="S24" s="543"/>
      <c r="T24" s="543"/>
      <c r="U24" s="543"/>
      <c r="V24" s="543"/>
      <c r="W24" s="543"/>
      <c r="X24" s="543"/>
      <c r="Y24" s="543"/>
      <c r="Z24" s="543"/>
      <c r="AA24" s="543"/>
      <c r="AB24" s="543"/>
      <c r="AC24" s="544"/>
      <c r="AD24" s="359"/>
      <c r="AE24" s="360"/>
      <c r="AF24" s="332"/>
      <c r="AG24" s="332"/>
      <c r="AH24" s="332"/>
      <c r="AI24" s="332"/>
      <c r="AJ24" s="332"/>
    </row>
    <row r="25" spans="1:36" ht="22.5" customHeight="1" x14ac:dyDescent="0.25">
      <c r="A25" s="336"/>
      <c r="B25" s="352"/>
      <c r="C25" s="529"/>
      <c r="D25" s="682"/>
      <c r="E25" s="746" t="s">
        <v>314</v>
      </c>
      <c r="F25" s="551"/>
      <c r="G25" s="551"/>
      <c r="H25" s="551"/>
      <c r="I25" s="551"/>
      <c r="J25" s="551"/>
      <c r="K25" s="551"/>
      <c r="L25" s="551"/>
      <c r="M25" s="551"/>
      <c r="N25" s="551"/>
      <c r="O25" s="551"/>
      <c r="P25" s="552"/>
      <c r="Q25" s="736" t="e">
        <f>VLOOKUP($G$8,'6.Bảng lương  '!$B$16:$AW51,52,0)</f>
        <v>#N/A</v>
      </c>
      <c r="R25" s="551"/>
      <c r="S25" s="551"/>
      <c r="T25" s="551"/>
      <c r="U25" s="551"/>
      <c r="V25" s="551"/>
      <c r="W25" s="551"/>
      <c r="X25" s="551"/>
      <c r="Y25" s="551"/>
      <c r="Z25" s="551"/>
      <c r="AA25" s="551"/>
      <c r="AB25" s="551"/>
      <c r="AC25" s="704"/>
      <c r="AD25" s="359"/>
      <c r="AE25" s="360"/>
      <c r="AF25" s="332"/>
      <c r="AG25" s="332"/>
      <c r="AH25" s="332"/>
      <c r="AI25" s="332"/>
      <c r="AJ25" s="332"/>
    </row>
    <row r="26" spans="1:36" ht="22.5" customHeight="1" x14ac:dyDescent="0.25">
      <c r="A26" s="336"/>
      <c r="B26" s="352"/>
      <c r="C26" s="529"/>
      <c r="D26" s="682"/>
      <c r="E26" s="746" t="s">
        <v>299</v>
      </c>
      <c r="F26" s="551"/>
      <c r="G26" s="551"/>
      <c r="H26" s="551"/>
      <c r="I26" s="551"/>
      <c r="J26" s="551"/>
      <c r="K26" s="551"/>
      <c r="L26" s="551"/>
      <c r="M26" s="551"/>
      <c r="N26" s="551"/>
      <c r="O26" s="551"/>
      <c r="P26" s="552"/>
      <c r="Q26" s="736">
        <v>0</v>
      </c>
      <c r="R26" s="551"/>
      <c r="S26" s="551"/>
      <c r="T26" s="551"/>
      <c r="U26" s="551"/>
      <c r="V26" s="551"/>
      <c r="W26" s="551"/>
      <c r="X26" s="551"/>
      <c r="Y26" s="551"/>
      <c r="Z26" s="551"/>
      <c r="AA26" s="551"/>
      <c r="AB26" s="551"/>
      <c r="AC26" s="704"/>
      <c r="AD26" s="359"/>
      <c r="AE26" s="360"/>
      <c r="AF26" s="332"/>
      <c r="AG26" s="332"/>
      <c r="AH26" s="332"/>
      <c r="AI26" s="332"/>
      <c r="AJ26" s="332"/>
    </row>
    <row r="27" spans="1:36" ht="30.75" customHeight="1" x14ac:dyDescent="0.25">
      <c r="A27" s="336"/>
      <c r="B27" s="352"/>
      <c r="C27" s="529"/>
      <c r="D27" s="682"/>
      <c r="E27" s="747" t="s">
        <v>315</v>
      </c>
      <c r="F27" s="551"/>
      <c r="G27" s="551"/>
      <c r="H27" s="551"/>
      <c r="I27" s="551"/>
      <c r="J27" s="551"/>
      <c r="K27" s="551"/>
      <c r="L27" s="551"/>
      <c r="M27" s="551"/>
      <c r="N27" s="551"/>
      <c r="O27" s="551"/>
      <c r="P27" s="552"/>
      <c r="Q27" s="736" t="e">
        <f>VLOOKUP($G$8,'6.Bảng lương  '!$B$16:$AW51,53,0)</f>
        <v>#N/A</v>
      </c>
      <c r="R27" s="551"/>
      <c r="S27" s="551"/>
      <c r="T27" s="551"/>
      <c r="U27" s="551"/>
      <c r="V27" s="551"/>
      <c r="W27" s="551"/>
      <c r="X27" s="551"/>
      <c r="Y27" s="551"/>
      <c r="Z27" s="551"/>
      <c r="AA27" s="551"/>
      <c r="AB27" s="551"/>
      <c r="AC27" s="704"/>
      <c r="AD27" s="359"/>
      <c r="AE27" s="360"/>
      <c r="AF27" s="332"/>
      <c r="AG27" s="332"/>
      <c r="AH27" s="332"/>
      <c r="AI27" s="332"/>
      <c r="AJ27" s="332"/>
    </row>
    <row r="28" spans="1:36" ht="22.5" customHeight="1" x14ac:dyDescent="0.25">
      <c r="A28" s="336"/>
      <c r="B28" s="352"/>
      <c r="C28" s="496"/>
      <c r="D28" s="699"/>
      <c r="E28" s="748" t="s">
        <v>300</v>
      </c>
      <c r="F28" s="666"/>
      <c r="G28" s="666"/>
      <c r="H28" s="666"/>
      <c r="I28" s="666"/>
      <c r="J28" s="666"/>
      <c r="K28" s="666"/>
      <c r="L28" s="666"/>
      <c r="M28" s="666"/>
      <c r="N28" s="666"/>
      <c r="O28" s="666"/>
      <c r="P28" s="734"/>
      <c r="Q28" s="737">
        <v>0</v>
      </c>
      <c r="R28" s="666"/>
      <c r="S28" s="666"/>
      <c r="T28" s="666"/>
      <c r="U28" s="666"/>
      <c r="V28" s="666"/>
      <c r="W28" s="666"/>
      <c r="X28" s="666"/>
      <c r="Y28" s="666"/>
      <c r="Z28" s="666"/>
      <c r="AA28" s="666"/>
      <c r="AB28" s="666"/>
      <c r="AC28" s="731"/>
      <c r="AD28" s="359"/>
      <c r="AE28" s="360"/>
      <c r="AF28" s="332"/>
      <c r="AG28" s="332"/>
      <c r="AH28" s="332"/>
      <c r="AI28" s="332"/>
      <c r="AJ28" s="332"/>
    </row>
    <row r="29" spans="1:36" ht="15.75" customHeight="1" x14ac:dyDescent="0.25">
      <c r="A29" s="336"/>
      <c r="B29" s="364"/>
      <c r="C29" s="365"/>
      <c r="D29" s="365"/>
      <c r="E29" s="366"/>
      <c r="F29" s="366"/>
      <c r="G29" s="366"/>
      <c r="H29" s="366"/>
      <c r="I29" s="366"/>
      <c r="J29" s="366"/>
      <c r="K29" s="366"/>
      <c r="L29" s="366"/>
      <c r="M29" s="366"/>
      <c r="N29" s="366"/>
      <c r="O29" s="366"/>
      <c r="P29" s="355"/>
      <c r="Q29" s="367"/>
      <c r="R29" s="367"/>
      <c r="S29" s="367"/>
      <c r="T29" s="367"/>
      <c r="U29" s="367"/>
      <c r="V29" s="367"/>
      <c r="W29" s="367"/>
      <c r="X29" s="367"/>
      <c r="Y29" s="367"/>
      <c r="Z29" s="367"/>
      <c r="AA29" s="367"/>
      <c r="AB29" s="367"/>
      <c r="AC29" s="367"/>
      <c r="AD29" s="340"/>
      <c r="AE29" s="360"/>
      <c r="AF29" s="332"/>
      <c r="AG29" s="332"/>
      <c r="AH29" s="332"/>
      <c r="AI29" s="332"/>
      <c r="AJ29" s="332"/>
    </row>
    <row r="30" spans="1:36" ht="15.75" customHeight="1" x14ac:dyDescent="0.25">
      <c r="A30" s="336"/>
      <c r="B30" s="352"/>
      <c r="C30" s="735" t="s">
        <v>301</v>
      </c>
      <c r="D30" s="495"/>
      <c r="E30" s="725" t="s">
        <v>302</v>
      </c>
      <c r="F30" s="528"/>
      <c r="G30" s="528"/>
      <c r="H30" s="528"/>
      <c r="I30" s="528"/>
      <c r="J30" s="528"/>
      <c r="K30" s="528"/>
      <c r="L30" s="528"/>
      <c r="M30" s="528"/>
      <c r="N30" s="528"/>
      <c r="O30" s="528"/>
      <c r="P30" s="528"/>
      <c r="Q30" s="528"/>
      <c r="R30" s="528"/>
      <c r="S30" s="528"/>
      <c r="T30" s="528"/>
      <c r="U30" s="528"/>
      <c r="V30" s="528"/>
      <c r="W30" s="698"/>
      <c r="X30" s="728" t="e">
        <f>VLOOKUP($G$8,'6.Bảng lương  '!$B$16:$AW51,55,0)</f>
        <v>#N/A</v>
      </c>
      <c r="Y30" s="528"/>
      <c r="Z30" s="528"/>
      <c r="AA30" s="528"/>
      <c r="AB30" s="528"/>
      <c r="AC30" s="495"/>
      <c r="AD30" s="359"/>
      <c r="AE30" s="360"/>
      <c r="AF30" s="332"/>
      <c r="AG30" s="332"/>
      <c r="AH30" s="332"/>
      <c r="AI30" s="332"/>
      <c r="AJ30" s="332"/>
    </row>
    <row r="31" spans="1:36" ht="15.75" customHeight="1" x14ac:dyDescent="0.25">
      <c r="A31" s="336"/>
      <c r="B31" s="352"/>
      <c r="C31" s="529"/>
      <c r="D31" s="655"/>
      <c r="E31" s="726"/>
      <c r="F31" s="509"/>
      <c r="G31" s="509"/>
      <c r="H31" s="509"/>
      <c r="I31" s="509"/>
      <c r="J31" s="509"/>
      <c r="K31" s="509"/>
      <c r="L31" s="509"/>
      <c r="M31" s="509"/>
      <c r="N31" s="509"/>
      <c r="O31" s="509"/>
      <c r="P31" s="509"/>
      <c r="Q31" s="509"/>
      <c r="R31" s="509"/>
      <c r="S31" s="509"/>
      <c r="T31" s="509"/>
      <c r="U31" s="509"/>
      <c r="V31" s="509"/>
      <c r="W31" s="682"/>
      <c r="X31" s="726"/>
      <c r="Y31" s="509"/>
      <c r="Z31" s="509"/>
      <c r="AA31" s="509"/>
      <c r="AB31" s="509"/>
      <c r="AC31" s="655"/>
      <c r="AD31" s="359"/>
      <c r="AE31" s="360"/>
      <c r="AF31" s="332"/>
      <c r="AG31" s="332"/>
      <c r="AH31" s="332"/>
      <c r="AI31" s="332"/>
      <c r="AJ31" s="332"/>
    </row>
    <row r="32" spans="1:36" ht="15.75" customHeight="1" x14ac:dyDescent="0.25">
      <c r="A32" s="336"/>
      <c r="B32" s="352"/>
      <c r="C32" s="529"/>
      <c r="D32" s="655"/>
      <c r="E32" s="726"/>
      <c r="F32" s="509"/>
      <c r="G32" s="509"/>
      <c r="H32" s="509"/>
      <c r="I32" s="509"/>
      <c r="J32" s="509"/>
      <c r="K32" s="509"/>
      <c r="L32" s="509"/>
      <c r="M32" s="509"/>
      <c r="N32" s="509"/>
      <c r="O32" s="509"/>
      <c r="P32" s="509"/>
      <c r="Q32" s="509"/>
      <c r="R32" s="509"/>
      <c r="S32" s="509"/>
      <c r="T32" s="509"/>
      <c r="U32" s="509"/>
      <c r="V32" s="509"/>
      <c r="W32" s="682"/>
      <c r="X32" s="726"/>
      <c r="Y32" s="509"/>
      <c r="Z32" s="509"/>
      <c r="AA32" s="509"/>
      <c r="AB32" s="509"/>
      <c r="AC32" s="655"/>
      <c r="AD32" s="359"/>
      <c r="AE32" s="360"/>
      <c r="AF32" s="332"/>
      <c r="AG32" s="332"/>
      <c r="AH32" s="332"/>
      <c r="AI32" s="332"/>
      <c r="AJ32" s="332"/>
    </row>
    <row r="33" spans="1:36" ht="15.75" customHeight="1" x14ac:dyDescent="0.25">
      <c r="A33" s="336"/>
      <c r="B33" s="352"/>
      <c r="C33" s="529"/>
      <c r="D33" s="655"/>
      <c r="E33" s="726"/>
      <c r="F33" s="509"/>
      <c r="G33" s="509"/>
      <c r="H33" s="509"/>
      <c r="I33" s="509"/>
      <c r="J33" s="509"/>
      <c r="K33" s="509"/>
      <c r="L33" s="509"/>
      <c r="M33" s="509"/>
      <c r="N33" s="509"/>
      <c r="O33" s="509"/>
      <c r="P33" s="509"/>
      <c r="Q33" s="509"/>
      <c r="R33" s="509"/>
      <c r="S33" s="509"/>
      <c r="T33" s="509"/>
      <c r="U33" s="509"/>
      <c r="V33" s="509"/>
      <c r="W33" s="682"/>
      <c r="X33" s="726"/>
      <c r="Y33" s="509"/>
      <c r="Z33" s="509"/>
      <c r="AA33" s="509"/>
      <c r="AB33" s="509"/>
      <c r="AC33" s="655"/>
      <c r="AD33" s="359"/>
      <c r="AE33" s="360"/>
      <c r="AF33" s="332"/>
      <c r="AG33" s="332"/>
      <c r="AH33" s="332"/>
      <c r="AI33" s="332"/>
      <c r="AJ33" s="332"/>
    </row>
    <row r="34" spans="1:36" ht="15.75" customHeight="1" x14ac:dyDescent="0.25">
      <c r="A34" s="336"/>
      <c r="B34" s="352"/>
      <c r="C34" s="496"/>
      <c r="D34" s="497"/>
      <c r="E34" s="727"/>
      <c r="F34" s="653"/>
      <c r="G34" s="653"/>
      <c r="H34" s="653"/>
      <c r="I34" s="653"/>
      <c r="J34" s="653"/>
      <c r="K34" s="653"/>
      <c r="L34" s="653"/>
      <c r="M34" s="653"/>
      <c r="N34" s="653"/>
      <c r="O34" s="653"/>
      <c r="P34" s="653"/>
      <c r="Q34" s="653"/>
      <c r="R34" s="653"/>
      <c r="S34" s="653"/>
      <c r="T34" s="653"/>
      <c r="U34" s="653"/>
      <c r="V34" s="653"/>
      <c r="W34" s="699"/>
      <c r="X34" s="727"/>
      <c r="Y34" s="653"/>
      <c r="Z34" s="653"/>
      <c r="AA34" s="653"/>
      <c r="AB34" s="653"/>
      <c r="AC34" s="497"/>
      <c r="AD34" s="359"/>
      <c r="AE34" s="360"/>
      <c r="AF34" s="332"/>
      <c r="AG34" s="332"/>
      <c r="AH34" s="332"/>
      <c r="AI34" s="332"/>
      <c r="AJ34" s="332"/>
    </row>
    <row r="35" spans="1:36" ht="22.5" customHeight="1" x14ac:dyDescent="0.25">
      <c r="A35" s="347"/>
      <c r="B35" s="348"/>
      <c r="C35" s="732" t="s">
        <v>303</v>
      </c>
      <c r="D35" s="543"/>
      <c r="E35" s="543"/>
      <c r="F35" s="543"/>
      <c r="G35" s="543"/>
      <c r="H35" s="543"/>
      <c r="I35" s="543"/>
      <c r="J35" s="543"/>
      <c r="K35" s="543"/>
      <c r="L35" s="543"/>
      <c r="M35" s="543"/>
      <c r="N35" s="543"/>
      <c r="O35" s="543"/>
      <c r="P35" s="709"/>
      <c r="Q35" s="729" t="e">
        <f>VLOOKUP($G$8,'6.Bảng lương  '!$B$16:$AW51,42,0)</f>
        <v>#N/A</v>
      </c>
      <c r="R35" s="543"/>
      <c r="S35" s="543"/>
      <c r="T35" s="543"/>
      <c r="U35" s="543"/>
      <c r="V35" s="543"/>
      <c r="W35" s="543"/>
      <c r="X35" s="543"/>
      <c r="Y35" s="543"/>
      <c r="Z35" s="543"/>
      <c r="AA35" s="543"/>
      <c r="AB35" s="543"/>
      <c r="AC35" s="544"/>
      <c r="AD35" s="349"/>
      <c r="AE35" s="368"/>
      <c r="AF35" s="351"/>
      <c r="AG35" s="351"/>
      <c r="AH35" s="351"/>
      <c r="AI35" s="351"/>
      <c r="AJ35" s="351"/>
    </row>
    <row r="36" spans="1:36" ht="27.75" customHeight="1" x14ac:dyDescent="0.25">
      <c r="A36" s="347"/>
      <c r="B36" s="348"/>
      <c r="C36" s="733" t="s">
        <v>304</v>
      </c>
      <c r="D36" s="666"/>
      <c r="E36" s="666"/>
      <c r="F36" s="666"/>
      <c r="G36" s="666"/>
      <c r="H36" s="666"/>
      <c r="I36" s="666"/>
      <c r="J36" s="666"/>
      <c r="K36" s="666"/>
      <c r="L36" s="666"/>
      <c r="M36" s="666"/>
      <c r="N36" s="666"/>
      <c r="O36" s="666"/>
      <c r="P36" s="734"/>
      <c r="Q36" s="730" t="e">
        <f>SUM(Q16:AC22)+Q26+Q35</f>
        <v>#N/A</v>
      </c>
      <c r="R36" s="666"/>
      <c r="S36" s="666"/>
      <c r="T36" s="666"/>
      <c r="U36" s="666"/>
      <c r="V36" s="666"/>
      <c r="W36" s="666"/>
      <c r="X36" s="666"/>
      <c r="Y36" s="666"/>
      <c r="Z36" s="666"/>
      <c r="AA36" s="666"/>
      <c r="AB36" s="666"/>
      <c r="AC36" s="731"/>
      <c r="AD36" s="349"/>
      <c r="AE36" s="368"/>
      <c r="AF36" s="351"/>
      <c r="AG36" s="351"/>
      <c r="AH36" s="351"/>
      <c r="AI36" s="351"/>
      <c r="AJ36" s="351"/>
    </row>
    <row r="37" spans="1:36" ht="15.75" customHeight="1" x14ac:dyDescent="0.25">
      <c r="A37" s="336"/>
      <c r="B37" s="369"/>
      <c r="C37" s="370"/>
      <c r="D37" s="370"/>
      <c r="E37" s="370"/>
      <c r="F37" s="370"/>
      <c r="G37" s="370"/>
      <c r="H37" s="370"/>
      <c r="I37" s="370"/>
      <c r="J37" s="370"/>
      <c r="K37" s="370"/>
      <c r="L37" s="370"/>
      <c r="M37" s="370"/>
      <c r="N37" s="370"/>
      <c r="O37" s="370"/>
      <c r="P37" s="370"/>
      <c r="Q37" s="370"/>
      <c r="R37" s="370"/>
      <c r="S37" s="370"/>
      <c r="T37" s="370"/>
      <c r="U37" s="370"/>
      <c r="V37" s="370"/>
      <c r="W37" s="370"/>
      <c r="X37" s="370"/>
      <c r="Y37" s="370"/>
      <c r="Z37" s="370"/>
      <c r="AA37" s="370"/>
      <c r="AB37" s="370"/>
      <c r="AC37" s="370"/>
      <c r="AD37" s="371"/>
      <c r="AE37" s="360"/>
      <c r="AF37" s="332"/>
      <c r="AG37" s="332"/>
      <c r="AH37" s="332"/>
      <c r="AI37" s="332"/>
      <c r="AJ37" s="332"/>
    </row>
    <row r="38" spans="1:36" ht="15.75" customHeight="1" x14ac:dyDescent="0.25">
      <c r="A38" s="372"/>
      <c r="B38" s="354"/>
      <c r="C38" s="354"/>
      <c r="D38" s="354"/>
      <c r="E38" s="354"/>
      <c r="F38" s="354"/>
      <c r="G38" s="354"/>
      <c r="H38" s="354"/>
      <c r="I38" s="354"/>
      <c r="J38" s="354"/>
      <c r="K38" s="354"/>
      <c r="L38" s="354"/>
      <c r="M38" s="354"/>
      <c r="N38" s="354"/>
      <c r="O38" s="354"/>
      <c r="P38" s="354"/>
      <c r="Q38" s="354"/>
      <c r="R38" s="354"/>
      <c r="S38" s="354"/>
      <c r="T38" s="354"/>
      <c r="U38" s="354"/>
      <c r="V38" s="354"/>
      <c r="W38" s="354"/>
      <c r="X38" s="354"/>
      <c r="Y38" s="354"/>
      <c r="Z38" s="354"/>
      <c r="AA38" s="354"/>
      <c r="AB38" s="354"/>
      <c r="AC38" s="354"/>
      <c r="AD38" s="354"/>
      <c r="AE38" s="372"/>
      <c r="AF38" s="332"/>
      <c r="AG38" s="332"/>
      <c r="AH38" s="332"/>
      <c r="AI38" s="332"/>
      <c r="AJ38" s="332"/>
    </row>
    <row r="39" spans="1:36" ht="15.75" customHeight="1" x14ac:dyDescent="0.25"/>
    <row r="40" spans="1:36" ht="15.75" customHeight="1" x14ac:dyDescent="0.25"/>
    <row r="41" spans="1:36" ht="15.75" customHeight="1" x14ac:dyDescent="0.25"/>
    <row r="42" spans="1:36" ht="15.75" customHeight="1" x14ac:dyDescent="0.25"/>
    <row r="43" spans="1:36" ht="15.75" customHeight="1" x14ac:dyDescent="0.25"/>
    <row r="44" spans="1:36" ht="15.75" customHeight="1" x14ac:dyDescent="0.25"/>
    <row r="45" spans="1:36" ht="15.75" customHeight="1" x14ac:dyDescent="0.25"/>
    <row r="46" spans="1:36" ht="15.75" customHeight="1" x14ac:dyDescent="0.25"/>
    <row r="47" spans="1:36" ht="15.75" customHeight="1" x14ac:dyDescent="0.25"/>
    <row r="48" spans="1:3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E22:P22"/>
    <mergeCell ref="Q22:AC22"/>
    <mergeCell ref="Q24:AC24"/>
    <mergeCell ref="Q25:AC25"/>
    <mergeCell ref="Q26:AC26"/>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30:W34"/>
    <mergeCell ref="X30:AC34"/>
    <mergeCell ref="Q35:AC35"/>
    <mergeCell ref="Q36:AC36"/>
    <mergeCell ref="C35:P35"/>
    <mergeCell ref="C36:P36"/>
    <mergeCell ref="C30:D34"/>
    <mergeCell ref="B2:E5"/>
    <mergeCell ref="F2:AD5"/>
    <mergeCell ref="C6:AC6"/>
    <mergeCell ref="C8:F8"/>
    <mergeCell ref="G8:AC8"/>
    <mergeCell ref="C9:F9"/>
    <mergeCell ref="G9:AC9"/>
    <mergeCell ref="E16:P16"/>
    <mergeCell ref="Q16:AC16"/>
    <mergeCell ref="E17:P17"/>
    <mergeCell ref="Q17:AC17"/>
    <mergeCell ref="C10:F10"/>
    <mergeCell ref="G10:AC10"/>
    <mergeCell ref="C11:F11"/>
    <mergeCell ref="G11:AC11"/>
    <mergeCell ref="G12:N12"/>
    <mergeCell ref="O12:V12"/>
    <mergeCell ref="W12:AC12"/>
    <mergeCell ref="E21:P21"/>
    <mergeCell ref="Q21:AC21"/>
    <mergeCell ref="Q18:AC18"/>
    <mergeCell ref="E19:P19"/>
    <mergeCell ref="Q19:AC19"/>
    <mergeCell ref="E20:P20"/>
    <mergeCell ref="Q20:AC20"/>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2026-08-05T09:05:22Z</dcterms:modified>
</cp:coreProperties>
</file>