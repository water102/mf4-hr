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ong\Downloads\MS14\Lương và hợp đồng\Lương\Phiếu lương\Tháng 3.26\"/>
    </mc:Choice>
  </mc:AlternateContent>
  <xr:revisionPtr revIDLastSave="0" documentId="13_ncr:1_{5DAEFFF4-687E-4A46-9BF2-D4954BB68305}" xr6:coauthVersionLast="47" xr6:coauthVersionMax="47" xr10:uidLastSave="{00000000-0000-0000-0000-000000000000}"/>
  <bookViews>
    <workbookView xWindow="-108" yWindow="-108" windowWidth="23256" windowHeight="12456" firstSheet="1" activeTab="3"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TL'!$A$11:$V$32</definedName>
    <definedName name="_xlnm._FilterDatabase" localSheetId="3" hidden="1">'3. BẢNG CHẤM CÔNG'!$A$10:$AV$26</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'[19]Chọn Công ty'!$C$6</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H24" i="9" l="1"/>
  <c r="AU23" i="4"/>
  <c r="C15" i="3"/>
  <c r="C14" i="3"/>
  <c r="C13" i="3"/>
  <c r="C12" i="3"/>
  <c r="C11" i="3"/>
  <c r="AU15" i="9"/>
  <c r="AQ15" i="9"/>
  <c r="AP15" i="9"/>
  <c r="AB15" i="9"/>
  <c r="V15" i="9"/>
  <c r="U15" i="9"/>
  <c r="T15" i="9"/>
  <c r="S15" i="9"/>
  <c r="R15" i="9"/>
  <c r="Q15" i="9"/>
  <c r="P15" i="9"/>
  <c r="N15" i="9"/>
  <c r="F24" i="9"/>
  <c r="AO24" i="9" s="1"/>
  <c r="AQ20" i="9"/>
  <c r="V20" i="9"/>
  <c r="M20" i="9"/>
  <c r="J20" i="9"/>
  <c r="F20" i="9"/>
  <c r="AQ19" i="9"/>
  <c r="V19" i="9"/>
  <c r="M19" i="9"/>
  <c r="J19" i="9"/>
  <c r="F19" i="9"/>
  <c r="AQ18" i="9"/>
  <c r="V18" i="9"/>
  <c r="M18" i="9"/>
  <c r="J18" i="9"/>
  <c r="F18" i="9"/>
  <c r="AQ17" i="9"/>
  <c r="V17" i="9"/>
  <c r="M17" i="9"/>
  <c r="J17" i="9"/>
  <c r="F17" i="9"/>
  <c r="C20" i="9"/>
  <c r="C19" i="9"/>
  <c r="C18" i="9"/>
  <c r="C17" i="9"/>
  <c r="A14" i="7"/>
  <c r="A15" i="7"/>
  <c r="A16" i="7"/>
  <c r="A17" i="7"/>
  <c r="A18" i="7"/>
  <c r="A19" i="7"/>
  <c r="A20" i="7"/>
  <c r="A21" i="7"/>
  <c r="A22" i="7"/>
  <c r="A23" i="7"/>
  <c r="A24" i="7"/>
  <c r="A25" i="7"/>
  <c r="M3" i="2"/>
  <c r="AS22" i="4"/>
  <c r="H20" i="9" s="1"/>
  <c r="AP22" i="4"/>
  <c r="AO22" i="4"/>
  <c r="AN22" i="4"/>
  <c r="AM22" i="4"/>
  <c r="AS21" i="4"/>
  <c r="H19" i="9" s="1"/>
  <c r="AP21" i="4"/>
  <c r="AO21" i="4"/>
  <c r="AN21" i="4"/>
  <c r="AM21" i="4"/>
  <c r="AS20" i="4"/>
  <c r="H18" i="9" s="1"/>
  <c r="AP20" i="4"/>
  <c r="AO20" i="4"/>
  <c r="AN20" i="4"/>
  <c r="AM20" i="4"/>
  <c r="AS19" i="4"/>
  <c r="H17" i="9" s="1"/>
  <c r="AP19" i="4"/>
  <c r="AO19" i="4"/>
  <c r="AN19" i="4"/>
  <c r="AM19" i="4"/>
  <c r="A13" i="4"/>
  <c r="A14" i="4"/>
  <c r="A15" i="4"/>
  <c r="A16" i="4"/>
  <c r="A17" i="4"/>
  <c r="A18" i="4"/>
  <c r="A19" i="4"/>
  <c r="A20" i="4"/>
  <c r="A21" i="4"/>
  <c r="A22" i="4"/>
  <c r="N25" i="7"/>
  <c r="O25" i="7" s="1"/>
  <c r="S25" i="7" s="1"/>
  <c r="N24" i="7"/>
  <c r="O24" i="7" s="1"/>
  <c r="S24" i="7" s="1"/>
  <c r="O23" i="7"/>
  <c r="S23" i="7" s="1"/>
  <c r="N23" i="7"/>
  <c r="N22" i="7"/>
  <c r="O22" i="7"/>
  <c r="S22" i="7" s="1"/>
  <c r="AU21" i="9"/>
  <c r="AP21" i="9"/>
  <c r="U21" i="9"/>
  <c r="T21" i="9"/>
  <c r="S21" i="9"/>
  <c r="R21" i="9"/>
  <c r="Q21" i="9"/>
  <c r="P21" i="9"/>
  <c r="N21" i="9"/>
  <c r="J24" i="9"/>
  <c r="M24" i="9"/>
  <c r="V24" i="9"/>
  <c r="AQ24" i="9"/>
  <c r="N21" i="7"/>
  <c r="O21" i="7" s="1"/>
  <c r="S21" i="7" s="1"/>
  <c r="AS15" i="4"/>
  <c r="AP15" i="4"/>
  <c r="AO15" i="4"/>
  <c r="AN15" i="4"/>
  <c r="AM15" i="4"/>
  <c r="AR19" i="4" l="1"/>
  <c r="AT19" i="4" s="1"/>
  <c r="AR21" i="4"/>
  <c r="AR20" i="4"/>
  <c r="AR22" i="4"/>
  <c r="AO20" i="9"/>
  <c r="AR20" i="9" s="1"/>
  <c r="AO17" i="9"/>
  <c r="AR17" i="9" s="1"/>
  <c r="AO18" i="9"/>
  <c r="AR18" i="9" s="1"/>
  <c r="AO19" i="9"/>
  <c r="AR19" i="9" s="1"/>
  <c r="AR24" i="9"/>
  <c r="AR15" i="4"/>
  <c r="AT15" i="4" s="1"/>
  <c r="G17" i="9" l="1"/>
  <c r="AM17" i="9" s="1"/>
  <c r="AT22" i="4"/>
  <c r="G20" i="9"/>
  <c r="AT20" i="4"/>
  <c r="G18" i="9"/>
  <c r="AT21" i="4"/>
  <c r="G19" i="9"/>
  <c r="AB21" i="9"/>
  <c r="F25" i="9"/>
  <c r="AQ25" i="9"/>
  <c r="V25" i="9"/>
  <c r="M25" i="9"/>
  <c r="J25" i="9"/>
  <c r="AS18" i="4"/>
  <c r="H25" i="9" s="1"/>
  <c r="AP18" i="4"/>
  <c r="AO18" i="4"/>
  <c r="AN18" i="4"/>
  <c r="AM18" i="4"/>
  <c r="AG17" i="9" l="1"/>
  <c r="AL17" i="9"/>
  <c r="AI17" i="9"/>
  <c r="AK17" i="9"/>
  <c r="AH17" i="9"/>
  <c r="AH19" i="9"/>
  <c r="AL19" i="9"/>
  <c r="AG19" i="9"/>
  <c r="AI19" i="9"/>
  <c r="AM19" i="9"/>
  <c r="AK19" i="9"/>
  <c r="AI18" i="9"/>
  <c r="AH18" i="9"/>
  <c r="AM18" i="9"/>
  <c r="AG18" i="9"/>
  <c r="AK18" i="9"/>
  <c r="AL18" i="9"/>
  <c r="AH20" i="9"/>
  <c r="AM20" i="9"/>
  <c r="AG20" i="9"/>
  <c r="AL20" i="9"/>
  <c r="AK20" i="9"/>
  <c r="AI20" i="9"/>
  <c r="AR18" i="4"/>
  <c r="AO25" i="9"/>
  <c r="AR25" i="9" s="1"/>
  <c r="AJ17" i="9" l="1"/>
  <c r="AN17" i="9"/>
  <c r="AJ20" i="9"/>
  <c r="AN19" i="9"/>
  <c r="AN18" i="9"/>
  <c r="AJ19" i="9"/>
  <c r="AJ18" i="9"/>
  <c r="AN20" i="9"/>
  <c r="AT18" i="4"/>
  <c r="G25" i="9"/>
  <c r="AS14" i="4"/>
  <c r="AP14" i="4"/>
  <c r="AO14" i="4"/>
  <c r="AN14" i="4"/>
  <c r="AM14" i="4"/>
  <c r="AM25" i="9" l="1"/>
  <c r="AN25" i="9" s="1"/>
  <c r="AG25" i="9"/>
  <c r="AH25" i="9"/>
  <c r="AL25" i="9"/>
  <c r="AK25" i="9"/>
  <c r="AI25" i="9"/>
  <c r="AR14" i="4"/>
  <c r="AT14" i="4" s="1"/>
  <c r="C10" i="3"/>
  <c r="C8" i="3"/>
  <c r="AJ25" i="9" l="1"/>
  <c r="AP11" i="9"/>
  <c r="AB11" i="9"/>
  <c r="U11" i="9"/>
  <c r="T11" i="9"/>
  <c r="S11" i="9"/>
  <c r="R11" i="9"/>
  <c r="Q11" i="9"/>
  <c r="P11" i="9"/>
  <c r="N11" i="9"/>
  <c r="AU26" i="9"/>
  <c r="T26" i="9"/>
  <c r="AB26" i="9" l="1"/>
  <c r="Q26" i="9"/>
  <c r="R26" i="9"/>
  <c r="S26" i="9"/>
  <c r="U26" i="9"/>
  <c r="N26" i="9"/>
  <c r="AP26" i="9"/>
  <c r="P26" i="9"/>
  <c r="AQ23" i="9"/>
  <c r="V23" i="9"/>
  <c r="M23" i="9"/>
  <c r="J23" i="9"/>
  <c r="F23" i="9"/>
  <c r="N19" i="7"/>
  <c r="O19" i="7" s="1"/>
  <c r="S19" i="7" s="1"/>
  <c r="AQ14" i="9"/>
  <c r="AR14" i="9" s="1"/>
  <c r="V14" i="9"/>
  <c r="M14" i="9"/>
  <c r="J14" i="9"/>
  <c r="AQ13" i="9"/>
  <c r="AO13" i="9"/>
  <c r="V13" i="9"/>
  <c r="M13" i="9"/>
  <c r="J13" i="9"/>
  <c r="AS16" i="4"/>
  <c r="H14" i="9" s="1"/>
  <c r="AP16" i="4"/>
  <c r="AO16" i="4"/>
  <c r="AN16" i="4"/>
  <c r="AM16" i="4"/>
  <c r="N18" i="7"/>
  <c r="O18" i="7" s="1"/>
  <c r="S18" i="7" s="1"/>
  <c r="H26" i="7"/>
  <c r="K26" i="7"/>
  <c r="N17" i="7"/>
  <c r="G26" i="7"/>
  <c r="AR13" i="9" l="1"/>
  <c r="AR16" i="4"/>
  <c r="G14" i="9" s="1"/>
  <c r="AO23" i="9"/>
  <c r="AR23" i="9" s="1"/>
  <c r="AT16" i="4" l="1"/>
  <c r="R9" i="6" l="1"/>
  <c r="D9" i="6"/>
  <c r="D8" i="6"/>
  <c r="D7" i="6"/>
  <c r="D6" i="6"/>
  <c r="C6" i="3"/>
  <c r="C7" i="3"/>
  <c r="S9" i="6" l="1"/>
  <c r="T9" i="6" s="1"/>
  <c r="R8" i="6"/>
  <c r="S8" i="6" s="1"/>
  <c r="T8" i="6" s="1"/>
  <c r="AS17" i="4"/>
  <c r="H12" i="9" s="1"/>
  <c r="AP17" i="4"/>
  <c r="AO17" i="4"/>
  <c r="AN17" i="4"/>
  <c r="AM17" i="4"/>
  <c r="AQ12" i="9"/>
  <c r="V12" i="9"/>
  <c r="M12" i="9"/>
  <c r="J12" i="9"/>
  <c r="F12" i="9"/>
  <c r="AR17" i="4" l="1"/>
  <c r="G12" i="9" s="1"/>
  <c r="AK12" i="9" s="1"/>
  <c r="AR12" i="9"/>
  <c r="I26" i="9"/>
  <c r="J26" i="7"/>
  <c r="I26" i="7"/>
  <c r="F22" i="9"/>
  <c r="N16" i="7"/>
  <c r="O16" i="7" s="1"/>
  <c r="S16" i="7" s="1"/>
  <c r="AQ22" i="9"/>
  <c r="AQ21" i="9" s="1"/>
  <c r="V22" i="9"/>
  <c r="V21" i="9" s="1"/>
  <c r="M22" i="9"/>
  <c r="M21" i="9" s="1"/>
  <c r="J22" i="9"/>
  <c r="J21" i="9" s="1"/>
  <c r="AG12" i="9" l="1"/>
  <c r="AM12" i="9"/>
  <c r="AI12" i="9"/>
  <c r="AH12" i="9"/>
  <c r="AL12" i="9"/>
  <c r="AT17" i="4"/>
  <c r="G22" i="9"/>
  <c r="H22" i="9"/>
  <c r="AO22" i="9"/>
  <c r="AO21" i="9" s="1"/>
  <c r="AR22" i="9" l="1"/>
  <c r="AR21" i="9" s="1"/>
  <c r="AJ12" i="9"/>
  <c r="AN12" i="9"/>
  <c r="N13" i="7"/>
  <c r="N14" i="7"/>
  <c r="O14" i="7" l="1"/>
  <c r="AP13" i="4"/>
  <c r="AO13" i="4"/>
  <c r="AN13" i="4"/>
  <c r="AS13" i="4"/>
  <c r="H23" i="9" s="1"/>
  <c r="S14" i="7" l="1"/>
  <c r="N15" i="7"/>
  <c r="O15" i="7" s="1"/>
  <c r="S15" i="7" s="1"/>
  <c r="F14" i="9"/>
  <c r="AM13" i="4"/>
  <c r="AR13" i="4" s="1"/>
  <c r="G23" i="9" s="1"/>
  <c r="AL23" i="9" l="1"/>
  <c r="AL21" i="9" s="1"/>
  <c r="AH23" i="9"/>
  <c r="AH21" i="9" s="1"/>
  <c r="AI23" i="9"/>
  <c r="AI21" i="9" s="1"/>
  <c r="AM23" i="9"/>
  <c r="AM21" i="9" s="1"/>
  <c r="AG23" i="9"/>
  <c r="AG21" i="9" s="1"/>
  <c r="AK23" i="9"/>
  <c r="AK21" i="9" s="1"/>
  <c r="AK14" i="9"/>
  <c r="AM14" i="9"/>
  <c r="AH14" i="9"/>
  <c r="AG14" i="9"/>
  <c r="AI14" i="9"/>
  <c r="AL14" i="9"/>
  <c r="AT13" i="4"/>
  <c r="C5" i="3"/>
  <c r="C4" i="3"/>
  <c r="F13" i="12"/>
  <c r="F11" i="12"/>
  <c r="F10" i="12"/>
  <c r="F9" i="12"/>
  <c r="AQ11" i="9"/>
  <c r="V11" i="9"/>
  <c r="M11" i="9"/>
  <c r="J11" i="9"/>
  <c r="AN23" i="9" l="1"/>
  <c r="AN21" i="9" s="1"/>
  <c r="AJ23" i="9"/>
  <c r="AJ21" i="9" s="1"/>
  <c r="AJ14" i="9"/>
  <c r="AN14" i="9"/>
  <c r="F12" i="12"/>
  <c r="AO11" i="9"/>
  <c r="AR11" i="9" l="1"/>
  <c r="M26" i="7" l="1"/>
  <c r="L26" i="7"/>
  <c r="O13" i="7" l="1"/>
  <c r="S13" i="7" l="1"/>
  <c r="H8" i="4"/>
  <c r="E27" i="7" l="1"/>
  <c r="F27" i="7" s="1"/>
  <c r="G27" i="7" s="1"/>
  <c r="H27" i="7" s="1"/>
  <c r="I27" i="7" s="1"/>
  <c r="J27" i="7" s="1"/>
  <c r="K27" i="7" s="1"/>
  <c r="L27" i="7" s="1"/>
  <c r="M27"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V16" i="9"/>
  <c r="M16" i="9"/>
  <c r="M15" i="9" s="1"/>
  <c r="J16" i="9"/>
  <c r="J15" i="9" s="1"/>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27" i="7"/>
  <c r="R26" i="7"/>
  <c r="Q26" i="7"/>
  <c r="P26" i="7"/>
  <c r="A13" i="7"/>
  <c r="N12" i="7"/>
  <c r="N26"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4" i="4"/>
  <c r="D24" i="4" s="1"/>
  <c r="E24" i="4" s="1"/>
  <c r="F24" i="4" s="1"/>
  <c r="G24" i="4" s="1"/>
  <c r="H24" i="4" s="1"/>
  <c r="I24" i="4" s="1"/>
  <c r="J24" i="4" s="1"/>
  <c r="K24" i="4" s="1"/>
  <c r="L24" i="4" s="1"/>
  <c r="M24" i="4" s="1"/>
  <c r="N24" i="4" s="1"/>
  <c r="O24" i="4" s="1"/>
  <c r="P24" i="4" s="1"/>
  <c r="Q24" i="4" s="1"/>
  <c r="R24" i="4" s="1"/>
  <c r="S24" i="4" s="1"/>
  <c r="T24" i="4" s="1"/>
  <c r="U24" i="4" s="1"/>
  <c r="V24" i="4" s="1"/>
  <c r="W24" i="4" s="1"/>
  <c r="X24" i="4" s="1"/>
  <c r="Y24" i="4" s="1"/>
  <c r="Z24" i="4" s="1"/>
  <c r="AA24" i="4" s="1"/>
  <c r="AB24" i="4" s="1"/>
  <c r="AC24" i="4" s="1"/>
  <c r="AD24" i="4" s="1"/>
  <c r="AE24" i="4" s="1"/>
  <c r="AF24" i="4" s="1"/>
  <c r="AG24" i="4" s="1"/>
  <c r="AH24" i="4" s="1"/>
  <c r="AI24" i="4" s="1"/>
  <c r="AJ24" i="4" s="1"/>
  <c r="AK24" i="4" s="1"/>
  <c r="AL24" i="4" s="1"/>
  <c r="AM24" i="4" s="1"/>
  <c r="AN24" i="4" s="1"/>
  <c r="AO24" i="4" s="1"/>
  <c r="AP24" i="4" s="1"/>
  <c r="AQ24" i="4" s="1"/>
  <c r="AR24" i="4" s="1"/>
  <c r="AS24" i="4" s="1"/>
  <c r="AT24" i="4" s="1"/>
  <c r="AU24" i="4" s="1"/>
  <c r="AV24" i="4" s="1"/>
  <c r="J12" i="12"/>
  <c r="AV12" i="4"/>
  <c r="AS12" i="4"/>
  <c r="H13" i="9" s="1"/>
  <c r="AP12" i="4"/>
  <c r="AO12" i="4"/>
  <c r="AN12" i="4"/>
  <c r="AM12" i="4"/>
  <c r="A12" i="4"/>
  <c r="AS11" i="4"/>
  <c r="AS23" i="4" s="1"/>
  <c r="AQ11" i="4"/>
  <c r="F6" i="6" s="1"/>
  <c r="AP11" i="4"/>
  <c r="AP23" i="4" s="1"/>
  <c r="AO11" i="4"/>
  <c r="AO23" i="4" s="1"/>
  <c r="AN11" i="4"/>
  <c r="AN23" i="4" s="1"/>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Q26" i="9" l="1"/>
  <c r="M26" i="9"/>
  <c r="J26" i="9"/>
  <c r="H16" i="9"/>
  <c r="H26" i="9" s="1"/>
  <c r="AO16" i="9"/>
  <c r="AO15" i="9" s="1"/>
  <c r="O12" i="7"/>
  <c r="O26" i="7" s="1"/>
  <c r="T7" i="10"/>
  <c r="AV39" i="9"/>
  <c r="AR12" i="4"/>
  <c r="G13" i="9" s="1"/>
  <c r="AQ23" i="4"/>
  <c r="S10" i="10"/>
  <c r="O10" i="10"/>
  <c r="Q36" i="13"/>
  <c r="G5" i="6"/>
  <c r="N10" i="10"/>
  <c r="J11" i="10"/>
  <c r="T9" i="10"/>
  <c r="K8" i="4"/>
  <c r="J9" i="4"/>
  <c r="I9" i="4"/>
  <c r="F5" i="6"/>
  <c r="R6" i="6"/>
  <c r="AM23" i="4"/>
  <c r="H9" i="4"/>
  <c r="J11" i="12"/>
  <c r="G7" i="10"/>
  <c r="AR11" i="4"/>
  <c r="AR23" i="4" s="1"/>
  <c r="V26" i="9" l="1"/>
  <c r="AV34" i="9" s="1"/>
  <c r="AM13" i="9"/>
  <c r="AM11" i="9" s="1"/>
  <c r="AG13" i="9"/>
  <c r="AG11" i="9" s="1"/>
  <c r="AH13" i="9"/>
  <c r="AH11" i="9" s="1"/>
  <c r="AI13" i="9"/>
  <c r="AI11" i="9" s="1"/>
  <c r="AK13" i="9"/>
  <c r="AL13" i="9"/>
  <c r="AL11" i="9" s="1"/>
  <c r="AO26" i="9"/>
  <c r="AR16" i="9"/>
  <c r="AR15" i="9" s="1"/>
  <c r="S12" i="7"/>
  <c r="S26" i="7" s="1"/>
  <c r="G16" i="9"/>
  <c r="G26" i="9" s="1"/>
  <c r="T8" i="10"/>
  <c r="T11" i="10" s="1"/>
  <c r="R5" i="6"/>
  <c r="T5" i="6"/>
  <c r="J9" i="12"/>
  <c r="J10" i="12"/>
  <c r="I7" i="10"/>
  <c r="K9" i="4"/>
  <c r="L8" i="4"/>
  <c r="AR10" i="4"/>
  <c r="G8" i="10"/>
  <c r="AJ13" i="9" l="1"/>
  <c r="AJ11" i="9" s="1"/>
  <c r="AN13" i="9"/>
  <c r="AN11" i="9" s="1"/>
  <c r="AK11" i="9"/>
  <c r="AR26" i="9"/>
  <c r="AI16" i="9"/>
  <c r="AI15" i="9" s="1"/>
  <c r="G9" i="10"/>
  <c r="AM16" i="9"/>
  <c r="AM15" i="9" s="1"/>
  <c r="AH16" i="9"/>
  <c r="AH15" i="9" s="1"/>
  <c r="AL16" i="9"/>
  <c r="AL15" i="9" s="1"/>
  <c r="AG16" i="9"/>
  <c r="AG15" i="9" s="1"/>
  <c r="AK16" i="9"/>
  <c r="AK15" i="9" s="1"/>
  <c r="H7" i="10"/>
  <c r="O7" i="10" s="1"/>
  <c r="I8" i="10"/>
  <c r="I11" i="10" s="1"/>
  <c r="L9" i="4"/>
  <c r="M8" i="4"/>
  <c r="G11" i="10"/>
  <c r="AM26" i="9" l="1"/>
  <c r="AI26" i="9"/>
  <c r="AH26" i="9"/>
  <c r="AK26" i="9"/>
  <c r="AG26" i="9"/>
  <c r="AL26" i="9"/>
  <c r="AN16" i="9"/>
  <c r="AN15" i="9" s="1"/>
  <c r="AJ16" i="9"/>
  <c r="AJ15" i="9" s="1"/>
  <c r="K7" i="10"/>
  <c r="H9" i="10"/>
  <c r="H11" i="10"/>
  <c r="M9" i="4"/>
  <c r="N8" i="4"/>
  <c r="AN26" i="9" l="1"/>
  <c r="AJ26"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37" i="9" l="1"/>
  <c r="AT11" i="4" l="1"/>
  <c r="AT23" i="4" s="1"/>
  <c r="G4" i="9"/>
  <c r="X19" i="9" l="1"/>
  <c r="W17" i="9"/>
  <c r="O20" i="9"/>
  <c r="X18" i="9"/>
  <c r="Y18" i="9"/>
  <c r="Y19" i="9"/>
  <c r="X17" i="9"/>
  <c r="O19" i="9"/>
  <c r="X20" i="9"/>
  <c r="K19" i="9"/>
  <c r="L19" i="9" s="1"/>
  <c r="W18" i="9"/>
  <c r="K20" i="9"/>
  <c r="L20" i="9" s="1"/>
  <c r="AA20" i="9"/>
  <c r="AC20" i="9" s="1"/>
  <c r="AA17" i="9"/>
  <c r="AC17" i="9" s="1"/>
  <c r="AA18" i="9"/>
  <c r="AC18" i="9" s="1"/>
  <c r="K17" i="9"/>
  <c r="L17" i="9" s="1"/>
  <c r="O17" i="9"/>
  <c r="K18" i="9"/>
  <c r="L18" i="9" s="1"/>
  <c r="W19" i="9"/>
  <c r="Y17" i="9"/>
  <c r="AA19" i="9"/>
  <c r="AC19" i="9" s="1"/>
  <c r="W20" i="9"/>
  <c r="O18" i="9"/>
  <c r="Y20" i="9"/>
  <c r="Y24" i="9"/>
  <c r="K24" i="9"/>
  <c r="L24" i="9" s="1"/>
  <c r="AA24" i="9"/>
  <c r="AC24" i="9" s="1"/>
  <c r="O24" i="9"/>
  <c r="W24" i="9"/>
  <c r="X24" i="9"/>
  <c r="W25" i="9"/>
  <c r="AA25" i="9"/>
  <c r="AC25" i="9" s="1"/>
  <c r="O25" i="9"/>
  <c r="Y25" i="9"/>
  <c r="K25" i="9"/>
  <c r="L25" i="9" s="1"/>
  <c r="X25" i="9"/>
  <c r="AA23" i="9"/>
  <c r="AC23" i="9" s="1"/>
  <c r="K23" i="9"/>
  <c r="Y23" i="9"/>
  <c r="X23" i="9"/>
  <c r="W23" i="9"/>
  <c r="O23" i="9"/>
  <c r="K13" i="9"/>
  <c r="AA13" i="9"/>
  <c r="AC13" i="9" s="1"/>
  <c r="W13" i="9"/>
  <c r="X13" i="9"/>
  <c r="O13" i="9"/>
  <c r="Y13" i="9"/>
  <c r="Y14" i="9"/>
  <c r="AA14" i="9"/>
  <c r="AC14" i="9" s="1"/>
  <c r="W14" i="9"/>
  <c r="K14" i="9"/>
  <c r="L14" i="9" s="1"/>
  <c r="O14" i="9"/>
  <c r="X14" i="9"/>
  <c r="O12" i="9"/>
  <c r="X12" i="9"/>
  <c r="K12" i="9"/>
  <c r="Y12" i="9"/>
  <c r="W12" i="9"/>
  <c r="AA12" i="9"/>
  <c r="K22" i="9"/>
  <c r="O22" i="9"/>
  <c r="X22" i="9"/>
  <c r="AA22" i="9"/>
  <c r="W22" i="9"/>
  <c r="Y22" i="9"/>
  <c r="AT12" i="4"/>
  <c r="AT10" i="4" s="1"/>
  <c r="J8" i="12"/>
  <c r="Y16" i="9"/>
  <c r="X16" i="9"/>
  <c r="K16" i="9"/>
  <c r="O16" i="9"/>
  <c r="AA16" i="9"/>
  <c r="W16" i="9"/>
  <c r="O15" i="9" l="1"/>
  <c r="Z19" i="9"/>
  <c r="W15" i="9"/>
  <c r="AA15" i="9"/>
  <c r="X15" i="9"/>
  <c r="Z18" i="9"/>
  <c r="AD18" i="9" s="1"/>
  <c r="AE18" i="9" s="1"/>
  <c r="AF18" i="9" s="1"/>
  <c r="AS18" i="9" s="1"/>
  <c r="AT18" i="9" s="1"/>
  <c r="AV18" i="9" s="1"/>
  <c r="G13" i="3" s="1"/>
  <c r="K15" i="9"/>
  <c r="Z20" i="9"/>
  <c r="AD20" i="9" s="1"/>
  <c r="AE20" i="9" s="1"/>
  <c r="AF20" i="9" s="1"/>
  <c r="AS20" i="9" s="1"/>
  <c r="Y15" i="9"/>
  <c r="AD19" i="9"/>
  <c r="AE19" i="9" s="1"/>
  <c r="AF19" i="9" s="1"/>
  <c r="AS19" i="9" s="1"/>
  <c r="AT19" i="9" s="1"/>
  <c r="AV19" i="9" s="1"/>
  <c r="G14" i="3" s="1"/>
  <c r="Z17" i="9"/>
  <c r="AD17" i="9" s="1"/>
  <c r="AE17" i="9" s="1"/>
  <c r="AF17" i="9" s="1"/>
  <c r="AS17" i="9" s="1"/>
  <c r="AT17" i="9" s="1"/>
  <c r="AV17" i="9" s="1"/>
  <c r="G12" i="3" s="1"/>
  <c r="X21" i="9"/>
  <c r="W21" i="9"/>
  <c r="O21" i="9"/>
  <c r="K21" i="9"/>
  <c r="Y21" i="9"/>
  <c r="Z24" i="9"/>
  <c r="AD24" i="9" s="1"/>
  <c r="AE24" i="9" s="1"/>
  <c r="AA21" i="9"/>
  <c r="Z25" i="9"/>
  <c r="AD25" i="9" s="1"/>
  <c r="AE25" i="9" s="1"/>
  <c r="AF25" i="9" s="1"/>
  <c r="AS25" i="9" s="1"/>
  <c r="AT25" i="9" s="1"/>
  <c r="AV25" i="9" s="1"/>
  <c r="G11" i="3" s="1"/>
  <c r="L22" i="9"/>
  <c r="O11" i="9"/>
  <c r="Y11" i="9"/>
  <c r="W11" i="9"/>
  <c r="X11" i="9"/>
  <c r="L13" i="9"/>
  <c r="I16" i="12" s="1"/>
  <c r="K11" i="9"/>
  <c r="J13" i="12"/>
  <c r="Z23" i="9"/>
  <c r="AD23" i="9" s="1"/>
  <c r="L23" i="9"/>
  <c r="AC22" i="9"/>
  <c r="Z14" i="9"/>
  <c r="AD14" i="9" s="1"/>
  <c r="AE14" i="9" s="1"/>
  <c r="AF14" i="9" s="1"/>
  <c r="AS14" i="9" s="1"/>
  <c r="AT14" i="9" s="1"/>
  <c r="AV14" i="9" s="1"/>
  <c r="G10" i="3" s="1"/>
  <c r="AC12" i="9"/>
  <c r="AA11" i="9"/>
  <c r="AC16" i="9"/>
  <c r="AC15" i="9" s="1"/>
  <c r="L12" i="9"/>
  <c r="Z13" i="9"/>
  <c r="Z12" i="9"/>
  <c r="Z22" i="9"/>
  <c r="L16" i="9"/>
  <c r="L15" i="9" s="1"/>
  <c r="I9" i="10"/>
  <c r="O9" i="10" s="1"/>
  <c r="K9" i="10"/>
  <c r="Z16" i="9"/>
  <c r="AT20" i="9" l="1"/>
  <c r="AV20" i="9" s="1"/>
  <c r="G15" i="3" s="1"/>
  <c r="Z15" i="9"/>
  <c r="Z21" i="9"/>
  <c r="L21" i="9"/>
  <c r="AF24" i="9"/>
  <c r="AS24" i="9" s="1"/>
  <c r="AT24" i="9" s="1"/>
  <c r="AV24" i="9" s="1"/>
  <c r="G9" i="3" s="1"/>
  <c r="AA26" i="9"/>
  <c r="W26" i="9"/>
  <c r="K26" i="9"/>
  <c r="X26" i="9"/>
  <c r="Y26" i="9"/>
  <c r="O26" i="9"/>
  <c r="AV33" i="9" s="1"/>
  <c r="AC21" i="9"/>
  <c r="L11" i="9"/>
  <c r="AD13" i="9"/>
  <c r="AE13" i="9" s="1"/>
  <c r="Z11" i="9"/>
  <c r="I21" i="12"/>
  <c r="I20" i="12"/>
  <c r="I19" i="12"/>
  <c r="I18" i="12"/>
  <c r="AC11" i="9"/>
  <c r="AD12" i="9"/>
  <c r="AD22" i="9"/>
  <c r="AD21" i="9" s="1"/>
  <c r="AE23" i="9"/>
  <c r="H8" i="10"/>
  <c r="O8" i="10" s="1"/>
  <c r="U8" i="10" s="1"/>
  <c r="AD16" i="9"/>
  <c r="AD15" i="9" s="1"/>
  <c r="Z26" i="9" l="1"/>
  <c r="AC26" i="9"/>
  <c r="L26" i="9"/>
  <c r="AV32" i="9" s="1"/>
  <c r="AF13" i="9"/>
  <c r="AS13" i="9" s="1"/>
  <c r="AT13" i="9" s="1"/>
  <c r="AV13" i="9" s="1"/>
  <c r="G4" i="3" s="1"/>
  <c r="AF23" i="9"/>
  <c r="AS23" i="9" s="1"/>
  <c r="AT23" i="9" s="1"/>
  <c r="K8" i="10"/>
  <c r="AE22" i="9"/>
  <c r="AE21" i="9" s="1"/>
  <c r="AE12" i="9"/>
  <c r="AD11" i="9"/>
  <c r="I17" i="12"/>
  <c r="U11" i="10"/>
  <c r="V8" i="10"/>
  <c r="V11" i="10" s="1"/>
  <c r="AE16" i="9"/>
  <c r="AE15" i="9" s="1"/>
  <c r="AD26" i="9" l="1"/>
  <c r="AV35" i="9" s="1"/>
  <c r="AV36" i="9" s="1"/>
  <c r="I31" i="12"/>
  <c r="I24" i="12"/>
  <c r="AV23" i="9"/>
  <c r="G8" i="3" s="1"/>
  <c r="AE11" i="9"/>
  <c r="AF12" i="9"/>
  <c r="AF22" i="9"/>
  <c r="AF21" i="9" s="1"/>
  <c r="M8" i="10"/>
  <c r="AF16" i="9"/>
  <c r="AF15" i="9" s="1"/>
  <c r="AE26" i="9" l="1"/>
  <c r="AS12" i="9"/>
  <c r="AF11" i="9"/>
  <c r="AS22" i="9"/>
  <c r="AS21" i="9" s="1"/>
  <c r="L8" i="10"/>
  <c r="N8" i="10" s="1"/>
  <c r="AS16" i="9"/>
  <c r="AS15" i="9" s="1"/>
  <c r="AF26" i="9" l="1"/>
  <c r="AT22" i="9"/>
  <c r="AT21" i="9" s="1"/>
  <c r="AT16" i="9"/>
  <c r="AT15" i="9" s="1"/>
  <c r="AT12" i="9"/>
  <c r="AS11" i="9"/>
  <c r="I27" i="12"/>
  <c r="AS26" i="9" l="1"/>
  <c r="AV12" i="9"/>
  <c r="AT11" i="9"/>
  <c r="AV16" i="9"/>
  <c r="AV15" i="9" s="1"/>
  <c r="AV22" i="9"/>
  <c r="AV21" i="9" s="1"/>
  <c r="I25" i="12"/>
  <c r="I30" i="12" s="1"/>
  <c r="I32" i="12" s="1"/>
  <c r="AW26" i="9"/>
  <c r="AT26" i="9" l="1"/>
  <c r="G6" i="3"/>
  <c r="AV11" i="9"/>
  <c r="G7" i="3"/>
  <c r="G5" i="3"/>
  <c r="G16" i="3" l="1"/>
  <c r="AV26" i="9"/>
  <c r="O17" i="7"/>
  <c r="S17" i="7" s="1"/>
  <c r="N12" i="2" l="1"/>
  <c r="N13" i="2" s="1"/>
  <c r="AV38" i="9"/>
  <c r="AV40" i="9" s="1"/>
  <c r="AV41" i="9" l="1"/>
  <c r="N20" i="7" l="1"/>
  <c r="O20" i="7" s="1"/>
  <c r="S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<sst xmlns="http://schemas.openxmlformats.org/spreadsheetml/2006/main" count="861" uniqueCount="389">
  <si>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</si>
  <si>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</si>
  <si>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</si>
  <si>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</si>
  <si>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</si>
  <si>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</si>
  <si>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</si>
  <si>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</si>
  <si>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</si>
  <si>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</si>
  <si>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</si>
  <si>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</si>
  <si>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</si>
  <si>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</si>
  <si>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</si>
  <si>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</si>
  <si>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</si>
  <si>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</si>
  <si>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</si>
  <si>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</si>
  <si>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</si>
  <si>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</si>
  <si>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</si>
  <si>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</si>
  <si>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</si>
  <si>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</si>
  <si>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</si>
  <si>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</si>
  <si>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</si>
  <si>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</si>
  <si>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</si>
  <si>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</si>
  <si>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</si>
  <si>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</si>
  <si>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</si>
  <si>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</si>
  <si>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</si>
  <si>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</si>
  <si>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</si>
  <si>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</si>
  <si>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</si>
  <si>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</si>
  <si>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</si>
  <si>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</si>
  <si>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</si>
  <si>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</si>
  <si>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</si>
  <si>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</si>
  <si>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</si>
  <si>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</si>
  <si>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</si>
  <si>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</si>
  <si>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</si>
  <si>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</si>
  <si>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</si>
  <si>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</si>
  <si>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</si>
  <si>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</si>
  <si>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</si>
  <si>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</si>
  <si>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</si>
  <si>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</si>
  <si>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</si>
  <si>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</si>
  <si>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</si>
  <si>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</si>
  <si>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</si>
  <si>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</si>
  <si>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</si>
  <si>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</si>
  <si>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</si>
  <si>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</si>
  <si>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</si>
  <si>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</si>
  <si>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</si>
  <si>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</si>
  <si>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</si>
  <si>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</si>
  <si>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</si>
  <si>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</si>
  <si>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</si>
  <si>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</si>
  <si>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</si>
  <si>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</si>
  <si>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</si>
  <si>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</si>
  <si>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</si>
  <si>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</si>
  <si>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</si>
  <si>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</si>
  <si>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</si>
  <si>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</si>
  <si>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</si>
  <si>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</si>
  <si>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</si>
  <si>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</si>
  <si>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</si>
  <si>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</si>
  <si>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</si>
  <si>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</si>
  <si>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</si>
  <si>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</si>
  <si>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</si>
  <si>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</si>
  <si>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</si>
  <si>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</si>
  <si>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</si>
  <si>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</si>
  <si>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</si>
  <si>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</si>
  <si>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</si>
  <si>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</si>
  <si>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</si>
  <si>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</si>
  <si>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</si>
  <si>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</si>
  <si>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</si>
  <si>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</si>
  <si>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</si>
  <si>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</si>
  <si>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</si>
  <si>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</si>
  <si>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</si>
  <si>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</si>
  <si>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</si>
  <si>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</si>
  <si>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</si>
  <si>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</si>
  <si>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</si>
  <si>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</si>
  <si>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</si>
  <si>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</si>
  <si>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</si>
  <si>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</si>
  <si>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</si>
  <si>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</si>
  <si>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</si>
  <si>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</si>
  <si>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</si>
  <si>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</si>
  <si>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</si>
  <si>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</si>
  <si>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</si>
  <si>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</si>
  <si>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</si>
  <si>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</si>
  <si>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</si>
  <si>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</si>
  <si>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</si>
  <si>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</si>
  <si>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</si>
  <si>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</si>
  <si>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</si>
  <si>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</si>
  <si>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</si>
  <si>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</si>
  <si>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</si>
  <si>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</si>
  <si>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</si>
  <si>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</si>
  <si>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</si>
  <si>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</si>
  <si>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</si>
  <si>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</si>
  <si>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</si>
  <si>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</si>
  <si>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</si>
  <si>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</si>
  <si>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</si>
  <si>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</si>
  <si>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</si>
  <si>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</si>
  <si>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</si>
  <si>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</si>
  <si>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</si>
  <si>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</si>
  <si>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</si>
  <si>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</si>
  <si>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</si>
  <si>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</si>
  <si>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</si>
  <si>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</si>
  <si>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</si>
  <si>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</si>
  <si>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</si>
  <si>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</si>
  <si>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</si>
  <si>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</si>
  <si>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</si>
  <si>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</si>
  <si>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</si>
  <si>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</si>
  <si>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</si>
  <si>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</si>
  <si>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</si>
  <si>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</si>
  <si>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</si>
  <si>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</si>
  <si>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</si>
  <si>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</si>
  <si>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</si>
  <si>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</si>
  <si>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</si>
  <si>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</si>
  <si>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</si>
  <si>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</si>
  <si>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</si>
  <si>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</si>
  <si>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</si>
  <si>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</si>
  <si>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</si>
  <si>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</si>
  <si>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</si>
  <si>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</si>
  <si>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</si>
  <si>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</si>
  <si>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</si>
  <si>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</si>
  <si>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</si>
  <si>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</si>
  <si>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</si>
  <si>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</si>
  <si>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</si>
  <si>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</si>
  <si>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</si>
  <si>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</si>
  <si>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</si>
  <si>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</si>
  <si>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</si>
  <si>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</si>
  <si>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</si>
  <si>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</si>
  <si>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</si>
  <si>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</si>
  <si>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</si>
  <si>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</si>
  <si>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</si>
  <si>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</si>
  <si>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</si>
  <si>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</si>
  <si>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</si>
  <si>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</si>
  <si>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</si>
  <si>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</si>
  <si>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</si>
  <si>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</si>
  <si>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</si>
  <si>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</si>
  <si>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</si>
  <si>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</si>
  <si>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</si>
  <si>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</si>
  <si>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</si>
  <si>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</si>
  <si>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</si>
  <si>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</si>
  <si>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</si>
  <si>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</si>
  <si>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</si>
  <si>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</si>
  <si>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</si>
  <si>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</si>
  <si>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</si>
  <si>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</si>
  <si>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</si>
  <si>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</si>
  <si>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</si>
  <si>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</si>
  <si>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</si>
  <si>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</si>
  <si>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</si>
  <si>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</si>
  <si>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</si>
  <si>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</si>
  <si>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</si>
  <si>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</si>
  <si>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</si>
  <si>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</si>
  <si>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</si>
  <si>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</si>
  <si>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</si>
  <si>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</si>
  <si>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</si>
  <si>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</si>
  <si>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</si>
  <si>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</si>
  <si>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</si>
  <si>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</si>
  <si>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</si>
  <si>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</si>
  <si>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</si>
  <si>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</si>
  <si>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</si>
  <si>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</si>
  <si>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</si>
  <si>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</si>
  <si>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</si>
  <si>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</si>
  <si>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</si>
  <si>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</si>
  <si>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</si>
  <si>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</si>
  <si>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</si>
  <si>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</si>
  <si>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</si>
  <si>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</si>
  <si>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</si>
  <si>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</si>
  <si>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</si>
  <si>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</si>
  <si>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</si>
  <si>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</si>
  <si>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</si>
  <si>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</si>
  <si>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</si>
  <si>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</si>
  <si>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</si>
  <si>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</si>
  <si>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</si>
  <si>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</si>
  <si>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</si>
  <si>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</si>
  <si>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</si>
  <si>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</si>
  <si>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</si>
  <si>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</si>
  <si>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</si>
  <si>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</si>
  <si>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</si>
  <si>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</si>
  <si>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</si>
  <si>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</si>
  <si>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</si>
  <si>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</si>
  <si>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</si>
  <si>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</si>
  <si>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</si>
  <si>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</si>
  <si>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</si>
  <si>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</si>
  <si>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</si>
  <si>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</si>
  <si>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</si>
  <si>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</si>
  <si>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</si>
  <si>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PHIẾU LƯƠNG THÁNG 12.2025</t>
  </si>
  <si>
    <t>ACB</t>
  </si>
  <si>
    <t>Vietcombank</t>
  </si>
  <si>
    <t>Hà Nội, ngày ..... tháng ..... năm 2026</t>
  </si>
  <si>
    <t>Ban giám hiệu</t>
  </si>
  <si>
    <t>Nguyễn Thị Ánh Hồng</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</si>
  <si>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</si>
  <si>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</si>
  <si>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</si>
  <si>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</si>
  <si>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</si>
  <si>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</si>
  <si>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</si>
  <si>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</si>
  <si>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</si>
  <si>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</si>
  <si>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</si>
  <si>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</si>
  <si>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</si>
  <si>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Nguyễn Hương Li</t>
  </si>
  <si>
    <t>Phùng Thị Lụa</t>
  </si>
  <si>
    <t>MS11</t>
  </si>
  <si>
    <t>HK</t>
  </si>
  <si>
    <t>MS12</t>
  </si>
  <si>
    <t>Đinh Thị Bích Ngọc</t>
  </si>
  <si>
    <t>MS13</t>
  </si>
  <si>
    <t>Lương Văn Châm</t>
  </si>
  <si>
    <t>MS14</t>
  </si>
  <si>
    <t>Nguyễn Thị Phúc</t>
  </si>
  <si>
    <t>MS15</t>
  </si>
  <si>
    <t>Nguyễn Thị Thuỳ Trang</t>
  </si>
  <si>
    <t>Bảo vệ</t>
  </si>
  <si>
    <t>Y tế</t>
  </si>
  <si>
    <t>MS14 - BẢNG CHẤM CÔNG THÁNG 03/2026</t>
  </si>
  <si>
    <t>MS14 thanh toán lương CBNV MS14 tháng 03/2026
Danh sách cụ thể đính kèm.</t>
  </si>
  <si>
    <t>BẢNG TÍNH THU NHẬP THÁNG 03/2026</t>
  </si>
  <si>
    <t>BẢNG KÊ DANH SÁCH THANH TOÁN LƯƠNG THÁNG 03.2026</t>
  </si>
  <si>
    <t>Nội dung: MS14 thanh toán lương cho nhân sự MS14 Tháng 03.2026</t>
  </si>
  <si>
    <t xml:space="preserve">0563250894 </t>
  </si>
  <si>
    <t>MB</t>
  </si>
  <si>
    <t>VCB</t>
  </si>
  <si>
    <t>0374624154</t>
  </si>
  <si>
    <t>Hà Nội, ngày   05 tháng  04  năm 2026</t>
  </si>
  <si>
    <t>Nội dung thanh toán: MS14 thanh toán lương CBNV MS14 tháng 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</si>
</sst>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7">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s>
  <cellStyleXfs count="3">
    <xf numFmtId="0" fontId="0" fillId="0" borderId="0"/>
    <xf numFmtId="0" fontId="2" fillId="0" borderId="63"/>
    <xf numFmtId="43" fontId="98" fillId="0" borderId="0" applyFont="0" applyFill="0" applyBorder="0" applyAlignment="0" applyProtection="0"/>
  </cellStyleXfs>
  <cellXfs count="732">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1" fillId="0" borderId="5" xfId="0" applyFont="1" applyBorder="1" applyAlignment="1">
      <alignment horizontal="center" vertical="center"/>
    </xf>
    <xf numFmtId="0" fontId="58" fillId="3" borderId="78" xfId="0" applyFont="1" applyFill="1" applyBorder="1" applyAlignment="1">
      <alignment horizontal="center" vertical="center"/>
    </xf>
    <xf numFmtId="0" fontId="75" fillId="0" borderId="16" xfId="0" applyFont="1" applyBorder="1" applyAlignment="1">
      <alignment horizontal="center" vertical="center"/>
    </xf>
    <xf numFmtId="0" fontId="76" fillId="3" borderId="78" xfId="0" applyFont="1" applyFill="1" applyBorder="1" applyAlignment="1">
      <alignment horizontal="center" vertical="center"/>
    </xf>
    <xf numFmtId="167" fontId="58" fillId="0" borderId="5" xfId="0" applyNumberFormat="1" applyFont="1" applyBorder="1" applyAlignment="1">
      <alignment horizontal="center" vertical="center"/>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5" fontId="3" fillId="3" borderId="133" xfId="0" applyNumberFormat="1" applyFont="1" applyFill="1" applyBorder="1" applyAlignment="1">
      <alignment horizontal="right" vertical="center"/>
    </xf>
    <xf numFmtId="165" fontId="3" fillId="3" borderId="133" xfId="0" applyNumberFormat="1" applyFont="1" applyFill="1" applyBorder="1" applyAlignment="1">
      <alignment vertical="center"/>
    </xf>
    <xf numFmtId="169"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169"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69"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169"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5"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69"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69"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5"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69"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69" fontId="0" fillId="0" borderId="0" xfId="0" applyNumberFormat="1"/>
    <xf numFmtId="0" fontId="77" fillId="3" borderId="89" xfId="0" applyFont="1" applyFill="1" applyBorder="1" applyAlignment="1">
      <alignment horizontal="left" vertical="center"/>
    </xf>
    <xf numFmtId="169" fontId="89" fillId="0" borderId="28" xfId="0" applyNumberFormat="1" applyFont="1" applyBorder="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0" fillId="0" borderId="0" xfId="0"/>
    <xf numFmtId="0" fontId="27" fillId="3" borderId="10" xfId="0" applyFont="1" applyFill="1" applyBorder="1" applyAlignment="1">
      <alignment horizontal="left" vertical="center" wrapText="1"/>
    </xf>
    <xf numFmtId="0" fontId="2" fillId="0" borderId="11" xfId="0" applyFont="1" applyBorder="1"/>
    <xf numFmtId="0" fontId="2" fillId="0" borderId="12" xfId="0" applyFont="1" applyBorder="1"/>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733">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FFFF"/>
      </font>
      <fill>
        <patternFill patternType="solid">
          <fgColor rgb="FFEA4335"/>
          <bgColor rgb="FFEA4335"/>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FFFF"/>
      </font>
      <fill>
        <patternFill patternType="solid">
          <fgColor theme="5"/>
          <bgColor theme="5"/>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theme="4"/>
          <bgColor theme="4"/>
        </patternFill>
      </fill>
    </dxf>
    <dxf>
      <font>
        <b/>
        <color rgb="FFFFFFFF"/>
      </font>
      <fill>
        <patternFill patternType="solid">
          <fgColor rgb="FFFF0000"/>
          <bgColor rgb="FFFF0000"/>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000000"/>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haredStrings" Target="sharedString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SONYYB~1\AppData\Local\Temp\VinS\in\&#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ọn Công ty"/>
      <sheetName val="DS"/>
      <sheetName val="Tra mã"/>
      <sheetName val="Đề nghị Mua hàng"/>
      <sheetName val="Đề nghị Tạm ứng"/>
      <sheetName val="ĐNTT Thường"/>
      <sheetName val="ĐNTT XDCB"/>
      <sheetName val="Bảng kê TT XDCB"/>
      <sheetName val="Database"/>
      <sheetName val="DÁNH SÁCH NHÂN CÔNG"/>
      <sheetName val="2004"/>
      <sheetName val="2005"/>
      <sheetName val="Calendar"/>
      <sheetName val="Parameter"/>
      <sheetName val="Ma_hs "/>
      <sheetName val="Ma Hàng"/>
      <sheetName val="info"/>
      <sheetName val="Accuei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522" t="s">
        <v>0</v>
      </c>
      <c r="B1" s="523"/>
      <c r="C1" s="524"/>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12" zoomScale="99" workbookViewId="0">
      <selection activeCell="AB28" sqref="AB28"/>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525"/>
      <c r="B1" s="478"/>
      <c r="C1" s="479"/>
      <c r="D1" s="526" t="s">
        <v>18</v>
      </c>
      <c r="E1" s="478"/>
      <c r="F1" s="478"/>
      <c r="G1" s="478"/>
      <c r="H1" s="478"/>
      <c r="I1" s="478"/>
      <c r="J1" s="478"/>
      <c r="K1" s="478"/>
      <c r="L1" s="478"/>
      <c r="M1" s="478"/>
      <c r="N1" s="478"/>
      <c r="O1" s="478"/>
      <c r="P1" s="478"/>
      <c r="Q1" s="478"/>
      <c r="R1" s="478"/>
      <c r="S1" s="478"/>
      <c r="T1" s="478"/>
      <c r="U1" s="478"/>
      <c r="V1" s="478"/>
      <c r="W1" s="478"/>
      <c r="X1" s="478"/>
      <c r="Y1" s="478"/>
      <c r="Z1" s="479"/>
      <c r="AA1" s="12"/>
    </row>
    <row r="2" spans="1:27" ht="12.75" customHeight="1" x14ac:dyDescent="0.25">
      <c r="A2" s="13"/>
      <c r="B2" s="13"/>
      <c r="C2" s="14"/>
      <c r="D2" s="527" t="s">
        <v>19</v>
      </c>
      <c r="E2" s="478"/>
      <c r="F2" s="478"/>
      <c r="G2" s="478"/>
      <c r="H2" s="478"/>
      <c r="I2" s="478"/>
      <c r="J2" s="478"/>
      <c r="K2" s="478"/>
      <c r="L2" s="478"/>
      <c r="M2" s="478"/>
      <c r="N2" s="478"/>
      <c r="O2" s="478"/>
      <c r="P2" s="478"/>
      <c r="Q2" s="478"/>
      <c r="R2" s="478"/>
      <c r="S2" s="478"/>
      <c r="T2" s="478"/>
      <c r="U2" s="478"/>
      <c r="V2" s="478"/>
      <c r="W2" s="478"/>
      <c r="X2" s="478"/>
      <c r="Y2" s="478"/>
      <c r="Z2" s="479"/>
      <c r="AA2" s="13"/>
    </row>
    <row r="3" spans="1:27" ht="22.5" customHeight="1" x14ac:dyDescent="0.35">
      <c r="A3" s="15"/>
      <c r="B3" s="15"/>
      <c r="C3" s="528"/>
      <c r="D3" s="476"/>
      <c r="E3" s="16"/>
      <c r="F3" s="17"/>
      <c r="G3" s="16"/>
      <c r="H3" s="16"/>
      <c r="I3" s="16"/>
      <c r="J3" s="16"/>
      <c r="K3" s="18"/>
      <c r="L3" s="15"/>
      <c r="M3" s="529" t="str">
        <f>IF(E3="","Hà Nội, Ngày 05 Tháng 04 Năm 2026",VLOOKUP(E3,'[24]NHẬP LIỆU'!B1:M29,2,0))</f>
        <v>Hà Nội, Ngày 05 Tháng 04 Năm 2026</v>
      </c>
      <c r="N3" s="476"/>
      <c r="O3" s="476"/>
      <c r="P3" s="476"/>
      <c r="Q3" s="476"/>
      <c r="R3" s="476"/>
      <c r="S3" s="476"/>
      <c r="T3" s="476"/>
      <c r="U3" s="476"/>
      <c r="V3" s="476"/>
      <c r="W3" s="476"/>
      <c r="X3" s="476"/>
      <c r="Y3" s="476"/>
      <c r="Z3" s="476"/>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530" t="s">
        <v>5</v>
      </c>
      <c r="I5" s="476"/>
      <c r="J5" s="476"/>
      <c r="K5" s="476"/>
      <c r="L5" s="476"/>
      <c r="M5" s="476"/>
      <c r="N5" s="476"/>
      <c r="O5" s="476"/>
      <c r="P5" s="476"/>
      <c r="Q5" s="476"/>
      <c r="R5" s="476"/>
      <c r="S5" s="476"/>
      <c r="T5" s="22"/>
      <c r="U5" s="22"/>
      <c r="V5" s="22"/>
      <c r="W5" s="22"/>
      <c r="X5" s="22"/>
      <c r="Y5" s="22"/>
      <c r="Z5" s="22"/>
      <c r="AA5" s="22"/>
    </row>
    <row r="6" spans="1:27" ht="37.5" customHeight="1" x14ac:dyDescent="0.25">
      <c r="A6" s="24"/>
      <c r="B6" s="24"/>
      <c r="C6" s="25" t="s">
        <v>20</v>
      </c>
      <c r="D6" s="531" t="s">
        <v>331</v>
      </c>
      <c r="E6" s="476"/>
      <c r="F6" s="476"/>
      <c r="G6" s="476"/>
      <c r="H6" s="476"/>
      <c r="I6" s="476"/>
      <c r="J6" s="476"/>
      <c r="K6" s="476"/>
      <c r="L6" s="476"/>
      <c r="M6" s="476"/>
      <c r="N6" s="476"/>
      <c r="O6" s="476"/>
      <c r="P6" s="476"/>
      <c r="Q6" s="476"/>
      <c r="R6" s="476"/>
      <c r="S6" s="476"/>
      <c r="T6" s="476"/>
      <c r="U6" s="476"/>
      <c r="V6" s="476"/>
      <c r="W6" s="476"/>
      <c r="X6" s="476"/>
      <c r="Y6" s="476"/>
      <c r="Z6" s="26"/>
      <c r="AA6" s="26"/>
    </row>
    <row r="7" spans="1:27" ht="21.75" customHeight="1" x14ac:dyDescent="0.25">
      <c r="A7" s="24"/>
      <c r="B7" s="24"/>
      <c r="C7" s="25" t="s">
        <v>332</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532" t="s">
        <v>319</v>
      </c>
      <c r="E8" s="478"/>
      <c r="F8" s="478"/>
      <c r="G8" s="478"/>
      <c r="H8" s="478"/>
      <c r="I8" s="479"/>
      <c r="J8" s="24"/>
      <c r="K8" s="24"/>
      <c r="L8" s="24"/>
      <c r="M8" s="24"/>
      <c r="N8" s="24"/>
      <c r="O8" s="24"/>
      <c r="P8" s="24"/>
      <c r="Q8" s="24"/>
      <c r="R8" s="24"/>
      <c r="S8" s="24"/>
      <c r="T8" s="24"/>
      <c r="U8" s="24"/>
      <c r="V8" s="24"/>
      <c r="W8" s="24"/>
      <c r="X8" s="24"/>
      <c r="Y8" s="24"/>
      <c r="Z8" s="24"/>
      <c r="AA8" s="24"/>
    </row>
    <row r="9" spans="1:27" ht="27" customHeight="1" x14ac:dyDescent="0.25">
      <c r="A9" s="24"/>
      <c r="B9" s="24"/>
      <c r="C9" s="533" t="s">
        <v>388</v>
      </c>
      <c r="D9" s="476"/>
      <c r="E9" s="476"/>
      <c r="F9" s="476"/>
      <c r="G9" s="476"/>
      <c r="H9" s="476"/>
      <c r="I9" s="476"/>
      <c r="J9" s="476"/>
      <c r="K9" s="476"/>
      <c r="L9" s="476"/>
      <c r="M9" s="476"/>
      <c r="N9" s="476"/>
      <c r="O9" s="476"/>
      <c r="P9" s="476"/>
      <c r="Q9" s="476"/>
      <c r="R9" s="476"/>
      <c r="S9" s="476"/>
      <c r="T9" s="476"/>
      <c r="U9" s="476"/>
      <c r="V9" s="476"/>
      <c r="W9" s="476"/>
      <c r="X9" s="476"/>
      <c r="Y9" s="476"/>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534" t="s">
        <v>23</v>
      </c>
      <c r="D11" s="535"/>
      <c r="E11" s="535"/>
      <c r="F11" s="535"/>
      <c r="G11" s="535"/>
      <c r="H11" s="535"/>
      <c r="I11" s="535"/>
      <c r="J11" s="535"/>
      <c r="K11" s="535"/>
      <c r="L11" s="535"/>
      <c r="M11" s="536"/>
      <c r="N11" s="537" t="s">
        <v>24</v>
      </c>
      <c r="O11" s="535"/>
      <c r="P11" s="535"/>
      <c r="Q11" s="535"/>
      <c r="R11" s="535"/>
      <c r="S11" s="535"/>
      <c r="T11" s="535"/>
      <c r="U11" s="535"/>
      <c r="V11" s="535"/>
      <c r="W11" s="535"/>
      <c r="X11" s="535"/>
      <c r="Y11" s="535"/>
      <c r="Z11" s="536"/>
      <c r="AA11" s="24"/>
    </row>
    <row r="12" spans="1:27" ht="51.75" customHeight="1" x14ac:dyDescent="0.25">
      <c r="A12" s="24"/>
      <c r="B12" s="24"/>
      <c r="C12" s="538" t="s">
        <v>379</v>
      </c>
      <c r="D12" s="535"/>
      <c r="E12" s="535"/>
      <c r="F12" s="535"/>
      <c r="G12" s="535"/>
      <c r="H12" s="535"/>
      <c r="I12" s="535"/>
      <c r="J12" s="535"/>
      <c r="K12" s="535"/>
      <c r="L12" s="535"/>
      <c r="M12" s="536"/>
      <c r="N12" s="539">
        <f>'2. DS TKNH L1'!G16</f>
        <v>110882900</v>
      </c>
      <c r="O12" s="535"/>
      <c r="P12" s="535"/>
      <c r="Q12" s="535"/>
      <c r="R12" s="535"/>
      <c r="S12" s="535"/>
      <c r="T12" s="535"/>
      <c r="U12" s="535"/>
      <c r="V12" s="535"/>
      <c r="W12" s="535"/>
      <c r="X12" s="535"/>
      <c r="Y12" s="535"/>
      <c r="Z12" s="536"/>
      <c r="AA12" s="24"/>
    </row>
    <row r="13" spans="1:27" ht="25.5" customHeight="1" x14ac:dyDescent="0.25">
      <c r="A13" s="24"/>
      <c r="B13" s="24"/>
      <c r="C13" s="540" t="s">
        <v>25</v>
      </c>
      <c r="D13" s="535"/>
      <c r="E13" s="535"/>
      <c r="F13" s="535"/>
      <c r="G13" s="535"/>
      <c r="H13" s="535"/>
      <c r="I13" s="535"/>
      <c r="J13" s="535"/>
      <c r="K13" s="535"/>
      <c r="L13" s="535"/>
      <c r="M13" s="536"/>
      <c r="N13" s="542">
        <f>N12</f>
        <v>110882900</v>
      </c>
      <c r="O13" s="535"/>
      <c r="P13" s="535"/>
      <c r="Q13" s="535"/>
      <c r="R13" s="535"/>
      <c r="S13" s="535"/>
      <c r="T13" s="535"/>
      <c r="U13" s="535"/>
      <c r="V13" s="535"/>
      <c r="W13" s="535"/>
      <c r="X13" s="535"/>
      <c r="Y13" s="535"/>
      <c r="Z13" s="536"/>
      <c r="AA13" s="24"/>
    </row>
    <row r="14" spans="1:27" ht="31.5" customHeight="1" x14ac:dyDescent="0.25">
      <c r="A14" s="24"/>
      <c r="B14" s="24"/>
      <c r="C14" s="28" t="s">
        <v>26</v>
      </c>
      <c r="D14" s="543"/>
      <c r="E14" s="476"/>
      <c r="F14" s="476"/>
      <c r="G14" s="476"/>
      <c r="H14" s="476"/>
      <c r="I14" s="476"/>
      <c r="J14" s="476"/>
      <c r="K14" s="476"/>
      <c r="L14" s="476"/>
      <c r="M14" s="476"/>
      <c r="N14" s="476"/>
      <c r="O14" s="476"/>
      <c r="P14" s="476"/>
      <c r="Q14" s="476"/>
      <c r="R14" s="476"/>
      <c r="S14" s="476"/>
      <c r="T14" s="476"/>
      <c r="U14" s="476"/>
      <c r="V14" s="476"/>
      <c r="W14" s="476"/>
      <c r="X14" s="476"/>
      <c r="Y14" s="476"/>
      <c r="Z14" s="476"/>
      <c r="AA14" s="28"/>
    </row>
    <row r="15" spans="1:27" ht="39.75" customHeight="1" x14ac:dyDescent="0.25">
      <c r="A15" s="24"/>
      <c r="B15" s="24"/>
      <c r="C15" s="544"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76"/>
      <c r="E15" s="476"/>
      <c r="F15" s="476"/>
      <c r="G15" s="476"/>
      <c r="H15" s="476"/>
      <c r="I15" s="476"/>
      <c r="J15" s="476"/>
      <c r="K15" s="476"/>
      <c r="L15" s="476"/>
      <c r="M15" s="476"/>
      <c r="N15" s="476"/>
      <c r="O15" s="476"/>
      <c r="P15" s="476"/>
      <c r="Q15" s="476"/>
      <c r="R15" s="476"/>
      <c r="S15" s="476"/>
      <c r="T15" s="476"/>
      <c r="U15" s="476"/>
      <c r="V15" s="476"/>
      <c r="W15" s="476"/>
      <c r="X15" s="476"/>
      <c r="Y15" s="476"/>
      <c r="Z15" s="476"/>
      <c r="AA15" s="26"/>
    </row>
    <row r="16" spans="1:27" ht="22.5" customHeight="1" x14ac:dyDescent="0.25">
      <c r="A16" s="24"/>
      <c r="B16" s="24"/>
      <c r="C16" s="545" t="s">
        <v>27</v>
      </c>
      <c r="D16" s="476"/>
      <c r="E16" s="476"/>
      <c r="F16" s="476"/>
      <c r="G16" s="476"/>
      <c r="H16" s="29" t="s">
        <v>28</v>
      </c>
      <c r="I16" s="30"/>
      <c r="J16" s="30"/>
      <c r="K16" s="30"/>
      <c r="L16" s="546" t="b">
        <v>0</v>
      </c>
      <c r="M16" s="476"/>
      <c r="N16" s="476"/>
      <c r="O16" s="30"/>
      <c r="P16" s="30"/>
      <c r="Q16" s="30"/>
      <c r="R16" s="30"/>
      <c r="S16" s="30"/>
      <c r="T16" s="30"/>
      <c r="U16" s="30"/>
      <c r="V16" s="30"/>
      <c r="W16" s="30"/>
      <c r="X16" s="30"/>
      <c r="Y16" s="24"/>
      <c r="Z16" s="24"/>
      <c r="AA16" s="24"/>
    </row>
    <row r="17" spans="1:27" ht="24" customHeight="1" x14ac:dyDescent="0.25">
      <c r="A17" s="24"/>
      <c r="B17" s="24"/>
      <c r="C17" s="476"/>
      <c r="D17" s="476"/>
      <c r="E17" s="476"/>
      <c r="F17" s="476"/>
      <c r="G17" s="476"/>
      <c r="H17" s="29" t="s">
        <v>29</v>
      </c>
      <c r="I17" s="30"/>
      <c r="J17" s="30"/>
      <c r="K17" s="30"/>
      <c r="L17" s="546" t="b">
        <v>1</v>
      </c>
      <c r="M17" s="476"/>
      <c r="N17" s="476"/>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45" t="s">
        <v>31</v>
      </c>
      <c r="D19" s="476"/>
      <c r="E19" s="476"/>
      <c r="F19" s="541" t="s">
        <v>32</v>
      </c>
      <c r="G19" s="476"/>
      <c r="H19" s="476"/>
      <c r="I19" s="476"/>
      <c r="J19" s="476"/>
      <c r="K19" s="476"/>
      <c r="L19" s="476"/>
      <c r="M19" s="476"/>
      <c r="N19" s="476"/>
      <c r="O19" s="476"/>
      <c r="P19" s="476"/>
      <c r="Q19" s="476"/>
      <c r="R19" s="476"/>
      <c r="S19" s="476"/>
      <c r="T19" s="476"/>
      <c r="U19" s="476"/>
      <c r="V19" s="476"/>
      <c r="W19" s="476"/>
      <c r="X19" s="476"/>
      <c r="Y19" s="24"/>
      <c r="Z19" s="24"/>
      <c r="AA19" s="24"/>
    </row>
    <row r="20" spans="1:27" ht="15.75" customHeight="1" x14ac:dyDescent="0.25">
      <c r="A20" s="24"/>
      <c r="B20" s="24"/>
      <c r="C20" s="545" t="s">
        <v>33</v>
      </c>
      <c r="D20" s="476"/>
      <c r="E20" s="476"/>
      <c r="F20" s="541" t="s">
        <v>32</v>
      </c>
      <c r="G20" s="476"/>
      <c r="H20" s="476"/>
      <c r="I20" s="476"/>
      <c r="J20" s="476"/>
      <c r="K20" s="476"/>
      <c r="L20" s="476"/>
      <c r="M20" s="476"/>
      <c r="N20" s="476"/>
      <c r="O20" s="476"/>
      <c r="P20" s="476"/>
      <c r="Q20" s="476"/>
      <c r="R20" s="476"/>
      <c r="S20" s="476"/>
      <c r="T20" s="476"/>
      <c r="U20" s="476"/>
      <c r="V20" s="476"/>
      <c r="W20" s="476"/>
      <c r="X20" s="476"/>
      <c r="Y20" s="24"/>
      <c r="Z20" s="24"/>
      <c r="AA20" s="24"/>
    </row>
    <row r="21" spans="1:27" ht="15.75" customHeight="1" x14ac:dyDescent="0.25">
      <c r="A21" s="24"/>
      <c r="B21" s="24"/>
      <c r="C21" s="545" t="s">
        <v>34</v>
      </c>
      <c r="D21" s="476"/>
      <c r="E21" s="476"/>
      <c r="F21" s="541" t="s">
        <v>32</v>
      </c>
      <c r="G21" s="476"/>
      <c r="H21" s="476"/>
      <c r="I21" s="476"/>
      <c r="J21" s="476"/>
      <c r="K21" s="476"/>
      <c r="L21" s="476"/>
      <c r="M21" s="476"/>
      <c r="N21" s="476"/>
      <c r="O21" s="476"/>
      <c r="P21" s="476"/>
      <c r="Q21" s="476"/>
      <c r="R21" s="476"/>
      <c r="S21" s="476"/>
      <c r="T21" s="476"/>
      <c r="U21" s="476"/>
      <c r="V21" s="476"/>
      <c r="W21" s="476"/>
      <c r="X21" s="476"/>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47" t="s">
        <v>35</v>
      </c>
      <c r="B23" s="476"/>
      <c r="C23" s="476"/>
      <c r="D23" s="476"/>
      <c r="E23" s="476"/>
      <c r="F23" s="550" t="s">
        <v>36</v>
      </c>
      <c r="G23" s="476"/>
      <c r="H23" s="476"/>
      <c r="I23" s="476"/>
      <c r="J23" s="476"/>
      <c r="K23" s="476"/>
      <c r="L23" s="476"/>
      <c r="M23" s="31"/>
      <c r="N23" s="550" t="s">
        <v>37</v>
      </c>
      <c r="O23" s="476"/>
      <c r="P23" s="476"/>
      <c r="Q23" s="476"/>
      <c r="R23" s="476"/>
      <c r="S23" s="476"/>
      <c r="T23" s="476"/>
      <c r="U23" s="31"/>
      <c r="V23" s="550" t="s">
        <v>38</v>
      </c>
      <c r="W23" s="476"/>
      <c r="X23" s="476"/>
      <c r="Y23" s="476"/>
      <c r="Z23" s="476"/>
    </row>
    <row r="24" spans="1:27" ht="15.75" customHeight="1" x14ac:dyDescent="0.25">
      <c r="A24" s="476"/>
      <c r="B24" s="476"/>
      <c r="C24" s="476"/>
      <c r="D24" s="476"/>
      <c r="E24" s="476"/>
      <c r="F24" s="476"/>
      <c r="G24" s="476"/>
      <c r="H24" s="476"/>
      <c r="I24" s="476"/>
      <c r="J24" s="476"/>
      <c r="K24" s="476"/>
      <c r="L24" s="476"/>
      <c r="M24" s="31"/>
      <c r="N24" s="476"/>
      <c r="O24" s="476"/>
      <c r="P24" s="476"/>
      <c r="Q24" s="476"/>
      <c r="R24" s="476"/>
      <c r="S24" s="476"/>
      <c r="T24" s="476"/>
      <c r="U24" s="31"/>
      <c r="V24" s="476"/>
      <c r="W24" s="476"/>
      <c r="X24" s="476"/>
      <c r="Y24" s="476"/>
      <c r="Z24" s="476"/>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47"/>
      <c r="B29" s="476"/>
      <c r="C29" s="476"/>
      <c r="D29" s="476"/>
      <c r="E29" s="476"/>
      <c r="F29" s="548"/>
      <c r="G29" s="478"/>
      <c r="H29" s="478"/>
      <c r="I29" s="478"/>
      <c r="J29" s="478"/>
      <c r="K29" s="478"/>
      <c r="L29" s="479"/>
      <c r="M29" s="32"/>
      <c r="N29" s="549"/>
      <c r="O29" s="478"/>
      <c r="P29" s="478"/>
      <c r="Q29" s="478"/>
      <c r="R29" s="478"/>
      <c r="S29" s="478"/>
      <c r="T29" s="479"/>
      <c r="U29" s="549"/>
      <c r="V29" s="478"/>
      <c r="W29" s="478"/>
      <c r="X29" s="478"/>
      <c r="Y29" s="478"/>
      <c r="Z29" s="478"/>
      <c r="AA29" s="479"/>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95"/>
  <sheetViews>
    <sheetView showGridLines="0" topLeftCell="A5" workbookViewId="0">
      <selection activeCell="H15" sqref="H15"/>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552"/>
      <c r="B1" s="553"/>
      <c r="C1" s="556" t="s">
        <v>381</v>
      </c>
      <c r="D1" s="523"/>
      <c r="E1" s="523"/>
      <c r="F1" s="523"/>
      <c r="G1" s="524"/>
    </row>
    <row r="2" spans="1:26" ht="42" customHeight="1" x14ac:dyDescent="0.25">
      <c r="A2" s="554"/>
      <c r="B2" s="555"/>
      <c r="C2" s="557" t="s">
        <v>382</v>
      </c>
      <c r="D2" s="558"/>
      <c r="E2" s="558"/>
      <c r="F2" s="558"/>
      <c r="G2" s="559"/>
    </row>
    <row r="3" spans="1:26" ht="44.25" customHeight="1" x14ac:dyDescent="0.25">
      <c r="A3" s="429" t="s">
        <v>1</v>
      </c>
      <c r="B3" s="430" t="s">
        <v>40</v>
      </c>
      <c r="C3" s="430" t="s">
        <v>41</v>
      </c>
      <c r="D3" s="431" t="s">
        <v>42</v>
      </c>
      <c r="E3" s="430" t="s">
        <v>43</v>
      </c>
      <c r="F3" s="430" t="s">
        <v>44</v>
      </c>
      <c r="G3" s="432" t="s">
        <v>45</v>
      </c>
    </row>
    <row r="4" spans="1:26" ht="27" customHeight="1" x14ac:dyDescent="0.25">
      <c r="A4" s="434">
        <v>1</v>
      </c>
      <c r="B4" s="434" t="s">
        <v>324</v>
      </c>
      <c r="C4" s="379" t="str">
        <f>VLOOKUP(B4,'6.Bảng lương  '!B13:$C$16,2,0)</f>
        <v>Lê Thị Kim Liên</v>
      </c>
      <c r="D4" s="435">
        <v>19031627139016</v>
      </c>
      <c r="E4" s="436" t="s">
        <v>333</v>
      </c>
      <c r="F4" s="434"/>
      <c r="G4" s="437">
        <f>VLOOKUP($B4,'6.Bảng lương  '!$B$11:$AV$28,47,0)</f>
        <v>16000000</v>
      </c>
      <c r="H4" s="36"/>
      <c r="I4" s="36"/>
      <c r="J4" s="36"/>
      <c r="K4" s="36"/>
      <c r="L4" s="36"/>
      <c r="M4" s="36"/>
      <c r="N4" s="36"/>
      <c r="O4" s="36"/>
      <c r="P4" s="36"/>
      <c r="Q4" s="36"/>
      <c r="R4" s="36"/>
      <c r="S4" s="36"/>
      <c r="T4" s="36"/>
      <c r="U4" s="36"/>
      <c r="V4" s="36"/>
      <c r="W4" s="36"/>
      <c r="X4" s="36"/>
      <c r="Y4" s="36"/>
      <c r="Z4" s="36"/>
    </row>
    <row r="5" spans="1:26" ht="26.25" customHeight="1" x14ac:dyDescent="0.25">
      <c r="A5" s="434">
        <v>2</v>
      </c>
      <c r="B5" s="434" t="s">
        <v>323</v>
      </c>
      <c r="C5" s="379" t="str">
        <f>VLOOKUP(B5,'6.Bảng lương  '!B15:$C$16,2,0)</f>
        <v>Nguyễn Thị Thu Hảo</v>
      </c>
      <c r="D5" s="438">
        <v>19035531863010</v>
      </c>
      <c r="E5" s="436" t="s">
        <v>333</v>
      </c>
      <c r="F5" s="434"/>
      <c r="G5" s="437">
        <f>VLOOKUP($B5,'6.Bảng lương  '!$B$11:$AV$28,47,0)</f>
        <v>15212500</v>
      </c>
    </row>
    <row r="6" spans="1:26" ht="26.25" customHeight="1" x14ac:dyDescent="0.25">
      <c r="A6" s="434">
        <v>3</v>
      </c>
      <c r="B6" s="434" t="s">
        <v>340</v>
      </c>
      <c r="C6" s="379" t="str">
        <f>VLOOKUP(B6,'6.Bảng lương  '!B12:$C$12,2,0)</f>
        <v>Bùi Thanh Anh</v>
      </c>
      <c r="D6" s="438">
        <v>1978555558</v>
      </c>
      <c r="E6" s="436" t="s">
        <v>346</v>
      </c>
      <c r="F6" s="434"/>
      <c r="G6" s="437">
        <f>VLOOKUP($B6,'6.Bảng lương  '!$B$11:$AV$28,47,0)</f>
        <v>15000000</v>
      </c>
    </row>
    <row r="7" spans="1:26" ht="26.25" customHeight="1" x14ac:dyDescent="0.25">
      <c r="A7" s="434">
        <v>4</v>
      </c>
      <c r="B7" s="434" t="s">
        <v>336</v>
      </c>
      <c r="C7" s="379" t="str">
        <f>VLOOKUP(B7,'6.Bảng lương  '!B$16:$C22,2,0)</f>
        <v>Eugene</v>
      </c>
      <c r="D7" s="438">
        <v>1045887952</v>
      </c>
      <c r="E7" s="436" t="s">
        <v>347</v>
      </c>
      <c r="F7" s="434"/>
      <c r="G7" s="437">
        <f>VLOOKUP($B7,'6.Bảng lương  '!$B$11:$AV$28,47,0)</f>
        <v>19102700</v>
      </c>
    </row>
    <row r="8" spans="1:26" ht="26.25" customHeight="1" x14ac:dyDescent="0.25">
      <c r="A8" s="434">
        <v>5</v>
      </c>
      <c r="B8" s="434" t="s">
        <v>351</v>
      </c>
      <c r="C8" s="379" t="str">
        <f>VLOOKUP(B8,'6.Bảng lương  '!B$16:$C23,2,0)</f>
        <v>Nguyễn Thị Ánh Hồng</v>
      </c>
      <c r="D8" s="438">
        <v>1033638061</v>
      </c>
      <c r="E8" s="436" t="s">
        <v>347</v>
      </c>
      <c r="F8" s="434"/>
      <c r="G8" s="437">
        <f>VLOOKUP($B8,'6.Bảng lương  '!$B$11:$AV$28,47,0)</f>
        <v>8422500</v>
      </c>
    </row>
    <row r="9" spans="1:26" ht="26.25" customHeight="1" x14ac:dyDescent="0.25">
      <c r="A9" s="434">
        <v>6</v>
      </c>
      <c r="B9" s="434" t="s">
        <v>353</v>
      </c>
      <c r="C9" s="379" t="s">
        <v>354</v>
      </c>
      <c r="D9" s="438">
        <v>19036055792017</v>
      </c>
      <c r="E9" s="436" t="s">
        <v>333</v>
      </c>
      <c r="F9" s="434"/>
      <c r="G9" s="437">
        <f>VLOOKUP($B9,'6.Bảng lương  '!$B$11:$AV$28,47,0)</f>
        <v>2045500</v>
      </c>
    </row>
    <row r="10" spans="1:26" ht="26.25" customHeight="1" x14ac:dyDescent="0.25">
      <c r="A10" s="434">
        <v>7</v>
      </c>
      <c r="B10" s="434" t="s">
        <v>356</v>
      </c>
      <c r="C10" s="379" t="str">
        <f>VLOOKUP(B10,'6.Bảng lương  '!$B$12:$C$23,2,0)</f>
        <v>Nguyễn Thị Thu</v>
      </c>
      <c r="D10" s="438">
        <v>1991555558</v>
      </c>
      <c r="E10" s="436" t="s">
        <v>346</v>
      </c>
      <c r="F10" s="434"/>
      <c r="G10" s="437">
        <f>VLOOKUP($B10,'6.Bảng lương  '!$B$11:$AV$28,47,0)</f>
        <v>8000000</v>
      </c>
    </row>
    <row r="11" spans="1:26" ht="26.25" customHeight="1" x14ac:dyDescent="0.25">
      <c r="A11" s="434">
        <v>8</v>
      </c>
      <c r="B11" s="434" t="s">
        <v>366</v>
      </c>
      <c r="C11" s="379" t="str">
        <f>VLOOKUP(B11,' 5. Thông số TL'!$D$12:$E$25,2,0)</f>
        <v>Phùng Thị Lụa</v>
      </c>
      <c r="D11" s="435" t="s">
        <v>383</v>
      </c>
      <c r="E11" s="436" t="s">
        <v>384</v>
      </c>
      <c r="F11" s="434"/>
      <c r="G11" s="437">
        <f>VLOOKUP($B11,'6.Bảng lương  '!$B$11:$AV$28,47,0)</f>
        <v>5661600</v>
      </c>
    </row>
    <row r="12" spans="1:26" ht="26.25" customHeight="1" x14ac:dyDescent="0.25">
      <c r="A12" s="434">
        <v>9</v>
      </c>
      <c r="B12" s="434" t="s">
        <v>368</v>
      </c>
      <c r="C12" s="379" t="str">
        <f>VLOOKUP(B12,' 5. Thông số TL'!$D$12:$E$25,2,0)</f>
        <v>Đinh Thị Bích Ngọc</v>
      </c>
      <c r="D12" s="438">
        <v>19032824127018</v>
      </c>
      <c r="E12" s="436" t="s">
        <v>333</v>
      </c>
      <c r="F12" s="434"/>
      <c r="G12" s="437">
        <f>VLOOKUP($B12,'6.Bảng lương  '!$B$11:$AV$28,47,0)</f>
        <v>5848600</v>
      </c>
    </row>
    <row r="13" spans="1:26" ht="26.25" customHeight="1" x14ac:dyDescent="0.25">
      <c r="A13" s="434">
        <v>10</v>
      </c>
      <c r="B13" s="434" t="s">
        <v>370</v>
      </c>
      <c r="C13" s="379" t="str">
        <f>VLOOKUP(B13,' 5. Thông số TL'!$D$12:$E$25,2,0)</f>
        <v>Lương Văn Châm</v>
      </c>
      <c r="D13" s="438">
        <v>9904677976</v>
      </c>
      <c r="E13" s="436" t="s">
        <v>333</v>
      </c>
      <c r="F13" s="434"/>
      <c r="G13" s="437">
        <f>VLOOKUP($B13,'6.Bảng lương  '!$B$11:$AV$28,47,0)</f>
        <v>5182300</v>
      </c>
    </row>
    <row r="14" spans="1:26" ht="26.25" customHeight="1" x14ac:dyDescent="0.25">
      <c r="A14" s="434">
        <v>11</v>
      </c>
      <c r="B14" s="434" t="s">
        <v>372</v>
      </c>
      <c r="C14" s="379" t="str">
        <f>VLOOKUP(B14,' 5. Thông số TL'!$D$12:$E$25,2,0)</f>
        <v>Nguyễn Thị Phúc</v>
      </c>
      <c r="D14" s="438">
        <v>1036236348</v>
      </c>
      <c r="E14" s="436" t="s">
        <v>385</v>
      </c>
      <c r="F14" s="434"/>
      <c r="G14" s="437">
        <f>VLOOKUP($B14,'6.Bảng lương  '!$B$11:$AV$28,47,0)</f>
        <v>8187000</v>
      </c>
    </row>
    <row r="15" spans="1:26" ht="26.25" customHeight="1" x14ac:dyDescent="0.25">
      <c r="A15" s="434">
        <v>12</v>
      </c>
      <c r="B15" s="434" t="s">
        <v>374</v>
      </c>
      <c r="C15" s="379" t="str">
        <f>VLOOKUP(B15,' 5. Thông số TL'!$D$12:$E$25,2,0)</f>
        <v>Nguyễn Thị Thuỳ Trang</v>
      </c>
      <c r="D15" s="435" t="s">
        <v>386</v>
      </c>
      <c r="E15" s="436" t="s">
        <v>384</v>
      </c>
      <c r="F15" s="434"/>
      <c r="G15" s="437">
        <f>VLOOKUP($B15,'6.Bảng lương  '!$B$11:$AV$28,47,0)</f>
        <v>2220200</v>
      </c>
    </row>
    <row r="16" spans="1:26" ht="25.5" customHeight="1" x14ac:dyDescent="0.25">
      <c r="A16" s="560" t="s">
        <v>51</v>
      </c>
      <c r="B16" s="561"/>
      <c r="C16" s="561"/>
      <c r="D16" s="561"/>
      <c r="E16" s="561"/>
      <c r="F16" s="562"/>
      <c r="G16" s="433">
        <f>SUM(G4:G15)</f>
        <v>110882900</v>
      </c>
      <c r="H16" s="462"/>
    </row>
    <row r="17" spans="1:10" ht="15.75" customHeight="1" x14ac:dyDescent="0.3">
      <c r="A17" s="39"/>
      <c r="B17" s="39"/>
      <c r="C17" s="40"/>
      <c r="D17" s="41"/>
      <c r="E17" s="39"/>
      <c r="F17" s="40"/>
      <c r="G17" s="40"/>
      <c r="J17" s="42"/>
    </row>
    <row r="18" spans="1:10" ht="3.75" customHeight="1" x14ac:dyDescent="0.3">
      <c r="A18" s="39"/>
      <c r="B18" s="39"/>
      <c r="C18" s="40"/>
      <c r="D18" s="41"/>
      <c r="E18" s="39"/>
      <c r="F18" s="40"/>
      <c r="G18" s="40"/>
      <c r="J18" s="43"/>
    </row>
    <row r="19" spans="1:10" ht="15.75" customHeight="1" x14ac:dyDescent="0.3">
      <c r="A19" s="39"/>
      <c r="B19" s="39"/>
      <c r="C19" s="40"/>
      <c r="D19" s="41"/>
      <c r="E19" s="563" t="s">
        <v>387</v>
      </c>
      <c r="F19" s="476"/>
      <c r="G19" s="476"/>
    </row>
    <row r="20" spans="1:10" ht="15.75" customHeight="1" x14ac:dyDescent="0.3">
      <c r="A20" s="39"/>
      <c r="B20" s="39"/>
      <c r="C20" s="40"/>
      <c r="D20" s="41"/>
      <c r="E20" s="39"/>
      <c r="F20" s="40"/>
      <c r="G20" s="40"/>
    </row>
    <row r="21" spans="1:10" ht="18.75" customHeight="1" x14ac:dyDescent="0.25">
      <c r="A21" s="551" t="s">
        <v>52</v>
      </c>
      <c r="B21" s="476"/>
      <c r="C21" s="564" t="s">
        <v>53</v>
      </c>
      <c r="D21" s="476"/>
      <c r="E21" s="44" t="s">
        <v>54</v>
      </c>
      <c r="F21" s="551" t="s">
        <v>55</v>
      </c>
      <c r="G21" s="476"/>
    </row>
    <row r="22" spans="1:10" ht="18.75" customHeight="1" x14ac:dyDescent="0.3">
      <c r="A22" s="39"/>
      <c r="B22" s="39"/>
      <c r="C22" s="40"/>
      <c r="D22" s="36"/>
      <c r="E22" s="39"/>
      <c r="F22" s="40"/>
      <c r="G22" s="40"/>
    </row>
    <row r="23" spans="1:10" ht="18.75" customHeight="1" x14ac:dyDescent="0.3">
      <c r="A23" s="39"/>
      <c r="B23" s="39"/>
      <c r="C23" s="40"/>
      <c r="D23" s="41"/>
      <c r="E23" s="39"/>
      <c r="F23" s="40"/>
      <c r="G23" s="40"/>
    </row>
    <row r="24" spans="1:10" ht="18.75" customHeight="1" x14ac:dyDescent="0.3">
      <c r="A24" s="39"/>
      <c r="B24" s="39"/>
      <c r="C24" s="40"/>
      <c r="D24" s="41"/>
      <c r="E24" s="39"/>
      <c r="F24" s="40"/>
      <c r="G24" s="40"/>
    </row>
    <row r="25" spans="1:10" ht="18.75" customHeight="1" x14ac:dyDescent="0.3">
      <c r="A25" s="39"/>
      <c r="B25" s="39"/>
      <c r="C25" s="40"/>
      <c r="D25" s="41"/>
      <c r="E25" s="39"/>
      <c r="F25" s="40"/>
      <c r="G25" s="40"/>
    </row>
    <row r="26" spans="1:10" ht="18.75" customHeight="1" x14ac:dyDescent="0.3">
      <c r="A26" s="46"/>
      <c r="B26" s="46"/>
      <c r="C26" s="47"/>
      <c r="D26" s="48"/>
      <c r="E26" s="46"/>
      <c r="F26" s="47"/>
      <c r="G26" s="47"/>
    </row>
    <row r="27" spans="1:10" ht="18.75" customHeight="1" x14ac:dyDescent="0.25">
      <c r="A27" s="551"/>
      <c r="B27" s="476"/>
      <c r="C27" s="551"/>
      <c r="D27" s="476"/>
      <c r="E27" s="49"/>
      <c r="F27" s="551"/>
      <c r="G27" s="476"/>
    </row>
    <row r="28" spans="1:10" ht="15.75" customHeight="1" x14ac:dyDescent="0.25">
      <c r="A28" s="50"/>
      <c r="B28" s="50"/>
      <c r="C28" s="51"/>
      <c r="D28" s="52"/>
      <c r="E28" s="50"/>
      <c r="F28" s="51"/>
      <c r="G28" s="51"/>
    </row>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11">
    <mergeCell ref="A21:B21"/>
    <mergeCell ref="A27:B27"/>
    <mergeCell ref="C27:D27"/>
    <mergeCell ref="F27:G27"/>
    <mergeCell ref="A1:B2"/>
    <mergeCell ref="C1:G1"/>
    <mergeCell ref="C2:G2"/>
    <mergeCell ref="A16:F16"/>
    <mergeCell ref="E19:G19"/>
    <mergeCell ref="C21:D21"/>
    <mergeCell ref="F21:G21"/>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2"/>
  <sheetViews>
    <sheetView showGridLines="0" tabSelected="1" topLeftCell="A8" zoomScale="70" zoomScaleNormal="70" workbookViewId="0">
      <selection activeCell="R8" sqref="R8"/>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475"/>
      <c r="B1" s="476"/>
      <c r="C1" s="477" t="s">
        <v>328</v>
      </c>
      <c r="D1" s="478"/>
      <c r="E1" s="478"/>
      <c r="F1" s="478"/>
      <c r="G1" s="479"/>
      <c r="H1" s="480"/>
      <c r="I1" s="476"/>
      <c r="J1" s="476"/>
      <c r="K1" s="476"/>
      <c r="L1" s="476"/>
      <c r="M1" s="476"/>
      <c r="N1" s="476"/>
      <c r="O1" s="476"/>
      <c r="P1" s="476"/>
      <c r="Q1" s="476"/>
      <c r="R1" s="476"/>
      <c r="S1" s="476"/>
      <c r="T1" s="476"/>
      <c r="U1" s="476"/>
      <c r="V1" s="476"/>
      <c r="W1" s="476"/>
      <c r="X1" s="476"/>
      <c r="Y1" s="476"/>
      <c r="Z1" s="476"/>
      <c r="AA1" s="476"/>
      <c r="AB1" s="476"/>
      <c r="AC1" s="476"/>
      <c r="AH1" s="481"/>
      <c r="AI1" s="479"/>
      <c r="AJ1" s="54"/>
      <c r="AK1" s="54"/>
      <c r="AL1" s="54"/>
      <c r="AM1" s="55"/>
      <c r="AS1" s="56"/>
      <c r="AU1" s="57"/>
      <c r="AV1" s="58"/>
    </row>
    <row r="2" spans="1:48" ht="22.5" customHeight="1" thickBot="1" x14ac:dyDescent="0.3">
      <c r="A2" s="59"/>
      <c r="B2" s="60"/>
      <c r="C2" s="59"/>
      <c r="D2" s="59"/>
      <c r="E2" s="59"/>
      <c r="F2" s="59"/>
      <c r="G2" s="59"/>
      <c r="I2" s="482" t="s">
        <v>56</v>
      </c>
      <c r="J2" s="483"/>
      <c r="K2" s="485">
        <v>3</v>
      </c>
      <c r="L2" s="467"/>
      <c r="M2" s="486" t="s">
        <v>57</v>
      </c>
      <c r="N2" s="478"/>
      <c r="O2" s="478"/>
      <c r="P2" s="478"/>
      <c r="Q2" s="478"/>
      <c r="R2" s="478"/>
      <c r="S2" s="478"/>
      <c r="T2" s="478"/>
      <c r="U2" s="478"/>
      <c r="V2" s="478"/>
      <c r="W2" s="478"/>
      <c r="X2" s="478"/>
      <c r="Y2" s="478"/>
      <c r="Z2" s="478"/>
      <c r="AA2" s="478"/>
      <c r="AB2" s="478"/>
      <c r="AC2" s="479"/>
      <c r="AH2" s="61"/>
      <c r="AI2" s="61"/>
      <c r="AJ2" s="61"/>
      <c r="AK2" s="61"/>
      <c r="AL2" s="61"/>
      <c r="AS2" s="56"/>
      <c r="AU2" s="57"/>
      <c r="AV2" s="62"/>
    </row>
    <row r="3" spans="1:48" ht="18" customHeight="1" thickBot="1" x14ac:dyDescent="0.3">
      <c r="A3" s="59"/>
      <c r="B3" s="60"/>
      <c r="C3" s="59"/>
      <c r="D3" s="59"/>
      <c r="E3" s="59"/>
      <c r="F3" s="59"/>
      <c r="G3" s="59"/>
      <c r="I3" s="484"/>
      <c r="J3" s="476"/>
      <c r="K3" s="468"/>
      <c r="L3" s="469"/>
      <c r="M3" s="490" t="s">
        <v>58</v>
      </c>
      <c r="N3" s="467"/>
      <c r="O3" s="491" t="s">
        <v>59</v>
      </c>
      <c r="P3" s="492" t="s">
        <v>60</v>
      </c>
      <c r="Q3" s="493" t="s">
        <v>61</v>
      </c>
      <c r="R3" s="494" t="s">
        <v>62</v>
      </c>
      <c r="S3" s="495" t="s">
        <v>63</v>
      </c>
      <c r="T3" s="470" t="s">
        <v>64</v>
      </c>
      <c r="U3" s="472" t="s">
        <v>65</v>
      </c>
      <c r="V3" s="473" t="s">
        <v>66</v>
      </c>
      <c r="W3" s="467"/>
      <c r="X3" s="474" t="s">
        <v>67</v>
      </c>
      <c r="Y3" s="474" t="s">
        <v>68</v>
      </c>
      <c r="Z3" s="466" t="s">
        <v>69</v>
      </c>
      <c r="AA3" s="467"/>
      <c r="AB3" s="487" t="s">
        <v>70</v>
      </c>
      <c r="AC3" s="467"/>
      <c r="AH3" s="488"/>
      <c r="AI3" s="488"/>
      <c r="AJ3" s="61"/>
      <c r="AK3" s="61"/>
      <c r="AL3" s="61"/>
      <c r="AS3" s="56"/>
      <c r="AU3" s="57"/>
      <c r="AV3" s="62"/>
    </row>
    <row r="4" spans="1:48" ht="27.75" customHeight="1" thickBot="1" x14ac:dyDescent="0.3">
      <c r="A4" s="59"/>
      <c r="B4" s="60"/>
      <c r="C4" s="59"/>
      <c r="D4" s="59"/>
      <c r="E4" s="59"/>
      <c r="F4" s="59"/>
      <c r="G4" s="59"/>
      <c r="I4" s="482" t="s">
        <v>71</v>
      </c>
      <c r="J4" s="467"/>
      <c r="K4" s="485">
        <v>2026</v>
      </c>
      <c r="L4" s="467"/>
      <c r="M4" s="468"/>
      <c r="N4" s="469"/>
      <c r="O4" s="471"/>
      <c r="P4" s="471"/>
      <c r="Q4" s="471"/>
      <c r="R4" s="471"/>
      <c r="S4" s="471"/>
      <c r="T4" s="471"/>
      <c r="U4" s="471"/>
      <c r="V4" s="468"/>
      <c r="W4" s="469"/>
      <c r="X4" s="471"/>
      <c r="Y4" s="471"/>
      <c r="Z4" s="468"/>
      <c r="AA4" s="469"/>
      <c r="AB4" s="468"/>
      <c r="AC4" s="469"/>
      <c r="AH4" s="489"/>
      <c r="AI4" s="489"/>
      <c r="AJ4" s="61"/>
      <c r="AK4" s="61"/>
      <c r="AL4" s="61"/>
      <c r="AS4" s="56"/>
      <c r="AU4" s="57"/>
      <c r="AV4" s="62"/>
    </row>
    <row r="5" spans="1:48" ht="24" customHeight="1" thickBot="1" x14ac:dyDescent="0.3">
      <c r="A5" s="59"/>
      <c r="B5" s="60"/>
      <c r="C5" s="59"/>
      <c r="D5" s="59"/>
      <c r="E5" s="59"/>
      <c r="F5" s="59"/>
      <c r="G5" s="59"/>
      <c r="I5" s="468"/>
      <c r="J5" s="469"/>
      <c r="K5" s="468"/>
      <c r="L5" s="469"/>
      <c r="M5" s="490" t="s">
        <v>72</v>
      </c>
      <c r="N5" s="467"/>
      <c r="O5" s="500" t="s">
        <v>73</v>
      </c>
      <c r="P5" s="501" t="s">
        <v>74</v>
      </c>
      <c r="Q5" s="502" t="s">
        <v>75</v>
      </c>
      <c r="R5" s="502" t="s">
        <v>76</v>
      </c>
      <c r="S5" s="496" t="s">
        <v>77</v>
      </c>
      <c r="T5" s="496" t="s">
        <v>78</v>
      </c>
      <c r="U5" s="497" t="s">
        <v>79</v>
      </c>
      <c r="V5" s="498" t="s">
        <v>80</v>
      </c>
      <c r="W5" s="467"/>
      <c r="X5" s="499" t="s">
        <v>81</v>
      </c>
      <c r="Y5" s="499" t="s">
        <v>82</v>
      </c>
      <c r="Z5" s="515" t="s">
        <v>83</v>
      </c>
      <c r="AA5" s="467"/>
      <c r="AB5" s="512" t="s">
        <v>84</v>
      </c>
      <c r="AC5" s="467"/>
      <c r="AH5" s="488"/>
      <c r="AI5" s="488"/>
      <c r="AJ5" s="61"/>
      <c r="AK5" s="61"/>
      <c r="AL5" s="61"/>
      <c r="AS5" s="56"/>
      <c r="AU5" s="57"/>
      <c r="AV5" s="62"/>
    </row>
    <row r="6" spans="1:48" ht="14.25" customHeight="1" thickBot="1" x14ac:dyDescent="0.3">
      <c r="A6" s="503" t="s">
        <v>378</v>
      </c>
      <c r="B6" s="504"/>
      <c r="C6" s="504"/>
      <c r="D6" s="504"/>
      <c r="E6" s="504"/>
      <c r="F6" s="504"/>
      <c r="G6" s="505"/>
      <c r="I6" s="53"/>
      <c r="J6" s="53"/>
      <c r="K6" s="63"/>
      <c r="L6" s="64"/>
      <c r="M6" s="468"/>
      <c r="N6" s="469"/>
      <c r="O6" s="471"/>
      <c r="P6" s="471"/>
      <c r="Q6" s="471"/>
      <c r="R6" s="471"/>
      <c r="S6" s="471"/>
      <c r="T6" s="471"/>
      <c r="U6" s="471"/>
      <c r="V6" s="468"/>
      <c r="W6" s="469"/>
      <c r="X6" s="471"/>
      <c r="Y6" s="471"/>
      <c r="Z6" s="468"/>
      <c r="AA6" s="469"/>
      <c r="AB6" s="468"/>
      <c r="AC6" s="469"/>
      <c r="AH6" s="489"/>
      <c r="AI6" s="489"/>
      <c r="AJ6" s="61"/>
      <c r="AK6" s="61"/>
      <c r="AL6" s="61"/>
      <c r="AS6" s="56"/>
      <c r="AU6" s="57"/>
      <c r="AV6" s="62"/>
    </row>
    <row r="7" spans="1:48" ht="25.5" customHeight="1" thickBot="1" x14ac:dyDescent="0.3">
      <c r="A7" s="506"/>
      <c r="B7" s="476"/>
      <c r="C7" s="476"/>
      <c r="D7" s="476"/>
      <c r="E7" s="476"/>
      <c r="F7" s="476"/>
      <c r="G7" s="507"/>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06"/>
      <c r="B8" s="476"/>
      <c r="C8" s="476"/>
      <c r="D8" s="476"/>
      <c r="E8" s="476"/>
      <c r="F8" s="476"/>
      <c r="G8" s="507"/>
      <c r="H8" s="66">
        <f>DATE(K4,K2,1)</f>
        <v>46082</v>
      </c>
      <c r="I8" s="67">
        <f t="shared" ref="I8:AL8" si="2">H8+1</f>
        <v>46083</v>
      </c>
      <c r="J8" s="67">
        <f t="shared" si="2"/>
        <v>46084</v>
      </c>
      <c r="K8" s="67">
        <f t="shared" si="2"/>
        <v>46085</v>
      </c>
      <c r="L8" s="67">
        <f t="shared" si="2"/>
        <v>46086</v>
      </c>
      <c r="M8" s="67">
        <f t="shared" si="2"/>
        <v>46087</v>
      </c>
      <c r="N8" s="67">
        <f t="shared" si="2"/>
        <v>46088</v>
      </c>
      <c r="O8" s="67">
        <f t="shared" si="2"/>
        <v>46089</v>
      </c>
      <c r="P8" s="67">
        <f t="shared" si="2"/>
        <v>46090</v>
      </c>
      <c r="Q8" s="67">
        <f t="shared" si="2"/>
        <v>46091</v>
      </c>
      <c r="R8" s="67">
        <f t="shared" si="2"/>
        <v>46092</v>
      </c>
      <c r="S8" s="67">
        <f t="shared" si="2"/>
        <v>46093</v>
      </c>
      <c r="T8" s="67">
        <f t="shared" si="2"/>
        <v>46094</v>
      </c>
      <c r="U8" s="67">
        <f t="shared" si="2"/>
        <v>46095</v>
      </c>
      <c r="V8" s="67">
        <f t="shared" si="2"/>
        <v>46096</v>
      </c>
      <c r="W8" s="67">
        <f t="shared" si="2"/>
        <v>46097</v>
      </c>
      <c r="X8" s="67">
        <f t="shared" si="2"/>
        <v>46098</v>
      </c>
      <c r="Y8" s="67">
        <f t="shared" si="2"/>
        <v>46099</v>
      </c>
      <c r="Z8" s="67">
        <f t="shared" si="2"/>
        <v>46100</v>
      </c>
      <c r="AA8" s="67">
        <f t="shared" si="2"/>
        <v>46101</v>
      </c>
      <c r="AB8" s="67">
        <f t="shared" si="2"/>
        <v>46102</v>
      </c>
      <c r="AC8" s="67">
        <f t="shared" si="2"/>
        <v>46103</v>
      </c>
      <c r="AD8" s="67">
        <f t="shared" si="2"/>
        <v>46104</v>
      </c>
      <c r="AE8" s="67">
        <f t="shared" si="2"/>
        <v>46105</v>
      </c>
      <c r="AF8" s="67">
        <f t="shared" si="2"/>
        <v>46106</v>
      </c>
      <c r="AG8" s="68">
        <f t="shared" si="2"/>
        <v>46107</v>
      </c>
      <c r="AH8" s="69">
        <f t="shared" si="2"/>
        <v>46108</v>
      </c>
      <c r="AI8" s="70">
        <f t="shared" si="2"/>
        <v>46109</v>
      </c>
      <c r="AJ8" s="71">
        <f t="shared" si="2"/>
        <v>46110</v>
      </c>
      <c r="AK8" s="70">
        <f t="shared" si="2"/>
        <v>46111</v>
      </c>
      <c r="AL8" s="70">
        <f t="shared" si="2"/>
        <v>46112</v>
      </c>
      <c r="AM8" s="72" t="s">
        <v>73</v>
      </c>
      <c r="AN8" s="73" t="s">
        <v>74</v>
      </c>
      <c r="AO8" s="74" t="s">
        <v>85</v>
      </c>
      <c r="AP8" s="75" t="s">
        <v>79</v>
      </c>
      <c r="AQ8" s="76" t="s">
        <v>86</v>
      </c>
      <c r="AR8" s="513" t="s">
        <v>87</v>
      </c>
      <c r="AS8" s="77" t="s">
        <v>81</v>
      </c>
      <c r="AT8" s="78" t="s">
        <v>83</v>
      </c>
      <c r="AU8" s="516" t="s">
        <v>88</v>
      </c>
      <c r="AV8" s="518" t="str">
        <f>"Phép Tồn năm 2023 tính đến T."&amp;K2</f>
        <v>Phép Tồn năm 2023 tính đến T.3</v>
      </c>
    </row>
    <row r="9" spans="1:48" ht="45.75" customHeight="1" thickBot="1" x14ac:dyDescent="0.3">
      <c r="A9" s="508"/>
      <c r="B9" s="509"/>
      <c r="C9" s="509"/>
      <c r="D9" s="509"/>
      <c r="E9" s="509"/>
      <c r="F9" s="509"/>
      <c r="G9" s="510"/>
      <c r="H9" s="79" t="str">
        <f t="shared" ref="H9:AL9" si="3">CHOOSE(WEEKDAY(H8),"Chủ Nhật","Thứ Hai","Thứ Ba","Thứ Tư","Thứ Năm","Thứ Sáu","Thứ Bảy")</f>
        <v>Chủ Nhật</v>
      </c>
      <c r="I9" s="80" t="str">
        <f t="shared" si="3"/>
        <v>Thứ Hai</v>
      </c>
      <c r="J9" s="80" t="str">
        <f t="shared" si="3"/>
        <v>Thứ Ba</v>
      </c>
      <c r="K9" s="80" t="str">
        <f t="shared" si="3"/>
        <v>Thứ Tư</v>
      </c>
      <c r="L9" s="80" t="str">
        <f t="shared" si="3"/>
        <v>Thứ Năm</v>
      </c>
      <c r="M9" s="80" t="str">
        <f t="shared" si="3"/>
        <v>Thứ Sáu</v>
      </c>
      <c r="N9" s="80" t="str">
        <f t="shared" si="3"/>
        <v>Thứ Bảy</v>
      </c>
      <c r="O9" s="80" t="str">
        <f t="shared" si="3"/>
        <v>Chủ Nhật</v>
      </c>
      <c r="P9" s="80" t="str">
        <f t="shared" si="3"/>
        <v>Thứ Hai</v>
      </c>
      <c r="Q9" s="80" t="str">
        <f t="shared" si="3"/>
        <v>Thứ Ba</v>
      </c>
      <c r="R9" s="80" t="str">
        <f t="shared" si="3"/>
        <v>Thứ Tư</v>
      </c>
      <c r="S9" s="80" t="str">
        <f t="shared" si="3"/>
        <v>Thứ Năm</v>
      </c>
      <c r="T9" s="80" t="str">
        <f t="shared" si="3"/>
        <v>Thứ Sáu</v>
      </c>
      <c r="U9" s="80" t="str">
        <f t="shared" si="3"/>
        <v>Thứ Bảy</v>
      </c>
      <c r="V9" s="80" t="str">
        <f t="shared" si="3"/>
        <v>Chủ Nhật</v>
      </c>
      <c r="W9" s="80" t="str">
        <f t="shared" si="3"/>
        <v>Thứ Hai</v>
      </c>
      <c r="X9" s="80" t="str">
        <f t="shared" si="3"/>
        <v>Thứ Ba</v>
      </c>
      <c r="Y9" s="80" t="str">
        <f t="shared" si="3"/>
        <v>Thứ Tư</v>
      </c>
      <c r="Z9" s="80" t="str">
        <f t="shared" si="3"/>
        <v>Thứ Năm</v>
      </c>
      <c r="AA9" s="80" t="str">
        <f t="shared" si="3"/>
        <v>Thứ Sáu</v>
      </c>
      <c r="AB9" s="80" t="str">
        <f t="shared" si="3"/>
        <v>Thứ Bảy</v>
      </c>
      <c r="AC9" s="80" t="str">
        <f t="shared" si="3"/>
        <v>Chủ Nhật</v>
      </c>
      <c r="AD9" s="80" t="str">
        <f t="shared" si="3"/>
        <v>Thứ Hai</v>
      </c>
      <c r="AE9" s="80" t="str">
        <f t="shared" si="3"/>
        <v>Thứ Ba</v>
      </c>
      <c r="AF9" s="80" t="str">
        <f t="shared" si="3"/>
        <v>Thứ Tư</v>
      </c>
      <c r="AG9" s="80" t="str">
        <f t="shared" si="3"/>
        <v>Thứ Năm</v>
      </c>
      <c r="AH9" s="81" t="str">
        <f t="shared" si="3"/>
        <v>Thứ Sáu</v>
      </c>
      <c r="AI9" s="82" t="str">
        <f t="shared" si="3"/>
        <v>Thứ Bảy</v>
      </c>
      <c r="AJ9" s="82" t="str">
        <f t="shared" si="3"/>
        <v>Chủ Nhật</v>
      </c>
      <c r="AK9" s="82" t="str">
        <f t="shared" si="3"/>
        <v>Thứ Hai</v>
      </c>
      <c r="AL9" s="82" t="str">
        <f t="shared" si="3"/>
        <v>Thứ Ba</v>
      </c>
      <c r="AM9" s="83" t="s">
        <v>89</v>
      </c>
      <c r="AN9" s="84" t="s">
        <v>90</v>
      </c>
      <c r="AO9" s="85" t="s">
        <v>91</v>
      </c>
      <c r="AP9" s="86" t="s">
        <v>92</v>
      </c>
      <c r="AQ9" s="87" t="s">
        <v>63</v>
      </c>
      <c r="AR9" s="514"/>
      <c r="AS9" s="88" t="s">
        <v>93</v>
      </c>
      <c r="AT9" s="89" t="s">
        <v>69</v>
      </c>
      <c r="AU9" s="517"/>
      <c r="AV9" s="519"/>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SUM(AR12:AR28)</f>
        <v>438</v>
      </c>
      <c r="AS10" s="98"/>
      <c r="AT10" s="99">
        <f>SUM(AT12:AT28)</f>
        <v>156</v>
      </c>
      <c r="AU10" s="98"/>
      <c r="AV10" s="98"/>
    </row>
    <row r="11" spans="1:48" ht="39" customHeight="1" x14ac:dyDescent="0.25">
      <c r="A11" s="100">
        <f t="shared" ref="A11:A22" si="4">SUBTOTAL(3,$F$11:F11)</f>
        <v>1</v>
      </c>
      <c r="B11" s="101" t="s">
        <v>323</v>
      </c>
      <c r="C11" s="102" t="s">
        <v>319</v>
      </c>
      <c r="D11" s="103" t="s">
        <v>322</v>
      </c>
      <c r="E11" s="104"/>
      <c r="F11" s="35" t="s">
        <v>318</v>
      </c>
      <c r="G11" s="105" t="s">
        <v>100</v>
      </c>
      <c r="H11" s="106"/>
      <c r="I11" s="106" t="s">
        <v>73</v>
      </c>
      <c r="J11" s="106" t="s">
        <v>73</v>
      </c>
      <c r="K11" s="106" t="s">
        <v>73</v>
      </c>
      <c r="L11" s="106" t="s">
        <v>73</v>
      </c>
      <c r="M11" s="106" t="s">
        <v>73</v>
      </c>
      <c r="N11" s="106"/>
      <c r="O11" s="106"/>
      <c r="P11" s="106" t="s">
        <v>73</v>
      </c>
      <c r="Q11" s="106" t="s">
        <v>73</v>
      </c>
      <c r="R11" s="106" t="s">
        <v>73</v>
      </c>
      <c r="S11" s="106" t="s">
        <v>73</v>
      </c>
      <c r="T11" s="106" t="s">
        <v>73</v>
      </c>
      <c r="U11" s="106"/>
      <c r="V11" s="106"/>
      <c r="W11" s="106" t="s">
        <v>73</v>
      </c>
      <c r="X11" s="106" t="s">
        <v>73</v>
      </c>
      <c r="Y11" s="106" t="s">
        <v>73</v>
      </c>
      <c r="Z11" s="106" t="s">
        <v>73</v>
      </c>
      <c r="AA11" s="106" t="s">
        <v>73</v>
      </c>
      <c r="AB11" s="106"/>
      <c r="AC11" s="106"/>
      <c r="AD11" s="106" t="s">
        <v>77</v>
      </c>
      <c r="AE11" s="106" t="s">
        <v>73</v>
      </c>
      <c r="AF11" s="106" t="s">
        <v>73</v>
      </c>
      <c r="AG11" s="106" t="s">
        <v>73</v>
      </c>
      <c r="AH11" s="106" t="s">
        <v>73</v>
      </c>
      <c r="AI11" s="106"/>
      <c r="AJ11" s="106"/>
      <c r="AK11" s="106" t="s">
        <v>73</v>
      </c>
      <c r="AL11" s="106" t="s">
        <v>73</v>
      </c>
      <c r="AM11" s="107">
        <f t="shared" ref="AM11:AM17" si="5">IF(F11="","",COUNTIF($H11:$AL11,AM$8))</f>
        <v>21</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352,2)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1</v>
      </c>
      <c r="AR11" s="112">
        <f t="shared" ref="AR11:AR13" si="9">IF(G11="","",AM11+AN11+AP11+AQ11)</f>
        <v>22</v>
      </c>
      <c r="AS11" s="113">
        <f t="shared" ref="AS11:AS12" si="10">IF(F11="","",COUNTIF($H11:$AL11,AS$8))++IF(F11="","",COUNTIF($H11:$AL11,"L1")/2)</f>
        <v>0</v>
      </c>
      <c r="AT11" s="114">
        <f t="shared" ref="AT11" si="11">AU11-AR11-AS11</f>
        <v>0</v>
      </c>
      <c r="AU11" s="115">
        <v>22</v>
      </c>
      <c r="AV11" s="116"/>
    </row>
    <row r="12" spans="1:48" ht="39" customHeight="1" x14ac:dyDescent="0.25">
      <c r="A12" s="100">
        <f t="shared" si="4"/>
        <v>2</v>
      </c>
      <c r="B12" s="101" t="s">
        <v>324</v>
      </c>
      <c r="C12" s="102" t="s">
        <v>321</v>
      </c>
      <c r="D12" s="103" t="s">
        <v>325</v>
      </c>
      <c r="E12" s="104"/>
      <c r="F12" s="35" t="s">
        <v>326</v>
      </c>
      <c r="G12" s="105" t="s">
        <v>100</v>
      </c>
      <c r="H12" s="106"/>
      <c r="I12" s="106" t="s">
        <v>73</v>
      </c>
      <c r="J12" s="106" t="s">
        <v>73</v>
      </c>
      <c r="K12" s="106" t="s">
        <v>73</v>
      </c>
      <c r="L12" s="106" t="s">
        <v>73</v>
      </c>
      <c r="M12" s="106" t="s">
        <v>73</v>
      </c>
      <c r="N12" s="106"/>
      <c r="O12" s="106"/>
      <c r="P12" s="106" t="s">
        <v>73</v>
      </c>
      <c r="Q12" s="106" t="s">
        <v>73</v>
      </c>
      <c r="R12" s="106" t="s">
        <v>73</v>
      </c>
      <c r="S12" s="106" t="s">
        <v>73</v>
      </c>
      <c r="T12" s="106" t="s">
        <v>73</v>
      </c>
      <c r="U12" s="106"/>
      <c r="V12" s="106"/>
      <c r="W12" s="106" t="s">
        <v>73</v>
      </c>
      <c r="X12" s="106" t="s">
        <v>73</v>
      </c>
      <c r="Y12" s="106" t="s">
        <v>73</v>
      </c>
      <c r="Z12" s="106" t="s">
        <v>73</v>
      </c>
      <c r="AA12" s="106" t="s">
        <v>73</v>
      </c>
      <c r="AB12" s="106"/>
      <c r="AC12" s="106"/>
      <c r="AD12" s="106" t="s">
        <v>73</v>
      </c>
      <c r="AE12" s="106" t="s">
        <v>73</v>
      </c>
      <c r="AF12" s="106" t="s">
        <v>73</v>
      </c>
      <c r="AG12" s="106" t="s">
        <v>73</v>
      </c>
      <c r="AH12" s="106" t="s">
        <v>73</v>
      </c>
      <c r="AI12" s="106"/>
      <c r="AJ12" s="106"/>
      <c r="AK12" s="106" t="s">
        <v>73</v>
      </c>
      <c r="AL12" s="106" t="s">
        <v>73</v>
      </c>
      <c r="AM12" s="107">
        <f t="shared" si="5"/>
        <v>22</v>
      </c>
      <c r="AN12" s="108">
        <f t="shared" si="6"/>
        <v>0</v>
      </c>
      <c r="AO12" s="109">
        <f t="shared" si="7"/>
        <v>0</v>
      </c>
      <c r="AP12" s="110">
        <f t="shared" si="8"/>
        <v>0</v>
      </c>
      <c r="AQ12" s="111">
        <v>0</v>
      </c>
      <c r="AR12" s="112">
        <f t="shared" si="9"/>
        <v>22</v>
      </c>
      <c r="AS12" s="113">
        <f t="shared" si="10"/>
        <v>0</v>
      </c>
      <c r="AT12" s="114">
        <f>AU12-AR12-AS12</f>
        <v>0</v>
      </c>
      <c r="AU12" s="115">
        <v>22</v>
      </c>
      <c r="AV12" s="116" t="e">
        <f>VLOOKUP(B12,'4. Bảng phép năm 2026'!B7:T7,24,0)</f>
        <v>#REF!</v>
      </c>
    </row>
    <row r="13" spans="1:48" ht="39" customHeight="1" x14ac:dyDescent="0.25">
      <c r="A13" s="100">
        <f t="shared" si="4"/>
        <v>3</v>
      </c>
      <c r="B13" s="101" t="s">
        <v>351</v>
      </c>
      <c r="C13" s="384" t="s">
        <v>339</v>
      </c>
      <c r="D13" s="103" t="s">
        <v>352</v>
      </c>
      <c r="E13" s="104"/>
      <c r="F13" s="35" t="s">
        <v>350</v>
      </c>
      <c r="G13" s="105" t="s">
        <v>100</v>
      </c>
      <c r="H13" s="106"/>
      <c r="I13" s="106" t="s">
        <v>73</v>
      </c>
      <c r="J13" s="106" t="s">
        <v>73</v>
      </c>
      <c r="K13" s="106" t="s">
        <v>73</v>
      </c>
      <c r="L13" s="106" t="s">
        <v>73</v>
      </c>
      <c r="M13" s="106" t="s">
        <v>73</v>
      </c>
      <c r="N13" s="106"/>
      <c r="O13" s="106"/>
      <c r="P13" s="106" t="s">
        <v>73</v>
      </c>
      <c r="Q13" s="106" t="s">
        <v>73</v>
      </c>
      <c r="R13" s="106" t="s">
        <v>73</v>
      </c>
      <c r="S13" s="106" t="s">
        <v>73</v>
      </c>
      <c r="T13" s="106" t="s">
        <v>73</v>
      </c>
      <c r="U13" s="106"/>
      <c r="V13" s="106"/>
      <c r="W13" s="106" t="s">
        <v>73</v>
      </c>
      <c r="X13" s="106" t="s">
        <v>73</v>
      </c>
      <c r="Y13" s="106" t="s">
        <v>73</v>
      </c>
      <c r="Z13" s="106" t="s">
        <v>73</v>
      </c>
      <c r="AA13" s="106" t="s">
        <v>73</v>
      </c>
      <c r="AB13" s="106"/>
      <c r="AC13" s="106"/>
      <c r="AD13" s="106" t="s">
        <v>73</v>
      </c>
      <c r="AE13" s="106" t="s">
        <v>73</v>
      </c>
      <c r="AF13" s="106" t="s">
        <v>73</v>
      </c>
      <c r="AG13" s="106" t="s">
        <v>73</v>
      </c>
      <c r="AH13" s="106" t="s">
        <v>73</v>
      </c>
      <c r="AI13" s="106"/>
      <c r="AJ13" s="106"/>
      <c r="AK13" s="106" t="s">
        <v>73</v>
      </c>
      <c r="AL13" s="106" t="s">
        <v>73</v>
      </c>
      <c r="AM13" s="107">
        <f t="shared" si="5"/>
        <v>22</v>
      </c>
      <c r="AN13" s="108">
        <f t="shared" ref="AN13" si="12">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3">COUNTIF(H13:AL13,"ON")+COUNTIF(H13:AL13,"ON/2")/2</f>
        <v>0</v>
      </c>
      <c r="AP13" s="110">
        <f t="shared" ref="AP13" si="14">IF(F13="","",COUNTIF($H13:$AL13,AP$8))+IF(F13="","",COUNTIF($H13:$AL13,$V$5)/2)</f>
        <v>0</v>
      </c>
      <c r="AQ13" s="111">
        <v>0</v>
      </c>
      <c r="AR13" s="112">
        <f t="shared" si="9"/>
        <v>22</v>
      </c>
      <c r="AS13" s="113">
        <f t="shared" ref="AS13" si="15">IF(F13="","",COUNTIF($H13:$AL13,AS$8))++IF(F13="","",COUNTIF($H13:$AL13,"L1")/2)</f>
        <v>0</v>
      </c>
      <c r="AT13" s="114">
        <f t="shared" ref="AT13" si="16">AU13-AR13-AS13</f>
        <v>0</v>
      </c>
      <c r="AU13" s="115">
        <v>22</v>
      </c>
      <c r="AV13" s="116"/>
    </row>
    <row r="14" spans="1:48" ht="39" customHeight="1" x14ac:dyDescent="0.25">
      <c r="A14" s="100">
        <f t="shared" si="4"/>
        <v>4</v>
      </c>
      <c r="B14" s="101" t="s">
        <v>336</v>
      </c>
      <c r="C14" s="384" t="s">
        <v>339</v>
      </c>
      <c r="D14" s="103" t="s">
        <v>337</v>
      </c>
      <c r="E14" s="104"/>
      <c r="F14" s="35" t="s">
        <v>338</v>
      </c>
      <c r="G14" s="105" t="s">
        <v>100</v>
      </c>
      <c r="H14" s="106"/>
      <c r="I14" s="106" t="s">
        <v>78</v>
      </c>
      <c r="J14" s="106" t="s">
        <v>78</v>
      </c>
      <c r="K14" s="106" t="s">
        <v>74</v>
      </c>
      <c r="L14" s="106" t="s">
        <v>74</v>
      </c>
      <c r="M14" s="106" t="s">
        <v>74</v>
      </c>
      <c r="N14" s="385"/>
      <c r="O14" s="106"/>
      <c r="P14" s="106" t="s">
        <v>74</v>
      </c>
      <c r="Q14" s="106" t="s">
        <v>74</v>
      </c>
      <c r="R14" s="106" t="s">
        <v>74</v>
      </c>
      <c r="S14" s="106" t="s">
        <v>83</v>
      </c>
      <c r="T14" s="106" t="s">
        <v>83</v>
      </c>
      <c r="U14" s="106"/>
      <c r="V14" s="106"/>
      <c r="W14" s="106" t="s">
        <v>74</v>
      </c>
      <c r="X14" s="106" t="s">
        <v>74</v>
      </c>
      <c r="Y14" s="106" t="s">
        <v>74</v>
      </c>
      <c r="Z14" s="106" t="s">
        <v>74</v>
      </c>
      <c r="AA14" s="106" t="s">
        <v>74</v>
      </c>
      <c r="AB14" s="106"/>
      <c r="AC14" s="106"/>
      <c r="AD14" s="106" t="s">
        <v>74</v>
      </c>
      <c r="AE14" s="106" t="s">
        <v>74</v>
      </c>
      <c r="AF14" s="106" t="s">
        <v>74</v>
      </c>
      <c r="AG14" s="106" t="s">
        <v>74</v>
      </c>
      <c r="AH14" s="106" t="s">
        <v>83</v>
      </c>
      <c r="AI14" s="106"/>
      <c r="AJ14" s="106"/>
      <c r="AK14" s="106" t="s">
        <v>74</v>
      </c>
      <c r="AL14" s="106" t="s">
        <v>74</v>
      </c>
      <c r="AM14" s="107">
        <f t="shared" ref="AM14" si="17">IF(F14="","",COUNTIF($H14:$AL14,AM$8))</f>
        <v>0</v>
      </c>
      <c r="AN14" s="108">
        <f t="shared" ref="AN14" si="18">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8.5</v>
      </c>
      <c r="AO14" s="109">
        <f t="shared" ref="AO14" si="19">COUNTIF(H14:AL14,"ON")+COUNTIF(H14:AL14,"ON/2")/2</f>
        <v>0</v>
      </c>
      <c r="AP14" s="110">
        <f t="shared" ref="AP14" si="20">IF(F14="","",COUNTIF($H14:$AL14,AP$8))+IF(F14="","",COUNTIF($H14:$AL14,$V$5)/2)</f>
        <v>0</v>
      </c>
      <c r="AQ14" s="111">
        <v>0</v>
      </c>
      <c r="AR14" s="112">
        <f t="shared" ref="AR14" si="21">IF(G14="","",AM14+AN14+AP14+AQ14)</f>
        <v>8.5</v>
      </c>
      <c r="AS14" s="113">
        <f t="shared" ref="AS14" si="22">IF(F14="","",COUNTIF($H14:$AL14,AS$8))++IF(F14="","",COUNTIF($H14:$AL14,"L1")/2)</f>
        <v>0</v>
      </c>
      <c r="AT14" s="114">
        <f t="shared" ref="AT14" si="23">AU14-AR14-AS14</f>
        <v>13.5</v>
      </c>
      <c r="AU14" s="115">
        <v>22</v>
      </c>
      <c r="AV14" s="116"/>
    </row>
    <row r="15" spans="1:48" ht="39" customHeight="1" x14ac:dyDescent="0.25">
      <c r="A15" s="100">
        <f t="shared" si="4"/>
        <v>5</v>
      </c>
      <c r="B15" s="101" t="s">
        <v>353</v>
      </c>
      <c r="C15" s="384" t="s">
        <v>339</v>
      </c>
      <c r="D15" s="103" t="s">
        <v>352</v>
      </c>
      <c r="E15" s="104"/>
      <c r="F15" s="35" t="s">
        <v>364</v>
      </c>
      <c r="G15" s="105" t="s">
        <v>100</v>
      </c>
      <c r="H15" s="106"/>
      <c r="I15" s="106" t="s">
        <v>83</v>
      </c>
      <c r="J15" s="106" t="s">
        <v>83</v>
      </c>
      <c r="K15" s="106" t="s">
        <v>83</v>
      </c>
      <c r="L15" s="106" t="s">
        <v>83</v>
      </c>
      <c r="M15" s="106" t="s">
        <v>83</v>
      </c>
      <c r="N15" s="385"/>
      <c r="O15" s="106"/>
      <c r="P15" s="106" t="s">
        <v>73</v>
      </c>
      <c r="Q15" s="106" t="s">
        <v>73</v>
      </c>
      <c r="R15" s="106" t="s">
        <v>73</v>
      </c>
      <c r="S15" s="106" t="s">
        <v>73</v>
      </c>
      <c r="T15" s="106" t="s">
        <v>73</v>
      </c>
      <c r="U15" s="106"/>
      <c r="V15" s="106"/>
      <c r="W15" s="106" t="s">
        <v>73</v>
      </c>
      <c r="X15" s="106" t="s">
        <v>73</v>
      </c>
      <c r="Y15" s="106" t="s">
        <v>73</v>
      </c>
      <c r="Z15" s="106" t="s">
        <v>74</v>
      </c>
      <c r="AA15" s="106" t="s">
        <v>74</v>
      </c>
      <c r="AB15" s="106"/>
      <c r="AC15" s="106"/>
      <c r="AD15" s="106" t="s">
        <v>83</v>
      </c>
      <c r="AE15" s="106" t="s">
        <v>83</v>
      </c>
      <c r="AF15" s="106" t="s">
        <v>83</v>
      </c>
      <c r="AG15" s="106" t="s">
        <v>83</v>
      </c>
      <c r="AH15" s="106" t="s">
        <v>83</v>
      </c>
      <c r="AI15" s="385"/>
      <c r="AJ15" s="106"/>
      <c r="AK15" s="106" t="s">
        <v>83</v>
      </c>
      <c r="AL15" s="106" t="s">
        <v>83</v>
      </c>
      <c r="AM15" s="107">
        <f t="shared" ref="AM15" si="24">IF(F15="","",COUNTIF($H15:$AL15,AM$8))</f>
        <v>8</v>
      </c>
      <c r="AN15" s="108">
        <f t="shared" ref="AN15" si="25">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1</v>
      </c>
      <c r="AO15" s="109">
        <f t="shared" ref="AO15" si="26">COUNTIF(H15:AL15,"ON")+COUNTIF(H15:AL15,"ON/2")/2</f>
        <v>0</v>
      </c>
      <c r="AP15" s="110">
        <f t="shared" ref="AP15" si="27">IF(F15="","",COUNTIF($H15:$AL15,AP$8))+IF(F15="","",COUNTIF($H15:$AL15,$V$5)/2)</f>
        <v>0</v>
      </c>
      <c r="AQ15" s="111">
        <v>0</v>
      </c>
      <c r="AR15" s="112">
        <f t="shared" ref="AR15" si="28">IF(G15="","",AM15+AN15+AP15+AQ15)</f>
        <v>9</v>
      </c>
      <c r="AS15" s="113">
        <f t="shared" ref="AS15" si="29">IF(F15="","",COUNTIF($H15:$AL15,AS$8))++IF(F15="","",COUNTIF($H15:$AL15,"L1")/2)</f>
        <v>0</v>
      </c>
      <c r="AT15" s="114">
        <f t="shared" ref="AT15" si="30">AU15-AR15-AS15</f>
        <v>13</v>
      </c>
      <c r="AU15" s="115">
        <v>22</v>
      </c>
      <c r="AV15" s="116"/>
    </row>
    <row r="16" spans="1:48" ht="39" customHeight="1" x14ac:dyDescent="0.25">
      <c r="A16" s="100">
        <f t="shared" si="4"/>
        <v>6</v>
      </c>
      <c r="B16" s="101" t="s">
        <v>356</v>
      </c>
      <c r="C16" s="384" t="s">
        <v>321</v>
      </c>
      <c r="D16" s="103" t="s">
        <v>355</v>
      </c>
      <c r="E16" s="104"/>
      <c r="F16" s="35" t="s">
        <v>357</v>
      </c>
      <c r="G16" s="105" t="s">
        <v>100</v>
      </c>
      <c r="H16" s="106"/>
      <c r="I16" s="106" t="s">
        <v>73</v>
      </c>
      <c r="J16" s="106" t="s">
        <v>73</v>
      </c>
      <c r="K16" s="106" t="s">
        <v>73</v>
      </c>
      <c r="L16" s="106" t="s">
        <v>73</v>
      </c>
      <c r="M16" s="106" t="s">
        <v>73</v>
      </c>
      <c r="N16" s="106"/>
      <c r="O16" s="106"/>
      <c r="P16" s="106" t="s">
        <v>73</v>
      </c>
      <c r="Q16" s="106" t="s">
        <v>73</v>
      </c>
      <c r="R16" s="106" t="s">
        <v>73</v>
      </c>
      <c r="S16" s="106" t="s">
        <v>73</v>
      </c>
      <c r="T16" s="106" t="s">
        <v>73</v>
      </c>
      <c r="U16" s="106"/>
      <c r="V16" s="106"/>
      <c r="W16" s="106" t="s">
        <v>73</v>
      </c>
      <c r="X16" s="106" t="s">
        <v>73</v>
      </c>
      <c r="Y16" s="106" t="s">
        <v>73</v>
      </c>
      <c r="Z16" s="106" t="s">
        <v>73</v>
      </c>
      <c r="AA16" s="106" t="s">
        <v>73</v>
      </c>
      <c r="AB16" s="106"/>
      <c r="AC16" s="106"/>
      <c r="AD16" s="106" t="s">
        <v>73</v>
      </c>
      <c r="AE16" s="106" t="s">
        <v>73</v>
      </c>
      <c r="AF16" s="106" t="s">
        <v>73</v>
      </c>
      <c r="AG16" s="106" t="s">
        <v>73</v>
      </c>
      <c r="AH16" s="106" t="s">
        <v>73</v>
      </c>
      <c r="AI16" s="106"/>
      <c r="AJ16" s="106"/>
      <c r="AK16" s="106" t="s">
        <v>73</v>
      </c>
      <c r="AL16" s="106" t="s">
        <v>73</v>
      </c>
      <c r="AM16" s="107">
        <f t="shared" ref="AM16" si="31">IF(F16="","",COUNTIF($H16:$AL16,AM$8))</f>
        <v>22</v>
      </c>
      <c r="AN16" s="108">
        <f t="shared" ref="AN16" si="32">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3">COUNTIF(H16:AL16,"ON")+COUNTIF(H16:AL16,"ON/2")/2</f>
        <v>0</v>
      </c>
      <c r="AP16" s="110">
        <f t="shared" ref="AP16" si="34">IF(F16="","",COUNTIF($H16:$AL16,AP$8))+IF(F16="","",COUNTIF($H16:$AL16,$V$5)/2)</f>
        <v>0</v>
      </c>
      <c r="AQ16" s="111">
        <v>0</v>
      </c>
      <c r="AR16" s="112">
        <f t="shared" ref="AR16" si="35">IF(G16="","",AM16+AN16+AP16+AQ16)</f>
        <v>22</v>
      </c>
      <c r="AS16" s="113">
        <f t="shared" ref="AS16" si="36">IF(F16="","",COUNTIF($H16:$AL16,AS$8))++IF(F16="","",COUNTIF($H16:$AL16,"L1")/2)</f>
        <v>0</v>
      </c>
      <c r="AT16" s="114">
        <f t="shared" ref="AT16" si="37">AU16-AR16-AS16</f>
        <v>0</v>
      </c>
      <c r="AU16" s="115">
        <v>22</v>
      </c>
      <c r="AV16" s="116"/>
    </row>
    <row r="17" spans="1:48" ht="39" customHeight="1" x14ac:dyDescent="0.25">
      <c r="A17" s="100">
        <f t="shared" si="4"/>
        <v>7</v>
      </c>
      <c r="B17" s="101" t="s">
        <v>340</v>
      </c>
      <c r="C17" s="384" t="s">
        <v>321</v>
      </c>
      <c r="D17" s="103" t="s">
        <v>344</v>
      </c>
      <c r="E17" s="104"/>
      <c r="F17" s="35" t="s">
        <v>341</v>
      </c>
      <c r="G17" s="105" t="s">
        <v>100</v>
      </c>
      <c r="H17" s="106"/>
      <c r="I17" s="106" t="s">
        <v>73</v>
      </c>
      <c r="J17" s="106" t="s">
        <v>73</v>
      </c>
      <c r="K17" s="106" t="s">
        <v>73</v>
      </c>
      <c r="L17" s="106" t="s">
        <v>73</v>
      </c>
      <c r="M17" s="106" t="s">
        <v>73</v>
      </c>
      <c r="N17" s="106"/>
      <c r="O17" s="106"/>
      <c r="P17" s="106" t="s">
        <v>73</v>
      </c>
      <c r="Q17" s="106" t="s">
        <v>73</v>
      </c>
      <c r="R17" s="106" t="s">
        <v>73</v>
      </c>
      <c r="S17" s="106" t="s">
        <v>73</v>
      </c>
      <c r="T17" s="106" t="s">
        <v>73</v>
      </c>
      <c r="U17" s="106"/>
      <c r="V17" s="106"/>
      <c r="W17" s="106" t="s">
        <v>73</v>
      </c>
      <c r="X17" s="106" t="s">
        <v>73</v>
      </c>
      <c r="Y17" s="106" t="s">
        <v>73</v>
      </c>
      <c r="Z17" s="106" t="s">
        <v>73</v>
      </c>
      <c r="AA17" s="106" t="s">
        <v>73</v>
      </c>
      <c r="AB17" s="106"/>
      <c r="AC17" s="106"/>
      <c r="AD17" s="106" t="s">
        <v>73</v>
      </c>
      <c r="AE17" s="106" t="s">
        <v>73</v>
      </c>
      <c r="AF17" s="106" t="s">
        <v>73</v>
      </c>
      <c r="AG17" s="106" t="s">
        <v>73</v>
      </c>
      <c r="AH17" s="106" t="s">
        <v>73</v>
      </c>
      <c r="AI17" s="106"/>
      <c r="AJ17" s="106"/>
      <c r="AK17" s="106" t="s">
        <v>73</v>
      </c>
      <c r="AL17" s="106" t="s">
        <v>73</v>
      </c>
      <c r="AM17" s="107">
        <f t="shared" si="5"/>
        <v>22</v>
      </c>
      <c r="AN17" s="108">
        <f t="shared" ref="AN17" si="38">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 si="39">COUNTIF(H17:AL17,"ON")+COUNTIF(H17:AL17,"ON/2")/2</f>
        <v>0</v>
      </c>
      <c r="AP17" s="110">
        <f t="shared" ref="AP17" si="40">IF(F17="","",COUNTIF($H17:$AL17,AP$8))+IF(F17="","",COUNTIF($H17:$AL17,$V$5)/2)</f>
        <v>0</v>
      </c>
      <c r="AQ17" s="111">
        <v>0</v>
      </c>
      <c r="AR17" s="112">
        <f t="shared" ref="AR17" si="41">IF(G17="","",AM17+AN17+AP17+AQ17)</f>
        <v>22</v>
      </c>
      <c r="AS17" s="113">
        <f t="shared" ref="AS17" si="42">IF(F17="","",COUNTIF($H17:$AL17,AS$8))++IF(F17="","",COUNTIF($H17:$AL17,"L1")/2)</f>
        <v>0</v>
      </c>
      <c r="AT17" s="114">
        <f t="shared" ref="AT17" si="43">AU17-AR17-AS17</f>
        <v>0</v>
      </c>
      <c r="AU17" s="115">
        <v>22</v>
      </c>
      <c r="AV17" s="116"/>
    </row>
    <row r="18" spans="1:48" ht="39" customHeight="1" x14ac:dyDescent="0.25">
      <c r="A18" s="100">
        <f t="shared" si="4"/>
        <v>8</v>
      </c>
      <c r="B18" s="101" t="s">
        <v>366</v>
      </c>
      <c r="C18" s="384" t="s">
        <v>339</v>
      </c>
      <c r="D18" s="103" t="s">
        <v>352</v>
      </c>
      <c r="E18" s="104"/>
      <c r="F18" s="35" t="s">
        <v>365</v>
      </c>
      <c r="G18" s="105" t="s">
        <v>320</v>
      </c>
      <c r="H18" s="385"/>
      <c r="I18" s="106"/>
      <c r="J18" s="106"/>
      <c r="K18" s="106"/>
      <c r="L18" s="106"/>
      <c r="M18" s="106"/>
      <c r="N18" s="385"/>
      <c r="O18" s="385"/>
      <c r="P18" s="106" t="s">
        <v>73</v>
      </c>
      <c r="Q18" s="106" t="s">
        <v>73</v>
      </c>
      <c r="R18" s="106" t="s">
        <v>73</v>
      </c>
      <c r="S18" s="106" t="s">
        <v>73</v>
      </c>
      <c r="T18" s="106" t="s">
        <v>73</v>
      </c>
      <c r="U18" s="385"/>
      <c r="V18" s="385"/>
      <c r="W18" s="106" t="s">
        <v>73</v>
      </c>
      <c r="X18" s="106" t="s">
        <v>73</v>
      </c>
      <c r="Y18" s="106" t="s">
        <v>73</v>
      </c>
      <c r="Z18" s="106" t="s">
        <v>73</v>
      </c>
      <c r="AA18" s="106" t="s">
        <v>73</v>
      </c>
      <c r="AB18" s="385"/>
      <c r="AC18" s="385"/>
      <c r="AD18" s="106" t="s">
        <v>73</v>
      </c>
      <c r="AE18" s="106" t="s">
        <v>73</v>
      </c>
      <c r="AF18" s="106" t="s">
        <v>73</v>
      </c>
      <c r="AG18" s="106" t="s">
        <v>73</v>
      </c>
      <c r="AH18" s="106" t="s">
        <v>73</v>
      </c>
      <c r="AI18" s="385"/>
      <c r="AJ18" s="385"/>
      <c r="AK18" s="106" t="s">
        <v>73</v>
      </c>
      <c r="AL18" s="106" t="s">
        <v>73</v>
      </c>
      <c r="AM18" s="107">
        <f t="shared" ref="AM18" si="44">IF(F18="","",COUNTIF($H18:$AL18,AM$8))</f>
        <v>17</v>
      </c>
      <c r="AN18" s="108">
        <f t="shared" ref="AN18" si="45">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46">COUNTIF(H18:AL18,"ON")+COUNTIF(H18:AL18,"ON/2")/2</f>
        <v>0</v>
      </c>
      <c r="AP18" s="110">
        <f t="shared" ref="AP18" si="47">IF(F18="","",COUNTIF($H18:$AL18,AP$8))+IF(F18="","",COUNTIF($H18:$AL18,$V$5)/2)</f>
        <v>0</v>
      </c>
      <c r="AQ18" s="111">
        <v>0</v>
      </c>
      <c r="AR18" s="112">
        <f t="shared" ref="AR18" si="48">IF(G18="","",AM18+AN18+AP18+AQ18)</f>
        <v>17</v>
      </c>
      <c r="AS18" s="113">
        <f t="shared" ref="AS18" si="49">IF(F18="","",COUNTIF($H18:$AL18,AS$8))++IF(F18="","",COUNTIF($H18:$AL18,"L1")/2)</f>
        <v>0</v>
      </c>
      <c r="AT18" s="114">
        <f t="shared" ref="AT18" si="50">AU18-AR18-AS18</f>
        <v>5</v>
      </c>
      <c r="AU18" s="115">
        <v>22</v>
      </c>
      <c r="AV18" s="116"/>
    </row>
    <row r="19" spans="1:48" ht="39" customHeight="1" x14ac:dyDescent="0.25">
      <c r="A19" s="100">
        <f t="shared" si="4"/>
        <v>9</v>
      </c>
      <c r="B19" s="101" t="s">
        <v>368</v>
      </c>
      <c r="C19" s="384" t="s">
        <v>319</v>
      </c>
      <c r="D19" s="103" t="s">
        <v>367</v>
      </c>
      <c r="E19" s="104"/>
      <c r="F19" s="35" t="s">
        <v>369</v>
      </c>
      <c r="G19" s="105" t="s">
        <v>320</v>
      </c>
      <c r="H19" s="385"/>
      <c r="I19" s="106" t="s">
        <v>73</v>
      </c>
      <c r="J19" s="106" t="s">
        <v>73</v>
      </c>
      <c r="K19" s="106" t="s">
        <v>73</v>
      </c>
      <c r="L19" s="106" t="s">
        <v>73</v>
      </c>
      <c r="M19" s="106" t="s">
        <v>73</v>
      </c>
      <c r="N19" s="385"/>
      <c r="O19" s="385"/>
      <c r="P19" s="106" t="s">
        <v>73</v>
      </c>
      <c r="Q19" s="106" t="s">
        <v>73</v>
      </c>
      <c r="R19" s="106" t="s">
        <v>73</v>
      </c>
      <c r="S19" s="106" t="s">
        <v>73</v>
      </c>
      <c r="T19" s="106" t="s">
        <v>73</v>
      </c>
      <c r="U19" s="385"/>
      <c r="V19" s="385"/>
      <c r="W19" s="106" t="s">
        <v>73</v>
      </c>
      <c r="X19" s="106" t="s">
        <v>73</v>
      </c>
      <c r="Y19" s="106" t="s">
        <v>73</v>
      </c>
      <c r="Z19" s="106" t="s">
        <v>73</v>
      </c>
      <c r="AA19" s="106" t="s">
        <v>73</v>
      </c>
      <c r="AB19" s="385"/>
      <c r="AC19" s="385"/>
      <c r="AD19" s="106" t="s">
        <v>73</v>
      </c>
      <c r="AE19" s="106" t="s">
        <v>73</v>
      </c>
      <c r="AF19" s="106" t="s">
        <v>73</v>
      </c>
      <c r="AG19" s="106" t="s">
        <v>73</v>
      </c>
      <c r="AH19" s="106" t="s">
        <v>73</v>
      </c>
      <c r="AI19" s="385"/>
      <c r="AJ19" s="385"/>
      <c r="AK19" s="106" t="s">
        <v>73</v>
      </c>
      <c r="AL19" s="106" t="s">
        <v>73</v>
      </c>
      <c r="AM19" s="107">
        <f t="shared" ref="AM19:AM22" si="51">IF(F19="","",COUNTIF($H19:$AL19,AM$8))</f>
        <v>22</v>
      </c>
      <c r="AN19" s="108">
        <f t="shared" ref="AN19:AN22" si="52">IF(OR(G19="",G19="Đã nghỉ"),0,COUNTIF($H19:$AL19,"N1")/2++IF(AND(LEN(H19)&gt;2,OR(LEFT(H19,2)="N1",RIGHT(H19,2)="N1")),0.5)+IF(AND(LEN(I19)&gt;2,OR(LEFT(I19,2)="N1",RIGHT(I19,2)="N1")),0.5)+IF(AND(LEN(J19)&gt;2,OR(LEFT(J19,2)="N1",RIGHT(J19,2)="N1")),0.5)+IF(AND(LEN(K19)&gt;2,OR(LEFT(K19,2)="N1",RIGHT(K19,2)="N1")),0.5)+IF(AND(LEN(L19)&gt;2,OR(LEFT(L19,2)="N1",RIGHT(L19,2)="N1")),0.5)+IF(AND(LEN(M19)&gt;2,OR(LEFT(M19,2)="N1",RIGHT(M19,2)="N1")),0.5)+IF(AND(LEN(N19)&gt;2,OR(LEFT(N19,2)="N1",RIGHT(N19,2)="N1")),0.5)+IF(AND(LEN(O19)&gt;2,OR(LEFT(O19,2)="N1",RIGHT(O19,2)="N1")),0.5)+IF(AND(LEN(P19)&gt;2,OR(LEFT(P19,2)="N1",RIGHT(P19,2)="N1")),0.5)+IF(AND(LEN(Q19)&gt;2,OR(LEFT(Q19,2)="N1",RIGHT(Q19,2)="N1")),0.5)+IF(AND(LEN(R19)&gt;2,OR(LEFT(R19,2)="N1",RIGHT(R19,2)="N1")),0.5)+IF(AND(LEN(S19)&gt;2,OR(LEFT(S19,2)="N1",RIGHT(S19,2)="N1")),0.5)+IF(AND(LEN(T19)&gt;2,OR(LEFT(T19,2)="N1",RIGHT(T19,2)="N1")),0.5)+IF(AND(LEN(U19)&gt;2,OR(LEFT(U19,2)="N1",RIGHT(U19,2)="N1")),0.5)+IF(AND(LEN(V19)&gt;2,OR(LEFT(V19,2)="N1",RIGHT(V19,2)="N1")),0.5)+IF(AND(LEN(W19)&gt;2,OR(LEFT(W19,2)="N1",RIGHT(W19,2)="N1")),0.5)+IF(AND(LEN(X19)&gt;2,OR(LEFT(X19,2)="N1",RIGHT(X19,2)="N1")),0.5)+IF(AND(LEN(Y19)&gt;2,OR(LEFT(Y19,2)="N1",RIGHT(Y19,2)="N1")),0.5)+IF(AND(LEN(Z19)&gt;2,OR(LEFT(Z19,2)="N1",RIGHT(Z19,2)="N1")),0.5)+IF(AND(LEN(AA19)&gt;2,OR(LEFT(AA19,2)="N1",RIGHT(AA19,2)="N1")),0.5)+IF(AND(LEN(AB19)&gt;2,OR(LEFT(AB19,2)="N1",RIGHT(AB19,2)="N1")),0.5)+IF(AND(LEN(AC19)&gt;2,OR(LEFT(AC19,2)="N1",RIGHT(AC19,2)="N1")),0.5)+IF(AND(LEN(AD19)&gt;2,OR(LEFT(AD19,2)="N1",RIGHT(AD19,2)="N1")),0.5)+IF(AND(LEN(AE19)&gt;2,OR(LEFT(AE19,2)="N1",RIGHT(AE19,2)="N1")),0.5)+IF(AND(LEN(AF19)&gt;2,OR(LEFT(AF19,2)="N1",RIGHT(AF19,2)="N1")),0.5)+IF(AND(LEN(AG19)&gt;2,OR(LEFT(AG19,2)="N1",RIGHT(AG19,2)="N1")),0.5)+IF(AND(LEN(AH19)&gt;2,OR(LEFT(AH19,2)="N1",RIGHT(AH19,2)="N1")),0.5)+IF(AND(LEN(AI19)&gt;2,OR(LEFT(AI19,2)="N1",RIGHT(AI19,2)="N1")),0.5)+IF(AND(LEN(AJ19)&gt;2,OR(LEFT(AJ19,2)="N1",RIGHT(AJ19,2)="N1")),0.5)+IF(AND(LEN(AK19)&gt;2,OR(LEFT(AK19,2)="N1",RIGHT(AK19,2)="N1")),0.5)+IF(AND(LEN(AL19)&gt;2,OR(LEFT(AL19,2)="N1",RIGHT(AL19,2)="N1")),0.5))</f>
        <v>0</v>
      </c>
      <c r="AO19" s="109">
        <f t="shared" ref="AO19:AO22" si="53">COUNTIF(H19:AL19,"ON")+COUNTIF(H19:AL19,"ON/2")/2</f>
        <v>0</v>
      </c>
      <c r="AP19" s="110">
        <f t="shared" ref="AP19:AP22" si="54">IF(F19="","",COUNTIF($H19:$AL19,AP$8))+IF(F19="","",COUNTIF($H19:$AL19,$V$5)/2)</f>
        <v>0</v>
      </c>
      <c r="AQ19" s="111">
        <v>0</v>
      </c>
      <c r="AR19" s="112">
        <f t="shared" ref="AR19:AR22" si="55">IF(G19="","",AM19+AN19+AP19+AQ19)</f>
        <v>22</v>
      </c>
      <c r="AS19" s="113">
        <f t="shared" ref="AS19:AS22" si="56">IF(F19="","",COUNTIF($H19:$AL19,AS$8))++IF(F19="","",COUNTIF($H19:$AL19,"L1")/2)</f>
        <v>0</v>
      </c>
      <c r="AT19" s="114">
        <f t="shared" ref="AT19:AT22" si="57">AU19-AR19-AS19</f>
        <v>0</v>
      </c>
      <c r="AU19" s="115">
        <v>22</v>
      </c>
      <c r="AV19" s="116"/>
    </row>
    <row r="20" spans="1:48" ht="39" customHeight="1" x14ac:dyDescent="0.25">
      <c r="A20" s="100">
        <f t="shared" si="4"/>
        <v>10</v>
      </c>
      <c r="B20" s="101" t="s">
        <v>370</v>
      </c>
      <c r="C20" s="384" t="s">
        <v>319</v>
      </c>
      <c r="D20" s="103" t="s">
        <v>376</v>
      </c>
      <c r="E20" s="104"/>
      <c r="F20" s="35" t="s">
        <v>371</v>
      </c>
      <c r="G20" s="105" t="s">
        <v>320</v>
      </c>
      <c r="H20" s="385"/>
      <c r="I20" s="106"/>
      <c r="J20" s="106"/>
      <c r="K20" s="106"/>
      <c r="L20" s="106"/>
      <c r="M20" s="106"/>
      <c r="N20" s="385"/>
      <c r="O20" s="385"/>
      <c r="P20" s="106"/>
      <c r="Q20" s="106"/>
      <c r="R20" s="106"/>
      <c r="S20" s="106" t="s">
        <v>73</v>
      </c>
      <c r="T20" s="106" t="s">
        <v>73</v>
      </c>
      <c r="U20" s="385"/>
      <c r="V20" s="385"/>
      <c r="W20" s="106" t="s">
        <v>73</v>
      </c>
      <c r="X20" s="106" t="s">
        <v>73</v>
      </c>
      <c r="Y20" s="106" t="s">
        <v>73</v>
      </c>
      <c r="Z20" s="106" t="s">
        <v>73</v>
      </c>
      <c r="AA20" s="106" t="s">
        <v>73</v>
      </c>
      <c r="AB20" s="385"/>
      <c r="AC20" s="385"/>
      <c r="AD20" s="106" t="s">
        <v>73</v>
      </c>
      <c r="AE20" s="106" t="s">
        <v>73</v>
      </c>
      <c r="AF20" s="106" t="s">
        <v>73</v>
      </c>
      <c r="AG20" s="106" t="s">
        <v>73</v>
      </c>
      <c r="AH20" s="106" t="s">
        <v>73</v>
      </c>
      <c r="AI20" s="385"/>
      <c r="AJ20" s="385"/>
      <c r="AK20" s="106" t="s">
        <v>73</v>
      </c>
      <c r="AL20" s="106" t="s">
        <v>73</v>
      </c>
      <c r="AM20" s="107">
        <f t="shared" si="51"/>
        <v>14</v>
      </c>
      <c r="AN20" s="108">
        <f t="shared" si="52"/>
        <v>0</v>
      </c>
      <c r="AO20" s="109">
        <f t="shared" si="53"/>
        <v>0</v>
      </c>
      <c r="AP20" s="110">
        <f t="shared" si="54"/>
        <v>0</v>
      </c>
      <c r="AQ20" s="111">
        <v>0</v>
      </c>
      <c r="AR20" s="112">
        <f t="shared" si="55"/>
        <v>14</v>
      </c>
      <c r="AS20" s="113">
        <f t="shared" si="56"/>
        <v>0</v>
      </c>
      <c r="AT20" s="114">
        <f t="shared" si="57"/>
        <v>8</v>
      </c>
      <c r="AU20" s="115">
        <v>22</v>
      </c>
      <c r="AV20" s="116"/>
    </row>
    <row r="21" spans="1:48" ht="39" customHeight="1" x14ac:dyDescent="0.25">
      <c r="A21" s="100">
        <f t="shared" si="4"/>
        <v>11</v>
      </c>
      <c r="B21" s="101" t="s">
        <v>372</v>
      </c>
      <c r="C21" s="384" t="s">
        <v>319</v>
      </c>
      <c r="D21" s="103" t="s">
        <v>377</v>
      </c>
      <c r="E21" s="104"/>
      <c r="F21" s="35" t="s">
        <v>373</v>
      </c>
      <c r="G21" s="105" t="s">
        <v>320</v>
      </c>
      <c r="H21" s="385"/>
      <c r="I21" s="106" t="s">
        <v>73</v>
      </c>
      <c r="J21" s="106" t="s">
        <v>73</v>
      </c>
      <c r="K21" s="106" t="s">
        <v>73</v>
      </c>
      <c r="L21" s="106" t="s">
        <v>73</v>
      </c>
      <c r="M21" s="106" t="s">
        <v>73</v>
      </c>
      <c r="N21" s="385"/>
      <c r="O21" s="385"/>
      <c r="P21" s="106" t="s">
        <v>73</v>
      </c>
      <c r="Q21" s="106" t="s">
        <v>73</v>
      </c>
      <c r="R21" s="106" t="s">
        <v>73</v>
      </c>
      <c r="S21" s="106" t="s">
        <v>73</v>
      </c>
      <c r="T21" s="106" t="s">
        <v>73</v>
      </c>
      <c r="U21" s="385"/>
      <c r="V21" s="385"/>
      <c r="W21" s="106" t="s">
        <v>73</v>
      </c>
      <c r="X21" s="106" t="s">
        <v>73</v>
      </c>
      <c r="Y21" s="106" t="s">
        <v>73</v>
      </c>
      <c r="Z21" s="106" t="s">
        <v>73</v>
      </c>
      <c r="AA21" s="106" t="s">
        <v>73</v>
      </c>
      <c r="AB21" s="385"/>
      <c r="AC21" s="385"/>
      <c r="AD21" s="106" t="s">
        <v>73</v>
      </c>
      <c r="AE21" s="106" t="s">
        <v>73</v>
      </c>
      <c r="AF21" s="106" t="s">
        <v>73</v>
      </c>
      <c r="AG21" s="106" t="s">
        <v>73</v>
      </c>
      <c r="AH21" s="106" t="s">
        <v>73</v>
      </c>
      <c r="AI21" s="385"/>
      <c r="AJ21" s="385"/>
      <c r="AK21" s="106" t="s">
        <v>73</v>
      </c>
      <c r="AL21" s="106" t="s">
        <v>73</v>
      </c>
      <c r="AM21" s="107">
        <f t="shared" si="51"/>
        <v>22</v>
      </c>
      <c r="AN21" s="108">
        <f t="shared" si="52"/>
        <v>0</v>
      </c>
      <c r="AO21" s="109">
        <f t="shared" si="53"/>
        <v>0</v>
      </c>
      <c r="AP21" s="110">
        <f t="shared" si="54"/>
        <v>0</v>
      </c>
      <c r="AQ21" s="111">
        <v>0</v>
      </c>
      <c r="AR21" s="112">
        <f t="shared" si="55"/>
        <v>22</v>
      </c>
      <c r="AS21" s="113">
        <f t="shared" si="56"/>
        <v>0</v>
      </c>
      <c r="AT21" s="114">
        <f t="shared" si="57"/>
        <v>0</v>
      </c>
      <c r="AU21" s="115">
        <v>22</v>
      </c>
      <c r="AV21" s="116"/>
    </row>
    <row r="22" spans="1:48" ht="39" customHeight="1" x14ac:dyDescent="0.25">
      <c r="A22" s="100">
        <f t="shared" si="4"/>
        <v>12</v>
      </c>
      <c r="B22" s="101" t="s">
        <v>374</v>
      </c>
      <c r="C22" s="384" t="s">
        <v>319</v>
      </c>
      <c r="D22" s="103" t="s">
        <v>319</v>
      </c>
      <c r="E22" s="104"/>
      <c r="F22" s="35" t="s">
        <v>375</v>
      </c>
      <c r="G22" s="105" t="s">
        <v>320</v>
      </c>
      <c r="H22" s="385"/>
      <c r="I22" s="106"/>
      <c r="J22" s="106"/>
      <c r="K22" s="106"/>
      <c r="L22" s="106"/>
      <c r="M22" s="106"/>
      <c r="N22" s="385"/>
      <c r="O22" s="385"/>
      <c r="P22" s="106"/>
      <c r="Q22" s="106"/>
      <c r="R22" s="106"/>
      <c r="S22" s="106"/>
      <c r="T22" s="106"/>
      <c r="U22" s="385"/>
      <c r="V22" s="385"/>
      <c r="W22" s="106"/>
      <c r="X22" s="106"/>
      <c r="Y22" s="106"/>
      <c r="Z22" s="106"/>
      <c r="AA22" s="106"/>
      <c r="AB22" s="385"/>
      <c r="AC22" s="385"/>
      <c r="AD22" s="106"/>
      <c r="AE22" s="106" t="s">
        <v>73</v>
      </c>
      <c r="AF22" s="106" t="s">
        <v>73</v>
      </c>
      <c r="AG22" s="106" t="s">
        <v>73</v>
      </c>
      <c r="AH22" s="106" t="s">
        <v>73</v>
      </c>
      <c r="AI22" s="385"/>
      <c r="AJ22" s="385"/>
      <c r="AK22" s="106" t="s">
        <v>73</v>
      </c>
      <c r="AL22" s="106" t="s">
        <v>73</v>
      </c>
      <c r="AM22" s="107">
        <f t="shared" si="51"/>
        <v>6</v>
      </c>
      <c r="AN22" s="108">
        <f t="shared" si="52"/>
        <v>0</v>
      </c>
      <c r="AO22" s="109">
        <f t="shared" si="53"/>
        <v>0</v>
      </c>
      <c r="AP22" s="110">
        <f t="shared" si="54"/>
        <v>0</v>
      </c>
      <c r="AQ22" s="111">
        <v>0</v>
      </c>
      <c r="AR22" s="112">
        <f t="shared" si="55"/>
        <v>6</v>
      </c>
      <c r="AS22" s="113">
        <f t="shared" si="56"/>
        <v>0</v>
      </c>
      <c r="AT22" s="114">
        <f t="shared" si="57"/>
        <v>16</v>
      </c>
      <c r="AU22" s="115">
        <v>22</v>
      </c>
      <c r="AV22" s="116"/>
    </row>
    <row r="23" spans="1:48" ht="21.75" customHeight="1" x14ac:dyDescent="0.25">
      <c r="A23" s="119" t="s">
        <v>51</v>
      </c>
      <c r="B23" s="119"/>
      <c r="C23" s="119"/>
      <c r="D23" s="119"/>
      <c r="E23" s="119"/>
      <c r="F23" s="119"/>
      <c r="G23" s="119"/>
      <c r="H23" s="120"/>
      <c r="I23" s="120"/>
      <c r="J23" s="121"/>
      <c r="K23" s="120"/>
      <c r="L23" s="120"/>
      <c r="M23" s="120"/>
      <c r="N23" s="120"/>
      <c r="O23" s="120"/>
      <c r="P23" s="120"/>
      <c r="Q23" s="121"/>
      <c r="R23" s="120"/>
      <c r="S23" s="120"/>
      <c r="T23" s="120"/>
      <c r="U23" s="120"/>
      <c r="V23" s="120"/>
      <c r="W23" s="122"/>
      <c r="X23" s="121"/>
      <c r="Y23" s="120"/>
      <c r="Z23" s="120"/>
      <c r="AA23" s="120"/>
      <c r="AB23" s="120"/>
      <c r="AC23" s="120"/>
      <c r="AD23" s="122"/>
      <c r="AE23" s="121"/>
      <c r="AF23" s="120"/>
      <c r="AG23" s="120"/>
      <c r="AH23" s="120"/>
      <c r="AI23" s="120"/>
      <c r="AJ23" s="120"/>
      <c r="AK23" s="122"/>
      <c r="AL23" s="121"/>
      <c r="AM23" s="123">
        <f>SUBTOTAL(9,AM11:AM12)</f>
        <v>43</v>
      </c>
      <c r="AN23" s="123">
        <f>SUBTOTAL(9,AN11:AN22)</f>
        <v>9.5</v>
      </c>
      <c r="AO23" s="123">
        <f>SUBTOTAL(9,AO11:AO22)</f>
        <v>0</v>
      </c>
      <c r="AP23" s="123">
        <f>SUBTOTAL(9,AP11:AP22)</f>
        <v>0</v>
      </c>
      <c r="AQ23" s="123">
        <f>SUBTOTAL(9,AQ11:AQ12)</f>
        <v>1</v>
      </c>
      <c r="AR23" s="123">
        <f>SUBTOTAL(9,AR11:AR22)</f>
        <v>208.5</v>
      </c>
      <c r="AS23" s="123">
        <f>SUBTOTAL(9,AS11:AS22)</f>
        <v>0</v>
      </c>
      <c r="AT23" s="123">
        <f>SUBTOTAL(9,AT11:AT22)</f>
        <v>55.5</v>
      </c>
      <c r="AU23" s="123">
        <f>SUBTOTAL(9,AU11:AU22)</f>
        <v>264</v>
      </c>
      <c r="AV23" s="124"/>
    </row>
    <row r="24" spans="1:48" ht="14.25" customHeight="1" x14ac:dyDescent="0.25">
      <c r="A24" s="125"/>
      <c r="B24" s="126" t="s">
        <v>104</v>
      </c>
      <c r="C24" s="127">
        <f t="shared" ref="C24:AV24" si="58">B24+1</f>
        <v>2</v>
      </c>
      <c r="D24" s="127">
        <f t="shared" si="58"/>
        <v>3</v>
      </c>
      <c r="E24" s="127">
        <f t="shared" si="58"/>
        <v>4</v>
      </c>
      <c r="F24" s="127">
        <f t="shared" si="58"/>
        <v>5</v>
      </c>
      <c r="G24" s="127">
        <f t="shared" si="58"/>
        <v>6</v>
      </c>
      <c r="H24" s="127">
        <f t="shared" si="58"/>
        <v>7</v>
      </c>
      <c r="I24" s="127">
        <f t="shared" si="58"/>
        <v>8</v>
      </c>
      <c r="J24" s="127">
        <f t="shared" si="58"/>
        <v>9</v>
      </c>
      <c r="K24" s="127">
        <f t="shared" si="58"/>
        <v>10</v>
      </c>
      <c r="L24" s="127">
        <f t="shared" si="58"/>
        <v>11</v>
      </c>
      <c r="M24" s="127">
        <f t="shared" si="58"/>
        <v>12</v>
      </c>
      <c r="N24" s="127">
        <f t="shared" si="58"/>
        <v>13</v>
      </c>
      <c r="O24" s="127">
        <f t="shared" si="58"/>
        <v>14</v>
      </c>
      <c r="P24" s="127">
        <f t="shared" si="58"/>
        <v>15</v>
      </c>
      <c r="Q24" s="127">
        <f t="shared" si="58"/>
        <v>16</v>
      </c>
      <c r="R24" s="127">
        <f t="shared" si="58"/>
        <v>17</v>
      </c>
      <c r="S24" s="127">
        <f t="shared" si="58"/>
        <v>18</v>
      </c>
      <c r="T24" s="127">
        <f t="shared" si="58"/>
        <v>19</v>
      </c>
      <c r="U24" s="127">
        <f t="shared" si="58"/>
        <v>20</v>
      </c>
      <c r="V24" s="127">
        <f t="shared" si="58"/>
        <v>21</v>
      </c>
      <c r="W24" s="127">
        <f t="shared" si="58"/>
        <v>22</v>
      </c>
      <c r="X24" s="127">
        <f t="shared" si="58"/>
        <v>23</v>
      </c>
      <c r="Y24" s="127">
        <f t="shared" si="58"/>
        <v>24</v>
      </c>
      <c r="Z24" s="127">
        <f t="shared" si="58"/>
        <v>25</v>
      </c>
      <c r="AA24" s="127">
        <f t="shared" si="58"/>
        <v>26</v>
      </c>
      <c r="AB24" s="127">
        <f t="shared" si="58"/>
        <v>27</v>
      </c>
      <c r="AC24" s="127">
        <f t="shared" si="58"/>
        <v>28</v>
      </c>
      <c r="AD24" s="127">
        <f t="shared" si="58"/>
        <v>29</v>
      </c>
      <c r="AE24" s="127">
        <f t="shared" si="58"/>
        <v>30</v>
      </c>
      <c r="AF24" s="127">
        <f t="shared" si="58"/>
        <v>31</v>
      </c>
      <c r="AG24" s="127">
        <f t="shared" si="58"/>
        <v>32</v>
      </c>
      <c r="AH24" s="127">
        <f t="shared" si="58"/>
        <v>33</v>
      </c>
      <c r="AI24" s="127">
        <f t="shared" si="58"/>
        <v>34</v>
      </c>
      <c r="AJ24" s="127">
        <f t="shared" si="58"/>
        <v>35</v>
      </c>
      <c r="AK24" s="127">
        <f t="shared" si="58"/>
        <v>36</v>
      </c>
      <c r="AL24" s="127">
        <f t="shared" si="58"/>
        <v>37</v>
      </c>
      <c r="AM24" s="127">
        <f>AL24+1</f>
        <v>38</v>
      </c>
      <c r="AN24" s="127">
        <f t="shared" si="58"/>
        <v>39</v>
      </c>
      <c r="AO24" s="127">
        <f t="shared" si="58"/>
        <v>40</v>
      </c>
      <c r="AP24" s="127">
        <f t="shared" si="58"/>
        <v>41</v>
      </c>
      <c r="AQ24" s="127">
        <f t="shared" si="58"/>
        <v>42</v>
      </c>
      <c r="AR24" s="127">
        <f t="shared" si="58"/>
        <v>43</v>
      </c>
      <c r="AS24" s="127">
        <f t="shared" si="58"/>
        <v>44</v>
      </c>
      <c r="AT24" s="127">
        <f t="shared" si="58"/>
        <v>45</v>
      </c>
      <c r="AU24" s="127">
        <f t="shared" si="58"/>
        <v>46</v>
      </c>
      <c r="AV24" s="127">
        <f t="shared" si="58"/>
        <v>47</v>
      </c>
    </row>
    <row r="25" spans="1:48" ht="21.75" customHeight="1" x14ac:dyDescent="0.25">
      <c r="A25" s="125"/>
      <c r="B25" s="126"/>
      <c r="C25" s="128"/>
      <c r="D25" s="128"/>
      <c r="E25" s="118"/>
      <c r="F25" s="129"/>
      <c r="G25" s="125"/>
      <c r="H25" s="130"/>
      <c r="I25" s="130"/>
      <c r="J25" s="130"/>
      <c r="K25" s="130"/>
      <c r="L25" s="130"/>
      <c r="M25" s="130"/>
      <c r="N25" s="130"/>
      <c r="O25" s="130"/>
      <c r="P25" s="130"/>
      <c r="Q25" s="130"/>
      <c r="R25" s="130"/>
      <c r="S25" s="130"/>
      <c r="T25" s="130"/>
      <c r="U25" s="130"/>
      <c r="V25" s="130"/>
      <c r="W25" s="130"/>
      <c r="X25" s="130"/>
      <c r="Y25" s="130"/>
      <c r="Z25" s="130"/>
      <c r="AA25" s="130"/>
      <c r="AB25" s="130"/>
      <c r="AC25" s="130"/>
      <c r="AJ25" s="131"/>
      <c r="AK25" s="131"/>
      <c r="AL25" s="131"/>
      <c r="AM25" s="521" t="s">
        <v>348</v>
      </c>
      <c r="AN25" s="478"/>
      <c r="AO25" s="478"/>
      <c r="AP25" s="478"/>
      <c r="AQ25" s="478"/>
      <c r="AR25" s="478"/>
      <c r="AS25" s="479"/>
      <c r="AT25" s="132"/>
      <c r="AU25" s="133"/>
      <c r="AV25" s="134"/>
    </row>
    <row r="26" spans="1:48" ht="32.25" customHeight="1" x14ac:dyDescent="0.25">
      <c r="A26" s="125"/>
      <c r="B26" s="126"/>
      <c r="C26" s="135"/>
      <c r="D26" s="511" t="s">
        <v>99</v>
      </c>
      <c r="E26" s="476"/>
      <c r="F26" s="476"/>
      <c r="G26" s="135"/>
      <c r="I26" s="135"/>
      <c r="J26" s="137"/>
      <c r="K26" s="137"/>
      <c r="L26" s="137"/>
      <c r="M26" s="520" t="s">
        <v>105</v>
      </c>
      <c r="N26" s="478"/>
      <c r="O26" s="478"/>
      <c r="P26" s="478"/>
      <c r="Q26" s="478"/>
      <c r="R26" s="478"/>
      <c r="S26" s="478"/>
      <c r="T26" s="478"/>
      <c r="U26" s="479"/>
      <c r="V26" s="138"/>
      <c r="W26" s="138"/>
      <c r="X26" s="138"/>
      <c r="Y26" s="138"/>
      <c r="Z26" s="520" t="s">
        <v>106</v>
      </c>
      <c r="AA26" s="478"/>
      <c r="AB26" s="478"/>
      <c r="AC26" s="478"/>
      <c r="AD26" s="478"/>
      <c r="AE26" s="478"/>
      <c r="AF26" s="478"/>
      <c r="AG26" s="478"/>
      <c r="AH26" s="479"/>
      <c r="AJ26" s="139"/>
      <c r="AK26" s="139"/>
      <c r="AL26" s="139"/>
      <c r="AM26" s="520" t="s">
        <v>38</v>
      </c>
      <c r="AN26" s="478"/>
      <c r="AO26" s="478"/>
      <c r="AP26" s="478"/>
      <c r="AQ26" s="478"/>
      <c r="AR26" s="478"/>
      <c r="AS26" s="479"/>
      <c r="AT26" s="132"/>
      <c r="AU26" s="133"/>
      <c r="AV26" s="134"/>
    </row>
    <row r="27" spans="1:48" ht="33.75" customHeight="1" x14ac:dyDescent="0.25">
      <c r="A27" s="125"/>
      <c r="B27" s="126"/>
      <c r="C27" s="128"/>
      <c r="D27" s="130"/>
      <c r="E27" s="130"/>
      <c r="F27" s="130"/>
      <c r="G27" s="136"/>
      <c r="H27" s="130"/>
      <c r="I27" s="130"/>
      <c r="J27" s="130"/>
      <c r="K27" s="130"/>
      <c r="L27" s="130"/>
      <c r="M27" s="130"/>
      <c r="N27" s="130"/>
      <c r="O27" s="130"/>
      <c r="P27" s="130"/>
      <c r="Q27" s="130"/>
      <c r="R27" s="130"/>
      <c r="S27" s="130"/>
      <c r="T27" s="130"/>
      <c r="V27" s="130"/>
      <c r="W27" s="130"/>
      <c r="X27" s="130"/>
      <c r="Y27" s="130"/>
      <c r="Z27" s="130"/>
      <c r="AA27" s="130"/>
      <c r="AB27" s="130"/>
      <c r="AC27" s="130"/>
      <c r="AD27" s="130"/>
      <c r="AE27" s="130"/>
      <c r="AF27" s="130"/>
      <c r="AG27" s="130"/>
      <c r="AH27" s="130"/>
      <c r="AI27" s="130"/>
      <c r="AJ27" s="130"/>
      <c r="AK27" s="130"/>
      <c r="AL27" s="130"/>
      <c r="AM27" s="130"/>
      <c r="AN27" s="130"/>
      <c r="AO27" s="130"/>
      <c r="AP27" s="140"/>
      <c r="AQ27" s="141"/>
      <c r="AR27" s="142"/>
      <c r="AS27" s="143"/>
      <c r="AT27" s="132"/>
      <c r="AU27" s="133"/>
      <c r="AV27" s="134"/>
    </row>
    <row r="28" spans="1:48" ht="33.75" customHeight="1" x14ac:dyDescent="0.25">
      <c r="A28" s="125"/>
      <c r="B28" s="126"/>
      <c r="C28" s="135"/>
      <c r="D28" s="511"/>
      <c r="E28" s="476"/>
      <c r="F28" s="476"/>
      <c r="G28" s="135"/>
      <c r="H28" s="135"/>
      <c r="I28" s="137"/>
      <c r="J28" s="137"/>
      <c r="K28" s="137"/>
      <c r="L28" s="137"/>
      <c r="M28" s="520"/>
      <c r="N28" s="478"/>
      <c r="O28" s="478"/>
      <c r="P28" s="478"/>
      <c r="Q28" s="478"/>
      <c r="R28" s="478"/>
      <c r="S28" s="478"/>
      <c r="T28" s="478"/>
      <c r="U28" s="479"/>
      <c r="V28" s="138"/>
      <c r="W28" s="138"/>
      <c r="X28" s="138"/>
      <c r="Y28" s="138"/>
      <c r="Z28" s="138"/>
      <c r="AC28" s="520"/>
      <c r="AD28" s="478"/>
      <c r="AE28" s="478"/>
      <c r="AF28" s="478"/>
      <c r="AG28" s="478"/>
      <c r="AH28" s="479"/>
      <c r="AJ28" s="139"/>
      <c r="AK28" s="139"/>
      <c r="AL28" s="139"/>
      <c r="AM28" s="520"/>
      <c r="AN28" s="478"/>
      <c r="AO28" s="478"/>
      <c r="AP28" s="478"/>
      <c r="AQ28" s="478"/>
      <c r="AR28" s="478"/>
      <c r="AS28" s="479"/>
      <c r="AT28" s="132"/>
      <c r="AU28" s="133"/>
      <c r="AV28" s="134"/>
    </row>
    <row r="29" spans="1:48" ht="15.75" customHeight="1" x14ac:dyDescent="0.25">
      <c r="B29" s="144"/>
      <c r="G29" s="145"/>
    </row>
    <row r="30" spans="1:48" ht="15.75" customHeight="1" x14ac:dyDescent="0.25">
      <c r="B30" s="144"/>
      <c r="G30" s="145"/>
    </row>
    <row r="31" spans="1:48" ht="15.75" customHeight="1" x14ac:dyDescent="0.25">
      <c r="B31" s="144"/>
      <c r="G31" s="145"/>
    </row>
    <row r="32" spans="1:48" ht="15.75" customHeight="1" x14ac:dyDescent="0.25">
      <c r="B32" s="144"/>
      <c r="G32" s="145"/>
    </row>
    <row r="33" spans="2:7" ht="15.75" customHeight="1" x14ac:dyDescent="0.25">
      <c r="B33" s="144"/>
      <c r="G33" s="145"/>
    </row>
    <row r="34" spans="2:7" ht="15.75" customHeight="1" x14ac:dyDescent="0.25">
      <c r="B34" s="144"/>
      <c r="G34" s="145"/>
    </row>
    <row r="35" spans="2:7" ht="15.75" customHeight="1" x14ac:dyDescent="0.25">
      <c r="B35" s="144"/>
      <c r="G35" s="145"/>
    </row>
    <row r="36" spans="2:7" ht="15.75" customHeight="1" x14ac:dyDescent="0.25">
      <c r="B36" s="144"/>
      <c r="G36" s="145"/>
    </row>
    <row r="37" spans="2:7" ht="15.75" customHeight="1" x14ac:dyDescent="0.25">
      <c r="B37" s="144"/>
      <c r="G37" s="145"/>
    </row>
    <row r="38" spans="2:7" ht="15.75" customHeight="1" x14ac:dyDescent="0.25">
      <c r="B38" s="144"/>
      <c r="G38" s="145"/>
    </row>
    <row r="39" spans="2:7" ht="15.75" customHeight="1" x14ac:dyDescent="0.25">
      <c r="B39" s="144"/>
      <c r="G39" s="145"/>
    </row>
    <row r="40" spans="2:7" ht="15.75" customHeight="1" x14ac:dyDescent="0.25">
      <c r="B40" s="144"/>
      <c r="G40" s="145"/>
    </row>
    <row r="41" spans="2:7" ht="15.75" customHeight="1" x14ac:dyDescent="0.25">
      <c r="B41" s="144"/>
      <c r="G41" s="145"/>
    </row>
    <row r="42" spans="2:7" ht="15.75" customHeight="1" x14ac:dyDescent="0.25">
      <c r="B42" s="144"/>
      <c r="G42" s="145"/>
    </row>
    <row r="43" spans="2:7" ht="15.75" customHeight="1" x14ac:dyDescent="0.25">
      <c r="B43" s="144"/>
      <c r="G43" s="145"/>
    </row>
    <row r="44" spans="2:7" ht="15.75" customHeight="1" x14ac:dyDescent="0.25">
      <c r="B44" s="144"/>
      <c r="G44" s="145"/>
    </row>
    <row r="45" spans="2:7" ht="15.75" customHeight="1" x14ac:dyDescent="0.25">
      <c r="B45" s="144"/>
      <c r="G45" s="145"/>
    </row>
    <row r="46" spans="2:7" ht="15.75" customHeight="1" x14ac:dyDescent="0.25">
      <c r="B46" s="144"/>
      <c r="G46" s="145"/>
    </row>
    <row r="47" spans="2:7" ht="15.75" customHeight="1" x14ac:dyDescent="0.25">
      <c r="B47" s="144"/>
      <c r="G47" s="145"/>
    </row>
    <row r="48" spans="2:7" ht="15.75" customHeight="1" x14ac:dyDescent="0.25">
      <c r="B48" s="144"/>
      <c r="G48" s="145"/>
    </row>
    <row r="49" spans="2:7" ht="15.75" customHeight="1" x14ac:dyDescent="0.25">
      <c r="B49" s="144"/>
      <c r="G49" s="145"/>
    </row>
    <row r="50" spans="2:7" ht="15.75" customHeight="1" x14ac:dyDescent="0.25">
      <c r="B50" s="144"/>
      <c r="G50" s="145"/>
    </row>
    <row r="51" spans="2:7" ht="15.75" customHeight="1" x14ac:dyDescent="0.25">
      <c r="B51" s="144"/>
      <c r="G51" s="145"/>
    </row>
    <row r="52" spans="2:7" ht="15.75" customHeight="1" x14ac:dyDescent="0.25">
      <c r="B52" s="144"/>
      <c r="G52" s="145"/>
    </row>
    <row r="53" spans="2:7" ht="15.75" customHeight="1" x14ac:dyDescent="0.25">
      <c r="B53" s="144"/>
      <c r="G53" s="145"/>
    </row>
    <row r="54" spans="2:7" ht="15.75" customHeight="1" x14ac:dyDescent="0.25">
      <c r="B54" s="144"/>
      <c r="G54" s="145"/>
    </row>
    <row r="55" spans="2:7" ht="15.75" customHeight="1" x14ac:dyDescent="0.25">
      <c r="B55" s="144"/>
      <c r="G55" s="145"/>
    </row>
    <row r="56" spans="2:7" ht="15.75" customHeight="1" x14ac:dyDescent="0.25">
      <c r="B56" s="144"/>
      <c r="G56" s="145"/>
    </row>
    <row r="57" spans="2:7" ht="15.75" customHeight="1" x14ac:dyDescent="0.25">
      <c r="B57" s="144"/>
      <c r="G57" s="145"/>
    </row>
    <row r="58" spans="2:7" ht="15.75" customHeight="1" x14ac:dyDescent="0.25">
      <c r="B58" s="144"/>
      <c r="G58" s="145"/>
    </row>
    <row r="59" spans="2:7" ht="15.75" customHeight="1" x14ac:dyDescent="0.25">
      <c r="B59" s="144"/>
      <c r="G59" s="145"/>
    </row>
    <row r="60" spans="2:7" ht="15.75" customHeight="1" x14ac:dyDescent="0.25">
      <c r="B60" s="144"/>
      <c r="G60" s="145"/>
    </row>
    <row r="61" spans="2:7" ht="15.75" customHeight="1" x14ac:dyDescent="0.25">
      <c r="B61" s="144"/>
      <c r="G61" s="145"/>
    </row>
    <row r="62" spans="2:7" ht="15.75" customHeight="1" x14ac:dyDescent="0.25">
      <c r="B62" s="144"/>
      <c r="G62" s="145"/>
    </row>
    <row r="63" spans="2:7" ht="15.75" customHeight="1" x14ac:dyDescent="0.25">
      <c r="B63" s="144"/>
      <c r="G63" s="145"/>
    </row>
    <row r="64" spans="2:7" ht="15.75" customHeight="1" x14ac:dyDescent="0.25">
      <c r="B64" s="144"/>
      <c r="G64" s="145"/>
    </row>
    <row r="65" spans="2:7" ht="15.75" customHeight="1" x14ac:dyDescent="0.25">
      <c r="B65" s="144"/>
      <c r="G65" s="145"/>
    </row>
    <row r="66" spans="2:7" ht="15.75" customHeight="1" x14ac:dyDescent="0.25">
      <c r="B66" s="144"/>
      <c r="G66" s="145"/>
    </row>
    <row r="67" spans="2:7" ht="15.75" customHeight="1" x14ac:dyDescent="0.25">
      <c r="B67" s="144"/>
      <c r="G67" s="145"/>
    </row>
    <row r="68" spans="2:7" ht="15.75" customHeight="1" x14ac:dyDescent="0.25">
      <c r="B68" s="144"/>
      <c r="G68" s="145"/>
    </row>
    <row r="69" spans="2:7" ht="15.75" customHeight="1" x14ac:dyDescent="0.25">
      <c r="B69" s="144"/>
      <c r="G69" s="145"/>
    </row>
    <row r="70" spans="2:7" ht="15.75" customHeight="1" x14ac:dyDescent="0.25">
      <c r="B70" s="144"/>
      <c r="G70" s="145"/>
    </row>
    <row r="71" spans="2:7" ht="15.75" customHeight="1" x14ac:dyDescent="0.25">
      <c r="B71" s="144"/>
      <c r="G71" s="145"/>
    </row>
    <row r="72" spans="2:7" ht="15.75" customHeight="1" x14ac:dyDescent="0.25">
      <c r="B72" s="144"/>
      <c r="G72" s="145"/>
    </row>
    <row r="73" spans="2:7" ht="15.75" customHeight="1" x14ac:dyDescent="0.25">
      <c r="B73" s="144"/>
      <c r="G73" s="145"/>
    </row>
    <row r="74" spans="2:7" ht="15.75" customHeight="1" x14ac:dyDescent="0.25">
      <c r="B74" s="144"/>
      <c r="G74" s="145"/>
    </row>
    <row r="75" spans="2:7" ht="15.75" customHeight="1" x14ac:dyDescent="0.25">
      <c r="B75" s="144"/>
      <c r="G75" s="145"/>
    </row>
    <row r="76" spans="2:7" ht="15.75" customHeight="1" x14ac:dyDescent="0.25">
      <c r="B76" s="144"/>
      <c r="G76" s="145"/>
    </row>
    <row r="77" spans="2:7" ht="15.75" customHeight="1" x14ac:dyDescent="0.25">
      <c r="B77" s="144"/>
      <c r="G77" s="145"/>
    </row>
    <row r="78" spans="2:7" ht="15.75" customHeight="1" x14ac:dyDescent="0.25">
      <c r="B78" s="144"/>
      <c r="G78" s="145"/>
    </row>
    <row r="79" spans="2:7" ht="15.75" customHeight="1" x14ac:dyDescent="0.25">
      <c r="B79" s="144"/>
      <c r="G79" s="145"/>
    </row>
    <row r="80" spans="2:7" ht="15.75" customHeight="1" x14ac:dyDescent="0.25">
      <c r="B80" s="144"/>
      <c r="G80" s="145"/>
    </row>
    <row r="81" spans="2:7" ht="15.75" customHeight="1" x14ac:dyDescent="0.25">
      <c r="B81" s="144"/>
      <c r="G81" s="145"/>
    </row>
    <row r="82" spans="2:7" ht="15.75" customHeight="1" x14ac:dyDescent="0.25">
      <c r="B82" s="144"/>
      <c r="G82" s="145"/>
    </row>
    <row r="83" spans="2:7" ht="15.75" customHeight="1" x14ac:dyDescent="0.25">
      <c r="B83" s="144"/>
      <c r="G83" s="145"/>
    </row>
    <row r="84" spans="2:7" ht="15.75" customHeight="1" x14ac:dyDescent="0.25">
      <c r="B84" s="144"/>
      <c r="G84" s="145"/>
    </row>
    <row r="85" spans="2:7" ht="15.75" customHeight="1" x14ac:dyDescent="0.25">
      <c r="B85" s="144"/>
      <c r="G85" s="145"/>
    </row>
    <row r="86" spans="2:7" ht="15.75" customHeight="1" x14ac:dyDescent="0.25">
      <c r="B86" s="144"/>
      <c r="G86" s="145"/>
    </row>
    <row r="87" spans="2:7" ht="15.75" customHeight="1" x14ac:dyDescent="0.25">
      <c r="B87" s="144"/>
      <c r="G87" s="145"/>
    </row>
    <row r="88" spans="2:7" ht="15.75" customHeight="1" x14ac:dyDescent="0.25">
      <c r="B88" s="144"/>
      <c r="G88" s="145"/>
    </row>
    <row r="89" spans="2:7" ht="15.75" customHeight="1" x14ac:dyDescent="0.25">
      <c r="B89" s="144"/>
      <c r="G89" s="145"/>
    </row>
    <row r="90" spans="2:7" ht="15.75" customHeight="1" x14ac:dyDescent="0.25">
      <c r="B90" s="144"/>
      <c r="G90" s="145"/>
    </row>
    <row r="91" spans="2:7" ht="15.75" customHeight="1" x14ac:dyDescent="0.25">
      <c r="B91" s="144"/>
      <c r="G91" s="145"/>
    </row>
    <row r="92" spans="2:7" ht="15.75" customHeight="1" x14ac:dyDescent="0.25">
      <c r="B92" s="144"/>
      <c r="G92" s="145"/>
    </row>
    <row r="93" spans="2:7" ht="15.75" customHeight="1" x14ac:dyDescent="0.25">
      <c r="B93" s="144"/>
      <c r="G93" s="145"/>
    </row>
    <row r="94" spans="2:7" ht="15.75" customHeight="1" x14ac:dyDescent="0.25">
      <c r="B94" s="144"/>
      <c r="G94" s="145"/>
    </row>
    <row r="95" spans="2:7" ht="15.75" customHeight="1" x14ac:dyDescent="0.25">
      <c r="B95" s="144"/>
      <c r="G95" s="145"/>
    </row>
    <row r="96" spans="2:7" ht="15.75" customHeight="1" x14ac:dyDescent="0.25">
      <c r="B96" s="144"/>
      <c r="G96" s="145"/>
    </row>
    <row r="97" spans="2:7" ht="15.75" customHeight="1" x14ac:dyDescent="0.25">
      <c r="B97" s="144"/>
      <c r="G97" s="145"/>
    </row>
    <row r="98" spans="2:7" ht="15.75" customHeight="1" x14ac:dyDescent="0.25">
      <c r="B98" s="144"/>
      <c r="G98" s="145"/>
    </row>
    <row r="99" spans="2:7" ht="15.75" customHeight="1" x14ac:dyDescent="0.25">
      <c r="B99" s="144"/>
      <c r="G99" s="145"/>
    </row>
    <row r="100" spans="2:7" ht="15.75" customHeight="1" x14ac:dyDescent="0.25">
      <c r="B100" s="144"/>
      <c r="G100" s="145"/>
    </row>
    <row r="101" spans="2:7" ht="15.75" customHeight="1" x14ac:dyDescent="0.25">
      <c r="B101" s="144"/>
      <c r="G101" s="145"/>
    </row>
    <row r="102" spans="2:7" ht="15.75" customHeight="1" x14ac:dyDescent="0.25">
      <c r="B102" s="144"/>
      <c r="G102" s="145"/>
    </row>
    <row r="103" spans="2:7" ht="15.75" customHeight="1" x14ac:dyDescent="0.25">
      <c r="B103" s="144"/>
      <c r="G103" s="145"/>
    </row>
    <row r="104" spans="2:7" ht="15.75" customHeight="1" x14ac:dyDescent="0.25">
      <c r="B104" s="144"/>
      <c r="G104" s="145"/>
    </row>
    <row r="105" spans="2:7" ht="15.75" customHeight="1" x14ac:dyDescent="0.25">
      <c r="B105" s="144"/>
      <c r="G105" s="145"/>
    </row>
    <row r="106" spans="2:7" ht="15.75" customHeight="1" x14ac:dyDescent="0.25">
      <c r="B106" s="144"/>
      <c r="G106" s="145"/>
    </row>
    <row r="107" spans="2:7" ht="15.75" customHeight="1" x14ac:dyDescent="0.25">
      <c r="B107" s="144"/>
      <c r="G107" s="145"/>
    </row>
    <row r="108" spans="2:7" ht="15.75" customHeight="1" x14ac:dyDescent="0.25">
      <c r="B108" s="144"/>
      <c r="G108" s="145"/>
    </row>
    <row r="109" spans="2:7" ht="15.75" customHeight="1" x14ac:dyDescent="0.25">
      <c r="B109" s="144"/>
      <c r="G109" s="145"/>
    </row>
    <row r="110" spans="2:7" ht="15.75" customHeight="1" x14ac:dyDescent="0.25">
      <c r="B110" s="144"/>
      <c r="G110" s="145"/>
    </row>
    <row r="111" spans="2:7" ht="15.75" customHeight="1" x14ac:dyDescent="0.25">
      <c r="B111" s="144"/>
      <c r="G111" s="145"/>
    </row>
    <row r="112" spans="2:7" ht="15.75" customHeight="1" x14ac:dyDescent="0.25">
      <c r="B112" s="144"/>
      <c r="G112" s="145"/>
    </row>
    <row r="113" spans="2:7" ht="15.75" customHeight="1" x14ac:dyDescent="0.25">
      <c r="B113" s="144"/>
      <c r="G113" s="145"/>
    </row>
    <row r="114" spans="2:7" ht="15.75" customHeight="1" x14ac:dyDescent="0.25">
      <c r="B114" s="144"/>
      <c r="G114" s="145"/>
    </row>
    <row r="115" spans="2:7" ht="15.75" customHeight="1" x14ac:dyDescent="0.25">
      <c r="B115" s="144"/>
      <c r="G115" s="145"/>
    </row>
    <row r="116" spans="2:7" ht="15.75" customHeight="1" x14ac:dyDescent="0.25">
      <c r="B116" s="144"/>
      <c r="G116" s="145"/>
    </row>
    <row r="117" spans="2:7" ht="15.75" customHeight="1" x14ac:dyDescent="0.25">
      <c r="B117" s="144"/>
      <c r="G117" s="145"/>
    </row>
    <row r="118" spans="2:7" ht="15.75" customHeight="1" x14ac:dyDescent="0.25">
      <c r="B118" s="144"/>
      <c r="G118" s="145"/>
    </row>
    <row r="119" spans="2:7" ht="15.75" customHeight="1" x14ac:dyDescent="0.25">
      <c r="B119" s="144"/>
      <c r="G119" s="145"/>
    </row>
    <row r="120" spans="2:7" ht="15.75" customHeight="1" x14ac:dyDescent="0.25">
      <c r="B120" s="144"/>
      <c r="G120" s="145"/>
    </row>
    <row r="121" spans="2:7" ht="15.75" customHeight="1" x14ac:dyDescent="0.25">
      <c r="B121" s="144"/>
      <c r="G121" s="145"/>
    </row>
    <row r="122" spans="2:7" ht="15.75" customHeight="1" x14ac:dyDescent="0.25">
      <c r="B122" s="144"/>
      <c r="G122" s="145"/>
    </row>
    <row r="123" spans="2:7" ht="15.75" customHeight="1" x14ac:dyDescent="0.25">
      <c r="B123" s="144"/>
      <c r="G123" s="145"/>
    </row>
    <row r="124" spans="2:7" ht="15.75" customHeight="1" x14ac:dyDescent="0.25">
      <c r="B124" s="144"/>
      <c r="G124" s="145"/>
    </row>
    <row r="125" spans="2:7" ht="15.75" customHeight="1" x14ac:dyDescent="0.25">
      <c r="B125" s="144"/>
      <c r="G125" s="145"/>
    </row>
    <row r="126" spans="2:7" ht="15.75" customHeight="1" x14ac:dyDescent="0.25">
      <c r="B126" s="144"/>
      <c r="G126" s="145"/>
    </row>
    <row r="127" spans="2:7" ht="15.75" customHeight="1" x14ac:dyDescent="0.25">
      <c r="B127" s="144"/>
      <c r="G127" s="145"/>
    </row>
    <row r="128" spans="2:7" ht="15.75" customHeight="1" x14ac:dyDescent="0.25">
      <c r="B128" s="144"/>
      <c r="G128" s="145"/>
    </row>
    <row r="129" spans="2:7" ht="15.75" customHeight="1" x14ac:dyDescent="0.25">
      <c r="B129" s="144"/>
      <c r="G129" s="145"/>
    </row>
    <row r="130" spans="2:7" ht="15.75" customHeight="1" x14ac:dyDescent="0.25">
      <c r="B130" s="144"/>
      <c r="G130" s="145"/>
    </row>
    <row r="131" spans="2:7" ht="15.75" customHeight="1" x14ac:dyDescent="0.25">
      <c r="B131" s="144"/>
      <c r="G131" s="145"/>
    </row>
    <row r="132" spans="2:7" ht="15.75" customHeight="1" x14ac:dyDescent="0.25">
      <c r="B132" s="144"/>
      <c r="G132" s="145"/>
    </row>
    <row r="133" spans="2:7" ht="15.75" customHeight="1" x14ac:dyDescent="0.25">
      <c r="B133" s="144"/>
      <c r="G133" s="145"/>
    </row>
    <row r="134" spans="2:7" ht="15.75" customHeight="1" x14ac:dyDescent="0.25">
      <c r="B134" s="144"/>
      <c r="G134" s="145"/>
    </row>
    <row r="135" spans="2:7" ht="15.75" customHeight="1" x14ac:dyDescent="0.25">
      <c r="B135" s="144"/>
      <c r="G135" s="145"/>
    </row>
    <row r="136" spans="2:7" ht="15.75" customHeight="1" x14ac:dyDescent="0.25">
      <c r="B136" s="144"/>
      <c r="G136" s="145"/>
    </row>
    <row r="137" spans="2:7" ht="15.75" customHeight="1" x14ac:dyDescent="0.25">
      <c r="B137" s="144"/>
      <c r="G137" s="145"/>
    </row>
    <row r="138" spans="2:7" ht="15.75" customHeight="1" x14ac:dyDescent="0.25">
      <c r="B138" s="144"/>
      <c r="G138" s="145"/>
    </row>
    <row r="139" spans="2:7" ht="15.75" customHeight="1" x14ac:dyDescent="0.25">
      <c r="B139" s="144"/>
      <c r="G139" s="145"/>
    </row>
    <row r="140" spans="2:7" ht="15.75" customHeight="1" x14ac:dyDescent="0.25">
      <c r="B140" s="144"/>
      <c r="G140" s="145"/>
    </row>
    <row r="141" spans="2:7" ht="15.75" customHeight="1" x14ac:dyDescent="0.25">
      <c r="B141" s="144"/>
      <c r="G141" s="145"/>
    </row>
    <row r="142" spans="2:7" ht="15.75" customHeight="1" x14ac:dyDescent="0.25">
      <c r="B142" s="144"/>
      <c r="G142" s="145"/>
    </row>
    <row r="143" spans="2:7" ht="15.75" customHeight="1" x14ac:dyDescent="0.25">
      <c r="B143" s="144"/>
      <c r="G143" s="145"/>
    </row>
    <row r="144" spans="2:7" ht="15.75" customHeight="1" x14ac:dyDescent="0.25">
      <c r="B144" s="144"/>
      <c r="G144" s="145"/>
    </row>
    <row r="145" spans="2:7" ht="15.75" customHeight="1" x14ac:dyDescent="0.25">
      <c r="B145" s="144"/>
      <c r="G145" s="145"/>
    </row>
    <row r="146" spans="2:7" ht="15.75" customHeight="1" x14ac:dyDescent="0.25">
      <c r="B146" s="144"/>
      <c r="G146" s="145"/>
    </row>
    <row r="147" spans="2:7" ht="15.75" customHeight="1" x14ac:dyDescent="0.25">
      <c r="B147" s="144"/>
      <c r="G147" s="145"/>
    </row>
    <row r="148" spans="2:7" ht="15.75" customHeight="1" x14ac:dyDescent="0.25">
      <c r="B148" s="144"/>
      <c r="G148" s="145"/>
    </row>
    <row r="149" spans="2:7" ht="15.75" customHeight="1" x14ac:dyDescent="0.25">
      <c r="B149" s="144"/>
      <c r="G149" s="145"/>
    </row>
    <row r="150" spans="2:7" ht="15.75" customHeight="1" x14ac:dyDescent="0.25">
      <c r="B150" s="144"/>
      <c r="G150" s="145"/>
    </row>
    <row r="151" spans="2:7" ht="15.75" customHeight="1" x14ac:dyDescent="0.25">
      <c r="B151" s="144"/>
      <c r="G151" s="145"/>
    </row>
    <row r="152" spans="2:7" ht="15.75" customHeight="1" x14ac:dyDescent="0.25">
      <c r="B152" s="144"/>
      <c r="G152" s="145"/>
    </row>
    <row r="153" spans="2:7" ht="15.75" customHeight="1" x14ac:dyDescent="0.25">
      <c r="B153" s="144"/>
      <c r="G153" s="145"/>
    </row>
    <row r="154" spans="2:7" ht="15.75" customHeight="1" x14ac:dyDescent="0.25">
      <c r="B154" s="144"/>
      <c r="G154" s="145"/>
    </row>
    <row r="155" spans="2:7" ht="15.75" customHeight="1" x14ac:dyDescent="0.25">
      <c r="B155" s="144"/>
      <c r="G155" s="145"/>
    </row>
    <row r="156" spans="2:7" ht="15.75" customHeight="1" x14ac:dyDescent="0.25">
      <c r="B156" s="144"/>
      <c r="G156" s="145"/>
    </row>
    <row r="157" spans="2:7" ht="15.75" customHeight="1" x14ac:dyDescent="0.25">
      <c r="B157" s="144"/>
      <c r="G157" s="145"/>
    </row>
    <row r="158" spans="2:7" ht="15.75" customHeight="1" x14ac:dyDescent="0.25">
      <c r="B158" s="144"/>
      <c r="G158" s="145"/>
    </row>
    <row r="159" spans="2:7" ht="15.75" customHeight="1" x14ac:dyDescent="0.25">
      <c r="B159" s="144"/>
      <c r="G159" s="145"/>
    </row>
    <row r="160" spans="2:7" ht="15.75" customHeight="1" x14ac:dyDescent="0.25">
      <c r="B160" s="144"/>
      <c r="G160" s="145"/>
    </row>
    <row r="161" spans="2:7" ht="15.75" customHeight="1" x14ac:dyDescent="0.25">
      <c r="B161" s="144"/>
      <c r="G161" s="145"/>
    </row>
    <row r="162" spans="2:7" ht="15.75" customHeight="1" x14ac:dyDescent="0.25">
      <c r="B162" s="144"/>
      <c r="G162" s="145"/>
    </row>
    <row r="163" spans="2:7" ht="15.75" customHeight="1" x14ac:dyDescent="0.25">
      <c r="B163" s="144"/>
      <c r="G163" s="145"/>
    </row>
    <row r="164" spans="2:7" ht="15.75" customHeight="1" x14ac:dyDescent="0.25">
      <c r="B164" s="144"/>
      <c r="G164" s="145"/>
    </row>
    <row r="165" spans="2:7" ht="15.75" customHeight="1" x14ac:dyDescent="0.25">
      <c r="B165" s="144"/>
      <c r="G165" s="145"/>
    </row>
    <row r="166" spans="2:7" ht="15.75" customHeight="1" x14ac:dyDescent="0.25">
      <c r="B166" s="144"/>
      <c r="G166" s="145"/>
    </row>
    <row r="167" spans="2:7" ht="15.75" customHeight="1" x14ac:dyDescent="0.25">
      <c r="B167" s="144"/>
      <c r="G167" s="145"/>
    </row>
    <row r="168" spans="2:7" ht="15.75" customHeight="1" x14ac:dyDescent="0.25">
      <c r="B168" s="144"/>
      <c r="G168" s="145"/>
    </row>
    <row r="169" spans="2:7" ht="15.75" customHeight="1" x14ac:dyDescent="0.25">
      <c r="B169" s="144"/>
      <c r="G169" s="145"/>
    </row>
    <row r="170" spans="2:7" ht="15.75" customHeight="1" x14ac:dyDescent="0.25">
      <c r="B170" s="144"/>
      <c r="G170" s="145"/>
    </row>
    <row r="171" spans="2:7" ht="15.75" customHeight="1" x14ac:dyDescent="0.25">
      <c r="B171" s="144"/>
      <c r="G171" s="145"/>
    </row>
    <row r="172" spans="2:7" ht="15.75" customHeight="1" x14ac:dyDescent="0.25">
      <c r="B172" s="144"/>
      <c r="G172" s="145"/>
    </row>
    <row r="173" spans="2:7" ht="15.75" customHeight="1" x14ac:dyDescent="0.25">
      <c r="B173" s="144"/>
      <c r="G173" s="145"/>
    </row>
    <row r="174" spans="2:7" ht="15.75" customHeight="1" x14ac:dyDescent="0.25">
      <c r="B174" s="144"/>
      <c r="G174" s="145"/>
    </row>
    <row r="175" spans="2:7" ht="15.75" customHeight="1" x14ac:dyDescent="0.25">
      <c r="B175" s="144"/>
      <c r="G175" s="145"/>
    </row>
    <row r="176" spans="2:7" ht="15.75" customHeight="1" x14ac:dyDescent="0.25">
      <c r="B176" s="144"/>
      <c r="G176" s="145"/>
    </row>
    <row r="177" spans="2:7" ht="15.75" customHeight="1" x14ac:dyDescent="0.25">
      <c r="B177" s="144"/>
      <c r="G177" s="145"/>
    </row>
    <row r="178" spans="2:7" ht="15.75" customHeight="1" x14ac:dyDescent="0.25">
      <c r="B178" s="144"/>
      <c r="G178" s="145"/>
    </row>
    <row r="179" spans="2:7" ht="15.75" customHeight="1" x14ac:dyDescent="0.25">
      <c r="B179" s="144"/>
      <c r="G179" s="145"/>
    </row>
    <row r="180" spans="2:7" ht="15.75" customHeight="1" x14ac:dyDescent="0.25">
      <c r="B180" s="144"/>
      <c r="G180" s="145"/>
    </row>
    <row r="181" spans="2:7" ht="15.75" customHeight="1" x14ac:dyDescent="0.25">
      <c r="B181" s="144"/>
      <c r="G181" s="145"/>
    </row>
    <row r="182" spans="2:7" ht="15.75" customHeight="1" x14ac:dyDescent="0.25">
      <c r="B182" s="144"/>
      <c r="G182" s="145"/>
    </row>
    <row r="183" spans="2:7" ht="15.75" customHeight="1" x14ac:dyDescent="0.25">
      <c r="B183" s="144"/>
      <c r="G183" s="145"/>
    </row>
    <row r="184" spans="2:7" ht="15.75" customHeight="1" x14ac:dyDescent="0.25">
      <c r="B184" s="144"/>
      <c r="G184" s="145"/>
    </row>
    <row r="185" spans="2:7" ht="15.75" customHeight="1" x14ac:dyDescent="0.25">
      <c r="B185" s="144"/>
      <c r="G185" s="145"/>
    </row>
    <row r="186" spans="2:7" ht="15.75" customHeight="1" x14ac:dyDescent="0.25">
      <c r="B186" s="144"/>
      <c r="G186" s="145"/>
    </row>
    <row r="187" spans="2:7" ht="15.75" customHeight="1" x14ac:dyDescent="0.25">
      <c r="B187" s="144"/>
      <c r="G187" s="145"/>
    </row>
    <row r="188" spans="2:7" ht="15.75" customHeight="1" x14ac:dyDescent="0.25">
      <c r="B188" s="144"/>
      <c r="G188" s="145"/>
    </row>
    <row r="189" spans="2:7" ht="15.75" customHeight="1" x14ac:dyDescent="0.25">
      <c r="B189" s="144"/>
      <c r="G189" s="145"/>
    </row>
    <row r="190" spans="2:7" ht="15.75" customHeight="1" x14ac:dyDescent="0.25">
      <c r="B190" s="144"/>
      <c r="G190" s="145"/>
    </row>
    <row r="191" spans="2:7" ht="15.75" customHeight="1" x14ac:dyDescent="0.25">
      <c r="B191" s="144"/>
      <c r="G191" s="145"/>
    </row>
    <row r="192" spans="2:7" ht="15.75" customHeight="1" x14ac:dyDescent="0.25">
      <c r="B192" s="144"/>
      <c r="G192" s="145"/>
    </row>
    <row r="193" spans="2:7" ht="15.75" customHeight="1" x14ac:dyDescent="0.25">
      <c r="B193" s="144"/>
      <c r="G193" s="145"/>
    </row>
    <row r="194" spans="2:7" ht="15.75" customHeight="1" x14ac:dyDescent="0.25">
      <c r="B194" s="144"/>
      <c r="G194" s="145"/>
    </row>
    <row r="195" spans="2:7" ht="15.75" customHeight="1" x14ac:dyDescent="0.25">
      <c r="B195" s="144"/>
      <c r="G195" s="145"/>
    </row>
    <row r="196" spans="2:7" ht="15.75" customHeight="1" x14ac:dyDescent="0.25">
      <c r="B196" s="144"/>
      <c r="G196" s="145"/>
    </row>
    <row r="197" spans="2:7" ht="15.75" customHeight="1" x14ac:dyDescent="0.25">
      <c r="B197" s="144"/>
      <c r="G197" s="145"/>
    </row>
    <row r="198" spans="2:7" ht="15.75" customHeight="1" x14ac:dyDescent="0.25">
      <c r="B198" s="144"/>
      <c r="G198" s="145"/>
    </row>
    <row r="199" spans="2:7" ht="15.75" customHeight="1" x14ac:dyDescent="0.25">
      <c r="B199" s="144"/>
      <c r="G199" s="145"/>
    </row>
    <row r="200" spans="2:7" ht="15.75" customHeight="1" x14ac:dyDescent="0.25">
      <c r="B200" s="144"/>
      <c r="G200" s="145"/>
    </row>
    <row r="201" spans="2:7" ht="15.75" customHeight="1" x14ac:dyDescent="0.25">
      <c r="B201" s="144"/>
      <c r="G201" s="145"/>
    </row>
    <row r="202" spans="2:7" ht="15.75" customHeight="1" x14ac:dyDescent="0.25">
      <c r="B202" s="144"/>
      <c r="G202" s="145"/>
    </row>
    <row r="203" spans="2:7" ht="15.75" customHeight="1" x14ac:dyDescent="0.25">
      <c r="B203" s="144"/>
      <c r="G203" s="145"/>
    </row>
    <row r="204" spans="2:7" ht="15.75" customHeight="1" x14ac:dyDescent="0.25">
      <c r="B204" s="144"/>
      <c r="G204" s="145"/>
    </row>
    <row r="205" spans="2:7" ht="15.75" customHeight="1" x14ac:dyDescent="0.25">
      <c r="B205" s="144"/>
      <c r="G205" s="145"/>
    </row>
    <row r="206" spans="2:7" ht="15.75" customHeight="1" x14ac:dyDescent="0.25">
      <c r="B206" s="144"/>
      <c r="G206" s="145"/>
    </row>
    <row r="207" spans="2:7" ht="15.75" customHeight="1" x14ac:dyDescent="0.25">
      <c r="B207" s="144"/>
      <c r="G207" s="145"/>
    </row>
    <row r="208" spans="2:7" ht="15.75" customHeight="1" x14ac:dyDescent="0.25">
      <c r="B208" s="144"/>
      <c r="G208" s="145"/>
    </row>
    <row r="209" spans="2:7" ht="15.75" customHeight="1" x14ac:dyDescent="0.25">
      <c r="B209" s="144"/>
      <c r="G209" s="145"/>
    </row>
    <row r="210" spans="2:7" ht="15.75" customHeight="1" x14ac:dyDescent="0.25">
      <c r="B210" s="144"/>
      <c r="G210" s="145"/>
    </row>
    <row r="211" spans="2:7" ht="15.75" customHeight="1" x14ac:dyDescent="0.25">
      <c r="B211" s="144"/>
      <c r="G211" s="145"/>
    </row>
    <row r="212" spans="2:7" ht="15.75" customHeight="1" x14ac:dyDescent="0.25">
      <c r="B212" s="144"/>
      <c r="G212" s="145"/>
    </row>
    <row r="213" spans="2:7" ht="15.75" customHeight="1" x14ac:dyDescent="0.25">
      <c r="B213" s="144"/>
      <c r="G213" s="145"/>
    </row>
    <row r="214" spans="2:7" ht="15.75" customHeight="1" x14ac:dyDescent="0.25">
      <c r="B214" s="144"/>
      <c r="G214" s="145"/>
    </row>
    <row r="215" spans="2:7" ht="15.75" customHeight="1" x14ac:dyDescent="0.25">
      <c r="B215" s="144"/>
      <c r="G215" s="145"/>
    </row>
    <row r="216" spans="2:7" ht="15.75" customHeight="1" x14ac:dyDescent="0.25">
      <c r="B216" s="144"/>
      <c r="G216" s="145"/>
    </row>
    <row r="217" spans="2:7" ht="15.75" customHeight="1" x14ac:dyDescent="0.25">
      <c r="B217" s="144"/>
      <c r="G217" s="145"/>
    </row>
    <row r="218" spans="2:7" ht="15.75" customHeight="1" x14ac:dyDescent="0.25">
      <c r="B218" s="144"/>
      <c r="G218" s="145"/>
    </row>
    <row r="219" spans="2:7" ht="15.75" customHeight="1" x14ac:dyDescent="0.25">
      <c r="B219" s="144"/>
      <c r="G219" s="145"/>
    </row>
    <row r="220" spans="2:7" ht="15.75" customHeight="1" x14ac:dyDescent="0.25">
      <c r="B220" s="144"/>
      <c r="G220" s="145"/>
    </row>
    <row r="221" spans="2:7" ht="15.75" customHeight="1" x14ac:dyDescent="0.25">
      <c r="B221" s="144"/>
      <c r="G221" s="145"/>
    </row>
    <row r="222" spans="2:7" ht="15.75" customHeight="1" x14ac:dyDescent="0.25">
      <c r="B222" s="144"/>
      <c r="G222" s="145"/>
    </row>
    <row r="223" spans="2:7" ht="15.75" customHeight="1" x14ac:dyDescent="0.25">
      <c r="B223" s="144"/>
      <c r="G223" s="145"/>
    </row>
    <row r="224" spans="2:7" ht="15.75" customHeight="1" x14ac:dyDescent="0.25">
      <c r="B224" s="144"/>
      <c r="G224" s="145"/>
    </row>
    <row r="225" spans="2:7" ht="15.75" customHeight="1" x14ac:dyDescent="0.25">
      <c r="B225" s="144"/>
      <c r="G225" s="145"/>
    </row>
    <row r="226" spans="2:7" ht="15.75" customHeight="1" x14ac:dyDescent="0.25">
      <c r="B226" s="144"/>
      <c r="G226" s="145"/>
    </row>
    <row r="227" spans="2:7" ht="15.75" customHeight="1" x14ac:dyDescent="0.25">
      <c r="B227" s="144"/>
      <c r="G227" s="145"/>
    </row>
    <row r="228" spans="2:7" ht="15.75" customHeight="1" x14ac:dyDescent="0.25">
      <c r="B228" s="144"/>
      <c r="G228" s="145"/>
    </row>
    <row r="229" spans="2:7" ht="15.75" customHeight="1" x14ac:dyDescent="0.25">
      <c r="B229" s="144"/>
      <c r="G229" s="145"/>
    </row>
    <row r="230" spans="2:7" ht="15.75" customHeight="1" x14ac:dyDescent="0.25">
      <c r="B230" s="144"/>
      <c r="G230" s="145"/>
    </row>
    <row r="231" spans="2:7" ht="15.75" customHeight="1" x14ac:dyDescent="0.25">
      <c r="B231" s="144"/>
      <c r="G231" s="145"/>
    </row>
    <row r="232" spans="2:7" ht="15.75" customHeight="1" x14ac:dyDescent="0.25">
      <c r="B232" s="144"/>
      <c r="G232" s="145"/>
    </row>
    <row r="233" spans="2:7" ht="15.75" customHeight="1" x14ac:dyDescent="0.25">
      <c r="B233" s="144"/>
      <c r="G233" s="145"/>
    </row>
    <row r="234" spans="2:7" ht="15.75" customHeight="1" x14ac:dyDescent="0.25">
      <c r="B234" s="144"/>
      <c r="G234" s="145"/>
    </row>
    <row r="235" spans="2:7" ht="15.75" customHeight="1" x14ac:dyDescent="0.25">
      <c r="B235" s="144"/>
      <c r="G235" s="145"/>
    </row>
    <row r="236" spans="2:7" ht="15.75" customHeight="1" x14ac:dyDescent="0.25">
      <c r="B236" s="144"/>
      <c r="G236" s="145"/>
    </row>
    <row r="237" spans="2:7" ht="15.75" customHeight="1" x14ac:dyDescent="0.25">
      <c r="B237" s="144"/>
      <c r="G237" s="145"/>
    </row>
    <row r="238" spans="2:7" ht="15.75" customHeight="1" x14ac:dyDescent="0.25">
      <c r="B238" s="144"/>
      <c r="G238" s="145"/>
    </row>
    <row r="239" spans="2:7" ht="15.75" customHeight="1" x14ac:dyDescent="0.25">
      <c r="B239" s="144"/>
      <c r="G239" s="145"/>
    </row>
    <row r="240" spans="2:7" ht="15.75" customHeight="1" x14ac:dyDescent="0.25">
      <c r="B240" s="144"/>
      <c r="G240" s="145"/>
    </row>
    <row r="241" spans="2:7" ht="15.75" customHeight="1" x14ac:dyDescent="0.25">
      <c r="B241" s="144"/>
      <c r="G241" s="145"/>
    </row>
    <row r="242" spans="2:7" ht="15.75" customHeight="1" x14ac:dyDescent="0.25">
      <c r="B242" s="144"/>
      <c r="G242" s="145"/>
    </row>
    <row r="243" spans="2:7" ht="15.75" customHeight="1" x14ac:dyDescent="0.25">
      <c r="B243" s="144"/>
      <c r="G243" s="145"/>
    </row>
    <row r="244" spans="2:7" ht="15.75" customHeight="1" x14ac:dyDescent="0.25">
      <c r="B244" s="144"/>
      <c r="G244" s="145"/>
    </row>
    <row r="245" spans="2:7" ht="15.75" customHeight="1" x14ac:dyDescent="0.25">
      <c r="B245" s="144"/>
      <c r="G245" s="145"/>
    </row>
    <row r="246" spans="2:7" ht="15.75" customHeight="1" x14ac:dyDescent="0.25">
      <c r="B246" s="144"/>
      <c r="G246" s="145"/>
    </row>
    <row r="247" spans="2:7" ht="15.75" customHeight="1" x14ac:dyDescent="0.25">
      <c r="B247" s="144"/>
      <c r="G247" s="145"/>
    </row>
    <row r="248" spans="2:7" ht="15.75" customHeight="1" x14ac:dyDescent="0.25">
      <c r="B248" s="144"/>
      <c r="G248" s="145"/>
    </row>
    <row r="249" spans="2:7" ht="15.75" customHeight="1" x14ac:dyDescent="0.25">
      <c r="B249" s="144"/>
      <c r="G249" s="145"/>
    </row>
    <row r="250" spans="2:7" ht="15.75" customHeight="1" x14ac:dyDescent="0.25">
      <c r="B250" s="144"/>
      <c r="G250" s="145"/>
    </row>
    <row r="251" spans="2:7" ht="15.75" customHeight="1" x14ac:dyDescent="0.25">
      <c r="B251" s="144"/>
      <c r="G251" s="145"/>
    </row>
    <row r="252" spans="2:7" ht="15.75" customHeight="1" x14ac:dyDescent="0.25">
      <c r="B252" s="144"/>
      <c r="G252" s="145"/>
    </row>
    <row r="253" spans="2:7" ht="15.75" customHeight="1" x14ac:dyDescent="0.25">
      <c r="B253" s="144"/>
      <c r="G253" s="145"/>
    </row>
    <row r="254" spans="2:7" ht="15.75" customHeight="1" x14ac:dyDescent="0.25">
      <c r="B254" s="144"/>
      <c r="G254" s="145"/>
    </row>
    <row r="255" spans="2:7" ht="15.75" customHeight="1" x14ac:dyDescent="0.25">
      <c r="B255" s="144"/>
      <c r="G255" s="145"/>
    </row>
    <row r="256" spans="2:7" ht="15.75" customHeight="1" x14ac:dyDescent="0.25">
      <c r="B256" s="144"/>
      <c r="G256" s="145"/>
    </row>
    <row r="257" spans="2:7" ht="15.75" customHeight="1" x14ac:dyDescent="0.25">
      <c r="B257" s="144"/>
      <c r="G257" s="145"/>
    </row>
    <row r="258" spans="2:7" ht="15.75" customHeight="1" x14ac:dyDescent="0.25">
      <c r="B258" s="144"/>
      <c r="G258" s="145"/>
    </row>
    <row r="259" spans="2:7" ht="15.75" customHeight="1" x14ac:dyDescent="0.25">
      <c r="B259" s="144"/>
      <c r="G259" s="145"/>
    </row>
    <row r="260" spans="2:7" ht="15.75" customHeight="1" x14ac:dyDescent="0.25">
      <c r="B260" s="144"/>
      <c r="G260" s="145"/>
    </row>
    <row r="261" spans="2:7" ht="15.75" customHeight="1" x14ac:dyDescent="0.25">
      <c r="B261" s="144"/>
      <c r="G261" s="145"/>
    </row>
    <row r="262" spans="2:7" ht="15.75" customHeight="1" x14ac:dyDescent="0.25">
      <c r="B262" s="144"/>
      <c r="G262" s="145"/>
    </row>
    <row r="263" spans="2:7" ht="15.75" customHeight="1" x14ac:dyDescent="0.25">
      <c r="B263" s="144"/>
      <c r="G263" s="145"/>
    </row>
    <row r="264" spans="2:7" ht="15.75" customHeight="1" x14ac:dyDescent="0.25">
      <c r="B264" s="144"/>
      <c r="G264" s="145"/>
    </row>
    <row r="265" spans="2:7" ht="15.75" customHeight="1" x14ac:dyDescent="0.25">
      <c r="B265" s="144"/>
      <c r="G265" s="145"/>
    </row>
    <row r="266" spans="2:7" ht="15.75" customHeight="1" x14ac:dyDescent="0.25">
      <c r="B266" s="144"/>
      <c r="G266" s="145"/>
    </row>
    <row r="267" spans="2:7" ht="15.75" customHeight="1" x14ac:dyDescent="0.25">
      <c r="B267" s="144"/>
      <c r="G267" s="145"/>
    </row>
    <row r="268" spans="2:7" ht="15.75" customHeight="1" x14ac:dyDescent="0.25">
      <c r="B268" s="144"/>
      <c r="G268" s="145"/>
    </row>
    <row r="269" spans="2:7" ht="15.75" customHeight="1" x14ac:dyDescent="0.25">
      <c r="B269" s="144"/>
      <c r="G269" s="145"/>
    </row>
    <row r="270" spans="2:7" ht="15.75" customHeight="1" x14ac:dyDescent="0.25">
      <c r="B270" s="144"/>
      <c r="G270" s="145"/>
    </row>
    <row r="271" spans="2:7" ht="15.75" customHeight="1" x14ac:dyDescent="0.25">
      <c r="B271" s="144"/>
      <c r="G271" s="145"/>
    </row>
    <row r="272" spans="2:7" ht="15.75" customHeight="1" x14ac:dyDescent="0.25">
      <c r="B272" s="144"/>
      <c r="G272" s="145"/>
    </row>
    <row r="273" spans="2:7" ht="15.75" customHeight="1" x14ac:dyDescent="0.25">
      <c r="B273" s="144"/>
      <c r="G273" s="145"/>
    </row>
    <row r="274" spans="2:7" ht="15.75" customHeight="1" x14ac:dyDescent="0.25">
      <c r="B274" s="144"/>
      <c r="G274" s="145"/>
    </row>
    <row r="275" spans="2:7" ht="15.75" customHeight="1" x14ac:dyDescent="0.25">
      <c r="B275" s="144"/>
      <c r="G275" s="145"/>
    </row>
    <row r="276" spans="2:7" ht="15.75" customHeight="1" x14ac:dyDescent="0.25">
      <c r="B276" s="144"/>
      <c r="G276" s="145"/>
    </row>
    <row r="277" spans="2:7" ht="15.75" customHeight="1" x14ac:dyDescent="0.25">
      <c r="B277" s="144"/>
      <c r="G277" s="145"/>
    </row>
    <row r="278" spans="2:7" ht="15.75" customHeight="1" x14ac:dyDescent="0.25">
      <c r="B278" s="144"/>
      <c r="G278" s="145"/>
    </row>
    <row r="279" spans="2:7" ht="15.75" customHeight="1" x14ac:dyDescent="0.25">
      <c r="B279" s="144"/>
      <c r="G279" s="145"/>
    </row>
    <row r="280" spans="2:7" ht="15.75" customHeight="1" x14ac:dyDescent="0.25">
      <c r="B280" s="144"/>
      <c r="G280" s="145"/>
    </row>
    <row r="281" spans="2:7" ht="15.75" customHeight="1" x14ac:dyDescent="0.25">
      <c r="B281" s="144"/>
      <c r="G281" s="145"/>
    </row>
    <row r="282" spans="2:7" ht="15.75" customHeight="1" x14ac:dyDescent="0.25">
      <c r="B282" s="144"/>
      <c r="G282" s="145"/>
    </row>
    <row r="283" spans="2:7" ht="15.75" customHeight="1" x14ac:dyDescent="0.25">
      <c r="B283" s="144"/>
      <c r="G283" s="145"/>
    </row>
    <row r="284" spans="2:7" ht="15.75" customHeight="1" x14ac:dyDescent="0.25">
      <c r="B284" s="144"/>
      <c r="G284" s="145"/>
    </row>
    <row r="285" spans="2:7" ht="15.75" customHeight="1" x14ac:dyDescent="0.25">
      <c r="B285" s="144"/>
      <c r="G285" s="145"/>
    </row>
    <row r="286" spans="2:7" ht="15.75" customHeight="1" x14ac:dyDescent="0.25">
      <c r="B286" s="144"/>
      <c r="G286" s="145"/>
    </row>
    <row r="287" spans="2:7" ht="15.75" customHeight="1" x14ac:dyDescent="0.25">
      <c r="B287" s="144"/>
      <c r="G287" s="145"/>
    </row>
    <row r="288" spans="2:7" ht="15.75" customHeight="1" x14ac:dyDescent="0.25">
      <c r="B288" s="144"/>
      <c r="G288" s="145"/>
    </row>
    <row r="289" spans="2:7" ht="15.75" customHeight="1" x14ac:dyDescent="0.25">
      <c r="B289" s="144"/>
      <c r="G289" s="145"/>
    </row>
    <row r="290" spans="2:7" ht="15.75" customHeight="1" x14ac:dyDescent="0.25">
      <c r="B290" s="144"/>
      <c r="G290" s="145"/>
    </row>
    <row r="291" spans="2:7" ht="15.75" customHeight="1" x14ac:dyDescent="0.25">
      <c r="B291" s="144"/>
      <c r="G291" s="145"/>
    </row>
    <row r="292" spans="2:7" ht="15.75" customHeight="1" x14ac:dyDescent="0.25">
      <c r="B292" s="144"/>
      <c r="G292" s="145"/>
    </row>
    <row r="293" spans="2:7" ht="15.75" customHeight="1" x14ac:dyDescent="0.25">
      <c r="B293" s="144"/>
      <c r="G293" s="145"/>
    </row>
    <row r="294" spans="2:7" ht="15.75" customHeight="1" x14ac:dyDescent="0.25">
      <c r="B294" s="144"/>
      <c r="G294" s="145"/>
    </row>
    <row r="295" spans="2:7" ht="15.75" customHeight="1" x14ac:dyDescent="0.25">
      <c r="B295" s="144"/>
      <c r="G295" s="145"/>
    </row>
    <row r="296" spans="2:7" ht="15.75" customHeight="1" x14ac:dyDescent="0.25">
      <c r="B296" s="144"/>
      <c r="G296" s="145"/>
    </row>
    <row r="297" spans="2:7" ht="15.75" customHeight="1" x14ac:dyDescent="0.25">
      <c r="B297" s="144"/>
      <c r="G297" s="145"/>
    </row>
    <row r="298" spans="2:7" ht="15.75" customHeight="1" x14ac:dyDescent="0.25">
      <c r="B298" s="144"/>
      <c r="G298" s="145"/>
    </row>
    <row r="299" spans="2:7" ht="15.75" customHeight="1" x14ac:dyDescent="0.25">
      <c r="B299" s="144"/>
      <c r="G299" s="145"/>
    </row>
    <row r="300" spans="2:7" ht="15.75" customHeight="1" x14ac:dyDescent="0.25">
      <c r="B300" s="144"/>
      <c r="G300" s="145"/>
    </row>
    <row r="301" spans="2:7" ht="15.75" customHeight="1" x14ac:dyDescent="0.25">
      <c r="B301" s="144"/>
      <c r="G301" s="145"/>
    </row>
    <row r="302" spans="2:7" ht="15.75" customHeight="1" x14ac:dyDescent="0.25">
      <c r="B302" s="144"/>
      <c r="G302" s="145"/>
    </row>
    <row r="303" spans="2:7" ht="15.75" customHeight="1" x14ac:dyDescent="0.25">
      <c r="B303" s="144"/>
      <c r="G303" s="145"/>
    </row>
    <row r="304" spans="2:7" ht="15.75" customHeight="1" x14ac:dyDescent="0.25">
      <c r="B304" s="144"/>
      <c r="G304" s="145"/>
    </row>
    <row r="305" spans="2:7" ht="15.75" customHeight="1" x14ac:dyDescent="0.25">
      <c r="B305" s="144"/>
      <c r="G305" s="145"/>
    </row>
    <row r="306" spans="2:7" ht="15.75" customHeight="1" x14ac:dyDescent="0.25">
      <c r="B306" s="144"/>
      <c r="G306" s="145"/>
    </row>
    <row r="307" spans="2:7" ht="15.75" customHeight="1" x14ac:dyDescent="0.25">
      <c r="B307" s="144"/>
      <c r="G307" s="145"/>
    </row>
    <row r="308" spans="2:7" ht="15.75" customHeight="1" x14ac:dyDescent="0.25">
      <c r="B308" s="144"/>
      <c r="G308" s="145"/>
    </row>
    <row r="309" spans="2:7" ht="15.75" customHeight="1" x14ac:dyDescent="0.25">
      <c r="B309" s="144"/>
      <c r="G309" s="145"/>
    </row>
    <row r="310" spans="2:7" ht="15.75" customHeight="1" x14ac:dyDescent="0.25">
      <c r="B310" s="144"/>
      <c r="G310" s="145"/>
    </row>
    <row r="311" spans="2:7" ht="15.75" customHeight="1" x14ac:dyDescent="0.25">
      <c r="B311" s="144"/>
      <c r="G311" s="145"/>
    </row>
    <row r="312" spans="2:7" ht="15.75" customHeight="1" x14ac:dyDescent="0.25">
      <c r="B312" s="144"/>
      <c r="G312" s="145"/>
    </row>
    <row r="313" spans="2:7" ht="15.75" customHeight="1" x14ac:dyDescent="0.25">
      <c r="B313" s="144"/>
      <c r="G313" s="145"/>
    </row>
    <row r="314" spans="2:7" ht="15.75" customHeight="1" x14ac:dyDescent="0.25">
      <c r="B314" s="144"/>
      <c r="G314" s="145"/>
    </row>
    <row r="315" spans="2:7" ht="15.75" customHeight="1" x14ac:dyDescent="0.25">
      <c r="B315" s="144"/>
      <c r="G315" s="145"/>
    </row>
    <row r="316" spans="2:7" ht="15.75" customHeight="1" x14ac:dyDescent="0.25">
      <c r="B316" s="144"/>
      <c r="G316" s="145"/>
    </row>
    <row r="317" spans="2:7" ht="15.75" customHeight="1" x14ac:dyDescent="0.25">
      <c r="B317" s="144"/>
      <c r="G317" s="145"/>
    </row>
    <row r="318" spans="2:7" ht="15.75" customHeight="1" x14ac:dyDescent="0.25">
      <c r="B318" s="144"/>
      <c r="G318" s="145"/>
    </row>
    <row r="319" spans="2:7" ht="15.75" customHeight="1" x14ac:dyDescent="0.25">
      <c r="B319" s="144"/>
      <c r="G319" s="145"/>
    </row>
    <row r="320" spans="2:7" ht="15.75" customHeight="1" x14ac:dyDescent="0.25">
      <c r="B320" s="144"/>
      <c r="G320" s="145"/>
    </row>
    <row r="321" spans="2:7" ht="15.75" customHeight="1" x14ac:dyDescent="0.25">
      <c r="B321" s="144"/>
      <c r="G321" s="145"/>
    </row>
    <row r="322" spans="2:7" ht="15.75" customHeight="1" x14ac:dyDescent="0.25">
      <c r="B322" s="144"/>
      <c r="G322" s="145"/>
    </row>
    <row r="323" spans="2:7" ht="15.75" customHeight="1" x14ac:dyDescent="0.25">
      <c r="B323" s="144"/>
      <c r="G323" s="145"/>
    </row>
    <row r="324" spans="2:7" ht="15.75" customHeight="1" x14ac:dyDescent="0.25">
      <c r="B324" s="144"/>
      <c r="G324" s="145"/>
    </row>
    <row r="325" spans="2:7" ht="15.75" customHeight="1" x14ac:dyDescent="0.25">
      <c r="B325" s="144"/>
      <c r="G325" s="145"/>
    </row>
    <row r="326" spans="2:7" ht="15.75" customHeight="1" x14ac:dyDescent="0.25">
      <c r="B326" s="144"/>
      <c r="G326" s="145"/>
    </row>
    <row r="327" spans="2:7" ht="15.75" customHeight="1" x14ac:dyDescent="0.25">
      <c r="B327" s="144"/>
      <c r="G327" s="145"/>
    </row>
    <row r="328" spans="2:7" ht="15.75" customHeight="1" x14ac:dyDescent="0.25">
      <c r="B328" s="144"/>
      <c r="G328" s="145"/>
    </row>
    <row r="329" spans="2:7" ht="15.75" customHeight="1" x14ac:dyDescent="0.25">
      <c r="B329" s="144"/>
      <c r="G329" s="145"/>
    </row>
    <row r="330" spans="2:7" ht="15.75" customHeight="1" x14ac:dyDescent="0.25">
      <c r="B330" s="144"/>
      <c r="G330" s="145"/>
    </row>
    <row r="331" spans="2:7" ht="15.75" customHeight="1" x14ac:dyDescent="0.25">
      <c r="B331" s="144"/>
      <c r="G331" s="145"/>
    </row>
    <row r="332" spans="2:7" ht="15.75" customHeight="1" x14ac:dyDescent="0.25">
      <c r="B332" s="144"/>
      <c r="G332" s="145"/>
    </row>
    <row r="333" spans="2:7" ht="15.75" customHeight="1" x14ac:dyDescent="0.25">
      <c r="B333" s="144"/>
      <c r="G333" s="145"/>
    </row>
    <row r="334" spans="2:7" ht="15.75" customHeight="1" x14ac:dyDescent="0.25">
      <c r="B334" s="144"/>
      <c r="G334" s="145"/>
    </row>
    <row r="335" spans="2:7" ht="15.75" customHeight="1" x14ac:dyDescent="0.25">
      <c r="B335" s="144"/>
      <c r="G335" s="145"/>
    </row>
    <row r="336" spans="2:7" ht="15.75" customHeight="1" x14ac:dyDescent="0.25">
      <c r="B336" s="144"/>
      <c r="G336" s="145"/>
    </row>
    <row r="337" spans="2:7" ht="15.75" customHeight="1" x14ac:dyDescent="0.25">
      <c r="B337" s="144"/>
      <c r="G337" s="145"/>
    </row>
    <row r="338" spans="2:7" ht="15.75" customHeight="1" x14ac:dyDescent="0.25">
      <c r="B338" s="144"/>
      <c r="G338" s="145"/>
    </row>
    <row r="339" spans="2:7" ht="15.75" customHeight="1" x14ac:dyDescent="0.25">
      <c r="B339" s="144"/>
      <c r="G339" s="145"/>
    </row>
    <row r="340" spans="2:7" ht="15.75" customHeight="1" x14ac:dyDescent="0.25">
      <c r="B340" s="144"/>
      <c r="G340" s="145"/>
    </row>
    <row r="341" spans="2:7" ht="15.75" customHeight="1" x14ac:dyDescent="0.25">
      <c r="B341" s="144"/>
      <c r="G341" s="145"/>
    </row>
    <row r="342" spans="2:7" ht="15.75" customHeight="1" x14ac:dyDescent="0.25">
      <c r="B342" s="144"/>
      <c r="G342" s="145"/>
    </row>
    <row r="343" spans="2:7" ht="15.75" customHeight="1" x14ac:dyDescent="0.25">
      <c r="B343" s="144"/>
      <c r="G343" s="145"/>
    </row>
    <row r="344" spans="2:7" ht="15.75" customHeight="1" x14ac:dyDescent="0.25">
      <c r="B344" s="144"/>
      <c r="G344" s="145"/>
    </row>
    <row r="345" spans="2:7" ht="15.75" customHeight="1" x14ac:dyDescent="0.25">
      <c r="B345" s="144"/>
      <c r="G345" s="145"/>
    </row>
    <row r="346" spans="2:7" ht="15.75" customHeight="1" x14ac:dyDescent="0.25">
      <c r="B346" s="144"/>
      <c r="G346" s="145"/>
    </row>
    <row r="347" spans="2:7" ht="15.75" customHeight="1" x14ac:dyDescent="0.25">
      <c r="B347" s="144"/>
      <c r="G347" s="145"/>
    </row>
    <row r="348" spans="2:7" ht="15.75" customHeight="1" x14ac:dyDescent="0.25">
      <c r="B348" s="144"/>
      <c r="G348" s="145"/>
    </row>
    <row r="349" spans="2:7" ht="15.75" customHeight="1" x14ac:dyDescent="0.25">
      <c r="B349" s="144"/>
      <c r="G349" s="145"/>
    </row>
    <row r="350" spans="2:7" ht="15.75" customHeight="1" x14ac:dyDescent="0.25">
      <c r="B350" s="144"/>
      <c r="G350" s="145"/>
    </row>
    <row r="351" spans="2:7" ht="15.75" customHeight="1" x14ac:dyDescent="0.25">
      <c r="B351" s="144"/>
      <c r="G351" s="145"/>
    </row>
    <row r="352" spans="2:7" ht="15.75" customHeight="1" x14ac:dyDescent="0.25">
      <c r="B352" s="144"/>
      <c r="G352" s="145"/>
    </row>
    <row r="353" spans="2:7" ht="15.75" customHeight="1" x14ac:dyDescent="0.25">
      <c r="B353" s="144"/>
      <c r="G353" s="145"/>
    </row>
    <row r="354" spans="2:7" ht="15.75" customHeight="1" x14ac:dyDescent="0.25">
      <c r="B354" s="144"/>
      <c r="G354" s="145"/>
    </row>
    <row r="355" spans="2:7" ht="15.75" customHeight="1" x14ac:dyDescent="0.25">
      <c r="B355" s="144"/>
      <c r="G355" s="145"/>
    </row>
    <row r="356" spans="2:7" ht="15.75" customHeight="1" x14ac:dyDescent="0.25">
      <c r="B356" s="144"/>
      <c r="G356" s="145"/>
    </row>
    <row r="357" spans="2:7" ht="15.75" customHeight="1" x14ac:dyDescent="0.25">
      <c r="B357" s="144"/>
      <c r="G357" s="145"/>
    </row>
    <row r="358" spans="2:7" ht="15.75" customHeight="1" x14ac:dyDescent="0.25">
      <c r="B358" s="144"/>
      <c r="G358" s="145"/>
    </row>
    <row r="359" spans="2:7" ht="15.75" customHeight="1" x14ac:dyDescent="0.25">
      <c r="B359" s="144"/>
      <c r="G359" s="145"/>
    </row>
    <row r="360" spans="2:7" ht="15.75" customHeight="1" x14ac:dyDescent="0.25">
      <c r="B360" s="144"/>
      <c r="G360" s="145"/>
    </row>
    <row r="361" spans="2:7" ht="15.75" customHeight="1" x14ac:dyDescent="0.25">
      <c r="B361" s="144"/>
      <c r="G361" s="145"/>
    </row>
    <row r="362" spans="2:7" ht="15.75" customHeight="1" x14ac:dyDescent="0.25">
      <c r="B362" s="144"/>
      <c r="G362" s="145"/>
    </row>
    <row r="363" spans="2:7" ht="15.75" customHeight="1" x14ac:dyDescent="0.25">
      <c r="B363" s="144"/>
      <c r="G363" s="145"/>
    </row>
    <row r="364" spans="2:7" ht="15.75" customHeight="1" x14ac:dyDescent="0.25">
      <c r="B364" s="144"/>
      <c r="G364" s="145"/>
    </row>
    <row r="365" spans="2:7" ht="15.75" customHeight="1" x14ac:dyDescent="0.25">
      <c r="B365" s="144"/>
      <c r="G365" s="145"/>
    </row>
    <row r="366" spans="2:7" ht="15.75" customHeight="1" x14ac:dyDescent="0.25">
      <c r="B366" s="144"/>
      <c r="G366" s="145"/>
    </row>
    <row r="367" spans="2:7" ht="15.75" customHeight="1" x14ac:dyDescent="0.25">
      <c r="B367" s="144"/>
      <c r="G367" s="145"/>
    </row>
    <row r="368" spans="2:7" ht="15.75" customHeight="1" x14ac:dyDescent="0.25">
      <c r="B368" s="144"/>
      <c r="G368" s="145"/>
    </row>
    <row r="369" spans="2:7" ht="15.75" customHeight="1" x14ac:dyDescent="0.25">
      <c r="B369" s="144"/>
      <c r="G369" s="145"/>
    </row>
    <row r="370" spans="2:7" ht="15.75" customHeight="1" x14ac:dyDescent="0.25">
      <c r="B370" s="144"/>
      <c r="G370" s="145"/>
    </row>
    <row r="371" spans="2:7" ht="15.75" customHeight="1" x14ac:dyDescent="0.25">
      <c r="B371" s="144"/>
      <c r="G371" s="145"/>
    </row>
    <row r="372" spans="2:7" ht="15.75" customHeight="1" x14ac:dyDescent="0.25">
      <c r="B372" s="144"/>
      <c r="G372" s="145"/>
    </row>
    <row r="373" spans="2:7" ht="15.75" customHeight="1" x14ac:dyDescent="0.25">
      <c r="B373" s="144"/>
      <c r="G373" s="145"/>
    </row>
    <row r="374" spans="2:7" ht="15.75" customHeight="1" x14ac:dyDescent="0.25">
      <c r="B374" s="144"/>
      <c r="G374" s="145"/>
    </row>
    <row r="375" spans="2:7" ht="15.75" customHeight="1" x14ac:dyDescent="0.25">
      <c r="B375" s="144"/>
      <c r="G375" s="145"/>
    </row>
    <row r="376" spans="2:7" ht="15.75" customHeight="1" x14ac:dyDescent="0.25">
      <c r="B376" s="144"/>
      <c r="G376" s="145"/>
    </row>
    <row r="377" spans="2:7" ht="15.75" customHeight="1" x14ac:dyDescent="0.25">
      <c r="B377" s="144"/>
      <c r="G377" s="145"/>
    </row>
    <row r="378" spans="2:7" ht="15.75" customHeight="1" x14ac:dyDescent="0.25">
      <c r="B378" s="144"/>
      <c r="G378" s="145"/>
    </row>
    <row r="379" spans="2:7" ht="15.75" customHeight="1" x14ac:dyDescent="0.25">
      <c r="B379" s="144"/>
      <c r="G379" s="145"/>
    </row>
    <row r="380" spans="2:7" ht="15.75" customHeight="1" x14ac:dyDescent="0.25">
      <c r="B380" s="144"/>
      <c r="G380" s="145"/>
    </row>
    <row r="381" spans="2:7" ht="15.75" customHeight="1" x14ac:dyDescent="0.25">
      <c r="B381" s="144"/>
      <c r="G381" s="145"/>
    </row>
    <row r="382" spans="2:7" ht="15.75" customHeight="1" x14ac:dyDescent="0.25">
      <c r="B382" s="144"/>
      <c r="G382" s="145"/>
    </row>
    <row r="383" spans="2:7" ht="15.75" customHeight="1" x14ac:dyDescent="0.25">
      <c r="B383" s="144"/>
      <c r="G383" s="145"/>
    </row>
    <row r="384" spans="2:7" ht="15.75" customHeight="1" x14ac:dyDescent="0.25">
      <c r="B384" s="144"/>
      <c r="G384" s="145"/>
    </row>
    <row r="385" spans="2:7" ht="15.75" customHeight="1" x14ac:dyDescent="0.25">
      <c r="B385" s="144"/>
      <c r="G385" s="145"/>
    </row>
    <row r="386" spans="2:7" ht="15.75" customHeight="1" x14ac:dyDescent="0.25">
      <c r="B386" s="144"/>
      <c r="G386" s="145"/>
    </row>
    <row r="387" spans="2:7" ht="15.75" customHeight="1" x14ac:dyDescent="0.25">
      <c r="B387" s="144"/>
      <c r="G387" s="145"/>
    </row>
    <row r="388" spans="2:7" ht="15.75" customHeight="1" x14ac:dyDescent="0.25">
      <c r="B388" s="144"/>
      <c r="G388" s="145"/>
    </row>
    <row r="389" spans="2:7" ht="15.75" customHeight="1" x14ac:dyDescent="0.25">
      <c r="B389" s="144"/>
      <c r="G389" s="145"/>
    </row>
    <row r="390" spans="2:7" ht="15.75" customHeight="1" x14ac:dyDescent="0.25">
      <c r="B390" s="144"/>
      <c r="G390" s="145"/>
    </row>
    <row r="391" spans="2:7" ht="15.75" customHeight="1" x14ac:dyDescent="0.25">
      <c r="B391" s="144"/>
      <c r="G391" s="145"/>
    </row>
    <row r="392" spans="2:7" ht="15.75" customHeight="1" x14ac:dyDescent="0.25">
      <c r="B392" s="144"/>
      <c r="G392" s="145"/>
    </row>
    <row r="393" spans="2:7" ht="15.75" customHeight="1" x14ac:dyDescent="0.25">
      <c r="B393" s="144"/>
      <c r="G393" s="145"/>
    </row>
    <row r="394" spans="2:7" ht="15.75" customHeight="1" x14ac:dyDescent="0.25">
      <c r="B394" s="144"/>
      <c r="G394" s="145"/>
    </row>
    <row r="395" spans="2:7" ht="15.75" customHeight="1" x14ac:dyDescent="0.25">
      <c r="B395" s="144"/>
      <c r="G395" s="145"/>
    </row>
    <row r="396" spans="2:7" ht="15.75" customHeight="1" x14ac:dyDescent="0.25">
      <c r="B396" s="144"/>
      <c r="G396" s="145"/>
    </row>
    <row r="397" spans="2:7" ht="15.75" customHeight="1" x14ac:dyDescent="0.25">
      <c r="B397" s="144"/>
      <c r="G397" s="145"/>
    </row>
    <row r="398" spans="2:7" ht="15.75" customHeight="1" x14ac:dyDescent="0.25">
      <c r="B398" s="144"/>
      <c r="G398" s="145"/>
    </row>
    <row r="399" spans="2:7" ht="15.75" customHeight="1" x14ac:dyDescent="0.25">
      <c r="B399" s="144"/>
      <c r="G399" s="145"/>
    </row>
    <row r="400" spans="2:7" ht="15.75" customHeight="1" x14ac:dyDescent="0.25">
      <c r="B400" s="144"/>
      <c r="G400" s="145"/>
    </row>
    <row r="401" spans="2:7" ht="15.75" customHeight="1" x14ac:dyDescent="0.25">
      <c r="B401" s="144"/>
      <c r="G401" s="145"/>
    </row>
    <row r="402" spans="2:7" ht="15.75" customHeight="1" x14ac:dyDescent="0.25">
      <c r="B402" s="144"/>
      <c r="G402" s="145"/>
    </row>
    <row r="403" spans="2:7" ht="15.75" customHeight="1" x14ac:dyDescent="0.25">
      <c r="B403" s="144"/>
      <c r="G403" s="145"/>
    </row>
    <row r="404" spans="2:7" ht="15.75" customHeight="1" x14ac:dyDescent="0.25">
      <c r="B404" s="144"/>
      <c r="G404" s="145"/>
    </row>
    <row r="405" spans="2:7" ht="15.75" customHeight="1" x14ac:dyDescent="0.25">
      <c r="B405" s="144"/>
      <c r="G405" s="145"/>
    </row>
    <row r="406" spans="2:7" ht="15.75" customHeight="1" x14ac:dyDescent="0.25">
      <c r="B406" s="144"/>
      <c r="G406" s="145"/>
    </row>
    <row r="407" spans="2:7" ht="15.75" customHeight="1" x14ac:dyDescent="0.25">
      <c r="B407" s="144"/>
      <c r="G407" s="145"/>
    </row>
    <row r="408" spans="2:7" ht="15.75" customHeight="1" x14ac:dyDescent="0.25">
      <c r="B408" s="144"/>
      <c r="G408" s="145"/>
    </row>
    <row r="409" spans="2:7" ht="15.75" customHeight="1" x14ac:dyDescent="0.25">
      <c r="B409" s="144"/>
      <c r="G409" s="145"/>
    </row>
    <row r="410" spans="2:7" ht="15.75" customHeight="1" x14ac:dyDescent="0.25">
      <c r="B410" s="144"/>
      <c r="G410" s="145"/>
    </row>
    <row r="411" spans="2:7" ht="15.75" customHeight="1" x14ac:dyDescent="0.25">
      <c r="B411" s="144"/>
      <c r="G411" s="145"/>
    </row>
    <row r="412" spans="2:7" ht="15.75" customHeight="1" x14ac:dyDescent="0.25">
      <c r="B412" s="144"/>
      <c r="G412" s="145"/>
    </row>
    <row r="413" spans="2:7" ht="15.75" customHeight="1" x14ac:dyDescent="0.25">
      <c r="B413" s="144"/>
      <c r="G413" s="145"/>
    </row>
    <row r="414" spans="2:7" ht="15.75" customHeight="1" x14ac:dyDescent="0.25">
      <c r="B414" s="144"/>
      <c r="G414" s="145"/>
    </row>
    <row r="415" spans="2:7" ht="15.75" customHeight="1" x14ac:dyDescent="0.25">
      <c r="B415" s="144"/>
      <c r="G415" s="145"/>
    </row>
    <row r="416" spans="2:7" ht="15.75" customHeight="1" x14ac:dyDescent="0.25">
      <c r="B416" s="144"/>
      <c r="G416" s="145"/>
    </row>
    <row r="417" spans="2:7" ht="15.75" customHeight="1" x14ac:dyDescent="0.25">
      <c r="B417" s="144"/>
      <c r="G417" s="145"/>
    </row>
    <row r="418" spans="2:7" ht="15.75" customHeight="1" x14ac:dyDescent="0.25">
      <c r="B418" s="144"/>
      <c r="G418" s="145"/>
    </row>
    <row r="419" spans="2:7" ht="15.75" customHeight="1" x14ac:dyDescent="0.25">
      <c r="B419" s="144"/>
      <c r="G419" s="145"/>
    </row>
    <row r="420" spans="2:7" ht="15.75" customHeight="1" x14ac:dyDescent="0.25">
      <c r="B420" s="144"/>
      <c r="G420" s="145"/>
    </row>
    <row r="421" spans="2:7" ht="15.75" customHeight="1" x14ac:dyDescent="0.25">
      <c r="B421" s="144"/>
      <c r="G421" s="145"/>
    </row>
    <row r="422" spans="2:7" ht="15.75" customHeight="1" x14ac:dyDescent="0.25">
      <c r="B422" s="144"/>
      <c r="G422" s="145"/>
    </row>
    <row r="423" spans="2:7" ht="15.75" customHeight="1" x14ac:dyDescent="0.25">
      <c r="B423" s="144"/>
      <c r="G423" s="145"/>
    </row>
    <row r="424" spans="2:7" ht="15.75" customHeight="1" x14ac:dyDescent="0.25">
      <c r="B424" s="144"/>
      <c r="G424" s="145"/>
    </row>
    <row r="425" spans="2:7" ht="15.75" customHeight="1" x14ac:dyDescent="0.25">
      <c r="B425" s="144"/>
      <c r="G425" s="145"/>
    </row>
    <row r="426" spans="2:7" ht="15.75" customHeight="1" x14ac:dyDescent="0.25">
      <c r="B426" s="144"/>
      <c r="G426" s="145"/>
    </row>
    <row r="427" spans="2:7" ht="15.75" customHeight="1" x14ac:dyDescent="0.25">
      <c r="B427" s="144"/>
      <c r="G427" s="145"/>
    </row>
    <row r="428" spans="2:7" ht="15.75" customHeight="1" x14ac:dyDescent="0.25">
      <c r="B428" s="144"/>
      <c r="G428" s="145"/>
    </row>
    <row r="429" spans="2:7" ht="15.75" customHeight="1" x14ac:dyDescent="0.25">
      <c r="B429" s="144"/>
      <c r="G429" s="145"/>
    </row>
    <row r="430" spans="2:7" ht="15.75" customHeight="1" x14ac:dyDescent="0.25">
      <c r="B430" s="144"/>
      <c r="G430" s="145"/>
    </row>
    <row r="431" spans="2:7" ht="15.75" customHeight="1" x14ac:dyDescent="0.25">
      <c r="B431" s="144"/>
      <c r="G431" s="145"/>
    </row>
    <row r="432" spans="2:7" ht="15.75" customHeight="1" x14ac:dyDescent="0.25">
      <c r="B432" s="144"/>
      <c r="G432" s="145"/>
    </row>
    <row r="433" spans="2:7" ht="15.75" customHeight="1" x14ac:dyDescent="0.25">
      <c r="B433" s="144"/>
      <c r="G433" s="145"/>
    </row>
    <row r="434" spans="2:7" ht="15.75" customHeight="1" x14ac:dyDescent="0.25">
      <c r="B434" s="144"/>
      <c r="G434" s="145"/>
    </row>
    <row r="435" spans="2:7" ht="15.75" customHeight="1" x14ac:dyDescent="0.25">
      <c r="B435" s="144"/>
      <c r="G435" s="145"/>
    </row>
    <row r="436" spans="2:7" ht="15.75" customHeight="1" x14ac:dyDescent="0.25">
      <c r="B436" s="144"/>
      <c r="G436" s="145"/>
    </row>
    <row r="437" spans="2:7" ht="15.75" customHeight="1" x14ac:dyDescent="0.25">
      <c r="B437" s="144"/>
      <c r="G437" s="145"/>
    </row>
    <row r="438" spans="2:7" ht="15.75" customHeight="1" x14ac:dyDescent="0.25">
      <c r="B438" s="144"/>
      <c r="G438" s="145"/>
    </row>
    <row r="439" spans="2:7" ht="15.75" customHeight="1" x14ac:dyDescent="0.25">
      <c r="B439" s="144"/>
      <c r="G439" s="145"/>
    </row>
    <row r="440" spans="2:7" ht="15.75" customHeight="1" x14ac:dyDescent="0.25">
      <c r="B440" s="144"/>
      <c r="G440" s="145"/>
    </row>
    <row r="441" spans="2:7" ht="15.75" customHeight="1" x14ac:dyDescent="0.25">
      <c r="B441" s="144"/>
      <c r="G441" s="145"/>
    </row>
    <row r="442" spans="2:7" ht="15.75" customHeight="1" x14ac:dyDescent="0.25">
      <c r="B442" s="144"/>
      <c r="G442" s="145"/>
    </row>
    <row r="443" spans="2:7" ht="15.75" customHeight="1" x14ac:dyDescent="0.25">
      <c r="B443" s="144"/>
      <c r="G443" s="145"/>
    </row>
    <row r="444" spans="2:7" ht="15.75" customHeight="1" x14ac:dyDescent="0.25">
      <c r="B444" s="144"/>
      <c r="G444" s="145"/>
    </row>
    <row r="445" spans="2:7" ht="15.75" customHeight="1" x14ac:dyDescent="0.25">
      <c r="B445" s="144"/>
      <c r="G445" s="145"/>
    </row>
    <row r="446" spans="2:7" ht="15.75" customHeight="1" x14ac:dyDescent="0.25">
      <c r="B446" s="144"/>
      <c r="G446" s="145"/>
    </row>
    <row r="447" spans="2:7" ht="15.75" customHeight="1" x14ac:dyDescent="0.25">
      <c r="B447" s="144"/>
      <c r="G447" s="145"/>
    </row>
    <row r="448" spans="2:7" ht="15.75" customHeight="1" x14ac:dyDescent="0.25">
      <c r="B448" s="144"/>
      <c r="G448" s="145"/>
    </row>
    <row r="449" spans="2:7" ht="15.75" customHeight="1" x14ac:dyDescent="0.25">
      <c r="B449" s="144"/>
      <c r="G449" s="145"/>
    </row>
    <row r="450" spans="2:7" ht="15.75" customHeight="1" x14ac:dyDescent="0.25">
      <c r="B450" s="144"/>
      <c r="G450" s="145"/>
    </row>
    <row r="451" spans="2:7" ht="15.75" customHeight="1" x14ac:dyDescent="0.25">
      <c r="B451" s="144"/>
      <c r="G451" s="145"/>
    </row>
    <row r="452" spans="2:7" ht="15.75" customHeight="1" x14ac:dyDescent="0.25">
      <c r="B452" s="144"/>
      <c r="G452" s="145"/>
    </row>
    <row r="453" spans="2:7" ht="15.75" customHeight="1" x14ac:dyDescent="0.25">
      <c r="B453" s="144"/>
      <c r="G453" s="145"/>
    </row>
    <row r="454" spans="2:7" ht="15.75" customHeight="1" x14ac:dyDescent="0.25">
      <c r="B454" s="144"/>
      <c r="G454" s="145"/>
    </row>
    <row r="455" spans="2:7" ht="15.75" customHeight="1" x14ac:dyDescent="0.25">
      <c r="B455" s="144"/>
      <c r="G455" s="145"/>
    </row>
    <row r="456" spans="2:7" ht="15.75" customHeight="1" x14ac:dyDescent="0.25">
      <c r="B456" s="144"/>
      <c r="G456" s="145"/>
    </row>
    <row r="457" spans="2:7" ht="15.75" customHeight="1" x14ac:dyDescent="0.25">
      <c r="B457" s="144"/>
      <c r="G457" s="145"/>
    </row>
    <row r="458" spans="2:7" ht="15.75" customHeight="1" x14ac:dyDescent="0.25">
      <c r="B458" s="144"/>
      <c r="G458" s="145"/>
    </row>
    <row r="459" spans="2:7" ht="15.75" customHeight="1" x14ac:dyDescent="0.25">
      <c r="B459" s="144"/>
      <c r="G459" s="145"/>
    </row>
    <row r="460" spans="2:7" ht="15.75" customHeight="1" x14ac:dyDescent="0.25">
      <c r="B460" s="144"/>
      <c r="G460" s="145"/>
    </row>
    <row r="461" spans="2:7" ht="15.75" customHeight="1" x14ac:dyDescent="0.25">
      <c r="B461" s="144"/>
      <c r="G461" s="145"/>
    </row>
    <row r="462" spans="2:7" ht="15.75" customHeight="1" x14ac:dyDescent="0.25">
      <c r="B462" s="144"/>
      <c r="G462" s="145"/>
    </row>
    <row r="463" spans="2:7" ht="15.75" customHeight="1" x14ac:dyDescent="0.25">
      <c r="B463" s="144"/>
      <c r="G463" s="145"/>
    </row>
    <row r="464" spans="2:7" ht="15.75" customHeight="1" x14ac:dyDescent="0.25">
      <c r="B464" s="144"/>
      <c r="G464" s="145"/>
    </row>
    <row r="465" spans="2:7" ht="15.75" customHeight="1" x14ac:dyDescent="0.25">
      <c r="B465" s="144"/>
      <c r="G465" s="145"/>
    </row>
    <row r="466" spans="2:7" ht="15.75" customHeight="1" x14ac:dyDescent="0.25">
      <c r="B466" s="144"/>
      <c r="G466" s="145"/>
    </row>
    <row r="467" spans="2:7" ht="15.75" customHeight="1" x14ac:dyDescent="0.25">
      <c r="B467" s="144"/>
      <c r="G467" s="145"/>
    </row>
    <row r="468" spans="2:7" ht="15.75" customHeight="1" x14ac:dyDescent="0.25">
      <c r="B468" s="144"/>
      <c r="G468" s="145"/>
    </row>
    <row r="469" spans="2:7" ht="15.75" customHeight="1" x14ac:dyDescent="0.25">
      <c r="B469" s="144"/>
      <c r="G469" s="145"/>
    </row>
    <row r="470" spans="2:7" ht="15.75" customHeight="1" x14ac:dyDescent="0.25">
      <c r="B470" s="144"/>
      <c r="G470" s="145"/>
    </row>
    <row r="471" spans="2:7" ht="15.75" customHeight="1" x14ac:dyDescent="0.25">
      <c r="B471" s="144"/>
      <c r="G471" s="145"/>
    </row>
    <row r="472" spans="2:7" ht="15.75" customHeight="1" x14ac:dyDescent="0.25">
      <c r="B472" s="144"/>
      <c r="G472" s="145"/>
    </row>
    <row r="473" spans="2:7" ht="15.75" customHeight="1" x14ac:dyDescent="0.25">
      <c r="B473" s="144"/>
      <c r="G473" s="145"/>
    </row>
    <row r="474" spans="2:7" ht="15.75" customHeight="1" x14ac:dyDescent="0.25">
      <c r="B474" s="144"/>
      <c r="G474" s="145"/>
    </row>
    <row r="475" spans="2:7" ht="15.75" customHeight="1" x14ac:dyDescent="0.25">
      <c r="B475" s="144"/>
      <c r="G475" s="145"/>
    </row>
    <row r="476" spans="2:7" ht="15.75" customHeight="1" x14ac:dyDescent="0.25">
      <c r="B476" s="144"/>
      <c r="G476" s="145"/>
    </row>
    <row r="477" spans="2:7" ht="15.75" customHeight="1" x14ac:dyDescent="0.25">
      <c r="B477" s="144"/>
      <c r="G477" s="145"/>
    </row>
    <row r="478" spans="2:7" ht="15.75" customHeight="1" x14ac:dyDescent="0.25">
      <c r="B478" s="144"/>
      <c r="G478" s="145"/>
    </row>
    <row r="479" spans="2:7" ht="15.75" customHeight="1" x14ac:dyDescent="0.25">
      <c r="B479" s="144"/>
      <c r="G479" s="145"/>
    </row>
    <row r="480" spans="2:7" ht="15.75" customHeight="1" x14ac:dyDescent="0.25">
      <c r="B480" s="144"/>
      <c r="G480" s="145"/>
    </row>
    <row r="481" spans="2:7" ht="15.75" customHeight="1" x14ac:dyDescent="0.25">
      <c r="B481" s="144"/>
      <c r="G481" s="145"/>
    </row>
    <row r="482" spans="2:7" ht="15.75" customHeight="1" x14ac:dyDescent="0.25">
      <c r="B482" s="144"/>
      <c r="G482" s="145"/>
    </row>
    <row r="483" spans="2:7" ht="15.75" customHeight="1" x14ac:dyDescent="0.25">
      <c r="B483" s="144"/>
      <c r="G483" s="145"/>
    </row>
    <row r="484" spans="2:7" ht="15.75" customHeight="1" x14ac:dyDescent="0.25">
      <c r="B484" s="144"/>
      <c r="G484" s="145"/>
    </row>
    <row r="485" spans="2:7" ht="15.75" customHeight="1" x14ac:dyDescent="0.25">
      <c r="B485" s="144"/>
      <c r="G485" s="145"/>
    </row>
    <row r="486" spans="2:7" ht="15.75" customHeight="1" x14ac:dyDescent="0.25">
      <c r="B486" s="144"/>
      <c r="G486" s="145"/>
    </row>
    <row r="487" spans="2:7" ht="15.75" customHeight="1" x14ac:dyDescent="0.25">
      <c r="B487" s="144"/>
      <c r="G487" s="145"/>
    </row>
    <row r="488" spans="2:7" ht="15.75" customHeight="1" x14ac:dyDescent="0.25">
      <c r="B488" s="144"/>
      <c r="G488" s="145"/>
    </row>
    <row r="489" spans="2:7" ht="15.75" customHeight="1" x14ac:dyDescent="0.25">
      <c r="B489" s="144"/>
      <c r="G489" s="145"/>
    </row>
    <row r="490" spans="2:7" ht="15.75" customHeight="1" x14ac:dyDescent="0.25">
      <c r="B490" s="144"/>
      <c r="G490" s="145"/>
    </row>
    <row r="491" spans="2:7" ht="15.75" customHeight="1" x14ac:dyDescent="0.25">
      <c r="B491" s="144"/>
      <c r="G491" s="145"/>
    </row>
    <row r="492" spans="2:7" ht="15.75" customHeight="1" x14ac:dyDescent="0.25">
      <c r="B492" s="144"/>
      <c r="G492" s="145"/>
    </row>
    <row r="493" spans="2:7" ht="15.75" customHeight="1" x14ac:dyDescent="0.25">
      <c r="B493" s="144"/>
      <c r="G493" s="145"/>
    </row>
    <row r="494" spans="2:7" ht="15.75" customHeight="1" x14ac:dyDescent="0.25">
      <c r="B494" s="144"/>
      <c r="G494" s="145"/>
    </row>
    <row r="495" spans="2:7" ht="15.75" customHeight="1" x14ac:dyDescent="0.25">
      <c r="B495" s="144"/>
      <c r="G495" s="145"/>
    </row>
    <row r="496" spans="2:7" ht="15.75" customHeight="1" x14ac:dyDescent="0.25">
      <c r="B496" s="144"/>
      <c r="G496" s="145"/>
    </row>
    <row r="497" spans="2:7" ht="15.75" customHeight="1" x14ac:dyDescent="0.25">
      <c r="B497" s="144"/>
      <c r="G497" s="145"/>
    </row>
    <row r="498" spans="2:7" ht="15.75" customHeight="1" x14ac:dyDescent="0.25">
      <c r="B498" s="144"/>
      <c r="G498" s="145"/>
    </row>
    <row r="499" spans="2:7" ht="15.75" customHeight="1" x14ac:dyDescent="0.25">
      <c r="B499" s="144"/>
      <c r="G499" s="145"/>
    </row>
    <row r="500" spans="2:7" ht="15.75" customHeight="1" x14ac:dyDescent="0.25">
      <c r="B500" s="144"/>
      <c r="G500" s="145"/>
    </row>
    <row r="501" spans="2:7" ht="15.75" customHeight="1" x14ac:dyDescent="0.25">
      <c r="B501" s="144"/>
      <c r="G501" s="145"/>
    </row>
    <row r="502" spans="2:7" ht="15.75" customHeight="1" x14ac:dyDescent="0.25">
      <c r="B502" s="144"/>
      <c r="G502" s="145"/>
    </row>
    <row r="503" spans="2:7" ht="15.75" customHeight="1" x14ac:dyDescent="0.25">
      <c r="B503" s="144"/>
      <c r="G503" s="145"/>
    </row>
    <row r="504" spans="2:7" ht="15.75" customHeight="1" x14ac:dyDescent="0.25">
      <c r="B504" s="144"/>
      <c r="G504" s="145"/>
    </row>
    <row r="505" spans="2:7" ht="15.75" customHeight="1" x14ac:dyDescent="0.25">
      <c r="B505" s="144"/>
      <c r="G505" s="145"/>
    </row>
    <row r="506" spans="2:7" ht="15.75" customHeight="1" x14ac:dyDescent="0.25">
      <c r="B506" s="144"/>
      <c r="G506" s="145"/>
    </row>
    <row r="507" spans="2:7" ht="15.75" customHeight="1" x14ac:dyDescent="0.25">
      <c r="B507" s="144"/>
      <c r="G507" s="145"/>
    </row>
    <row r="508" spans="2:7" ht="15.75" customHeight="1" x14ac:dyDescent="0.25">
      <c r="B508" s="144"/>
      <c r="G508" s="145"/>
    </row>
    <row r="509" spans="2:7" ht="15.75" customHeight="1" x14ac:dyDescent="0.25">
      <c r="B509" s="144"/>
      <c r="G509" s="145"/>
    </row>
    <row r="510" spans="2:7" ht="15.75" customHeight="1" x14ac:dyDescent="0.25">
      <c r="B510" s="144"/>
      <c r="G510" s="145"/>
    </row>
    <row r="511" spans="2:7" ht="15.75" customHeight="1" x14ac:dyDescent="0.25">
      <c r="B511" s="144"/>
      <c r="G511" s="145"/>
    </row>
    <row r="512" spans="2:7" ht="15.75" customHeight="1" x14ac:dyDescent="0.25">
      <c r="B512" s="144"/>
      <c r="G512" s="145"/>
    </row>
    <row r="513" spans="2:7" ht="15.75" customHeight="1" x14ac:dyDescent="0.25">
      <c r="B513" s="144"/>
      <c r="G513" s="145"/>
    </row>
    <row r="514" spans="2:7" ht="15.75" customHeight="1" x14ac:dyDescent="0.25">
      <c r="B514" s="144"/>
      <c r="G514" s="145"/>
    </row>
    <row r="515" spans="2:7" ht="15.75" customHeight="1" x14ac:dyDescent="0.25">
      <c r="B515" s="144"/>
      <c r="G515" s="145"/>
    </row>
    <row r="516" spans="2:7" ht="15.75" customHeight="1" x14ac:dyDescent="0.25">
      <c r="B516" s="144"/>
      <c r="G516" s="145"/>
    </row>
    <row r="517" spans="2:7" ht="15.75" customHeight="1" x14ac:dyDescent="0.25">
      <c r="B517" s="144"/>
      <c r="G517" s="145"/>
    </row>
    <row r="518" spans="2:7" ht="15.75" customHeight="1" x14ac:dyDescent="0.25">
      <c r="B518" s="144"/>
      <c r="G518" s="145"/>
    </row>
    <row r="519" spans="2:7" ht="15.75" customHeight="1" x14ac:dyDescent="0.25">
      <c r="B519" s="144"/>
      <c r="G519" s="145"/>
    </row>
    <row r="520" spans="2:7" ht="15.75" customHeight="1" x14ac:dyDescent="0.25">
      <c r="B520" s="144"/>
      <c r="G520" s="145"/>
    </row>
    <row r="521" spans="2:7" ht="15.75" customHeight="1" x14ac:dyDescent="0.25">
      <c r="B521" s="144"/>
      <c r="G521" s="145"/>
    </row>
    <row r="522" spans="2:7" ht="15.75" customHeight="1" x14ac:dyDescent="0.25">
      <c r="B522" s="144"/>
      <c r="G522" s="145"/>
    </row>
    <row r="523" spans="2:7" ht="15.75" customHeight="1" x14ac:dyDescent="0.25">
      <c r="B523" s="144"/>
      <c r="G523" s="145"/>
    </row>
    <row r="524" spans="2:7" ht="15.75" customHeight="1" x14ac:dyDescent="0.25">
      <c r="B524" s="144"/>
      <c r="G524" s="145"/>
    </row>
    <row r="525" spans="2:7" ht="15.75" customHeight="1" x14ac:dyDescent="0.25">
      <c r="B525" s="144"/>
      <c r="G525" s="145"/>
    </row>
    <row r="526" spans="2:7" ht="15.75" customHeight="1" x14ac:dyDescent="0.25">
      <c r="B526" s="144"/>
      <c r="G526" s="145"/>
    </row>
    <row r="527" spans="2:7" ht="15.75" customHeight="1" x14ac:dyDescent="0.25">
      <c r="B527" s="144"/>
      <c r="G527" s="145"/>
    </row>
    <row r="528" spans="2:7" ht="15.75" customHeight="1" x14ac:dyDescent="0.25">
      <c r="B528" s="144"/>
      <c r="G528" s="145"/>
    </row>
    <row r="529" spans="2:7" ht="15.75" customHeight="1" x14ac:dyDescent="0.25">
      <c r="B529" s="144"/>
      <c r="G529" s="145"/>
    </row>
    <row r="530" spans="2:7" ht="15.75" customHeight="1" x14ac:dyDescent="0.25">
      <c r="B530" s="144"/>
      <c r="G530" s="145"/>
    </row>
    <row r="531" spans="2:7" ht="15.75" customHeight="1" x14ac:dyDescent="0.25">
      <c r="B531" s="144"/>
      <c r="G531" s="145"/>
    </row>
    <row r="532" spans="2:7" ht="15.75" customHeight="1" x14ac:dyDescent="0.25">
      <c r="B532" s="144"/>
      <c r="G532" s="145"/>
    </row>
    <row r="533" spans="2:7" ht="15.75" customHeight="1" x14ac:dyDescent="0.25">
      <c r="B533" s="144"/>
      <c r="G533" s="145"/>
    </row>
    <row r="534" spans="2:7" ht="15.75" customHeight="1" x14ac:dyDescent="0.25">
      <c r="B534" s="144"/>
      <c r="G534" s="145"/>
    </row>
    <row r="535" spans="2:7" ht="15.75" customHeight="1" x14ac:dyDescent="0.25">
      <c r="B535" s="144"/>
      <c r="G535" s="145"/>
    </row>
    <row r="536" spans="2:7" ht="15.75" customHeight="1" x14ac:dyDescent="0.25">
      <c r="B536" s="144"/>
      <c r="G536" s="145"/>
    </row>
    <row r="537" spans="2:7" ht="15.75" customHeight="1" x14ac:dyDescent="0.25">
      <c r="B537" s="144"/>
      <c r="G537" s="145"/>
    </row>
    <row r="538" spans="2:7" ht="15.75" customHeight="1" x14ac:dyDescent="0.25">
      <c r="B538" s="144"/>
      <c r="G538" s="145"/>
    </row>
    <row r="539" spans="2:7" ht="15.75" customHeight="1" x14ac:dyDescent="0.25">
      <c r="B539" s="144"/>
      <c r="G539" s="145"/>
    </row>
    <row r="540" spans="2:7" ht="15.75" customHeight="1" x14ac:dyDescent="0.25">
      <c r="B540" s="144"/>
      <c r="G540" s="145"/>
    </row>
    <row r="541" spans="2:7" ht="15.75" customHeight="1" x14ac:dyDescent="0.25">
      <c r="B541" s="144"/>
      <c r="G541" s="145"/>
    </row>
    <row r="542" spans="2:7" ht="15.75" customHeight="1" x14ac:dyDescent="0.25">
      <c r="B542" s="144"/>
      <c r="G542" s="145"/>
    </row>
    <row r="543" spans="2:7" ht="15.75" customHeight="1" x14ac:dyDescent="0.25">
      <c r="B543" s="144"/>
      <c r="G543" s="145"/>
    </row>
    <row r="544" spans="2:7" ht="15.75" customHeight="1" x14ac:dyDescent="0.25">
      <c r="B544" s="144"/>
      <c r="G544" s="145"/>
    </row>
    <row r="545" spans="2:7" ht="15.75" customHeight="1" x14ac:dyDescent="0.25">
      <c r="B545" s="144"/>
      <c r="G545" s="145"/>
    </row>
    <row r="546" spans="2:7" ht="15.75" customHeight="1" x14ac:dyDescent="0.25">
      <c r="B546" s="144"/>
      <c r="G546" s="145"/>
    </row>
    <row r="547" spans="2:7" ht="15.75" customHeight="1" x14ac:dyDescent="0.25">
      <c r="B547" s="144"/>
      <c r="G547" s="145"/>
    </row>
    <row r="548" spans="2:7" ht="15.75" customHeight="1" x14ac:dyDescent="0.25">
      <c r="B548" s="144"/>
      <c r="G548" s="145"/>
    </row>
    <row r="549" spans="2:7" ht="15.75" customHeight="1" x14ac:dyDescent="0.25">
      <c r="B549" s="144"/>
      <c r="G549" s="145"/>
    </row>
    <row r="550" spans="2:7" ht="15.75" customHeight="1" x14ac:dyDescent="0.25">
      <c r="B550" s="144"/>
      <c r="G550" s="145"/>
    </row>
    <row r="551" spans="2:7" ht="15.75" customHeight="1" x14ac:dyDescent="0.25">
      <c r="B551" s="144"/>
      <c r="G551" s="145"/>
    </row>
    <row r="552" spans="2:7" ht="15.75" customHeight="1" x14ac:dyDescent="0.25">
      <c r="B552" s="144"/>
      <c r="G552" s="145"/>
    </row>
    <row r="553" spans="2:7" ht="15.75" customHeight="1" x14ac:dyDescent="0.25">
      <c r="B553" s="144"/>
      <c r="G553" s="145"/>
    </row>
    <row r="554" spans="2:7" ht="15.75" customHeight="1" x14ac:dyDescent="0.25">
      <c r="B554" s="144"/>
      <c r="G554" s="145"/>
    </row>
    <row r="555" spans="2:7" ht="15.75" customHeight="1" x14ac:dyDescent="0.25">
      <c r="B555" s="144"/>
      <c r="G555" s="145"/>
    </row>
    <row r="556" spans="2:7" ht="15.75" customHeight="1" x14ac:dyDescent="0.25">
      <c r="B556" s="144"/>
      <c r="G556" s="145"/>
    </row>
    <row r="557" spans="2:7" ht="15.75" customHeight="1" x14ac:dyDescent="0.25">
      <c r="B557" s="144"/>
      <c r="G557" s="145"/>
    </row>
    <row r="558" spans="2:7" ht="15.75" customHeight="1" x14ac:dyDescent="0.25">
      <c r="B558" s="144"/>
      <c r="G558" s="145"/>
    </row>
    <row r="559" spans="2:7" ht="15.75" customHeight="1" x14ac:dyDescent="0.25">
      <c r="B559" s="144"/>
      <c r="G559" s="145"/>
    </row>
    <row r="560" spans="2:7" ht="15.75" customHeight="1" x14ac:dyDescent="0.25">
      <c r="B560" s="144"/>
      <c r="G560" s="145"/>
    </row>
    <row r="561" spans="2:7" ht="15.75" customHeight="1" x14ac:dyDescent="0.25">
      <c r="B561" s="144"/>
      <c r="G561" s="145"/>
    </row>
    <row r="562" spans="2:7" ht="15.75" customHeight="1" x14ac:dyDescent="0.25">
      <c r="B562" s="144"/>
      <c r="G562" s="145"/>
    </row>
    <row r="563" spans="2:7" ht="15.75" customHeight="1" x14ac:dyDescent="0.25">
      <c r="B563" s="144"/>
      <c r="G563" s="145"/>
    </row>
    <row r="564" spans="2:7" ht="15.75" customHeight="1" x14ac:dyDescent="0.25">
      <c r="B564" s="144"/>
      <c r="G564" s="145"/>
    </row>
    <row r="565" spans="2:7" ht="15.75" customHeight="1" x14ac:dyDescent="0.25">
      <c r="B565" s="144"/>
      <c r="G565" s="145"/>
    </row>
    <row r="566" spans="2:7" ht="15.75" customHeight="1" x14ac:dyDescent="0.25">
      <c r="B566" s="144"/>
      <c r="G566" s="145"/>
    </row>
    <row r="567" spans="2:7" ht="15.75" customHeight="1" x14ac:dyDescent="0.25">
      <c r="B567" s="144"/>
      <c r="G567" s="145"/>
    </row>
    <row r="568" spans="2:7" ht="15.75" customHeight="1" x14ac:dyDescent="0.25">
      <c r="B568" s="144"/>
      <c r="G568" s="145"/>
    </row>
    <row r="569" spans="2:7" ht="15.75" customHeight="1" x14ac:dyDescent="0.25">
      <c r="B569" s="144"/>
      <c r="G569" s="145"/>
    </row>
    <row r="570" spans="2:7" ht="15.75" customHeight="1" x14ac:dyDescent="0.25">
      <c r="B570" s="144"/>
      <c r="G570" s="145"/>
    </row>
    <row r="571" spans="2:7" ht="15.75" customHeight="1" x14ac:dyDescent="0.25">
      <c r="B571" s="144"/>
      <c r="G571" s="145"/>
    </row>
    <row r="572" spans="2:7" ht="15.75" customHeight="1" x14ac:dyDescent="0.25">
      <c r="B572" s="144"/>
      <c r="G572" s="145"/>
    </row>
    <row r="573" spans="2:7" ht="15.75" customHeight="1" x14ac:dyDescent="0.25">
      <c r="B573" s="144"/>
      <c r="G573" s="145"/>
    </row>
    <row r="574" spans="2:7" ht="15.75" customHeight="1" x14ac:dyDescent="0.25">
      <c r="B574" s="144"/>
      <c r="G574" s="145"/>
    </row>
    <row r="575" spans="2:7" ht="15.75" customHeight="1" x14ac:dyDescent="0.25">
      <c r="B575" s="144"/>
      <c r="G575" s="145"/>
    </row>
    <row r="576" spans="2:7" ht="15.75" customHeight="1" x14ac:dyDescent="0.25">
      <c r="B576" s="144"/>
      <c r="G576" s="145"/>
    </row>
    <row r="577" spans="2:7" ht="15.75" customHeight="1" x14ac:dyDescent="0.25">
      <c r="B577" s="144"/>
      <c r="G577" s="145"/>
    </row>
    <row r="578" spans="2:7" ht="15.75" customHeight="1" x14ac:dyDescent="0.25">
      <c r="B578" s="144"/>
      <c r="G578" s="145"/>
    </row>
    <row r="579" spans="2:7" ht="15.75" customHeight="1" x14ac:dyDescent="0.25">
      <c r="B579" s="144"/>
      <c r="G579" s="145"/>
    </row>
    <row r="580" spans="2:7" ht="15.75" customHeight="1" x14ac:dyDescent="0.25">
      <c r="B580" s="144"/>
      <c r="G580" s="145"/>
    </row>
    <row r="581" spans="2:7" ht="15.75" customHeight="1" x14ac:dyDescent="0.25">
      <c r="B581" s="144"/>
      <c r="G581" s="145"/>
    </row>
    <row r="582" spans="2:7" ht="15.75" customHeight="1" x14ac:dyDescent="0.25">
      <c r="B582" s="144"/>
      <c r="G582" s="145"/>
    </row>
    <row r="583" spans="2:7" ht="15.75" customHeight="1" x14ac:dyDescent="0.25">
      <c r="B583" s="144"/>
      <c r="G583" s="145"/>
    </row>
    <row r="584" spans="2:7" ht="15.75" customHeight="1" x14ac:dyDescent="0.25">
      <c r="B584" s="144"/>
      <c r="G584" s="145"/>
    </row>
    <row r="585" spans="2:7" ht="15.75" customHeight="1" x14ac:dyDescent="0.25">
      <c r="B585" s="144"/>
      <c r="G585" s="145"/>
    </row>
    <row r="586" spans="2:7" ht="15.75" customHeight="1" x14ac:dyDescent="0.25">
      <c r="B586" s="144"/>
      <c r="G586" s="145"/>
    </row>
    <row r="587" spans="2:7" ht="15.75" customHeight="1" x14ac:dyDescent="0.25">
      <c r="B587" s="144"/>
      <c r="G587" s="145"/>
    </row>
    <row r="588" spans="2:7" ht="15.75" customHeight="1" x14ac:dyDescent="0.25">
      <c r="B588" s="144"/>
      <c r="G588" s="145"/>
    </row>
    <row r="589" spans="2:7" ht="15.75" customHeight="1" x14ac:dyDescent="0.25">
      <c r="B589" s="144"/>
      <c r="G589" s="145"/>
    </row>
    <row r="590" spans="2:7" ht="15.75" customHeight="1" x14ac:dyDescent="0.25">
      <c r="B590" s="144"/>
      <c r="G590" s="145"/>
    </row>
    <row r="591" spans="2:7" ht="15.75" customHeight="1" x14ac:dyDescent="0.25">
      <c r="B591" s="144"/>
      <c r="G591" s="145"/>
    </row>
    <row r="592" spans="2:7" ht="15.75" customHeight="1" x14ac:dyDescent="0.25">
      <c r="B592" s="144"/>
      <c r="G592" s="145"/>
    </row>
    <row r="593" spans="2:7" ht="15.75" customHeight="1" x14ac:dyDescent="0.25">
      <c r="B593" s="144"/>
      <c r="G593" s="145"/>
    </row>
    <row r="594" spans="2:7" ht="15.75" customHeight="1" x14ac:dyDescent="0.25">
      <c r="B594" s="144"/>
      <c r="G594" s="145"/>
    </row>
    <row r="595" spans="2:7" ht="15.75" customHeight="1" x14ac:dyDescent="0.25">
      <c r="B595" s="144"/>
      <c r="G595" s="145"/>
    </row>
    <row r="596" spans="2:7" ht="15.75" customHeight="1" x14ac:dyDescent="0.25">
      <c r="B596" s="144"/>
      <c r="G596" s="145"/>
    </row>
    <row r="597" spans="2:7" ht="15.75" customHeight="1" x14ac:dyDescent="0.25">
      <c r="B597" s="144"/>
      <c r="G597" s="145"/>
    </row>
    <row r="598" spans="2:7" ht="15.75" customHeight="1" x14ac:dyDescent="0.25">
      <c r="B598" s="144"/>
      <c r="G598" s="145"/>
    </row>
    <row r="599" spans="2:7" ht="15.75" customHeight="1" x14ac:dyDescent="0.25">
      <c r="B599" s="144"/>
      <c r="G599" s="145"/>
    </row>
    <row r="600" spans="2:7" ht="15.75" customHeight="1" x14ac:dyDescent="0.25">
      <c r="B600" s="144"/>
      <c r="G600" s="145"/>
    </row>
    <row r="601" spans="2:7" ht="15.75" customHeight="1" x14ac:dyDescent="0.25">
      <c r="B601" s="144"/>
      <c r="G601" s="145"/>
    </row>
    <row r="602" spans="2:7" ht="15.75" customHeight="1" x14ac:dyDescent="0.25">
      <c r="B602" s="144"/>
      <c r="G602" s="145"/>
    </row>
    <row r="603" spans="2:7" ht="15.75" customHeight="1" x14ac:dyDescent="0.25">
      <c r="B603" s="144"/>
      <c r="G603" s="145"/>
    </row>
    <row r="604" spans="2:7" ht="15.75" customHeight="1" x14ac:dyDescent="0.25">
      <c r="B604" s="144"/>
      <c r="G604" s="145"/>
    </row>
    <row r="605" spans="2:7" ht="15.75" customHeight="1" x14ac:dyDescent="0.25">
      <c r="B605" s="144"/>
      <c r="G605" s="145"/>
    </row>
    <row r="606" spans="2:7" ht="15.75" customHeight="1" x14ac:dyDescent="0.25">
      <c r="B606" s="144"/>
      <c r="G606" s="145"/>
    </row>
    <row r="607" spans="2:7" ht="15.75" customHeight="1" x14ac:dyDescent="0.25">
      <c r="B607" s="144"/>
      <c r="G607" s="145"/>
    </row>
    <row r="608" spans="2:7" ht="15.75" customHeight="1" x14ac:dyDescent="0.25">
      <c r="B608" s="144"/>
      <c r="G608" s="145"/>
    </row>
    <row r="609" spans="2:7" ht="15.75" customHeight="1" x14ac:dyDescent="0.25">
      <c r="B609" s="144"/>
      <c r="G609" s="145"/>
    </row>
    <row r="610" spans="2:7" ht="15.75" customHeight="1" x14ac:dyDescent="0.25">
      <c r="B610" s="144"/>
      <c r="G610" s="145"/>
    </row>
    <row r="611" spans="2:7" ht="15.75" customHeight="1" x14ac:dyDescent="0.25">
      <c r="B611" s="144"/>
      <c r="G611" s="145"/>
    </row>
    <row r="612" spans="2:7" ht="15.75" customHeight="1" x14ac:dyDescent="0.25">
      <c r="B612" s="144"/>
      <c r="G612" s="145"/>
    </row>
    <row r="613" spans="2:7" ht="15.75" customHeight="1" x14ac:dyDescent="0.25">
      <c r="B613" s="144"/>
      <c r="G613" s="145"/>
    </row>
    <row r="614" spans="2:7" ht="15.75" customHeight="1" x14ac:dyDescent="0.25">
      <c r="B614" s="144"/>
      <c r="G614" s="145"/>
    </row>
    <row r="615" spans="2:7" ht="15.75" customHeight="1" x14ac:dyDescent="0.25">
      <c r="B615" s="144"/>
      <c r="G615" s="145"/>
    </row>
    <row r="616" spans="2:7" ht="15.75" customHeight="1" x14ac:dyDescent="0.25">
      <c r="B616" s="144"/>
      <c r="G616" s="145"/>
    </row>
    <row r="617" spans="2:7" ht="15.75" customHeight="1" x14ac:dyDescent="0.25">
      <c r="B617" s="144"/>
      <c r="G617" s="145"/>
    </row>
    <row r="618" spans="2:7" ht="15.75" customHeight="1" x14ac:dyDescent="0.25">
      <c r="B618" s="144"/>
      <c r="G618" s="145"/>
    </row>
    <row r="619" spans="2:7" ht="15.75" customHeight="1" x14ac:dyDescent="0.25">
      <c r="B619" s="144"/>
      <c r="G619" s="145"/>
    </row>
    <row r="620" spans="2:7" ht="15.75" customHeight="1" x14ac:dyDescent="0.25">
      <c r="B620" s="144"/>
      <c r="G620" s="145"/>
    </row>
    <row r="621" spans="2:7" ht="15.75" customHeight="1" x14ac:dyDescent="0.25">
      <c r="B621" s="144"/>
      <c r="G621" s="145"/>
    </row>
    <row r="622" spans="2:7" ht="15.75" customHeight="1" x14ac:dyDescent="0.25">
      <c r="B622" s="144"/>
      <c r="G622" s="145"/>
    </row>
    <row r="623" spans="2:7" ht="15.75" customHeight="1" x14ac:dyDescent="0.25">
      <c r="B623" s="144"/>
      <c r="G623" s="145"/>
    </row>
    <row r="624" spans="2:7" ht="15.75" customHeight="1" x14ac:dyDescent="0.25">
      <c r="B624" s="144"/>
      <c r="G624" s="145"/>
    </row>
    <row r="625" spans="2:7" ht="15.75" customHeight="1" x14ac:dyDescent="0.25">
      <c r="B625" s="144"/>
      <c r="G625" s="145"/>
    </row>
    <row r="626" spans="2:7" ht="15.75" customHeight="1" x14ac:dyDescent="0.25">
      <c r="B626" s="144"/>
      <c r="G626" s="145"/>
    </row>
    <row r="627" spans="2:7" ht="15.75" customHeight="1" x14ac:dyDescent="0.25">
      <c r="B627" s="144"/>
      <c r="G627" s="145"/>
    </row>
    <row r="628" spans="2:7" ht="15.75" customHeight="1" x14ac:dyDescent="0.25">
      <c r="B628" s="144"/>
      <c r="G628" s="145"/>
    </row>
    <row r="629" spans="2:7" ht="15.75" customHeight="1" x14ac:dyDescent="0.25">
      <c r="B629" s="144"/>
      <c r="G629" s="145"/>
    </row>
    <row r="630" spans="2:7" ht="15.75" customHeight="1" x14ac:dyDescent="0.25">
      <c r="B630" s="144"/>
      <c r="G630" s="145"/>
    </row>
    <row r="631" spans="2:7" ht="15.75" customHeight="1" x14ac:dyDescent="0.25">
      <c r="B631" s="144"/>
      <c r="G631" s="145"/>
    </row>
    <row r="632" spans="2:7" ht="15.75" customHeight="1" x14ac:dyDescent="0.25">
      <c r="B632" s="144"/>
      <c r="G632" s="145"/>
    </row>
    <row r="633" spans="2:7" ht="15.75" customHeight="1" x14ac:dyDescent="0.25">
      <c r="B633" s="144"/>
      <c r="G633" s="145"/>
    </row>
    <row r="634" spans="2:7" ht="15.75" customHeight="1" x14ac:dyDescent="0.25">
      <c r="B634" s="144"/>
      <c r="G634" s="145"/>
    </row>
    <row r="635" spans="2:7" ht="15.75" customHeight="1" x14ac:dyDescent="0.25">
      <c r="B635" s="144"/>
      <c r="G635" s="145"/>
    </row>
    <row r="636" spans="2:7" ht="15.75" customHeight="1" x14ac:dyDescent="0.25">
      <c r="B636" s="144"/>
      <c r="G636" s="145"/>
    </row>
    <row r="637" spans="2:7" ht="15.75" customHeight="1" x14ac:dyDescent="0.25">
      <c r="B637" s="144"/>
      <c r="G637" s="145"/>
    </row>
    <row r="638" spans="2:7" ht="15.75" customHeight="1" x14ac:dyDescent="0.25">
      <c r="B638" s="144"/>
      <c r="G638" s="145"/>
    </row>
    <row r="639" spans="2:7" ht="15.75" customHeight="1" x14ac:dyDescent="0.25">
      <c r="B639" s="144"/>
      <c r="G639" s="145"/>
    </row>
    <row r="640" spans="2:7" ht="15.75" customHeight="1" x14ac:dyDescent="0.25">
      <c r="B640" s="144"/>
      <c r="G640" s="145"/>
    </row>
    <row r="641" spans="2:7" ht="15.75" customHeight="1" x14ac:dyDescent="0.25">
      <c r="B641" s="144"/>
      <c r="G641" s="145"/>
    </row>
    <row r="642" spans="2:7" ht="15.75" customHeight="1" x14ac:dyDescent="0.25">
      <c r="B642" s="144"/>
      <c r="G642" s="145"/>
    </row>
    <row r="643" spans="2:7" ht="15.75" customHeight="1" x14ac:dyDescent="0.25">
      <c r="B643" s="144"/>
      <c r="G643" s="145"/>
    </row>
    <row r="644" spans="2:7" ht="15.75" customHeight="1" x14ac:dyDescent="0.25">
      <c r="B644" s="144"/>
      <c r="G644" s="145"/>
    </row>
    <row r="645" spans="2:7" ht="15.75" customHeight="1" x14ac:dyDescent="0.25">
      <c r="B645" s="144"/>
      <c r="G645" s="145"/>
    </row>
    <row r="646" spans="2:7" ht="15.75" customHeight="1" x14ac:dyDescent="0.25">
      <c r="B646" s="144"/>
      <c r="G646" s="145"/>
    </row>
    <row r="647" spans="2:7" ht="15.75" customHeight="1" x14ac:dyDescent="0.25">
      <c r="B647" s="144"/>
      <c r="G647" s="145"/>
    </row>
    <row r="648" spans="2:7" ht="15.75" customHeight="1" x14ac:dyDescent="0.25">
      <c r="B648" s="144"/>
      <c r="G648" s="145"/>
    </row>
    <row r="649" spans="2:7" ht="15.75" customHeight="1" x14ac:dyDescent="0.25">
      <c r="B649" s="144"/>
      <c r="G649" s="145"/>
    </row>
    <row r="650" spans="2:7" ht="15.75" customHeight="1" x14ac:dyDescent="0.25">
      <c r="B650" s="144"/>
      <c r="G650" s="145"/>
    </row>
    <row r="651" spans="2:7" ht="15.75" customHeight="1" x14ac:dyDescent="0.25">
      <c r="B651" s="144"/>
      <c r="G651" s="145"/>
    </row>
    <row r="652" spans="2:7" ht="15.75" customHeight="1" x14ac:dyDescent="0.25">
      <c r="B652" s="144"/>
      <c r="G652" s="145"/>
    </row>
    <row r="653" spans="2:7" ht="15.75" customHeight="1" x14ac:dyDescent="0.25">
      <c r="B653" s="144"/>
      <c r="G653" s="145"/>
    </row>
    <row r="654" spans="2:7" ht="15.75" customHeight="1" x14ac:dyDescent="0.25">
      <c r="B654" s="144"/>
      <c r="G654" s="145"/>
    </row>
    <row r="655" spans="2:7" ht="15.75" customHeight="1" x14ac:dyDescent="0.25">
      <c r="B655" s="144"/>
      <c r="G655" s="145"/>
    </row>
    <row r="656" spans="2:7" ht="15.75" customHeight="1" x14ac:dyDescent="0.25">
      <c r="B656" s="144"/>
      <c r="G656" s="145"/>
    </row>
    <row r="657" spans="2:7" ht="15.75" customHeight="1" x14ac:dyDescent="0.25">
      <c r="B657" s="144"/>
      <c r="G657" s="145"/>
    </row>
    <row r="658" spans="2:7" ht="15.75" customHeight="1" x14ac:dyDescent="0.25">
      <c r="B658" s="144"/>
      <c r="G658" s="145"/>
    </row>
    <row r="659" spans="2:7" ht="15.75" customHeight="1" x14ac:dyDescent="0.25">
      <c r="B659" s="144"/>
      <c r="G659" s="145"/>
    </row>
    <row r="660" spans="2:7" ht="15.75" customHeight="1" x14ac:dyDescent="0.25">
      <c r="B660" s="144"/>
      <c r="G660" s="145"/>
    </row>
    <row r="661" spans="2:7" ht="15.75" customHeight="1" x14ac:dyDescent="0.25">
      <c r="B661" s="144"/>
      <c r="G661" s="145"/>
    </row>
    <row r="662" spans="2:7" ht="15.75" customHeight="1" x14ac:dyDescent="0.25">
      <c r="B662" s="144"/>
      <c r="G662" s="145"/>
    </row>
    <row r="663" spans="2:7" ht="15.75" customHeight="1" x14ac:dyDescent="0.25">
      <c r="B663" s="144"/>
      <c r="G663" s="145"/>
    </row>
    <row r="664" spans="2:7" ht="15.75" customHeight="1" x14ac:dyDescent="0.25">
      <c r="B664" s="144"/>
      <c r="G664" s="145"/>
    </row>
    <row r="665" spans="2:7" ht="15.75" customHeight="1" x14ac:dyDescent="0.25">
      <c r="B665" s="144"/>
      <c r="G665" s="145"/>
    </row>
    <row r="666" spans="2:7" ht="15.75" customHeight="1" x14ac:dyDescent="0.25">
      <c r="B666" s="144"/>
      <c r="G666" s="145"/>
    </row>
    <row r="667" spans="2:7" ht="15.75" customHeight="1" x14ac:dyDescent="0.25">
      <c r="B667" s="144"/>
      <c r="G667" s="145"/>
    </row>
    <row r="668" spans="2:7" ht="15.75" customHeight="1" x14ac:dyDescent="0.25">
      <c r="B668" s="144"/>
      <c r="G668" s="145"/>
    </row>
    <row r="669" spans="2:7" ht="15.75" customHeight="1" x14ac:dyDescent="0.25">
      <c r="B669" s="144"/>
      <c r="G669" s="145"/>
    </row>
    <row r="670" spans="2:7" ht="15.75" customHeight="1" x14ac:dyDescent="0.25">
      <c r="B670" s="144"/>
      <c r="G670" s="145"/>
    </row>
    <row r="671" spans="2:7" ht="15.75" customHeight="1" x14ac:dyDescent="0.25">
      <c r="B671" s="144"/>
      <c r="G671" s="145"/>
    </row>
    <row r="672" spans="2:7" ht="15.75" customHeight="1" x14ac:dyDescent="0.25">
      <c r="B672" s="144"/>
      <c r="G672" s="145"/>
    </row>
    <row r="673" spans="2:7" ht="15.75" customHeight="1" x14ac:dyDescent="0.25">
      <c r="B673" s="144"/>
      <c r="G673" s="145"/>
    </row>
    <row r="674" spans="2:7" ht="15.75" customHeight="1" x14ac:dyDescent="0.25">
      <c r="B674" s="144"/>
      <c r="G674" s="145"/>
    </row>
    <row r="675" spans="2:7" ht="15.75" customHeight="1" x14ac:dyDescent="0.25">
      <c r="B675" s="144"/>
      <c r="G675" s="145"/>
    </row>
    <row r="676" spans="2:7" ht="15.75" customHeight="1" x14ac:dyDescent="0.25">
      <c r="B676" s="144"/>
      <c r="G676" s="145"/>
    </row>
    <row r="677" spans="2:7" ht="15.75" customHeight="1" x14ac:dyDescent="0.25">
      <c r="B677" s="144"/>
      <c r="G677" s="145"/>
    </row>
    <row r="678" spans="2:7" ht="15.75" customHeight="1" x14ac:dyDescent="0.25">
      <c r="B678" s="144"/>
      <c r="G678" s="145"/>
    </row>
    <row r="679" spans="2:7" ht="15.75" customHeight="1" x14ac:dyDescent="0.25">
      <c r="B679" s="144"/>
      <c r="G679" s="145"/>
    </row>
    <row r="680" spans="2:7" ht="15.75" customHeight="1" x14ac:dyDescent="0.25">
      <c r="B680" s="144"/>
      <c r="G680" s="145"/>
    </row>
    <row r="681" spans="2:7" ht="15.75" customHeight="1" x14ac:dyDescent="0.25">
      <c r="B681" s="144"/>
      <c r="G681" s="145"/>
    </row>
    <row r="682" spans="2:7" ht="15.75" customHeight="1" x14ac:dyDescent="0.25">
      <c r="B682" s="144"/>
      <c r="G682" s="145"/>
    </row>
    <row r="683" spans="2:7" ht="15.75" customHeight="1" x14ac:dyDescent="0.25">
      <c r="B683" s="144"/>
      <c r="G683" s="145"/>
    </row>
    <row r="684" spans="2:7" ht="15.75" customHeight="1" x14ac:dyDescent="0.25">
      <c r="B684" s="144"/>
      <c r="G684" s="145"/>
    </row>
    <row r="685" spans="2:7" ht="15.75" customHeight="1" x14ac:dyDescent="0.25">
      <c r="B685" s="144"/>
      <c r="G685" s="145"/>
    </row>
    <row r="686" spans="2:7" ht="15.75" customHeight="1" x14ac:dyDescent="0.25">
      <c r="B686" s="144"/>
      <c r="G686" s="145"/>
    </row>
    <row r="687" spans="2:7" ht="15.75" customHeight="1" x14ac:dyDescent="0.25">
      <c r="B687" s="144"/>
      <c r="G687" s="145"/>
    </row>
    <row r="688" spans="2:7" ht="15.75" customHeight="1" x14ac:dyDescent="0.25">
      <c r="B688" s="144"/>
      <c r="G688" s="145"/>
    </row>
    <row r="689" spans="2:7" ht="15.75" customHeight="1" x14ac:dyDescent="0.25">
      <c r="B689" s="144"/>
      <c r="G689" s="145"/>
    </row>
    <row r="690" spans="2:7" ht="15.75" customHeight="1" x14ac:dyDescent="0.25">
      <c r="B690" s="144"/>
      <c r="G690" s="145"/>
    </row>
    <row r="691" spans="2:7" ht="15.75" customHeight="1" x14ac:dyDescent="0.25">
      <c r="B691" s="144"/>
      <c r="G691" s="145"/>
    </row>
    <row r="692" spans="2:7" ht="15.75" customHeight="1" x14ac:dyDescent="0.25">
      <c r="B692" s="144"/>
      <c r="G692" s="145"/>
    </row>
    <row r="693" spans="2:7" ht="15.75" customHeight="1" x14ac:dyDescent="0.25">
      <c r="B693" s="144"/>
      <c r="G693" s="145"/>
    </row>
    <row r="694" spans="2:7" ht="15.75" customHeight="1" x14ac:dyDescent="0.25">
      <c r="B694" s="144"/>
      <c r="G694" s="145"/>
    </row>
    <row r="695" spans="2:7" ht="15.75" customHeight="1" x14ac:dyDescent="0.25">
      <c r="B695" s="144"/>
      <c r="G695" s="145"/>
    </row>
    <row r="696" spans="2:7" ht="15.75" customHeight="1" x14ac:dyDescent="0.25">
      <c r="B696" s="144"/>
      <c r="G696" s="145"/>
    </row>
    <row r="697" spans="2:7" ht="15.75" customHeight="1" x14ac:dyDescent="0.25">
      <c r="B697" s="144"/>
      <c r="G697" s="145"/>
    </row>
    <row r="698" spans="2:7" ht="15.75" customHeight="1" x14ac:dyDescent="0.25">
      <c r="B698" s="144"/>
      <c r="G698" s="145"/>
    </row>
    <row r="699" spans="2:7" ht="15.75" customHeight="1" x14ac:dyDescent="0.25">
      <c r="B699" s="144"/>
      <c r="G699" s="145"/>
    </row>
    <row r="700" spans="2:7" ht="15.75" customHeight="1" x14ac:dyDescent="0.25">
      <c r="B700" s="144"/>
      <c r="G700" s="145"/>
    </row>
    <row r="701" spans="2:7" ht="15.75" customHeight="1" x14ac:dyDescent="0.25">
      <c r="B701" s="144"/>
      <c r="G701" s="145"/>
    </row>
    <row r="702" spans="2:7" ht="15.75" customHeight="1" x14ac:dyDescent="0.25">
      <c r="B702" s="144"/>
      <c r="G702" s="145"/>
    </row>
    <row r="703" spans="2:7" ht="15.75" customHeight="1" x14ac:dyDescent="0.25">
      <c r="B703" s="144"/>
      <c r="G703" s="145"/>
    </row>
    <row r="704" spans="2:7" ht="15.75" customHeight="1" x14ac:dyDescent="0.25">
      <c r="B704" s="144"/>
      <c r="G704" s="145"/>
    </row>
    <row r="705" spans="2:7" ht="15.75" customHeight="1" x14ac:dyDescent="0.25">
      <c r="B705" s="144"/>
      <c r="G705" s="145"/>
    </row>
    <row r="706" spans="2:7" ht="15.75" customHeight="1" x14ac:dyDescent="0.25">
      <c r="B706" s="144"/>
      <c r="G706" s="145"/>
    </row>
    <row r="707" spans="2:7" ht="15.75" customHeight="1" x14ac:dyDescent="0.25">
      <c r="B707" s="144"/>
      <c r="G707" s="145"/>
    </row>
    <row r="708" spans="2:7" ht="15.75" customHeight="1" x14ac:dyDescent="0.25">
      <c r="B708" s="144"/>
      <c r="G708" s="145"/>
    </row>
    <row r="709" spans="2:7" ht="15.75" customHeight="1" x14ac:dyDescent="0.25">
      <c r="B709" s="144"/>
      <c r="G709" s="145"/>
    </row>
    <row r="710" spans="2:7" ht="15.75" customHeight="1" x14ac:dyDescent="0.25">
      <c r="B710" s="144"/>
      <c r="G710" s="145"/>
    </row>
    <row r="711" spans="2:7" ht="15.75" customHeight="1" x14ac:dyDescent="0.25">
      <c r="B711" s="144"/>
      <c r="G711" s="145"/>
    </row>
    <row r="712" spans="2:7" ht="15.75" customHeight="1" x14ac:dyDescent="0.25">
      <c r="B712" s="144"/>
      <c r="G712" s="145"/>
    </row>
    <row r="713" spans="2:7" ht="15.75" customHeight="1" x14ac:dyDescent="0.25">
      <c r="B713" s="144"/>
      <c r="G713" s="145"/>
    </row>
    <row r="714" spans="2:7" ht="15.75" customHeight="1" x14ac:dyDescent="0.25">
      <c r="B714" s="144"/>
      <c r="G714" s="145"/>
    </row>
    <row r="715" spans="2:7" ht="15.75" customHeight="1" x14ac:dyDescent="0.25">
      <c r="B715" s="144"/>
      <c r="G715" s="145"/>
    </row>
    <row r="716" spans="2:7" ht="15.75" customHeight="1" x14ac:dyDescent="0.25">
      <c r="B716" s="144"/>
      <c r="G716" s="145"/>
    </row>
    <row r="717" spans="2:7" ht="15.75" customHeight="1" x14ac:dyDescent="0.25">
      <c r="B717" s="144"/>
      <c r="G717" s="145"/>
    </row>
    <row r="718" spans="2:7" ht="15.75" customHeight="1" x14ac:dyDescent="0.25">
      <c r="B718" s="144"/>
      <c r="G718" s="145"/>
    </row>
    <row r="719" spans="2:7" ht="15.75" customHeight="1" x14ac:dyDescent="0.25">
      <c r="B719" s="144"/>
      <c r="G719" s="145"/>
    </row>
    <row r="720" spans="2:7" ht="15.75" customHeight="1" x14ac:dyDescent="0.25">
      <c r="B720" s="144"/>
      <c r="G720" s="145"/>
    </row>
    <row r="721" spans="2:7" ht="15.75" customHeight="1" x14ac:dyDescent="0.25">
      <c r="B721" s="144"/>
      <c r="G721" s="145"/>
    </row>
    <row r="722" spans="2:7" ht="15.75" customHeight="1" x14ac:dyDescent="0.25">
      <c r="B722" s="144"/>
      <c r="G722" s="145"/>
    </row>
    <row r="723" spans="2:7" ht="15.75" customHeight="1" x14ac:dyDescent="0.25">
      <c r="B723" s="144"/>
      <c r="G723" s="145"/>
    </row>
    <row r="724" spans="2:7" ht="15.75" customHeight="1" x14ac:dyDescent="0.25">
      <c r="B724" s="144"/>
      <c r="G724" s="145"/>
    </row>
    <row r="725" spans="2:7" ht="15.75" customHeight="1" x14ac:dyDescent="0.25">
      <c r="B725" s="144"/>
      <c r="G725" s="145"/>
    </row>
    <row r="726" spans="2:7" ht="15.75" customHeight="1" x14ac:dyDescent="0.25">
      <c r="B726" s="144"/>
      <c r="G726" s="145"/>
    </row>
    <row r="727" spans="2:7" ht="15.75" customHeight="1" x14ac:dyDescent="0.25">
      <c r="B727" s="144"/>
      <c r="G727" s="145"/>
    </row>
    <row r="728" spans="2:7" ht="15.75" customHeight="1" x14ac:dyDescent="0.25">
      <c r="B728" s="144"/>
      <c r="G728" s="145"/>
    </row>
    <row r="729" spans="2:7" ht="15.75" customHeight="1" x14ac:dyDescent="0.25">
      <c r="B729" s="144"/>
      <c r="G729" s="145"/>
    </row>
    <row r="730" spans="2:7" ht="15.75" customHeight="1" x14ac:dyDescent="0.25">
      <c r="B730" s="144"/>
      <c r="G730" s="145"/>
    </row>
    <row r="731" spans="2:7" ht="15.75" customHeight="1" x14ac:dyDescent="0.25">
      <c r="B731" s="144"/>
      <c r="G731" s="145"/>
    </row>
    <row r="732" spans="2:7" ht="15.75" customHeight="1" x14ac:dyDescent="0.25">
      <c r="B732" s="144"/>
      <c r="G732" s="145"/>
    </row>
    <row r="733" spans="2:7" ht="15.75" customHeight="1" x14ac:dyDescent="0.25">
      <c r="B733" s="144"/>
      <c r="G733" s="145"/>
    </row>
    <row r="734" spans="2:7" ht="15.75" customHeight="1" x14ac:dyDescent="0.25">
      <c r="B734" s="144"/>
      <c r="G734" s="145"/>
    </row>
    <row r="735" spans="2:7" ht="15.75" customHeight="1" x14ac:dyDescent="0.25">
      <c r="B735" s="144"/>
      <c r="G735" s="145"/>
    </row>
    <row r="736" spans="2:7" ht="15.75" customHeight="1" x14ac:dyDescent="0.25">
      <c r="B736" s="144"/>
      <c r="G736" s="145"/>
    </row>
    <row r="737" spans="2:7" ht="15.75" customHeight="1" x14ac:dyDescent="0.25">
      <c r="B737" s="144"/>
      <c r="G737" s="145"/>
    </row>
    <row r="738" spans="2:7" ht="15.75" customHeight="1" x14ac:dyDescent="0.25">
      <c r="B738" s="144"/>
      <c r="G738" s="145"/>
    </row>
    <row r="739" spans="2:7" ht="15.75" customHeight="1" x14ac:dyDescent="0.25">
      <c r="B739" s="144"/>
      <c r="G739" s="145"/>
    </row>
    <row r="740" spans="2:7" ht="15.75" customHeight="1" x14ac:dyDescent="0.25">
      <c r="B740" s="144"/>
      <c r="G740" s="145"/>
    </row>
    <row r="741" spans="2:7" ht="15.75" customHeight="1" x14ac:dyDescent="0.25">
      <c r="B741" s="144"/>
      <c r="G741" s="145"/>
    </row>
    <row r="742" spans="2:7" ht="15.75" customHeight="1" x14ac:dyDescent="0.25">
      <c r="B742" s="144"/>
      <c r="G742" s="145"/>
    </row>
    <row r="743" spans="2:7" ht="15.75" customHeight="1" x14ac:dyDescent="0.25">
      <c r="B743" s="144"/>
      <c r="G743" s="145"/>
    </row>
    <row r="744" spans="2:7" ht="15.75" customHeight="1" x14ac:dyDescent="0.25">
      <c r="B744" s="144"/>
      <c r="G744" s="145"/>
    </row>
    <row r="745" spans="2:7" ht="15.75" customHeight="1" x14ac:dyDescent="0.25">
      <c r="B745" s="144"/>
      <c r="G745" s="145"/>
    </row>
    <row r="746" spans="2:7" ht="15.75" customHeight="1" x14ac:dyDescent="0.25">
      <c r="B746" s="144"/>
      <c r="G746" s="145"/>
    </row>
    <row r="747" spans="2:7" ht="15.75" customHeight="1" x14ac:dyDescent="0.25">
      <c r="B747" s="144"/>
      <c r="G747" s="145"/>
    </row>
    <row r="748" spans="2:7" ht="15.75" customHeight="1" x14ac:dyDescent="0.25">
      <c r="B748" s="144"/>
      <c r="G748" s="145"/>
    </row>
    <row r="749" spans="2:7" ht="15.75" customHeight="1" x14ac:dyDescent="0.25">
      <c r="B749" s="144"/>
      <c r="G749" s="145"/>
    </row>
    <row r="750" spans="2:7" ht="15.75" customHeight="1" x14ac:dyDescent="0.25">
      <c r="B750" s="144"/>
      <c r="G750" s="145"/>
    </row>
    <row r="751" spans="2:7" ht="15.75" customHeight="1" x14ac:dyDescent="0.25">
      <c r="B751" s="144"/>
      <c r="G751" s="145"/>
    </row>
    <row r="752" spans="2:7" ht="15.75" customHeight="1" x14ac:dyDescent="0.25">
      <c r="B752" s="144"/>
      <c r="G752" s="145"/>
    </row>
    <row r="753" spans="2:7" ht="15.75" customHeight="1" x14ac:dyDescent="0.25">
      <c r="B753" s="144"/>
      <c r="G753" s="145"/>
    </row>
    <row r="754" spans="2:7" ht="15.75" customHeight="1" x14ac:dyDescent="0.25">
      <c r="B754" s="144"/>
      <c r="G754" s="145"/>
    </row>
    <row r="755" spans="2:7" ht="15.75" customHeight="1" x14ac:dyDescent="0.25">
      <c r="B755" s="144"/>
      <c r="G755" s="145"/>
    </row>
    <row r="756" spans="2:7" ht="15.75" customHeight="1" x14ac:dyDescent="0.25">
      <c r="B756" s="144"/>
      <c r="G756" s="145"/>
    </row>
    <row r="757" spans="2:7" ht="15.75" customHeight="1" x14ac:dyDescent="0.25">
      <c r="B757" s="144"/>
      <c r="G757" s="145"/>
    </row>
    <row r="758" spans="2:7" ht="15.75" customHeight="1" x14ac:dyDescent="0.25">
      <c r="B758" s="144"/>
      <c r="G758" s="145"/>
    </row>
    <row r="759" spans="2:7" ht="15.75" customHeight="1" x14ac:dyDescent="0.25">
      <c r="B759" s="144"/>
      <c r="G759" s="145"/>
    </row>
    <row r="760" spans="2:7" ht="15.75" customHeight="1" x14ac:dyDescent="0.25">
      <c r="B760" s="144"/>
      <c r="G760" s="145"/>
    </row>
    <row r="761" spans="2:7" ht="15.75" customHeight="1" x14ac:dyDescent="0.25">
      <c r="B761" s="144"/>
      <c r="G761" s="145"/>
    </row>
    <row r="762" spans="2:7" ht="15.75" customHeight="1" x14ac:dyDescent="0.25">
      <c r="B762" s="144"/>
      <c r="G762" s="145"/>
    </row>
    <row r="763" spans="2:7" ht="15.75" customHeight="1" x14ac:dyDescent="0.25">
      <c r="B763" s="144"/>
      <c r="G763" s="145"/>
    </row>
    <row r="764" spans="2:7" ht="15.75" customHeight="1" x14ac:dyDescent="0.25">
      <c r="B764" s="144"/>
      <c r="G764" s="145"/>
    </row>
    <row r="765" spans="2:7" ht="15.75" customHeight="1" x14ac:dyDescent="0.25">
      <c r="B765" s="144"/>
      <c r="G765" s="145"/>
    </row>
    <row r="766" spans="2:7" ht="15.75" customHeight="1" x14ac:dyDescent="0.25">
      <c r="B766" s="144"/>
      <c r="G766" s="145"/>
    </row>
    <row r="767" spans="2:7" ht="15.75" customHeight="1" x14ac:dyDescent="0.25">
      <c r="B767" s="144"/>
      <c r="G767" s="145"/>
    </row>
    <row r="768" spans="2:7" ht="15.75" customHeight="1" x14ac:dyDescent="0.25">
      <c r="B768" s="144"/>
      <c r="G768" s="145"/>
    </row>
    <row r="769" spans="2:7" ht="15.75" customHeight="1" x14ac:dyDescent="0.25">
      <c r="B769" s="144"/>
      <c r="G769" s="145"/>
    </row>
    <row r="770" spans="2:7" ht="15.75" customHeight="1" x14ac:dyDescent="0.25">
      <c r="B770" s="144"/>
      <c r="G770" s="145"/>
    </row>
    <row r="771" spans="2:7" ht="15.75" customHeight="1" x14ac:dyDescent="0.25">
      <c r="B771" s="144"/>
      <c r="G771" s="145"/>
    </row>
    <row r="772" spans="2:7" ht="15.75" customHeight="1" x14ac:dyDescent="0.25">
      <c r="B772" s="144"/>
      <c r="G772" s="145"/>
    </row>
    <row r="773" spans="2:7" ht="15.75" customHeight="1" x14ac:dyDescent="0.25">
      <c r="B773" s="144"/>
      <c r="G773" s="145"/>
    </row>
    <row r="774" spans="2:7" ht="15.75" customHeight="1" x14ac:dyDescent="0.25">
      <c r="B774" s="144"/>
      <c r="G774" s="145"/>
    </row>
    <row r="775" spans="2:7" ht="15.75" customHeight="1" x14ac:dyDescent="0.25">
      <c r="B775" s="144"/>
      <c r="G775" s="145"/>
    </row>
    <row r="776" spans="2:7" ht="15.75" customHeight="1" x14ac:dyDescent="0.25">
      <c r="B776" s="144"/>
      <c r="G776" s="145"/>
    </row>
    <row r="777" spans="2:7" ht="15.75" customHeight="1" x14ac:dyDescent="0.25">
      <c r="B777" s="144"/>
      <c r="G777" s="145"/>
    </row>
    <row r="778" spans="2:7" ht="15.75" customHeight="1" x14ac:dyDescent="0.25">
      <c r="B778" s="144"/>
      <c r="G778" s="145"/>
    </row>
    <row r="779" spans="2:7" ht="15.75" customHeight="1" x14ac:dyDescent="0.25">
      <c r="B779" s="144"/>
      <c r="G779" s="145"/>
    </row>
    <row r="780" spans="2:7" ht="15.75" customHeight="1" x14ac:dyDescent="0.25">
      <c r="B780" s="144"/>
      <c r="G780" s="145"/>
    </row>
    <row r="781" spans="2:7" ht="15.75" customHeight="1" x14ac:dyDescent="0.25">
      <c r="B781" s="144"/>
      <c r="G781" s="145"/>
    </row>
    <row r="782" spans="2:7" ht="15.75" customHeight="1" x14ac:dyDescent="0.25">
      <c r="B782" s="144"/>
      <c r="G782" s="145"/>
    </row>
    <row r="783" spans="2:7" ht="15.75" customHeight="1" x14ac:dyDescent="0.25">
      <c r="B783" s="144"/>
      <c r="G783" s="145"/>
    </row>
    <row r="784" spans="2:7" ht="15.75" customHeight="1" x14ac:dyDescent="0.25">
      <c r="B784" s="144"/>
      <c r="G784" s="145"/>
    </row>
    <row r="785" spans="2:7" ht="15.75" customHeight="1" x14ac:dyDescent="0.25">
      <c r="B785" s="144"/>
      <c r="G785" s="145"/>
    </row>
    <row r="786" spans="2:7" ht="15.75" customHeight="1" x14ac:dyDescent="0.25">
      <c r="B786" s="144"/>
      <c r="G786" s="145"/>
    </row>
    <row r="787" spans="2:7" ht="15.75" customHeight="1" x14ac:dyDescent="0.25">
      <c r="B787" s="144"/>
      <c r="G787" s="145"/>
    </row>
    <row r="788" spans="2:7" ht="15.75" customHeight="1" x14ac:dyDescent="0.25">
      <c r="B788" s="144"/>
      <c r="G788" s="145"/>
    </row>
    <row r="789" spans="2:7" ht="15.75" customHeight="1" x14ac:dyDescent="0.25">
      <c r="B789" s="144"/>
      <c r="G789" s="145"/>
    </row>
    <row r="790" spans="2:7" ht="15.75" customHeight="1" x14ac:dyDescent="0.25">
      <c r="B790" s="144"/>
      <c r="G790" s="145"/>
    </row>
    <row r="791" spans="2:7" ht="15.75" customHeight="1" x14ac:dyDescent="0.25">
      <c r="B791" s="144"/>
      <c r="G791" s="145"/>
    </row>
    <row r="792" spans="2:7" ht="15.75" customHeight="1" x14ac:dyDescent="0.25">
      <c r="B792" s="144"/>
      <c r="G792" s="145"/>
    </row>
    <row r="793" spans="2:7" ht="15.75" customHeight="1" x14ac:dyDescent="0.25">
      <c r="B793" s="144"/>
      <c r="G793" s="145"/>
    </row>
    <row r="794" spans="2:7" ht="15.75" customHeight="1" x14ac:dyDescent="0.25">
      <c r="B794" s="144"/>
      <c r="G794" s="145"/>
    </row>
    <row r="795" spans="2:7" ht="15.75" customHeight="1" x14ac:dyDescent="0.25">
      <c r="B795" s="144"/>
      <c r="G795" s="145"/>
    </row>
    <row r="796" spans="2:7" ht="15.75" customHeight="1" x14ac:dyDescent="0.25">
      <c r="B796" s="144"/>
      <c r="G796" s="145"/>
    </row>
    <row r="797" spans="2:7" ht="15.75" customHeight="1" x14ac:dyDescent="0.25">
      <c r="B797" s="144"/>
      <c r="G797" s="145"/>
    </row>
    <row r="798" spans="2:7" ht="15.75" customHeight="1" x14ac:dyDescent="0.25">
      <c r="B798" s="144"/>
      <c r="G798" s="145"/>
    </row>
    <row r="799" spans="2:7" ht="15.75" customHeight="1" x14ac:dyDescent="0.25">
      <c r="B799" s="144"/>
      <c r="G799" s="145"/>
    </row>
    <row r="800" spans="2:7" ht="15.75" customHeight="1" x14ac:dyDescent="0.25">
      <c r="B800" s="144"/>
      <c r="G800" s="145"/>
    </row>
    <row r="801" spans="2:7" ht="15.75" customHeight="1" x14ac:dyDescent="0.25">
      <c r="B801" s="144"/>
      <c r="G801" s="145"/>
    </row>
    <row r="802" spans="2:7" ht="15.75" customHeight="1" x14ac:dyDescent="0.25">
      <c r="B802" s="144"/>
      <c r="G802" s="145"/>
    </row>
    <row r="803" spans="2:7" ht="15.75" customHeight="1" x14ac:dyDescent="0.25">
      <c r="B803" s="144"/>
      <c r="G803" s="145"/>
    </row>
    <row r="804" spans="2:7" ht="15.75" customHeight="1" x14ac:dyDescent="0.25">
      <c r="B804" s="144"/>
      <c r="G804" s="145"/>
    </row>
    <row r="805" spans="2:7" ht="15.75" customHeight="1" x14ac:dyDescent="0.25">
      <c r="B805" s="144"/>
      <c r="G805" s="145"/>
    </row>
    <row r="806" spans="2:7" ht="15.75" customHeight="1" x14ac:dyDescent="0.25">
      <c r="B806" s="144"/>
      <c r="G806" s="145"/>
    </row>
    <row r="807" spans="2:7" ht="15.75" customHeight="1" x14ac:dyDescent="0.25">
      <c r="B807" s="144"/>
      <c r="G807" s="145"/>
    </row>
    <row r="808" spans="2:7" ht="15.75" customHeight="1" x14ac:dyDescent="0.25">
      <c r="B808" s="144"/>
      <c r="G808" s="145"/>
    </row>
    <row r="809" spans="2:7" ht="15.75" customHeight="1" x14ac:dyDescent="0.25">
      <c r="B809" s="144"/>
      <c r="G809" s="145"/>
    </row>
    <row r="810" spans="2:7" ht="15.75" customHeight="1" x14ac:dyDescent="0.25">
      <c r="B810" s="144"/>
      <c r="G810" s="145"/>
    </row>
    <row r="811" spans="2:7" ht="15.75" customHeight="1" x14ac:dyDescent="0.25">
      <c r="B811" s="144"/>
      <c r="G811" s="145"/>
    </row>
    <row r="812" spans="2:7" ht="15.75" customHeight="1" x14ac:dyDescent="0.25">
      <c r="B812" s="144"/>
      <c r="G812" s="145"/>
    </row>
    <row r="813" spans="2:7" ht="15.75" customHeight="1" x14ac:dyDescent="0.25">
      <c r="B813" s="144"/>
      <c r="G813" s="145"/>
    </row>
    <row r="814" spans="2:7" ht="15.75" customHeight="1" x14ac:dyDescent="0.25">
      <c r="B814" s="144"/>
      <c r="G814" s="145"/>
    </row>
    <row r="815" spans="2:7" ht="15.75" customHeight="1" x14ac:dyDescent="0.25">
      <c r="B815" s="144"/>
      <c r="G815" s="145"/>
    </row>
    <row r="816" spans="2:7" ht="15.75" customHeight="1" x14ac:dyDescent="0.25">
      <c r="B816" s="144"/>
      <c r="G816" s="145"/>
    </row>
    <row r="817" spans="2:7" ht="15.75" customHeight="1" x14ac:dyDescent="0.25">
      <c r="B817" s="144"/>
      <c r="G817" s="145"/>
    </row>
    <row r="818" spans="2:7" ht="15.75" customHeight="1" x14ac:dyDescent="0.25">
      <c r="B818" s="144"/>
      <c r="G818" s="145"/>
    </row>
    <row r="819" spans="2:7" ht="15.75" customHeight="1" x14ac:dyDescent="0.25">
      <c r="B819" s="144"/>
      <c r="G819" s="145"/>
    </row>
    <row r="820" spans="2:7" ht="15.75" customHeight="1" x14ac:dyDescent="0.25">
      <c r="B820" s="144"/>
      <c r="G820" s="145"/>
    </row>
    <row r="821" spans="2:7" ht="15.75" customHeight="1" x14ac:dyDescent="0.25">
      <c r="B821" s="144"/>
      <c r="G821" s="145"/>
    </row>
    <row r="822" spans="2:7" ht="15.75" customHeight="1" x14ac:dyDescent="0.25">
      <c r="B822" s="144"/>
      <c r="G822" s="145"/>
    </row>
    <row r="823" spans="2:7" ht="15.75" customHeight="1" x14ac:dyDescent="0.25">
      <c r="B823" s="144"/>
      <c r="G823" s="145"/>
    </row>
    <row r="824" spans="2:7" ht="15.75" customHeight="1" x14ac:dyDescent="0.25">
      <c r="B824" s="144"/>
      <c r="G824" s="145"/>
    </row>
    <row r="825" spans="2:7" ht="15.75" customHeight="1" x14ac:dyDescent="0.25">
      <c r="B825" s="144"/>
      <c r="G825" s="145"/>
    </row>
    <row r="826" spans="2:7" ht="15.75" customHeight="1" x14ac:dyDescent="0.25">
      <c r="B826" s="144"/>
      <c r="G826" s="145"/>
    </row>
    <row r="827" spans="2:7" ht="15.75" customHeight="1" x14ac:dyDescent="0.25">
      <c r="B827" s="144"/>
      <c r="G827" s="145"/>
    </row>
    <row r="828" spans="2:7" ht="15.75" customHeight="1" x14ac:dyDescent="0.25">
      <c r="B828" s="144"/>
      <c r="G828" s="145"/>
    </row>
    <row r="829" spans="2:7" ht="15.75" customHeight="1" x14ac:dyDescent="0.25">
      <c r="B829" s="144"/>
      <c r="G829" s="145"/>
    </row>
    <row r="830" spans="2:7" ht="15.75" customHeight="1" x14ac:dyDescent="0.25">
      <c r="B830" s="144"/>
      <c r="G830" s="145"/>
    </row>
    <row r="831" spans="2:7" ht="15.75" customHeight="1" x14ac:dyDescent="0.25">
      <c r="B831" s="144"/>
      <c r="G831" s="145"/>
    </row>
    <row r="832" spans="2:7" ht="15.75" customHeight="1" x14ac:dyDescent="0.25">
      <c r="B832" s="144"/>
      <c r="G832" s="145"/>
    </row>
    <row r="833" spans="2:7" ht="15.75" customHeight="1" x14ac:dyDescent="0.25">
      <c r="B833" s="144"/>
      <c r="G833" s="145"/>
    </row>
    <row r="834" spans="2:7" ht="15.75" customHeight="1" x14ac:dyDescent="0.25">
      <c r="B834" s="144"/>
      <c r="G834" s="145"/>
    </row>
    <row r="835" spans="2:7" ht="15.75" customHeight="1" x14ac:dyDescent="0.25">
      <c r="B835" s="144"/>
      <c r="G835" s="145"/>
    </row>
    <row r="836" spans="2:7" ht="15.75" customHeight="1" x14ac:dyDescent="0.25">
      <c r="B836" s="144"/>
      <c r="G836" s="145"/>
    </row>
    <row r="837" spans="2:7" ht="15.75" customHeight="1" x14ac:dyDescent="0.25">
      <c r="B837" s="144"/>
      <c r="G837" s="145"/>
    </row>
    <row r="838" spans="2:7" ht="15.75" customHeight="1" x14ac:dyDescent="0.25">
      <c r="B838" s="144"/>
      <c r="G838" s="145"/>
    </row>
    <row r="839" spans="2:7" ht="15.75" customHeight="1" x14ac:dyDescent="0.25">
      <c r="B839" s="144"/>
      <c r="G839" s="145"/>
    </row>
    <row r="840" spans="2:7" ht="15.75" customHeight="1" x14ac:dyDescent="0.25">
      <c r="B840" s="144"/>
      <c r="G840" s="145"/>
    </row>
    <row r="841" spans="2:7" ht="15.75" customHeight="1" x14ac:dyDescent="0.25">
      <c r="B841" s="144"/>
      <c r="G841" s="145"/>
    </row>
    <row r="842" spans="2:7" ht="15.75" customHeight="1" x14ac:dyDescent="0.25">
      <c r="B842" s="144"/>
      <c r="G842" s="145"/>
    </row>
    <row r="843" spans="2:7" ht="15.75" customHeight="1" x14ac:dyDescent="0.25">
      <c r="B843" s="144"/>
      <c r="G843" s="145"/>
    </row>
    <row r="844" spans="2:7" ht="15.75" customHeight="1" x14ac:dyDescent="0.25">
      <c r="B844" s="144"/>
      <c r="G844" s="145"/>
    </row>
    <row r="845" spans="2:7" ht="15.75" customHeight="1" x14ac:dyDescent="0.25">
      <c r="B845" s="144"/>
      <c r="G845" s="145"/>
    </row>
    <row r="846" spans="2:7" ht="15.75" customHeight="1" x14ac:dyDescent="0.25">
      <c r="B846" s="144"/>
      <c r="G846" s="145"/>
    </row>
    <row r="847" spans="2:7" ht="15.75" customHeight="1" x14ac:dyDescent="0.25">
      <c r="B847" s="144"/>
      <c r="G847" s="145"/>
    </row>
    <row r="848" spans="2:7" ht="15.75" customHeight="1" x14ac:dyDescent="0.25">
      <c r="B848" s="144"/>
      <c r="G848" s="145"/>
    </row>
    <row r="849" spans="2:7" ht="15.75" customHeight="1" x14ac:dyDescent="0.25">
      <c r="B849" s="144"/>
      <c r="G849" s="145"/>
    </row>
    <row r="850" spans="2:7" ht="15.75" customHeight="1" x14ac:dyDescent="0.25">
      <c r="B850" s="144"/>
      <c r="G850" s="145"/>
    </row>
    <row r="851" spans="2:7" ht="15.75" customHeight="1" x14ac:dyDescent="0.25">
      <c r="B851" s="144"/>
      <c r="G851" s="145"/>
    </row>
    <row r="852" spans="2:7" ht="15.75" customHeight="1" x14ac:dyDescent="0.25">
      <c r="B852" s="144"/>
      <c r="G852" s="145"/>
    </row>
    <row r="853" spans="2:7" ht="15.75" customHeight="1" x14ac:dyDescent="0.25">
      <c r="B853" s="144"/>
      <c r="G853" s="145"/>
    </row>
    <row r="854" spans="2:7" ht="15.75" customHeight="1" x14ac:dyDescent="0.25">
      <c r="B854" s="144"/>
      <c r="G854" s="145"/>
    </row>
    <row r="855" spans="2:7" ht="15.75" customHeight="1" x14ac:dyDescent="0.25">
      <c r="B855" s="144"/>
      <c r="G855" s="145"/>
    </row>
    <row r="856" spans="2:7" ht="15.75" customHeight="1" x14ac:dyDescent="0.25">
      <c r="B856" s="144"/>
      <c r="G856" s="145"/>
    </row>
    <row r="857" spans="2:7" ht="15.75" customHeight="1" x14ac:dyDescent="0.25">
      <c r="B857" s="144"/>
      <c r="G857" s="145"/>
    </row>
    <row r="858" spans="2:7" ht="15.75" customHeight="1" x14ac:dyDescent="0.25">
      <c r="B858" s="144"/>
      <c r="G858" s="145"/>
    </row>
    <row r="859" spans="2:7" ht="15.75" customHeight="1" x14ac:dyDescent="0.25">
      <c r="B859" s="144"/>
      <c r="G859" s="145"/>
    </row>
    <row r="860" spans="2:7" ht="15.75" customHeight="1" x14ac:dyDescent="0.25">
      <c r="B860" s="144"/>
      <c r="G860" s="145"/>
    </row>
    <row r="861" spans="2:7" ht="15.75" customHeight="1" x14ac:dyDescent="0.25">
      <c r="B861" s="144"/>
      <c r="G861" s="145"/>
    </row>
    <row r="862" spans="2:7" ht="15.75" customHeight="1" x14ac:dyDescent="0.25">
      <c r="B862" s="144"/>
      <c r="G862" s="145"/>
    </row>
    <row r="863" spans="2:7" ht="15.75" customHeight="1" x14ac:dyDescent="0.25">
      <c r="B863" s="144"/>
      <c r="G863" s="145"/>
    </row>
    <row r="864" spans="2:7" ht="15.75" customHeight="1" x14ac:dyDescent="0.25">
      <c r="B864" s="144"/>
      <c r="G864" s="145"/>
    </row>
    <row r="865" spans="2:7" ht="15.75" customHeight="1" x14ac:dyDescent="0.25">
      <c r="B865" s="144"/>
      <c r="G865" s="145"/>
    </row>
    <row r="866" spans="2:7" ht="15.75" customHeight="1" x14ac:dyDescent="0.25">
      <c r="B866" s="144"/>
      <c r="G866" s="145"/>
    </row>
    <row r="867" spans="2:7" ht="15.75" customHeight="1" x14ac:dyDescent="0.25">
      <c r="B867" s="144"/>
      <c r="G867" s="145"/>
    </row>
    <row r="868" spans="2:7" ht="15.75" customHeight="1" x14ac:dyDescent="0.25">
      <c r="B868" s="144"/>
      <c r="G868" s="145"/>
    </row>
    <row r="869" spans="2:7" ht="15.75" customHeight="1" x14ac:dyDescent="0.25">
      <c r="B869" s="144"/>
      <c r="G869" s="145"/>
    </row>
    <row r="870" spans="2:7" ht="15.75" customHeight="1" x14ac:dyDescent="0.25">
      <c r="B870" s="144"/>
      <c r="G870" s="145"/>
    </row>
    <row r="871" spans="2:7" ht="15.75" customHeight="1" x14ac:dyDescent="0.25">
      <c r="B871" s="144"/>
      <c r="G871" s="145"/>
    </row>
    <row r="872" spans="2:7" ht="15.75" customHeight="1" x14ac:dyDescent="0.25">
      <c r="B872" s="144"/>
      <c r="G872" s="145"/>
    </row>
    <row r="873" spans="2:7" ht="15.75" customHeight="1" x14ac:dyDescent="0.25">
      <c r="B873" s="144"/>
      <c r="G873" s="145"/>
    </row>
    <row r="874" spans="2:7" ht="15.75" customHeight="1" x14ac:dyDescent="0.25">
      <c r="B874" s="144"/>
      <c r="G874" s="145"/>
    </row>
    <row r="875" spans="2:7" ht="15.75" customHeight="1" x14ac:dyDescent="0.25">
      <c r="B875" s="144"/>
      <c r="G875" s="145"/>
    </row>
    <row r="876" spans="2:7" ht="15.75" customHeight="1" x14ac:dyDescent="0.25">
      <c r="B876" s="144"/>
      <c r="G876" s="145"/>
    </row>
    <row r="877" spans="2:7" ht="15.75" customHeight="1" x14ac:dyDescent="0.25">
      <c r="B877" s="144"/>
      <c r="G877" s="145"/>
    </row>
    <row r="878" spans="2:7" ht="15.75" customHeight="1" x14ac:dyDescent="0.25">
      <c r="B878" s="144"/>
      <c r="G878" s="145"/>
    </row>
    <row r="879" spans="2:7" ht="15.75" customHeight="1" x14ac:dyDescent="0.25">
      <c r="B879" s="144"/>
      <c r="G879" s="145"/>
    </row>
    <row r="880" spans="2:7" ht="15.75" customHeight="1" x14ac:dyDescent="0.25">
      <c r="B880" s="144"/>
      <c r="G880" s="145"/>
    </row>
    <row r="881" spans="2:7" ht="15.75" customHeight="1" x14ac:dyDescent="0.25">
      <c r="B881" s="144"/>
      <c r="G881" s="145"/>
    </row>
    <row r="882" spans="2:7" ht="15.75" customHeight="1" x14ac:dyDescent="0.25">
      <c r="B882" s="144"/>
      <c r="G882" s="145"/>
    </row>
    <row r="883" spans="2:7" ht="15.75" customHeight="1" x14ac:dyDescent="0.25">
      <c r="B883" s="144"/>
      <c r="G883" s="145"/>
    </row>
    <row r="884" spans="2:7" ht="15.75" customHeight="1" x14ac:dyDescent="0.25">
      <c r="B884" s="144"/>
      <c r="G884" s="145"/>
    </row>
    <row r="885" spans="2:7" ht="15.75" customHeight="1" x14ac:dyDescent="0.25">
      <c r="B885" s="144"/>
      <c r="G885" s="145"/>
    </row>
    <row r="886" spans="2:7" ht="15.75" customHeight="1" x14ac:dyDescent="0.25">
      <c r="B886" s="144"/>
      <c r="G886" s="145"/>
    </row>
    <row r="887" spans="2:7" ht="15.75" customHeight="1" x14ac:dyDescent="0.25">
      <c r="B887" s="144"/>
      <c r="G887" s="145"/>
    </row>
    <row r="888" spans="2:7" ht="15.75" customHeight="1" x14ac:dyDescent="0.25">
      <c r="B888" s="144"/>
      <c r="G888" s="145"/>
    </row>
    <row r="889" spans="2:7" ht="15.75" customHeight="1" x14ac:dyDescent="0.25">
      <c r="B889" s="144"/>
      <c r="G889" s="145"/>
    </row>
    <row r="890" spans="2:7" ht="15.75" customHeight="1" x14ac:dyDescent="0.25">
      <c r="B890" s="144"/>
      <c r="G890" s="145"/>
    </row>
    <row r="891" spans="2:7" ht="15.75" customHeight="1" x14ac:dyDescent="0.25">
      <c r="B891" s="144"/>
      <c r="G891" s="145"/>
    </row>
    <row r="892" spans="2:7" ht="15.75" customHeight="1" x14ac:dyDescent="0.25">
      <c r="B892" s="144"/>
      <c r="G892" s="145"/>
    </row>
    <row r="893" spans="2:7" ht="15.75" customHeight="1" x14ac:dyDescent="0.25">
      <c r="B893" s="144"/>
      <c r="G893" s="145"/>
    </row>
    <row r="894" spans="2:7" ht="15.75" customHeight="1" x14ac:dyDescent="0.25">
      <c r="B894" s="144"/>
      <c r="G894" s="145"/>
    </row>
    <row r="895" spans="2:7" ht="15.75" customHeight="1" x14ac:dyDescent="0.25">
      <c r="B895" s="144"/>
      <c r="G895" s="145"/>
    </row>
    <row r="896" spans="2:7" ht="15.75" customHeight="1" x14ac:dyDescent="0.25">
      <c r="B896" s="144"/>
      <c r="G896" s="145"/>
    </row>
    <row r="897" spans="2:7" ht="15.75" customHeight="1" x14ac:dyDescent="0.25">
      <c r="B897" s="144"/>
      <c r="G897" s="145"/>
    </row>
    <row r="898" spans="2:7" ht="15.75" customHeight="1" x14ac:dyDescent="0.25">
      <c r="B898" s="144"/>
      <c r="G898" s="145"/>
    </row>
    <row r="899" spans="2:7" ht="15.75" customHeight="1" x14ac:dyDescent="0.25">
      <c r="B899" s="144"/>
      <c r="G899" s="145"/>
    </row>
    <row r="900" spans="2:7" ht="15.75" customHeight="1" x14ac:dyDescent="0.25">
      <c r="B900" s="144"/>
      <c r="G900" s="145"/>
    </row>
    <row r="901" spans="2:7" ht="15.75" customHeight="1" x14ac:dyDescent="0.25">
      <c r="B901" s="144"/>
      <c r="G901" s="145"/>
    </row>
    <row r="902" spans="2:7" ht="15.75" customHeight="1" x14ac:dyDescent="0.25">
      <c r="B902" s="144"/>
      <c r="G902" s="145"/>
    </row>
    <row r="903" spans="2:7" ht="15.75" customHeight="1" x14ac:dyDescent="0.25">
      <c r="B903" s="144"/>
      <c r="G903" s="145"/>
    </row>
    <row r="904" spans="2:7" ht="15.75" customHeight="1" x14ac:dyDescent="0.25">
      <c r="B904" s="144"/>
      <c r="G904" s="145"/>
    </row>
    <row r="905" spans="2:7" ht="15.75" customHeight="1" x14ac:dyDescent="0.25">
      <c r="B905" s="144"/>
      <c r="G905" s="145"/>
    </row>
    <row r="906" spans="2:7" ht="15.75" customHeight="1" x14ac:dyDescent="0.25">
      <c r="B906" s="144"/>
      <c r="G906" s="145"/>
    </row>
    <row r="907" spans="2:7" ht="15.75" customHeight="1" x14ac:dyDescent="0.25">
      <c r="B907" s="144"/>
      <c r="G907" s="145"/>
    </row>
    <row r="908" spans="2:7" ht="15.75" customHeight="1" x14ac:dyDescent="0.25">
      <c r="B908" s="144"/>
      <c r="G908" s="145"/>
    </row>
    <row r="909" spans="2:7" ht="15.75" customHeight="1" x14ac:dyDescent="0.25">
      <c r="B909" s="144"/>
      <c r="G909" s="145"/>
    </row>
    <row r="910" spans="2:7" ht="15.75" customHeight="1" x14ac:dyDescent="0.25">
      <c r="B910" s="144"/>
      <c r="G910" s="145"/>
    </row>
    <row r="911" spans="2:7" ht="15.75" customHeight="1" x14ac:dyDescent="0.25">
      <c r="B911" s="144"/>
      <c r="G911" s="145"/>
    </row>
    <row r="912" spans="2:7" ht="15.75" customHeight="1" x14ac:dyDescent="0.25">
      <c r="B912" s="144"/>
      <c r="G912" s="145"/>
    </row>
    <row r="913" spans="2:7" ht="15.75" customHeight="1" x14ac:dyDescent="0.25">
      <c r="B913" s="144"/>
      <c r="G913" s="145"/>
    </row>
    <row r="914" spans="2:7" ht="15.75" customHeight="1" x14ac:dyDescent="0.25">
      <c r="B914" s="144"/>
      <c r="G914" s="145"/>
    </row>
    <row r="915" spans="2:7" ht="15.75" customHeight="1" x14ac:dyDescent="0.25">
      <c r="B915" s="144"/>
      <c r="G915" s="145"/>
    </row>
    <row r="916" spans="2:7" ht="15.75" customHeight="1" x14ac:dyDescent="0.25">
      <c r="B916" s="144"/>
      <c r="G916" s="145"/>
    </row>
    <row r="917" spans="2:7" ht="15.75" customHeight="1" x14ac:dyDescent="0.25">
      <c r="B917" s="144"/>
      <c r="G917" s="145"/>
    </row>
    <row r="918" spans="2:7" ht="15.75" customHeight="1" x14ac:dyDescent="0.25">
      <c r="B918" s="144"/>
      <c r="G918" s="145"/>
    </row>
    <row r="919" spans="2:7" ht="15.75" customHeight="1" x14ac:dyDescent="0.25">
      <c r="B919" s="144"/>
      <c r="G919" s="145"/>
    </row>
    <row r="920" spans="2:7" ht="15.75" customHeight="1" x14ac:dyDescent="0.25">
      <c r="B920" s="144"/>
      <c r="G920" s="145"/>
    </row>
    <row r="921" spans="2:7" ht="15.75" customHeight="1" x14ac:dyDescent="0.25">
      <c r="B921" s="144"/>
      <c r="G921" s="145"/>
    </row>
    <row r="922" spans="2:7" ht="15.75" customHeight="1" x14ac:dyDescent="0.25">
      <c r="B922" s="144"/>
      <c r="G922" s="145"/>
    </row>
    <row r="923" spans="2:7" ht="15.75" customHeight="1" x14ac:dyDescent="0.25">
      <c r="B923" s="144"/>
      <c r="G923" s="145"/>
    </row>
    <row r="924" spans="2:7" ht="15.75" customHeight="1" x14ac:dyDescent="0.25">
      <c r="B924" s="144"/>
      <c r="G924" s="145"/>
    </row>
    <row r="925" spans="2:7" ht="15.75" customHeight="1" x14ac:dyDescent="0.25">
      <c r="B925" s="144"/>
      <c r="G925" s="145"/>
    </row>
    <row r="926" spans="2:7" ht="15.75" customHeight="1" x14ac:dyDescent="0.25">
      <c r="B926" s="144"/>
      <c r="G926" s="145"/>
    </row>
    <row r="927" spans="2:7" ht="15.75" customHeight="1" x14ac:dyDescent="0.25">
      <c r="B927" s="144"/>
      <c r="G927" s="145"/>
    </row>
    <row r="928" spans="2:7" ht="15.75" customHeight="1" x14ac:dyDescent="0.25">
      <c r="B928" s="144"/>
      <c r="G928" s="145"/>
    </row>
    <row r="929" spans="2:7" ht="15.75" customHeight="1" x14ac:dyDescent="0.25">
      <c r="B929" s="144"/>
      <c r="G929" s="145"/>
    </row>
    <row r="930" spans="2:7" ht="15.75" customHeight="1" x14ac:dyDescent="0.25">
      <c r="B930" s="144"/>
      <c r="G930" s="145"/>
    </row>
    <row r="931" spans="2:7" ht="15.75" customHeight="1" x14ac:dyDescent="0.25">
      <c r="B931" s="144"/>
      <c r="G931" s="145"/>
    </row>
    <row r="932" spans="2:7" ht="15.75" customHeight="1" x14ac:dyDescent="0.25">
      <c r="B932" s="144"/>
      <c r="G932" s="145"/>
    </row>
    <row r="933" spans="2:7" ht="15.75" customHeight="1" x14ac:dyDescent="0.25">
      <c r="B933" s="144"/>
      <c r="G933" s="145"/>
    </row>
    <row r="934" spans="2:7" ht="15.75" customHeight="1" x14ac:dyDescent="0.25">
      <c r="B934" s="144"/>
      <c r="G934" s="145"/>
    </row>
    <row r="935" spans="2:7" ht="15.75" customHeight="1" x14ac:dyDescent="0.25">
      <c r="B935" s="144"/>
      <c r="G935" s="145"/>
    </row>
    <row r="936" spans="2:7" ht="15.75" customHeight="1" x14ac:dyDescent="0.25">
      <c r="B936" s="144"/>
      <c r="G936" s="145"/>
    </row>
    <row r="937" spans="2:7" ht="15.75" customHeight="1" x14ac:dyDescent="0.25">
      <c r="B937" s="144"/>
      <c r="G937" s="145"/>
    </row>
    <row r="938" spans="2:7" ht="15.75" customHeight="1" x14ac:dyDescent="0.25">
      <c r="B938" s="144"/>
      <c r="G938" s="145"/>
    </row>
    <row r="939" spans="2:7" ht="15.75" customHeight="1" x14ac:dyDescent="0.25">
      <c r="B939" s="144"/>
      <c r="G939" s="145"/>
    </row>
    <row r="940" spans="2:7" ht="15.75" customHeight="1" x14ac:dyDescent="0.25">
      <c r="B940" s="144"/>
      <c r="G940" s="145"/>
    </row>
    <row r="941" spans="2:7" ht="15.75" customHeight="1" x14ac:dyDescent="0.25">
      <c r="B941" s="144"/>
      <c r="G941" s="145"/>
    </row>
    <row r="942" spans="2:7" ht="15.75" customHeight="1" x14ac:dyDescent="0.25">
      <c r="B942" s="144"/>
      <c r="G942" s="145"/>
    </row>
    <row r="943" spans="2:7" ht="15.75" customHeight="1" x14ac:dyDescent="0.25">
      <c r="B943" s="144"/>
      <c r="G943" s="145"/>
    </row>
    <row r="944" spans="2:7" ht="15.75" customHeight="1" x14ac:dyDescent="0.25">
      <c r="B944" s="144"/>
      <c r="G944" s="145"/>
    </row>
    <row r="945" spans="2:7" ht="15.75" customHeight="1" x14ac:dyDescent="0.25">
      <c r="B945" s="144"/>
      <c r="G945" s="145"/>
    </row>
    <row r="946" spans="2:7" ht="15.75" customHeight="1" x14ac:dyDescent="0.25">
      <c r="B946" s="144"/>
      <c r="G946" s="145"/>
    </row>
    <row r="947" spans="2:7" ht="15.75" customHeight="1" x14ac:dyDescent="0.25">
      <c r="B947" s="144"/>
      <c r="G947" s="145"/>
    </row>
    <row r="948" spans="2:7" ht="15.75" customHeight="1" x14ac:dyDescent="0.25">
      <c r="B948" s="144"/>
      <c r="G948" s="145"/>
    </row>
    <row r="949" spans="2:7" ht="15.75" customHeight="1" x14ac:dyDescent="0.25">
      <c r="B949" s="144"/>
      <c r="G949" s="145"/>
    </row>
    <row r="950" spans="2:7" ht="15.75" customHeight="1" x14ac:dyDescent="0.25">
      <c r="B950" s="144"/>
      <c r="G950" s="145"/>
    </row>
    <row r="951" spans="2:7" ht="15.75" customHeight="1" x14ac:dyDescent="0.25">
      <c r="B951" s="144"/>
      <c r="G951" s="145"/>
    </row>
    <row r="952" spans="2:7" ht="15.75" customHeight="1" x14ac:dyDescent="0.25">
      <c r="B952" s="144"/>
      <c r="G952" s="145"/>
    </row>
    <row r="953" spans="2:7" ht="15.75" customHeight="1" x14ac:dyDescent="0.25">
      <c r="B953" s="144"/>
      <c r="G953" s="145"/>
    </row>
    <row r="954" spans="2:7" ht="15.75" customHeight="1" x14ac:dyDescent="0.25">
      <c r="B954" s="144"/>
      <c r="G954" s="145"/>
    </row>
    <row r="955" spans="2:7" ht="15.75" customHeight="1" x14ac:dyDescent="0.25">
      <c r="B955" s="144"/>
      <c r="G955" s="145"/>
    </row>
    <row r="956" spans="2:7" ht="15.75" customHeight="1" x14ac:dyDescent="0.25">
      <c r="B956" s="144"/>
      <c r="G956" s="145"/>
    </row>
    <row r="957" spans="2:7" ht="15.75" customHeight="1" x14ac:dyDescent="0.25">
      <c r="B957" s="144"/>
      <c r="G957" s="145"/>
    </row>
    <row r="958" spans="2:7" ht="15.75" customHeight="1" x14ac:dyDescent="0.25">
      <c r="B958" s="144"/>
      <c r="G958" s="145"/>
    </row>
    <row r="959" spans="2:7" ht="15.75" customHeight="1" x14ac:dyDescent="0.25">
      <c r="B959" s="144"/>
      <c r="G959" s="145"/>
    </row>
    <row r="960" spans="2:7" ht="15.75" customHeight="1" x14ac:dyDescent="0.25">
      <c r="B960" s="144"/>
      <c r="G960" s="145"/>
    </row>
    <row r="961" spans="2:7" ht="15.75" customHeight="1" x14ac:dyDescent="0.25">
      <c r="B961" s="144"/>
      <c r="G961" s="145"/>
    </row>
    <row r="962" spans="2:7" ht="15.75" customHeight="1" x14ac:dyDescent="0.25">
      <c r="B962" s="144"/>
      <c r="G962" s="145"/>
    </row>
    <row r="963" spans="2:7" ht="15.75" customHeight="1" x14ac:dyDescent="0.25">
      <c r="B963" s="144"/>
      <c r="G963" s="145"/>
    </row>
    <row r="964" spans="2:7" ht="15.75" customHeight="1" x14ac:dyDescent="0.25">
      <c r="B964" s="144"/>
      <c r="G964" s="145"/>
    </row>
    <row r="965" spans="2:7" ht="15.75" customHeight="1" x14ac:dyDescent="0.25">
      <c r="B965" s="144"/>
      <c r="G965" s="145"/>
    </row>
    <row r="966" spans="2:7" ht="15.75" customHeight="1" x14ac:dyDescent="0.25">
      <c r="B966" s="144"/>
      <c r="G966" s="145"/>
    </row>
    <row r="967" spans="2:7" ht="15.75" customHeight="1" x14ac:dyDescent="0.25">
      <c r="B967" s="144"/>
      <c r="G967" s="145"/>
    </row>
    <row r="968" spans="2:7" ht="15.75" customHeight="1" x14ac:dyDescent="0.25">
      <c r="B968" s="144"/>
      <c r="G968" s="145"/>
    </row>
    <row r="969" spans="2:7" ht="15.75" customHeight="1" x14ac:dyDescent="0.25">
      <c r="B969" s="144"/>
      <c r="G969" s="145"/>
    </row>
    <row r="970" spans="2:7" ht="15.75" customHeight="1" x14ac:dyDescent="0.25">
      <c r="B970" s="144"/>
      <c r="G970" s="145"/>
    </row>
    <row r="971" spans="2:7" ht="15.75" customHeight="1" x14ac:dyDescent="0.25">
      <c r="B971" s="144"/>
      <c r="G971" s="145"/>
    </row>
    <row r="972" spans="2:7" ht="15.75" customHeight="1" x14ac:dyDescent="0.25">
      <c r="B972" s="144"/>
      <c r="G972" s="145"/>
    </row>
    <row r="973" spans="2:7" ht="15.75" customHeight="1" x14ac:dyDescent="0.25">
      <c r="B973" s="144"/>
      <c r="G973" s="145"/>
    </row>
    <row r="974" spans="2:7" ht="15.75" customHeight="1" x14ac:dyDescent="0.25">
      <c r="B974" s="144"/>
      <c r="G974" s="145"/>
    </row>
    <row r="975" spans="2:7" ht="15.75" customHeight="1" x14ac:dyDescent="0.25">
      <c r="B975" s="144"/>
      <c r="G975" s="145"/>
    </row>
    <row r="976" spans="2:7" ht="15.75" customHeight="1" x14ac:dyDescent="0.25">
      <c r="B976" s="144"/>
      <c r="G976" s="145"/>
    </row>
    <row r="977" spans="2:7" ht="15.75" customHeight="1" x14ac:dyDescent="0.25">
      <c r="B977" s="144"/>
      <c r="G977" s="145"/>
    </row>
    <row r="978" spans="2:7" ht="15.75" customHeight="1" x14ac:dyDescent="0.25">
      <c r="B978" s="144"/>
      <c r="G978" s="145"/>
    </row>
    <row r="979" spans="2:7" ht="15.75" customHeight="1" x14ac:dyDescent="0.25">
      <c r="B979" s="144"/>
      <c r="G979" s="145"/>
    </row>
    <row r="980" spans="2:7" ht="15.75" customHeight="1" x14ac:dyDescent="0.25">
      <c r="B980" s="144"/>
      <c r="G980" s="145"/>
    </row>
    <row r="981" spans="2:7" ht="15.75" customHeight="1" x14ac:dyDescent="0.25">
      <c r="B981" s="144"/>
      <c r="G981" s="145"/>
    </row>
    <row r="982" spans="2:7" ht="15.75" customHeight="1" x14ac:dyDescent="0.25">
      <c r="B982" s="144"/>
      <c r="G982" s="145"/>
    </row>
    <row r="983" spans="2:7" ht="15.75" customHeight="1" x14ac:dyDescent="0.25">
      <c r="B983" s="144"/>
      <c r="G983" s="145"/>
    </row>
    <row r="984" spans="2:7" ht="15.75" customHeight="1" x14ac:dyDescent="0.25">
      <c r="B984" s="144"/>
      <c r="G984" s="145"/>
    </row>
    <row r="985" spans="2:7" ht="15.75" customHeight="1" x14ac:dyDescent="0.25">
      <c r="B985" s="144"/>
      <c r="G985" s="145"/>
    </row>
    <row r="986" spans="2:7" ht="15.75" customHeight="1" x14ac:dyDescent="0.25">
      <c r="B986" s="144"/>
      <c r="G986" s="145"/>
    </row>
    <row r="987" spans="2:7" ht="15.75" customHeight="1" x14ac:dyDescent="0.25">
      <c r="B987" s="144"/>
      <c r="G987" s="145"/>
    </row>
    <row r="988" spans="2:7" ht="15.75" customHeight="1" x14ac:dyDescent="0.25">
      <c r="B988" s="144"/>
      <c r="G988" s="145"/>
    </row>
    <row r="989" spans="2:7" ht="15.75" customHeight="1" x14ac:dyDescent="0.25">
      <c r="B989" s="144"/>
      <c r="G989" s="145"/>
    </row>
    <row r="990" spans="2:7" ht="15.75" customHeight="1" x14ac:dyDescent="0.25">
      <c r="B990" s="144"/>
      <c r="G990" s="145"/>
    </row>
    <row r="991" spans="2:7" ht="15.75" customHeight="1" x14ac:dyDescent="0.25">
      <c r="B991" s="144"/>
      <c r="G991" s="145"/>
    </row>
    <row r="992" spans="2:7" ht="15.75" customHeight="1" x14ac:dyDescent="0.25">
      <c r="B992" s="144"/>
      <c r="G992" s="145"/>
    </row>
  </sheetData>
  <autoFilter ref="A10:AV26" xr:uid="{00000000-0009-0000-0000-000003000000}"/>
  <customSheetViews>
    <customSheetView guid="{F001DCF7-7858-4452-B989-2BC2E25DF2FD}" filter="1" showAutoFilter="1">
      <pageMargins left="0.7" right="0.7" top="0.75" bottom="0.75" header="0.3" footer="0.3"/>
      <autoFilter ref="C10:H15" xr:uid="{D05A9BCC-6D41-41BB-875D-B15A4945AF66}"/>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xr:uid="{EEE9D867-C161-40E8-82D5-9B09B32BED2C}"/>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xr:uid="{BFAB90A9-FD9F-4A96-ABC7-E1FEEF50B795}"/>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xr:uid="{F31509DA-5309-491D-B36D-F74C77BB1A93}"/>
      <extLst>
        <ext uri="GoogleSheetsCustomDataVersion1">
          <go:sheetsCustomData xmlns:go="http://customooxmlschemas.google.com/" filterViewId="1264675821"/>
        </ext>
      </extLst>
    </customSheetView>
  </customSheetViews>
  <mergeCells count="52">
    <mergeCell ref="AU8:AU9"/>
    <mergeCell ref="AV8:AV9"/>
    <mergeCell ref="M26:U26"/>
    <mergeCell ref="M28:U28"/>
    <mergeCell ref="AC28:AH28"/>
    <mergeCell ref="Z26:AH26"/>
    <mergeCell ref="AM25:AS25"/>
    <mergeCell ref="AM26:AS26"/>
    <mergeCell ref="AM28:AS28"/>
    <mergeCell ref="AB5:AC6"/>
    <mergeCell ref="AH5:AH6"/>
    <mergeCell ref="AI5:AI6"/>
    <mergeCell ref="AR8:AR9"/>
    <mergeCell ref="Y5:Y6"/>
    <mergeCell ref="Z5:AA6"/>
    <mergeCell ref="A6:G9"/>
    <mergeCell ref="D26:F26"/>
    <mergeCell ref="D28:F28"/>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D27:F27 H27:T27 V27:Z27">
    <cfRule type="containsText" dxfId="732" priority="1591" operator="containsText" text="L">
      <formula>NOT(ISERROR(SEARCH(("L"),(#REF!))))</formula>
    </cfRule>
    <cfRule type="containsText" dxfId="731" priority="1595" operator="containsText" text="P">
      <formula>NOT(ISERROR(SEARCH(("P"),(#REF!))))</formula>
    </cfRule>
    <cfRule type="containsText" dxfId="730" priority="1596" operator="containsText" text="K">
      <formula>NOT(ISERROR(SEARCH(("K"),(#REF!))))</formula>
    </cfRule>
    <cfRule type="containsText" dxfId="729" priority="1593" operator="containsText" text="O">
      <formula>NOT(ISERROR(SEARCH(("O"),(#REF!))))</formula>
    </cfRule>
    <cfRule type="containsText" dxfId="728" priority="1592" operator="containsText" text="N">
      <formula>NOT(ISERROR(SEARCH(("N"),(#REF!))))</formula>
    </cfRule>
    <cfRule type="containsText" dxfId="727" priority="1594" operator="containsText" text="C">
      <formula>NOT(ISERROR(SEARCH(("C"),(#REF!))))</formula>
    </cfRule>
    <cfRule type="containsText" dxfId="726" priority="1597" operator="containsText" text="X">
      <formula>NOT(ISERROR(SEARCH(("X"),(#REF!))))</formula>
    </cfRule>
  </conditionalFormatting>
  <conditionalFormatting sqref="G10:G22 G25 G27">
    <cfRule type="containsText" dxfId="725" priority="1539" operator="containsText" text="Chính Thức">
      <formula>NOT(ISERROR(SEARCH(("Chính Thức"),(G10))))</formula>
    </cfRule>
    <cfRule type="containsText" dxfId="724" priority="1540" operator="containsText" text="Thử Việc">
      <formula>NOT(ISERROR(SEARCH(("Thử Việc"),(G10))))</formula>
    </cfRule>
  </conditionalFormatting>
  <conditionalFormatting sqref="G11:G22 G25 G27">
    <cfRule type="containsText" dxfId="723" priority="1542" operator="containsText" text="Học Việc">
      <formula>NOT(ISERROR(SEARCH(("Học Việc"),(G11))))</formula>
    </cfRule>
    <cfRule type="containsText" dxfId="722" priority="1544" operator="containsText" text="Part Time">
      <formula>NOT(ISERROR(SEARCH(("Part Time"),(G11))))</formula>
    </cfRule>
    <cfRule type="containsText" dxfId="721" priority="1545" operator="containsText" text="Thực tập sinh">
      <formula>NOT(ISERROR(SEARCH(("Thực tập sinh"),(G11))))</formula>
    </cfRule>
    <cfRule type="containsText" dxfId="720" priority="1543" operator="containsText" text="Đã Nghỉ">
      <formula>NOT(ISERROR(SEARCH(("Đã Nghỉ"),(G11))))</formula>
    </cfRule>
    <cfRule type="containsText" dxfId="719" priority="1541" operator="containsText" text="Part Time">
      <formula>NOT(ISERROR(SEARCH(("Part Time"),(G11))))</formula>
    </cfRule>
  </conditionalFormatting>
  <conditionalFormatting sqref="H12:I13 K12:K13 AK12:AL13 I13:J13 H14 I15:M15 H15:I22 K15:K22 AK15:AL22 I19:M20">
    <cfRule type="containsText" dxfId="718" priority="1553" operator="containsText" text="N">
      <formula>NOT(ISERROR(SEARCH(("N"),(H12))))</formula>
    </cfRule>
  </conditionalFormatting>
  <conditionalFormatting sqref="H25:AC25 AJ25:AL27 AA27:AI27 AI28:AL28">
    <cfRule type="containsText" dxfId="717" priority="1564" operator="containsText" text="K">
      <formula>NOT(ISERROR(SEARCH(("K"),(H25))))</formula>
    </cfRule>
    <cfRule type="containsText" dxfId="716" priority="1565" operator="containsText" text="X">
      <formula>NOT(ISERROR(SEARCH(("X"),(H25))))</formula>
    </cfRule>
    <cfRule type="containsText" dxfId="715" priority="1559" operator="containsText" text="L">
      <formula>NOT(ISERROR(SEARCH(("L"),(H25))))</formula>
    </cfRule>
    <cfRule type="containsText" dxfId="714" priority="1560" operator="containsText" text="N">
      <formula>NOT(ISERROR(SEARCH(("N"),(H25))))</formula>
    </cfRule>
    <cfRule type="containsText" dxfId="713" priority="1561" operator="containsText" text="O">
      <formula>NOT(ISERROR(SEARCH(("O"),(H25))))</formula>
    </cfRule>
    <cfRule type="containsText" dxfId="712" priority="1562" operator="containsText" text="C">
      <formula>NOT(ISERROR(SEARCH(("C"),(H25))))</formula>
    </cfRule>
    <cfRule type="containsText" dxfId="711" priority="1563" operator="containsText" text="P">
      <formula>NOT(ISERROR(SEARCH(("P"),(H25))))</formula>
    </cfRule>
  </conditionalFormatting>
  <conditionalFormatting sqref="H9:AL9">
    <cfRule type="containsText" dxfId="710" priority="1566" operator="containsText" text="Chủ Nhật">
      <formula>NOT(ISERROR(SEARCH(("Chủ Nhật"),(H9))))</formula>
    </cfRule>
  </conditionalFormatting>
  <conditionalFormatting sqref="H14 H15:AL22 H11:AL13">
    <cfRule type="containsText" dxfId="709" priority="1548" operator="containsText" text="O">
      <formula>NOT(ISERROR(SEARCH(("O"),(H11))))</formula>
    </cfRule>
    <cfRule type="containsText" dxfId="708" priority="1550" operator="containsText" text="P">
      <formula>NOT(ISERROR(SEARCH(("P"),(H11))))</formula>
    </cfRule>
    <cfRule type="containsText" dxfId="707" priority="1551" operator="containsText" text="K">
      <formula>NOT(ISERROR(SEARCH(("K"),(H11))))</formula>
    </cfRule>
    <cfRule type="containsText" dxfId="706" priority="1552" operator="containsText" text="X">
      <formula>NOT(ISERROR(SEARCH(("X"),(H11))))</formula>
    </cfRule>
    <cfRule type="containsText" dxfId="705" priority="1549" operator="containsText" text="C">
      <formula>NOT(ISERROR(SEARCH(("C"),(H11))))</formula>
    </cfRule>
    <cfRule type="containsText" dxfId="704" priority="1547" operator="containsText" text="N">
      <formula>NOT(ISERROR(SEARCH(("N"),(H11))))</formula>
    </cfRule>
  </conditionalFormatting>
  <conditionalFormatting sqref="H11:AL13">
    <cfRule type="containsText" dxfId="703" priority="1546" operator="containsText" text="L">
      <formula>NOT(ISERROR(SEARCH(("L"),(H11))))</formula>
    </cfRule>
  </conditionalFormatting>
  <conditionalFormatting sqref="H14:AL14">
    <cfRule type="containsText" dxfId="702" priority="438" operator="containsText" text="X">
      <formula>NOT(ISERROR(SEARCH(("X"),(H14))))</formula>
    </cfRule>
    <cfRule type="containsText" dxfId="701" priority="436" operator="containsText" text="P">
      <formula>NOT(ISERROR(SEARCH(("P"),(H14))))</formula>
    </cfRule>
    <cfRule type="containsText" dxfId="700" priority="434" operator="containsText" text="O">
      <formula>NOT(ISERROR(SEARCH(("O"),(H14))))</formula>
    </cfRule>
    <cfRule type="containsText" dxfId="699" priority="435" operator="containsText" text="C">
      <formula>NOT(ISERROR(SEARCH(("C"),(H14))))</formula>
    </cfRule>
    <cfRule type="containsText" dxfId="698" priority="437" operator="containsText" text="K">
      <formula>NOT(ISERROR(SEARCH(("K"),(H14))))</formula>
    </cfRule>
  </conditionalFormatting>
  <conditionalFormatting sqref="H15:AL23 H14 H8:AL8 H11:AL13">
    <cfRule type="expression" dxfId="697" priority="1581">
      <formula>WEEKDAY(H$8)=1</formula>
    </cfRule>
  </conditionalFormatting>
  <conditionalFormatting sqref="H23:AL23">
    <cfRule type="containsText" dxfId="696" priority="1579" operator="containsText" text="K">
      <formula>NOT(ISERROR(SEARCH(("K"),(H27))))</formula>
    </cfRule>
    <cfRule type="containsText" dxfId="695" priority="1580" operator="containsText" text="X">
      <formula>NOT(ISERROR(SEARCH(("X"),(H27))))</formula>
    </cfRule>
    <cfRule type="containsText" dxfId="694" priority="1575" operator="containsText" text="N">
      <formula>NOT(ISERROR(SEARCH(("N"),(H27))))</formula>
    </cfRule>
    <cfRule type="containsText" dxfId="693" priority="1574" operator="containsText" text="L">
      <formula>NOT(ISERROR(SEARCH(("L"),(H27))))</formula>
    </cfRule>
    <cfRule type="containsText" dxfId="692" priority="1576" operator="containsText" text="O">
      <formula>NOT(ISERROR(SEARCH(("O"),(H27))))</formula>
    </cfRule>
    <cfRule type="containsText" dxfId="691" priority="1577" operator="containsText" text="C">
      <formula>NOT(ISERROR(SEARCH(("C"),(H27))))</formula>
    </cfRule>
    <cfRule type="containsText" dxfId="690" priority="1578" operator="containsText" text="P">
      <formula>NOT(ISERROR(SEARCH(("P"),(H27))))</formula>
    </cfRule>
  </conditionalFormatting>
  <conditionalFormatting sqref="I14 AK14:AL14 K14">
    <cfRule type="containsText" dxfId="689" priority="424" operator="containsText" text="L">
      <formula>NOT(ISERROR(SEARCH(("L"),(I14))))</formula>
    </cfRule>
  </conditionalFormatting>
  <conditionalFormatting sqref="I14 AK14:AL14">
    <cfRule type="containsText" dxfId="688" priority="421" operator="containsText" text="P">
      <formula>NOT(ISERROR(SEARCH(("P"),(I14))))</formula>
    </cfRule>
    <cfRule type="containsText" dxfId="687" priority="423" operator="containsText" text="X">
      <formula>NOT(ISERROR(SEARCH(("X"),(I14))))</formula>
    </cfRule>
    <cfRule type="containsText" dxfId="686" priority="420" operator="containsText" text="C">
      <formula>NOT(ISERROR(SEARCH(("C"),(I14))))</formula>
    </cfRule>
    <cfRule type="containsText" dxfId="685" priority="419" operator="containsText" text="O">
      <formula>NOT(ISERROR(SEARCH(("O"),(I14))))</formula>
    </cfRule>
    <cfRule type="containsText" dxfId="684" priority="422" operator="containsText" text="K">
      <formula>NOT(ISERROR(SEARCH(("K"),(I14))))</formula>
    </cfRule>
  </conditionalFormatting>
  <conditionalFormatting sqref="I15">
    <cfRule type="containsText" dxfId="683" priority="922" operator="containsText" text="L">
      <formula>NOT(ISERROR(SEARCH(("L"),(I15))))</formula>
    </cfRule>
    <cfRule type="containsText" dxfId="682" priority="916" operator="containsText" text="N">
      <formula>NOT(ISERROR(SEARCH(("N"),(I15))))</formula>
    </cfRule>
    <cfRule type="containsText" dxfId="681" priority="919" operator="containsText" text="P">
      <formula>NOT(ISERROR(SEARCH(("P"),(I15))))</formula>
    </cfRule>
    <cfRule type="containsText" dxfId="680" priority="917" operator="containsText" text="O">
      <formula>NOT(ISERROR(SEARCH(("O"),(I15))))</formula>
    </cfRule>
    <cfRule type="containsText" dxfId="679" priority="918" operator="containsText" text="C">
      <formula>NOT(ISERROR(SEARCH(("C"),(I15))))</formula>
    </cfRule>
    <cfRule type="containsText" dxfId="678" priority="920" operator="containsText" text="K">
      <formula>NOT(ISERROR(SEARCH(("K"),(I15))))</formula>
    </cfRule>
    <cfRule type="containsText" dxfId="677" priority="921" operator="containsText" text="X">
      <formula>NOT(ISERROR(SEARCH(("X"),(I15))))</formula>
    </cfRule>
  </conditionalFormatting>
  <conditionalFormatting sqref="I11:M11 H12:I13 K12:K13 H15:I22 K15:K22 I19:M20 AK15:AL22">
    <cfRule type="containsText" dxfId="676" priority="1421" operator="containsText" text="O">
      <formula>NOT(ISERROR(SEARCH(("O"),(H11))))</formula>
    </cfRule>
  </conditionalFormatting>
  <conditionalFormatting sqref="I11:M11 H12:I13 K12:K13 I15:M15 H15:I22 K15:K22 AK15:AL22 I19:M20">
    <cfRule type="containsText" dxfId="675" priority="1424" operator="containsText" text="K">
      <formula>NOT(ISERROR(SEARCH(("K"),(H11))))</formula>
    </cfRule>
    <cfRule type="containsText" dxfId="674" priority="1425" operator="containsText" text="X">
      <formula>NOT(ISERROR(SEARCH(("X"),(H11))))</formula>
    </cfRule>
    <cfRule type="containsText" dxfId="673" priority="1423" operator="containsText" text="P">
      <formula>NOT(ISERROR(SEARCH(("P"),(H11))))</formula>
    </cfRule>
    <cfRule type="containsText" dxfId="672" priority="1422" operator="containsText" text="C">
      <formula>NOT(ISERROR(SEARCH(("C"),(H11))))</formula>
    </cfRule>
  </conditionalFormatting>
  <conditionalFormatting sqref="I11:M11 H12:I13 K12:K13 I15:M15 H15:AL22 I19:M20 H14">
    <cfRule type="containsText" dxfId="671" priority="1426" operator="containsText" text="L">
      <formula>NOT(ISERROR(SEARCH(("L"),(H11))))</formula>
    </cfRule>
  </conditionalFormatting>
  <conditionalFormatting sqref="I11:M12">
    <cfRule type="containsText" dxfId="670" priority="1420" operator="containsText" text="N">
      <formula>NOT(ISERROR(SEARCH(("N"),(I11))))</formula>
    </cfRule>
  </conditionalFormatting>
  <conditionalFormatting sqref="I12:M12 I13:K13">
    <cfRule type="containsText" dxfId="669" priority="1556" operator="containsText" text="P">
      <formula>NOT(ISERROR(SEARCH(("P"),(I12))))</formula>
    </cfRule>
    <cfRule type="containsText" dxfId="668" priority="1555" operator="containsText" text="C">
      <formula>NOT(ISERROR(SEARCH(("C"),(I12))))</formula>
    </cfRule>
    <cfRule type="containsText" dxfId="667" priority="1558" operator="containsText" text="X">
      <formula>NOT(ISERROR(SEARCH(("X"),(I12))))</formula>
    </cfRule>
    <cfRule type="containsText" dxfId="666" priority="1554" operator="containsText" text="O">
      <formula>NOT(ISERROR(SEARCH(("O"),(I12))))</formula>
    </cfRule>
    <cfRule type="containsText" dxfId="665" priority="1583" operator="containsText" text="L">
      <formula>NOT(ISERROR(SEARCH(("L"),(I12))))</formula>
    </cfRule>
    <cfRule type="containsText" dxfId="664" priority="1557" operator="containsText" text="K">
      <formula>NOT(ISERROR(SEARCH(("K"),(I12))))</formula>
    </cfRule>
  </conditionalFormatting>
  <conditionalFormatting sqref="I15:M22">
    <cfRule type="containsText" dxfId="663" priority="1365" operator="containsText" text="O">
      <formula>NOT(ISERROR(SEARCH(("O"),(I15))))</formula>
    </cfRule>
  </conditionalFormatting>
  <conditionalFormatting sqref="I16:M22">
    <cfRule type="containsText" dxfId="662" priority="1364" operator="containsText" text="N">
      <formula>NOT(ISERROR(SEARCH(("N"),(I16))))</formula>
    </cfRule>
    <cfRule type="containsText" dxfId="661" priority="1370" operator="containsText" text="L">
      <formula>NOT(ISERROR(SEARCH(("L"),(I16))))</formula>
    </cfRule>
    <cfRule type="containsText" dxfId="660" priority="1369" operator="containsText" text="X">
      <formula>NOT(ISERROR(SEARCH(("X"),(I16))))</formula>
    </cfRule>
    <cfRule type="containsText" dxfId="659" priority="1368" operator="containsText" text="K">
      <formula>NOT(ISERROR(SEARCH(("K"),(I16))))</formula>
    </cfRule>
    <cfRule type="containsText" dxfId="658" priority="1367" operator="containsText" text="P">
      <formula>NOT(ISERROR(SEARCH(("P"),(I16))))</formula>
    </cfRule>
    <cfRule type="containsText" dxfId="657" priority="1366" operator="containsText" text="C">
      <formula>NOT(ISERROR(SEARCH(("C"),(I16))))</formula>
    </cfRule>
  </conditionalFormatting>
  <conditionalFormatting sqref="I21:M21">
    <cfRule type="containsText" dxfId="656" priority="298" operator="containsText" text="C">
      <formula>NOT(ISERROR(SEARCH(("C"),(I21))))</formula>
    </cfRule>
    <cfRule type="containsText" dxfId="655" priority="289" operator="containsText" text="O">
      <formula>NOT(ISERROR(SEARCH(("O"),(I21))))</formula>
    </cfRule>
    <cfRule type="containsText" dxfId="654" priority="290" operator="containsText" text="C">
      <formula>NOT(ISERROR(SEARCH(("C"),(I21))))</formula>
    </cfRule>
    <cfRule type="containsText" dxfId="653" priority="299" operator="containsText" text="P">
      <formula>NOT(ISERROR(SEARCH(("P"),(I21))))</formula>
    </cfRule>
    <cfRule type="containsText" dxfId="652" priority="301" operator="containsText" text="X">
      <formula>NOT(ISERROR(SEARCH(("X"),(I21))))</formula>
    </cfRule>
    <cfRule type="containsText" dxfId="651" priority="302" operator="containsText" text="L">
      <formula>NOT(ISERROR(SEARCH(("L"),(I21))))</formula>
    </cfRule>
    <cfRule type="containsText" dxfId="650" priority="291" operator="containsText" text="P">
      <formula>NOT(ISERROR(SEARCH(("P"),(I21))))</formula>
    </cfRule>
    <cfRule type="containsText" dxfId="649" priority="292" operator="containsText" text="K">
      <formula>NOT(ISERROR(SEARCH(("K"),(I21))))</formula>
    </cfRule>
    <cfRule type="containsText" dxfId="648" priority="293" operator="containsText" text="X">
      <formula>NOT(ISERROR(SEARCH(("X"),(I21))))</formula>
    </cfRule>
    <cfRule type="containsText" dxfId="647" priority="294" operator="containsText" text="L">
      <formula>NOT(ISERROR(SEARCH(("L"),(I21))))</formula>
    </cfRule>
    <cfRule type="containsText" dxfId="646" priority="295" operator="containsText" text="N">
      <formula>NOT(ISERROR(SEARCH(("N"),(I21))))</formula>
    </cfRule>
    <cfRule type="containsText" dxfId="645" priority="297" operator="containsText" text="O">
      <formula>NOT(ISERROR(SEARCH(("O"),(I21))))</formula>
    </cfRule>
    <cfRule type="containsText" dxfId="644" priority="300" operator="containsText" text="K">
      <formula>NOT(ISERROR(SEARCH(("K"),(I21))))</formula>
    </cfRule>
  </conditionalFormatting>
  <conditionalFormatting sqref="I21:M22">
    <cfRule type="containsText" dxfId="643" priority="125" operator="containsText" text="X">
      <formula>NOT(ISERROR(SEARCH(("X"),(I21))))</formula>
    </cfRule>
    <cfRule type="containsText" dxfId="642" priority="124" operator="containsText" text="K">
      <formula>NOT(ISERROR(SEARCH(("K"),(I21))))</formula>
    </cfRule>
    <cfRule type="containsText" dxfId="641" priority="122" operator="containsText" text="C">
      <formula>NOT(ISERROR(SEARCH(("C"),(I21))))</formula>
    </cfRule>
    <cfRule type="containsText" dxfId="640" priority="121" operator="containsText" text="O">
      <formula>NOT(ISERROR(SEARCH(("O"),(I21))))</formula>
    </cfRule>
    <cfRule type="containsText" dxfId="639" priority="119" operator="containsText" text="N">
      <formula>NOT(ISERROR(SEARCH(("N"),(I21))))</formula>
    </cfRule>
    <cfRule type="containsText" dxfId="638" priority="123" operator="containsText" text="P">
      <formula>NOT(ISERROR(SEARCH(("P"),(I21))))</formula>
    </cfRule>
    <cfRule type="containsText" dxfId="637" priority="126" operator="containsText" text="L">
      <formula>NOT(ISERROR(SEARCH(("L"),(I21))))</formula>
    </cfRule>
  </conditionalFormatting>
  <conditionalFormatting sqref="I22:M22">
    <cfRule type="containsText" dxfId="636" priority="113" operator="containsText" text="O">
      <formula>NOT(ISERROR(SEARCH(("O"),(I22))))</formula>
    </cfRule>
    <cfRule type="containsText" dxfId="635" priority="116" operator="containsText" text="K">
      <formula>NOT(ISERROR(SEARCH(("K"),(I22))))</formula>
    </cfRule>
    <cfRule type="containsText" dxfId="634" priority="112" operator="containsText" text="L">
      <formula>NOT(ISERROR(SEARCH(("L"),(I22))))</formula>
    </cfRule>
    <cfRule type="containsText" dxfId="633" priority="111" operator="containsText" text="X">
      <formula>NOT(ISERROR(SEARCH(("X"),(I22))))</formula>
    </cfRule>
    <cfRule type="containsText" dxfId="632" priority="110" operator="containsText" text="K">
      <formula>NOT(ISERROR(SEARCH(("K"),(I22))))</formula>
    </cfRule>
    <cfRule type="containsText" dxfId="631" priority="109" operator="containsText" text="P">
      <formula>NOT(ISERROR(SEARCH(("P"),(I22))))</formula>
    </cfRule>
    <cfRule type="containsText" dxfId="630" priority="108" operator="containsText" text="C">
      <formula>NOT(ISERROR(SEARCH(("C"),(I22))))</formula>
    </cfRule>
    <cfRule type="containsText" dxfId="629" priority="107" operator="containsText" text="O">
      <formula>NOT(ISERROR(SEARCH(("O"),(I22))))</formula>
    </cfRule>
    <cfRule type="containsText" dxfId="628" priority="106" operator="containsText" text="N">
      <formula>NOT(ISERROR(SEARCH(("N"),(I22))))</formula>
    </cfRule>
    <cfRule type="containsText" dxfId="627" priority="115" operator="containsText" text="P">
      <formula>NOT(ISERROR(SEARCH(("P"),(I22))))</formula>
    </cfRule>
    <cfRule type="containsText" dxfId="626" priority="117" operator="containsText" text="X">
      <formula>NOT(ISERROR(SEARCH(("X"),(I22))))</formula>
    </cfRule>
    <cfRule type="containsText" dxfId="625" priority="118" operator="containsText" text="L">
      <formula>NOT(ISERROR(SEARCH(("L"),(I22))))</formula>
    </cfRule>
    <cfRule type="containsText" dxfId="624" priority="114" operator="containsText" text="C">
      <formula>NOT(ISERROR(SEARCH(("C"),(I22))))</formula>
    </cfRule>
  </conditionalFormatting>
  <conditionalFormatting sqref="I14:AL14">
    <cfRule type="expression" dxfId="623" priority="445">
      <formula>WEEKDAY(I$8)=1</formula>
    </cfRule>
    <cfRule type="containsText" dxfId="622" priority="431" operator="containsText" text="L">
      <formula>NOT(ISERROR(SEARCH(("L"),(I14))))</formula>
    </cfRule>
    <cfRule type="containsText" dxfId="621" priority="433" operator="containsText" text="N">
      <formula>NOT(ISERROR(SEARCH(("N"),(I14))))</formula>
    </cfRule>
  </conditionalFormatting>
  <conditionalFormatting sqref="J14:M14">
    <cfRule type="containsText" dxfId="620" priority="441" operator="containsText" text="C">
      <formula>NOT(ISERROR(SEARCH(("C"),(J14))))</formula>
    </cfRule>
    <cfRule type="containsText" dxfId="619" priority="442" operator="containsText" text="P">
      <formula>NOT(ISERROR(SEARCH(("P"),(J14))))</formula>
    </cfRule>
    <cfRule type="containsText" dxfId="618" priority="443" operator="containsText" text="K">
      <formula>NOT(ISERROR(SEARCH(("K"),(J14))))</formula>
    </cfRule>
    <cfRule type="containsText" dxfId="617" priority="444" operator="containsText" text="X">
      <formula>NOT(ISERROR(SEARCH(("X"),(J14))))</formula>
    </cfRule>
    <cfRule type="containsText" dxfId="616" priority="446" operator="containsText" text="L">
      <formula>NOT(ISERROR(SEARCH(("L"),(J14))))</formula>
    </cfRule>
    <cfRule type="containsText" dxfId="615" priority="440" operator="containsText" text="O">
      <formula>NOT(ISERROR(SEARCH(("O"),(J14))))</formula>
    </cfRule>
  </conditionalFormatting>
  <conditionalFormatting sqref="K16:K22">
    <cfRule type="containsText" dxfId="614" priority="1358" operator="containsText" text="N">
      <formula>NOT(ISERROR(SEARCH(("N"),(K16))))</formula>
    </cfRule>
    <cfRule type="containsText" dxfId="613" priority="1357" operator="containsText" text="L">
      <formula>NOT(ISERROR(SEARCH(("L"),(K16))))</formula>
    </cfRule>
    <cfRule type="containsText" dxfId="612" priority="1363" operator="containsText" text="X">
      <formula>NOT(ISERROR(SEARCH(("X"),(K16))))</formula>
    </cfRule>
    <cfRule type="containsText" dxfId="611" priority="1362" operator="containsText" text="K">
      <formula>NOT(ISERROR(SEARCH(("K"),(K16))))</formula>
    </cfRule>
    <cfRule type="containsText" dxfId="610" priority="1361" operator="containsText" text="P">
      <formula>NOT(ISERROR(SEARCH(("P"),(K16))))</formula>
    </cfRule>
    <cfRule type="containsText" dxfId="609" priority="1360" operator="containsText" text="C">
      <formula>NOT(ISERROR(SEARCH(("C"),(K16))))</formula>
    </cfRule>
    <cfRule type="containsText" dxfId="608" priority="1359" operator="containsText" text="O">
      <formula>NOT(ISERROR(SEARCH(("O"),(K16))))</formula>
    </cfRule>
  </conditionalFormatting>
  <conditionalFormatting sqref="K13:M13">
    <cfRule type="containsText" dxfId="607" priority="748" operator="containsText" text="N">
      <formula>NOT(ISERROR(SEARCH(("N"),(K13))))</formula>
    </cfRule>
  </conditionalFormatting>
  <conditionalFormatting sqref="K14:M14">
    <cfRule type="containsText" dxfId="606" priority="400" operator="containsText" text="O">
      <formula>NOT(ISERROR(SEARCH(("O"),(K14))))</formula>
    </cfRule>
    <cfRule type="containsText" dxfId="605" priority="401" operator="containsText" text="C">
      <formula>NOT(ISERROR(SEARCH(("C"),(K14))))</formula>
    </cfRule>
    <cfRule type="containsText" dxfId="604" priority="402" operator="containsText" text="P">
      <formula>NOT(ISERROR(SEARCH(("P"),(K14))))</formula>
    </cfRule>
    <cfRule type="containsText" dxfId="603" priority="403" operator="containsText" text="K">
      <formula>NOT(ISERROR(SEARCH(("K"),(K14))))</formula>
    </cfRule>
    <cfRule type="containsText" dxfId="602" priority="404" operator="containsText" text="X">
      <formula>NOT(ISERROR(SEARCH(("X"),(K14))))</formula>
    </cfRule>
  </conditionalFormatting>
  <conditionalFormatting sqref="L13:M13">
    <cfRule type="containsText" dxfId="601" priority="1255" operator="containsText" text="C">
      <formula>NOT(ISERROR(SEARCH(("C"),(L13))))</formula>
    </cfRule>
    <cfRule type="containsText" dxfId="600" priority="1258" operator="containsText" text="X">
      <formula>NOT(ISERROR(SEARCH(("X"),(L13))))</formula>
    </cfRule>
    <cfRule type="containsText" dxfId="599" priority="1257" operator="containsText" text="K">
      <formula>NOT(ISERROR(SEARCH(("K"),(L13))))</formula>
    </cfRule>
    <cfRule type="containsText" dxfId="598" priority="1254" operator="containsText" text="O">
      <formula>NOT(ISERROR(SEARCH(("O"),(L13))))</formula>
    </cfRule>
    <cfRule type="containsText" dxfId="597" priority="1293" operator="containsText" text="L">
      <formula>NOT(ISERROR(SEARCH(("L"),(L13))))</formula>
    </cfRule>
    <cfRule type="containsText" dxfId="596" priority="1256" operator="containsText" text="P">
      <formula>NOT(ISERROR(SEARCH(("P"),(L13))))</formula>
    </cfRule>
  </conditionalFormatting>
  <conditionalFormatting sqref="L14:M14">
    <cfRule type="containsText" dxfId="595" priority="398" operator="containsText" text="L">
      <formula>NOT(ISERROR(SEARCH(("L"),(L14))))</formula>
    </cfRule>
    <cfRule type="containsText" dxfId="594" priority="399" operator="containsText" text="N">
      <formula>NOT(ISERROR(SEARCH(("N"),(L14))))</formula>
    </cfRule>
  </conditionalFormatting>
  <conditionalFormatting sqref="P22 R22">
    <cfRule type="containsText" dxfId="593" priority="105" operator="containsText" text="N">
      <formula>NOT(ISERROR(SEARCH(("N"),(P22))))</formula>
    </cfRule>
    <cfRule type="containsText" dxfId="592" priority="104" operator="containsText" text="L">
      <formula>NOT(ISERROR(SEARCH(("L"),(P22))))</formula>
    </cfRule>
    <cfRule type="containsText" dxfId="591" priority="103" operator="containsText" text="X">
      <formula>NOT(ISERROR(SEARCH(("X"),(P22))))</formula>
    </cfRule>
    <cfRule type="containsText" dxfId="590" priority="102" operator="containsText" text="K">
      <formula>NOT(ISERROR(SEARCH(("K"),(P22))))</formula>
    </cfRule>
    <cfRule type="containsText" dxfId="589" priority="101" operator="containsText" text="P">
      <formula>NOT(ISERROR(SEARCH(("P"),(P22))))</formula>
    </cfRule>
    <cfRule type="containsText" dxfId="588" priority="100" operator="containsText" text="C">
      <formula>NOT(ISERROR(SEARCH(("C"),(P22))))</formula>
    </cfRule>
    <cfRule type="containsText" dxfId="587" priority="99" operator="containsText" text="O">
      <formula>NOT(ISERROR(SEARCH(("O"),(P22))))</formula>
    </cfRule>
  </conditionalFormatting>
  <conditionalFormatting sqref="P14:R14">
    <cfRule type="containsText" dxfId="586" priority="395" operator="containsText" text="K">
      <formula>NOT(ISERROR(SEARCH(("K"),(P14))))</formula>
    </cfRule>
    <cfRule type="containsText" dxfId="585" priority="394" operator="containsText" text="P">
      <formula>NOT(ISERROR(SEARCH(("P"),(P14))))</formula>
    </cfRule>
    <cfRule type="containsText" dxfId="584" priority="392" operator="containsText" text="O">
      <formula>NOT(ISERROR(SEARCH(("O"),(P14))))</formula>
    </cfRule>
    <cfRule type="containsText" dxfId="583" priority="391" operator="containsText" text="N">
      <formula>NOT(ISERROR(SEARCH(("N"),(P14))))</formula>
    </cfRule>
    <cfRule type="containsText" dxfId="582" priority="393" operator="containsText" text="C">
      <formula>NOT(ISERROR(SEARCH(("C"),(P14))))</formula>
    </cfRule>
    <cfRule type="containsText" dxfId="581" priority="397" operator="containsText" text="L">
      <formula>NOT(ISERROR(SEARCH(("L"),(P14))))</formula>
    </cfRule>
    <cfRule type="containsText" dxfId="580" priority="396" operator="containsText" text="X">
      <formula>NOT(ISERROR(SEARCH(("X"),(P14))))</formula>
    </cfRule>
  </conditionalFormatting>
  <conditionalFormatting sqref="P14:S14">
    <cfRule type="containsText" dxfId="579" priority="350" operator="containsText" text="L">
      <formula>NOT(ISERROR(SEARCH(("L"),(P14))))</formula>
    </cfRule>
  </conditionalFormatting>
  <conditionalFormatting sqref="P14:S15">
    <cfRule type="containsText" dxfId="578" priority="380" operator="containsText" text="C">
      <formula>NOT(ISERROR(SEARCH(("C"),(P14))))</formula>
    </cfRule>
    <cfRule type="containsText" dxfId="577" priority="379" operator="containsText" text="O">
      <formula>NOT(ISERROR(SEARCH(("O"),(P14))))</formula>
    </cfRule>
    <cfRule type="containsText" dxfId="576" priority="381" operator="containsText" text="P">
      <formula>NOT(ISERROR(SEARCH(("P"),(P14))))</formula>
    </cfRule>
    <cfRule type="containsText" dxfId="575" priority="382" operator="containsText" text="K">
      <formula>NOT(ISERROR(SEARCH(("K"),(P14))))</formula>
    </cfRule>
    <cfRule type="containsText" dxfId="574" priority="383" operator="containsText" text="X">
      <formula>NOT(ISERROR(SEARCH(("X"),(P14))))</formula>
    </cfRule>
    <cfRule type="containsText" dxfId="573" priority="378" operator="containsText" text="N">
      <formula>NOT(ISERROR(SEARCH(("N"),(P14))))</formula>
    </cfRule>
  </conditionalFormatting>
  <conditionalFormatting sqref="P15:S15">
    <cfRule type="containsText" dxfId="572" priority="915" operator="containsText" text="L">
      <formula>NOT(ISERROR(SEARCH(("L"),(P15))))</formula>
    </cfRule>
  </conditionalFormatting>
  <conditionalFormatting sqref="P11:T14">
    <cfRule type="containsText" dxfId="571" priority="415" operator="containsText" text="P">
      <formula>NOT(ISERROR(SEARCH(("P"),(P11))))</formula>
    </cfRule>
    <cfRule type="containsText" dxfId="570" priority="414" operator="containsText" text="C">
      <formula>NOT(ISERROR(SEARCH(("C"),(P11))))</formula>
    </cfRule>
    <cfRule type="containsText" dxfId="569" priority="413" operator="containsText" text="O">
      <formula>NOT(ISERROR(SEARCH(("O"),(P11))))</formula>
    </cfRule>
    <cfRule type="containsText" dxfId="568" priority="412" operator="containsText" text="N">
      <formula>NOT(ISERROR(SEARCH(("N"),(P11))))</formula>
    </cfRule>
    <cfRule type="containsText" dxfId="567" priority="416" operator="containsText" text="K">
      <formula>NOT(ISERROR(SEARCH(("K"),(P11))))</formula>
    </cfRule>
    <cfRule type="containsText" dxfId="566" priority="418" operator="containsText" text="L">
      <formula>NOT(ISERROR(SEARCH(("L"),(P11))))</formula>
    </cfRule>
    <cfRule type="containsText" dxfId="565" priority="417" operator="containsText" text="X">
      <formula>NOT(ISERROR(SEARCH(("X"),(P11))))</formula>
    </cfRule>
  </conditionalFormatting>
  <conditionalFormatting sqref="P16:T22">
    <cfRule type="containsText" dxfId="564" priority="1350" operator="containsText" text="N">
      <formula>NOT(ISERROR(SEARCH(("N"),(P16))))</formula>
    </cfRule>
    <cfRule type="containsText" dxfId="563" priority="1353" operator="containsText" text="P">
      <formula>NOT(ISERROR(SEARCH(("P"),(P16))))</formula>
    </cfRule>
    <cfRule type="containsText" dxfId="562" priority="1356" operator="containsText" text="L">
      <formula>NOT(ISERROR(SEARCH(("L"),(P16))))</formula>
    </cfRule>
    <cfRule type="containsText" dxfId="561" priority="1355" operator="containsText" text="X">
      <formula>NOT(ISERROR(SEARCH(("X"),(P16))))</formula>
    </cfRule>
    <cfRule type="containsText" dxfId="560" priority="1354" operator="containsText" text="K">
      <formula>NOT(ISERROR(SEARCH(("K"),(P16))))</formula>
    </cfRule>
    <cfRule type="containsText" dxfId="559" priority="1352" operator="containsText" text="C">
      <formula>NOT(ISERROR(SEARCH(("C"),(P16))))</formula>
    </cfRule>
    <cfRule type="containsText" dxfId="558" priority="1351" operator="containsText" text="O">
      <formula>NOT(ISERROR(SEARCH(("O"),(P16))))</formula>
    </cfRule>
  </conditionalFormatting>
  <conditionalFormatting sqref="P19:T19">
    <cfRule type="containsText" dxfId="557" priority="1137" operator="containsText" text="K">
      <formula>NOT(ISERROR(SEARCH(("K"),(P19))))</formula>
    </cfRule>
    <cfRule type="containsText" dxfId="556" priority="1136" operator="containsText" text="P">
      <formula>NOT(ISERROR(SEARCH(("P"),(P19))))</formula>
    </cfRule>
    <cfRule type="containsText" dxfId="555" priority="1138" operator="containsText" text="X">
      <formula>NOT(ISERROR(SEARCH(("X"),(P19))))</formula>
    </cfRule>
    <cfRule type="containsText" dxfId="554" priority="1139" operator="containsText" text="L">
      <formula>NOT(ISERROR(SEARCH(("L"),(P19))))</formula>
    </cfRule>
    <cfRule type="containsText" dxfId="553" priority="1140" operator="containsText" text="O">
      <formula>NOT(ISERROR(SEARCH(("O"),(P19))))</formula>
    </cfRule>
    <cfRule type="containsText" dxfId="552" priority="1142" operator="containsText" text="P">
      <formula>NOT(ISERROR(SEARCH(("P"),(P19))))</formula>
    </cfRule>
    <cfRule type="containsText" dxfId="551" priority="1135" operator="containsText" text="C">
      <formula>NOT(ISERROR(SEARCH(("C"),(P19))))</formula>
    </cfRule>
    <cfRule type="containsText" dxfId="550" priority="1134" operator="containsText" text="O">
      <formula>NOT(ISERROR(SEARCH(("O"),(P19))))</formula>
    </cfRule>
    <cfRule type="containsText" dxfId="549" priority="1146" operator="containsText" text="N">
      <formula>NOT(ISERROR(SEARCH(("N"),(P19))))</formula>
    </cfRule>
    <cfRule type="containsText" dxfId="548" priority="1145" operator="containsText" text="L">
      <formula>NOT(ISERROR(SEARCH(("L"),(P19))))</formula>
    </cfRule>
    <cfRule type="containsText" dxfId="547" priority="1144" operator="containsText" text="X">
      <formula>NOT(ISERROR(SEARCH(("X"),(P19))))</formula>
    </cfRule>
    <cfRule type="containsText" dxfId="546" priority="1143" operator="containsText" text="K">
      <formula>NOT(ISERROR(SEARCH(("K"),(P19))))</formula>
    </cfRule>
    <cfRule type="containsText" dxfId="545" priority="1141" operator="containsText" text="C">
      <formula>NOT(ISERROR(SEARCH(("C"),(P19))))</formula>
    </cfRule>
  </conditionalFormatting>
  <conditionalFormatting sqref="P19:T21">
    <cfRule type="containsText" dxfId="544" priority="140" operator="containsText" text="N">
      <formula>NOT(ISERROR(SEARCH(("N"),(P19))))</formula>
    </cfRule>
  </conditionalFormatting>
  <conditionalFormatting sqref="P20:T20">
    <cfRule type="containsText" dxfId="543" priority="139" operator="containsText" text="L">
      <formula>NOT(ISERROR(SEARCH(("L"),(P20))))</formula>
    </cfRule>
    <cfRule type="containsText" dxfId="542" priority="135" operator="containsText" text="C">
      <formula>NOT(ISERROR(SEARCH(("C"),(P20))))</formula>
    </cfRule>
    <cfRule type="containsText" dxfId="541" priority="127" operator="containsText" text="N">
      <formula>NOT(ISERROR(SEARCH(("N"),(P20))))</formula>
    </cfRule>
    <cfRule type="containsText" dxfId="540" priority="128" operator="containsText" text="O">
      <formula>NOT(ISERROR(SEARCH(("O"),(P20))))</formula>
    </cfRule>
    <cfRule type="containsText" dxfId="539" priority="129" operator="containsText" text="C">
      <formula>NOT(ISERROR(SEARCH(("C"),(P20))))</formula>
    </cfRule>
    <cfRule type="containsText" dxfId="538" priority="130" operator="containsText" text="P">
      <formula>NOT(ISERROR(SEARCH(("P"),(P20))))</formula>
    </cfRule>
    <cfRule type="containsText" dxfId="537" priority="131" operator="containsText" text="K">
      <formula>NOT(ISERROR(SEARCH(("K"),(P20))))</formula>
    </cfRule>
    <cfRule type="containsText" dxfId="536" priority="132" operator="containsText" text="X">
      <formula>NOT(ISERROR(SEARCH(("X"),(P20))))</formula>
    </cfRule>
    <cfRule type="containsText" dxfId="535" priority="133" operator="containsText" text="L">
      <formula>NOT(ISERROR(SEARCH(("L"),(P20))))</formula>
    </cfRule>
    <cfRule type="containsText" dxfId="534" priority="134" operator="containsText" text="O">
      <formula>NOT(ISERROR(SEARCH(("O"),(P20))))</formula>
    </cfRule>
    <cfRule type="containsText" dxfId="533" priority="136" operator="containsText" text="P">
      <formula>NOT(ISERROR(SEARCH(("P"),(P20))))</formula>
    </cfRule>
    <cfRule type="containsText" dxfId="532" priority="137" operator="containsText" text="K">
      <formula>NOT(ISERROR(SEARCH(("K"),(P20))))</formula>
    </cfRule>
    <cfRule type="containsText" dxfId="531" priority="138" operator="containsText" text="X">
      <formula>NOT(ISERROR(SEARCH(("X"),(P20))))</formula>
    </cfRule>
  </conditionalFormatting>
  <conditionalFormatting sqref="P21:T21">
    <cfRule type="containsText" dxfId="530" priority="862" operator="containsText" text="O">
      <formula>NOT(ISERROR(SEARCH(("O"),(P21))))</formula>
    </cfRule>
    <cfRule type="containsText" dxfId="529" priority="867" operator="containsText" text="L">
      <formula>NOT(ISERROR(SEARCH(("L"),(P21))))</formula>
    </cfRule>
    <cfRule type="containsText" dxfId="528" priority="863" operator="containsText" text="C">
      <formula>NOT(ISERROR(SEARCH(("C"),(P21))))</formula>
    </cfRule>
    <cfRule type="containsText" dxfId="527" priority="872" operator="containsText" text="X">
      <formula>NOT(ISERROR(SEARCH(("X"),(P21))))</formula>
    </cfRule>
    <cfRule type="containsText" dxfId="526" priority="864" operator="containsText" text="P">
      <formula>NOT(ISERROR(SEARCH(("P"),(P21))))</formula>
    </cfRule>
    <cfRule type="containsText" dxfId="525" priority="874" operator="containsText" text="N">
      <formula>NOT(ISERROR(SEARCH(("N"),(P21))))</formula>
    </cfRule>
    <cfRule type="containsText" dxfId="524" priority="866" operator="containsText" text="X">
      <formula>NOT(ISERROR(SEARCH(("X"),(P21))))</formula>
    </cfRule>
    <cfRule type="containsText" dxfId="523" priority="869" operator="containsText" text="C">
      <formula>NOT(ISERROR(SEARCH(("C"),(P21))))</formula>
    </cfRule>
    <cfRule type="containsText" dxfId="522" priority="865" operator="containsText" text="K">
      <formula>NOT(ISERROR(SEARCH(("K"),(P21))))</formula>
    </cfRule>
    <cfRule type="containsText" dxfId="521" priority="868" operator="containsText" text="O">
      <formula>NOT(ISERROR(SEARCH(("O"),(P21))))</formula>
    </cfRule>
    <cfRule type="containsText" dxfId="520" priority="870" operator="containsText" text="P">
      <formula>NOT(ISERROR(SEARCH(("P"),(P21))))</formula>
    </cfRule>
    <cfRule type="containsText" dxfId="519" priority="871" operator="containsText" text="K">
      <formula>NOT(ISERROR(SEARCH(("K"),(P21))))</formula>
    </cfRule>
    <cfRule type="containsText" dxfId="518" priority="873" operator="containsText" text="L">
      <formula>NOT(ISERROR(SEARCH(("L"),(P21))))</formula>
    </cfRule>
  </conditionalFormatting>
  <conditionalFormatting sqref="P22:T22">
    <cfRule type="containsText" dxfId="517" priority="66" operator="containsText" text="C">
      <formula>NOT(ISERROR(SEARCH(("C"),(P22))))</formula>
    </cfRule>
    <cfRule type="containsText" dxfId="516" priority="67" operator="containsText" text="P">
      <formula>NOT(ISERROR(SEARCH(("P"),(P22))))</formula>
    </cfRule>
    <cfRule type="containsText" dxfId="515" priority="76" operator="containsText" text="L">
      <formula>NOT(ISERROR(SEARCH(("L"),(P22))))</formula>
    </cfRule>
    <cfRule type="containsText" dxfId="514" priority="70" operator="containsText" text="L">
      <formula>NOT(ISERROR(SEARCH(("L"),(P22))))</formula>
    </cfRule>
    <cfRule type="containsText" dxfId="513" priority="71" operator="containsText" text="O">
      <formula>NOT(ISERROR(SEARCH(("O"),(P22))))</formula>
    </cfRule>
    <cfRule type="containsText" dxfId="512" priority="72" operator="containsText" text="C">
      <formula>NOT(ISERROR(SEARCH(("C"),(P22))))</formula>
    </cfRule>
    <cfRule type="containsText" dxfId="511" priority="73" operator="containsText" text="P">
      <formula>NOT(ISERROR(SEARCH(("P"),(P22))))</formula>
    </cfRule>
    <cfRule type="containsText" dxfId="510" priority="92" operator="containsText" text="N">
      <formula>NOT(ISERROR(SEARCH(("N"),(P22))))</formula>
    </cfRule>
    <cfRule type="containsText" dxfId="509" priority="75" operator="containsText" text="X">
      <formula>NOT(ISERROR(SEARCH(("X"),(P22))))</formula>
    </cfRule>
    <cfRule type="containsText" dxfId="508" priority="77" operator="containsText" text="N">
      <formula>NOT(ISERROR(SEARCH(("N"),(P22))))</formula>
    </cfRule>
    <cfRule type="containsText" dxfId="507" priority="69" operator="containsText" text="X">
      <formula>NOT(ISERROR(SEARCH(("X"),(P22))))</formula>
    </cfRule>
    <cfRule type="containsText" dxfId="506" priority="80" operator="containsText" text="C">
      <formula>NOT(ISERROR(SEARCH(("C"),(P22))))</formula>
    </cfRule>
    <cfRule type="containsText" dxfId="505" priority="81" operator="containsText" text="P">
      <formula>NOT(ISERROR(SEARCH(("P"),(P22))))</formula>
    </cfRule>
    <cfRule type="containsText" dxfId="504" priority="82" operator="containsText" text="K">
      <formula>NOT(ISERROR(SEARCH(("K"),(P22))))</formula>
    </cfRule>
    <cfRule type="containsText" dxfId="503" priority="83" operator="containsText" text="X">
      <formula>NOT(ISERROR(SEARCH(("X"),(P22))))</formula>
    </cfRule>
    <cfRule type="containsText" dxfId="502" priority="84" operator="containsText" text="L">
      <formula>NOT(ISERROR(SEARCH(("L"),(P22))))</formula>
    </cfRule>
    <cfRule type="containsText" dxfId="501" priority="94" operator="containsText" text="C">
      <formula>NOT(ISERROR(SEARCH(("C"),(P22))))</formula>
    </cfRule>
    <cfRule type="containsText" dxfId="500" priority="95" operator="containsText" text="P">
      <formula>NOT(ISERROR(SEARCH(("P"),(P22))))</formula>
    </cfRule>
    <cfRule type="containsText" dxfId="499" priority="96" operator="containsText" text="K">
      <formula>NOT(ISERROR(SEARCH(("K"),(P22))))</formula>
    </cfRule>
    <cfRule type="containsText" dxfId="498" priority="98" operator="containsText" text="L">
      <formula>NOT(ISERROR(SEARCH(("L"),(P22))))</formula>
    </cfRule>
    <cfRule type="containsText" dxfId="497" priority="68" operator="containsText" text="K">
      <formula>NOT(ISERROR(SEARCH(("K"),(P22))))</formula>
    </cfRule>
    <cfRule type="containsText" dxfId="496" priority="93" operator="containsText" text="O">
      <formula>NOT(ISERROR(SEARCH(("O"),(P22))))</formula>
    </cfRule>
    <cfRule type="containsText" dxfId="495" priority="79" operator="containsText" text="O">
      <formula>NOT(ISERROR(SEARCH(("O"),(P22))))</formula>
    </cfRule>
    <cfRule type="containsText" dxfId="494" priority="74" operator="containsText" text="K">
      <formula>NOT(ISERROR(SEARCH(("K"),(P22))))</formula>
    </cfRule>
    <cfRule type="containsText" dxfId="493" priority="64" operator="containsText" text="N">
      <formula>NOT(ISERROR(SEARCH(("N"),(P22))))</formula>
    </cfRule>
    <cfRule type="containsText" dxfId="492" priority="65" operator="containsText" text="O">
      <formula>NOT(ISERROR(SEARCH(("O"),(P22))))</formula>
    </cfRule>
    <cfRule type="containsText" dxfId="491" priority="97" operator="containsText" text="X">
      <formula>NOT(ISERROR(SEARCH(("X"),(P22))))</formula>
    </cfRule>
  </conditionalFormatting>
  <conditionalFormatting sqref="R14">
    <cfRule type="containsText" dxfId="490" priority="344" operator="containsText" text="N">
      <formula>NOT(ISERROR(SEARCH(("N"),(R14))))</formula>
    </cfRule>
    <cfRule type="containsText" dxfId="489" priority="345" operator="containsText" text="O">
      <formula>NOT(ISERROR(SEARCH(("O"),(R14))))</formula>
    </cfRule>
    <cfRule type="containsText" dxfId="488" priority="347" operator="containsText" text="P">
      <formula>NOT(ISERROR(SEARCH(("P"),(R14))))</formula>
    </cfRule>
    <cfRule type="containsText" dxfId="487" priority="349" operator="containsText" text="X">
      <formula>NOT(ISERROR(SEARCH(("X"),(R14))))</formula>
    </cfRule>
    <cfRule type="containsText" dxfId="486" priority="348" operator="containsText" text="K">
      <formula>NOT(ISERROR(SEARCH(("K"),(R14))))</formula>
    </cfRule>
    <cfRule type="containsText" dxfId="485" priority="346" operator="containsText" text="C">
      <formula>NOT(ISERROR(SEARCH(("C"),(R14))))</formula>
    </cfRule>
  </conditionalFormatting>
  <conditionalFormatting sqref="R22">
    <cfRule type="containsText" dxfId="484" priority="88" operator="containsText" text="C">
      <formula>NOT(ISERROR(SEARCH(("C"),(R22))))</formula>
    </cfRule>
    <cfRule type="containsText" dxfId="483" priority="89" operator="containsText" text="P">
      <formula>NOT(ISERROR(SEARCH(("P"),(R22))))</formula>
    </cfRule>
    <cfRule type="containsText" dxfId="482" priority="91" operator="containsText" text="X">
      <formula>NOT(ISERROR(SEARCH(("X"),(R22))))</formula>
    </cfRule>
    <cfRule type="containsText" dxfId="481" priority="90" operator="containsText" text="K">
      <formula>NOT(ISERROR(SEARCH(("K"),(R22))))</formula>
    </cfRule>
    <cfRule type="containsText" dxfId="480" priority="86" operator="containsText" text="N">
      <formula>NOT(ISERROR(SEARCH(("N"),(R22))))</formula>
    </cfRule>
    <cfRule type="containsText" dxfId="479" priority="87" operator="containsText" text="O">
      <formula>NOT(ISERROR(SEARCH(("O"),(R22))))</formula>
    </cfRule>
  </conditionalFormatting>
  <conditionalFormatting sqref="S14">
    <cfRule type="containsText" dxfId="478" priority="384" operator="containsText" text="L">
      <formula>NOT(ISERROR(SEARCH(("L"),(S14))))</formula>
    </cfRule>
    <cfRule type="containsText" dxfId="477" priority="373" operator="containsText" text="O">
      <formula>NOT(ISERROR(SEARCH(("O"),(S14))))</formula>
    </cfRule>
    <cfRule type="containsText" dxfId="476" priority="374" operator="containsText" text="C">
      <formula>NOT(ISERROR(SEARCH(("C"),(S14))))</formula>
    </cfRule>
    <cfRule type="containsText" dxfId="475" priority="375" operator="containsText" text="P">
      <formula>NOT(ISERROR(SEARCH(("P"),(S14))))</formula>
    </cfRule>
    <cfRule type="containsText" dxfId="474" priority="377" operator="containsText" text="X">
      <formula>NOT(ISERROR(SEARCH(("X"),(S14))))</formula>
    </cfRule>
    <cfRule type="containsText" dxfId="473" priority="376" operator="containsText" text="K">
      <formula>NOT(ISERROR(SEARCH(("K"),(S14))))</formula>
    </cfRule>
    <cfRule type="containsText" dxfId="472" priority="372" operator="containsText" text="N">
      <formula>NOT(ISERROR(SEARCH(("N"),(S14))))</formula>
    </cfRule>
  </conditionalFormatting>
  <conditionalFormatting sqref="S20">
    <cfRule type="containsText" dxfId="471" priority="1031" operator="containsText" text="K">
      <formula>NOT(ISERROR(SEARCH(("K"),(S20))))</formula>
    </cfRule>
    <cfRule type="containsText" dxfId="470" priority="1030" operator="containsText" text="P">
      <formula>NOT(ISERROR(SEARCH(("P"),(S20))))</formula>
    </cfRule>
    <cfRule type="containsText" dxfId="469" priority="1032" operator="containsText" text="X">
      <formula>NOT(ISERROR(SEARCH(("X"),(S20))))</formula>
    </cfRule>
    <cfRule type="containsText" dxfId="468" priority="1033" operator="containsText" text="L">
      <formula>NOT(ISERROR(SEARCH(("L"),(S20))))</formula>
    </cfRule>
    <cfRule type="containsText" dxfId="467" priority="1034" operator="containsText" text="N">
      <formula>NOT(ISERROR(SEARCH(("N"),(S20))))</formula>
    </cfRule>
    <cfRule type="containsText" dxfId="466" priority="1029" operator="containsText" text="C">
      <formula>NOT(ISERROR(SEARCH(("C"),(S20))))</formula>
    </cfRule>
    <cfRule type="containsText" dxfId="465" priority="1028" operator="containsText" text="O">
      <formula>NOT(ISERROR(SEARCH(("O"),(S20))))</formula>
    </cfRule>
    <cfRule type="containsText" dxfId="464" priority="1027" operator="containsText" text="L">
      <formula>NOT(ISERROR(SEARCH(("L"),(S20))))</formula>
    </cfRule>
    <cfRule type="containsText" dxfId="463" priority="1026" operator="containsText" text="X">
      <formula>NOT(ISERROR(SEARCH(("X"),(S20))))</formula>
    </cfRule>
    <cfRule type="containsText" dxfId="462" priority="1025" operator="containsText" text="K">
      <formula>NOT(ISERROR(SEARCH(("K"),(S20))))</formula>
    </cfRule>
    <cfRule type="containsText" dxfId="461" priority="1024" operator="containsText" text="P">
      <formula>NOT(ISERROR(SEARCH(("P"),(S20))))</formula>
    </cfRule>
    <cfRule type="containsText" dxfId="460" priority="1023" operator="containsText" text="C">
      <formula>NOT(ISERROR(SEARCH(("C"),(S20))))</formula>
    </cfRule>
    <cfRule type="containsText" dxfId="459" priority="1022" operator="containsText" text="O">
      <formula>NOT(ISERROR(SEARCH(("O"),(S20))))</formula>
    </cfRule>
  </conditionalFormatting>
  <conditionalFormatting sqref="S20:T20">
    <cfRule type="containsText" dxfId="458" priority="1020" operator="containsText" text="N">
      <formula>NOT(ISERROR(SEARCH(("N"),(S20))))</formula>
    </cfRule>
  </conditionalFormatting>
  <conditionalFormatting sqref="T11:T14 W11:AA17">
    <cfRule type="containsText" dxfId="457" priority="339" operator="containsText" text="C">
      <formula>NOT(ISERROR(SEARCH(("C"),(T11))))</formula>
    </cfRule>
    <cfRule type="containsText" dxfId="456" priority="341" operator="containsText" text="K">
      <formula>NOT(ISERROR(SEARCH(("K"),(T11))))</formula>
    </cfRule>
    <cfRule type="containsText" dxfId="455" priority="338" operator="containsText" text="O">
      <formula>NOT(ISERROR(SEARCH(("O"),(T11))))</formula>
    </cfRule>
    <cfRule type="containsText" dxfId="454" priority="342" operator="containsText" text="X">
      <formula>NOT(ISERROR(SEARCH(("X"),(T11))))</formula>
    </cfRule>
    <cfRule type="containsText" dxfId="453" priority="343" operator="containsText" text="L">
      <formula>NOT(ISERROR(SEARCH(("L"),(T11))))</formula>
    </cfRule>
    <cfRule type="containsText" dxfId="452" priority="340" operator="containsText" text="P">
      <formula>NOT(ISERROR(SEARCH(("P"),(T11))))</formula>
    </cfRule>
  </conditionalFormatting>
  <conditionalFormatting sqref="T15:T17">
    <cfRule type="containsText" dxfId="451" priority="1282" operator="containsText" text="C">
      <formula>NOT(ISERROR(SEARCH(("C"),(T15))))</formula>
    </cfRule>
    <cfRule type="containsText" dxfId="450" priority="1281" operator="containsText" text="O">
      <formula>NOT(ISERROR(SEARCH(("O"),(T15))))</formula>
    </cfRule>
    <cfRule type="containsText" dxfId="449" priority="1283" operator="containsText" text="P">
      <formula>NOT(ISERROR(SEARCH(("P"),(T15))))</formula>
    </cfRule>
    <cfRule type="containsText" dxfId="448" priority="1284" operator="containsText" text="K">
      <formula>NOT(ISERROR(SEARCH(("K"),(T15))))</formula>
    </cfRule>
    <cfRule type="containsText" dxfId="447" priority="1280" operator="containsText" text="N">
      <formula>NOT(ISERROR(SEARCH(("N"),(T15))))</formula>
    </cfRule>
    <cfRule type="containsText" dxfId="446" priority="1285" operator="containsText" text="X">
      <formula>NOT(ISERROR(SEARCH(("X"),(T15))))</formula>
    </cfRule>
    <cfRule type="containsText" dxfId="445" priority="1286" operator="containsText" text="L">
      <formula>NOT(ISERROR(SEARCH(("L"),(T15))))</formula>
    </cfRule>
  </conditionalFormatting>
  <conditionalFormatting sqref="T20">
    <cfRule type="containsText" dxfId="444" priority="1007" operator="containsText" text="N">
      <formula>NOT(ISERROR(SEARCH(("N"),(T20))))</formula>
    </cfRule>
    <cfRule type="containsText" dxfId="443" priority="1019" operator="containsText" text="L">
      <formula>NOT(ISERROR(SEARCH(("L"),(T20))))</formula>
    </cfRule>
    <cfRule type="containsText" dxfId="442" priority="1018" operator="containsText" text="X">
      <formula>NOT(ISERROR(SEARCH(("X"),(T20))))</formula>
    </cfRule>
    <cfRule type="containsText" dxfId="441" priority="1017" operator="containsText" text="K">
      <formula>NOT(ISERROR(SEARCH(("K"),(T20))))</formula>
    </cfRule>
    <cfRule type="containsText" dxfId="440" priority="1016" operator="containsText" text="P">
      <formula>NOT(ISERROR(SEARCH(("P"),(T20))))</formula>
    </cfRule>
    <cfRule type="containsText" dxfId="439" priority="1015" operator="containsText" text="C">
      <formula>NOT(ISERROR(SEARCH(("C"),(T20))))</formula>
    </cfRule>
    <cfRule type="containsText" dxfId="438" priority="1014" operator="containsText" text="O">
      <formula>NOT(ISERROR(SEARCH(("O"),(T20))))</formula>
    </cfRule>
    <cfRule type="containsText" dxfId="437" priority="1013" operator="containsText" text="L">
      <formula>NOT(ISERROR(SEARCH(("L"),(T20))))</formula>
    </cfRule>
    <cfRule type="containsText" dxfId="436" priority="1012" operator="containsText" text="X">
      <formula>NOT(ISERROR(SEARCH(("X"),(T20))))</formula>
    </cfRule>
    <cfRule type="containsText" dxfId="435" priority="1011" operator="containsText" text="K">
      <formula>NOT(ISERROR(SEARCH(("K"),(T20))))</formula>
    </cfRule>
    <cfRule type="containsText" dxfId="434" priority="1010" operator="containsText" text="P">
      <formula>NOT(ISERROR(SEARCH(("P"),(T20))))</formula>
    </cfRule>
    <cfRule type="containsText" dxfId="433" priority="1009" operator="containsText" text="C">
      <formula>NOT(ISERROR(SEARCH(("C"),(T20))))</formula>
    </cfRule>
    <cfRule type="containsText" dxfId="432" priority="1008" operator="containsText" text="O">
      <formula>NOT(ISERROR(SEARCH(("O"),(T20))))</formula>
    </cfRule>
  </conditionalFormatting>
  <conditionalFormatting sqref="W22 Y22">
    <cfRule type="containsText" dxfId="431" priority="59" operator="containsText" text="P">
      <formula>NOT(ISERROR(SEARCH(("P"),(W22))))</formula>
    </cfRule>
    <cfRule type="containsText" dxfId="430" priority="57" operator="containsText" text="O">
      <formula>NOT(ISERROR(SEARCH(("O"),(W22))))</formula>
    </cfRule>
    <cfRule type="containsText" dxfId="429" priority="58" operator="containsText" text="C">
      <formula>NOT(ISERROR(SEARCH(("C"),(W22))))</formula>
    </cfRule>
    <cfRule type="containsText" dxfId="428" priority="60" operator="containsText" text="K">
      <formula>NOT(ISERROR(SEARCH(("K"),(W22))))</formula>
    </cfRule>
    <cfRule type="containsText" dxfId="427" priority="63" operator="containsText" text="N">
      <formula>NOT(ISERROR(SEARCH(("N"),(W22))))</formula>
    </cfRule>
    <cfRule type="containsText" dxfId="426" priority="62" operator="containsText" text="L">
      <formula>NOT(ISERROR(SEARCH(("L"),(W22))))</formula>
    </cfRule>
    <cfRule type="containsText" dxfId="425" priority="61" operator="containsText" text="X">
      <formula>NOT(ISERROR(SEARCH(("X"),(W22))))</formula>
    </cfRule>
  </conditionalFormatting>
  <conditionalFormatting sqref="I15:M15 P15:T15 T15:T22 W15:AA22 AD15:AH22 W11:AA13">
    <cfRule type="containsText" dxfId="424" priority="1179" operator="containsText" text="K">
      <formula>NOT(ISERROR(SEARCH(("K"),(I11))))</formula>
    </cfRule>
    <cfRule type="containsText" dxfId="423" priority="1180" operator="containsText" text="X">
      <formula>NOT(ISERROR(SEARCH(("X"),(I11))))</formula>
    </cfRule>
    <cfRule type="containsText" dxfId="422" priority="1178" operator="containsText" text="P">
      <formula>NOT(ISERROR(SEARCH(("P"),(I11))))</formula>
    </cfRule>
    <cfRule type="containsText" dxfId="421" priority="1181" operator="containsText" text="L">
      <formula>NOT(ISERROR(SEARCH(("L"),(I11))))</formula>
    </cfRule>
    <cfRule type="containsText" dxfId="420" priority="1177" operator="containsText" text="C">
      <formula>NOT(ISERROR(SEARCH(("C"),(I11))))</formula>
    </cfRule>
    <cfRule type="containsText" dxfId="419" priority="1176" operator="containsText" text="O">
      <formula>NOT(ISERROR(SEARCH(("O"),(I11))))</formula>
    </cfRule>
  </conditionalFormatting>
  <conditionalFormatting sqref="T11:T14 W11:AA17">
    <cfRule type="containsText" dxfId="418" priority="337" operator="containsText" text="N">
      <formula>NOT(ISERROR(SEARCH(("N"),(T11))))</formula>
    </cfRule>
  </conditionalFormatting>
  <conditionalFormatting sqref="W14:AA14">
    <cfRule type="containsText" dxfId="417" priority="331" operator="containsText" text="O">
      <formula>NOT(ISERROR(SEARCH(("O"),(W14))))</formula>
    </cfRule>
    <cfRule type="containsText" dxfId="416" priority="332" operator="containsText" text="C">
      <formula>NOT(ISERROR(SEARCH(("C"),(W14))))</formula>
    </cfRule>
    <cfRule type="containsText" dxfId="415" priority="334" operator="containsText" text="K">
      <formula>NOT(ISERROR(SEARCH(("K"),(W14))))</formula>
    </cfRule>
    <cfRule type="containsText" dxfId="414" priority="335" operator="containsText" text="X">
      <formula>NOT(ISERROR(SEARCH(("X"),(W14))))</formula>
    </cfRule>
    <cfRule type="containsText" dxfId="413" priority="306" operator="containsText" text="P">
      <formula>NOT(ISERROR(SEARCH(("P"),(W14))))</formula>
    </cfRule>
    <cfRule type="containsText" dxfId="412" priority="305" operator="containsText" text="C">
      <formula>NOT(ISERROR(SEARCH(("C"),(W14))))</formula>
    </cfRule>
    <cfRule type="containsText" dxfId="411" priority="304" operator="containsText" text="O">
      <formula>NOT(ISERROR(SEARCH(("O"),(W14))))</formula>
    </cfRule>
    <cfRule type="containsText" dxfId="410" priority="303" operator="containsText" text="N">
      <formula>NOT(ISERROR(SEARCH(("N"),(W14))))</formula>
    </cfRule>
    <cfRule type="containsText" dxfId="409" priority="309" operator="containsText" text="L">
      <formula>NOT(ISERROR(SEARCH(("L"),(W14))))</formula>
    </cfRule>
    <cfRule type="containsText" dxfId="408" priority="313" operator="containsText" text="P">
      <formula>NOT(ISERROR(SEARCH(("P"),(W14))))</formula>
    </cfRule>
    <cfRule type="containsText" dxfId="407" priority="333" operator="containsText" text="P">
      <formula>NOT(ISERROR(SEARCH(("P"),(W14))))</formula>
    </cfRule>
    <cfRule type="containsText" dxfId="406" priority="327" operator="containsText" text="K">
      <formula>NOT(ISERROR(SEARCH(("K"),(W14))))</formula>
    </cfRule>
    <cfRule type="containsText" dxfId="405" priority="311" operator="containsText" text="O">
      <formula>NOT(ISERROR(SEARCH(("O"),(W14))))</formula>
    </cfRule>
    <cfRule type="containsText" dxfId="404" priority="310" operator="containsText" text="N">
      <formula>NOT(ISERROR(SEARCH(("N"),(W14))))</formula>
    </cfRule>
    <cfRule type="containsText" dxfId="403" priority="308" operator="containsText" text="X">
      <formula>NOT(ISERROR(SEARCH(("X"),(W14))))</formula>
    </cfRule>
    <cfRule type="containsText" dxfId="402" priority="312" operator="containsText" text="C">
      <formula>NOT(ISERROR(SEARCH(("C"),(W14))))</formula>
    </cfRule>
    <cfRule type="containsText" dxfId="401" priority="314" operator="containsText" text="K">
      <formula>NOT(ISERROR(SEARCH(("K"),(W14))))</formula>
    </cfRule>
    <cfRule type="containsText" dxfId="400" priority="307" operator="containsText" text="K">
      <formula>NOT(ISERROR(SEARCH(("K"),(W14))))</formula>
    </cfRule>
    <cfRule type="containsText" dxfId="399" priority="328" operator="containsText" text="X">
      <formula>NOT(ISERROR(SEARCH(("X"),(W14))))</formula>
    </cfRule>
    <cfRule type="containsText" dxfId="398" priority="329" operator="containsText" text="L">
      <formula>NOT(ISERROR(SEARCH(("L"),(W14))))</formula>
    </cfRule>
    <cfRule type="containsText" dxfId="397" priority="330" operator="containsText" text="N">
      <formula>NOT(ISERROR(SEARCH(("N"),(W14))))</formula>
    </cfRule>
    <cfRule type="containsText" dxfId="396" priority="315" operator="containsText" text="X">
      <formula>NOT(ISERROR(SEARCH(("X"),(W14))))</formula>
    </cfRule>
    <cfRule type="containsText" dxfId="395" priority="316" operator="containsText" text="N">
      <formula>NOT(ISERROR(SEARCH(("N"),(W14))))</formula>
    </cfRule>
    <cfRule type="containsText" dxfId="394" priority="317" operator="containsText" text="O">
      <formula>NOT(ISERROR(SEARCH(("O"),(W14))))</formula>
    </cfRule>
    <cfRule type="containsText" dxfId="393" priority="318" operator="containsText" text="C">
      <formula>NOT(ISERROR(SEARCH(("C"),(W14))))</formula>
    </cfRule>
    <cfRule type="containsText" dxfId="392" priority="319" operator="containsText" text="P">
      <formula>NOT(ISERROR(SEARCH(("P"),(W14))))</formula>
    </cfRule>
    <cfRule type="containsText" dxfId="391" priority="320" operator="containsText" text="K">
      <formula>NOT(ISERROR(SEARCH(("K"),(W14))))</formula>
    </cfRule>
    <cfRule type="containsText" dxfId="390" priority="321" operator="containsText" text="X">
      <formula>NOT(ISERROR(SEARCH(("X"),(W14))))</formula>
    </cfRule>
    <cfRule type="containsText" dxfId="389" priority="322" operator="containsText" text="L">
      <formula>NOT(ISERROR(SEARCH(("L"),(W14))))</formula>
    </cfRule>
    <cfRule type="containsText" dxfId="388" priority="323" operator="containsText" text="N">
      <formula>NOT(ISERROR(SEARCH(("N"),(W14))))</formula>
    </cfRule>
    <cfRule type="containsText" dxfId="387" priority="324" operator="containsText" text="O">
      <formula>NOT(ISERROR(SEARCH(("O"),(W14))))</formula>
    </cfRule>
    <cfRule type="containsText" dxfId="386" priority="325" operator="containsText" text="C">
      <formula>NOT(ISERROR(SEARCH(("C"),(W14))))</formula>
    </cfRule>
    <cfRule type="containsText" dxfId="385" priority="326" operator="containsText" text="P">
      <formula>NOT(ISERROR(SEARCH(("P"),(W14))))</formula>
    </cfRule>
    <cfRule type="containsText" dxfId="384" priority="336" operator="containsText" text="L">
      <formula>NOT(ISERROR(SEARCH(("L"),(W14))))</formula>
    </cfRule>
  </conditionalFormatting>
  <conditionalFormatting sqref="W15:AA22 T15:T22 I15:M15 P15:T15 W11:AA13">
    <cfRule type="containsText" dxfId="383" priority="1175" operator="containsText" text="N">
      <formula>NOT(ISERROR(SEARCH(("N"),(I11))))</formula>
    </cfRule>
  </conditionalFormatting>
  <conditionalFormatting sqref="W18:AA22">
    <cfRule type="containsText" dxfId="382" priority="1151" operator="containsText" text="K">
      <formula>NOT(ISERROR(SEARCH(("K"),(W18))))</formula>
    </cfRule>
    <cfRule type="containsText" dxfId="381" priority="1152" operator="containsText" text="X">
      <formula>NOT(ISERROR(SEARCH(("X"),(W18))))</formula>
    </cfRule>
    <cfRule type="containsText" dxfId="380" priority="1153" operator="containsText" text="L">
      <formula>NOT(ISERROR(SEARCH(("L"),(W18))))</formula>
    </cfRule>
    <cfRule type="containsText" dxfId="379" priority="1149" operator="containsText" text="C">
      <formula>NOT(ISERROR(SEARCH(("C"),(W18))))</formula>
    </cfRule>
    <cfRule type="containsText" dxfId="378" priority="1132" operator="containsText" text="N">
      <formula>NOT(ISERROR(SEARCH(("N"),(W18))))</formula>
    </cfRule>
    <cfRule type="containsText" dxfId="377" priority="1148" operator="containsText" text="O">
      <formula>NOT(ISERROR(SEARCH(("O"),(W18))))</formula>
    </cfRule>
    <cfRule type="containsText" dxfId="376" priority="1150" operator="containsText" text="P">
      <formula>NOT(ISERROR(SEARCH(("P"),(W18))))</formula>
    </cfRule>
  </conditionalFormatting>
  <conditionalFormatting sqref="W19:AA19">
    <cfRule type="containsText" dxfId="375" priority="1128" operator="containsText" text="P">
      <formula>NOT(ISERROR(SEARCH(("P"),(W19))))</formula>
    </cfRule>
    <cfRule type="containsText" dxfId="374" priority="1127" operator="containsText" text="C">
      <formula>NOT(ISERROR(SEARCH(("C"),(W19))))</formula>
    </cfRule>
    <cfRule type="containsText" dxfId="373" priority="1126" operator="containsText" text="O">
      <formula>NOT(ISERROR(SEARCH(("O"),(W19))))</formula>
    </cfRule>
    <cfRule type="containsText" dxfId="372" priority="1131" operator="containsText" text="L">
      <formula>NOT(ISERROR(SEARCH(("L"),(W19))))</formula>
    </cfRule>
    <cfRule type="containsText" dxfId="371" priority="1130" operator="containsText" text="X">
      <formula>NOT(ISERROR(SEARCH(("X"),(W19))))</formula>
    </cfRule>
    <cfRule type="containsText" dxfId="370" priority="1129" operator="containsText" text="K">
      <formula>NOT(ISERROR(SEARCH(("K"),(W19))))</formula>
    </cfRule>
  </conditionalFormatting>
  <conditionalFormatting sqref="W19:AA20">
    <cfRule type="containsText" dxfId="369" priority="1006" operator="containsText" text="L">
      <formula>NOT(ISERROR(SEARCH(("L"),(W19))))</formula>
    </cfRule>
    <cfRule type="containsText" dxfId="368" priority="1001" operator="containsText" text="O">
      <formula>NOT(ISERROR(SEARCH(("O"),(W19))))</formula>
    </cfRule>
    <cfRule type="containsText" dxfId="367" priority="1005" operator="containsText" text="X">
      <formula>NOT(ISERROR(SEARCH(("X"),(W19))))</formula>
    </cfRule>
    <cfRule type="containsText" dxfId="366" priority="1004" operator="containsText" text="K">
      <formula>NOT(ISERROR(SEARCH(("K"),(W19))))</formula>
    </cfRule>
    <cfRule type="containsText" dxfId="365" priority="1003" operator="containsText" text="P">
      <formula>NOT(ISERROR(SEARCH(("P"),(W19))))</formula>
    </cfRule>
    <cfRule type="containsText" dxfId="364" priority="1002" operator="containsText" text="C">
      <formula>NOT(ISERROR(SEARCH(("C"),(W19))))</formula>
    </cfRule>
    <cfRule type="containsText" dxfId="363" priority="999" operator="containsText" text="N">
      <formula>NOT(ISERROR(SEARCH(("N"),(W19))))</formula>
    </cfRule>
  </conditionalFormatting>
  <conditionalFormatting sqref="W20:AA20">
    <cfRule type="containsText" dxfId="362" priority="998" operator="containsText" text="L">
      <formula>NOT(ISERROR(SEARCH(("L"),(W20))))</formula>
    </cfRule>
    <cfRule type="containsText" dxfId="361" priority="997" operator="containsText" text="X">
      <formula>NOT(ISERROR(SEARCH(("X"),(W20))))</formula>
    </cfRule>
    <cfRule type="containsText" dxfId="360" priority="996" operator="containsText" text="K">
      <formula>NOT(ISERROR(SEARCH(("K"),(W20))))</formula>
    </cfRule>
    <cfRule type="containsText" dxfId="359" priority="995" operator="containsText" text="P">
      <formula>NOT(ISERROR(SEARCH(("P"),(W20))))</formula>
    </cfRule>
    <cfRule type="containsText" dxfId="358" priority="994" operator="containsText" text="C">
      <formula>NOT(ISERROR(SEARCH(("C"),(W20))))</formula>
    </cfRule>
    <cfRule type="containsText" dxfId="357" priority="993" operator="containsText" text="O">
      <formula>NOT(ISERROR(SEARCH(("O"),(W20))))</formula>
    </cfRule>
  </conditionalFormatting>
  <conditionalFormatting sqref="W20:AA21">
    <cfRule type="containsText" dxfId="356" priority="857" operator="containsText" text="P">
      <formula>NOT(ISERROR(SEARCH(("P"),(W20))))</formula>
    </cfRule>
    <cfRule type="containsText" dxfId="355" priority="858" operator="containsText" text="K">
      <formula>NOT(ISERROR(SEARCH(("K"),(W20))))</formula>
    </cfRule>
    <cfRule type="containsText" dxfId="354" priority="859" operator="containsText" text="X">
      <formula>NOT(ISERROR(SEARCH(("X"),(W20))))</formula>
    </cfRule>
    <cfRule type="containsText" dxfId="353" priority="860" operator="containsText" text="L">
      <formula>NOT(ISERROR(SEARCH(("L"),(W20))))</formula>
    </cfRule>
    <cfRule type="containsText" dxfId="352" priority="853" operator="containsText" text="N">
      <formula>NOT(ISERROR(SEARCH(("N"),(W20))))</formula>
    </cfRule>
    <cfRule type="containsText" dxfId="351" priority="855" operator="containsText" text="O">
      <formula>NOT(ISERROR(SEARCH(("O"),(W20))))</formula>
    </cfRule>
    <cfRule type="containsText" dxfId="350" priority="856" operator="containsText" text="C">
      <formula>NOT(ISERROR(SEARCH(("C"),(W20))))</formula>
    </cfRule>
  </conditionalFormatting>
  <conditionalFormatting sqref="W21:AA21">
    <cfRule type="containsText" dxfId="349" priority="847" operator="containsText" text="O">
      <formula>NOT(ISERROR(SEARCH(("O"),(W21))))</formula>
    </cfRule>
    <cfRule type="containsText" dxfId="348" priority="851" operator="containsText" text="X">
      <formula>NOT(ISERROR(SEARCH(("X"),(W21))))</formula>
    </cfRule>
    <cfRule type="containsText" dxfId="347" priority="852" operator="containsText" text="L">
      <formula>NOT(ISERROR(SEARCH(("L"),(W21))))</formula>
    </cfRule>
    <cfRule type="containsText" dxfId="346" priority="850" operator="containsText" text="K">
      <formula>NOT(ISERROR(SEARCH(("K"),(W21))))</formula>
    </cfRule>
    <cfRule type="containsText" dxfId="345" priority="849" operator="containsText" text="P">
      <formula>NOT(ISERROR(SEARCH(("P"),(W21))))</formula>
    </cfRule>
    <cfRule type="containsText" dxfId="344" priority="848" operator="containsText" text="C">
      <formula>NOT(ISERROR(SEARCH(("C"),(W21))))</formula>
    </cfRule>
  </conditionalFormatting>
  <conditionalFormatting sqref="W21:AA22">
    <cfRule type="containsText" dxfId="343" priority="56" operator="containsText" text="L">
      <formula>NOT(ISERROR(SEARCH(("L"),(W21))))</formula>
    </cfRule>
    <cfRule type="containsText" dxfId="342" priority="54" operator="containsText" text="K">
      <formula>NOT(ISERROR(SEARCH(("K"),(W21))))</formula>
    </cfRule>
    <cfRule type="containsText" dxfId="341" priority="55" operator="containsText" text="X">
      <formula>NOT(ISERROR(SEARCH(("X"),(W21))))</formula>
    </cfRule>
    <cfRule type="containsText" dxfId="340" priority="50" operator="containsText" text="N">
      <formula>NOT(ISERROR(SEARCH(("N"),(W21))))</formula>
    </cfRule>
    <cfRule type="containsText" dxfId="339" priority="51" operator="containsText" text="O">
      <formula>NOT(ISERROR(SEARCH(("O"),(W21))))</formula>
    </cfRule>
    <cfRule type="containsText" dxfId="338" priority="52" operator="containsText" text="C">
      <formula>NOT(ISERROR(SEARCH(("C"),(W21))))</formula>
    </cfRule>
    <cfRule type="containsText" dxfId="337" priority="53" operator="containsText" text="P">
      <formula>NOT(ISERROR(SEARCH(("P"),(W21))))</formula>
    </cfRule>
  </conditionalFormatting>
  <conditionalFormatting sqref="W22:AA22">
    <cfRule type="containsText" dxfId="336" priority="27" operator="containsText" text="X">
      <formula>NOT(ISERROR(SEARCH(("X"),(W22))))</formula>
    </cfRule>
    <cfRule type="containsText" dxfId="335" priority="28" operator="containsText" text="L">
      <formula>NOT(ISERROR(SEARCH(("L"),(W22))))</formula>
    </cfRule>
    <cfRule type="containsText" dxfId="334" priority="29" operator="containsText" text="O">
      <formula>NOT(ISERROR(SEARCH(("O"),(W22))))</formula>
    </cfRule>
    <cfRule type="containsText" dxfId="333" priority="23" operator="containsText" text="O">
      <formula>NOT(ISERROR(SEARCH(("O"),(W22))))</formula>
    </cfRule>
    <cfRule type="containsText" dxfId="332" priority="30" operator="containsText" text="C">
      <formula>NOT(ISERROR(SEARCH(("C"),(W22))))</formula>
    </cfRule>
    <cfRule type="containsText" dxfId="331" priority="22" operator="containsText" text="N">
      <formula>NOT(ISERROR(SEARCH(("N"),(W22))))</formula>
    </cfRule>
    <cfRule type="containsText" dxfId="330" priority="24" operator="containsText" text="C">
      <formula>NOT(ISERROR(SEARCH(("C"),(W22))))</formula>
    </cfRule>
    <cfRule type="containsText" dxfId="329" priority="25" operator="containsText" text="P">
      <formula>NOT(ISERROR(SEARCH(("P"),(W22))))</formula>
    </cfRule>
    <cfRule type="containsText" dxfId="328" priority="26" operator="containsText" text="K">
      <formula>NOT(ISERROR(SEARCH(("K"),(W22))))</formula>
    </cfRule>
    <cfRule type="containsText" dxfId="327" priority="39" operator="containsText" text="P">
      <formula>NOT(ISERROR(SEARCH(("P"),(W22))))</formula>
    </cfRule>
    <cfRule type="containsText" dxfId="326" priority="32" operator="containsText" text="K">
      <formula>NOT(ISERROR(SEARCH(("K"),(W22))))</formula>
    </cfRule>
    <cfRule type="containsText" dxfId="325" priority="33" operator="containsText" text="X">
      <formula>NOT(ISERROR(SEARCH(("X"),(W22))))</formula>
    </cfRule>
    <cfRule type="containsText" dxfId="324" priority="34" operator="containsText" text="L">
      <formula>NOT(ISERROR(SEARCH(("L"),(W22))))</formula>
    </cfRule>
    <cfRule type="containsText" dxfId="323" priority="35" operator="containsText" text="N">
      <formula>NOT(ISERROR(SEARCH(("N"),(W22))))</formula>
    </cfRule>
    <cfRule type="containsText" dxfId="322" priority="37" operator="containsText" text="O">
      <formula>NOT(ISERROR(SEARCH(("O"),(W22))))</formula>
    </cfRule>
    <cfRule type="containsText" dxfId="321" priority="38" operator="containsText" text="C">
      <formula>NOT(ISERROR(SEARCH(("C"),(W22))))</formula>
    </cfRule>
    <cfRule type="containsText" dxfId="320" priority="40" operator="containsText" text="K">
      <formula>NOT(ISERROR(SEARCH(("K"),(W22))))</formula>
    </cfRule>
    <cfRule type="containsText" dxfId="319" priority="41" operator="containsText" text="X">
      <formula>NOT(ISERROR(SEARCH(("X"),(W22))))</formula>
    </cfRule>
    <cfRule type="containsText" dxfId="318" priority="42" operator="containsText" text="L">
      <formula>NOT(ISERROR(SEARCH(("L"),(W22))))</formula>
    </cfRule>
    <cfRule type="containsText" dxfId="317" priority="31" operator="containsText" text="P">
      <formula>NOT(ISERROR(SEARCH(("P"),(W22))))</formula>
    </cfRule>
  </conditionalFormatting>
  <conditionalFormatting sqref="Y22">
    <cfRule type="containsText" dxfId="316" priority="49" operator="containsText" text="X">
      <formula>NOT(ISERROR(SEARCH(("X"),(Y22))))</formula>
    </cfRule>
    <cfRule type="containsText" dxfId="315" priority="44" operator="containsText" text="N">
      <formula>NOT(ISERROR(SEARCH(("N"),(Y22))))</formula>
    </cfRule>
    <cfRule type="containsText" dxfId="314" priority="45" operator="containsText" text="O">
      <formula>NOT(ISERROR(SEARCH(("O"),(Y22))))</formula>
    </cfRule>
    <cfRule type="containsText" dxfId="313" priority="46" operator="containsText" text="C">
      <formula>NOT(ISERROR(SEARCH(("C"),(Y22))))</formula>
    </cfRule>
    <cfRule type="containsText" dxfId="312" priority="47" operator="containsText" text="P">
      <formula>NOT(ISERROR(SEARCH(("P"),(Y22))))</formula>
    </cfRule>
    <cfRule type="containsText" dxfId="311" priority="48" operator="containsText" text="K">
      <formula>NOT(ISERROR(SEARCH(("K"),(Y22))))</formula>
    </cfRule>
  </conditionalFormatting>
  <conditionalFormatting sqref="AD22">
    <cfRule type="containsText" dxfId="310" priority="1" operator="containsText" text="N">
      <formula>NOT(ISERROR(SEARCH(("N"),(AD22))))</formula>
    </cfRule>
    <cfRule type="containsText" dxfId="309" priority="2" operator="containsText" text="O">
      <formula>NOT(ISERROR(SEARCH(("O"),(AD22))))</formula>
    </cfRule>
    <cfRule type="containsText" dxfId="308" priority="10" operator="containsText" text="P">
      <formula>NOT(ISERROR(SEARCH(("P"),(AD22))))</formula>
    </cfRule>
    <cfRule type="containsText" dxfId="307" priority="8" operator="containsText" text="O">
      <formula>NOT(ISERROR(SEARCH(("O"),(AD22))))</formula>
    </cfRule>
    <cfRule type="containsText" dxfId="306" priority="7" operator="containsText" text="L">
      <formula>NOT(ISERROR(SEARCH(("L"),(AD22))))</formula>
    </cfRule>
    <cfRule type="containsText" dxfId="305" priority="6" operator="containsText" text="X">
      <formula>NOT(ISERROR(SEARCH(("X"),(AD22))))</formula>
    </cfRule>
    <cfRule type="containsText" dxfId="304" priority="5" operator="containsText" text="K">
      <formula>NOT(ISERROR(SEARCH(("K"),(AD22))))</formula>
    </cfRule>
    <cfRule type="containsText" dxfId="303" priority="4" operator="containsText" text="P">
      <formula>NOT(ISERROR(SEARCH(("P"),(AD22))))</formula>
    </cfRule>
    <cfRule type="containsText" dxfId="302" priority="12" operator="containsText" text="X">
      <formula>NOT(ISERROR(SEARCH(("X"),(AD22))))</formula>
    </cfRule>
    <cfRule type="containsText" dxfId="301" priority="9" operator="containsText" text="C">
      <formula>NOT(ISERROR(SEARCH(("C"),(AD22))))</formula>
    </cfRule>
    <cfRule type="containsText" dxfId="300" priority="13" operator="containsText" text="L">
      <formula>NOT(ISERROR(SEARCH(("L"),(AD22))))</formula>
    </cfRule>
    <cfRule type="containsText" dxfId="299" priority="11" operator="containsText" text="K">
      <formula>NOT(ISERROR(SEARCH(("K"),(AD22))))</formula>
    </cfRule>
    <cfRule type="containsText" dxfId="298" priority="3" operator="containsText" text="C">
      <formula>NOT(ISERROR(SEARCH(("C"),(AD22))))</formula>
    </cfRule>
  </conditionalFormatting>
  <conditionalFormatting sqref="AD14:AG14">
    <cfRule type="containsText" dxfId="297" priority="360" operator="containsText" text="C">
      <formula>NOT(ISERROR(SEARCH(("C"),(AD14))))</formula>
    </cfRule>
    <cfRule type="containsText" dxfId="296" priority="361" operator="containsText" text="P">
      <formula>NOT(ISERROR(SEARCH(("P"),(AD14))))</formula>
    </cfRule>
    <cfRule type="containsText" dxfId="295" priority="362" operator="containsText" text="K">
      <formula>NOT(ISERROR(SEARCH(("K"),(AD14))))</formula>
    </cfRule>
    <cfRule type="containsText" dxfId="294" priority="363" operator="containsText" text="X">
      <formula>NOT(ISERROR(SEARCH(("X"),(AD14))))</formula>
    </cfRule>
    <cfRule type="containsText" dxfId="293" priority="364" operator="containsText" text="L">
      <formula>NOT(ISERROR(SEARCH(("L"),(AD14))))</formula>
    </cfRule>
    <cfRule type="containsText" dxfId="292" priority="365" operator="containsText" text="N">
      <formula>NOT(ISERROR(SEARCH(("N"),(AD14))))</formula>
    </cfRule>
    <cfRule type="containsText" dxfId="291" priority="366" operator="containsText" text="O">
      <formula>NOT(ISERROR(SEARCH(("O"),(AD14))))</formula>
    </cfRule>
    <cfRule type="containsText" dxfId="290" priority="367" operator="containsText" text="C">
      <formula>NOT(ISERROR(SEARCH(("C"),(AD14))))</formula>
    </cfRule>
    <cfRule type="containsText" dxfId="289" priority="368" operator="containsText" text="P">
      <formula>NOT(ISERROR(SEARCH(("P"),(AD14))))</formula>
    </cfRule>
    <cfRule type="containsText" dxfId="288" priority="369" operator="containsText" text="K">
      <formula>NOT(ISERROR(SEARCH(("K"),(AD14))))</formula>
    </cfRule>
    <cfRule type="containsText" dxfId="287" priority="370" operator="containsText" text="X">
      <formula>NOT(ISERROR(SEARCH(("X"),(AD14))))</formula>
    </cfRule>
    <cfRule type="containsText" dxfId="286" priority="371" operator="containsText" text="L">
      <formula>NOT(ISERROR(SEARCH(("L"),(AD14))))</formula>
    </cfRule>
    <cfRule type="containsText" dxfId="285" priority="352" operator="containsText" text="N">
      <formula>NOT(ISERROR(SEARCH(("N"),(AD14))))</formula>
    </cfRule>
    <cfRule type="containsText" dxfId="284" priority="351" operator="containsText" text="L">
      <formula>NOT(ISERROR(SEARCH(("L"),(AD14))))</formula>
    </cfRule>
    <cfRule type="containsText" dxfId="283" priority="353" operator="containsText" text="O">
      <formula>NOT(ISERROR(SEARCH(("O"),(AD14))))</formula>
    </cfRule>
    <cfRule type="containsText" dxfId="282" priority="354" operator="containsText" text="C">
      <formula>NOT(ISERROR(SEARCH(("C"),(AD14))))</formula>
    </cfRule>
    <cfRule type="containsText" dxfId="281" priority="355" operator="containsText" text="P">
      <formula>NOT(ISERROR(SEARCH(("P"),(AD14))))</formula>
    </cfRule>
    <cfRule type="containsText" dxfId="280" priority="356" operator="containsText" text="K">
      <formula>NOT(ISERROR(SEARCH(("K"),(AD14))))</formula>
    </cfRule>
    <cfRule type="containsText" dxfId="279" priority="357" operator="containsText" text="X">
      <formula>NOT(ISERROR(SEARCH(("X"),(AD14))))</formula>
    </cfRule>
    <cfRule type="containsText" dxfId="278" priority="358" operator="containsText" text="N">
      <formula>NOT(ISERROR(SEARCH(("N"),(AD14))))</formula>
    </cfRule>
    <cfRule type="containsText" dxfId="277" priority="359" operator="containsText" text="O">
      <formula>NOT(ISERROR(SEARCH(("O"),(AD14))))</formula>
    </cfRule>
  </conditionalFormatting>
  <conditionalFormatting sqref="AD11:AH14">
    <cfRule type="containsText" dxfId="276" priority="410" operator="containsText" text="X">
      <formula>NOT(ISERROR(SEARCH(("X"),(AD11))))</formula>
    </cfRule>
    <cfRule type="containsText" dxfId="275" priority="406" operator="containsText" text="O">
      <formula>NOT(ISERROR(SEARCH(("O"),(AD11))))</formula>
    </cfRule>
    <cfRule type="containsText" dxfId="274" priority="411" operator="containsText" text="L">
      <formula>NOT(ISERROR(SEARCH(("L"),(AD11))))</formula>
    </cfRule>
    <cfRule type="containsText" dxfId="273" priority="409" operator="containsText" text="K">
      <formula>NOT(ISERROR(SEARCH(("K"),(AD11))))</formula>
    </cfRule>
    <cfRule type="containsText" dxfId="272" priority="405" operator="containsText" text="N">
      <formula>NOT(ISERROR(SEARCH(("N"),(AD11))))</formula>
    </cfRule>
    <cfRule type="containsText" dxfId="271" priority="407" operator="containsText" text="C">
      <formula>NOT(ISERROR(SEARCH(("C"),(AD11))))</formula>
    </cfRule>
    <cfRule type="containsText" dxfId="270" priority="408" operator="containsText" text="P">
      <formula>NOT(ISERROR(SEARCH(("P"),(AD11))))</formula>
    </cfRule>
  </conditionalFormatting>
  <conditionalFormatting sqref="AD15:AH22">
    <cfRule type="containsText" dxfId="269" priority="1118" operator="containsText" text="N">
      <formula>NOT(ISERROR(SEARCH(("N"),(AD15))))</formula>
    </cfRule>
  </conditionalFormatting>
  <conditionalFormatting sqref="AD19:AH19">
    <cfRule type="containsText" dxfId="268" priority="1115" operator="containsText" text="K">
      <formula>NOT(ISERROR(SEARCH(("K"),(AD19))))</formula>
    </cfRule>
    <cfRule type="containsText" dxfId="267" priority="1117" operator="containsText" text="L">
      <formula>NOT(ISERROR(SEARCH(("L"),(AD19))))</formula>
    </cfRule>
    <cfRule type="containsText" dxfId="266" priority="1112" operator="containsText" text="O">
      <formula>NOT(ISERROR(SEARCH(("O"),(AD19))))</formula>
    </cfRule>
    <cfRule type="containsText" dxfId="265" priority="1113" operator="containsText" text="C">
      <formula>NOT(ISERROR(SEARCH(("C"),(AD19))))</formula>
    </cfRule>
    <cfRule type="containsText" dxfId="264" priority="1116" operator="containsText" text="X">
      <formula>NOT(ISERROR(SEARCH(("X"),(AD19))))</formula>
    </cfRule>
    <cfRule type="containsText" dxfId="263" priority="1114" operator="containsText" text="P">
      <formula>NOT(ISERROR(SEARCH(("P"),(AD19))))</formula>
    </cfRule>
  </conditionalFormatting>
  <conditionalFormatting sqref="AD19:AH20">
    <cfRule type="containsText" dxfId="262" priority="985" operator="containsText" text="L">
      <formula>NOT(ISERROR(SEARCH(("L"),(AD19))))</formula>
    </cfRule>
    <cfRule type="containsText" dxfId="261" priority="984" operator="containsText" text="X">
      <formula>NOT(ISERROR(SEARCH(("X"),(AD19))))</formula>
    </cfRule>
    <cfRule type="containsText" dxfId="260" priority="983" operator="containsText" text="K">
      <formula>NOT(ISERROR(SEARCH(("K"),(AD19))))</formula>
    </cfRule>
    <cfRule type="containsText" dxfId="259" priority="982" operator="containsText" text="P">
      <formula>NOT(ISERROR(SEARCH(("P"),(AD19))))</formula>
    </cfRule>
    <cfRule type="containsText" dxfId="258" priority="980" operator="containsText" text="O">
      <formula>NOT(ISERROR(SEARCH(("O"),(AD19))))</formula>
    </cfRule>
    <cfRule type="containsText" dxfId="257" priority="978" operator="containsText" text="N">
      <formula>NOT(ISERROR(SEARCH(("N"),(AD19))))</formula>
    </cfRule>
    <cfRule type="containsText" dxfId="256" priority="981" operator="containsText" text="C">
      <formula>NOT(ISERROR(SEARCH(("C"),(AD19))))</formula>
    </cfRule>
  </conditionalFormatting>
  <conditionalFormatting sqref="AD20:AH20">
    <cfRule type="containsText" dxfId="255" priority="977" operator="containsText" text="L">
      <formula>NOT(ISERROR(SEARCH(("L"),(AD20))))</formula>
    </cfRule>
    <cfRule type="containsText" dxfId="254" priority="976" operator="containsText" text="X">
      <formula>NOT(ISERROR(SEARCH(("X"),(AD20))))</formula>
    </cfRule>
    <cfRule type="containsText" dxfId="253" priority="974" operator="containsText" text="P">
      <formula>NOT(ISERROR(SEARCH(("P"),(AD20))))</formula>
    </cfRule>
    <cfRule type="containsText" dxfId="252" priority="972" operator="containsText" text="O">
      <formula>NOT(ISERROR(SEARCH(("O"),(AD20))))</formula>
    </cfRule>
    <cfRule type="containsText" dxfId="251" priority="975" operator="containsText" text="K">
      <formula>NOT(ISERROR(SEARCH(("K"),(AD20))))</formula>
    </cfRule>
    <cfRule type="containsText" dxfId="250" priority="973" operator="containsText" text="C">
      <formula>NOT(ISERROR(SEARCH(("C"),(AD20))))</formula>
    </cfRule>
  </conditionalFormatting>
  <conditionalFormatting sqref="AD20:AH21">
    <cfRule type="containsText" dxfId="249" priority="834" operator="containsText" text="O">
      <formula>NOT(ISERROR(SEARCH(("O"),(AD20))))</formula>
    </cfRule>
    <cfRule type="containsText" dxfId="248" priority="832" operator="containsText" text="N">
      <formula>NOT(ISERROR(SEARCH(("N"),(AD20))))</formula>
    </cfRule>
    <cfRule type="containsText" dxfId="247" priority="839" operator="containsText" text="L">
      <formula>NOT(ISERROR(SEARCH(("L"),(AD20))))</formula>
    </cfRule>
    <cfRule type="containsText" dxfId="246" priority="838" operator="containsText" text="X">
      <formula>NOT(ISERROR(SEARCH(("X"),(AD20))))</formula>
    </cfRule>
    <cfRule type="containsText" dxfId="245" priority="837" operator="containsText" text="K">
      <formula>NOT(ISERROR(SEARCH(("K"),(AD20))))</formula>
    </cfRule>
    <cfRule type="containsText" dxfId="244" priority="836" operator="containsText" text="P">
      <formula>NOT(ISERROR(SEARCH(("P"),(AD20))))</formula>
    </cfRule>
    <cfRule type="containsText" dxfId="243" priority="835" operator="containsText" text="C">
      <formula>NOT(ISERROR(SEARCH(("C"),(AD20))))</formula>
    </cfRule>
  </conditionalFormatting>
  <conditionalFormatting sqref="AD21:AH21">
    <cfRule type="containsText" dxfId="242" priority="831" operator="containsText" text="L">
      <formula>NOT(ISERROR(SEARCH(("L"),(AD21))))</formula>
    </cfRule>
    <cfRule type="containsText" dxfId="241" priority="826" operator="containsText" text="O">
      <formula>NOT(ISERROR(SEARCH(("O"),(AD21))))</formula>
    </cfRule>
    <cfRule type="containsText" dxfId="240" priority="827" operator="containsText" text="C">
      <formula>NOT(ISERROR(SEARCH(("C"),(AD21))))</formula>
    </cfRule>
    <cfRule type="containsText" dxfId="239" priority="828" operator="containsText" text="P">
      <formula>NOT(ISERROR(SEARCH(("P"),(AD21))))</formula>
    </cfRule>
    <cfRule type="containsText" dxfId="238" priority="829" operator="containsText" text="K">
      <formula>NOT(ISERROR(SEARCH(("K"),(AD21))))</formula>
    </cfRule>
    <cfRule type="containsText" dxfId="237" priority="830" operator="containsText" text="X">
      <formula>NOT(ISERROR(SEARCH(("X"),(AD21))))</formula>
    </cfRule>
  </conditionalFormatting>
  <conditionalFormatting sqref="AD21:AH22">
    <cfRule type="containsText" dxfId="236" priority="14" operator="containsText" text="N">
      <formula>NOT(ISERROR(SEARCH(("N"),(AD21))))</formula>
    </cfRule>
    <cfRule type="containsText" dxfId="235" priority="16" operator="containsText" text="O">
      <formula>NOT(ISERROR(SEARCH(("O"),(AD21))))</formula>
    </cfRule>
    <cfRule type="containsText" dxfId="234" priority="21" operator="containsText" text="L">
      <formula>NOT(ISERROR(SEARCH(("L"),(AD21))))</formula>
    </cfRule>
    <cfRule type="containsText" dxfId="233" priority="20" operator="containsText" text="X">
      <formula>NOT(ISERROR(SEARCH(("X"),(AD21))))</formula>
    </cfRule>
    <cfRule type="containsText" dxfId="232" priority="19" operator="containsText" text="K">
      <formula>NOT(ISERROR(SEARCH(("K"),(AD21))))</formula>
    </cfRule>
    <cfRule type="containsText" dxfId="231" priority="18" operator="containsText" text="P">
      <formula>NOT(ISERROR(SEARCH(("P"),(AD21))))</formula>
    </cfRule>
    <cfRule type="containsText" dxfId="230" priority="17" operator="containsText" text="C">
      <formula>NOT(ISERROR(SEARCH(("C"),(AD21))))</formula>
    </cfRule>
  </conditionalFormatting>
  <conditionalFormatting sqref="AE22:AH22">
    <cfRule type="containsText" dxfId="229" priority="789" operator="containsText" text="X">
      <formula>NOT(ISERROR(SEARCH(("X"),(AE22))))</formula>
    </cfRule>
    <cfRule type="containsText" dxfId="228" priority="788" operator="containsText" text="K">
      <formula>NOT(ISERROR(SEARCH(("K"),(AE22))))</formula>
    </cfRule>
    <cfRule type="containsText" dxfId="227" priority="787" operator="containsText" text="P">
      <formula>NOT(ISERROR(SEARCH(("P"),(AE22))))</formula>
    </cfRule>
    <cfRule type="containsText" dxfId="226" priority="797" operator="containsText" text="N">
      <formula>NOT(ISERROR(SEARCH(("N"),(AE22))))</formula>
    </cfRule>
    <cfRule type="containsText" dxfId="225" priority="786" operator="containsText" text="C">
      <formula>NOT(ISERROR(SEARCH(("C"),(AE22))))</formula>
    </cfRule>
    <cfRule type="containsText" dxfId="224" priority="794" operator="containsText" text="K">
      <formula>NOT(ISERROR(SEARCH(("K"),(AE22))))</formula>
    </cfRule>
    <cfRule type="containsText" dxfId="223" priority="783" operator="containsText" text="N">
      <formula>NOT(ISERROR(SEARCH(("N"),(AE22))))</formula>
    </cfRule>
    <cfRule type="containsText" dxfId="222" priority="782" operator="containsText" text="L">
      <formula>NOT(ISERROR(SEARCH(("L"),(AE22))))</formula>
    </cfRule>
    <cfRule type="containsText" dxfId="221" priority="796" operator="containsText" text="L">
      <formula>NOT(ISERROR(SEARCH(("L"),(AE22))))</formula>
    </cfRule>
    <cfRule type="containsText" dxfId="220" priority="795" operator="containsText" text="X">
      <formula>NOT(ISERROR(SEARCH(("X"),(AE22))))</formula>
    </cfRule>
    <cfRule type="containsText" dxfId="219" priority="777" operator="containsText" text="O">
      <formula>NOT(ISERROR(SEARCH(("O"),(AE22))))</formula>
    </cfRule>
    <cfRule type="containsText" dxfId="218" priority="781" operator="containsText" text="X">
      <formula>NOT(ISERROR(SEARCH(("X"),(AE22))))</formula>
    </cfRule>
    <cfRule type="containsText" dxfId="217" priority="792" operator="containsText" text="C">
      <formula>NOT(ISERROR(SEARCH(("C"),(AE22))))</formula>
    </cfRule>
    <cfRule type="containsText" dxfId="216" priority="785" operator="containsText" text="O">
      <formula>NOT(ISERROR(SEARCH(("O"),(AE22))))</formula>
    </cfRule>
    <cfRule type="containsText" dxfId="215" priority="791" operator="containsText" text="O">
      <formula>NOT(ISERROR(SEARCH(("O"),(AE22))))</formula>
    </cfRule>
    <cfRule type="containsText" dxfId="214" priority="790" operator="containsText" text="L">
      <formula>NOT(ISERROR(SEARCH(("L"),(AE22))))</formula>
    </cfRule>
    <cfRule type="containsText" dxfId="213" priority="780" operator="containsText" text="K">
      <formula>NOT(ISERROR(SEARCH(("K"),(AE22))))</formula>
    </cfRule>
    <cfRule type="containsText" dxfId="212" priority="793" operator="containsText" text="P">
      <formula>NOT(ISERROR(SEARCH(("P"),(AE22))))</formula>
    </cfRule>
    <cfRule type="containsText" dxfId="211" priority="778" operator="containsText" text="C">
      <formula>NOT(ISERROR(SEARCH(("C"),(AE22))))</formula>
    </cfRule>
    <cfRule type="containsText" dxfId="210" priority="779" operator="containsText" text="P">
      <formula>NOT(ISERROR(SEARCH(("P"),(AE22))))</formula>
    </cfRule>
  </conditionalFormatting>
  <conditionalFormatting sqref="AK11:AL12">
    <cfRule type="containsText" dxfId="209" priority="1097" operator="containsText" text="N">
      <formula>NOT(ISERROR(SEARCH(("N"),(AK11))))</formula>
    </cfRule>
    <cfRule type="containsText" dxfId="208" priority="936" operator="containsText" text="N">
      <formula>NOT(ISERROR(SEARCH(("N"),(AK11))))</formula>
    </cfRule>
    <cfRule type="containsText" dxfId="207" priority="938" operator="containsText" text="O">
      <formula>NOT(ISERROR(SEARCH(("O"),(AK11))))</formula>
    </cfRule>
    <cfRule type="containsText" dxfId="206" priority="939" operator="containsText" text="C">
      <formula>NOT(ISERROR(SEARCH(("C"),(AK11))))</formula>
    </cfRule>
    <cfRule type="containsText" dxfId="205" priority="940" operator="containsText" text="P">
      <formula>NOT(ISERROR(SEARCH(("P"),(AK11))))</formula>
    </cfRule>
    <cfRule type="containsText" dxfId="204" priority="941" operator="containsText" text="K">
      <formula>NOT(ISERROR(SEARCH(("K"),(AK11))))</formula>
    </cfRule>
    <cfRule type="containsText" dxfId="203" priority="942" operator="containsText" text="X">
      <formula>NOT(ISERROR(SEARCH(("X"),(AK11))))</formula>
    </cfRule>
    <cfRule type="containsText" dxfId="202" priority="943" operator="containsText" text="L">
      <formula>NOT(ISERROR(SEARCH(("L"),(AK11))))</formula>
    </cfRule>
  </conditionalFormatting>
  <conditionalFormatting sqref="AK11:AL13">
    <cfRule type="containsText" dxfId="201" priority="1095" operator="containsText" text="X">
      <formula>NOT(ISERROR(SEARCH(("X"),(AK11))))</formula>
    </cfRule>
    <cfRule type="containsText" dxfId="200" priority="1096" operator="containsText" text="L">
      <formula>NOT(ISERROR(SEARCH(("L"),(AK11))))</formula>
    </cfRule>
    <cfRule type="containsText" dxfId="199" priority="1094" operator="containsText" text="K">
      <formula>NOT(ISERROR(SEARCH(("K"),(AK11))))</formula>
    </cfRule>
    <cfRule type="containsText" dxfId="198" priority="1092" operator="containsText" text="C">
      <formula>NOT(ISERROR(SEARCH(("C"),(AK11))))</formula>
    </cfRule>
    <cfRule type="containsText" dxfId="197" priority="1091" operator="containsText" text="O">
      <formula>NOT(ISERROR(SEARCH(("O"),(AK11))))</formula>
    </cfRule>
    <cfRule type="containsText" dxfId="196" priority="1093" operator="containsText" text="P">
      <formula>NOT(ISERROR(SEARCH(("P"),(AK11))))</formula>
    </cfRule>
  </conditionalFormatting>
  <conditionalFormatting sqref="AK12:AL12">
    <cfRule type="containsText" dxfId="195" priority="1429" operator="containsText" text="C">
      <formula>NOT(ISERROR(SEARCH(("C"),(AK12))))</formula>
    </cfRule>
    <cfRule type="containsText" dxfId="194" priority="1430" operator="containsText" text="P">
      <formula>NOT(ISERROR(SEARCH(("P"),(AK12))))</formula>
    </cfRule>
    <cfRule type="containsText" dxfId="193" priority="1431" operator="containsText" text="K">
      <formula>NOT(ISERROR(SEARCH(("K"),(AK12))))</formula>
    </cfRule>
    <cfRule type="containsText" dxfId="192" priority="1432" operator="containsText" text="X">
      <formula>NOT(ISERROR(SEARCH(("X"),(AK12))))</formula>
    </cfRule>
    <cfRule type="containsText" dxfId="191" priority="1433" operator="containsText" text="L">
      <formula>NOT(ISERROR(SEARCH(("L"),(AK12))))</formula>
    </cfRule>
    <cfRule type="containsText" dxfId="190" priority="931" operator="containsText" text="C">
      <formula>NOT(ISERROR(SEARCH(("C"),(AK12))))</formula>
    </cfRule>
    <cfRule type="containsText" dxfId="189" priority="932" operator="containsText" text="P">
      <formula>NOT(ISERROR(SEARCH(("P"),(AK12))))</formula>
    </cfRule>
    <cfRule type="containsText" dxfId="188" priority="933" operator="containsText" text="K">
      <formula>NOT(ISERROR(SEARCH(("K"),(AK12))))</formula>
    </cfRule>
    <cfRule type="containsText" dxfId="187" priority="934" operator="containsText" text="X">
      <formula>NOT(ISERROR(SEARCH(("X"),(AK12))))</formula>
    </cfRule>
    <cfRule type="containsText" dxfId="186" priority="935" operator="containsText" text="L">
      <formula>NOT(ISERROR(SEARCH(("L"),(AK12))))</formula>
    </cfRule>
    <cfRule type="containsText" dxfId="185" priority="930" operator="containsText" text="O">
      <formula>NOT(ISERROR(SEARCH(("O"),(AK12))))</formula>
    </cfRule>
    <cfRule type="containsText" dxfId="184" priority="1428" operator="containsText" text="O">
      <formula>NOT(ISERROR(SEARCH(("O"),(AK12))))</formula>
    </cfRule>
  </conditionalFormatting>
  <conditionalFormatting sqref="AK12:AL13">
    <cfRule type="containsText" dxfId="183" priority="742" operator="containsText" text="O">
      <formula>NOT(ISERROR(SEARCH(("O"),(AK12))))</formula>
    </cfRule>
    <cfRule type="containsText" dxfId="182" priority="744" operator="containsText" text="P">
      <formula>NOT(ISERROR(SEARCH(("P"),(AK12))))</formula>
    </cfRule>
    <cfRule type="containsText" dxfId="181" priority="741" operator="containsText" text="N">
      <formula>NOT(ISERROR(SEARCH(("N"),(AK12))))</formula>
    </cfRule>
    <cfRule type="containsText" dxfId="180" priority="745" operator="containsText" text="K">
      <formula>NOT(ISERROR(SEARCH(("K"),(AK12))))</formula>
    </cfRule>
    <cfRule type="containsText" dxfId="179" priority="747" operator="containsText" text="L">
      <formula>NOT(ISERROR(SEARCH(("L"),(AK12))))</formula>
    </cfRule>
    <cfRule type="containsText" dxfId="178" priority="746" operator="containsText" text="X">
      <formula>NOT(ISERROR(SEARCH(("X"),(AK12))))</formula>
    </cfRule>
    <cfRule type="containsText" dxfId="177" priority="743" operator="containsText" text="C">
      <formula>NOT(ISERROR(SEARCH(("C"),(AK12))))</formula>
    </cfRule>
  </conditionalFormatting>
  <conditionalFormatting sqref="AK13:AL13">
    <cfRule type="containsText" dxfId="176" priority="731" operator="containsText" text="X">
      <formula>NOT(ISERROR(SEARCH(("X"),(AK13))))</formula>
    </cfRule>
    <cfRule type="containsText" dxfId="175" priority="725" operator="containsText" text="X">
      <formula>NOT(ISERROR(SEARCH(("X"),(AK13))))</formula>
    </cfRule>
    <cfRule type="containsText" dxfId="174" priority="724" operator="containsText" text="K">
      <formula>NOT(ISERROR(SEARCH(("K"),(AK13))))</formula>
    </cfRule>
    <cfRule type="containsText" dxfId="173" priority="723" operator="containsText" text="P">
      <formula>NOT(ISERROR(SEARCH(("P"),(AK13))))</formula>
    </cfRule>
    <cfRule type="containsText" dxfId="172" priority="722" operator="containsText" text="C">
      <formula>NOT(ISERROR(SEARCH(("C"),(AK13))))</formula>
    </cfRule>
    <cfRule type="containsText" dxfId="171" priority="736" operator="containsText" text="C">
      <formula>NOT(ISERROR(SEARCH(("C"),(AK13))))</formula>
    </cfRule>
    <cfRule type="containsText" dxfId="170" priority="733" operator="containsText" text="N">
      <formula>NOT(ISERROR(SEARCH(("N"),(AK13))))</formula>
    </cfRule>
    <cfRule type="containsText" dxfId="169" priority="732" operator="containsText" text="L">
      <formula>NOT(ISERROR(SEARCH(("L"),(AK13))))</formula>
    </cfRule>
    <cfRule type="containsText" dxfId="168" priority="730" operator="containsText" text="K">
      <formula>NOT(ISERROR(SEARCH(("K"),(AK13))))</formula>
    </cfRule>
    <cfRule type="containsText" dxfId="167" priority="729" operator="containsText" text="P">
      <formula>NOT(ISERROR(SEARCH(("P"),(AK13))))</formula>
    </cfRule>
    <cfRule type="containsText" dxfId="166" priority="728" operator="containsText" text="C">
      <formula>NOT(ISERROR(SEARCH(("C"),(AK13))))</formula>
    </cfRule>
    <cfRule type="containsText" dxfId="165" priority="727" operator="containsText" text="O">
      <formula>NOT(ISERROR(SEARCH(("O"),(AK13))))</formula>
    </cfRule>
    <cfRule type="containsText" dxfId="164" priority="726" operator="containsText" text="L">
      <formula>NOT(ISERROR(SEARCH(("L"),(AK13))))</formula>
    </cfRule>
    <cfRule type="containsText" dxfId="163" priority="737" operator="containsText" text="P">
      <formula>NOT(ISERROR(SEARCH(("P"),(AK13))))</formula>
    </cfRule>
    <cfRule type="containsText" dxfId="162" priority="735" operator="containsText" text="O">
      <formula>NOT(ISERROR(SEARCH(("O"),(AK13))))</formula>
    </cfRule>
    <cfRule type="containsText" dxfId="161" priority="721" operator="containsText" text="O">
      <formula>NOT(ISERROR(SEARCH(("O"),(AK13))))</formula>
    </cfRule>
    <cfRule type="containsText" dxfId="160" priority="740" operator="containsText" text="L">
      <formula>NOT(ISERROR(SEARCH(("L"),(AK13))))</formula>
    </cfRule>
    <cfRule type="containsText" dxfId="159" priority="739" operator="containsText" text="X">
      <formula>NOT(ISERROR(SEARCH(("X"),(AK13))))</formula>
    </cfRule>
    <cfRule type="containsText" dxfId="158" priority="738" operator="containsText" text="K">
      <formula>NOT(ISERROR(SEARCH(("K"),(AK13))))</formula>
    </cfRule>
  </conditionalFormatting>
  <conditionalFormatting sqref="AK13:AL14 I14:M14">
    <cfRule type="containsText" dxfId="157" priority="439" operator="containsText" text="N">
      <formula>NOT(ISERROR(SEARCH(("N"),(I13))))</formula>
    </cfRule>
  </conditionalFormatting>
  <conditionalFormatting sqref="AK14:AL14">
    <cfRule type="containsText" dxfId="156" priority="429" operator="containsText" text="K">
      <formula>NOT(ISERROR(SEARCH(("K"),(AK14))))</formula>
    </cfRule>
    <cfRule type="containsText" dxfId="155" priority="430" operator="containsText" text="X">
      <formula>NOT(ISERROR(SEARCH(("X"),(AK14))))</formula>
    </cfRule>
    <cfRule type="containsText" dxfId="154" priority="425" operator="containsText" text="N">
      <formula>NOT(ISERROR(SEARCH(("N"),(AK14))))</formula>
    </cfRule>
    <cfRule type="containsText" dxfId="153" priority="427" operator="containsText" text="C">
      <formula>NOT(ISERROR(SEARCH(("C"),(AK14))))</formula>
    </cfRule>
    <cfRule type="containsText" dxfId="152" priority="428" operator="containsText" text="P">
      <formula>NOT(ISERROR(SEARCH(("P"),(AK14))))</formula>
    </cfRule>
    <cfRule type="containsText" dxfId="151" priority="426" operator="containsText" text="O">
      <formula>NOT(ISERROR(SEARCH(("O"),(AK14))))</formula>
    </cfRule>
  </conditionalFormatting>
  <conditionalFormatting sqref="AK15:AL16">
    <cfRule type="containsText" dxfId="150" priority="714" operator="containsText" text="O">
      <formula>NOT(ISERROR(SEARCH(("O"),(AK15))))</formula>
    </cfRule>
    <cfRule type="containsText" dxfId="149" priority="718" operator="containsText" text="X">
      <formula>NOT(ISERROR(SEARCH(("X"),(AK15))))</formula>
    </cfRule>
    <cfRule type="containsText" dxfId="148" priority="717" operator="containsText" text="K">
      <formula>NOT(ISERROR(SEARCH(("K"),(AK15))))</formula>
    </cfRule>
    <cfRule type="containsText" dxfId="147" priority="716" operator="containsText" text="P">
      <formula>NOT(ISERROR(SEARCH(("P"),(AK15))))</formula>
    </cfRule>
    <cfRule type="containsText" dxfId="146" priority="715" operator="containsText" text="C">
      <formula>NOT(ISERROR(SEARCH(("C"),(AK15))))</formula>
    </cfRule>
    <cfRule type="containsText" dxfId="145" priority="713" operator="containsText" text="N">
      <formula>NOT(ISERROR(SEARCH(("N"),(AK15))))</formula>
    </cfRule>
    <cfRule type="containsText" dxfId="144" priority="719" operator="containsText" text="L">
      <formula>NOT(ISERROR(SEARCH(("L"),(AK15))))</formula>
    </cfRule>
  </conditionalFormatting>
  <conditionalFormatting sqref="AK16:AL16">
    <cfRule type="containsText" dxfId="143" priority="699" operator="containsText" text="O">
      <formula>NOT(ISERROR(SEARCH(("O"),(AK16))))</formula>
    </cfRule>
    <cfRule type="containsText" dxfId="142" priority="711" operator="containsText" text="X">
      <formula>NOT(ISERROR(SEARCH(("X"),(AK16))))</formula>
    </cfRule>
    <cfRule type="containsText" dxfId="141" priority="710" operator="containsText" text="K">
      <formula>NOT(ISERROR(SEARCH(("K"),(AK16))))</formula>
    </cfRule>
    <cfRule type="containsText" dxfId="140" priority="709" operator="containsText" text="P">
      <formula>NOT(ISERROR(SEARCH(("P"),(AK16))))</formula>
    </cfRule>
    <cfRule type="containsText" dxfId="139" priority="708" operator="containsText" text="C">
      <formula>NOT(ISERROR(SEARCH(("C"),(AK16))))</formula>
    </cfRule>
    <cfRule type="containsText" dxfId="138" priority="707" operator="containsText" text="O">
      <formula>NOT(ISERROR(SEARCH(("O"),(AK16))))</formula>
    </cfRule>
    <cfRule type="containsText" dxfId="137" priority="712" operator="containsText" text="L">
      <formula>NOT(ISERROR(SEARCH(("L"),(AK16))))</formula>
    </cfRule>
    <cfRule type="containsText" dxfId="136" priority="705" operator="containsText" text="N">
      <formula>NOT(ISERROR(SEARCH(("N"),(AK16))))</formula>
    </cfRule>
    <cfRule type="containsText" dxfId="135" priority="704" operator="containsText" text="L">
      <formula>NOT(ISERROR(SEARCH(("L"),(AK16))))</formula>
    </cfRule>
    <cfRule type="containsText" dxfId="134" priority="703" operator="containsText" text="X">
      <formula>NOT(ISERROR(SEARCH(("X"),(AK16))))</formula>
    </cfRule>
    <cfRule type="containsText" dxfId="133" priority="702" operator="containsText" text="K">
      <formula>NOT(ISERROR(SEARCH(("K"),(AK16))))</formula>
    </cfRule>
    <cfRule type="containsText" dxfId="132" priority="701" operator="containsText" text="P">
      <formula>NOT(ISERROR(SEARCH(("P"),(AK16))))</formula>
    </cfRule>
    <cfRule type="containsText" dxfId="131" priority="700" operator="containsText" text="C">
      <formula>NOT(ISERROR(SEARCH(("C"),(AK16))))</formula>
    </cfRule>
  </conditionalFormatting>
  <conditionalFormatting sqref="AK16:AL17">
    <cfRule type="containsText" dxfId="130" priority="689" operator="containsText" text="K">
      <formula>NOT(ISERROR(SEARCH(("K"),(AK16))))</formula>
    </cfRule>
    <cfRule type="containsText" dxfId="129" priority="687" operator="containsText" text="C">
      <formula>NOT(ISERROR(SEARCH(("C"),(AK16))))</formula>
    </cfRule>
    <cfRule type="containsText" dxfId="128" priority="686" operator="containsText" text="O">
      <formula>NOT(ISERROR(SEARCH(("O"),(AK16))))</formula>
    </cfRule>
    <cfRule type="containsText" dxfId="127" priority="685" operator="containsText" text="N">
      <formula>NOT(ISERROR(SEARCH(("N"),(AK16))))</formula>
    </cfRule>
    <cfRule type="containsText" dxfId="126" priority="691" operator="containsText" text="L">
      <formula>NOT(ISERROR(SEARCH(("L"),(AK16))))</formula>
    </cfRule>
    <cfRule type="containsText" dxfId="125" priority="690" operator="containsText" text="X">
      <formula>NOT(ISERROR(SEARCH(("X"),(AK16))))</formula>
    </cfRule>
    <cfRule type="containsText" dxfId="124" priority="688" operator="containsText" text="P">
      <formula>NOT(ISERROR(SEARCH(("P"),(AK16))))</formula>
    </cfRule>
  </conditionalFormatting>
  <conditionalFormatting sqref="AK17:AL17">
    <cfRule type="containsText" dxfId="123" priority="676" operator="containsText" text="L">
      <formula>NOT(ISERROR(SEARCH(("L"),(AK17))))</formula>
    </cfRule>
    <cfRule type="containsText" dxfId="122" priority="677" operator="containsText" text="N">
      <formula>NOT(ISERROR(SEARCH(("N"),(AK17))))</formula>
    </cfRule>
    <cfRule type="containsText" dxfId="121" priority="679" operator="containsText" text="O">
      <formula>NOT(ISERROR(SEARCH(("O"),(AK17))))</formula>
    </cfRule>
    <cfRule type="containsText" dxfId="120" priority="680" operator="containsText" text="C">
      <formula>NOT(ISERROR(SEARCH(("C"),(AK17))))</formula>
    </cfRule>
    <cfRule type="containsText" dxfId="119" priority="681" operator="containsText" text="P">
      <formula>NOT(ISERROR(SEARCH(("P"),(AK17))))</formula>
    </cfRule>
    <cfRule type="containsText" dxfId="118" priority="684" operator="containsText" text="L">
      <formula>NOT(ISERROR(SEARCH(("L"),(AK17))))</formula>
    </cfRule>
    <cfRule type="containsText" dxfId="117" priority="683" operator="containsText" text="X">
      <formula>NOT(ISERROR(SEARCH(("X"),(AK17))))</formula>
    </cfRule>
    <cfRule type="containsText" dxfId="116" priority="672" operator="containsText" text="C">
      <formula>NOT(ISERROR(SEARCH(("C"),(AK17))))</formula>
    </cfRule>
    <cfRule type="containsText" dxfId="115" priority="682" operator="containsText" text="K">
      <formula>NOT(ISERROR(SEARCH(("K"),(AK17))))</formula>
    </cfRule>
    <cfRule type="containsText" dxfId="114" priority="671" operator="containsText" text="O">
      <formula>NOT(ISERROR(SEARCH(("O"),(AK17))))</formula>
    </cfRule>
    <cfRule type="containsText" dxfId="113" priority="673" operator="containsText" text="P">
      <formula>NOT(ISERROR(SEARCH(("P"),(AK17))))</formula>
    </cfRule>
    <cfRule type="containsText" dxfId="112" priority="674" operator="containsText" text="K">
      <formula>NOT(ISERROR(SEARCH(("K"),(AK17))))</formula>
    </cfRule>
    <cfRule type="containsText" dxfId="111" priority="675" operator="containsText" text="X">
      <formula>NOT(ISERROR(SEARCH(("X"),(AK17))))</formula>
    </cfRule>
  </conditionalFormatting>
  <conditionalFormatting sqref="AK17:AL18">
    <cfRule type="containsText" dxfId="110" priority="663" operator="containsText" text="L">
      <formula>NOT(ISERROR(SEARCH(("L"),(AK17))))</formula>
    </cfRule>
    <cfRule type="containsText" dxfId="109" priority="658" operator="containsText" text="O">
      <formula>NOT(ISERROR(SEARCH(("O"),(AK17))))</formula>
    </cfRule>
    <cfRule type="containsText" dxfId="108" priority="657" operator="containsText" text="N">
      <formula>NOT(ISERROR(SEARCH(("N"),(AK17))))</formula>
    </cfRule>
    <cfRule type="containsText" dxfId="107" priority="660" operator="containsText" text="P">
      <formula>NOT(ISERROR(SEARCH(("P"),(AK17))))</formula>
    </cfRule>
    <cfRule type="containsText" dxfId="106" priority="661" operator="containsText" text="K">
      <formula>NOT(ISERROR(SEARCH(("K"),(AK17))))</formula>
    </cfRule>
    <cfRule type="containsText" dxfId="105" priority="662" operator="containsText" text="X">
      <formula>NOT(ISERROR(SEARCH(("X"),(AK17))))</formula>
    </cfRule>
    <cfRule type="containsText" dxfId="104" priority="659" operator="containsText" text="C">
      <formula>NOT(ISERROR(SEARCH(("C"),(AK17))))</formula>
    </cfRule>
  </conditionalFormatting>
  <conditionalFormatting sqref="AK18:AL18">
    <cfRule type="containsText" dxfId="103" priority="648" operator="containsText" text="L">
      <formula>NOT(ISERROR(SEARCH(("L"),(AK18))))</formula>
    </cfRule>
    <cfRule type="containsText" dxfId="102" priority="647" operator="containsText" text="X">
      <formula>NOT(ISERROR(SEARCH(("X"),(AK18))))</formula>
    </cfRule>
    <cfRule type="containsText" dxfId="101" priority="646" operator="containsText" text="K">
      <formula>NOT(ISERROR(SEARCH(("K"),(AK18))))</formula>
    </cfRule>
    <cfRule type="containsText" dxfId="100" priority="645" operator="containsText" text="P">
      <formula>NOT(ISERROR(SEARCH(("P"),(AK18))))</formula>
    </cfRule>
    <cfRule type="containsText" dxfId="99" priority="644" operator="containsText" text="C">
      <formula>NOT(ISERROR(SEARCH(("C"),(AK18))))</formula>
    </cfRule>
    <cfRule type="containsText" dxfId="98" priority="643" operator="containsText" text="O">
      <formula>NOT(ISERROR(SEARCH(("O"),(AK18))))</formula>
    </cfRule>
    <cfRule type="containsText" dxfId="97" priority="642" operator="containsText" text="L">
      <formula>NOT(ISERROR(SEARCH(("L"),(AK18))))</formula>
    </cfRule>
    <cfRule type="containsText" dxfId="96" priority="641" operator="containsText" text="X">
      <formula>NOT(ISERROR(SEARCH(("X"),(AK18))))</formula>
    </cfRule>
    <cfRule type="containsText" dxfId="95" priority="640" operator="containsText" text="K">
      <formula>NOT(ISERROR(SEARCH(("K"),(AK18))))</formula>
    </cfRule>
    <cfRule type="containsText" dxfId="94" priority="639" operator="containsText" text="P">
      <formula>NOT(ISERROR(SEARCH(("P"),(AK18))))</formula>
    </cfRule>
    <cfRule type="containsText" dxfId="93" priority="638" operator="containsText" text="C">
      <formula>NOT(ISERROR(SEARCH(("C"),(AK18))))</formula>
    </cfRule>
    <cfRule type="containsText" dxfId="92" priority="637" operator="containsText" text="O">
      <formula>NOT(ISERROR(SEARCH(("O"),(AK18))))</formula>
    </cfRule>
    <cfRule type="containsText" dxfId="91" priority="636" operator="containsText" text="N">
      <formula>NOT(ISERROR(SEARCH(("N"),(AK18))))</formula>
    </cfRule>
    <cfRule type="containsText" dxfId="90" priority="656" operator="containsText" text="L">
      <formula>NOT(ISERROR(SEARCH(("L"),(AK18))))</formula>
    </cfRule>
    <cfRule type="containsText" dxfId="89" priority="655" operator="containsText" text="X">
      <formula>NOT(ISERROR(SEARCH(("X"),(AK18))))</formula>
    </cfRule>
    <cfRule type="containsText" dxfId="88" priority="654" operator="containsText" text="K">
      <formula>NOT(ISERROR(SEARCH(("K"),(AK18))))</formula>
    </cfRule>
    <cfRule type="containsText" dxfId="87" priority="653" operator="containsText" text="P">
      <formula>NOT(ISERROR(SEARCH(("P"),(AK18))))</formula>
    </cfRule>
    <cfRule type="containsText" dxfId="86" priority="652" operator="containsText" text="C">
      <formula>NOT(ISERROR(SEARCH(("C"),(AK18))))</formula>
    </cfRule>
    <cfRule type="containsText" dxfId="85" priority="651" operator="containsText" text="O">
      <formula>NOT(ISERROR(SEARCH(("O"),(AK18))))</formula>
    </cfRule>
    <cfRule type="containsText" dxfId="84" priority="649" operator="containsText" text="N">
      <formula>NOT(ISERROR(SEARCH(("N"),(AK18))))</formula>
    </cfRule>
  </conditionalFormatting>
  <conditionalFormatting sqref="AK19:AL20">
    <cfRule type="containsText" dxfId="83" priority="957" operator="containsText" text="N">
      <formula>NOT(ISERROR(SEARCH(("N"),(AK19))))</formula>
    </cfRule>
    <cfRule type="containsText" dxfId="82" priority="959" operator="containsText" text="O">
      <formula>NOT(ISERROR(SEARCH(("O"),(AK19))))</formula>
    </cfRule>
    <cfRule type="containsText" dxfId="81" priority="960" operator="containsText" text="C">
      <formula>NOT(ISERROR(SEARCH(("C"),(AK19))))</formula>
    </cfRule>
    <cfRule type="containsText" dxfId="80" priority="961" operator="containsText" text="P">
      <formula>NOT(ISERROR(SEARCH(("P"),(AK19))))</formula>
    </cfRule>
    <cfRule type="containsText" dxfId="79" priority="962" operator="containsText" text="K">
      <formula>NOT(ISERROR(SEARCH(("K"),(AK19))))</formula>
    </cfRule>
    <cfRule type="containsText" dxfId="78" priority="963" operator="containsText" text="X">
      <formula>NOT(ISERROR(SEARCH(("X"),(AK19))))</formula>
    </cfRule>
    <cfRule type="containsText" dxfId="77" priority="964" operator="containsText" text="L">
      <formula>NOT(ISERROR(SEARCH(("L"),(AK19))))</formula>
    </cfRule>
  </conditionalFormatting>
  <conditionalFormatting sqref="AK20:AL20">
    <cfRule type="containsText" dxfId="76" priority="954" operator="containsText" text="K">
      <formula>NOT(ISERROR(SEARCH(("K"),(AK20))))</formula>
    </cfRule>
    <cfRule type="containsText" dxfId="75" priority="951" operator="containsText" text="O">
      <formula>NOT(ISERROR(SEARCH(("O"),(AK20))))</formula>
    </cfRule>
    <cfRule type="containsText" dxfId="74" priority="953" operator="containsText" text="P">
      <formula>NOT(ISERROR(SEARCH(("P"),(AK20))))</formula>
    </cfRule>
    <cfRule type="containsText" dxfId="73" priority="955" operator="containsText" text="X">
      <formula>NOT(ISERROR(SEARCH(("X"),(AK20))))</formula>
    </cfRule>
    <cfRule type="containsText" dxfId="72" priority="952" operator="containsText" text="C">
      <formula>NOT(ISERROR(SEARCH(("C"),(AK20))))</formula>
    </cfRule>
    <cfRule type="containsText" dxfId="71" priority="956" operator="containsText" text="L">
      <formula>NOT(ISERROR(SEARCH(("L"),(AK20))))</formula>
    </cfRule>
  </conditionalFormatting>
  <conditionalFormatting sqref="AK20:AL21">
    <cfRule type="containsText" dxfId="70" priority="815" operator="containsText" text="P">
      <formula>NOT(ISERROR(SEARCH(("P"),(AK20))))</formula>
    </cfRule>
    <cfRule type="containsText" dxfId="69" priority="814" operator="containsText" text="C">
      <formula>NOT(ISERROR(SEARCH(("C"),(AK20))))</formula>
    </cfRule>
    <cfRule type="containsText" dxfId="68" priority="813" operator="containsText" text="O">
      <formula>NOT(ISERROR(SEARCH(("O"),(AK20))))</formula>
    </cfRule>
    <cfRule type="containsText" dxfId="67" priority="811" operator="containsText" text="N">
      <formula>NOT(ISERROR(SEARCH(("N"),(AK20))))</formula>
    </cfRule>
    <cfRule type="containsText" dxfId="66" priority="816" operator="containsText" text="K">
      <formula>NOT(ISERROR(SEARCH(("K"),(AK20))))</formula>
    </cfRule>
    <cfRule type="containsText" dxfId="65" priority="817" operator="containsText" text="X">
      <formula>NOT(ISERROR(SEARCH(("X"),(AK20))))</formula>
    </cfRule>
    <cfRule type="containsText" dxfId="64" priority="818" operator="containsText" text="L">
      <formula>NOT(ISERROR(SEARCH(("L"),(AK20))))</formula>
    </cfRule>
  </conditionalFormatting>
  <conditionalFormatting sqref="AK21:AL21">
    <cfRule type="containsText" dxfId="63" priority="808" operator="containsText" text="K">
      <formula>NOT(ISERROR(SEARCH(("K"),(AK21))))</formula>
    </cfRule>
    <cfRule type="containsText" dxfId="62" priority="805" operator="containsText" text="O">
      <formula>NOT(ISERROR(SEARCH(("O"),(AK21))))</formula>
    </cfRule>
    <cfRule type="containsText" dxfId="61" priority="806" operator="containsText" text="C">
      <formula>NOT(ISERROR(SEARCH(("C"),(AK21))))</formula>
    </cfRule>
    <cfRule type="containsText" dxfId="60" priority="807" operator="containsText" text="P">
      <formula>NOT(ISERROR(SEARCH(("P"),(AK21))))</formula>
    </cfRule>
    <cfRule type="containsText" dxfId="59" priority="809" operator="containsText" text="X">
      <formula>NOT(ISERROR(SEARCH(("X"),(AK21))))</formula>
    </cfRule>
    <cfRule type="containsText" dxfId="58" priority="810" operator="containsText" text="L">
      <formula>NOT(ISERROR(SEARCH(("L"),(AK21))))</formula>
    </cfRule>
  </conditionalFormatting>
  <conditionalFormatting sqref="AK21:AL22">
    <cfRule type="containsText" dxfId="57" priority="764" operator="containsText" text="O">
      <formula>NOT(ISERROR(SEARCH(("O"),(AK21))))</formula>
    </cfRule>
    <cfRule type="containsText" dxfId="56" priority="769" operator="containsText" text="L">
      <formula>NOT(ISERROR(SEARCH(("L"),(AK21))))</formula>
    </cfRule>
    <cfRule type="containsText" dxfId="55" priority="768" operator="containsText" text="X">
      <formula>NOT(ISERROR(SEARCH(("X"),(AK21))))</formula>
    </cfRule>
    <cfRule type="containsText" dxfId="54" priority="767" operator="containsText" text="K">
      <formula>NOT(ISERROR(SEARCH(("K"),(AK21))))</formula>
    </cfRule>
    <cfRule type="containsText" dxfId="53" priority="766" operator="containsText" text="P">
      <formula>NOT(ISERROR(SEARCH(("P"),(AK21))))</formula>
    </cfRule>
    <cfRule type="containsText" dxfId="52" priority="762" operator="containsText" text="N">
      <formula>NOT(ISERROR(SEARCH(("N"),(AK21))))</formula>
    </cfRule>
    <cfRule type="containsText" dxfId="51" priority="765" operator="containsText" text="C">
      <formula>NOT(ISERROR(SEARCH(("C"),(AK21))))</formula>
    </cfRule>
  </conditionalFormatting>
  <conditionalFormatting sqref="AK22:AL22">
    <cfRule type="containsText" dxfId="50" priority="751" operator="containsText" text="C">
      <formula>NOT(ISERROR(SEARCH(("C"),(AK22))))</formula>
    </cfRule>
    <cfRule type="containsText" dxfId="49" priority="750" operator="containsText" text="O">
      <formula>NOT(ISERROR(SEARCH(("O"),(AK22))))</formula>
    </cfRule>
    <cfRule type="containsText" dxfId="48" priority="749" operator="containsText" text="N">
      <formula>NOT(ISERROR(SEARCH(("N"),(AK22))))</formula>
    </cfRule>
    <cfRule type="containsText" dxfId="47" priority="754" operator="containsText" text="X">
      <formula>NOT(ISERROR(SEARCH(("X"),(AK22))))</formula>
    </cfRule>
    <cfRule type="containsText" dxfId="46" priority="761" operator="containsText" text="L">
      <formula>NOT(ISERROR(SEARCH(("L"),(AK22))))</formula>
    </cfRule>
    <cfRule type="containsText" dxfId="45" priority="760" operator="containsText" text="X">
      <formula>NOT(ISERROR(SEARCH(("X"),(AK22))))</formula>
    </cfRule>
    <cfRule type="containsText" dxfId="44" priority="759" operator="containsText" text="K">
      <formula>NOT(ISERROR(SEARCH(("K"),(AK22))))</formula>
    </cfRule>
    <cfRule type="containsText" dxfId="43" priority="758" operator="containsText" text="P">
      <formula>NOT(ISERROR(SEARCH(("P"),(AK22))))</formula>
    </cfRule>
    <cfRule type="containsText" dxfId="42" priority="757" operator="containsText" text="C">
      <formula>NOT(ISERROR(SEARCH(("C"),(AK22))))</formula>
    </cfRule>
    <cfRule type="containsText" dxfId="41" priority="756" operator="containsText" text="O">
      <formula>NOT(ISERROR(SEARCH(("O"),(AK22))))</formula>
    </cfRule>
    <cfRule type="containsText" dxfId="40" priority="755" operator="containsText" text="L">
      <formula>NOT(ISERROR(SEARCH(("L"),(AK22))))</formula>
    </cfRule>
    <cfRule type="containsText" dxfId="39" priority="753" operator="containsText" text="K">
      <formula>NOT(ISERROR(SEARCH(("K"),(AK22))))</formula>
    </cfRule>
    <cfRule type="containsText" dxfId="38" priority="752" operator="containsText" text="P">
      <formula>NOT(ISERROR(SEARCH(("P"),(AK22))))</formula>
    </cfRule>
  </conditionalFormatting>
  <conditionalFormatting sqref="AL11">
    <cfRule type="containsText" dxfId="37" priority="1383" operator="containsText" text="X">
      <formula>NOT(ISERROR(SEARCH(("X"),(AL11))))</formula>
    </cfRule>
    <cfRule type="containsText" dxfId="36" priority="1384" operator="containsText" text="L">
      <formula>NOT(ISERROR(SEARCH(("L"),(AL11))))</formula>
    </cfRule>
    <cfRule type="containsText" dxfId="35" priority="1379" operator="containsText" text="O">
      <formula>NOT(ISERROR(SEARCH(("O"),(AL11))))</formula>
    </cfRule>
    <cfRule type="containsText" dxfId="34" priority="1378" operator="containsText" text="N">
      <formula>NOT(ISERROR(SEARCH(("N"),(AL11))))</formula>
    </cfRule>
    <cfRule type="containsText" dxfId="33" priority="1377" operator="containsText" text="L">
      <formula>NOT(ISERROR(SEARCH(("L"),(AL11))))</formula>
    </cfRule>
    <cfRule type="containsText" dxfId="32" priority="1373" operator="containsText" text="C">
      <formula>NOT(ISERROR(SEARCH(("C"),(AL11))))</formula>
    </cfRule>
    <cfRule type="containsText" dxfId="31" priority="1376" operator="containsText" text="X">
      <formula>NOT(ISERROR(SEARCH(("X"),(AL11))))</formula>
    </cfRule>
    <cfRule type="containsText" dxfId="30" priority="1380" operator="containsText" text="C">
      <formula>NOT(ISERROR(SEARCH(("C"),(AL11))))</formula>
    </cfRule>
    <cfRule type="containsText" dxfId="29" priority="1375" operator="containsText" text="K">
      <formula>NOT(ISERROR(SEARCH(("K"),(AL11))))</formula>
    </cfRule>
    <cfRule type="containsText" dxfId="28" priority="1381" operator="containsText" text="P">
      <formula>NOT(ISERROR(SEARCH(("P"),(AL11))))</formula>
    </cfRule>
    <cfRule type="containsText" dxfId="27" priority="1382" operator="containsText" text="K">
      <formula>NOT(ISERROR(SEARCH(("K"),(AL11))))</formula>
    </cfRule>
    <cfRule type="containsText" dxfId="26" priority="1372" operator="containsText" text="O">
      <formula>NOT(ISERROR(SEARCH(("O"),(AL11))))</formula>
    </cfRule>
    <cfRule type="containsText" dxfId="25" priority="1374" operator="containsText" text="P">
      <formula>NOT(ISERROR(SEARCH(("P"),(AL11))))</formula>
    </cfRule>
  </conditionalFormatting>
  <conditionalFormatting sqref="AL16:AL22">
    <cfRule type="containsText" dxfId="24" priority="1316" operator="containsText" text="O">
      <formula>NOT(ISERROR(SEARCH(("O"),(AL16))))</formula>
    </cfRule>
    <cfRule type="containsText" dxfId="23" priority="1317" operator="containsText" text="C">
      <formula>NOT(ISERROR(SEARCH(("C"),(AL16))))</formula>
    </cfRule>
    <cfRule type="containsText" dxfId="22" priority="1318" operator="containsText" text="P">
      <formula>NOT(ISERROR(SEARCH(("P"),(AL16))))</formula>
    </cfRule>
    <cfRule type="containsText" dxfId="21" priority="1324" operator="containsText" text="C">
      <formula>NOT(ISERROR(SEARCH(("C"),(AL16))))</formula>
    </cfRule>
    <cfRule type="containsText" dxfId="20" priority="1328" operator="containsText" text="L">
      <formula>NOT(ISERROR(SEARCH(("L"),(AL16))))</formula>
    </cfRule>
    <cfRule type="containsText" dxfId="19" priority="1315" operator="containsText" text="N">
      <formula>NOT(ISERROR(SEARCH(("N"),(AL16))))</formula>
    </cfRule>
    <cfRule type="containsText" dxfId="18" priority="1327" operator="containsText" text="X">
      <formula>NOT(ISERROR(SEARCH(("X"),(AL16))))</formula>
    </cfRule>
    <cfRule type="containsText" dxfId="17" priority="1326" operator="containsText" text="K">
      <formula>NOT(ISERROR(SEARCH(("K"),(AL16))))</formula>
    </cfRule>
    <cfRule type="containsText" dxfId="16" priority="1325" operator="containsText" text="P">
      <formula>NOT(ISERROR(SEARCH(("P"),(AL16))))</formula>
    </cfRule>
    <cfRule type="containsText" dxfId="15" priority="1323" operator="containsText" text="O">
      <formula>NOT(ISERROR(SEARCH(("O"),(AL16))))</formula>
    </cfRule>
    <cfRule type="containsText" dxfId="14" priority="1322" operator="containsText" text="N">
      <formula>NOT(ISERROR(SEARCH(("N"),(AL16))))</formula>
    </cfRule>
    <cfRule type="containsText" dxfId="13" priority="1321" operator="containsText" text="L">
      <formula>NOT(ISERROR(SEARCH(("L"),(AL16))))</formula>
    </cfRule>
    <cfRule type="containsText" dxfId="12" priority="1320" operator="containsText" text="X">
      <formula>NOT(ISERROR(SEARCH(("X"),(AL16))))</formula>
    </cfRule>
    <cfRule type="containsText" dxfId="11" priority="1319" operator="containsText" text="K">
      <formula>NOT(ISERROR(SEARCH(("K"),(AL16))))</formula>
    </cfRule>
  </conditionalFormatting>
  <dataValidations count="1">
    <dataValidation type="list" allowBlank="1" sqref="G11:G22"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67" t="s">
        <v>358</v>
      </c>
      <c r="B1" s="478"/>
      <c r="C1" s="478"/>
      <c r="D1" s="479"/>
      <c r="E1" s="147"/>
      <c r="F1" s="148"/>
      <c r="G1" s="147"/>
      <c r="H1" s="147"/>
      <c r="I1" s="147"/>
      <c r="J1" s="147"/>
      <c r="K1" s="147"/>
      <c r="L1" s="147"/>
      <c r="M1" s="147"/>
      <c r="N1" s="147"/>
      <c r="O1" s="147"/>
      <c r="P1" s="147"/>
      <c r="Q1" s="147"/>
      <c r="R1" s="147"/>
      <c r="S1" s="147"/>
      <c r="T1" s="147"/>
      <c r="U1" s="145"/>
      <c r="V1" s="145"/>
    </row>
    <row r="2" spans="1:22" ht="30.75" customHeight="1" x14ac:dyDescent="0.25">
      <c r="A2" s="568" t="s">
        <v>1</v>
      </c>
      <c r="B2" s="570" t="s">
        <v>40</v>
      </c>
      <c r="C2" s="568" t="s">
        <v>109</v>
      </c>
      <c r="D2" s="568" t="s">
        <v>97</v>
      </c>
      <c r="E2" s="571" t="s">
        <v>359</v>
      </c>
      <c r="F2" s="572"/>
      <c r="G2" s="572"/>
      <c r="H2" s="572"/>
      <c r="I2" s="572"/>
      <c r="J2" s="572"/>
      <c r="K2" s="572"/>
      <c r="L2" s="572"/>
      <c r="M2" s="572"/>
      <c r="N2" s="572"/>
      <c r="O2" s="572"/>
      <c r="P2" s="572"/>
      <c r="Q2" s="573"/>
      <c r="R2" s="565" t="s">
        <v>360</v>
      </c>
      <c r="S2" s="565" t="s">
        <v>110</v>
      </c>
      <c r="T2" s="565" t="s">
        <v>111</v>
      </c>
      <c r="U2" s="565" t="s">
        <v>112</v>
      </c>
      <c r="V2" s="145"/>
    </row>
    <row r="3" spans="1:22" ht="48" customHeight="1" x14ac:dyDescent="0.25">
      <c r="A3" s="569"/>
      <c r="B3" s="569"/>
      <c r="C3" s="569"/>
      <c r="D3" s="569"/>
      <c r="E3" s="149" t="s">
        <v>116</v>
      </c>
      <c r="F3" s="149" t="s">
        <v>113</v>
      </c>
      <c r="G3" s="149" t="s">
        <v>114</v>
      </c>
      <c r="H3" s="149" t="s">
        <v>115</v>
      </c>
      <c r="I3" s="149" t="s">
        <v>117</v>
      </c>
      <c r="J3" s="149" t="s">
        <v>118</v>
      </c>
      <c r="K3" s="149" t="s">
        <v>119</v>
      </c>
      <c r="L3" s="149" t="s">
        <v>120</v>
      </c>
      <c r="M3" s="149" t="s">
        <v>121</v>
      </c>
      <c r="N3" s="149" t="s">
        <v>122</v>
      </c>
      <c r="O3" s="149" t="s">
        <v>123</v>
      </c>
      <c r="P3" s="149" t="s">
        <v>124</v>
      </c>
      <c r="Q3" s="149" t="s">
        <v>125</v>
      </c>
      <c r="R3" s="569"/>
      <c r="S3" s="569"/>
      <c r="T3" s="569"/>
      <c r="U3" s="566"/>
      <c r="V3" s="145"/>
    </row>
    <row r="4" spans="1:22" ht="15" hidden="1" customHeight="1" x14ac:dyDescent="0.25">
      <c r="A4" s="150"/>
      <c r="B4" s="150">
        <v>1</v>
      </c>
      <c r="C4" s="150">
        <f t="shared" ref="C4:U4" si="0">B4+1</f>
        <v>2</v>
      </c>
      <c r="D4" s="150">
        <f t="shared" si="0"/>
        <v>3</v>
      </c>
      <c r="E4" s="150" t="e">
        <f>#REF!+1</f>
        <v>#REF!</v>
      </c>
      <c r="F4" s="150" t="e">
        <f t="shared" si="0"/>
        <v>#REF!</v>
      </c>
      <c r="G4" s="150" t="e">
        <f t="shared" si="0"/>
        <v>#REF!</v>
      </c>
      <c r="H4" s="150" t="e">
        <f t="shared" si="0"/>
        <v>#REF!</v>
      </c>
      <c r="I4" s="150" t="e">
        <f t="shared" si="0"/>
        <v>#REF!</v>
      </c>
      <c r="J4" s="150" t="e">
        <f t="shared" si="0"/>
        <v>#REF!</v>
      </c>
      <c r="K4" s="150" t="e">
        <f t="shared" si="0"/>
        <v>#REF!</v>
      </c>
      <c r="L4" s="150" t="e">
        <f t="shared" si="0"/>
        <v>#REF!</v>
      </c>
      <c r="M4" s="150" t="e">
        <f t="shared" si="0"/>
        <v>#REF!</v>
      </c>
      <c r="N4" s="150" t="e">
        <f t="shared" si="0"/>
        <v>#REF!</v>
      </c>
      <c r="O4" s="150" t="e">
        <f t="shared" si="0"/>
        <v>#REF!</v>
      </c>
      <c r="P4" s="150" t="e">
        <f t="shared" si="0"/>
        <v>#REF!</v>
      </c>
      <c r="Q4" s="150" t="e">
        <f t="shared" si="0"/>
        <v>#REF!</v>
      </c>
      <c r="R4" s="150" t="e">
        <f t="shared" si="0"/>
        <v>#REF!</v>
      </c>
      <c r="S4" s="150" t="e">
        <f t="shared" si="0"/>
        <v>#REF!</v>
      </c>
      <c r="T4" s="150" t="e">
        <f t="shared" si="0"/>
        <v>#REF!</v>
      </c>
      <c r="U4" s="150" t="e">
        <f t="shared" si="0"/>
        <v>#REF!</v>
      </c>
      <c r="V4" s="151"/>
    </row>
    <row r="5" spans="1:22" ht="25.5" customHeight="1" x14ac:dyDescent="0.3">
      <c r="A5" s="152"/>
      <c r="B5" s="441"/>
      <c r="C5" s="442"/>
      <c r="D5" s="443"/>
      <c r="E5" s="153"/>
      <c r="F5" s="153">
        <f t="shared" ref="F5:R5" si="1">SUM(F6:F8)</f>
        <v>1</v>
      </c>
      <c r="G5" s="153">
        <f t="shared" si="1"/>
        <v>0</v>
      </c>
      <c r="H5" s="153">
        <f t="shared" si="1"/>
        <v>0</v>
      </c>
      <c r="I5" s="153">
        <f t="shared" si="1"/>
        <v>0</v>
      </c>
      <c r="J5" s="153">
        <f t="shared" si="1"/>
        <v>0</v>
      </c>
      <c r="K5" s="153">
        <f t="shared" si="1"/>
        <v>0</v>
      </c>
      <c r="L5" s="153">
        <f t="shared" si="1"/>
        <v>0</v>
      </c>
      <c r="M5" s="153">
        <f t="shared" si="1"/>
        <v>0</v>
      </c>
      <c r="N5" s="153">
        <f t="shared" si="1"/>
        <v>0</v>
      </c>
      <c r="O5" s="153">
        <f t="shared" si="1"/>
        <v>0</v>
      </c>
      <c r="P5" s="153">
        <f t="shared" si="1"/>
        <v>0</v>
      </c>
      <c r="Q5" s="153">
        <f t="shared" si="1"/>
        <v>0</v>
      </c>
      <c r="R5" s="153">
        <f t="shared" si="1"/>
        <v>1</v>
      </c>
      <c r="S5" s="153">
        <v>2</v>
      </c>
      <c r="T5" s="153">
        <f>SUM(T6:T8)</f>
        <v>2</v>
      </c>
      <c r="U5" s="444"/>
      <c r="V5" s="145"/>
    </row>
    <row r="6" spans="1:22" ht="27.75" customHeight="1" x14ac:dyDescent="0.3">
      <c r="A6" s="445">
        <f t="shared" ref="A6:A7" si="2">SUBTOTAL(3,$B$5:B6)</f>
        <v>1</v>
      </c>
      <c r="B6" s="446" t="s">
        <v>323</v>
      </c>
      <c r="C6" s="394"/>
      <c r="D6" s="379" t="str">
        <f>VLOOKUP(B6,' 5. Thông số TL'!$D$12:$E$16,2,0)</f>
        <v>Nguyễn Thị Thu Hảo</v>
      </c>
      <c r="E6" s="380"/>
      <c r="F6" s="381">
        <f>VLOOKUP(B6,'3. BẢNG CHẤM CÔNG'!$B$11:$AU$12,42,0)</f>
        <v>1</v>
      </c>
      <c r="G6" s="381">
        <v>0</v>
      </c>
      <c r="H6" s="381">
        <v>0</v>
      </c>
      <c r="I6" s="381">
        <v>0</v>
      </c>
      <c r="J6" s="381">
        <v>0</v>
      </c>
      <c r="K6" s="381">
        <v>0</v>
      </c>
      <c r="L6" s="381">
        <v>0</v>
      </c>
      <c r="M6" s="381">
        <v>0</v>
      </c>
      <c r="N6" s="381">
        <v>0</v>
      </c>
      <c r="O6" s="381">
        <v>0</v>
      </c>
      <c r="P6" s="381">
        <v>0</v>
      </c>
      <c r="Q6" s="381">
        <v>0</v>
      </c>
      <c r="R6" s="380">
        <f t="shared" ref="R6:R7" si="3">SUM(F6:Q6)</f>
        <v>1</v>
      </c>
      <c r="S6" s="380">
        <v>2</v>
      </c>
      <c r="T6" s="380">
        <v>2</v>
      </c>
      <c r="U6" s="382"/>
      <c r="V6" s="155" t="s">
        <v>108</v>
      </c>
    </row>
    <row r="7" spans="1:22" ht="27.75" customHeight="1" x14ac:dyDescent="0.3">
      <c r="A7" s="445">
        <f t="shared" si="2"/>
        <v>2</v>
      </c>
      <c r="B7" s="446" t="s">
        <v>324</v>
      </c>
      <c r="C7" s="394"/>
      <c r="D7" s="379" t="str">
        <f>VLOOKUP(B7,' 5. Thông số TL'!$D$12:$E$16,2,0)</f>
        <v>Lê Thị Kim Liên</v>
      </c>
      <c r="E7" s="380"/>
      <c r="F7" s="381">
        <v>0</v>
      </c>
      <c r="G7" s="381">
        <v>0</v>
      </c>
      <c r="H7" s="381">
        <v>0</v>
      </c>
      <c r="I7" s="381">
        <v>0</v>
      </c>
      <c r="J7" s="381">
        <v>0</v>
      </c>
      <c r="K7" s="381">
        <v>0</v>
      </c>
      <c r="L7" s="381">
        <v>0</v>
      </c>
      <c r="M7" s="381">
        <v>0</v>
      </c>
      <c r="N7" s="381">
        <v>0</v>
      </c>
      <c r="O7" s="381">
        <v>0</v>
      </c>
      <c r="P7" s="381">
        <v>0</v>
      </c>
      <c r="Q7" s="381">
        <v>0</v>
      </c>
      <c r="R7" s="380">
        <f t="shared" si="3"/>
        <v>0</v>
      </c>
      <c r="S7" s="380">
        <v>0</v>
      </c>
      <c r="T7" s="380">
        <v>0</v>
      </c>
      <c r="U7" s="382"/>
      <c r="V7" s="156"/>
    </row>
    <row r="8" spans="1:22" ht="22.2" customHeight="1" x14ac:dyDescent="0.25">
      <c r="A8" s="440">
        <v>3</v>
      </c>
      <c r="B8" s="440" t="s">
        <v>340</v>
      </c>
      <c r="C8" s="439"/>
      <c r="D8" s="379" t="str">
        <f>VLOOKUP(B8,' 5. Thông số TL'!$D$12:$E$16,2,0)</f>
        <v>Bùi Thanh Anh</v>
      </c>
      <c r="E8" s="380"/>
      <c r="F8" s="381">
        <v>0</v>
      </c>
      <c r="G8" s="381">
        <v>0</v>
      </c>
      <c r="H8" s="381">
        <v>0</v>
      </c>
      <c r="I8" s="381">
        <v>0</v>
      </c>
      <c r="J8" s="381">
        <v>0</v>
      </c>
      <c r="K8" s="381">
        <v>0</v>
      </c>
      <c r="L8" s="381">
        <v>0</v>
      </c>
      <c r="M8" s="381">
        <v>0</v>
      </c>
      <c r="N8" s="381">
        <v>0</v>
      </c>
      <c r="O8" s="381">
        <v>0</v>
      </c>
      <c r="P8" s="381">
        <v>0</v>
      </c>
      <c r="Q8" s="381">
        <v>0</v>
      </c>
      <c r="R8" s="380">
        <f t="shared" ref="R8" si="4">SUM(F8:Q8)</f>
        <v>0</v>
      </c>
      <c r="S8" s="380">
        <f t="shared" ref="S8" si="5">SUM(G8:R8)</f>
        <v>0</v>
      </c>
      <c r="T8" s="380">
        <f t="shared" ref="T8" si="6">SUM(H8:S8)</f>
        <v>0</v>
      </c>
      <c r="U8" s="439"/>
      <c r="V8" s="145"/>
    </row>
    <row r="9" spans="1:22" ht="22.2" customHeight="1" x14ac:dyDescent="0.25">
      <c r="A9" s="440">
        <v>5</v>
      </c>
      <c r="B9" s="440" t="s">
        <v>336</v>
      </c>
      <c r="C9" s="439"/>
      <c r="D9" s="379" t="str">
        <f>VLOOKUP(B9,' 5. Thông số TL'!$D$12:$E$16,2,0)</f>
        <v>Eugene</v>
      </c>
      <c r="E9" s="380"/>
      <c r="F9" s="381">
        <v>0</v>
      </c>
      <c r="G9" s="381">
        <v>0</v>
      </c>
      <c r="H9" s="381">
        <v>0</v>
      </c>
      <c r="I9" s="381">
        <v>0</v>
      </c>
      <c r="J9" s="381">
        <v>0</v>
      </c>
      <c r="K9" s="381">
        <v>0</v>
      </c>
      <c r="L9" s="381">
        <v>0</v>
      </c>
      <c r="M9" s="381">
        <v>0</v>
      </c>
      <c r="N9" s="381">
        <v>0</v>
      </c>
      <c r="O9" s="381">
        <v>0</v>
      </c>
      <c r="P9" s="381">
        <v>0</v>
      </c>
      <c r="Q9" s="381">
        <v>0</v>
      </c>
      <c r="R9" s="380">
        <f t="shared" ref="R9" si="7">SUM(F9:Q9)</f>
        <v>0</v>
      </c>
      <c r="S9" s="380">
        <f t="shared" ref="S9" si="8">SUM(G9:R9)</f>
        <v>0</v>
      </c>
      <c r="T9" s="380">
        <f t="shared" ref="T9" si="9">SUM(H9:S9)</f>
        <v>0</v>
      </c>
      <c r="U9" s="439"/>
      <c r="V9" s="145"/>
    </row>
    <row r="10" spans="1:22" ht="15" customHeight="1" x14ac:dyDescent="0.25">
      <c r="A10" s="145"/>
      <c r="B10" s="145"/>
      <c r="C10" s="145"/>
      <c r="D10" s="145"/>
      <c r="E10" s="145"/>
      <c r="F10" s="145"/>
      <c r="G10" s="145"/>
      <c r="H10" s="145"/>
      <c r="I10" s="145"/>
      <c r="J10" s="145"/>
      <c r="K10" s="145"/>
      <c r="L10" s="145"/>
      <c r="M10" s="145"/>
      <c r="N10" s="145"/>
      <c r="O10" s="145"/>
      <c r="P10" s="145"/>
      <c r="Q10" s="145"/>
      <c r="R10" s="157"/>
      <c r="S10" s="145"/>
      <c r="T10" s="145"/>
      <c r="U10" s="145"/>
      <c r="V10" s="145"/>
    </row>
    <row r="11" spans="1:22" ht="15" customHeight="1" x14ac:dyDescent="0.25">
      <c r="A11" s="145"/>
      <c r="B11" s="145"/>
      <c r="C11" s="145"/>
      <c r="D11" s="145"/>
      <c r="E11" s="145"/>
      <c r="F11" s="145"/>
      <c r="G11" s="145"/>
      <c r="H11" s="145"/>
      <c r="I11" s="145"/>
      <c r="J11" s="145"/>
      <c r="K11" s="145"/>
      <c r="L11" s="145"/>
      <c r="M11" s="145"/>
      <c r="N11" s="145"/>
      <c r="O11" s="145"/>
      <c r="P11" s="145"/>
      <c r="Q11" s="145"/>
      <c r="R11" s="145"/>
      <c r="S11" s="145"/>
      <c r="T11" s="145"/>
      <c r="U11" s="145"/>
      <c r="V11" s="145"/>
    </row>
    <row r="12" spans="1:22" ht="15" customHeight="1" x14ac:dyDescent="0.25">
      <c r="A12" s="145"/>
      <c r="B12" s="145"/>
      <c r="C12" s="145"/>
      <c r="D12" s="145"/>
      <c r="E12" s="145"/>
      <c r="F12" s="145"/>
      <c r="G12" s="145"/>
      <c r="H12" s="145"/>
      <c r="I12" s="145"/>
      <c r="J12" s="145"/>
      <c r="K12" s="145"/>
      <c r="L12" s="145"/>
      <c r="M12" s="145"/>
      <c r="N12" s="145"/>
      <c r="O12" s="145"/>
      <c r="P12" s="145"/>
      <c r="Q12" s="145"/>
      <c r="R12" s="145"/>
      <c r="S12" s="145"/>
      <c r="T12" s="145"/>
      <c r="U12" s="145"/>
      <c r="V12" s="145"/>
    </row>
    <row r="13" spans="1:22" ht="15.75" customHeight="1" x14ac:dyDescent="0.25">
      <c r="A13" s="145"/>
      <c r="B13" s="145"/>
      <c r="C13" s="145"/>
      <c r="D13" s="145"/>
      <c r="E13" s="145"/>
      <c r="F13" s="145"/>
      <c r="G13" s="145"/>
      <c r="H13" s="145"/>
      <c r="I13" s="145"/>
      <c r="J13" s="145"/>
      <c r="K13" s="145"/>
      <c r="L13" s="145"/>
      <c r="M13" s="145"/>
      <c r="N13" s="145"/>
      <c r="O13" s="145"/>
      <c r="P13" s="145"/>
      <c r="Q13" s="145"/>
      <c r="R13" s="145"/>
      <c r="S13" s="145"/>
      <c r="T13" s="145"/>
      <c r="U13" s="145"/>
      <c r="V13" s="145"/>
    </row>
    <row r="14" spans="1:22" ht="15.75" customHeight="1" x14ac:dyDescent="0.25">
      <c r="A14" s="145"/>
      <c r="B14" s="145"/>
      <c r="C14" s="145"/>
      <c r="D14" s="145"/>
      <c r="E14" s="145"/>
      <c r="F14" s="145"/>
      <c r="G14" s="145"/>
      <c r="H14" s="145"/>
      <c r="I14" s="145"/>
      <c r="J14" s="145"/>
      <c r="K14" s="145"/>
      <c r="L14" s="145"/>
      <c r="M14" s="145"/>
      <c r="N14" s="145"/>
      <c r="O14" s="145"/>
      <c r="P14" s="145"/>
      <c r="Q14" s="145"/>
      <c r="R14" s="145"/>
      <c r="S14" s="145"/>
      <c r="T14" s="145"/>
      <c r="U14" s="145"/>
      <c r="V14" s="145"/>
    </row>
    <row r="15" spans="1:22" ht="15.75" customHeight="1" x14ac:dyDescent="0.25">
      <c r="A15" s="145"/>
      <c r="B15" s="145"/>
      <c r="C15" s="145"/>
      <c r="D15" s="145"/>
      <c r="E15" s="145"/>
      <c r="F15" s="145"/>
      <c r="G15" s="145"/>
      <c r="H15" s="145"/>
      <c r="I15" s="145"/>
      <c r="J15" s="145"/>
      <c r="K15" s="145"/>
      <c r="L15" s="145"/>
      <c r="M15" s="145"/>
      <c r="N15" s="145"/>
      <c r="O15" s="145"/>
      <c r="P15" s="145"/>
      <c r="Q15" s="145"/>
      <c r="R15" s="145"/>
      <c r="S15" s="145"/>
      <c r="T15" s="145"/>
      <c r="U15" s="145"/>
      <c r="V15" s="145"/>
    </row>
    <row r="16" spans="1:22" ht="15.75" customHeight="1" x14ac:dyDescent="0.25">
      <c r="A16" s="145"/>
      <c r="B16" s="145"/>
      <c r="C16" s="145"/>
      <c r="D16" s="145"/>
      <c r="E16" s="145"/>
      <c r="F16" s="145"/>
      <c r="G16" s="145"/>
      <c r="H16" s="145"/>
      <c r="I16" s="145"/>
      <c r="J16" s="145"/>
      <c r="K16" s="145"/>
      <c r="L16" s="145"/>
      <c r="M16" s="145"/>
      <c r="N16" s="145"/>
      <c r="O16" s="145"/>
      <c r="P16" s="145"/>
      <c r="Q16" s="145"/>
      <c r="R16" s="145"/>
      <c r="S16" s="145"/>
      <c r="T16" s="145"/>
      <c r="U16" s="145"/>
      <c r="V16" s="145"/>
    </row>
    <row r="17" spans="1:22" ht="15.75" customHeight="1" x14ac:dyDescent="0.25">
      <c r="A17" s="145"/>
      <c r="B17" s="145"/>
      <c r="C17" s="145"/>
      <c r="D17" s="145"/>
      <c r="E17" s="145"/>
      <c r="F17" s="145"/>
      <c r="G17" s="145"/>
      <c r="H17" s="145"/>
      <c r="I17" s="145"/>
      <c r="J17" s="145"/>
      <c r="K17" s="145"/>
      <c r="L17" s="145"/>
      <c r="M17" s="145"/>
      <c r="N17" s="145"/>
      <c r="O17" s="145"/>
      <c r="P17" s="145"/>
      <c r="Q17" s="145"/>
      <c r="R17" s="145"/>
      <c r="S17" s="145"/>
      <c r="T17" s="145"/>
      <c r="U17" s="145"/>
      <c r="V17" s="145"/>
    </row>
    <row r="18" spans="1:22" ht="15.75" customHeight="1" x14ac:dyDescent="0.25">
      <c r="A18" s="145"/>
      <c r="B18" s="145"/>
      <c r="C18" s="145"/>
      <c r="D18" s="145"/>
      <c r="E18" s="145"/>
      <c r="F18" s="145"/>
      <c r="G18" s="145"/>
      <c r="H18" s="145"/>
      <c r="I18" s="145"/>
      <c r="J18" s="145"/>
      <c r="K18" s="145"/>
      <c r="L18" s="145"/>
      <c r="M18" s="145"/>
      <c r="N18" s="145"/>
      <c r="O18" s="145"/>
      <c r="P18" s="145"/>
      <c r="Q18" s="145"/>
      <c r="R18" s="145"/>
      <c r="S18" s="145"/>
      <c r="T18" s="145"/>
      <c r="U18" s="145"/>
      <c r="V18" s="145"/>
    </row>
    <row r="19" spans="1:22" ht="15.75" customHeight="1" x14ac:dyDescent="0.25">
      <c r="A19" s="145"/>
      <c r="B19" s="145"/>
      <c r="C19" s="145"/>
      <c r="D19" s="145"/>
      <c r="E19" s="145"/>
      <c r="F19" s="145"/>
      <c r="G19" s="145"/>
      <c r="H19" s="145"/>
      <c r="I19" s="145"/>
      <c r="J19" s="145"/>
      <c r="K19" s="145"/>
      <c r="L19" s="145"/>
      <c r="M19" s="145"/>
      <c r="N19" s="145"/>
      <c r="O19" s="145"/>
      <c r="P19" s="145"/>
      <c r="Q19" s="145"/>
      <c r="R19" s="145"/>
      <c r="S19" s="145"/>
      <c r="T19" s="145"/>
      <c r="U19" s="145"/>
      <c r="V19" s="145"/>
    </row>
    <row r="20" spans="1:22" ht="15.75" customHeight="1" x14ac:dyDescent="0.25">
      <c r="A20" s="145"/>
      <c r="B20" s="145"/>
      <c r="C20" s="145"/>
      <c r="D20" s="145"/>
      <c r="E20" s="145"/>
      <c r="F20" s="145"/>
      <c r="G20" s="145"/>
      <c r="H20" s="145"/>
      <c r="I20" s="145"/>
      <c r="J20" s="145"/>
      <c r="K20" s="145"/>
      <c r="L20" s="145"/>
      <c r="M20" s="145"/>
      <c r="N20" s="145"/>
      <c r="O20" s="145"/>
      <c r="P20" s="145"/>
      <c r="Q20" s="145"/>
      <c r="R20" s="145"/>
      <c r="S20" s="145"/>
      <c r="T20" s="145"/>
      <c r="U20" s="145"/>
      <c r="V20" s="145"/>
    </row>
    <row r="21" spans="1:22" ht="15.75" customHeight="1" x14ac:dyDescent="0.25">
      <c r="A21" s="145"/>
      <c r="B21" s="145"/>
      <c r="C21" s="145"/>
      <c r="D21" s="145"/>
      <c r="E21" s="145"/>
      <c r="F21" s="145"/>
      <c r="G21" s="145"/>
      <c r="H21" s="145"/>
      <c r="I21" s="145"/>
      <c r="J21" s="145"/>
      <c r="K21" s="145"/>
      <c r="L21" s="145"/>
      <c r="M21" s="145"/>
      <c r="N21" s="145"/>
      <c r="O21" s="145"/>
      <c r="P21" s="145"/>
      <c r="Q21" s="145"/>
      <c r="R21" s="145"/>
      <c r="S21" s="145"/>
      <c r="T21" s="145"/>
      <c r="U21" s="145"/>
      <c r="V21" s="145"/>
    </row>
    <row r="22" spans="1:22" ht="15.75" customHeight="1" x14ac:dyDescent="0.25">
      <c r="A22" s="145"/>
      <c r="B22" s="145"/>
      <c r="C22" s="145"/>
      <c r="D22" s="145"/>
      <c r="E22" s="145"/>
      <c r="F22" s="145"/>
      <c r="G22" s="145"/>
      <c r="H22" s="145"/>
      <c r="I22" s="145"/>
      <c r="J22" s="145"/>
      <c r="K22" s="145"/>
      <c r="L22" s="145"/>
      <c r="M22" s="145"/>
      <c r="N22" s="145"/>
      <c r="O22" s="145"/>
      <c r="P22" s="145"/>
      <c r="Q22" s="145"/>
      <c r="R22" s="145"/>
      <c r="S22" s="145"/>
      <c r="T22" s="145"/>
      <c r="U22" s="145"/>
      <c r="V22" s="145"/>
    </row>
    <row r="23" spans="1:22" ht="15.75" customHeight="1" x14ac:dyDescent="0.25">
      <c r="A23" s="145"/>
      <c r="B23" s="145"/>
      <c r="C23" s="145"/>
      <c r="D23" s="145"/>
      <c r="E23" s="145"/>
      <c r="F23" s="145"/>
      <c r="G23" s="145"/>
      <c r="H23" s="145"/>
      <c r="I23" s="145"/>
      <c r="J23" s="145"/>
      <c r="K23" s="145"/>
      <c r="L23" s="145"/>
      <c r="M23" s="145"/>
      <c r="N23" s="145"/>
      <c r="O23" s="145"/>
      <c r="P23" s="145"/>
      <c r="Q23" s="145"/>
      <c r="R23" s="145"/>
      <c r="S23" s="145"/>
      <c r="T23" s="145"/>
      <c r="U23" s="145"/>
      <c r="V23" s="145"/>
    </row>
    <row r="24" spans="1:22" ht="15.75" customHeight="1" x14ac:dyDescent="0.25">
      <c r="A24" s="145"/>
      <c r="B24" s="145"/>
      <c r="C24" s="145"/>
      <c r="D24" s="145"/>
      <c r="E24" s="145"/>
      <c r="F24" s="145"/>
      <c r="G24" s="145"/>
      <c r="H24" s="145"/>
      <c r="I24" s="145"/>
      <c r="J24" s="145"/>
      <c r="K24" s="145"/>
      <c r="L24" s="145"/>
      <c r="M24" s="145"/>
      <c r="N24" s="145"/>
      <c r="O24" s="145"/>
      <c r="P24" s="145"/>
      <c r="Q24" s="145"/>
      <c r="R24" s="145"/>
      <c r="S24" s="145"/>
      <c r="T24" s="145"/>
      <c r="U24" s="145"/>
      <c r="V24" s="145"/>
    </row>
    <row r="25" spans="1:22" ht="15.75" customHeight="1" x14ac:dyDescent="0.25">
      <c r="A25" s="145"/>
      <c r="B25" s="145"/>
      <c r="C25" s="145"/>
      <c r="D25" s="145"/>
      <c r="E25" s="145"/>
      <c r="F25" s="145"/>
      <c r="G25" s="145"/>
      <c r="H25" s="145"/>
      <c r="I25" s="145"/>
      <c r="J25" s="145"/>
      <c r="K25" s="145"/>
      <c r="L25" s="145"/>
      <c r="M25" s="145"/>
      <c r="N25" s="145"/>
      <c r="O25" s="145"/>
      <c r="P25" s="145"/>
      <c r="Q25" s="145"/>
      <c r="R25" s="145"/>
      <c r="S25" s="145"/>
      <c r="T25" s="145"/>
      <c r="U25" s="145"/>
      <c r="V25" s="145"/>
    </row>
    <row r="26" spans="1:22" ht="15.75" customHeight="1" x14ac:dyDescent="0.25">
      <c r="A26" s="145"/>
      <c r="B26" s="145"/>
      <c r="C26" s="145"/>
      <c r="D26" s="145"/>
      <c r="E26" s="145"/>
      <c r="F26" s="145"/>
      <c r="G26" s="145"/>
      <c r="H26" s="145"/>
      <c r="I26" s="145"/>
      <c r="J26" s="145"/>
      <c r="K26" s="145"/>
      <c r="L26" s="145"/>
      <c r="M26" s="145"/>
      <c r="N26" s="145"/>
      <c r="O26" s="145"/>
      <c r="P26" s="145"/>
      <c r="Q26" s="145"/>
      <c r="R26" s="145"/>
      <c r="S26" s="145"/>
      <c r="T26" s="145"/>
      <c r="U26" s="145"/>
      <c r="V26" s="145"/>
    </row>
    <row r="27" spans="1:22" ht="15.75" customHeight="1" x14ac:dyDescent="0.25">
      <c r="A27" s="145"/>
      <c r="B27" s="145"/>
      <c r="C27" s="145"/>
      <c r="D27" s="145"/>
      <c r="E27" s="145"/>
      <c r="F27" s="145"/>
      <c r="G27" s="145"/>
      <c r="H27" s="145"/>
      <c r="I27" s="145"/>
      <c r="J27" s="145"/>
      <c r="K27" s="145"/>
      <c r="L27" s="145"/>
      <c r="M27" s="145"/>
      <c r="N27" s="145"/>
      <c r="O27" s="145"/>
      <c r="P27" s="145"/>
      <c r="Q27" s="145"/>
      <c r="R27" s="145"/>
      <c r="S27" s="145"/>
      <c r="T27" s="145"/>
      <c r="U27" s="145"/>
      <c r="V27" s="145"/>
    </row>
    <row r="28" spans="1:22" ht="15.75" customHeight="1" x14ac:dyDescent="0.25">
      <c r="A28" s="145"/>
      <c r="B28" s="145"/>
      <c r="C28" s="145"/>
      <c r="D28" s="145"/>
      <c r="E28" s="145"/>
      <c r="F28" s="145"/>
      <c r="G28" s="145"/>
      <c r="H28" s="145"/>
      <c r="I28" s="145"/>
      <c r="J28" s="145"/>
      <c r="K28" s="145"/>
      <c r="L28" s="145"/>
      <c r="M28" s="145"/>
      <c r="N28" s="145"/>
      <c r="O28" s="145"/>
      <c r="P28" s="145"/>
      <c r="Q28" s="145"/>
      <c r="R28" s="145"/>
      <c r="S28" s="145"/>
      <c r="T28" s="145"/>
      <c r="U28" s="145"/>
      <c r="V28" s="145"/>
    </row>
    <row r="29" spans="1:22" ht="15.75" customHeight="1" x14ac:dyDescent="0.25">
      <c r="A29" s="145"/>
      <c r="B29" s="145"/>
      <c r="C29" s="145"/>
      <c r="D29" s="145"/>
      <c r="E29" s="145"/>
      <c r="F29" s="145"/>
      <c r="G29" s="145"/>
      <c r="H29" s="145"/>
      <c r="I29" s="145"/>
      <c r="J29" s="145"/>
      <c r="K29" s="145"/>
      <c r="L29" s="145"/>
      <c r="M29" s="145"/>
      <c r="N29" s="145"/>
      <c r="O29" s="145"/>
      <c r="P29" s="145"/>
      <c r="Q29" s="145"/>
      <c r="R29" s="145"/>
      <c r="S29" s="145"/>
      <c r="T29" s="145"/>
      <c r="U29" s="145"/>
      <c r="V29" s="145"/>
    </row>
    <row r="30" spans="1:22" ht="15.75" customHeight="1" x14ac:dyDescent="0.25">
      <c r="A30" s="145"/>
      <c r="B30" s="145"/>
      <c r="C30" s="145"/>
      <c r="D30" s="145"/>
      <c r="E30" s="145"/>
      <c r="F30" s="145"/>
      <c r="G30" s="145"/>
      <c r="H30" s="145"/>
      <c r="I30" s="145"/>
      <c r="J30" s="145"/>
      <c r="K30" s="145"/>
      <c r="L30" s="145"/>
      <c r="M30" s="145"/>
      <c r="N30" s="145"/>
      <c r="O30" s="145"/>
      <c r="P30" s="145"/>
      <c r="Q30" s="145"/>
      <c r="R30" s="145"/>
      <c r="S30" s="145"/>
      <c r="T30" s="145"/>
      <c r="U30" s="145"/>
      <c r="V30" s="145"/>
    </row>
    <row r="31" spans="1:22" ht="15.75" customHeight="1" x14ac:dyDescent="0.25">
      <c r="A31" s="145"/>
      <c r="B31" s="145"/>
      <c r="C31" s="145"/>
      <c r="D31" s="145"/>
      <c r="E31" s="145"/>
      <c r="F31" s="145"/>
      <c r="G31" s="145"/>
      <c r="H31" s="145"/>
      <c r="I31" s="145"/>
      <c r="J31" s="145"/>
      <c r="K31" s="145"/>
      <c r="L31" s="145"/>
      <c r="M31" s="145"/>
      <c r="N31" s="145"/>
      <c r="O31" s="145"/>
      <c r="P31" s="145"/>
      <c r="Q31" s="145"/>
      <c r="R31" s="145"/>
      <c r="S31" s="145"/>
      <c r="T31" s="145"/>
      <c r="U31" s="145"/>
      <c r="V31" s="145"/>
    </row>
    <row r="32" spans="1:22" ht="15.75" customHeight="1" x14ac:dyDescent="0.25">
      <c r="A32" s="145"/>
      <c r="B32" s="145"/>
      <c r="C32" s="145"/>
      <c r="D32" s="145"/>
      <c r="E32" s="145"/>
      <c r="F32" s="145"/>
      <c r="G32" s="145"/>
      <c r="H32" s="145"/>
      <c r="I32" s="145"/>
      <c r="J32" s="145"/>
      <c r="K32" s="145"/>
      <c r="L32" s="145"/>
      <c r="M32" s="145"/>
      <c r="N32" s="145"/>
      <c r="O32" s="145"/>
      <c r="P32" s="145"/>
      <c r="Q32" s="145"/>
      <c r="R32" s="145"/>
      <c r="S32" s="145"/>
      <c r="T32" s="145"/>
      <c r="U32" s="145"/>
      <c r="V32" s="145"/>
    </row>
    <row r="33" spans="1:22" ht="15.75" customHeight="1" x14ac:dyDescent="0.25">
      <c r="A33" s="145"/>
      <c r="B33" s="145"/>
      <c r="C33" s="145"/>
      <c r="D33" s="145"/>
      <c r="E33" s="145"/>
      <c r="F33" s="145"/>
      <c r="G33" s="145"/>
      <c r="H33" s="145"/>
      <c r="I33" s="145"/>
      <c r="J33" s="145"/>
      <c r="K33" s="145"/>
      <c r="L33" s="145"/>
      <c r="M33" s="145"/>
      <c r="N33" s="145"/>
      <c r="O33" s="145"/>
      <c r="P33" s="145"/>
      <c r="Q33" s="145"/>
      <c r="R33" s="145"/>
      <c r="S33" s="145"/>
      <c r="T33" s="145"/>
      <c r="U33" s="145"/>
      <c r="V33" s="145"/>
    </row>
    <row r="34" spans="1:22" ht="15.75" customHeight="1" x14ac:dyDescent="0.25">
      <c r="A34" s="145"/>
      <c r="B34" s="145"/>
      <c r="C34" s="145"/>
      <c r="D34" s="145"/>
      <c r="E34" s="145"/>
      <c r="F34" s="145"/>
      <c r="G34" s="145"/>
      <c r="H34" s="145"/>
      <c r="I34" s="145"/>
      <c r="J34" s="145"/>
      <c r="K34" s="145"/>
      <c r="L34" s="145"/>
      <c r="M34" s="145"/>
      <c r="N34" s="145"/>
      <c r="O34" s="145"/>
      <c r="P34" s="145"/>
      <c r="Q34" s="145"/>
      <c r="R34" s="145"/>
      <c r="S34" s="145"/>
      <c r="T34" s="145"/>
      <c r="U34" s="145"/>
      <c r="V34" s="145"/>
    </row>
    <row r="35" spans="1:22" ht="15.75" customHeight="1" x14ac:dyDescent="0.25">
      <c r="A35" s="145"/>
      <c r="B35" s="145"/>
      <c r="C35" s="145"/>
      <c r="D35" s="145"/>
      <c r="E35" s="145"/>
      <c r="F35" s="145"/>
      <c r="G35" s="145"/>
      <c r="H35" s="145"/>
      <c r="I35" s="145"/>
      <c r="J35" s="145"/>
      <c r="K35" s="145"/>
      <c r="L35" s="145"/>
      <c r="M35" s="145"/>
      <c r="N35" s="145"/>
      <c r="O35" s="145"/>
      <c r="P35" s="145"/>
      <c r="Q35" s="145"/>
      <c r="R35" s="145"/>
      <c r="S35" s="145"/>
      <c r="T35" s="145"/>
      <c r="U35" s="145"/>
      <c r="V35" s="145"/>
    </row>
    <row r="36" spans="1:22" ht="15.75" customHeight="1" x14ac:dyDescent="0.25">
      <c r="A36" s="145"/>
      <c r="B36" s="145"/>
      <c r="C36" s="145"/>
      <c r="D36" s="145"/>
      <c r="E36" s="145"/>
      <c r="F36" s="145"/>
      <c r="G36" s="145"/>
      <c r="H36" s="145"/>
      <c r="I36" s="145"/>
      <c r="J36" s="145"/>
      <c r="K36" s="145"/>
      <c r="L36" s="145"/>
      <c r="M36" s="145"/>
      <c r="N36" s="145"/>
      <c r="O36" s="145"/>
      <c r="P36" s="145"/>
      <c r="Q36" s="145"/>
      <c r="R36" s="145"/>
      <c r="S36" s="145"/>
      <c r="T36" s="145"/>
      <c r="U36" s="145"/>
      <c r="V36" s="145"/>
    </row>
    <row r="37" spans="1:22" ht="15.75" customHeight="1" x14ac:dyDescent="0.25">
      <c r="A37" s="145"/>
      <c r="B37" s="145"/>
      <c r="C37" s="145"/>
      <c r="D37" s="145"/>
      <c r="E37" s="145"/>
      <c r="F37" s="145"/>
      <c r="G37" s="145"/>
      <c r="H37" s="145"/>
      <c r="I37" s="145"/>
      <c r="J37" s="145"/>
      <c r="K37" s="145"/>
      <c r="L37" s="145"/>
      <c r="M37" s="145"/>
      <c r="N37" s="145"/>
      <c r="O37" s="145"/>
      <c r="P37" s="145"/>
      <c r="Q37" s="145"/>
      <c r="R37" s="145"/>
      <c r="S37" s="145"/>
      <c r="T37" s="145"/>
      <c r="U37" s="145"/>
      <c r="V37" s="145"/>
    </row>
    <row r="38" spans="1:22" ht="15.75" customHeight="1" x14ac:dyDescent="0.25">
      <c r="A38" s="145"/>
      <c r="B38" s="145"/>
      <c r="C38" s="145"/>
      <c r="D38" s="145"/>
      <c r="E38" s="145"/>
      <c r="F38" s="145"/>
      <c r="G38" s="145"/>
      <c r="H38" s="145"/>
      <c r="I38" s="145"/>
      <c r="J38" s="145"/>
      <c r="K38" s="145"/>
      <c r="L38" s="145"/>
      <c r="M38" s="145"/>
      <c r="N38" s="145"/>
      <c r="O38" s="145"/>
      <c r="P38" s="145"/>
      <c r="Q38" s="145"/>
      <c r="R38" s="145"/>
      <c r="S38" s="145"/>
      <c r="T38" s="145"/>
      <c r="U38" s="145"/>
      <c r="V38" s="145"/>
    </row>
    <row r="39" spans="1:22" ht="15.75" customHeight="1" x14ac:dyDescent="0.25">
      <c r="A39" s="145"/>
      <c r="B39" s="145"/>
      <c r="C39" s="145"/>
      <c r="D39" s="145"/>
      <c r="E39" s="145"/>
      <c r="F39" s="145"/>
      <c r="G39" s="145"/>
      <c r="H39" s="145"/>
      <c r="I39" s="145"/>
      <c r="J39" s="145"/>
      <c r="K39" s="145"/>
      <c r="L39" s="145"/>
      <c r="M39" s="145"/>
      <c r="N39" s="145"/>
      <c r="O39" s="145"/>
      <c r="P39" s="145"/>
      <c r="Q39" s="145"/>
      <c r="R39" s="145"/>
      <c r="S39" s="145"/>
      <c r="T39" s="145"/>
      <c r="U39" s="145"/>
      <c r="V39" s="145"/>
    </row>
    <row r="40" spans="1:22" ht="15.75" customHeight="1" x14ac:dyDescent="0.25">
      <c r="A40" s="145"/>
      <c r="B40" s="145"/>
      <c r="C40" s="145"/>
      <c r="D40" s="145"/>
      <c r="E40" s="145"/>
      <c r="F40" s="145"/>
      <c r="G40" s="145"/>
      <c r="H40" s="145"/>
      <c r="I40" s="145"/>
      <c r="J40" s="145"/>
      <c r="K40" s="145"/>
      <c r="L40" s="145"/>
      <c r="M40" s="145"/>
      <c r="N40" s="145"/>
      <c r="O40" s="145"/>
      <c r="P40" s="145"/>
      <c r="Q40" s="145"/>
      <c r="R40" s="145"/>
      <c r="S40" s="145"/>
      <c r="T40" s="145"/>
      <c r="U40" s="145"/>
      <c r="V40" s="145"/>
    </row>
    <row r="41" spans="1:22" ht="15.75" customHeight="1" x14ac:dyDescent="0.25">
      <c r="A41" s="145"/>
      <c r="B41" s="145"/>
      <c r="C41" s="145"/>
      <c r="D41" s="145"/>
      <c r="E41" s="145"/>
      <c r="F41" s="145"/>
      <c r="G41" s="145"/>
      <c r="H41" s="145"/>
      <c r="I41" s="145"/>
      <c r="J41" s="145"/>
      <c r="K41" s="145"/>
      <c r="L41" s="145"/>
      <c r="M41" s="145"/>
      <c r="N41" s="145"/>
      <c r="O41" s="145"/>
      <c r="P41" s="145"/>
      <c r="Q41" s="145"/>
      <c r="R41" s="145"/>
      <c r="S41" s="145"/>
      <c r="T41" s="145"/>
      <c r="U41" s="145"/>
      <c r="V41" s="145"/>
    </row>
    <row r="42" spans="1:22" ht="15.75" customHeight="1" x14ac:dyDescent="0.25">
      <c r="A42" s="145"/>
      <c r="B42" s="145"/>
      <c r="C42" s="145"/>
      <c r="D42" s="145"/>
      <c r="E42" s="145"/>
      <c r="F42" s="145"/>
      <c r="G42" s="145"/>
      <c r="H42" s="145"/>
      <c r="I42" s="145"/>
      <c r="J42" s="145"/>
      <c r="K42" s="145"/>
      <c r="L42" s="145"/>
      <c r="M42" s="145"/>
      <c r="N42" s="145"/>
      <c r="O42" s="145"/>
      <c r="P42" s="145"/>
      <c r="Q42" s="145"/>
      <c r="R42" s="145"/>
      <c r="S42" s="145"/>
      <c r="T42" s="145"/>
      <c r="U42" s="145"/>
      <c r="V42" s="145"/>
    </row>
    <row r="43" spans="1:22" ht="15.75" customHeight="1" x14ac:dyDescent="0.25">
      <c r="A43" s="145"/>
      <c r="B43" s="145"/>
      <c r="C43" s="145"/>
      <c r="D43" s="145"/>
      <c r="E43" s="145"/>
      <c r="F43" s="145"/>
      <c r="G43" s="145"/>
      <c r="H43" s="145"/>
      <c r="I43" s="145"/>
      <c r="J43" s="145"/>
      <c r="K43" s="145"/>
      <c r="L43" s="145"/>
      <c r="M43" s="145"/>
      <c r="N43" s="145"/>
      <c r="O43" s="145"/>
      <c r="P43" s="145"/>
      <c r="Q43" s="145"/>
      <c r="R43" s="145"/>
      <c r="S43" s="145"/>
      <c r="T43" s="145"/>
      <c r="U43" s="145"/>
      <c r="V43" s="145"/>
    </row>
    <row r="44" spans="1:22" ht="15.75" customHeight="1" x14ac:dyDescent="0.25">
      <c r="A44" s="145"/>
      <c r="B44" s="145"/>
      <c r="C44" s="145"/>
      <c r="D44" s="145"/>
      <c r="E44" s="145"/>
      <c r="F44" s="145"/>
      <c r="G44" s="145"/>
      <c r="H44" s="145"/>
      <c r="I44" s="145"/>
      <c r="J44" s="145"/>
      <c r="K44" s="145"/>
      <c r="L44" s="145"/>
      <c r="M44" s="145"/>
      <c r="N44" s="145"/>
      <c r="O44" s="145"/>
      <c r="P44" s="145"/>
      <c r="Q44" s="145"/>
      <c r="R44" s="145"/>
      <c r="S44" s="145"/>
      <c r="T44" s="145"/>
      <c r="U44" s="145"/>
      <c r="V44" s="145"/>
    </row>
    <row r="45" spans="1:22" ht="15.75" customHeight="1" x14ac:dyDescent="0.25">
      <c r="A45" s="145"/>
      <c r="B45" s="145"/>
      <c r="C45" s="145"/>
      <c r="D45" s="145"/>
      <c r="E45" s="145"/>
      <c r="F45" s="145"/>
      <c r="G45" s="145"/>
      <c r="H45" s="145"/>
      <c r="I45" s="145"/>
      <c r="J45" s="145"/>
      <c r="K45" s="145"/>
      <c r="L45" s="145"/>
      <c r="M45" s="145"/>
      <c r="N45" s="145"/>
      <c r="O45" s="145"/>
      <c r="P45" s="145"/>
      <c r="Q45" s="145"/>
      <c r="R45" s="145"/>
      <c r="S45" s="145"/>
      <c r="T45" s="145"/>
      <c r="U45" s="145"/>
      <c r="V45" s="145"/>
    </row>
    <row r="46" spans="1:22" ht="15.75" customHeight="1" x14ac:dyDescent="0.25">
      <c r="A46" s="145"/>
      <c r="B46" s="145"/>
      <c r="C46" s="145"/>
      <c r="D46" s="145"/>
      <c r="E46" s="145"/>
      <c r="F46" s="145"/>
      <c r="G46" s="145"/>
      <c r="H46" s="145"/>
      <c r="I46" s="145"/>
      <c r="J46" s="145"/>
      <c r="K46" s="145"/>
      <c r="L46" s="145"/>
      <c r="M46" s="145"/>
      <c r="N46" s="145"/>
      <c r="O46" s="145"/>
      <c r="P46" s="145"/>
      <c r="Q46" s="145"/>
      <c r="R46" s="145"/>
      <c r="S46" s="145"/>
      <c r="T46" s="145"/>
      <c r="U46" s="145"/>
      <c r="V46" s="145"/>
    </row>
    <row r="47" spans="1:22" ht="15.75" customHeight="1" x14ac:dyDescent="0.25">
      <c r="A47" s="145"/>
      <c r="B47" s="145"/>
      <c r="C47" s="145"/>
      <c r="D47" s="145"/>
      <c r="E47" s="145"/>
      <c r="F47" s="145"/>
      <c r="G47" s="145"/>
      <c r="H47" s="145"/>
      <c r="I47" s="145"/>
      <c r="J47" s="145"/>
      <c r="K47" s="145"/>
      <c r="L47" s="145"/>
      <c r="M47" s="145"/>
      <c r="N47" s="145"/>
      <c r="O47" s="145"/>
      <c r="P47" s="145"/>
      <c r="Q47" s="145"/>
      <c r="R47" s="145"/>
      <c r="S47" s="145"/>
      <c r="T47" s="145"/>
      <c r="U47" s="145"/>
      <c r="V47" s="145"/>
    </row>
    <row r="48" spans="1:22" ht="15.75" customHeight="1" x14ac:dyDescent="0.25">
      <c r="A48" s="145"/>
      <c r="B48" s="145"/>
      <c r="C48" s="145"/>
      <c r="D48" s="145"/>
      <c r="E48" s="145"/>
      <c r="F48" s="145"/>
      <c r="G48" s="145"/>
      <c r="H48" s="145"/>
      <c r="I48" s="145"/>
      <c r="J48" s="145"/>
      <c r="K48" s="145"/>
      <c r="L48" s="145"/>
      <c r="M48" s="145"/>
      <c r="N48" s="145"/>
      <c r="O48" s="145"/>
      <c r="P48" s="145"/>
      <c r="Q48" s="145"/>
      <c r="R48" s="145"/>
      <c r="S48" s="145"/>
      <c r="T48" s="145"/>
      <c r="U48" s="145"/>
      <c r="V48" s="145"/>
    </row>
    <row r="49" spans="1:22" ht="15.75" customHeight="1" x14ac:dyDescent="0.25">
      <c r="A49" s="145"/>
      <c r="B49" s="145"/>
      <c r="C49" s="145"/>
      <c r="D49" s="145"/>
      <c r="E49" s="145"/>
      <c r="F49" s="145"/>
      <c r="G49" s="145"/>
      <c r="H49" s="145"/>
      <c r="I49" s="145"/>
      <c r="J49" s="145"/>
      <c r="K49" s="145"/>
      <c r="L49" s="145"/>
      <c r="M49" s="145"/>
      <c r="N49" s="145"/>
      <c r="O49" s="145"/>
      <c r="P49" s="145"/>
      <c r="Q49" s="145"/>
      <c r="R49" s="145"/>
      <c r="S49" s="145"/>
      <c r="T49" s="145"/>
      <c r="U49" s="145"/>
      <c r="V49" s="145"/>
    </row>
    <row r="50" spans="1:22" ht="15.75" customHeight="1" x14ac:dyDescent="0.25">
      <c r="A50" s="145"/>
      <c r="B50" s="145"/>
      <c r="C50" s="145"/>
      <c r="D50" s="145"/>
      <c r="E50" s="145"/>
      <c r="F50" s="145"/>
      <c r="G50" s="145"/>
      <c r="H50" s="145"/>
      <c r="I50" s="145"/>
      <c r="J50" s="145"/>
      <c r="K50" s="145"/>
      <c r="L50" s="145"/>
      <c r="M50" s="145"/>
      <c r="N50" s="145"/>
      <c r="O50" s="145"/>
      <c r="P50" s="145"/>
      <c r="Q50" s="145"/>
      <c r="R50" s="145"/>
      <c r="S50" s="145"/>
      <c r="T50" s="145"/>
      <c r="U50" s="145"/>
      <c r="V50" s="145"/>
    </row>
    <row r="51" spans="1:22" ht="15.75" customHeight="1" x14ac:dyDescent="0.25">
      <c r="A51" s="145"/>
      <c r="B51" s="145"/>
      <c r="C51" s="145"/>
      <c r="D51" s="145"/>
      <c r="E51" s="145"/>
      <c r="F51" s="145"/>
      <c r="G51" s="145"/>
      <c r="H51" s="145"/>
      <c r="I51" s="145"/>
      <c r="J51" s="145"/>
      <c r="K51" s="145"/>
      <c r="L51" s="145"/>
      <c r="M51" s="145"/>
      <c r="N51" s="145"/>
      <c r="O51" s="145"/>
      <c r="P51" s="145"/>
      <c r="Q51" s="145"/>
      <c r="R51" s="145"/>
      <c r="S51" s="145"/>
      <c r="T51" s="145"/>
      <c r="U51" s="145"/>
      <c r="V51" s="145"/>
    </row>
    <row r="52" spans="1:22" ht="15.75" customHeight="1" x14ac:dyDescent="0.25">
      <c r="A52" s="145"/>
      <c r="B52" s="145"/>
      <c r="C52" s="145"/>
      <c r="D52" s="145"/>
      <c r="E52" s="145"/>
      <c r="F52" s="145"/>
      <c r="G52" s="145"/>
      <c r="H52" s="145"/>
      <c r="I52" s="145"/>
      <c r="J52" s="145"/>
      <c r="K52" s="145"/>
      <c r="L52" s="145"/>
      <c r="M52" s="145"/>
      <c r="N52" s="145"/>
      <c r="O52" s="145"/>
      <c r="P52" s="145"/>
      <c r="Q52" s="145"/>
      <c r="R52" s="145"/>
      <c r="S52" s="145"/>
      <c r="T52" s="145"/>
      <c r="U52" s="145"/>
      <c r="V52" s="145"/>
    </row>
    <row r="53" spans="1:22" ht="15.75" customHeight="1" x14ac:dyDescent="0.25">
      <c r="A53" s="145"/>
      <c r="B53" s="145"/>
      <c r="C53" s="145"/>
      <c r="D53" s="145"/>
      <c r="E53" s="145"/>
      <c r="F53" s="145"/>
      <c r="G53" s="145"/>
      <c r="H53" s="145"/>
      <c r="I53" s="145"/>
      <c r="J53" s="145"/>
      <c r="K53" s="145"/>
      <c r="L53" s="145"/>
      <c r="M53" s="145"/>
      <c r="N53" s="145"/>
      <c r="O53" s="145"/>
      <c r="P53" s="145"/>
      <c r="Q53" s="145"/>
      <c r="R53" s="145"/>
      <c r="S53" s="145"/>
      <c r="T53" s="145"/>
      <c r="U53" s="145"/>
      <c r="V53" s="145"/>
    </row>
    <row r="54" spans="1:22" ht="15.75" customHeight="1" x14ac:dyDescent="0.25">
      <c r="A54" s="145"/>
      <c r="B54" s="145"/>
      <c r="C54" s="145"/>
      <c r="D54" s="145"/>
      <c r="E54" s="145"/>
      <c r="F54" s="145"/>
      <c r="G54" s="145"/>
      <c r="H54" s="145"/>
      <c r="I54" s="145"/>
      <c r="J54" s="145"/>
      <c r="K54" s="145"/>
      <c r="L54" s="145"/>
      <c r="M54" s="145"/>
      <c r="N54" s="145"/>
      <c r="O54" s="145"/>
      <c r="P54" s="145"/>
      <c r="Q54" s="145"/>
      <c r="R54" s="145"/>
      <c r="S54" s="145"/>
      <c r="T54" s="145"/>
      <c r="U54" s="145"/>
      <c r="V54" s="145"/>
    </row>
    <row r="55" spans="1:22" ht="15.75" customHeight="1" x14ac:dyDescent="0.25">
      <c r="A55" s="145"/>
      <c r="B55" s="145"/>
      <c r="C55" s="145"/>
      <c r="D55" s="145"/>
      <c r="E55" s="145"/>
      <c r="F55" s="145"/>
      <c r="G55" s="145"/>
      <c r="H55" s="145"/>
      <c r="I55" s="145"/>
      <c r="J55" s="145"/>
      <c r="K55" s="145"/>
      <c r="L55" s="145"/>
      <c r="M55" s="145"/>
      <c r="N55" s="145"/>
      <c r="O55" s="145"/>
      <c r="P55" s="145"/>
      <c r="Q55" s="145"/>
      <c r="R55" s="145"/>
      <c r="S55" s="145"/>
      <c r="T55" s="145"/>
      <c r="U55" s="145"/>
      <c r="V55" s="145"/>
    </row>
    <row r="56" spans="1:22" ht="15.75" customHeight="1" x14ac:dyDescent="0.25">
      <c r="A56" s="145"/>
      <c r="B56" s="145"/>
      <c r="C56" s="145"/>
      <c r="D56" s="145"/>
      <c r="E56" s="145"/>
      <c r="F56" s="145"/>
      <c r="G56" s="145"/>
      <c r="H56" s="145"/>
      <c r="I56" s="145"/>
      <c r="J56" s="145"/>
      <c r="K56" s="145"/>
      <c r="L56" s="145"/>
      <c r="M56" s="145"/>
      <c r="N56" s="145"/>
      <c r="O56" s="145"/>
      <c r="P56" s="145"/>
      <c r="Q56" s="145"/>
      <c r="R56" s="145"/>
      <c r="S56" s="145"/>
      <c r="T56" s="145"/>
      <c r="U56" s="145"/>
      <c r="V56" s="145"/>
    </row>
    <row r="57" spans="1:22" ht="15.75" customHeight="1" x14ac:dyDescent="0.25">
      <c r="A57" s="145"/>
      <c r="B57" s="145"/>
      <c r="C57" s="145"/>
      <c r="D57" s="145"/>
      <c r="E57" s="145"/>
      <c r="F57" s="145"/>
      <c r="G57" s="145"/>
      <c r="H57" s="145"/>
      <c r="I57" s="145"/>
      <c r="J57" s="145"/>
      <c r="K57" s="145"/>
      <c r="L57" s="145"/>
      <c r="M57" s="145"/>
      <c r="N57" s="145"/>
      <c r="O57" s="145"/>
      <c r="P57" s="145"/>
      <c r="Q57" s="145"/>
      <c r="R57" s="145"/>
      <c r="S57" s="145"/>
      <c r="T57" s="145"/>
      <c r="U57" s="145"/>
      <c r="V57" s="145"/>
    </row>
    <row r="58" spans="1:22" ht="15.75" customHeight="1" x14ac:dyDescent="0.25">
      <c r="A58" s="145"/>
      <c r="B58" s="145"/>
      <c r="C58" s="145"/>
      <c r="D58" s="145"/>
      <c r="E58" s="145"/>
      <c r="F58" s="145"/>
      <c r="G58" s="145"/>
      <c r="H58" s="145"/>
      <c r="I58" s="145"/>
      <c r="J58" s="145"/>
      <c r="K58" s="145"/>
      <c r="L58" s="145"/>
      <c r="M58" s="145"/>
      <c r="N58" s="145"/>
      <c r="O58" s="145"/>
      <c r="P58" s="145"/>
      <c r="Q58" s="145"/>
      <c r="R58" s="145"/>
      <c r="S58" s="145"/>
      <c r="T58" s="145"/>
      <c r="U58" s="145"/>
      <c r="V58" s="145"/>
    </row>
    <row r="59" spans="1:22" ht="15.75" customHeight="1" x14ac:dyDescent="0.25">
      <c r="A59" s="145"/>
      <c r="B59" s="145"/>
      <c r="C59" s="145"/>
      <c r="D59" s="145"/>
      <c r="E59" s="145"/>
      <c r="F59" s="145"/>
      <c r="G59" s="145"/>
      <c r="H59" s="145"/>
      <c r="I59" s="145"/>
      <c r="J59" s="145"/>
      <c r="K59" s="145"/>
      <c r="L59" s="145"/>
      <c r="M59" s="145"/>
      <c r="N59" s="145"/>
      <c r="O59" s="145"/>
      <c r="P59" s="145"/>
      <c r="Q59" s="145"/>
      <c r="R59" s="145"/>
      <c r="S59" s="145"/>
      <c r="T59" s="145"/>
      <c r="U59" s="145"/>
      <c r="V59" s="145"/>
    </row>
    <row r="60" spans="1:22" ht="15.75" customHeight="1" x14ac:dyDescent="0.25">
      <c r="A60" s="145"/>
      <c r="B60" s="145"/>
      <c r="C60" s="145"/>
      <c r="D60" s="145"/>
      <c r="E60" s="145"/>
      <c r="F60" s="145"/>
      <c r="G60" s="145"/>
      <c r="H60" s="145"/>
      <c r="I60" s="145"/>
      <c r="J60" s="145"/>
      <c r="K60" s="145"/>
      <c r="L60" s="145"/>
      <c r="M60" s="145"/>
      <c r="N60" s="145"/>
      <c r="O60" s="145"/>
      <c r="P60" s="145"/>
      <c r="Q60" s="145"/>
      <c r="R60" s="145"/>
      <c r="S60" s="145"/>
      <c r="T60" s="145"/>
      <c r="U60" s="145"/>
      <c r="V60" s="145"/>
    </row>
    <row r="61" spans="1:22" ht="15.75" customHeight="1" x14ac:dyDescent="0.25">
      <c r="A61" s="145"/>
      <c r="B61" s="145"/>
      <c r="C61" s="145"/>
      <c r="D61" s="145"/>
      <c r="E61" s="145"/>
      <c r="F61" s="145"/>
      <c r="G61" s="145"/>
      <c r="H61" s="145"/>
      <c r="I61" s="145"/>
      <c r="J61" s="145"/>
      <c r="K61" s="145"/>
      <c r="L61" s="145"/>
      <c r="M61" s="145"/>
      <c r="N61" s="145"/>
      <c r="O61" s="145"/>
      <c r="P61" s="145"/>
      <c r="Q61" s="145"/>
      <c r="R61" s="145"/>
      <c r="S61" s="145"/>
      <c r="T61" s="145"/>
      <c r="U61" s="145"/>
      <c r="V61" s="145"/>
    </row>
    <row r="62" spans="1:22" ht="15.75" customHeight="1" x14ac:dyDescent="0.25">
      <c r="A62" s="145"/>
      <c r="B62" s="145"/>
      <c r="C62" s="145"/>
      <c r="D62" s="145"/>
      <c r="E62" s="145"/>
      <c r="F62" s="145"/>
      <c r="G62" s="145"/>
      <c r="H62" s="145"/>
      <c r="I62" s="145"/>
      <c r="J62" s="145"/>
      <c r="K62" s="145"/>
      <c r="L62" s="145"/>
      <c r="M62" s="145"/>
      <c r="N62" s="145"/>
      <c r="O62" s="145"/>
      <c r="P62" s="145"/>
      <c r="Q62" s="145"/>
      <c r="R62" s="145"/>
      <c r="S62" s="145"/>
      <c r="T62" s="145"/>
      <c r="U62" s="145"/>
      <c r="V62" s="145"/>
    </row>
    <row r="63" spans="1:22" ht="15.75" customHeight="1" x14ac:dyDescent="0.25">
      <c r="A63" s="145"/>
      <c r="B63" s="145"/>
      <c r="C63" s="145"/>
      <c r="D63" s="145"/>
      <c r="E63" s="145"/>
      <c r="F63" s="145"/>
      <c r="G63" s="145"/>
      <c r="H63" s="145"/>
      <c r="I63" s="145"/>
      <c r="J63" s="145"/>
      <c r="K63" s="145"/>
      <c r="L63" s="145"/>
      <c r="M63" s="145"/>
      <c r="N63" s="145"/>
      <c r="O63" s="145"/>
      <c r="P63" s="145"/>
      <c r="Q63" s="145"/>
      <c r="R63" s="145"/>
      <c r="S63" s="145"/>
      <c r="T63" s="145"/>
      <c r="U63" s="145"/>
      <c r="V63" s="145"/>
    </row>
    <row r="64" spans="1:22" ht="15.75" customHeight="1" x14ac:dyDescent="0.25">
      <c r="A64" s="145"/>
      <c r="B64" s="145"/>
      <c r="C64" s="145"/>
      <c r="D64" s="145"/>
      <c r="E64" s="145"/>
      <c r="F64" s="145"/>
      <c r="G64" s="145"/>
      <c r="H64" s="145"/>
      <c r="I64" s="145"/>
      <c r="J64" s="145"/>
      <c r="K64" s="145"/>
      <c r="L64" s="145"/>
      <c r="M64" s="145"/>
      <c r="N64" s="145"/>
      <c r="O64" s="145"/>
      <c r="P64" s="145"/>
      <c r="Q64" s="145"/>
      <c r="R64" s="145"/>
      <c r="S64" s="145"/>
      <c r="T64" s="145"/>
      <c r="U64" s="145"/>
      <c r="V64" s="145"/>
    </row>
    <row r="65" spans="1:22" ht="15.75" customHeight="1" x14ac:dyDescent="0.25">
      <c r="A65" s="145"/>
      <c r="B65" s="145"/>
      <c r="C65" s="145"/>
      <c r="D65" s="145"/>
      <c r="E65" s="145"/>
      <c r="F65" s="145"/>
      <c r="G65" s="145"/>
      <c r="H65" s="145"/>
      <c r="I65" s="145"/>
      <c r="J65" s="145"/>
      <c r="K65" s="145"/>
      <c r="L65" s="145"/>
      <c r="M65" s="145"/>
      <c r="N65" s="145"/>
      <c r="O65" s="145"/>
      <c r="P65" s="145"/>
      <c r="Q65" s="145"/>
      <c r="R65" s="145"/>
      <c r="S65" s="145"/>
      <c r="T65" s="145"/>
      <c r="U65" s="145"/>
      <c r="V65" s="145"/>
    </row>
    <row r="66" spans="1:22" ht="15.75" customHeight="1" x14ac:dyDescent="0.25">
      <c r="A66" s="145"/>
      <c r="B66" s="145"/>
      <c r="C66" s="145"/>
      <c r="D66" s="145"/>
      <c r="E66" s="145"/>
      <c r="F66" s="145"/>
      <c r="G66" s="145"/>
      <c r="H66" s="145"/>
      <c r="I66" s="145"/>
      <c r="J66" s="145"/>
      <c r="K66" s="145"/>
      <c r="L66" s="145"/>
      <c r="M66" s="145"/>
      <c r="N66" s="145"/>
      <c r="O66" s="145"/>
      <c r="P66" s="145"/>
      <c r="Q66" s="145"/>
      <c r="R66" s="145"/>
      <c r="S66" s="145"/>
      <c r="T66" s="145"/>
      <c r="U66" s="145"/>
      <c r="V66" s="145"/>
    </row>
    <row r="67" spans="1:22" ht="15.75" customHeight="1" x14ac:dyDescent="0.25">
      <c r="A67" s="145"/>
      <c r="B67" s="145"/>
      <c r="C67" s="145"/>
      <c r="D67" s="145"/>
      <c r="E67" s="145"/>
      <c r="F67" s="145"/>
      <c r="G67" s="145"/>
      <c r="H67" s="145"/>
      <c r="I67" s="145"/>
      <c r="J67" s="145"/>
      <c r="K67" s="145"/>
      <c r="L67" s="145"/>
      <c r="M67" s="145"/>
      <c r="N67" s="145"/>
      <c r="O67" s="145"/>
      <c r="P67" s="145"/>
      <c r="Q67" s="145"/>
      <c r="R67" s="145"/>
      <c r="S67" s="145"/>
      <c r="T67" s="145"/>
      <c r="U67" s="145"/>
      <c r="V67" s="145"/>
    </row>
    <row r="68" spans="1:22" ht="15.75" customHeight="1" x14ac:dyDescent="0.25">
      <c r="A68" s="145"/>
      <c r="B68" s="145"/>
      <c r="C68" s="145"/>
      <c r="D68" s="145"/>
      <c r="E68" s="145"/>
      <c r="F68" s="145"/>
      <c r="G68" s="145"/>
      <c r="H68" s="145"/>
      <c r="I68" s="145"/>
      <c r="J68" s="145"/>
      <c r="K68" s="145"/>
      <c r="L68" s="145"/>
      <c r="M68" s="145"/>
      <c r="N68" s="145"/>
      <c r="O68" s="145"/>
      <c r="P68" s="145"/>
      <c r="Q68" s="145"/>
      <c r="R68" s="145"/>
      <c r="S68" s="145"/>
      <c r="T68" s="145"/>
      <c r="U68" s="145"/>
      <c r="V68" s="145"/>
    </row>
    <row r="69" spans="1:22" ht="15.75" customHeight="1" x14ac:dyDescent="0.25">
      <c r="A69" s="145"/>
      <c r="B69" s="145"/>
      <c r="C69" s="145"/>
      <c r="D69" s="145"/>
      <c r="E69" s="145"/>
      <c r="F69" s="145"/>
      <c r="G69" s="145"/>
      <c r="H69" s="145"/>
      <c r="I69" s="145"/>
      <c r="J69" s="145"/>
      <c r="K69" s="145"/>
      <c r="L69" s="145"/>
      <c r="M69" s="145"/>
      <c r="N69" s="145"/>
      <c r="O69" s="145"/>
      <c r="P69" s="145"/>
      <c r="Q69" s="145"/>
      <c r="R69" s="145"/>
      <c r="S69" s="145"/>
      <c r="T69" s="145"/>
      <c r="U69" s="145"/>
      <c r="V69" s="145"/>
    </row>
    <row r="70" spans="1:22" ht="15.75" customHeight="1" x14ac:dyDescent="0.25">
      <c r="A70" s="145"/>
      <c r="B70" s="145"/>
      <c r="C70" s="145"/>
      <c r="D70" s="145"/>
      <c r="E70" s="145"/>
      <c r="F70" s="145"/>
      <c r="G70" s="145"/>
      <c r="H70" s="145"/>
      <c r="I70" s="145"/>
      <c r="J70" s="145"/>
      <c r="K70" s="145"/>
      <c r="L70" s="145"/>
      <c r="M70" s="145"/>
      <c r="N70" s="145"/>
      <c r="O70" s="145"/>
      <c r="P70" s="145"/>
      <c r="Q70" s="145"/>
      <c r="R70" s="145"/>
      <c r="S70" s="145"/>
      <c r="T70" s="145"/>
      <c r="U70" s="145"/>
      <c r="V70" s="145"/>
    </row>
    <row r="71" spans="1:22" ht="15.75" customHeight="1" x14ac:dyDescent="0.25">
      <c r="A71" s="145"/>
      <c r="B71" s="145"/>
      <c r="C71" s="145"/>
      <c r="D71" s="145"/>
      <c r="E71" s="145"/>
      <c r="F71" s="145"/>
      <c r="G71" s="145"/>
      <c r="H71" s="145"/>
      <c r="I71" s="145"/>
      <c r="J71" s="145"/>
      <c r="K71" s="145"/>
      <c r="L71" s="145"/>
      <c r="M71" s="145"/>
      <c r="N71" s="145"/>
      <c r="O71" s="145"/>
      <c r="P71" s="145"/>
      <c r="Q71" s="145"/>
      <c r="R71" s="145"/>
      <c r="S71" s="145"/>
      <c r="T71" s="145"/>
      <c r="U71" s="145"/>
      <c r="V71" s="145"/>
    </row>
    <row r="72" spans="1:22" ht="15.75" customHeight="1" x14ac:dyDescent="0.25">
      <c r="A72" s="145"/>
      <c r="B72" s="145"/>
      <c r="C72" s="145"/>
      <c r="D72" s="145"/>
      <c r="E72" s="145"/>
      <c r="F72" s="145"/>
      <c r="G72" s="145"/>
      <c r="H72" s="145"/>
      <c r="I72" s="145"/>
      <c r="J72" s="145"/>
      <c r="K72" s="145"/>
      <c r="L72" s="145"/>
      <c r="M72" s="145"/>
      <c r="N72" s="145"/>
      <c r="O72" s="145"/>
      <c r="P72" s="145"/>
      <c r="Q72" s="145"/>
      <c r="R72" s="145"/>
      <c r="S72" s="145"/>
      <c r="T72" s="145"/>
      <c r="U72" s="145"/>
      <c r="V72" s="145"/>
    </row>
    <row r="73" spans="1:22" ht="15.75" customHeight="1" x14ac:dyDescent="0.25">
      <c r="A73" s="145"/>
      <c r="B73" s="145"/>
      <c r="C73" s="145"/>
      <c r="D73" s="145"/>
      <c r="E73" s="145"/>
      <c r="F73" s="145"/>
      <c r="G73" s="145"/>
      <c r="H73" s="145"/>
      <c r="I73" s="145"/>
      <c r="J73" s="145"/>
      <c r="K73" s="145"/>
      <c r="L73" s="145"/>
      <c r="M73" s="145"/>
      <c r="N73" s="145"/>
      <c r="O73" s="145"/>
      <c r="P73" s="145"/>
      <c r="Q73" s="145"/>
      <c r="R73" s="145"/>
      <c r="S73" s="145"/>
      <c r="T73" s="145"/>
      <c r="U73" s="145"/>
      <c r="V73" s="145"/>
    </row>
    <row r="74" spans="1:22" ht="15.75" customHeight="1" x14ac:dyDescent="0.25">
      <c r="A74" s="145"/>
      <c r="B74" s="145"/>
      <c r="C74" s="145"/>
      <c r="D74" s="145"/>
      <c r="E74" s="145"/>
      <c r="F74" s="145"/>
      <c r="G74" s="145"/>
      <c r="H74" s="145"/>
      <c r="I74" s="145"/>
      <c r="J74" s="145"/>
      <c r="K74" s="145"/>
      <c r="L74" s="145"/>
      <c r="M74" s="145"/>
      <c r="N74" s="145"/>
      <c r="O74" s="145"/>
      <c r="P74" s="145"/>
      <c r="Q74" s="145"/>
      <c r="R74" s="145"/>
      <c r="S74" s="145"/>
      <c r="T74" s="145"/>
      <c r="U74" s="145"/>
      <c r="V74" s="145"/>
    </row>
    <row r="75" spans="1:22" ht="15.75" customHeight="1" x14ac:dyDescent="0.25">
      <c r="A75" s="145"/>
      <c r="B75" s="145"/>
      <c r="C75" s="145"/>
      <c r="D75" s="145"/>
      <c r="E75" s="145"/>
      <c r="F75" s="145"/>
      <c r="G75" s="145"/>
      <c r="H75" s="145"/>
      <c r="I75" s="145"/>
      <c r="J75" s="145"/>
      <c r="K75" s="145"/>
      <c r="L75" s="145"/>
      <c r="M75" s="145"/>
      <c r="N75" s="145"/>
      <c r="O75" s="145"/>
      <c r="P75" s="145"/>
      <c r="Q75" s="145"/>
      <c r="R75" s="145"/>
      <c r="S75" s="145"/>
      <c r="T75" s="145"/>
      <c r="U75" s="145"/>
      <c r="V75" s="145"/>
    </row>
    <row r="76" spans="1:22" ht="15.75" customHeight="1" x14ac:dyDescent="0.25">
      <c r="A76" s="145"/>
      <c r="B76" s="145"/>
      <c r="C76" s="145"/>
      <c r="D76" s="145"/>
      <c r="E76" s="145"/>
      <c r="F76" s="145"/>
      <c r="G76" s="145"/>
      <c r="H76" s="145"/>
      <c r="I76" s="145"/>
      <c r="J76" s="145"/>
      <c r="K76" s="145"/>
      <c r="L76" s="145"/>
      <c r="M76" s="145"/>
      <c r="N76" s="145"/>
      <c r="O76" s="145"/>
      <c r="P76" s="145"/>
      <c r="Q76" s="145"/>
      <c r="R76" s="145"/>
      <c r="S76" s="145"/>
      <c r="T76" s="145"/>
      <c r="U76" s="145"/>
      <c r="V76" s="145"/>
    </row>
    <row r="77" spans="1:22" ht="15.75" customHeight="1" x14ac:dyDescent="0.25">
      <c r="A77" s="145"/>
      <c r="B77" s="145"/>
      <c r="C77" s="145"/>
      <c r="D77" s="145"/>
      <c r="E77" s="145"/>
      <c r="F77" s="145"/>
      <c r="G77" s="145"/>
      <c r="H77" s="145"/>
      <c r="I77" s="145"/>
      <c r="J77" s="145"/>
      <c r="K77" s="145"/>
      <c r="L77" s="145"/>
      <c r="M77" s="145"/>
      <c r="N77" s="145"/>
      <c r="O77" s="145"/>
      <c r="P77" s="145"/>
      <c r="Q77" s="145"/>
      <c r="R77" s="145"/>
      <c r="S77" s="145"/>
      <c r="T77" s="145"/>
      <c r="U77" s="145"/>
      <c r="V77" s="145"/>
    </row>
    <row r="78" spans="1:22" ht="15.75" customHeight="1" x14ac:dyDescent="0.25">
      <c r="A78" s="145"/>
      <c r="B78" s="145"/>
      <c r="C78" s="145"/>
      <c r="D78" s="145"/>
      <c r="E78" s="145"/>
      <c r="F78" s="145"/>
      <c r="G78" s="145"/>
      <c r="H78" s="145"/>
      <c r="I78" s="145"/>
      <c r="J78" s="145"/>
      <c r="K78" s="145"/>
      <c r="L78" s="145"/>
      <c r="M78" s="145"/>
      <c r="N78" s="145"/>
      <c r="O78" s="145"/>
      <c r="P78" s="145"/>
      <c r="Q78" s="145"/>
      <c r="R78" s="145"/>
      <c r="S78" s="145"/>
      <c r="T78" s="145"/>
      <c r="U78" s="145"/>
      <c r="V78" s="145"/>
    </row>
    <row r="79" spans="1:22" ht="15.75" customHeight="1" x14ac:dyDescent="0.25">
      <c r="A79" s="145"/>
      <c r="B79" s="145"/>
      <c r="C79" s="145"/>
      <c r="D79" s="145"/>
      <c r="E79" s="145"/>
      <c r="F79" s="145"/>
      <c r="G79" s="145"/>
      <c r="H79" s="145"/>
      <c r="I79" s="145"/>
      <c r="J79" s="145"/>
      <c r="K79" s="145"/>
      <c r="L79" s="145"/>
      <c r="M79" s="145"/>
      <c r="N79" s="145"/>
      <c r="O79" s="145"/>
      <c r="P79" s="145"/>
      <c r="Q79" s="145"/>
      <c r="R79" s="145"/>
      <c r="S79" s="145"/>
      <c r="T79" s="145"/>
      <c r="U79" s="145"/>
      <c r="V79" s="145"/>
    </row>
    <row r="80" spans="1:22" ht="15.75" customHeight="1" x14ac:dyDescent="0.25">
      <c r="A80" s="145"/>
      <c r="B80" s="145"/>
      <c r="C80" s="145"/>
      <c r="D80" s="145"/>
      <c r="E80" s="145"/>
      <c r="F80" s="145"/>
      <c r="G80" s="145"/>
      <c r="H80" s="145"/>
      <c r="I80" s="145"/>
      <c r="J80" s="145"/>
      <c r="K80" s="145"/>
      <c r="L80" s="145"/>
      <c r="M80" s="145"/>
      <c r="N80" s="145"/>
      <c r="O80" s="145"/>
      <c r="P80" s="145"/>
      <c r="Q80" s="145"/>
      <c r="R80" s="145"/>
      <c r="S80" s="145"/>
      <c r="T80" s="145"/>
      <c r="U80" s="145"/>
      <c r="V80" s="145"/>
    </row>
    <row r="81" spans="1:22" ht="15.75" customHeight="1" x14ac:dyDescent="0.25">
      <c r="A81" s="145"/>
      <c r="B81" s="145"/>
      <c r="C81" s="145"/>
      <c r="D81" s="145"/>
      <c r="E81" s="145"/>
      <c r="F81" s="145"/>
      <c r="G81" s="145"/>
      <c r="H81" s="145"/>
      <c r="I81" s="145"/>
      <c r="J81" s="145"/>
      <c r="K81" s="145"/>
      <c r="L81" s="145"/>
      <c r="M81" s="145"/>
      <c r="N81" s="145"/>
      <c r="O81" s="145"/>
      <c r="P81" s="145"/>
      <c r="Q81" s="145"/>
      <c r="R81" s="145"/>
      <c r="S81" s="145"/>
      <c r="T81" s="145"/>
      <c r="U81" s="145"/>
      <c r="V81" s="145"/>
    </row>
    <row r="82" spans="1:22" ht="15.75" customHeight="1" x14ac:dyDescent="0.25">
      <c r="A82" s="145"/>
      <c r="B82" s="145"/>
      <c r="C82" s="145"/>
      <c r="D82" s="145"/>
      <c r="E82" s="145"/>
      <c r="F82" s="145"/>
      <c r="G82" s="145"/>
      <c r="H82" s="145"/>
      <c r="I82" s="145"/>
      <c r="J82" s="145"/>
      <c r="K82" s="145"/>
      <c r="L82" s="145"/>
      <c r="M82" s="145"/>
      <c r="N82" s="145"/>
      <c r="O82" s="145"/>
      <c r="P82" s="145"/>
      <c r="Q82" s="145"/>
      <c r="R82" s="145"/>
      <c r="S82" s="145"/>
      <c r="T82" s="145"/>
      <c r="U82" s="145"/>
      <c r="V82" s="145"/>
    </row>
    <row r="83" spans="1:22" ht="15.75" customHeight="1" x14ac:dyDescent="0.25">
      <c r="A83" s="145"/>
      <c r="B83" s="145"/>
      <c r="C83" s="145"/>
      <c r="D83" s="145"/>
      <c r="E83" s="145"/>
      <c r="F83" s="145"/>
      <c r="G83" s="145"/>
      <c r="H83" s="145"/>
      <c r="I83" s="145"/>
      <c r="J83" s="145"/>
      <c r="K83" s="145"/>
      <c r="L83" s="145"/>
      <c r="M83" s="145"/>
      <c r="N83" s="145"/>
      <c r="O83" s="145"/>
      <c r="P83" s="145"/>
      <c r="Q83" s="145"/>
      <c r="R83" s="145"/>
      <c r="S83" s="145"/>
      <c r="T83" s="145"/>
      <c r="U83" s="145"/>
      <c r="V83" s="145"/>
    </row>
    <row r="84" spans="1:22" ht="15.75" customHeight="1" x14ac:dyDescent="0.25">
      <c r="A84" s="145"/>
      <c r="B84" s="145"/>
      <c r="C84" s="145"/>
      <c r="D84" s="145"/>
      <c r="E84" s="145"/>
      <c r="F84" s="145"/>
      <c r="G84" s="145"/>
      <c r="H84" s="145"/>
      <c r="I84" s="145"/>
      <c r="J84" s="145"/>
      <c r="K84" s="145"/>
      <c r="L84" s="145"/>
      <c r="M84" s="145"/>
      <c r="N84" s="145"/>
      <c r="O84" s="145"/>
      <c r="P84" s="145"/>
      <c r="Q84" s="145"/>
      <c r="R84" s="145"/>
      <c r="S84" s="145"/>
      <c r="T84" s="145"/>
      <c r="U84" s="145"/>
      <c r="V84" s="145"/>
    </row>
    <row r="85" spans="1:22" ht="15.75" customHeight="1" x14ac:dyDescent="0.25">
      <c r="A85" s="145"/>
      <c r="B85" s="145"/>
      <c r="C85" s="145"/>
      <c r="D85" s="145"/>
      <c r="E85" s="145"/>
      <c r="F85" s="145"/>
      <c r="G85" s="145"/>
      <c r="H85" s="145"/>
      <c r="I85" s="145"/>
      <c r="J85" s="145"/>
      <c r="K85" s="145"/>
      <c r="L85" s="145"/>
      <c r="M85" s="145"/>
      <c r="N85" s="145"/>
      <c r="O85" s="145"/>
      <c r="P85" s="145"/>
      <c r="Q85" s="145"/>
      <c r="R85" s="145"/>
      <c r="S85" s="145"/>
      <c r="T85" s="145"/>
      <c r="U85" s="145"/>
      <c r="V85" s="145"/>
    </row>
    <row r="86" spans="1:22" ht="15.75" customHeight="1" x14ac:dyDescent="0.25">
      <c r="A86" s="145"/>
      <c r="B86" s="145"/>
      <c r="C86" s="145"/>
      <c r="D86" s="145"/>
      <c r="E86" s="145"/>
      <c r="F86" s="145"/>
      <c r="G86" s="145"/>
      <c r="H86" s="145"/>
      <c r="I86" s="145"/>
      <c r="J86" s="145"/>
      <c r="K86" s="145"/>
      <c r="L86" s="145"/>
      <c r="M86" s="145"/>
      <c r="N86" s="145"/>
      <c r="O86" s="145"/>
      <c r="P86" s="145"/>
      <c r="Q86" s="145"/>
      <c r="R86" s="145"/>
      <c r="S86" s="145"/>
      <c r="T86" s="145"/>
      <c r="U86" s="145"/>
      <c r="V86" s="145"/>
    </row>
    <row r="87" spans="1:22" ht="15.75" customHeight="1" x14ac:dyDescent="0.25">
      <c r="A87" s="145"/>
      <c r="B87" s="145"/>
      <c r="C87" s="145"/>
      <c r="D87" s="145"/>
      <c r="E87" s="145"/>
      <c r="F87" s="145"/>
      <c r="G87" s="145"/>
      <c r="H87" s="145"/>
      <c r="I87" s="145"/>
      <c r="J87" s="145"/>
      <c r="K87" s="145"/>
      <c r="L87" s="145"/>
      <c r="M87" s="145"/>
      <c r="N87" s="145"/>
      <c r="O87" s="145"/>
      <c r="P87" s="145"/>
      <c r="Q87" s="145"/>
      <c r="R87" s="145"/>
      <c r="S87" s="145"/>
      <c r="T87" s="145"/>
      <c r="U87" s="145"/>
      <c r="V87" s="145"/>
    </row>
    <row r="88" spans="1:22" ht="15.75" customHeight="1" x14ac:dyDescent="0.25">
      <c r="A88" s="145"/>
      <c r="B88" s="145"/>
      <c r="C88" s="145"/>
      <c r="D88" s="145"/>
      <c r="E88" s="145"/>
      <c r="F88" s="145"/>
      <c r="G88" s="145"/>
      <c r="H88" s="145"/>
      <c r="I88" s="145"/>
      <c r="J88" s="145"/>
      <c r="K88" s="145"/>
      <c r="L88" s="145"/>
      <c r="M88" s="145"/>
      <c r="N88" s="145"/>
      <c r="O88" s="145"/>
      <c r="P88" s="145"/>
      <c r="Q88" s="145"/>
      <c r="R88" s="145"/>
      <c r="S88" s="145"/>
      <c r="T88" s="145"/>
      <c r="U88" s="145"/>
      <c r="V88" s="145"/>
    </row>
    <row r="89" spans="1:22" ht="15.75" customHeight="1" x14ac:dyDescent="0.25">
      <c r="A89" s="145"/>
      <c r="B89" s="145"/>
      <c r="C89" s="145"/>
      <c r="D89" s="145"/>
      <c r="E89" s="145"/>
      <c r="F89" s="145"/>
      <c r="G89" s="145"/>
      <c r="H89" s="145"/>
      <c r="I89" s="145"/>
      <c r="J89" s="145"/>
      <c r="K89" s="145"/>
      <c r="L89" s="145"/>
      <c r="M89" s="145"/>
      <c r="N89" s="145"/>
      <c r="O89" s="145"/>
      <c r="P89" s="145"/>
      <c r="Q89" s="145"/>
      <c r="R89" s="145"/>
      <c r="S89" s="145"/>
      <c r="T89" s="145"/>
      <c r="U89" s="145"/>
      <c r="V89" s="145"/>
    </row>
    <row r="90" spans="1:22" ht="15.75" customHeight="1" x14ac:dyDescent="0.25">
      <c r="A90" s="145"/>
      <c r="B90" s="145"/>
      <c r="C90" s="145"/>
      <c r="D90" s="145"/>
      <c r="E90" s="145"/>
      <c r="F90" s="145"/>
      <c r="G90" s="145"/>
      <c r="H90" s="145"/>
      <c r="I90" s="145"/>
      <c r="J90" s="145"/>
      <c r="K90" s="145"/>
      <c r="L90" s="145"/>
      <c r="M90" s="145"/>
      <c r="N90" s="145"/>
      <c r="O90" s="145"/>
      <c r="P90" s="145"/>
      <c r="Q90" s="145"/>
      <c r="R90" s="145"/>
      <c r="S90" s="145"/>
      <c r="T90" s="145"/>
      <c r="U90" s="145"/>
      <c r="V90" s="145"/>
    </row>
    <row r="91" spans="1:22" ht="15.75" customHeight="1" x14ac:dyDescent="0.25">
      <c r="A91" s="145"/>
      <c r="B91" s="145"/>
      <c r="C91" s="145"/>
      <c r="D91" s="145"/>
      <c r="E91" s="145"/>
      <c r="F91" s="145"/>
      <c r="G91" s="145"/>
      <c r="H91" s="145"/>
      <c r="I91" s="145"/>
      <c r="J91" s="145"/>
      <c r="K91" s="145"/>
      <c r="L91" s="145"/>
      <c r="M91" s="145"/>
      <c r="N91" s="145"/>
      <c r="O91" s="145"/>
      <c r="P91" s="145"/>
      <c r="Q91" s="145"/>
      <c r="R91" s="145"/>
      <c r="S91" s="145"/>
      <c r="T91" s="145"/>
      <c r="U91" s="145"/>
      <c r="V91" s="145"/>
    </row>
    <row r="92" spans="1:22" ht="15.75" customHeight="1" x14ac:dyDescent="0.25">
      <c r="A92" s="145"/>
      <c r="B92" s="145"/>
      <c r="C92" s="145"/>
      <c r="D92" s="145"/>
      <c r="E92" s="145"/>
      <c r="F92" s="145"/>
      <c r="G92" s="145"/>
      <c r="H92" s="145"/>
      <c r="I92" s="145"/>
      <c r="J92" s="145"/>
      <c r="K92" s="145"/>
      <c r="L92" s="145"/>
      <c r="M92" s="145"/>
      <c r="N92" s="145"/>
      <c r="O92" s="145"/>
      <c r="P92" s="145"/>
      <c r="Q92" s="145"/>
      <c r="R92" s="145"/>
      <c r="S92" s="145"/>
      <c r="T92" s="145"/>
      <c r="U92" s="145"/>
      <c r="V92" s="145"/>
    </row>
    <row r="93" spans="1:22" ht="15.75" customHeight="1" x14ac:dyDescent="0.25">
      <c r="A93" s="145"/>
      <c r="B93" s="145"/>
      <c r="C93" s="145"/>
      <c r="D93" s="145"/>
      <c r="E93" s="145"/>
      <c r="F93" s="145"/>
      <c r="G93" s="145"/>
      <c r="H93" s="145"/>
      <c r="I93" s="145"/>
      <c r="J93" s="145"/>
      <c r="K93" s="145"/>
      <c r="L93" s="145"/>
      <c r="M93" s="145"/>
      <c r="N93" s="145"/>
      <c r="O93" s="145"/>
      <c r="P93" s="145"/>
      <c r="Q93" s="145"/>
      <c r="R93" s="145"/>
      <c r="S93" s="145"/>
      <c r="T93" s="145"/>
      <c r="U93" s="145"/>
      <c r="V93" s="145"/>
    </row>
    <row r="94" spans="1:22" ht="15.75" customHeight="1" x14ac:dyDescent="0.25">
      <c r="A94" s="145"/>
      <c r="B94" s="145"/>
      <c r="C94" s="145"/>
      <c r="D94" s="145"/>
      <c r="E94" s="145"/>
      <c r="F94" s="145"/>
      <c r="G94" s="145"/>
      <c r="H94" s="145"/>
      <c r="I94" s="145"/>
      <c r="J94" s="145"/>
      <c r="K94" s="145"/>
      <c r="L94" s="145"/>
      <c r="M94" s="145"/>
      <c r="N94" s="145"/>
      <c r="O94" s="145"/>
      <c r="P94" s="145"/>
      <c r="Q94" s="145"/>
      <c r="R94" s="145"/>
      <c r="S94" s="145"/>
      <c r="T94" s="145"/>
      <c r="U94" s="145"/>
      <c r="V94" s="145"/>
    </row>
    <row r="95" spans="1:22" ht="15.75" customHeight="1" x14ac:dyDescent="0.25">
      <c r="A95" s="145"/>
      <c r="B95" s="145"/>
      <c r="C95" s="145"/>
      <c r="D95" s="145"/>
      <c r="E95" s="145"/>
      <c r="F95" s="145"/>
      <c r="G95" s="145"/>
      <c r="H95" s="145"/>
      <c r="I95" s="145"/>
      <c r="J95" s="145"/>
      <c r="K95" s="145"/>
      <c r="L95" s="145"/>
      <c r="M95" s="145"/>
      <c r="N95" s="145"/>
      <c r="O95" s="145"/>
      <c r="P95" s="145"/>
      <c r="Q95" s="145"/>
      <c r="R95" s="145"/>
      <c r="S95" s="145"/>
      <c r="T95" s="145"/>
      <c r="U95" s="145"/>
      <c r="V95" s="145"/>
    </row>
    <row r="96" spans="1:22" ht="15.75" customHeight="1" x14ac:dyDescent="0.25">
      <c r="A96" s="145"/>
      <c r="B96" s="145"/>
      <c r="C96" s="145"/>
      <c r="D96" s="145"/>
      <c r="E96" s="145"/>
      <c r="F96" s="145"/>
      <c r="G96" s="145"/>
      <c r="H96" s="145"/>
      <c r="I96" s="145"/>
      <c r="J96" s="145"/>
      <c r="K96" s="145"/>
      <c r="L96" s="145"/>
      <c r="M96" s="145"/>
      <c r="N96" s="145"/>
      <c r="O96" s="145"/>
      <c r="P96" s="145"/>
      <c r="Q96" s="145"/>
      <c r="R96" s="145"/>
      <c r="S96" s="145"/>
      <c r="T96" s="145"/>
      <c r="U96" s="145"/>
      <c r="V96" s="145"/>
    </row>
    <row r="97" spans="1:22" ht="15.75" customHeight="1" x14ac:dyDescent="0.25">
      <c r="A97" s="145"/>
      <c r="B97" s="145"/>
      <c r="C97" s="145"/>
      <c r="D97" s="145"/>
      <c r="E97" s="145"/>
      <c r="F97" s="145"/>
      <c r="G97" s="145"/>
      <c r="H97" s="145"/>
      <c r="I97" s="145"/>
      <c r="J97" s="145"/>
      <c r="K97" s="145"/>
      <c r="L97" s="145"/>
      <c r="M97" s="145"/>
      <c r="N97" s="145"/>
      <c r="O97" s="145"/>
      <c r="P97" s="145"/>
      <c r="Q97" s="145"/>
      <c r="R97" s="145"/>
      <c r="S97" s="145"/>
      <c r="T97" s="145"/>
      <c r="U97" s="145"/>
      <c r="V97" s="145"/>
    </row>
    <row r="98" spans="1:22" ht="15.75" customHeight="1" x14ac:dyDescent="0.25">
      <c r="A98" s="145"/>
      <c r="B98" s="145"/>
      <c r="C98" s="145"/>
      <c r="D98" s="145"/>
      <c r="E98" s="145"/>
      <c r="F98" s="145"/>
      <c r="G98" s="145"/>
      <c r="H98" s="145"/>
      <c r="I98" s="145"/>
      <c r="J98" s="145"/>
      <c r="K98" s="145"/>
      <c r="L98" s="145"/>
      <c r="M98" s="145"/>
      <c r="N98" s="145"/>
      <c r="O98" s="145"/>
      <c r="P98" s="145"/>
      <c r="Q98" s="145"/>
      <c r="R98" s="145"/>
      <c r="S98" s="145"/>
      <c r="T98" s="145"/>
      <c r="U98" s="145"/>
      <c r="V98" s="145"/>
    </row>
    <row r="99" spans="1:22" ht="15.75" customHeight="1" x14ac:dyDescent="0.25">
      <c r="A99" s="145"/>
      <c r="B99" s="145"/>
      <c r="C99" s="145"/>
      <c r="D99" s="145"/>
      <c r="E99" s="145"/>
      <c r="F99" s="145"/>
      <c r="G99" s="145"/>
      <c r="H99" s="145"/>
      <c r="I99" s="145"/>
      <c r="J99" s="145"/>
      <c r="K99" s="145"/>
      <c r="L99" s="145"/>
      <c r="M99" s="145"/>
      <c r="N99" s="145"/>
      <c r="O99" s="145"/>
      <c r="P99" s="145"/>
      <c r="Q99" s="145"/>
      <c r="R99" s="145"/>
      <c r="S99" s="145"/>
      <c r="T99" s="145"/>
      <c r="U99" s="145"/>
      <c r="V99" s="145"/>
    </row>
    <row r="100" spans="1:22" ht="15.75" customHeight="1" x14ac:dyDescent="0.25">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row>
    <row r="101" spans="1:22" ht="15.75" customHeight="1" x14ac:dyDescent="0.25">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row>
    <row r="102" spans="1:22" ht="15.75" customHeight="1" x14ac:dyDescent="0.25">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row>
    <row r="103" spans="1:22" ht="15.75" customHeight="1" x14ac:dyDescent="0.25">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row>
    <row r="104" spans="1:22" ht="15.75" customHeight="1" x14ac:dyDescent="0.25">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row>
    <row r="105" spans="1:22" ht="15.75" customHeight="1" x14ac:dyDescent="0.2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row>
    <row r="106" spans="1:22" ht="15.75" customHeight="1" x14ac:dyDescent="0.25">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row>
    <row r="107" spans="1:22" ht="15.75" customHeight="1" x14ac:dyDescent="0.2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row>
    <row r="108" spans="1:22" ht="15.75" customHeight="1" x14ac:dyDescent="0.25">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row>
    <row r="109" spans="1:22" ht="15.75" customHeight="1" x14ac:dyDescent="0.2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row>
    <row r="110" spans="1:22" ht="15.75" customHeight="1" x14ac:dyDescent="0.25">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row>
    <row r="111" spans="1:22" ht="15.75" customHeight="1" x14ac:dyDescent="0.25">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row>
    <row r="112" spans="1:22" ht="15.75" customHeight="1" x14ac:dyDescent="0.25">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row>
    <row r="113" spans="1:22" ht="15.75" customHeight="1" x14ac:dyDescent="0.25">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row>
    <row r="114" spans="1:22" ht="15.75" customHeight="1" x14ac:dyDescent="0.25">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row>
    <row r="115" spans="1:22" ht="15.75" customHeight="1" x14ac:dyDescent="0.2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row>
    <row r="116" spans="1:22" ht="15.75" customHeight="1" x14ac:dyDescent="0.25">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row>
    <row r="117" spans="1:22" ht="15.75" customHeight="1" x14ac:dyDescent="0.25">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row>
    <row r="118" spans="1:22" ht="15.75" customHeight="1" x14ac:dyDescent="0.25">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row>
    <row r="119" spans="1:22" ht="15.75" customHeight="1" x14ac:dyDescent="0.25">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row>
    <row r="120" spans="1:22" ht="15.75" customHeight="1" x14ac:dyDescent="0.25">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row>
    <row r="121" spans="1:22" ht="15.75" customHeight="1" x14ac:dyDescent="0.25">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row>
    <row r="122" spans="1:22" ht="15.75" customHeight="1" x14ac:dyDescent="0.25">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row>
    <row r="123" spans="1:22" ht="15.75" customHeight="1" x14ac:dyDescent="0.2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row>
    <row r="124" spans="1:22" ht="15.75" customHeight="1" x14ac:dyDescent="0.2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row>
    <row r="125" spans="1:22" ht="15.75" customHeight="1" x14ac:dyDescent="0.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row>
    <row r="126" spans="1:22" ht="15.75" customHeight="1" x14ac:dyDescent="0.25">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row>
    <row r="127" spans="1:22" ht="15.75" customHeight="1" x14ac:dyDescent="0.25">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row>
    <row r="128" spans="1:22" ht="15.75" customHeight="1" x14ac:dyDescent="0.25">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row>
    <row r="129" spans="1:22" ht="15.75" customHeight="1" x14ac:dyDescent="0.25">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row>
    <row r="130" spans="1:22" ht="15.75" customHeight="1" x14ac:dyDescent="0.25">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row>
    <row r="131" spans="1:22" ht="15.75" customHeight="1" x14ac:dyDescent="0.25">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row>
    <row r="132" spans="1:22" ht="15.75" customHeight="1" x14ac:dyDescent="0.25">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row>
    <row r="133" spans="1:22" ht="15.75" customHeight="1" x14ac:dyDescent="0.25">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row>
    <row r="134" spans="1:22" ht="15.75" customHeight="1" x14ac:dyDescent="0.25">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row>
    <row r="135" spans="1:22" ht="15.75" customHeight="1" x14ac:dyDescent="0.2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row>
    <row r="136" spans="1:22" ht="15.75" customHeight="1" x14ac:dyDescent="0.25">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row>
    <row r="137" spans="1:22" ht="15.75" customHeight="1" x14ac:dyDescent="0.25">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row>
    <row r="138" spans="1:22" ht="15.75" customHeight="1" x14ac:dyDescent="0.25">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row>
    <row r="139" spans="1:22" ht="15.75" customHeight="1" x14ac:dyDescent="0.25">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row>
    <row r="140" spans="1:22" ht="15.75" customHeight="1" x14ac:dyDescent="0.25">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row>
    <row r="141" spans="1:22" ht="15.75" customHeight="1" x14ac:dyDescent="0.25">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row>
    <row r="142" spans="1:22" ht="15.75" customHeight="1" x14ac:dyDescent="0.25">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row>
    <row r="143" spans="1:22" ht="15.75" customHeight="1" x14ac:dyDescent="0.25">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row>
    <row r="144" spans="1:22" ht="15.75" customHeight="1" x14ac:dyDescent="0.25">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row>
    <row r="145" spans="1:22" ht="15.75" customHeight="1" x14ac:dyDescent="0.2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row>
    <row r="146" spans="1:22" ht="15.75" customHeight="1" x14ac:dyDescent="0.25">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row>
    <row r="147" spans="1:22" ht="15.75" customHeight="1" x14ac:dyDescent="0.25">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row>
    <row r="148" spans="1:22" ht="15.75" customHeight="1" x14ac:dyDescent="0.25">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row>
    <row r="149" spans="1:22" ht="15.75" customHeight="1" x14ac:dyDescent="0.25">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row>
    <row r="150" spans="1:22" ht="15.75" customHeight="1" x14ac:dyDescent="0.25">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row>
    <row r="151" spans="1:22" ht="15.75" customHeight="1" x14ac:dyDescent="0.25">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row>
    <row r="152" spans="1:22" ht="15.75" customHeight="1" x14ac:dyDescent="0.25">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row>
    <row r="153" spans="1:22" ht="15.75" customHeight="1" x14ac:dyDescent="0.25">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row>
    <row r="154" spans="1:22" ht="15.75" customHeight="1" x14ac:dyDescent="0.25">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row>
    <row r="155" spans="1:22" ht="15.75" customHeight="1" x14ac:dyDescent="0.2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row>
    <row r="156" spans="1:22" ht="15.75" customHeight="1" x14ac:dyDescent="0.25">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row>
    <row r="157" spans="1:22" ht="15.75" customHeight="1" x14ac:dyDescent="0.25">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row>
    <row r="158" spans="1:22" ht="15.75" customHeight="1" x14ac:dyDescent="0.25">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row>
    <row r="159" spans="1:22" ht="15.75" customHeight="1" x14ac:dyDescent="0.25">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row>
    <row r="160" spans="1:22" ht="15.75" customHeight="1" x14ac:dyDescent="0.25">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row>
    <row r="161" spans="1:22" ht="15.75" customHeight="1" x14ac:dyDescent="0.25">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row>
    <row r="162" spans="1:22" ht="15.75" customHeight="1" x14ac:dyDescent="0.25">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row>
    <row r="163" spans="1:22" ht="15.75" customHeight="1" x14ac:dyDescent="0.25">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row>
    <row r="164" spans="1:22" ht="15.75" customHeight="1" x14ac:dyDescent="0.25">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row>
    <row r="165" spans="1:22" ht="15.75" customHeight="1" x14ac:dyDescent="0.2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row>
    <row r="166" spans="1:22" ht="15.75" customHeight="1" x14ac:dyDescent="0.25">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row>
    <row r="167" spans="1:22" ht="15.75" customHeight="1" x14ac:dyDescent="0.25">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row>
    <row r="168" spans="1:22" ht="15.75" customHeight="1" x14ac:dyDescent="0.25">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row>
    <row r="169" spans="1:22" ht="15.75" customHeight="1" x14ac:dyDescent="0.25">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row>
    <row r="170" spans="1:22" ht="15.75" customHeight="1" x14ac:dyDescent="0.25">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row>
    <row r="171" spans="1:22" ht="15.75" customHeight="1" x14ac:dyDescent="0.25">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row>
    <row r="172" spans="1:22" ht="15.75" customHeight="1" x14ac:dyDescent="0.25">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row>
    <row r="173" spans="1:22" ht="15.75" customHeight="1" x14ac:dyDescent="0.25">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row>
    <row r="174" spans="1:22" ht="15.75" customHeight="1" x14ac:dyDescent="0.25">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row>
    <row r="175" spans="1:22" ht="15.75" customHeight="1" x14ac:dyDescent="0.2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row>
    <row r="176" spans="1:22" ht="15.75" customHeight="1" x14ac:dyDescent="0.25">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row>
    <row r="177" spans="1:22" ht="15.75" customHeight="1" x14ac:dyDescent="0.25">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row>
    <row r="178" spans="1:22" ht="15.75" customHeight="1" x14ac:dyDescent="0.25">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row>
    <row r="179" spans="1:22" ht="15.75" customHeight="1" x14ac:dyDescent="0.25">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row>
    <row r="180" spans="1:22" ht="15.75" customHeight="1" x14ac:dyDescent="0.25">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row>
    <row r="181" spans="1:22" ht="15.75" customHeight="1" x14ac:dyDescent="0.25">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row>
    <row r="182" spans="1:22" ht="15.75" customHeight="1" x14ac:dyDescent="0.25">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row>
    <row r="183" spans="1:22" ht="15.75" customHeight="1" x14ac:dyDescent="0.25">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row>
    <row r="184" spans="1:22" ht="15.75" customHeight="1" x14ac:dyDescent="0.25">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row>
    <row r="185" spans="1:22" ht="15.75" customHeight="1" x14ac:dyDescent="0.2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row>
    <row r="186" spans="1:22" ht="15.75" customHeight="1" x14ac:dyDescent="0.25">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row>
    <row r="187" spans="1:22" ht="15.75" customHeight="1" x14ac:dyDescent="0.25">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row>
    <row r="188" spans="1:22" ht="15.75" customHeight="1" x14ac:dyDescent="0.25">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row>
    <row r="189" spans="1:22" ht="15.75" customHeight="1" x14ac:dyDescent="0.25">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row>
    <row r="190" spans="1:22" ht="15.75" customHeight="1" x14ac:dyDescent="0.25">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row>
    <row r="191" spans="1:22" ht="15.75" customHeight="1" x14ac:dyDescent="0.25">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row>
    <row r="192" spans="1:22" ht="15.75" customHeight="1" x14ac:dyDescent="0.25">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row>
    <row r="193" spans="1:22" ht="15.75" customHeight="1" x14ac:dyDescent="0.25">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row>
    <row r="194" spans="1:22" ht="15.75" customHeight="1" x14ac:dyDescent="0.25">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row>
    <row r="195" spans="1:22" ht="15.75" customHeight="1" x14ac:dyDescent="0.2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row>
    <row r="196" spans="1:22" ht="15.75" customHeight="1" x14ac:dyDescent="0.25">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row>
    <row r="197" spans="1:22" ht="15.75" customHeight="1" x14ac:dyDescent="0.25">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row>
    <row r="198" spans="1:22" ht="15.75" customHeight="1" x14ac:dyDescent="0.25">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row>
    <row r="199" spans="1:22" ht="15.75" customHeight="1" x14ac:dyDescent="0.25">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row>
    <row r="200" spans="1:22" ht="15.75" customHeight="1" x14ac:dyDescent="0.25">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row>
    <row r="201" spans="1:22" ht="15.75" customHeight="1" x14ac:dyDescent="0.25">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row>
    <row r="202" spans="1:22" ht="15.75" customHeight="1" x14ac:dyDescent="0.25">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row>
    <row r="203" spans="1:22" ht="15.75" customHeight="1" x14ac:dyDescent="0.25">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row>
    <row r="204" spans="1:22" ht="15.75" customHeight="1" x14ac:dyDescent="0.25">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row>
    <row r="205" spans="1:22" ht="15.75" customHeight="1" x14ac:dyDescent="0.2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row>
    <row r="206" spans="1:22" ht="15.75" customHeight="1" x14ac:dyDescent="0.25">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row>
    <row r="207" spans="1:22" ht="15.75" customHeight="1" x14ac:dyDescent="0.25">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row>
    <row r="208" spans="1:22" ht="15.75" customHeight="1" x14ac:dyDescent="0.25">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row>
    <row r="209" spans="1:22" ht="15.75" customHeight="1" x14ac:dyDescent="0.25">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row>
    <row r="210" spans="1:22" ht="15.75" customHeight="1" x14ac:dyDescent="0.25">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row>
    <row r="211" spans="1:22" ht="15.75" customHeight="1" x14ac:dyDescent="0.25">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row>
    <row r="212" spans="1:22" ht="15.75" customHeight="1" x14ac:dyDescent="0.25">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row>
    <row r="213" spans="1:22" ht="15.75" customHeight="1" x14ac:dyDescent="0.25">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row>
    <row r="214" spans="1:22" ht="15.75" customHeight="1" x14ac:dyDescent="0.25">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row>
    <row r="215" spans="1:22" ht="15.75" customHeight="1" x14ac:dyDescent="0.2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row>
    <row r="216" spans="1:22" ht="15.75" customHeight="1" x14ac:dyDescent="0.25">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row>
    <row r="217" spans="1:22"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row>
    <row r="218" spans="1:22"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row>
    <row r="219" spans="1:22"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row>
    <row r="220" spans="1:22"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row>
    <row r="221" spans="1:22"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row>
    <row r="222" spans="1:22"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row>
    <row r="223" spans="1:22"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row>
    <row r="224" spans="1:22"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row>
    <row r="225" spans="1:22"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row>
    <row r="226" spans="1:22"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row>
    <row r="227" spans="1:22"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row>
    <row r="228" spans="1:22"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row>
    <row r="229" spans="1:22"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row>
    <row r="230" spans="1:22"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row>
    <row r="231" spans="1:22"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row>
    <row r="232" spans="1:22"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row>
    <row r="233" spans="1:22"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row>
    <row r="234" spans="1:22"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row>
    <row r="235" spans="1:22"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row>
    <row r="236" spans="1:22"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row>
    <row r="237" spans="1:22"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row>
    <row r="238" spans="1:22"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row>
    <row r="239" spans="1:22"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row>
    <row r="240" spans="1:22"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row>
    <row r="241" spans="1:22"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row>
    <row r="242" spans="1:22"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row>
    <row r="243" spans="1:22"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row>
    <row r="244" spans="1:22"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row>
    <row r="245" spans="1:22"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row>
    <row r="246" spans="1:22"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row>
    <row r="247" spans="1:22"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row>
    <row r="248" spans="1:22"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row>
    <row r="249" spans="1:22"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row>
    <row r="250" spans="1:22"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row>
    <row r="251" spans="1:22"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row>
    <row r="252" spans="1:22"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row>
    <row r="253" spans="1:22"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row>
    <row r="254" spans="1:22"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row>
    <row r="255" spans="1:22"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row>
    <row r="256" spans="1:22"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row>
    <row r="257" spans="1:22"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row>
    <row r="258" spans="1:22"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row>
    <row r="259" spans="1:22"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row>
    <row r="260" spans="1:22"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row>
    <row r="261" spans="1:22"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row>
    <row r="262" spans="1:22"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row>
    <row r="263" spans="1:22"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row>
    <row r="264" spans="1:22"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row>
    <row r="265" spans="1:22"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row>
    <row r="266" spans="1:22"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row>
    <row r="267" spans="1:22"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row>
    <row r="268" spans="1:22"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row>
    <row r="269" spans="1:22"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row>
    <row r="270" spans="1:22"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row>
    <row r="271" spans="1:22"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row>
    <row r="272" spans="1:22"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row>
    <row r="273" spans="1:22"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row>
    <row r="274" spans="1:22"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row>
    <row r="275" spans="1:22"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row>
    <row r="276" spans="1:22"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row>
    <row r="277" spans="1:22"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row>
    <row r="278" spans="1:22"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row>
    <row r="279" spans="1:22"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row>
    <row r="280" spans="1:22"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row>
    <row r="281" spans="1:22"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row>
    <row r="282" spans="1:22"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row>
    <row r="283" spans="1:22"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row>
    <row r="284" spans="1:22"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row>
    <row r="285" spans="1:22"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row>
    <row r="286" spans="1:22"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row>
    <row r="287" spans="1:22"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row>
    <row r="288" spans="1:22"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row>
    <row r="289" spans="1:22"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row>
    <row r="290" spans="1:22"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row>
    <row r="291" spans="1:22"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row>
    <row r="292" spans="1:22"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row>
    <row r="293" spans="1:22"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row>
    <row r="294" spans="1:22"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row>
    <row r="295" spans="1:22"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row>
    <row r="296" spans="1:22"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row>
    <row r="297" spans="1:22"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row>
    <row r="298" spans="1:22"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row>
    <row r="299" spans="1:22"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row>
    <row r="300" spans="1:22"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row>
    <row r="301" spans="1:22"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row>
    <row r="302" spans="1:22"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row>
    <row r="303" spans="1:22"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row>
    <row r="304" spans="1:22"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row>
    <row r="305" spans="1:22"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row>
    <row r="306" spans="1:22"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row>
    <row r="307" spans="1:22"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row>
    <row r="308" spans="1:22"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row>
    <row r="309" spans="1:22"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row>
    <row r="310" spans="1:22"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row>
    <row r="311" spans="1:22"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row>
    <row r="312" spans="1:22"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row>
    <row r="313" spans="1:22"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row>
    <row r="314" spans="1:22"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row>
    <row r="315" spans="1:22"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row>
    <row r="316" spans="1:22"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row>
    <row r="317" spans="1:22"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row>
    <row r="318" spans="1:22"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row>
    <row r="319" spans="1:22"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row>
    <row r="320" spans="1:22"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row>
    <row r="321" spans="1:22"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row>
    <row r="322" spans="1:22"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row>
    <row r="323" spans="1:22"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row>
    <row r="324" spans="1:22"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row>
    <row r="325" spans="1:22"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row>
    <row r="326" spans="1:22"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row>
    <row r="327" spans="1:22"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row>
    <row r="328" spans="1:22"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row>
    <row r="329" spans="1:22"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row>
    <row r="330" spans="1:22"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row>
    <row r="331" spans="1:22"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row>
    <row r="332" spans="1:22"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row>
    <row r="333" spans="1:22"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row>
    <row r="334" spans="1:22"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row>
    <row r="335" spans="1:22"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row>
    <row r="336" spans="1:22"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row>
    <row r="337" spans="1:22"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row>
    <row r="338" spans="1:22"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row>
    <row r="339" spans="1:22"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row>
    <row r="340" spans="1:22"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row>
    <row r="341" spans="1:22"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row>
    <row r="342" spans="1:22"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row>
    <row r="343" spans="1:22"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row>
    <row r="344" spans="1:22"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row>
    <row r="345" spans="1:22"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row>
    <row r="346" spans="1:22"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row>
    <row r="347" spans="1:22"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row>
    <row r="348" spans="1:22"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row>
    <row r="349" spans="1:22"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row>
    <row r="350" spans="1:22"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row>
    <row r="351" spans="1:22"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row>
    <row r="352" spans="1:22"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row>
    <row r="353" spans="1:22"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row>
    <row r="354" spans="1:22"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row>
    <row r="355" spans="1:22"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row>
    <row r="356" spans="1:22"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row>
    <row r="357" spans="1:22"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row>
    <row r="358" spans="1:22"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row>
    <row r="359" spans="1:22"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row>
    <row r="360" spans="1:22"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row>
    <row r="361" spans="1:22"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row>
    <row r="362" spans="1:22"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row>
    <row r="363" spans="1:22"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row>
    <row r="364" spans="1:22"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row>
    <row r="365" spans="1:22"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row>
    <row r="366" spans="1:22"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row>
    <row r="367" spans="1:22"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row>
    <row r="368" spans="1:22"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row>
    <row r="369" spans="1:22"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row>
    <row r="370" spans="1:22"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row>
    <row r="371" spans="1:22"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row>
    <row r="372" spans="1:22"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row>
    <row r="373" spans="1:22"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row>
    <row r="374" spans="1:22"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row>
    <row r="375" spans="1:22"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row>
    <row r="376" spans="1:22"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row>
    <row r="377" spans="1:22"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row>
    <row r="378" spans="1:22"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row>
    <row r="379" spans="1:22"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row>
    <row r="380" spans="1:22"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row>
    <row r="381" spans="1:22"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row>
    <row r="382" spans="1:22"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row>
    <row r="383" spans="1:22"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row>
    <row r="384" spans="1:22"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row>
    <row r="385" spans="1:22"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row>
    <row r="386" spans="1:22"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row>
    <row r="387" spans="1:22"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row>
    <row r="388" spans="1:22"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row>
    <row r="389" spans="1:22"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row>
    <row r="390" spans="1:22"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row>
    <row r="391" spans="1:22"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row>
    <row r="392" spans="1:22"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row>
    <row r="393" spans="1:22"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row>
    <row r="394" spans="1:22"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row>
    <row r="395" spans="1:22"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row>
    <row r="396" spans="1:22"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row>
    <row r="397" spans="1:22"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row>
    <row r="398" spans="1:22"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row>
    <row r="399" spans="1:22"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row>
    <row r="400" spans="1:22"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row>
    <row r="401" spans="1:22"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row>
    <row r="402" spans="1:22"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row>
    <row r="403" spans="1:22"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row>
    <row r="404" spans="1:22"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row>
    <row r="405" spans="1:22"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row>
    <row r="406" spans="1:22"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row>
    <row r="407" spans="1:22"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row>
    <row r="408" spans="1:22"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row>
    <row r="409" spans="1:22"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row>
    <row r="410" spans="1:22"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row>
    <row r="411" spans="1:22"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row>
    <row r="412" spans="1:22"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row>
    <row r="413" spans="1:22"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row>
    <row r="414" spans="1:22"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row>
    <row r="415" spans="1:22"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row>
    <row r="416" spans="1:22"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row>
    <row r="417" spans="1:22"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row>
    <row r="418" spans="1:22"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row>
    <row r="419" spans="1:22"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row>
    <row r="420" spans="1:22"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row>
    <row r="421" spans="1:22"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row>
    <row r="422" spans="1:22"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row>
    <row r="423" spans="1:22"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row>
    <row r="424" spans="1:22"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row>
    <row r="425" spans="1:22"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row>
    <row r="426" spans="1:22"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row>
    <row r="427" spans="1:22"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row>
    <row r="428" spans="1:22"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row>
    <row r="429" spans="1:22"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row>
    <row r="430" spans="1:22"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row>
    <row r="431" spans="1:22"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row>
    <row r="432" spans="1:22"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row>
    <row r="433" spans="1:22"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row>
    <row r="434" spans="1:22"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row>
    <row r="435" spans="1:22"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row>
    <row r="436" spans="1:22"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row>
    <row r="437" spans="1:22"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row>
    <row r="438" spans="1:22"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row>
    <row r="439" spans="1:22"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row>
    <row r="440" spans="1:22"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row>
    <row r="441" spans="1:22"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row>
    <row r="442" spans="1:22"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row>
    <row r="443" spans="1:22"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row>
    <row r="444" spans="1:22"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row>
    <row r="445" spans="1:22"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row>
    <row r="446" spans="1:22"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row>
    <row r="447" spans="1:22"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row>
    <row r="448" spans="1:22"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row>
    <row r="449" spans="1:22"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row>
    <row r="450" spans="1:22"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row>
    <row r="451" spans="1:22"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row>
    <row r="452" spans="1:22"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row>
    <row r="453" spans="1:22"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row>
    <row r="454" spans="1:22"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row>
    <row r="455" spans="1:22"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row>
    <row r="456" spans="1:22"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row>
    <row r="457" spans="1:22"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row>
    <row r="458" spans="1:22"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row>
    <row r="459" spans="1:22"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row>
    <row r="460" spans="1:22"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row>
    <row r="461" spans="1:22"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row>
    <row r="462" spans="1:22"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row>
    <row r="463" spans="1:22"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row>
    <row r="464" spans="1:22"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row>
    <row r="465" spans="1:22"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row>
    <row r="466" spans="1:22"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row>
    <row r="467" spans="1:22"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row>
    <row r="468" spans="1:22"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row>
    <row r="469" spans="1:22"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row>
    <row r="470" spans="1:22"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row>
    <row r="471" spans="1:22"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row>
    <row r="472" spans="1:22"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row>
    <row r="473" spans="1:22"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row>
    <row r="474" spans="1:22"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row>
    <row r="475" spans="1:22"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row>
    <row r="476" spans="1:22"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row>
    <row r="477" spans="1:22"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row>
    <row r="478" spans="1:22"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row>
    <row r="479" spans="1:22"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row>
    <row r="480" spans="1:22"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row>
    <row r="481" spans="1:22"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row>
    <row r="482" spans="1:22"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row>
    <row r="483" spans="1:22"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row>
    <row r="484" spans="1:22"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row>
    <row r="485" spans="1:22"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row>
    <row r="486" spans="1:22"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row>
    <row r="487" spans="1:22"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row>
    <row r="488" spans="1:22"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row>
    <row r="489" spans="1:22"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row>
    <row r="490" spans="1:22"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row>
    <row r="491" spans="1:22"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row>
    <row r="492" spans="1:22"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row>
    <row r="493" spans="1:22"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row>
    <row r="494" spans="1:22"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row>
    <row r="495" spans="1:22"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row>
    <row r="496" spans="1:22"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row>
    <row r="497" spans="1:22"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row>
    <row r="498" spans="1:22"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row>
    <row r="499" spans="1:22"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row>
    <row r="500" spans="1:22"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row>
    <row r="501" spans="1:22"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row>
    <row r="502" spans="1:22"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row>
    <row r="503" spans="1:22"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row>
    <row r="504" spans="1:22"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row>
    <row r="505" spans="1:22"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row>
    <row r="506" spans="1:22"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row>
    <row r="507" spans="1:22"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row>
    <row r="508" spans="1:22"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row>
    <row r="509" spans="1:22"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row>
    <row r="510" spans="1:22"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row>
    <row r="511" spans="1:22"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row>
    <row r="512" spans="1:22"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row>
    <row r="513" spans="1:22"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row>
    <row r="514" spans="1:22"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row>
    <row r="515" spans="1:22"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row>
    <row r="516" spans="1:22"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row>
    <row r="517" spans="1:22"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row>
    <row r="518" spans="1:22"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row>
    <row r="519" spans="1:22"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row>
    <row r="520" spans="1:22"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row>
    <row r="521" spans="1:22"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row>
    <row r="522" spans="1:22"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row>
    <row r="523" spans="1:22"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row>
    <row r="524" spans="1:22"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row>
    <row r="525" spans="1:22"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row>
    <row r="526" spans="1:22"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row>
    <row r="527" spans="1:22"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row>
    <row r="528" spans="1:22"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row>
    <row r="529" spans="1:22"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row>
    <row r="530" spans="1:22"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row>
    <row r="531" spans="1:22"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row>
    <row r="532" spans="1:22"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row>
    <row r="533" spans="1:22"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row>
    <row r="534" spans="1:22"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row>
    <row r="535" spans="1:22"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row>
    <row r="536" spans="1:22"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row>
    <row r="537" spans="1:22"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row>
    <row r="538" spans="1:22"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row>
    <row r="539" spans="1:22"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row>
    <row r="540" spans="1:22"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row>
    <row r="541" spans="1:22"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row>
    <row r="542" spans="1:22"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row>
    <row r="543" spans="1:22"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row>
    <row r="544" spans="1:22"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row>
    <row r="545" spans="1:22"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row>
    <row r="546" spans="1:22"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row>
    <row r="547" spans="1:22"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row>
    <row r="548" spans="1:22"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row>
    <row r="549" spans="1:22"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row>
    <row r="550" spans="1:22"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row>
    <row r="551" spans="1:22"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row>
    <row r="552" spans="1:22"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row>
    <row r="553" spans="1:22"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row>
    <row r="554" spans="1:22"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row>
    <row r="555" spans="1:22"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row>
    <row r="556" spans="1:22"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row>
    <row r="557" spans="1:22"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row>
    <row r="558" spans="1:22"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row>
    <row r="559" spans="1:22"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row>
    <row r="560" spans="1:22"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row>
    <row r="561" spans="1:22"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row>
    <row r="562" spans="1:22"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row>
    <row r="563" spans="1:22"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row>
    <row r="564" spans="1:22"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row>
    <row r="565" spans="1:22"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row>
    <row r="566" spans="1:22"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row>
    <row r="567" spans="1:22"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row>
    <row r="568" spans="1:22"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row>
    <row r="569" spans="1:22"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row>
    <row r="570" spans="1:22"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row>
    <row r="571" spans="1:22"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row>
    <row r="572" spans="1:22"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row>
    <row r="573" spans="1:22"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row>
    <row r="574" spans="1:22"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row>
    <row r="575" spans="1:22"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row>
    <row r="576" spans="1:22"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row>
    <row r="577" spans="1:22"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row>
    <row r="578" spans="1:22"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row>
    <row r="579" spans="1:22"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row>
    <row r="580" spans="1:22"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row>
    <row r="581" spans="1:22"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row>
    <row r="582" spans="1:22"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row>
    <row r="583" spans="1:22"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row>
    <row r="584" spans="1:22"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row>
    <row r="585" spans="1:22"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row>
    <row r="586" spans="1:22"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row>
    <row r="587" spans="1:22"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row>
    <row r="588" spans="1:22"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row>
    <row r="589" spans="1:22"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row>
    <row r="590" spans="1:22"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row>
    <row r="591" spans="1:22"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row>
    <row r="592" spans="1:22"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row>
    <row r="593" spans="1:22"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row>
    <row r="594" spans="1:22"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row>
    <row r="595" spans="1:22"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row>
    <row r="596" spans="1:22"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row>
    <row r="597" spans="1:22"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row>
    <row r="598" spans="1:22"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row>
    <row r="599" spans="1:22"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row>
    <row r="600" spans="1:22"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row>
    <row r="601" spans="1:22"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row>
    <row r="602" spans="1:22"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row>
    <row r="603" spans="1:22"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row>
    <row r="604" spans="1:22"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row>
    <row r="605" spans="1:22"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row>
    <row r="606" spans="1:22"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row>
    <row r="607" spans="1:22"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row>
    <row r="608" spans="1:22"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row>
    <row r="609" spans="1:22"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row>
    <row r="610" spans="1:22"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row>
    <row r="611" spans="1:22"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row>
    <row r="612" spans="1:22"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row>
    <row r="613" spans="1:22"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row>
    <row r="614" spans="1:22"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row>
    <row r="615" spans="1:22"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row>
    <row r="616" spans="1:22"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row>
    <row r="617" spans="1:22"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row>
    <row r="618" spans="1:22"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row>
    <row r="619" spans="1:22"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row>
    <row r="620" spans="1:22"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row>
    <row r="621" spans="1:22"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row>
    <row r="622" spans="1:22"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row>
    <row r="623" spans="1:22"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row>
    <row r="624" spans="1:22"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row>
    <row r="625" spans="1:22"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row>
    <row r="626" spans="1:22"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row>
    <row r="627" spans="1:22"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row>
    <row r="628" spans="1:22"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row>
    <row r="629" spans="1:22"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row>
    <row r="630" spans="1:22"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row>
    <row r="631" spans="1:22"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row>
    <row r="632" spans="1:22"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row>
    <row r="633" spans="1:22"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row>
    <row r="634" spans="1:22"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row>
    <row r="635" spans="1:22"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row>
    <row r="636" spans="1:22"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row>
    <row r="637" spans="1:22"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row>
    <row r="638" spans="1:22"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row>
    <row r="639" spans="1:22"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row>
    <row r="640" spans="1:22"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row>
    <row r="641" spans="1:22"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row>
    <row r="642" spans="1:22"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row>
    <row r="643" spans="1:22"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row>
    <row r="644" spans="1:22"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row>
    <row r="645" spans="1:22"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row>
    <row r="646" spans="1:22"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row>
    <row r="647" spans="1:22"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row>
    <row r="648" spans="1:22"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row>
    <row r="649" spans="1:22"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row>
    <row r="650" spans="1:22"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row>
    <row r="651" spans="1:22"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row>
    <row r="652" spans="1:22"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row>
    <row r="653" spans="1:22"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row>
    <row r="654" spans="1:22"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row>
    <row r="655" spans="1:22"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row>
    <row r="656" spans="1:22"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row>
    <row r="657" spans="1:22"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row>
    <row r="658" spans="1:22"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row>
    <row r="659" spans="1:22"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row>
    <row r="660" spans="1:22"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row>
    <row r="661" spans="1:22"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row>
    <row r="662" spans="1:22"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row>
    <row r="663" spans="1:22"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row>
    <row r="664" spans="1:22"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row>
    <row r="665" spans="1:22"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row>
    <row r="666" spans="1:22"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row>
    <row r="667" spans="1:22"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row>
    <row r="668" spans="1:22"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row>
    <row r="669" spans="1:22"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row>
    <row r="670" spans="1:22"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row>
    <row r="671" spans="1:22"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row>
    <row r="672" spans="1:22"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row>
    <row r="673" spans="1:22"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row>
    <row r="674" spans="1:22"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row>
    <row r="675" spans="1:22"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row>
    <row r="676" spans="1:22"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row>
    <row r="677" spans="1:22"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row>
    <row r="678" spans="1:22"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row>
    <row r="679" spans="1:22"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row>
    <row r="680" spans="1:22"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row>
    <row r="681" spans="1:22"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row>
    <row r="682" spans="1:22"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row>
    <row r="683" spans="1:22"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row>
    <row r="684" spans="1:22"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row>
    <row r="685" spans="1:22"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row>
    <row r="686" spans="1:22"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row>
    <row r="687" spans="1:22"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row>
    <row r="688" spans="1:22"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row>
    <row r="689" spans="1:22"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row>
    <row r="690" spans="1:22"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row>
    <row r="691" spans="1:22"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row>
    <row r="692" spans="1:22"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row>
    <row r="693" spans="1:22"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row>
    <row r="694" spans="1:22"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row>
    <row r="695" spans="1:22"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row>
    <row r="696" spans="1:22"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row>
    <row r="697" spans="1:22"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row>
    <row r="698" spans="1:22"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row>
    <row r="699" spans="1:22"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row>
    <row r="700" spans="1:22"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row>
    <row r="701" spans="1:22"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row>
    <row r="702" spans="1:22"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row>
    <row r="703" spans="1:22"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row>
    <row r="704" spans="1:22"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row>
    <row r="705" spans="1:22"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row>
    <row r="706" spans="1:22"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row>
    <row r="707" spans="1:22"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row>
    <row r="708" spans="1:22"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row>
    <row r="709" spans="1:22"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row>
    <row r="710" spans="1:22"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row>
    <row r="711" spans="1:22"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row>
    <row r="712" spans="1:22"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row>
    <row r="713" spans="1:22"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row>
    <row r="714" spans="1:22"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row>
    <row r="715" spans="1:22"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row>
    <row r="716" spans="1:22"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row>
    <row r="717" spans="1:22"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row>
    <row r="718" spans="1:22"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row>
    <row r="719" spans="1:22"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row>
    <row r="720" spans="1:22"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row>
    <row r="721" spans="1:22"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row>
    <row r="722" spans="1:22"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row>
    <row r="723" spans="1:22"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row>
    <row r="724" spans="1:22"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row>
    <row r="725" spans="1:22"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row>
    <row r="726" spans="1:22"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row>
    <row r="727" spans="1:22"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row>
    <row r="728" spans="1:22"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row>
    <row r="729" spans="1:22"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row>
    <row r="730" spans="1:22"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row>
    <row r="731" spans="1:22"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row>
    <row r="732" spans="1:22"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row>
    <row r="733" spans="1:22"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row>
    <row r="734" spans="1:22"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row>
    <row r="735" spans="1:22"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row>
    <row r="736" spans="1:22"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row>
    <row r="737" spans="1:22"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row>
    <row r="738" spans="1:22"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row>
    <row r="739" spans="1:22"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row>
    <row r="740" spans="1:22"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row>
    <row r="741" spans="1:22"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row>
    <row r="742" spans="1:22"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row>
    <row r="743" spans="1:22"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row>
    <row r="744" spans="1:22"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row>
    <row r="745" spans="1:22"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row>
    <row r="746" spans="1:22"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row>
    <row r="747" spans="1:22"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row>
    <row r="748" spans="1:22"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row>
    <row r="749" spans="1:22"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row>
    <row r="750" spans="1:22"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row>
    <row r="751" spans="1:22"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row>
    <row r="752" spans="1:22"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row>
    <row r="753" spans="1:22"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row>
    <row r="754" spans="1:22"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row>
    <row r="755" spans="1:22"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row>
    <row r="756" spans="1:22"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row>
    <row r="757" spans="1:22"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row>
    <row r="758" spans="1:22"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row>
    <row r="759" spans="1:22"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row>
    <row r="760" spans="1:22"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row>
    <row r="761" spans="1:22"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row>
    <row r="762" spans="1:22"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row>
    <row r="763" spans="1:22"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row>
    <row r="764" spans="1:22"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row>
    <row r="765" spans="1:22"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row>
    <row r="766" spans="1:22"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row>
    <row r="767" spans="1:22"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row>
    <row r="768" spans="1:22"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row>
    <row r="769" spans="1:22"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row>
    <row r="770" spans="1:22"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row>
    <row r="771" spans="1:22"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row>
    <row r="772" spans="1:22"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row>
    <row r="773" spans="1:22"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row>
    <row r="774" spans="1:22"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row>
    <row r="775" spans="1:22"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row>
    <row r="776" spans="1:22"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row>
    <row r="777" spans="1:22"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row>
    <row r="778" spans="1:22"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row>
    <row r="779" spans="1:22"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row>
    <row r="780" spans="1:22"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row>
    <row r="781" spans="1:22"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row>
    <row r="782" spans="1:22"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row>
    <row r="783" spans="1:22"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row>
    <row r="784" spans="1:22"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row>
    <row r="785" spans="1:22"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row>
    <row r="786" spans="1:22"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row>
    <row r="787" spans="1:22"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row>
    <row r="788" spans="1:22"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row>
    <row r="789" spans="1:22"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row>
    <row r="790" spans="1:22"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row>
    <row r="791" spans="1:22"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row>
    <row r="792" spans="1:22"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row>
    <row r="793" spans="1:22"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row>
    <row r="794" spans="1:22"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row>
    <row r="795" spans="1:22"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row>
    <row r="796" spans="1:22"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row>
    <row r="797" spans="1:22"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row>
    <row r="798" spans="1:22"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row>
    <row r="799" spans="1:22"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row>
    <row r="800" spans="1:22"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row>
    <row r="801" spans="1:22"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row>
    <row r="802" spans="1:22"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row>
    <row r="803" spans="1:22"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row>
    <row r="804" spans="1:22"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row>
    <row r="805" spans="1:22"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row>
    <row r="806" spans="1:22"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row>
    <row r="807" spans="1:22"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row>
    <row r="808" spans="1:22"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row>
    <row r="809" spans="1:22"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row>
    <row r="810" spans="1:22"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row>
    <row r="811" spans="1:22"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row>
    <row r="812" spans="1:22"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row>
    <row r="813" spans="1:22"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row>
    <row r="814" spans="1:22"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row>
    <row r="815" spans="1:22"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row>
    <row r="816" spans="1:22"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row>
    <row r="817" spans="1:22"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row>
    <row r="818" spans="1:22"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row>
    <row r="819" spans="1:22"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row>
    <row r="820" spans="1:22"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row>
    <row r="821" spans="1:22"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row>
    <row r="822" spans="1:22"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row>
    <row r="823" spans="1:22"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row>
    <row r="824" spans="1:22"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row>
    <row r="825" spans="1:22"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row>
    <row r="826" spans="1:22"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row>
    <row r="827" spans="1:22"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row>
    <row r="828" spans="1:22"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row>
    <row r="829" spans="1:22"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row>
    <row r="830" spans="1:22"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row>
    <row r="831" spans="1:22"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row>
    <row r="832" spans="1:22"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row>
    <row r="833" spans="1:22"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row>
    <row r="834" spans="1:22"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row>
    <row r="835" spans="1:22"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row>
    <row r="836" spans="1:22"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row>
    <row r="837" spans="1:22"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row>
    <row r="838" spans="1:22"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row>
    <row r="839" spans="1:22"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row>
    <row r="840" spans="1:22"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row>
    <row r="841" spans="1:22"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row>
    <row r="842" spans="1:22"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row>
    <row r="843" spans="1:22"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row>
    <row r="844" spans="1:22"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row>
    <row r="845" spans="1:22"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row>
    <row r="846" spans="1:22"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row>
    <row r="847" spans="1:22"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row>
    <row r="848" spans="1:22"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row>
    <row r="849" spans="1:22"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row>
    <row r="850" spans="1:22"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row>
    <row r="851" spans="1:22"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row>
    <row r="852" spans="1:22"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row>
    <row r="853" spans="1:22"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row>
    <row r="854" spans="1:22"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row>
    <row r="855" spans="1:22"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row>
    <row r="856" spans="1:22"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row>
    <row r="857" spans="1:22"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row>
    <row r="858" spans="1:22"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row>
    <row r="859" spans="1:22"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row>
    <row r="860" spans="1:22"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row>
    <row r="861" spans="1:22"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row>
    <row r="862" spans="1:22"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row>
    <row r="863" spans="1:22"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row>
    <row r="864" spans="1:22"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row>
    <row r="865" spans="1:22"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row>
    <row r="866" spans="1:22"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row>
    <row r="867" spans="1:22"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row>
    <row r="868" spans="1:22"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row>
    <row r="869" spans="1:22"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row>
    <row r="870" spans="1:22"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row>
    <row r="871" spans="1:22"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row>
    <row r="872" spans="1:22"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row>
    <row r="873" spans="1:22"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row>
    <row r="874" spans="1:22"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row>
    <row r="875" spans="1:22"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row>
    <row r="876" spans="1:22"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row>
    <row r="877" spans="1:22"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row>
    <row r="878" spans="1:22"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row>
    <row r="879" spans="1:22"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row>
    <row r="880" spans="1:22"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row>
    <row r="881" spans="1:22"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row>
    <row r="882" spans="1:22"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row>
    <row r="883" spans="1:22"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row>
    <row r="884" spans="1:22"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row>
    <row r="885" spans="1:22"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row>
    <row r="886" spans="1:22"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row>
    <row r="887" spans="1:22"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row>
    <row r="888" spans="1:22"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row>
    <row r="889" spans="1:22"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row>
    <row r="890" spans="1:22"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row>
    <row r="891" spans="1:22"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row>
    <row r="892" spans="1:22"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row>
    <row r="893" spans="1:22"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row>
    <row r="894" spans="1:22"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row>
    <row r="895" spans="1:22"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row>
    <row r="896" spans="1:22"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row>
    <row r="897" spans="1:22"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row>
    <row r="898" spans="1:22"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row>
    <row r="899" spans="1:22"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row>
    <row r="900" spans="1:22"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row>
    <row r="901" spans="1:22"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row>
    <row r="902" spans="1:22"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row>
    <row r="903" spans="1:22"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row>
    <row r="904" spans="1:22"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row>
    <row r="905" spans="1:22"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row>
    <row r="906" spans="1:22"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row>
    <row r="907" spans="1:22"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row>
    <row r="908" spans="1:22"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row>
    <row r="909" spans="1:22"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row>
    <row r="910" spans="1:22"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row>
    <row r="911" spans="1:22"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row>
    <row r="912" spans="1:22"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row>
    <row r="913" spans="1:22"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row>
    <row r="914" spans="1:22"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row>
    <row r="915" spans="1:22"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row>
    <row r="916" spans="1:22"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row>
    <row r="917" spans="1:22"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row>
    <row r="918" spans="1:22"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row>
    <row r="919" spans="1:22"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row>
    <row r="920" spans="1:22"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row>
    <row r="921" spans="1:22"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row>
    <row r="922" spans="1:22"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row>
    <row r="923" spans="1:22"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row>
    <row r="924" spans="1:22"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row>
    <row r="925" spans="1:22"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row>
    <row r="926" spans="1:22"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row>
    <row r="927" spans="1:22"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row>
    <row r="928" spans="1:22"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row>
    <row r="929" spans="1:22"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row>
    <row r="930" spans="1:22"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row>
    <row r="931" spans="1:22"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row>
    <row r="932" spans="1:22"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row>
    <row r="933" spans="1:22"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row>
    <row r="934" spans="1:22"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row>
    <row r="935" spans="1:22"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row>
    <row r="936" spans="1:22"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row>
    <row r="937" spans="1:22"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row>
    <row r="938" spans="1:22"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row>
    <row r="939" spans="1:22"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row>
    <row r="940" spans="1:22"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row>
    <row r="941" spans="1:22"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row>
    <row r="942" spans="1:22"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row>
    <row r="943" spans="1:22"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row>
    <row r="944" spans="1:22"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row>
    <row r="945" spans="1:22"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row>
    <row r="946" spans="1:22"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row>
    <row r="947" spans="1:22"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row>
    <row r="948" spans="1:22"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row>
    <row r="949" spans="1:22"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row>
    <row r="950" spans="1:22"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row>
    <row r="951" spans="1:22"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row>
    <row r="952" spans="1:22"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row>
    <row r="953" spans="1:22"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row>
    <row r="954" spans="1:22"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row>
    <row r="955" spans="1:22"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row>
    <row r="956" spans="1:22"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row>
    <row r="957" spans="1:22"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row>
    <row r="958" spans="1:22"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row>
    <row r="959" spans="1:22"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row>
    <row r="960" spans="1:22"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row>
    <row r="961" spans="1:22"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row>
    <row r="962" spans="1:22"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row>
    <row r="963" spans="1:22"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row>
    <row r="964" spans="1:22"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row>
    <row r="965" spans="1:22"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row>
    <row r="966" spans="1:22"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row>
    <row r="967" spans="1:22"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row>
    <row r="968" spans="1:22"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row>
    <row r="969" spans="1:22"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row>
    <row r="970" spans="1:22"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row>
    <row r="971" spans="1:22"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row>
    <row r="972" spans="1:22"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row>
    <row r="973" spans="1:22"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row>
    <row r="974" spans="1:22"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row>
    <row r="975" spans="1:22"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row>
    <row r="976" spans="1:22"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row>
    <row r="977" spans="1:22"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row>
    <row r="978" spans="1:22"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row>
    <row r="979" spans="1:22"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row>
    <row r="980" spans="1:22"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row>
    <row r="981" spans="1:22"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row>
    <row r="982" spans="1:22"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row>
    <row r="983" spans="1:22"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row>
    <row r="984" spans="1:22"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row>
    <row r="985" spans="1:22"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row>
    <row r="986" spans="1:22"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997"/>
  <sheetViews>
    <sheetView showGridLines="0" topLeftCell="A6" workbookViewId="0">
      <pane ySplit="6" topLeftCell="A19" activePane="bottomLeft" state="frozen"/>
      <selection activeCell="C6" sqref="C6"/>
      <selection pane="bottomLeft" activeCell="A26" sqref="A26:E26"/>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55" customWidth="1"/>
    <col min="8" max="8" width="14.6640625" style="455"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x14ac:dyDescent="0.25">
      <c r="A1" s="158"/>
      <c r="B1" s="159"/>
      <c r="C1" s="159"/>
      <c r="D1" s="159"/>
      <c r="E1" s="160"/>
      <c r="F1" s="159"/>
      <c r="G1" s="447"/>
      <c r="H1" s="447"/>
      <c r="I1" s="158"/>
      <c r="J1" s="158"/>
      <c r="K1" s="158"/>
      <c r="L1" s="158"/>
      <c r="M1" s="158"/>
      <c r="N1" s="158"/>
      <c r="O1" s="158"/>
      <c r="P1" s="158"/>
      <c r="Q1" s="158"/>
      <c r="R1" s="158"/>
      <c r="S1" s="158"/>
      <c r="U1" s="42"/>
    </row>
    <row r="2" spans="1:26" ht="15.75" customHeight="1" x14ac:dyDescent="0.25">
      <c r="A2" s="161"/>
      <c r="B2" s="162"/>
      <c r="C2" s="162"/>
      <c r="D2" s="162"/>
      <c r="E2" s="163"/>
      <c r="F2" s="162"/>
      <c r="G2" s="447"/>
      <c r="H2" s="447"/>
      <c r="I2" s="161"/>
      <c r="J2" s="161"/>
      <c r="K2" s="161"/>
      <c r="L2" s="161"/>
      <c r="M2" s="161"/>
      <c r="N2" s="161"/>
      <c r="O2" s="161"/>
      <c r="P2" s="161"/>
      <c r="Q2" s="161"/>
      <c r="R2" s="161"/>
      <c r="S2" s="161"/>
      <c r="U2" s="42"/>
    </row>
    <row r="3" spans="1:26" ht="17.25" customHeight="1" x14ac:dyDescent="0.25">
      <c r="A3" s="574" t="s">
        <v>126</v>
      </c>
      <c r="B3" s="504"/>
      <c r="C3" s="504"/>
      <c r="D3" s="504"/>
      <c r="E3" s="504"/>
      <c r="F3" s="504"/>
      <c r="G3" s="504"/>
      <c r="H3" s="504"/>
      <c r="I3" s="504"/>
      <c r="J3" s="504"/>
      <c r="K3" s="504"/>
      <c r="L3" s="504"/>
      <c r="M3" s="504"/>
      <c r="N3" s="504"/>
      <c r="O3" s="504"/>
      <c r="P3" s="504"/>
      <c r="Q3" s="504"/>
      <c r="R3" s="504"/>
      <c r="S3" s="505"/>
      <c r="U3" s="42"/>
    </row>
    <row r="4" spans="1:26" ht="17.25" customHeight="1" x14ac:dyDescent="0.25">
      <c r="A4" s="508"/>
      <c r="B4" s="509"/>
      <c r="C4" s="509"/>
      <c r="D4" s="509"/>
      <c r="E4" s="509"/>
      <c r="F4" s="509"/>
      <c r="G4" s="509"/>
      <c r="H4" s="509"/>
      <c r="I4" s="509"/>
      <c r="J4" s="509"/>
      <c r="K4" s="509"/>
      <c r="L4" s="509"/>
      <c r="M4" s="509"/>
      <c r="N4" s="509"/>
      <c r="O4" s="509"/>
      <c r="P4" s="509"/>
      <c r="Q4" s="509"/>
      <c r="R4" s="509"/>
      <c r="S4" s="510"/>
      <c r="U4" s="42"/>
    </row>
    <row r="5" spans="1:26" ht="15.75" customHeight="1" x14ac:dyDescent="0.3">
      <c r="A5" s="164" t="s">
        <v>127</v>
      </c>
      <c r="B5" s="165"/>
      <c r="C5" s="165"/>
      <c r="D5" s="165"/>
      <c r="E5" s="165"/>
      <c r="F5" s="166"/>
      <c r="G5" s="448"/>
      <c r="H5" s="448"/>
      <c r="I5" s="167"/>
      <c r="J5" s="167"/>
      <c r="K5" s="167"/>
      <c r="L5" s="167"/>
      <c r="M5" s="167"/>
      <c r="N5" s="167"/>
      <c r="O5" s="168"/>
      <c r="P5" s="165"/>
      <c r="Q5" s="165"/>
      <c r="R5" s="167"/>
      <c r="S5" s="167"/>
      <c r="U5" s="42"/>
    </row>
    <row r="6" spans="1:26" ht="15.75" customHeight="1" x14ac:dyDescent="0.3">
      <c r="A6" s="165"/>
      <c r="B6" s="165"/>
      <c r="C6" s="165"/>
      <c r="D6" s="165"/>
      <c r="E6" s="165"/>
      <c r="F6" s="166"/>
      <c r="G6" s="448"/>
      <c r="H6" s="448"/>
      <c r="I6" s="167"/>
      <c r="J6" s="167"/>
      <c r="K6" s="167"/>
      <c r="L6" s="167"/>
      <c r="M6" s="167"/>
      <c r="N6" s="167"/>
      <c r="O6" s="168"/>
      <c r="P6" s="165"/>
      <c r="Q6" s="165"/>
      <c r="R6" s="167"/>
      <c r="S6" s="167"/>
      <c r="U6" s="42"/>
    </row>
    <row r="7" spans="1:26" ht="15.75" customHeight="1" x14ac:dyDescent="0.3">
      <c r="A7" s="165"/>
      <c r="B7" s="165"/>
      <c r="C7" s="165"/>
      <c r="D7" s="165"/>
      <c r="E7" s="165"/>
      <c r="F7" s="166"/>
      <c r="G7" s="448"/>
      <c r="H7" s="448"/>
      <c r="I7" s="167"/>
      <c r="J7" s="167"/>
      <c r="K7" s="167"/>
      <c r="L7" s="167"/>
      <c r="M7" s="167"/>
      <c r="N7" s="167"/>
      <c r="O7" s="168"/>
      <c r="P7" s="165"/>
      <c r="Q7" s="165"/>
      <c r="R7" s="167"/>
      <c r="S7" s="167"/>
      <c r="U7" s="42"/>
    </row>
    <row r="8" spans="1:26" ht="15.75" customHeight="1" x14ac:dyDescent="0.3">
      <c r="A8" s="164" t="s">
        <v>128</v>
      </c>
      <c r="B8" s="165"/>
      <c r="C8" s="165"/>
      <c r="D8" s="165"/>
      <c r="E8" s="165"/>
      <c r="F8" s="166"/>
      <c r="G8" s="448"/>
      <c r="H8" s="448"/>
      <c r="I8" s="167"/>
      <c r="J8" s="167"/>
      <c r="K8" s="167"/>
      <c r="L8" s="167"/>
      <c r="M8" s="167"/>
      <c r="N8" s="167"/>
      <c r="O8" s="168"/>
      <c r="P8" s="165"/>
      <c r="Q8" s="165"/>
      <c r="R8" s="167"/>
      <c r="S8" s="167"/>
      <c r="U8" s="42"/>
    </row>
    <row r="9" spans="1:26" ht="38.25" customHeight="1" x14ac:dyDescent="0.25">
      <c r="A9" s="578" t="s">
        <v>1</v>
      </c>
      <c r="B9" s="578" t="s">
        <v>129</v>
      </c>
      <c r="C9" s="578" t="s">
        <v>95</v>
      </c>
      <c r="D9" s="578" t="s">
        <v>130</v>
      </c>
      <c r="E9" s="578" t="s">
        <v>41</v>
      </c>
      <c r="F9" s="169" t="s">
        <v>131</v>
      </c>
      <c r="G9" s="581" t="s">
        <v>132</v>
      </c>
      <c r="H9" s="581" t="s">
        <v>133</v>
      </c>
      <c r="I9" s="575" t="s">
        <v>134</v>
      </c>
      <c r="J9" s="535"/>
      <c r="K9" s="535"/>
      <c r="L9" s="535"/>
      <c r="M9" s="535"/>
      <c r="N9" s="536"/>
      <c r="O9" s="586" t="s">
        <v>51</v>
      </c>
      <c r="P9" s="576" t="s">
        <v>135</v>
      </c>
      <c r="Q9" s="535"/>
      <c r="R9" s="536"/>
      <c r="S9" s="589" t="s">
        <v>136</v>
      </c>
      <c r="U9" s="42"/>
    </row>
    <row r="10" spans="1:26" ht="33.75" customHeight="1" x14ac:dyDescent="0.25">
      <c r="A10" s="579"/>
      <c r="B10" s="579"/>
      <c r="C10" s="579"/>
      <c r="D10" s="579"/>
      <c r="E10" s="579"/>
      <c r="F10" s="171"/>
      <c r="G10" s="582"/>
      <c r="H10" s="582"/>
      <c r="I10" s="575" t="s">
        <v>137</v>
      </c>
      <c r="J10" s="535"/>
      <c r="K10" s="536"/>
      <c r="L10" s="577" t="s">
        <v>138</v>
      </c>
      <c r="M10" s="573"/>
      <c r="N10" s="584" t="s">
        <v>139</v>
      </c>
      <c r="O10" s="587"/>
      <c r="P10" s="172" t="s">
        <v>140</v>
      </c>
      <c r="Q10" s="172" t="s">
        <v>141</v>
      </c>
      <c r="R10" s="173" t="s">
        <v>142</v>
      </c>
      <c r="S10" s="590"/>
      <c r="U10" s="42"/>
    </row>
    <row r="11" spans="1:26" ht="27" customHeight="1" x14ac:dyDescent="0.25">
      <c r="A11" s="579"/>
      <c r="B11" s="580"/>
      <c r="C11" s="580"/>
      <c r="D11" s="580"/>
      <c r="E11" s="580"/>
      <c r="F11" s="171"/>
      <c r="G11" s="583"/>
      <c r="H11" s="583"/>
      <c r="I11" s="170" t="s">
        <v>143</v>
      </c>
      <c r="J11" s="170" t="s">
        <v>144</v>
      </c>
      <c r="K11" s="170" t="s">
        <v>145</v>
      </c>
      <c r="L11" s="175" t="s">
        <v>146</v>
      </c>
      <c r="M11" s="170" t="s">
        <v>147</v>
      </c>
      <c r="N11" s="585"/>
      <c r="O11" s="588"/>
      <c r="P11" s="176"/>
      <c r="Q11" s="176"/>
      <c r="R11" s="176"/>
      <c r="S11" s="591"/>
      <c r="U11" s="42"/>
    </row>
    <row r="12" spans="1:26" ht="32.4" customHeight="1" x14ac:dyDescent="0.25">
      <c r="A12" s="461">
        <f>SUBTOTAL(3,$C$12:C12)</f>
        <v>1</v>
      </c>
      <c r="B12" s="458" t="s">
        <v>319</v>
      </c>
      <c r="C12" s="102" t="s">
        <v>322</v>
      </c>
      <c r="D12" s="187" t="s">
        <v>323</v>
      </c>
      <c r="E12" s="38" t="s">
        <v>318</v>
      </c>
      <c r="F12" s="179"/>
      <c r="G12" s="449">
        <v>7500000</v>
      </c>
      <c r="H12" s="449">
        <v>4880000</v>
      </c>
      <c r="I12" s="180">
        <v>720000</v>
      </c>
      <c r="J12" s="180">
        <v>400000</v>
      </c>
      <c r="K12" s="180">
        <v>2500000</v>
      </c>
      <c r="L12" s="181"/>
      <c r="M12" s="181"/>
      <c r="N12" s="180">
        <f t="shared" ref="N12:N17" si="0">SUM(I12:M12)</f>
        <v>3620000</v>
      </c>
      <c r="O12" s="182">
        <f t="shared" ref="O12" si="1">G12+H12+N12</f>
        <v>16000000</v>
      </c>
      <c r="P12" s="183"/>
      <c r="Q12" s="183"/>
      <c r="R12" s="183"/>
      <c r="S12" s="184">
        <f>O12+R12</f>
        <v>16000000</v>
      </c>
      <c r="T12" s="185"/>
      <c r="U12" s="186"/>
      <c r="V12" s="186"/>
      <c r="W12" s="185"/>
      <c r="X12" s="185"/>
      <c r="Y12" s="185"/>
      <c r="Z12" s="185"/>
    </row>
    <row r="13" spans="1:26" ht="27" customHeight="1" x14ac:dyDescent="0.25">
      <c r="A13" s="461">
        <f>SUBTOTAL(3,$C$12:C13)</f>
        <v>2</v>
      </c>
      <c r="B13" s="459" t="s">
        <v>349</v>
      </c>
      <c r="C13" s="386" t="s">
        <v>325</v>
      </c>
      <c r="D13" s="387" t="s">
        <v>324</v>
      </c>
      <c r="E13" s="378" t="s">
        <v>326</v>
      </c>
      <c r="F13" s="388"/>
      <c r="G13" s="450">
        <v>7500000</v>
      </c>
      <c r="H13" s="450">
        <v>7267500</v>
      </c>
      <c r="I13" s="389">
        <v>720000</v>
      </c>
      <c r="J13" s="389">
        <v>400000</v>
      </c>
      <c r="K13" s="389">
        <v>900000</v>
      </c>
      <c r="L13" s="389"/>
      <c r="M13" s="390"/>
      <c r="N13" s="389">
        <f>SUM(I13:M13)</f>
        <v>2020000</v>
      </c>
      <c r="O13" s="391">
        <f t="shared" ref="O13:O17" si="2">G13+H13+N13</f>
        <v>16787500</v>
      </c>
      <c r="P13" s="392"/>
      <c r="Q13" s="392"/>
      <c r="R13" s="392"/>
      <c r="S13" s="393">
        <f t="shared" ref="S13:S20" si="3">O13+R13</f>
        <v>16787500</v>
      </c>
      <c r="T13" s="185"/>
      <c r="U13" s="186"/>
      <c r="V13" s="186"/>
      <c r="W13" s="185"/>
      <c r="X13" s="185"/>
      <c r="Y13" s="185"/>
      <c r="Z13" s="185"/>
    </row>
    <row r="14" spans="1:26" ht="27" customHeight="1" x14ac:dyDescent="0.25">
      <c r="A14" s="461">
        <f>SUBTOTAL(3,$C$12:C14)</f>
        <v>3</v>
      </c>
      <c r="B14" s="460" t="s">
        <v>349</v>
      </c>
      <c r="C14" s="394" t="s">
        <v>342</v>
      </c>
      <c r="D14" s="395" t="s">
        <v>340</v>
      </c>
      <c r="E14" s="379" t="s">
        <v>341</v>
      </c>
      <c r="F14" s="396"/>
      <c r="G14" s="451"/>
      <c r="H14" s="451">
        <v>13046667</v>
      </c>
      <c r="I14" s="397">
        <v>720000</v>
      </c>
      <c r="J14" s="397">
        <v>400000</v>
      </c>
      <c r="K14" s="397">
        <v>2500000</v>
      </c>
      <c r="L14" s="397"/>
      <c r="M14" s="397"/>
      <c r="N14" s="397">
        <f t="shared" si="0"/>
        <v>3620000</v>
      </c>
      <c r="O14" s="398">
        <f t="shared" ref="O14" si="4">G14+H14+N14</f>
        <v>16666667</v>
      </c>
      <c r="P14" s="396"/>
      <c r="Q14" s="396"/>
      <c r="R14" s="396"/>
      <c r="S14" s="393">
        <f t="shared" si="3"/>
        <v>16666667</v>
      </c>
      <c r="T14" s="185"/>
      <c r="U14" s="186"/>
      <c r="V14" s="186"/>
      <c r="W14" s="185"/>
      <c r="X14" s="185"/>
      <c r="Y14" s="185"/>
      <c r="Z14" s="185"/>
    </row>
    <row r="15" spans="1:26" ht="27" customHeight="1" x14ac:dyDescent="0.25">
      <c r="A15" s="461">
        <f>SUBTOTAL(3,$C$12:C15)</f>
        <v>4</v>
      </c>
      <c r="B15" s="460" t="s">
        <v>349</v>
      </c>
      <c r="C15" s="394" t="s">
        <v>325</v>
      </c>
      <c r="D15" s="395" t="s">
        <v>334</v>
      </c>
      <c r="E15" s="379" t="s">
        <v>335</v>
      </c>
      <c r="F15" s="396"/>
      <c r="G15" s="451">
        <v>8000000</v>
      </c>
      <c r="H15" s="451">
        <v>10180000</v>
      </c>
      <c r="I15" s="397">
        <v>720000</v>
      </c>
      <c r="J15" s="397">
        <v>400000</v>
      </c>
      <c r="K15" s="397">
        <v>1924000</v>
      </c>
      <c r="L15" s="397"/>
      <c r="M15" s="397"/>
      <c r="N15" s="397">
        <f t="shared" si="0"/>
        <v>3044000</v>
      </c>
      <c r="O15" s="398">
        <f t="shared" si="2"/>
        <v>21224000</v>
      </c>
      <c r="P15" s="396"/>
      <c r="Q15" s="396"/>
      <c r="R15" s="396"/>
      <c r="S15" s="399">
        <f t="shared" si="3"/>
        <v>21224000</v>
      </c>
      <c r="T15" s="185"/>
      <c r="U15" s="186"/>
      <c r="V15" s="186"/>
      <c r="W15" s="185"/>
      <c r="X15" s="185"/>
      <c r="Y15" s="185"/>
      <c r="Z15" s="185"/>
    </row>
    <row r="16" spans="1:26" ht="27" customHeight="1" x14ac:dyDescent="0.25">
      <c r="A16" s="461">
        <f>SUBTOTAL(3,$C$12:C16)</f>
        <v>5</v>
      </c>
      <c r="B16" s="460" t="s">
        <v>339</v>
      </c>
      <c r="C16" s="394" t="s">
        <v>337</v>
      </c>
      <c r="D16" s="395" t="s">
        <v>336</v>
      </c>
      <c r="E16" s="379" t="s">
        <v>338</v>
      </c>
      <c r="F16" s="396"/>
      <c r="G16" s="451">
        <v>5500000</v>
      </c>
      <c r="H16" s="451">
        <v>42306650</v>
      </c>
      <c r="I16" s="397">
        <v>720000</v>
      </c>
      <c r="J16" s="397">
        <v>400000</v>
      </c>
      <c r="K16" s="397">
        <v>900000</v>
      </c>
      <c r="L16" s="397"/>
      <c r="M16" s="397"/>
      <c r="N16" s="397">
        <f t="shared" si="0"/>
        <v>2020000</v>
      </c>
      <c r="O16" s="398">
        <f t="shared" si="2"/>
        <v>49826650</v>
      </c>
      <c r="P16" s="396"/>
      <c r="Q16" s="396"/>
      <c r="R16" s="396"/>
      <c r="S16" s="399">
        <f t="shared" si="3"/>
        <v>49826650</v>
      </c>
      <c r="T16" s="185"/>
      <c r="U16" s="186"/>
      <c r="V16" s="186"/>
      <c r="W16" s="185"/>
      <c r="X16" s="185"/>
      <c r="Y16" s="185"/>
      <c r="Z16" s="185"/>
    </row>
    <row r="17" spans="1:26" ht="27" customHeight="1" x14ac:dyDescent="0.25">
      <c r="A17" s="461">
        <f>SUBTOTAL(3,$C$12:C17)</f>
        <v>6</v>
      </c>
      <c r="B17" s="460" t="s">
        <v>339</v>
      </c>
      <c r="C17" s="394" t="s">
        <v>352</v>
      </c>
      <c r="D17" s="395" t="s">
        <v>351</v>
      </c>
      <c r="E17" s="379" t="s">
        <v>350</v>
      </c>
      <c r="F17" s="396"/>
      <c r="G17" s="451">
        <v>5500000</v>
      </c>
      <c r="H17" s="451">
        <v>1880000</v>
      </c>
      <c r="I17" s="397">
        <v>720000</v>
      </c>
      <c r="J17" s="397">
        <v>400000</v>
      </c>
      <c r="K17" s="397">
        <v>500000</v>
      </c>
      <c r="L17" s="397"/>
      <c r="M17" s="397"/>
      <c r="N17" s="397">
        <f t="shared" si="0"/>
        <v>1620000</v>
      </c>
      <c r="O17" s="398">
        <f t="shared" si="2"/>
        <v>9000000</v>
      </c>
      <c r="P17" s="396"/>
      <c r="Q17" s="396"/>
      <c r="R17" s="396"/>
      <c r="S17" s="399">
        <f t="shared" si="3"/>
        <v>9000000</v>
      </c>
      <c r="T17" s="185"/>
      <c r="U17" s="186"/>
      <c r="V17" s="186"/>
      <c r="W17" s="185"/>
      <c r="X17" s="185"/>
      <c r="Y17" s="185"/>
      <c r="Z17" s="185"/>
    </row>
    <row r="18" spans="1:26" ht="27" customHeight="1" x14ac:dyDescent="0.25">
      <c r="A18" s="461">
        <f>SUBTOTAL(3,$C$12:C18)</f>
        <v>7</v>
      </c>
      <c r="B18" s="460" t="s">
        <v>339</v>
      </c>
      <c r="C18" s="394" t="s">
        <v>352</v>
      </c>
      <c r="D18" s="395" t="s">
        <v>353</v>
      </c>
      <c r="E18" s="379" t="s">
        <v>354</v>
      </c>
      <c r="F18" s="396"/>
      <c r="G18" s="451">
        <v>5500000</v>
      </c>
      <c r="H18" s="451">
        <v>1880000</v>
      </c>
      <c r="I18" s="397">
        <v>720000</v>
      </c>
      <c r="J18" s="397">
        <v>400000</v>
      </c>
      <c r="K18" s="397">
        <v>500000</v>
      </c>
      <c r="L18" s="397"/>
      <c r="M18" s="397"/>
      <c r="N18" s="397">
        <f t="shared" ref="N18:N23" si="5">SUM(I18:M18)</f>
        <v>1620000</v>
      </c>
      <c r="O18" s="398">
        <f t="shared" ref="O18:O20" si="6">G18+H18+N18</f>
        <v>9000000</v>
      </c>
      <c r="P18" s="396"/>
      <c r="Q18" s="396"/>
      <c r="R18" s="396"/>
      <c r="S18" s="399">
        <f t="shared" si="3"/>
        <v>9000000</v>
      </c>
      <c r="T18" s="185"/>
      <c r="U18" s="186"/>
      <c r="V18" s="186"/>
      <c r="W18" s="185"/>
      <c r="X18" s="185"/>
      <c r="Y18" s="185"/>
      <c r="Z18" s="185"/>
    </row>
    <row r="19" spans="1:26" ht="27" customHeight="1" x14ac:dyDescent="0.25">
      <c r="A19" s="461">
        <f>SUBTOTAL(3,$C$12:C19)</f>
        <v>8</v>
      </c>
      <c r="B19" s="460" t="s">
        <v>349</v>
      </c>
      <c r="C19" s="394" t="s">
        <v>355</v>
      </c>
      <c r="D19" s="395" t="s">
        <v>356</v>
      </c>
      <c r="E19" s="379" t="s">
        <v>357</v>
      </c>
      <c r="F19" s="396"/>
      <c r="G19" s="451"/>
      <c r="H19" s="451">
        <v>5768889</v>
      </c>
      <c r="I19" s="397">
        <v>720000</v>
      </c>
      <c r="J19" s="397">
        <v>400000</v>
      </c>
      <c r="K19" s="397">
        <v>2000000</v>
      </c>
      <c r="L19" s="397"/>
      <c r="M19" s="397"/>
      <c r="N19" s="397">
        <f t="shared" si="5"/>
        <v>3120000</v>
      </c>
      <c r="O19" s="398">
        <f t="shared" si="6"/>
        <v>8888889</v>
      </c>
      <c r="P19" s="396"/>
      <c r="Q19" s="396"/>
      <c r="R19" s="396"/>
      <c r="S19" s="399">
        <f t="shared" si="3"/>
        <v>8888889</v>
      </c>
      <c r="T19" s="185"/>
      <c r="U19" s="186"/>
      <c r="V19" s="186"/>
      <c r="W19" s="185"/>
      <c r="X19" s="185"/>
      <c r="Y19" s="185"/>
      <c r="Z19" s="185"/>
    </row>
    <row r="20" spans="1:26" ht="27" customHeight="1" x14ac:dyDescent="0.25">
      <c r="A20" s="461">
        <f>SUBTOTAL(3,$C$12:C20)</f>
        <v>9</v>
      </c>
      <c r="B20" s="460" t="s">
        <v>339</v>
      </c>
      <c r="C20" s="394" t="s">
        <v>362</v>
      </c>
      <c r="D20" s="395" t="s">
        <v>361</v>
      </c>
      <c r="E20" s="379" t="s">
        <v>363</v>
      </c>
      <c r="F20" s="396"/>
      <c r="G20" s="451">
        <v>5500000</v>
      </c>
      <c r="H20" s="451">
        <v>5880000</v>
      </c>
      <c r="I20" s="397">
        <v>720000</v>
      </c>
      <c r="J20" s="397">
        <v>400000</v>
      </c>
      <c r="K20" s="397">
        <v>500000</v>
      </c>
      <c r="L20" s="397"/>
      <c r="M20" s="397"/>
      <c r="N20" s="397">
        <f t="shared" si="5"/>
        <v>1620000</v>
      </c>
      <c r="O20" s="398">
        <f t="shared" si="6"/>
        <v>13000000</v>
      </c>
      <c r="P20" s="396"/>
      <c r="Q20" s="396"/>
      <c r="R20" s="396"/>
      <c r="S20" s="399">
        <f t="shared" si="3"/>
        <v>13000000</v>
      </c>
      <c r="T20" s="185"/>
      <c r="U20" s="186"/>
      <c r="V20" s="186"/>
      <c r="W20" s="185"/>
      <c r="X20" s="185"/>
      <c r="Y20" s="185"/>
      <c r="Z20" s="185"/>
    </row>
    <row r="21" spans="1:26" ht="27" customHeight="1" x14ac:dyDescent="0.25">
      <c r="A21" s="461">
        <f>SUBTOTAL(3,$C$12:C21)</f>
        <v>10</v>
      </c>
      <c r="B21" s="460" t="s">
        <v>339</v>
      </c>
      <c r="C21" s="394" t="s">
        <v>352</v>
      </c>
      <c r="D21" s="395" t="s">
        <v>366</v>
      </c>
      <c r="E21" s="379" t="s">
        <v>365</v>
      </c>
      <c r="F21" s="396"/>
      <c r="G21" s="451">
        <v>5500000</v>
      </c>
      <c r="H21" s="451">
        <v>2457500</v>
      </c>
      <c r="I21" s="397">
        <v>720000</v>
      </c>
      <c r="J21" s="397">
        <v>400000</v>
      </c>
      <c r="K21" s="397">
        <v>500000</v>
      </c>
      <c r="L21" s="397"/>
      <c r="M21" s="397"/>
      <c r="N21" s="397">
        <f t="shared" si="5"/>
        <v>1620000</v>
      </c>
      <c r="O21" s="398">
        <f t="shared" ref="O21:O22" si="7">G21+H21+N21</f>
        <v>9577500</v>
      </c>
      <c r="P21" s="396"/>
      <c r="Q21" s="396"/>
      <c r="R21" s="396"/>
      <c r="S21" s="399">
        <f t="shared" ref="S21:S22" si="8">O21+R21</f>
        <v>9577500</v>
      </c>
      <c r="T21" s="185"/>
      <c r="U21" s="186"/>
      <c r="V21" s="186"/>
      <c r="W21" s="185"/>
      <c r="X21" s="185"/>
      <c r="Y21" s="185"/>
      <c r="Z21" s="185"/>
    </row>
    <row r="22" spans="1:26" ht="27" customHeight="1" x14ac:dyDescent="0.25">
      <c r="A22" s="461">
        <f>SUBTOTAL(3,$C$12:C22)</f>
        <v>11</v>
      </c>
      <c r="B22" s="460" t="s">
        <v>319</v>
      </c>
      <c r="C22" s="394" t="s">
        <v>367</v>
      </c>
      <c r="D22" s="395" t="s">
        <v>368</v>
      </c>
      <c r="E22" s="379" t="s">
        <v>369</v>
      </c>
      <c r="F22" s="396"/>
      <c r="G22" s="451">
        <v>4960000</v>
      </c>
      <c r="H22" s="451">
        <v>1040800</v>
      </c>
      <c r="I22" s="397">
        <v>720000</v>
      </c>
      <c r="J22" s="397">
        <v>400000</v>
      </c>
      <c r="K22" s="397">
        <v>400000</v>
      </c>
      <c r="L22" s="397"/>
      <c r="M22" s="397"/>
      <c r="N22" s="397">
        <f t="shared" si="5"/>
        <v>1520000</v>
      </c>
      <c r="O22" s="398">
        <f t="shared" si="7"/>
        <v>7520800</v>
      </c>
      <c r="P22" s="396"/>
      <c r="Q22" s="396"/>
      <c r="R22" s="396"/>
      <c r="S22" s="399">
        <f t="shared" si="8"/>
        <v>7520800</v>
      </c>
      <c r="T22" s="185"/>
      <c r="U22" s="186"/>
      <c r="V22" s="186"/>
      <c r="W22" s="185"/>
      <c r="X22" s="185"/>
      <c r="Y22" s="185"/>
      <c r="Z22" s="185"/>
    </row>
    <row r="23" spans="1:26" ht="27" customHeight="1" x14ac:dyDescent="0.25">
      <c r="A23" s="461">
        <f>SUBTOTAL(3,$C$12:C23)</f>
        <v>12</v>
      </c>
      <c r="B23" s="460" t="s">
        <v>319</v>
      </c>
      <c r="C23" s="394" t="s">
        <v>376</v>
      </c>
      <c r="D23" s="395" t="s">
        <v>370</v>
      </c>
      <c r="E23" s="379" t="s">
        <v>371</v>
      </c>
      <c r="F23" s="396"/>
      <c r="G23" s="451">
        <v>4960000</v>
      </c>
      <c r="H23" s="451">
        <v>4040800</v>
      </c>
      <c r="I23" s="397">
        <v>720000</v>
      </c>
      <c r="J23" s="397">
        <v>400000</v>
      </c>
      <c r="K23" s="397">
        <v>400000</v>
      </c>
      <c r="L23" s="397"/>
      <c r="M23" s="397"/>
      <c r="N23" s="397">
        <f t="shared" si="5"/>
        <v>1520000</v>
      </c>
      <c r="O23" s="398">
        <f t="shared" ref="O23" si="9">G23+H23+N23</f>
        <v>10520800</v>
      </c>
      <c r="P23" s="396"/>
      <c r="Q23" s="396"/>
      <c r="R23" s="396"/>
      <c r="S23" s="399">
        <f t="shared" ref="S23" si="10">O23+R23</f>
        <v>10520800</v>
      </c>
      <c r="T23" s="185"/>
      <c r="U23" s="186"/>
      <c r="V23" s="186"/>
      <c r="W23" s="185"/>
      <c r="X23" s="185"/>
      <c r="Y23" s="185"/>
      <c r="Z23" s="185"/>
    </row>
    <row r="24" spans="1:26" ht="27" customHeight="1" x14ac:dyDescent="0.25">
      <c r="A24" s="461">
        <f>SUBTOTAL(3,$C$12:C24)</f>
        <v>13</v>
      </c>
      <c r="B24" s="460" t="s">
        <v>319</v>
      </c>
      <c r="C24" s="394" t="s">
        <v>377</v>
      </c>
      <c r="D24" s="395" t="s">
        <v>372</v>
      </c>
      <c r="E24" s="379" t="s">
        <v>373</v>
      </c>
      <c r="F24" s="396"/>
      <c r="G24" s="451">
        <v>5500000</v>
      </c>
      <c r="H24" s="451">
        <v>3457500</v>
      </c>
      <c r="I24" s="397">
        <v>720000</v>
      </c>
      <c r="J24" s="397">
        <v>400000</v>
      </c>
      <c r="K24" s="397">
        <v>500000</v>
      </c>
      <c r="L24" s="397"/>
      <c r="M24" s="397"/>
      <c r="N24" s="397">
        <f t="shared" ref="N24" si="11">SUM(I24:M24)</f>
        <v>1620000</v>
      </c>
      <c r="O24" s="398">
        <f t="shared" ref="O24" si="12">G24+H24+N24</f>
        <v>10577500</v>
      </c>
      <c r="P24" s="396"/>
      <c r="Q24" s="396"/>
      <c r="R24" s="396"/>
      <c r="S24" s="399">
        <f t="shared" ref="S24" si="13">O24+R24</f>
        <v>10577500</v>
      </c>
      <c r="T24" s="185"/>
      <c r="U24" s="186"/>
      <c r="V24" s="186"/>
      <c r="W24" s="185"/>
      <c r="X24" s="185"/>
      <c r="Y24" s="185"/>
      <c r="Z24" s="185"/>
    </row>
    <row r="25" spans="1:26" ht="27" customHeight="1" x14ac:dyDescent="0.25">
      <c r="A25" s="461">
        <f>SUBTOTAL(3,$C$12:C25)</f>
        <v>14</v>
      </c>
      <c r="B25" s="460" t="s">
        <v>319</v>
      </c>
      <c r="C25" s="394" t="s">
        <v>319</v>
      </c>
      <c r="D25" s="395" t="s">
        <v>374</v>
      </c>
      <c r="E25" s="379" t="s">
        <v>375</v>
      </c>
      <c r="F25" s="396"/>
      <c r="G25" s="451">
        <v>5500000</v>
      </c>
      <c r="H25" s="451">
        <v>2457500</v>
      </c>
      <c r="I25" s="397">
        <v>720000</v>
      </c>
      <c r="J25" s="397">
        <v>400000</v>
      </c>
      <c r="K25" s="397">
        <v>500000</v>
      </c>
      <c r="L25" s="397"/>
      <c r="M25" s="397"/>
      <c r="N25" s="397">
        <f t="shared" ref="N25" si="14">SUM(I25:M25)</f>
        <v>1620000</v>
      </c>
      <c r="O25" s="398">
        <f t="shared" ref="O25" si="15">G25+H25+N25</f>
        <v>9577500</v>
      </c>
      <c r="P25" s="396"/>
      <c r="Q25" s="396"/>
      <c r="R25" s="396"/>
      <c r="S25" s="399">
        <f t="shared" ref="S25" si="16">O25+R25</f>
        <v>9577500</v>
      </c>
      <c r="T25" s="185"/>
      <c r="U25" s="186"/>
      <c r="V25" s="186"/>
      <c r="W25" s="185"/>
      <c r="X25" s="185"/>
      <c r="Y25" s="185"/>
      <c r="Z25" s="185"/>
    </row>
    <row r="26" spans="1:26" ht="30" customHeight="1" x14ac:dyDescent="0.25">
      <c r="A26" s="592" t="s">
        <v>51</v>
      </c>
      <c r="B26" s="593"/>
      <c r="C26" s="593"/>
      <c r="D26" s="593"/>
      <c r="E26" s="593"/>
      <c r="F26" s="400"/>
      <c r="G26" s="452">
        <f>SUM(G12:G17)</f>
        <v>34000000</v>
      </c>
      <c r="H26" s="452">
        <f>SUM(H12:H17)</f>
        <v>79560817</v>
      </c>
      <c r="I26" s="401">
        <f>SUM(I12:I16)</f>
        <v>3600000</v>
      </c>
      <c r="J26" s="401">
        <f>SUM(J12:J16)</f>
        <v>2000000</v>
      </c>
      <c r="K26" s="401">
        <f>SUM(K12:K17)</f>
        <v>9224000</v>
      </c>
      <c r="L26" s="401">
        <f>SUM(L12:L13)</f>
        <v>0</v>
      </c>
      <c r="M26" s="401">
        <f>SUM(M12:M13)</f>
        <v>0</v>
      </c>
      <c r="N26" s="401">
        <f>SUM(N12:N17)</f>
        <v>15944000</v>
      </c>
      <c r="O26" s="401">
        <f>SUM(O12:O16)</f>
        <v>120504817</v>
      </c>
      <c r="P26" s="401">
        <f>SUM(P12:P13)</f>
        <v>0</v>
      </c>
      <c r="Q26" s="401">
        <f>SUM(Q12:Q13)</f>
        <v>0</v>
      </c>
      <c r="R26" s="401">
        <f>SUM(R12:R13)</f>
        <v>0</v>
      </c>
      <c r="S26" s="401">
        <f>SUM(S12:S16)</f>
        <v>120504817</v>
      </c>
      <c r="T26" s="42"/>
      <c r="U26" s="42"/>
      <c r="V26" s="42"/>
    </row>
    <row r="27" spans="1:26" ht="15.75" customHeight="1" x14ac:dyDescent="0.3">
      <c r="A27" s="40"/>
      <c r="B27" s="40"/>
      <c r="C27" s="40"/>
      <c r="D27" s="40">
        <v>1</v>
      </c>
      <c r="E27" s="40">
        <f>1+D27</f>
        <v>2</v>
      </c>
      <c r="F27" s="40">
        <f t="shared" ref="F27:M27" si="17">1+E27</f>
        <v>3</v>
      </c>
      <c r="G27" s="453">
        <f t="shared" si="17"/>
        <v>4</v>
      </c>
      <c r="H27" s="453">
        <f t="shared" si="17"/>
        <v>5</v>
      </c>
      <c r="I27" s="40">
        <f t="shared" si="17"/>
        <v>6</v>
      </c>
      <c r="J27" s="40">
        <f t="shared" si="17"/>
        <v>7</v>
      </c>
      <c r="K27" s="40">
        <f t="shared" si="17"/>
        <v>8</v>
      </c>
      <c r="L27" s="40">
        <f t="shared" si="17"/>
        <v>9</v>
      </c>
      <c r="M27" s="40">
        <f t="shared" si="17"/>
        <v>10</v>
      </c>
      <c r="N27" s="189"/>
      <c r="O27" s="190"/>
      <c r="P27" s="191"/>
      <c r="Q27" s="192" t="e">
        <f>+#REF!/R27</f>
        <v>#REF!</v>
      </c>
      <c r="R27" s="193">
        <v>2500000000</v>
      </c>
      <c r="S27" s="194"/>
      <c r="U27" s="42"/>
    </row>
    <row r="28" spans="1:26" ht="15.75" customHeight="1" x14ac:dyDescent="0.3">
      <c r="A28" s="47" t="s">
        <v>148</v>
      </c>
      <c r="B28" s="40"/>
      <c r="C28" s="40"/>
      <c r="D28" s="40"/>
      <c r="E28" s="40"/>
      <c r="F28" s="39"/>
      <c r="G28" s="453"/>
      <c r="H28" s="453"/>
      <c r="I28" s="189"/>
      <c r="J28" s="189"/>
      <c r="K28" s="189"/>
      <c r="L28" s="189"/>
      <c r="M28" s="189"/>
      <c r="N28" s="189"/>
      <c r="O28" s="189"/>
      <c r="P28" s="191"/>
      <c r="Q28" s="191" t="s">
        <v>149</v>
      </c>
      <c r="R28" s="193" t="s">
        <v>150</v>
      </c>
      <c r="S28" s="189"/>
      <c r="T28" s="195"/>
      <c r="U28" s="42"/>
    </row>
    <row r="29" spans="1:26" ht="15.75" customHeight="1" x14ac:dyDescent="0.3">
      <c r="A29" s="594" t="s">
        <v>151</v>
      </c>
      <c r="B29" s="476"/>
      <c r="C29" s="476"/>
      <c r="D29" s="476"/>
      <c r="E29" s="476"/>
      <c r="F29" s="476"/>
      <c r="G29" s="476"/>
      <c r="H29" s="476"/>
      <c r="I29" s="476"/>
      <c r="J29" s="476"/>
      <c r="K29" s="476"/>
      <c r="L29" s="476"/>
      <c r="M29" s="476"/>
      <c r="N29" s="476"/>
      <c r="O29" s="476"/>
      <c r="P29" s="476"/>
      <c r="Q29" s="476"/>
      <c r="R29" s="476"/>
      <c r="S29" s="476"/>
      <c r="U29" s="42"/>
    </row>
    <row r="30" spans="1:26" ht="15.75" customHeight="1" x14ac:dyDescent="0.3">
      <c r="A30" s="594" t="s">
        <v>152</v>
      </c>
      <c r="B30" s="476"/>
      <c r="C30" s="476"/>
      <c r="D30" s="476"/>
      <c r="E30" s="476"/>
      <c r="F30" s="476"/>
      <c r="G30" s="476"/>
      <c r="H30" s="476"/>
      <c r="I30" s="476"/>
      <c r="J30" s="476"/>
      <c r="K30" s="476"/>
      <c r="L30" s="476"/>
      <c r="M30" s="476"/>
      <c r="N30" s="476"/>
      <c r="O30" s="476"/>
      <c r="P30" s="476"/>
      <c r="Q30" s="476"/>
      <c r="R30" s="476"/>
      <c r="S30" s="476"/>
      <c r="U30" s="42"/>
    </row>
    <row r="31" spans="1:26" ht="15.75" customHeight="1" x14ac:dyDescent="0.3">
      <c r="A31" s="594" t="s">
        <v>153</v>
      </c>
      <c r="B31" s="476"/>
      <c r="C31" s="476"/>
      <c r="D31" s="476"/>
      <c r="E31" s="476"/>
      <c r="F31" s="476"/>
      <c r="G31" s="476"/>
      <c r="H31" s="476"/>
      <c r="I31" s="476"/>
      <c r="J31" s="476"/>
      <c r="K31" s="476"/>
      <c r="L31" s="476"/>
      <c r="M31" s="476"/>
      <c r="N31" s="476"/>
      <c r="O31" s="476"/>
      <c r="P31" s="476"/>
      <c r="Q31" s="476"/>
      <c r="R31" s="476"/>
      <c r="S31" s="476"/>
      <c r="U31" s="42"/>
    </row>
    <row r="32" spans="1:26" ht="15.75" customHeight="1" x14ac:dyDescent="0.3">
      <c r="A32" s="595" t="s">
        <v>330</v>
      </c>
      <c r="B32" s="476"/>
      <c r="C32" s="476"/>
      <c r="D32" s="476"/>
      <c r="E32" s="476"/>
      <c r="F32" s="476"/>
      <c r="G32" s="476"/>
      <c r="H32" s="476"/>
      <c r="I32" s="476"/>
      <c r="J32" s="476"/>
      <c r="K32" s="476"/>
      <c r="L32" s="476"/>
      <c r="M32" s="476"/>
      <c r="N32" s="476"/>
      <c r="O32" s="476"/>
      <c r="P32" s="476"/>
      <c r="Q32" s="476"/>
      <c r="R32" s="476"/>
      <c r="S32" s="476"/>
      <c r="U32" s="42"/>
    </row>
    <row r="33" spans="1:21" ht="15.75" customHeight="1" x14ac:dyDescent="0.3">
      <c r="A33" s="40"/>
      <c r="B33" s="40"/>
      <c r="C33" s="40"/>
      <c r="D33" s="40"/>
      <c r="E33" s="40"/>
      <c r="F33" s="39"/>
      <c r="G33" s="448"/>
      <c r="H33" s="448"/>
      <c r="I33" s="189"/>
      <c r="J33" s="189"/>
      <c r="K33" s="189"/>
      <c r="L33" s="189"/>
      <c r="M33" s="189"/>
      <c r="N33" s="189"/>
      <c r="O33" s="194"/>
      <c r="P33" s="40"/>
      <c r="Q33" s="40"/>
      <c r="R33" s="189"/>
      <c r="S33" s="189"/>
      <c r="U33" s="42"/>
    </row>
    <row r="34" spans="1:21" ht="15.75" customHeight="1" x14ac:dyDescent="0.3">
      <c r="A34" s="196" t="s">
        <v>154</v>
      </c>
      <c r="B34" s="197"/>
      <c r="C34" s="197"/>
      <c r="D34" s="197"/>
      <c r="E34" s="197"/>
      <c r="F34" s="197"/>
      <c r="G34" s="596" t="s">
        <v>329</v>
      </c>
      <c r="H34" s="476"/>
      <c r="I34" s="476"/>
      <c r="J34" s="476"/>
      <c r="K34" s="190"/>
      <c r="L34" s="190"/>
      <c r="M34" s="190"/>
      <c r="N34" s="597"/>
      <c r="O34" s="476"/>
      <c r="P34" s="476"/>
      <c r="Q34" s="476"/>
      <c r="R34" s="198"/>
      <c r="S34" s="198"/>
      <c r="U34" s="42"/>
    </row>
    <row r="35" spans="1:21" ht="15.75" customHeight="1" x14ac:dyDescent="0.3">
      <c r="A35" s="601" t="s">
        <v>155</v>
      </c>
      <c r="B35" s="476"/>
      <c r="C35" s="598"/>
      <c r="D35" s="476"/>
      <c r="E35" s="476"/>
      <c r="G35" s="599" t="s">
        <v>38</v>
      </c>
      <c r="H35" s="476"/>
      <c r="I35" s="476"/>
      <c r="J35" s="476"/>
      <c r="K35" s="199"/>
      <c r="L35" s="199"/>
      <c r="M35" s="199"/>
      <c r="N35" s="189"/>
      <c r="O35" s="194"/>
      <c r="P35" s="40"/>
      <c r="Q35" s="40"/>
      <c r="R35" s="189"/>
      <c r="S35" s="189"/>
      <c r="U35" s="42"/>
    </row>
    <row r="36" spans="1:21" ht="15.75" customHeight="1" x14ac:dyDescent="0.3">
      <c r="A36" s="601" t="s">
        <v>156</v>
      </c>
      <c r="B36" s="476"/>
      <c r="C36" s="197"/>
      <c r="D36" s="197"/>
      <c r="E36" s="197"/>
      <c r="F36" s="197"/>
      <c r="G36" s="454"/>
      <c r="H36" s="454"/>
      <c r="I36" s="190"/>
      <c r="J36" s="190"/>
      <c r="K36" s="190"/>
      <c r="L36" s="190"/>
      <c r="M36" s="190"/>
      <c r="N36" s="189"/>
      <c r="O36" s="194"/>
      <c r="P36" s="40"/>
      <c r="Q36" s="40"/>
      <c r="R36" s="189"/>
      <c r="S36" s="189"/>
      <c r="U36" s="42"/>
    </row>
    <row r="37" spans="1:21" ht="15.75" customHeight="1" x14ac:dyDescent="0.3">
      <c r="A37" s="601" t="s">
        <v>157</v>
      </c>
      <c r="B37" s="476"/>
      <c r="C37" s="197"/>
      <c r="D37" s="197"/>
      <c r="E37" s="197"/>
      <c r="F37" s="197"/>
      <c r="G37" s="454"/>
      <c r="H37" s="454"/>
      <c r="I37" s="190"/>
      <c r="J37" s="190"/>
      <c r="K37" s="190"/>
      <c r="L37" s="190"/>
      <c r="M37" s="190"/>
      <c r="N37" s="189"/>
      <c r="O37" s="194"/>
      <c r="P37" s="40"/>
      <c r="Q37" s="40"/>
      <c r="R37" s="189"/>
      <c r="S37" s="189"/>
      <c r="U37" s="42"/>
    </row>
    <row r="38" spans="1:21" ht="15.75" customHeight="1" x14ac:dyDescent="0.3">
      <c r="A38" s="601" t="s">
        <v>158</v>
      </c>
      <c r="B38" s="476"/>
      <c r="C38" s="197"/>
      <c r="D38" s="197"/>
      <c r="E38" s="197"/>
      <c r="F38" s="197"/>
      <c r="G38" s="454"/>
      <c r="H38" s="454"/>
      <c r="I38" s="190"/>
      <c r="J38" s="190"/>
      <c r="K38" s="190"/>
      <c r="L38" s="190"/>
      <c r="M38" s="190"/>
      <c r="N38" s="189"/>
      <c r="O38" s="194"/>
      <c r="P38" s="40"/>
      <c r="Q38" s="40"/>
      <c r="R38" s="189"/>
      <c r="S38" s="189"/>
      <c r="U38" s="42"/>
    </row>
    <row r="39" spans="1:21" ht="15.75" customHeight="1" x14ac:dyDescent="0.3">
      <c r="A39" s="197"/>
      <c r="B39" s="197"/>
      <c r="C39" s="197"/>
      <c r="D39" s="197"/>
      <c r="E39" s="197"/>
      <c r="F39" s="197"/>
      <c r="G39" s="454"/>
      <c r="H39" s="454"/>
      <c r="I39" s="190"/>
      <c r="J39" s="190"/>
      <c r="K39" s="190"/>
      <c r="L39" s="190"/>
      <c r="M39" s="190"/>
      <c r="N39" s="189"/>
      <c r="O39" s="194"/>
      <c r="P39" s="40"/>
      <c r="Q39" s="40"/>
      <c r="R39" s="189"/>
      <c r="S39" s="189"/>
      <c r="U39" s="42"/>
    </row>
    <row r="40" spans="1:21" ht="15.75" customHeight="1" x14ac:dyDescent="0.3">
      <c r="A40" s="145"/>
      <c r="B40" s="197"/>
      <c r="C40" s="598"/>
      <c r="D40" s="476"/>
      <c r="E40" s="476"/>
      <c r="G40" s="599"/>
      <c r="H40" s="476"/>
      <c r="I40" s="476"/>
      <c r="J40" s="476"/>
      <c r="K40" s="190"/>
      <c r="L40" s="190"/>
      <c r="M40" s="190"/>
      <c r="N40" s="189"/>
      <c r="O40" s="194"/>
      <c r="P40" s="40"/>
      <c r="Q40" s="40"/>
      <c r="R40" s="189"/>
      <c r="S40" s="189"/>
      <c r="U40" s="42"/>
    </row>
    <row r="41" spans="1:21" ht="15.75" customHeight="1" x14ac:dyDescent="0.3">
      <c r="A41" s="47"/>
      <c r="B41" s="600"/>
      <c r="C41" s="476"/>
      <c r="E41" s="600"/>
      <c r="F41" s="476"/>
      <c r="G41" s="476"/>
      <c r="H41" s="456"/>
      <c r="I41" s="198"/>
      <c r="J41" s="198"/>
      <c r="K41" s="198"/>
      <c r="L41" s="198"/>
      <c r="M41" s="198"/>
      <c r="N41" s="597"/>
      <c r="O41" s="476"/>
      <c r="P41" s="476"/>
      <c r="Q41" s="476"/>
      <c r="R41" s="198"/>
      <c r="S41" s="198"/>
      <c r="U41" s="42"/>
    </row>
    <row r="42" spans="1:21" ht="15.75" customHeight="1" x14ac:dyDescent="0.25">
      <c r="U42" s="42"/>
    </row>
    <row r="43" spans="1:21" ht="15.75" customHeight="1" x14ac:dyDescent="0.25">
      <c r="U43" s="42"/>
    </row>
    <row r="44" spans="1:21" ht="15.75" customHeight="1" x14ac:dyDescent="0.25">
      <c r="U44" s="42"/>
    </row>
    <row r="45" spans="1:21" ht="15.75" customHeight="1" x14ac:dyDescent="0.25">
      <c r="U45" s="42"/>
    </row>
    <row r="46" spans="1:21" ht="15.75" customHeight="1" x14ac:dyDescent="0.25">
      <c r="U46" s="42"/>
    </row>
    <row r="47" spans="1:21" ht="15.75" customHeight="1" x14ac:dyDescent="0.25">
      <c r="U47" s="42"/>
    </row>
    <row r="48" spans="1:21" ht="15.75" customHeight="1" x14ac:dyDescent="0.25">
      <c r="U48" s="42"/>
    </row>
    <row r="49" spans="21:21" ht="15.75" customHeight="1" x14ac:dyDescent="0.25">
      <c r="U49" s="42"/>
    </row>
    <row r="50" spans="21:21" ht="15.75" customHeight="1" x14ac:dyDescent="0.25">
      <c r="U50" s="42"/>
    </row>
    <row r="51" spans="21:21" ht="15.75" customHeight="1" x14ac:dyDescent="0.25">
      <c r="U51" s="42"/>
    </row>
    <row r="52" spans="21:21" ht="15.75" customHeight="1" x14ac:dyDescent="0.25">
      <c r="U52" s="42"/>
    </row>
    <row r="53" spans="21:21" ht="15.75" customHeight="1" x14ac:dyDescent="0.25">
      <c r="U53" s="42"/>
    </row>
    <row r="54" spans="21:21" ht="15.75" customHeight="1" x14ac:dyDescent="0.25">
      <c r="U54" s="42"/>
    </row>
    <row r="55" spans="21:21" ht="15.75" customHeight="1" x14ac:dyDescent="0.25">
      <c r="U55" s="42"/>
    </row>
    <row r="56" spans="21:21" ht="15.75" customHeight="1" x14ac:dyDescent="0.25">
      <c r="U56" s="42"/>
    </row>
    <row r="57" spans="21:21" ht="15.75" customHeight="1" x14ac:dyDescent="0.25">
      <c r="U57" s="42"/>
    </row>
    <row r="58" spans="21:21" ht="15.75" customHeight="1" x14ac:dyDescent="0.25">
      <c r="U58" s="42"/>
    </row>
    <row r="59" spans="21:21" ht="15.75" customHeight="1" x14ac:dyDescent="0.25">
      <c r="U59" s="42"/>
    </row>
    <row r="60" spans="21:21" ht="15.75" customHeight="1" x14ac:dyDescent="0.25">
      <c r="U60" s="42"/>
    </row>
    <row r="61" spans="21:21" ht="15.75" customHeight="1" x14ac:dyDescent="0.25">
      <c r="U61" s="42"/>
    </row>
    <row r="62" spans="21:21" ht="15.75" customHeight="1" x14ac:dyDescent="0.25">
      <c r="U62" s="42"/>
    </row>
    <row r="63" spans="21:21" ht="15.75" customHeight="1" x14ac:dyDescent="0.25">
      <c r="U63" s="42"/>
    </row>
    <row r="64" spans="21:21" ht="15.75" customHeight="1" x14ac:dyDescent="0.25">
      <c r="U64" s="42"/>
    </row>
    <row r="65" spans="21:21" ht="15.75" customHeight="1" x14ac:dyDescent="0.25">
      <c r="U65" s="42"/>
    </row>
    <row r="66" spans="21:21" ht="15.75" customHeight="1" x14ac:dyDescent="0.25">
      <c r="U66" s="42"/>
    </row>
    <row r="67" spans="21:21" ht="15.75" customHeight="1" x14ac:dyDescent="0.25">
      <c r="U67" s="42"/>
    </row>
    <row r="68" spans="21:21" ht="15.75" customHeight="1" x14ac:dyDescent="0.25">
      <c r="U68" s="42"/>
    </row>
    <row r="69" spans="21:21" ht="15.75" customHeight="1" x14ac:dyDescent="0.25">
      <c r="U69" s="42"/>
    </row>
    <row r="70" spans="21:21" ht="15.75" customHeight="1" x14ac:dyDescent="0.25">
      <c r="U70" s="42"/>
    </row>
    <row r="71" spans="21:21" ht="15.75" customHeight="1" x14ac:dyDescent="0.25">
      <c r="U71" s="42"/>
    </row>
    <row r="72" spans="21:21" ht="15.75" customHeight="1" x14ac:dyDescent="0.25">
      <c r="U72" s="42"/>
    </row>
    <row r="73" spans="21:21" ht="15.75" customHeight="1" x14ac:dyDescent="0.25">
      <c r="U73" s="42"/>
    </row>
    <row r="74" spans="21:21" ht="15.75" customHeight="1" x14ac:dyDescent="0.25">
      <c r="U74" s="42"/>
    </row>
    <row r="75" spans="21:21" ht="15.75" customHeight="1" x14ac:dyDescent="0.25">
      <c r="U75" s="42"/>
    </row>
    <row r="76" spans="21:21" ht="15.75" customHeight="1" x14ac:dyDescent="0.25">
      <c r="U76" s="42"/>
    </row>
    <row r="77" spans="21:21" ht="15.75" customHeight="1" x14ac:dyDescent="0.25">
      <c r="U77" s="42"/>
    </row>
    <row r="78" spans="21:21" ht="15.75" customHeight="1" x14ac:dyDescent="0.25">
      <c r="U78" s="42"/>
    </row>
    <row r="79" spans="21:21" ht="15.75" customHeight="1" x14ac:dyDescent="0.25">
      <c r="U79" s="42"/>
    </row>
    <row r="80" spans="21:21" ht="15.75" customHeight="1" x14ac:dyDescent="0.25">
      <c r="U80" s="42"/>
    </row>
    <row r="81" spans="21:21" ht="15.75" customHeight="1" x14ac:dyDescent="0.25">
      <c r="U81" s="42"/>
    </row>
    <row r="82" spans="21:21" ht="15.75" customHeight="1" x14ac:dyDescent="0.25">
      <c r="U82" s="42"/>
    </row>
    <row r="83" spans="21:21" ht="15.75" customHeight="1" x14ac:dyDescent="0.25">
      <c r="U83" s="42"/>
    </row>
    <row r="84" spans="21:21" ht="15.75" customHeight="1" x14ac:dyDescent="0.25">
      <c r="U84" s="42"/>
    </row>
    <row r="85" spans="21:21" ht="15.75" customHeight="1" x14ac:dyDescent="0.25">
      <c r="U85" s="42"/>
    </row>
    <row r="86" spans="21:21" ht="15.75" customHeight="1" x14ac:dyDescent="0.25">
      <c r="U86" s="42"/>
    </row>
    <row r="87" spans="21:21" ht="15.75" customHeight="1" x14ac:dyDescent="0.25">
      <c r="U87" s="42"/>
    </row>
    <row r="88" spans="21:21" ht="15.75" customHeight="1" x14ac:dyDescent="0.25">
      <c r="U88" s="42"/>
    </row>
    <row r="89" spans="21:21" ht="15.75" customHeight="1" x14ac:dyDescent="0.25">
      <c r="U89" s="42"/>
    </row>
    <row r="90" spans="21:21" ht="15.75" customHeight="1" x14ac:dyDescent="0.25">
      <c r="U90" s="42"/>
    </row>
    <row r="91" spans="21:21" ht="15.75" customHeight="1" x14ac:dyDescent="0.25">
      <c r="U91" s="42"/>
    </row>
    <row r="92" spans="21:21" ht="15.75" customHeight="1" x14ac:dyDescent="0.25">
      <c r="U92" s="42"/>
    </row>
    <row r="93" spans="21:21" ht="15.75" customHeight="1" x14ac:dyDescent="0.25">
      <c r="U93" s="42"/>
    </row>
    <row r="94" spans="21:21" ht="15.75" customHeight="1" x14ac:dyDescent="0.25">
      <c r="U94" s="42"/>
    </row>
    <row r="95" spans="21:21" ht="15.75" customHeight="1" x14ac:dyDescent="0.25">
      <c r="U95" s="42"/>
    </row>
    <row r="96" spans="21:21" ht="15.75" customHeight="1" x14ac:dyDescent="0.25">
      <c r="U96" s="42"/>
    </row>
    <row r="97" spans="21:21" ht="15.75" customHeight="1" x14ac:dyDescent="0.25">
      <c r="U97" s="42"/>
    </row>
    <row r="98" spans="21:21" ht="15.75" customHeight="1" x14ac:dyDescent="0.25">
      <c r="U98" s="42"/>
    </row>
    <row r="99" spans="21:21" ht="15.75" customHeight="1" x14ac:dyDescent="0.25">
      <c r="U99" s="42"/>
    </row>
    <row r="100" spans="21:21" ht="15.75" customHeight="1" x14ac:dyDescent="0.25">
      <c r="U100" s="42"/>
    </row>
    <row r="101" spans="21:21" ht="15.75" customHeight="1" x14ac:dyDescent="0.25">
      <c r="U101" s="42"/>
    </row>
    <row r="102" spans="21:21" ht="15.75" customHeight="1" x14ac:dyDescent="0.25">
      <c r="U102" s="42"/>
    </row>
    <row r="103" spans="21:21" ht="15.75" customHeight="1" x14ac:dyDescent="0.25">
      <c r="U103" s="42"/>
    </row>
    <row r="104" spans="21:21" ht="15.75" customHeight="1" x14ac:dyDescent="0.25">
      <c r="U104" s="42"/>
    </row>
    <row r="105" spans="21:21" ht="15.75" customHeight="1" x14ac:dyDescent="0.25">
      <c r="U105" s="42"/>
    </row>
    <row r="106" spans="21:21" ht="15.75" customHeight="1" x14ac:dyDescent="0.25">
      <c r="U106" s="42"/>
    </row>
    <row r="107" spans="21:21" ht="15.75" customHeight="1" x14ac:dyDescent="0.25">
      <c r="U107" s="42"/>
    </row>
    <row r="108" spans="21:21" ht="15.75" customHeight="1" x14ac:dyDescent="0.25">
      <c r="U108" s="42"/>
    </row>
    <row r="109" spans="21:21" ht="15.75" customHeight="1" x14ac:dyDescent="0.25">
      <c r="U109" s="42"/>
    </row>
    <row r="110" spans="21:21" ht="15.75" customHeight="1" x14ac:dyDescent="0.25">
      <c r="U110" s="42"/>
    </row>
    <row r="111" spans="21:21" ht="15.75" customHeight="1" x14ac:dyDescent="0.25">
      <c r="U111" s="42"/>
    </row>
    <row r="112" spans="21:21" ht="15.75" customHeight="1" x14ac:dyDescent="0.25">
      <c r="U112" s="42"/>
    </row>
    <row r="113" spans="21:21" ht="15.75" customHeight="1" x14ac:dyDescent="0.25">
      <c r="U113" s="42"/>
    </row>
    <row r="114" spans="21:21" ht="15.75" customHeight="1" x14ac:dyDescent="0.25">
      <c r="U114" s="42"/>
    </row>
    <row r="115" spans="21:21" ht="15.75" customHeight="1" x14ac:dyDescent="0.25">
      <c r="U115" s="42"/>
    </row>
    <row r="116" spans="21:21" ht="15.75" customHeight="1" x14ac:dyDescent="0.25">
      <c r="U116" s="42"/>
    </row>
    <row r="117" spans="21:21" ht="15.75" customHeight="1" x14ac:dyDescent="0.25">
      <c r="U117" s="42"/>
    </row>
    <row r="118" spans="21:21" ht="15.75" customHeight="1" x14ac:dyDescent="0.25">
      <c r="U118" s="42"/>
    </row>
    <row r="119" spans="21:21" ht="15.75" customHeight="1" x14ac:dyDescent="0.25">
      <c r="U119" s="42"/>
    </row>
    <row r="120" spans="21:21" ht="15.75" customHeight="1" x14ac:dyDescent="0.25">
      <c r="U120" s="42"/>
    </row>
    <row r="121" spans="21:21" ht="15.75" customHeight="1" x14ac:dyDescent="0.25">
      <c r="U121" s="42"/>
    </row>
    <row r="122" spans="21:21" ht="15.75" customHeight="1" x14ac:dyDescent="0.25">
      <c r="U122" s="42"/>
    </row>
    <row r="123" spans="21:21" ht="15.75" customHeight="1" x14ac:dyDescent="0.25">
      <c r="U123" s="42"/>
    </row>
    <row r="124" spans="21:21" ht="15.75" customHeight="1" x14ac:dyDescent="0.25">
      <c r="U124" s="42"/>
    </row>
    <row r="125" spans="21:21" ht="15.75" customHeight="1" x14ac:dyDescent="0.25">
      <c r="U125" s="42"/>
    </row>
    <row r="126" spans="21:21" ht="15.75" customHeight="1" x14ac:dyDescent="0.25">
      <c r="U126" s="42"/>
    </row>
    <row r="127" spans="21:21" ht="15.75" customHeight="1" x14ac:dyDescent="0.25">
      <c r="U127" s="42"/>
    </row>
    <row r="128" spans="21:21" ht="15.75" customHeight="1" x14ac:dyDescent="0.25">
      <c r="U128" s="42"/>
    </row>
    <row r="129" spans="21:21" ht="15.75" customHeight="1" x14ac:dyDescent="0.25">
      <c r="U129" s="42"/>
    </row>
    <row r="130" spans="21:21" ht="15.75" customHeight="1" x14ac:dyDescent="0.25">
      <c r="U130" s="42"/>
    </row>
    <row r="131" spans="21:21" ht="15.75" customHeight="1" x14ac:dyDescent="0.25">
      <c r="U131" s="42"/>
    </row>
    <row r="132" spans="21:21" ht="15.75" customHeight="1" x14ac:dyDescent="0.25">
      <c r="U132" s="42"/>
    </row>
    <row r="133" spans="21:21" ht="15.75" customHeight="1" x14ac:dyDescent="0.25">
      <c r="U133" s="42"/>
    </row>
    <row r="134" spans="21:21" ht="15.75" customHeight="1" x14ac:dyDescent="0.25">
      <c r="U134" s="42"/>
    </row>
    <row r="135" spans="21:21" ht="15.75" customHeight="1" x14ac:dyDescent="0.25">
      <c r="U135" s="42"/>
    </row>
    <row r="136" spans="21:21" ht="15.75" customHeight="1" x14ac:dyDescent="0.25">
      <c r="U136" s="42"/>
    </row>
    <row r="137" spans="21:21" ht="15.75" customHeight="1" x14ac:dyDescent="0.25">
      <c r="U137" s="42"/>
    </row>
    <row r="138" spans="21:21" ht="15.75" customHeight="1" x14ac:dyDescent="0.25">
      <c r="U138" s="42"/>
    </row>
    <row r="139" spans="21:21" ht="15.75" customHeight="1" x14ac:dyDescent="0.25">
      <c r="U139" s="42"/>
    </row>
    <row r="140" spans="21:21" ht="15.75" customHeight="1" x14ac:dyDescent="0.25">
      <c r="U140" s="42"/>
    </row>
    <row r="141" spans="21:21" ht="15.75" customHeight="1" x14ac:dyDescent="0.25">
      <c r="U141" s="42"/>
    </row>
    <row r="142" spans="21:21" ht="15.75" customHeight="1" x14ac:dyDescent="0.25">
      <c r="U142" s="42"/>
    </row>
    <row r="143" spans="21:21" ht="15.75" customHeight="1" x14ac:dyDescent="0.25">
      <c r="U143" s="42"/>
    </row>
    <row r="144" spans="21:21" ht="15.75" customHeight="1" x14ac:dyDescent="0.25">
      <c r="U144" s="42"/>
    </row>
    <row r="145" spans="21:21" ht="15.75" customHeight="1" x14ac:dyDescent="0.25">
      <c r="U145" s="42"/>
    </row>
    <row r="146" spans="21:21" ht="15.75" customHeight="1" x14ac:dyDescent="0.25">
      <c r="U146" s="42"/>
    </row>
    <row r="147" spans="21:21" ht="15.75" customHeight="1" x14ac:dyDescent="0.25">
      <c r="U147" s="42"/>
    </row>
    <row r="148" spans="21:21" ht="15.75" customHeight="1" x14ac:dyDescent="0.25">
      <c r="U148" s="42"/>
    </row>
    <row r="149" spans="21:21" ht="15.75" customHeight="1" x14ac:dyDescent="0.25">
      <c r="U149" s="42"/>
    </row>
    <row r="150" spans="21:21" ht="15.75" customHeight="1" x14ac:dyDescent="0.25">
      <c r="U150" s="42"/>
    </row>
    <row r="151" spans="21:21" ht="15.75" customHeight="1" x14ac:dyDescent="0.25">
      <c r="U151" s="42"/>
    </row>
    <row r="152" spans="21:21" ht="15.75" customHeight="1" x14ac:dyDescent="0.25">
      <c r="U152" s="42"/>
    </row>
    <row r="153" spans="21:21" ht="15.75" customHeight="1" x14ac:dyDescent="0.25">
      <c r="U153" s="42"/>
    </row>
    <row r="154" spans="21:21" ht="15.75" customHeight="1" x14ac:dyDescent="0.25">
      <c r="U154" s="42"/>
    </row>
    <row r="155" spans="21:21" ht="15.75" customHeight="1" x14ac:dyDescent="0.25">
      <c r="U155" s="42"/>
    </row>
    <row r="156" spans="21:21" ht="15.75" customHeight="1" x14ac:dyDescent="0.25">
      <c r="U156" s="42"/>
    </row>
    <row r="157" spans="21:21" ht="15.75" customHeight="1" x14ac:dyDescent="0.25">
      <c r="U157" s="42"/>
    </row>
    <row r="158" spans="21:21" ht="15.75" customHeight="1" x14ac:dyDescent="0.25">
      <c r="U158" s="42"/>
    </row>
    <row r="159" spans="21:21" ht="15.75" customHeight="1" x14ac:dyDescent="0.25">
      <c r="U159" s="42"/>
    </row>
    <row r="160" spans="21:21" ht="15.75" customHeight="1" x14ac:dyDescent="0.25">
      <c r="U160" s="42"/>
    </row>
    <row r="161" spans="21:21" ht="15.75" customHeight="1" x14ac:dyDescent="0.25">
      <c r="U161" s="42"/>
    </row>
    <row r="162" spans="21:21" ht="15.75" customHeight="1" x14ac:dyDescent="0.25">
      <c r="U162" s="42"/>
    </row>
    <row r="163" spans="21:21" ht="15.75" customHeight="1" x14ac:dyDescent="0.25">
      <c r="U163" s="42"/>
    </row>
    <row r="164" spans="21:21" ht="15.75" customHeight="1" x14ac:dyDescent="0.25">
      <c r="U164" s="42"/>
    </row>
    <row r="165" spans="21:21" ht="15.75" customHeight="1" x14ac:dyDescent="0.25">
      <c r="U165" s="42"/>
    </row>
    <row r="166" spans="21:21" ht="15.75" customHeight="1" x14ac:dyDescent="0.25">
      <c r="U166" s="42"/>
    </row>
    <row r="167" spans="21:21" ht="15.75" customHeight="1" x14ac:dyDescent="0.25">
      <c r="U167" s="42"/>
    </row>
    <row r="168" spans="21:21" ht="15.75" customHeight="1" x14ac:dyDescent="0.25">
      <c r="U168" s="42"/>
    </row>
    <row r="169" spans="21:21" ht="15.75" customHeight="1" x14ac:dyDescent="0.25">
      <c r="U169" s="42"/>
    </row>
    <row r="170" spans="21:21" ht="15.75" customHeight="1" x14ac:dyDescent="0.25">
      <c r="U170" s="42"/>
    </row>
    <row r="171" spans="21:21" ht="15.75" customHeight="1" x14ac:dyDescent="0.25">
      <c r="U171" s="42"/>
    </row>
    <row r="172" spans="21:21" ht="15.75" customHeight="1" x14ac:dyDescent="0.25">
      <c r="U172" s="42"/>
    </row>
    <row r="173" spans="21:21" ht="15.75" customHeight="1" x14ac:dyDescent="0.25">
      <c r="U173" s="42"/>
    </row>
    <row r="174" spans="21:21" ht="15.75" customHeight="1" x14ac:dyDescent="0.25">
      <c r="U174" s="42"/>
    </row>
    <row r="175" spans="21:21" ht="15.75" customHeight="1" x14ac:dyDescent="0.25">
      <c r="U175" s="42"/>
    </row>
    <row r="176" spans="21:21" ht="15.75" customHeight="1" x14ac:dyDescent="0.25">
      <c r="U176" s="42"/>
    </row>
    <row r="177" spans="21:21" ht="15.75" customHeight="1" x14ac:dyDescent="0.25">
      <c r="U177" s="42"/>
    </row>
    <row r="178" spans="21:21" ht="15.75" customHeight="1" x14ac:dyDescent="0.25">
      <c r="U178" s="42"/>
    </row>
    <row r="179" spans="21:21" ht="15.75" customHeight="1" x14ac:dyDescent="0.25">
      <c r="U179" s="42"/>
    </row>
    <row r="180" spans="21:21" ht="15.75" customHeight="1" x14ac:dyDescent="0.25">
      <c r="U180" s="42"/>
    </row>
    <row r="181" spans="21:21" ht="15.75" customHeight="1" x14ac:dyDescent="0.25">
      <c r="U181" s="42"/>
    </row>
    <row r="182" spans="21:21" ht="15.75" customHeight="1" x14ac:dyDescent="0.25">
      <c r="U182" s="42"/>
    </row>
    <row r="183" spans="21:21" ht="15.75" customHeight="1" x14ac:dyDescent="0.25">
      <c r="U183" s="42"/>
    </row>
    <row r="184" spans="21:21" ht="15.75" customHeight="1" x14ac:dyDescent="0.25">
      <c r="U184" s="42"/>
    </row>
    <row r="185" spans="21:21" ht="15.75" customHeight="1" x14ac:dyDescent="0.25">
      <c r="U185" s="42"/>
    </row>
    <row r="186" spans="21:21" ht="15.75" customHeight="1" x14ac:dyDescent="0.25">
      <c r="U186" s="42"/>
    </row>
    <row r="187" spans="21:21" ht="15.75" customHeight="1" x14ac:dyDescent="0.25">
      <c r="U187" s="42"/>
    </row>
    <row r="188" spans="21:21" ht="15.75" customHeight="1" x14ac:dyDescent="0.25">
      <c r="U188" s="42"/>
    </row>
    <row r="189" spans="21:21" ht="15.75" customHeight="1" x14ac:dyDescent="0.25">
      <c r="U189" s="42"/>
    </row>
    <row r="190" spans="21:21" ht="15.75" customHeight="1" x14ac:dyDescent="0.25">
      <c r="U190" s="42"/>
    </row>
    <row r="191" spans="21:21" ht="15.75" customHeight="1" x14ac:dyDescent="0.25">
      <c r="U191" s="42"/>
    </row>
    <row r="192" spans="21:21" ht="15.75" customHeight="1" x14ac:dyDescent="0.25">
      <c r="U192" s="42"/>
    </row>
    <row r="193" spans="21:21" ht="15.75" customHeight="1" x14ac:dyDescent="0.25">
      <c r="U193" s="42"/>
    </row>
    <row r="194" spans="21:21" ht="15.75" customHeight="1" x14ac:dyDescent="0.25">
      <c r="U194" s="42"/>
    </row>
    <row r="195" spans="21:21" ht="15.75" customHeight="1" x14ac:dyDescent="0.25">
      <c r="U195" s="42"/>
    </row>
    <row r="196" spans="21:21" ht="15.75" customHeight="1" x14ac:dyDescent="0.25">
      <c r="U196" s="42"/>
    </row>
    <row r="197" spans="21:21" ht="15.75" customHeight="1" x14ac:dyDescent="0.25">
      <c r="U197" s="42"/>
    </row>
    <row r="198" spans="21:21" ht="15.75" customHeight="1" x14ac:dyDescent="0.25">
      <c r="U198" s="42"/>
    </row>
    <row r="199" spans="21:21" ht="15.75" customHeight="1" x14ac:dyDescent="0.25">
      <c r="U199" s="42"/>
    </row>
    <row r="200" spans="21:21" ht="15.75" customHeight="1" x14ac:dyDescent="0.25">
      <c r="U200" s="42"/>
    </row>
    <row r="201" spans="21:21" ht="15.75" customHeight="1" x14ac:dyDescent="0.25">
      <c r="U201" s="42"/>
    </row>
    <row r="202" spans="21:21" ht="15.75" customHeight="1" x14ac:dyDescent="0.25">
      <c r="U202" s="42"/>
    </row>
    <row r="203" spans="21:21" ht="15.75" customHeight="1" x14ac:dyDescent="0.25">
      <c r="U203" s="42"/>
    </row>
    <row r="204" spans="21:21" ht="15.75" customHeight="1" x14ac:dyDescent="0.25">
      <c r="U204" s="42"/>
    </row>
    <row r="205" spans="21:21" ht="15.75" customHeight="1" x14ac:dyDescent="0.25">
      <c r="U205" s="42"/>
    </row>
    <row r="206" spans="21:21" ht="15.75" customHeight="1" x14ac:dyDescent="0.25">
      <c r="U206" s="42"/>
    </row>
    <row r="207" spans="21:21" ht="15.75" customHeight="1" x14ac:dyDescent="0.25">
      <c r="U207" s="42"/>
    </row>
    <row r="208" spans="21:21" ht="15.75" customHeight="1" x14ac:dyDescent="0.25">
      <c r="U208" s="42"/>
    </row>
    <row r="209" spans="21:21" ht="15.75" customHeight="1" x14ac:dyDescent="0.25">
      <c r="U209" s="42"/>
    </row>
    <row r="210" spans="21:21" ht="15.75" customHeight="1" x14ac:dyDescent="0.25">
      <c r="U210" s="42"/>
    </row>
    <row r="211" spans="21:21" ht="15.75" customHeight="1" x14ac:dyDescent="0.25">
      <c r="U211" s="42"/>
    </row>
    <row r="212" spans="21:21" ht="15.75" customHeight="1" x14ac:dyDescent="0.25">
      <c r="U212" s="42"/>
    </row>
    <row r="213" spans="21:21" ht="15.75" customHeight="1" x14ac:dyDescent="0.25">
      <c r="U213" s="42"/>
    </row>
    <row r="214" spans="21:21" ht="15.75" customHeight="1" x14ac:dyDescent="0.25">
      <c r="U214" s="42"/>
    </row>
    <row r="215" spans="21:21" ht="15.75" customHeight="1" x14ac:dyDescent="0.25">
      <c r="U215" s="42"/>
    </row>
    <row r="216" spans="21:21" ht="15.75" customHeight="1" x14ac:dyDescent="0.25">
      <c r="U216" s="42"/>
    </row>
    <row r="217" spans="21:21" ht="15.75" customHeight="1" x14ac:dyDescent="0.25">
      <c r="U217" s="42"/>
    </row>
    <row r="218" spans="21:21" ht="15.75" customHeight="1" x14ac:dyDescent="0.25">
      <c r="U218" s="42"/>
    </row>
    <row r="219" spans="21:21" ht="15.75" customHeight="1" x14ac:dyDescent="0.25">
      <c r="U219" s="42"/>
    </row>
    <row r="220" spans="21:21" ht="15.75" customHeight="1" x14ac:dyDescent="0.25">
      <c r="U220" s="42"/>
    </row>
    <row r="221" spans="21:21" ht="15.75" customHeight="1" x14ac:dyDescent="0.25">
      <c r="U221" s="42"/>
    </row>
    <row r="222" spans="21:21" ht="15.75" customHeight="1" x14ac:dyDescent="0.25">
      <c r="U222" s="42"/>
    </row>
    <row r="223" spans="21:21" ht="15.75" customHeight="1" x14ac:dyDescent="0.25">
      <c r="U223" s="42"/>
    </row>
    <row r="224" spans="21:21" ht="15.75" customHeight="1" x14ac:dyDescent="0.25">
      <c r="U224" s="42"/>
    </row>
    <row r="225" spans="21:21" ht="15.75" customHeight="1" x14ac:dyDescent="0.25">
      <c r="U225" s="42"/>
    </row>
    <row r="226" spans="21:21" ht="15.75" customHeight="1" x14ac:dyDescent="0.25">
      <c r="U226" s="42"/>
    </row>
    <row r="227" spans="21:21" ht="15.75" customHeight="1" x14ac:dyDescent="0.25">
      <c r="U227" s="42"/>
    </row>
    <row r="228" spans="21:21" ht="15.75" customHeight="1" x14ac:dyDescent="0.25">
      <c r="U228" s="42"/>
    </row>
    <row r="229" spans="21:21" ht="15.75" customHeight="1" x14ac:dyDescent="0.25">
      <c r="U229" s="42"/>
    </row>
    <row r="230" spans="21:21" ht="15.75" customHeight="1" x14ac:dyDescent="0.25">
      <c r="U230" s="42"/>
    </row>
    <row r="231" spans="21:21" ht="15.75" customHeight="1" x14ac:dyDescent="0.25">
      <c r="U231" s="42"/>
    </row>
    <row r="232" spans="21:21" ht="15.75" customHeight="1" x14ac:dyDescent="0.25">
      <c r="U232" s="42"/>
    </row>
    <row r="233" spans="21:21" ht="15.75" customHeight="1" x14ac:dyDescent="0.25">
      <c r="U233" s="42"/>
    </row>
    <row r="234" spans="21:21" ht="15.75" customHeight="1" x14ac:dyDescent="0.25">
      <c r="U234" s="42"/>
    </row>
    <row r="235" spans="21:21" ht="15.75" customHeight="1" x14ac:dyDescent="0.25">
      <c r="U235" s="42"/>
    </row>
    <row r="236" spans="21:21" ht="15.75" customHeight="1" x14ac:dyDescent="0.25">
      <c r="U236" s="42"/>
    </row>
    <row r="237" spans="21:21" ht="15.75" customHeight="1" x14ac:dyDescent="0.25">
      <c r="U237" s="42"/>
    </row>
    <row r="238" spans="21:21" ht="15.75" customHeight="1" x14ac:dyDescent="0.25">
      <c r="U238" s="42"/>
    </row>
    <row r="239" spans="21:21" ht="15.75" customHeight="1" x14ac:dyDescent="0.25">
      <c r="U239" s="42"/>
    </row>
    <row r="240" spans="21:21" ht="15.75" customHeight="1" x14ac:dyDescent="0.25">
      <c r="U240" s="42"/>
    </row>
    <row r="241" spans="21:21" ht="15.75" customHeight="1" x14ac:dyDescent="0.25">
      <c r="U241" s="42"/>
    </row>
    <row r="242" spans="21:21" ht="15.75" customHeight="1" x14ac:dyDescent="0.25">
      <c r="U242" s="42"/>
    </row>
    <row r="243" spans="21:21" ht="15.75" customHeight="1" x14ac:dyDescent="0.25">
      <c r="U243" s="42"/>
    </row>
    <row r="244" spans="21:21" ht="15.75" customHeight="1" x14ac:dyDescent="0.25">
      <c r="U244" s="42"/>
    </row>
    <row r="245" spans="21:21" ht="15.75" customHeight="1" x14ac:dyDescent="0.25">
      <c r="U245" s="42"/>
    </row>
    <row r="246" spans="21:21" ht="15.75" customHeight="1" x14ac:dyDescent="0.25">
      <c r="U246" s="42"/>
    </row>
    <row r="247" spans="21:21" ht="15.75" customHeight="1" x14ac:dyDescent="0.25">
      <c r="U247" s="42"/>
    </row>
    <row r="248" spans="21:21" ht="15.75" customHeight="1" x14ac:dyDescent="0.25">
      <c r="U248" s="42"/>
    </row>
    <row r="249" spans="21:21" ht="15.75" customHeight="1" x14ac:dyDescent="0.25">
      <c r="U249" s="42"/>
    </row>
    <row r="250" spans="21:21" ht="15.75" customHeight="1" x14ac:dyDescent="0.25">
      <c r="U250" s="42"/>
    </row>
    <row r="251" spans="21:21" ht="15.75" customHeight="1" x14ac:dyDescent="0.25">
      <c r="U251" s="42"/>
    </row>
    <row r="252" spans="21:21" ht="15.75" customHeight="1" x14ac:dyDescent="0.25">
      <c r="U252" s="42"/>
    </row>
    <row r="253" spans="21:21" ht="15.75" customHeight="1" x14ac:dyDescent="0.25">
      <c r="U253" s="42"/>
    </row>
    <row r="254" spans="21:21" ht="15.75" customHeight="1" x14ac:dyDescent="0.25">
      <c r="U254" s="42"/>
    </row>
    <row r="255" spans="21:21" ht="15.75" customHeight="1" x14ac:dyDescent="0.25">
      <c r="U255" s="42"/>
    </row>
    <row r="256" spans="21:21" ht="15.75" customHeight="1" x14ac:dyDescent="0.25">
      <c r="U256" s="42"/>
    </row>
    <row r="257" spans="21:21" ht="15.75" customHeight="1" x14ac:dyDescent="0.25">
      <c r="U257" s="42"/>
    </row>
    <row r="258" spans="21:21" ht="15.75" customHeight="1" x14ac:dyDescent="0.25">
      <c r="U258" s="42"/>
    </row>
    <row r="259" spans="21:21" ht="15.75" customHeight="1" x14ac:dyDescent="0.25">
      <c r="U259" s="42"/>
    </row>
    <row r="260" spans="21:21" ht="15.75" customHeight="1" x14ac:dyDescent="0.25">
      <c r="U260" s="42"/>
    </row>
    <row r="261" spans="21:21" ht="15.75" customHeight="1" x14ac:dyDescent="0.25">
      <c r="U261" s="42"/>
    </row>
    <row r="262" spans="21:21" ht="15.75" customHeight="1" x14ac:dyDescent="0.25">
      <c r="U262" s="42"/>
    </row>
    <row r="263" spans="21:21" ht="15.75" customHeight="1" x14ac:dyDescent="0.25">
      <c r="U263" s="42"/>
    </row>
    <row r="264" spans="21:21" ht="15.75" customHeight="1" x14ac:dyDescent="0.25">
      <c r="U264" s="42"/>
    </row>
    <row r="265" spans="21:21" ht="15.75" customHeight="1" x14ac:dyDescent="0.25">
      <c r="U265" s="42"/>
    </row>
    <row r="266" spans="21:21" ht="15.75" customHeight="1" x14ac:dyDescent="0.25">
      <c r="U266" s="42"/>
    </row>
    <row r="267" spans="21:21" ht="15.75" customHeight="1" x14ac:dyDescent="0.25">
      <c r="U267" s="42"/>
    </row>
    <row r="268" spans="21:21" ht="15.75" customHeight="1" x14ac:dyDescent="0.25">
      <c r="U268" s="42"/>
    </row>
    <row r="269" spans="21:21" ht="15.75" customHeight="1" x14ac:dyDescent="0.25">
      <c r="U269" s="42"/>
    </row>
    <row r="270" spans="21:21" ht="15.75" customHeight="1" x14ac:dyDescent="0.25">
      <c r="U270" s="42"/>
    </row>
    <row r="271" spans="21:21" ht="15.75" customHeight="1" x14ac:dyDescent="0.25">
      <c r="U271" s="42"/>
    </row>
    <row r="272" spans="21:21" ht="15.75" customHeight="1" x14ac:dyDescent="0.25">
      <c r="U272" s="42"/>
    </row>
    <row r="273" spans="21:21" ht="15.75" customHeight="1" x14ac:dyDescent="0.25">
      <c r="U273" s="42"/>
    </row>
    <row r="274" spans="21:21" ht="15.75" customHeight="1" x14ac:dyDescent="0.25">
      <c r="U274" s="42"/>
    </row>
    <row r="275" spans="21:21" ht="15.75" customHeight="1" x14ac:dyDescent="0.25">
      <c r="U275" s="42"/>
    </row>
    <row r="276" spans="21:21" ht="15.75" customHeight="1" x14ac:dyDescent="0.25">
      <c r="U276" s="42"/>
    </row>
    <row r="277" spans="21:21" ht="15.75" customHeight="1" x14ac:dyDescent="0.25">
      <c r="U277" s="42"/>
    </row>
    <row r="278" spans="21:21" ht="15.75" customHeight="1" x14ac:dyDescent="0.25">
      <c r="U278" s="42"/>
    </row>
    <row r="279" spans="21:21" ht="15.75" customHeight="1" x14ac:dyDescent="0.25">
      <c r="U279" s="42"/>
    </row>
    <row r="280" spans="21:21" ht="15.75" customHeight="1" x14ac:dyDescent="0.25">
      <c r="U280" s="42"/>
    </row>
    <row r="281" spans="21:21" ht="15.75" customHeight="1" x14ac:dyDescent="0.25">
      <c r="U281" s="42"/>
    </row>
    <row r="282" spans="21:21" ht="15.75" customHeight="1" x14ac:dyDescent="0.25">
      <c r="U282" s="42"/>
    </row>
    <row r="283" spans="21:21" ht="15.75" customHeight="1" x14ac:dyDescent="0.25">
      <c r="U283" s="42"/>
    </row>
    <row r="284" spans="21:21" ht="15.75" customHeight="1" x14ac:dyDescent="0.25">
      <c r="U284" s="42"/>
    </row>
    <row r="285" spans="21:21" ht="15.75" customHeight="1" x14ac:dyDescent="0.25">
      <c r="U285" s="42"/>
    </row>
    <row r="286" spans="21:21" ht="15.75" customHeight="1" x14ac:dyDescent="0.25">
      <c r="U286" s="42"/>
    </row>
    <row r="287" spans="21:21" ht="15.75" customHeight="1" x14ac:dyDescent="0.25">
      <c r="U287" s="42"/>
    </row>
    <row r="288" spans="21:21" ht="15.75" customHeight="1" x14ac:dyDescent="0.25">
      <c r="U288" s="42"/>
    </row>
    <row r="289" spans="21:21" ht="15.75" customHeight="1" x14ac:dyDescent="0.25">
      <c r="U289" s="42"/>
    </row>
    <row r="290" spans="21:21" ht="15.75" customHeight="1" x14ac:dyDescent="0.25">
      <c r="U290" s="42"/>
    </row>
    <row r="291" spans="21:21" ht="15.75" customHeight="1" x14ac:dyDescent="0.25">
      <c r="U291" s="42"/>
    </row>
    <row r="292" spans="21:21" ht="15.75" customHeight="1" x14ac:dyDescent="0.25">
      <c r="U292" s="42"/>
    </row>
    <row r="293" spans="21:21" ht="15.75" customHeight="1" x14ac:dyDescent="0.25">
      <c r="U293" s="42"/>
    </row>
    <row r="294" spans="21:21" ht="15.75" customHeight="1" x14ac:dyDescent="0.25">
      <c r="U294" s="42"/>
    </row>
    <row r="295" spans="21:21" ht="15.75" customHeight="1" x14ac:dyDescent="0.25">
      <c r="U295" s="42"/>
    </row>
    <row r="296" spans="21:21" ht="15.75" customHeight="1" x14ac:dyDescent="0.25">
      <c r="U296" s="42"/>
    </row>
    <row r="297" spans="21:21" ht="15.75" customHeight="1" x14ac:dyDescent="0.25">
      <c r="U297" s="42"/>
    </row>
    <row r="298" spans="21:21" ht="15.75" customHeight="1" x14ac:dyDescent="0.25">
      <c r="U298" s="42"/>
    </row>
    <row r="299" spans="21:21" ht="15.75" customHeight="1" x14ac:dyDescent="0.25">
      <c r="U299" s="42"/>
    </row>
    <row r="300" spans="21:21" ht="15.75" customHeight="1" x14ac:dyDescent="0.25">
      <c r="U300" s="42"/>
    </row>
    <row r="301" spans="21:21" ht="15.75" customHeight="1" x14ac:dyDescent="0.25">
      <c r="U301" s="42"/>
    </row>
    <row r="302" spans="21:21" ht="15.75" customHeight="1" x14ac:dyDescent="0.25">
      <c r="U302" s="42"/>
    </row>
    <row r="303" spans="21:21" ht="15.75" customHeight="1" x14ac:dyDescent="0.25">
      <c r="U303" s="42"/>
    </row>
    <row r="304" spans="21:21" ht="15.75" customHeight="1" x14ac:dyDescent="0.25">
      <c r="U304" s="42"/>
    </row>
    <row r="305" spans="21:21" ht="15.75" customHeight="1" x14ac:dyDescent="0.25">
      <c r="U305" s="42"/>
    </row>
    <row r="306" spans="21:21" ht="15.75" customHeight="1" x14ac:dyDescent="0.25">
      <c r="U306" s="42"/>
    </row>
    <row r="307" spans="21:21" ht="15.75" customHeight="1" x14ac:dyDescent="0.25">
      <c r="U307" s="42"/>
    </row>
    <row r="308" spans="21:21" ht="15.75" customHeight="1" x14ac:dyDescent="0.25">
      <c r="U308" s="42"/>
    </row>
    <row r="309" spans="21:21" ht="15.75" customHeight="1" x14ac:dyDescent="0.25">
      <c r="U309" s="42"/>
    </row>
    <row r="310" spans="21:21" ht="15.75" customHeight="1" x14ac:dyDescent="0.25">
      <c r="U310" s="42"/>
    </row>
    <row r="311" spans="21:21" ht="15.75" customHeight="1" x14ac:dyDescent="0.25">
      <c r="U311" s="42"/>
    </row>
    <row r="312" spans="21:21" ht="15.75" customHeight="1" x14ac:dyDescent="0.25">
      <c r="U312" s="42"/>
    </row>
    <row r="313" spans="21:21" ht="15.75" customHeight="1" x14ac:dyDescent="0.25">
      <c r="U313" s="42"/>
    </row>
    <row r="314" spans="21:21" ht="15.75" customHeight="1" x14ac:dyDescent="0.25">
      <c r="U314" s="42"/>
    </row>
    <row r="315" spans="21:21" ht="15.75" customHeight="1" x14ac:dyDescent="0.25">
      <c r="U315" s="42"/>
    </row>
    <row r="316" spans="21:21" ht="15.75" customHeight="1" x14ac:dyDescent="0.25">
      <c r="U316" s="42"/>
    </row>
    <row r="317" spans="21:21" ht="15.75" customHeight="1" x14ac:dyDescent="0.25">
      <c r="U317" s="42"/>
    </row>
    <row r="318" spans="21:21" ht="15.75" customHeight="1" x14ac:dyDescent="0.25">
      <c r="U318" s="42"/>
    </row>
    <row r="319" spans="21:21" ht="15.75" customHeight="1" x14ac:dyDescent="0.25">
      <c r="U319" s="42"/>
    </row>
    <row r="320" spans="21:21" ht="15.75" customHeight="1" x14ac:dyDescent="0.25">
      <c r="U320" s="42"/>
    </row>
    <row r="321" spans="21:21" ht="15.75" customHeight="1" x14ac:dyDescent="0.25">
      <c r="U321" s="42"/>
    </row>
    <row r="322" spans="21:21" ht="15.75" customHeight="1" x14ac:dyDescent="0.25">
      <c r="U322" s="42"/>
    </row>
    <row r="323" spans="21:21" ht="15.75" customHeight="1" x14ac:dyDescent="0.25">
      <c r="U323" s="42"/>
    </row>
    <row r="324" spans="21:21" ht="15.75" customHeight="1" x14ac:dyDescent="0.25">
      <c r="U324" s="42"/>
    </row>
    <row r="325" spans="21:21" ht="15.75" customHeight="1" x14ac:dyDescent="0.25">
      <c r="U325" s="42"/>
    </row>
    <row r="326" spans="21:21" ht="15.75" customHeight="1" x14ac:dyDescent="0.25">
      <c r="U326" s="42"/>
    </row>
    <row r="327" spans="21:21" ht="15.75" customHeight="1" x14ac:dyDescent="0.25">
      <c r="U327" s="42"/>
    </row>
    <row r="328" spans="21:21" ht="15.75" customHeight="1" x14ac:dyDescent="0.25">
      <c r="U328" s="42"/>
    </row>
    <row r="329" spans="21:21" ht="15.75" customHeight="1" x14ac:dyDescent="0.25">
      <c r="U329" s="42"/>
    </row>
    <row r="330" spans="21:21" ht="15.75" customHeight="1" x14ac:dyDescent="0.25">
      <c r="U330" s="42"/>
    </row>
    <row r="331" spans="21:21" ht="15.75" customHeight="1" x14ac:dyDescent="0.25">
      <c r="U331" s="42"/>
    </row>
    <row r="332" spans="21:21" ht="15.75" customHeight="1" x14ac:dyDescent="0.25">
      <c r="U332" s="42"/>
    </row>
    <row r="333" spans="21:21" ht="15.75" customHeight="1" x14ac:dyDescent="0.25">
      <c r="U333" s="42"/>
    </row>
    <row r="334" spans="21:21" ht="15.75" customHeight="1" x14ac:dyDescent="0.25">
      <c r="U334" s="42"/>
    </row>
    <row r="335" spans="21:21" ht="15.75" customHeight="1" x14ac:dyDescent="0.25">
      <c r="U335" s="42"/>
    </row>
    <row r="336" spans="21:21" ht="15.75" customHeight="1" x14ac:dyDescent="0.25">
      <c r="U336" s="42"/>
    </row>
    <row r="337" spans="21:21" ht="15.75" customHeight="1" x14ac:dyDescent="0.25">
      <c r="U337" s="42"/>
    </row>
    <row r="338" spans="21:21" ht="15.75" customHeight="1" x14ac:dyDescent="0.25">
      <c r="U338" s="42"/>
    </row>
    <row r="339" spans="21:21" ht="15.75" customHeight="1" x14ac:dyDescent="0.25">
      <c r="U339" s="42"/>
    </row>
    <row r="340" spans="21:21" ht="15.75" customHeight="1" x14ac:dyDescent="0.25">
      <c r="U340" s="42"/>
    </row>
    <row r="341" spans="21:21" ht="15.75" customHeight="1" x14ac:dyDescent="0.25">
      <c r="U341" s="42"/>
    </row>
    <row r="342" spans="21:21" ht="15.75" customHeight="1" x14ac:dyDescent="0.25">
      <c r="U342" s="42"/>
    </row>
    <row r="343" spans="21:21" ht="15.75" customHeight="1" x14ac:dyDescent="0.25">
      <c r="U343" s="42"/>
    </row>
    <row r="344" spans="21:21" ht="15.75" customHeight="1" x14ac:dyDescent="0.25">
      <c r="U344" s="42"/>
    </row>
    <row r="345" spans="21:21" ht="15.75" customHeight="1" x14ac:dyDescent="0.25">
      <c r="U345" s="42"/>
    </row>
    <row r="346" spans="21:21" ht="15.75" customHeight="1" x14ac:dyDescent="0.25">
      <c r="U346" s="42"/>
    </row>
    <row r="347" spans="21:21" ht="15.75" customHeight="1" x14ac:dyDescent="0.25">
      <c r="U347" s="42"/>
    </row>
    <row r="348" spans="21:21" ht="15.75" customHeight="1" x14ac:dyDescent="0.25">
      <c r="U348" s="42"/>
    </row>
    <row r="349" spans="21:21" ht="15.75" customHeight="1" x14ac:dyDescent="0.25">
      <c r="U349" s="42"/>
    </row>
    <row r="350" spans="21:21" ht="15.75" customHeight="1" x14ac:dyDescent="0.25">
      <c r="U350" s="42"/>
    </row>
    <row r="351" spans="21:21" ht="15.75" customHeight="1" x14ac:dyDescent="0.25">
      <c r="U351" s="42"/>
    </row>
    <row r="352" spans="21:21" ht="15.75" customHeight="1" x14ac:dyDescent="0.25">
      <c r="U352" s="42"/>
    </row>
    <row r="353" spans="21:21" ht="15.75" customHeight="1" x14ac:dyDescent="0.25">
      <c r="U353" s="42"/>
    </row>
    <row r="354" spans="21:21" ht="15.75" customHeight="1" x14ac:dyDescent="0.25">
      <c r="U354" s="42"/>
    </row>
    <row r="355" spans="21:21" ht="15.75" customHeight="1" x14ac:dyDescent="0.25">
      <c r="U355" s="42"/>
    </row>
    <row r="356" spans="21:21" ht="15.75" customHeight="1" x14ac:dyDescent="0.25">
      <c r="U356" s="42"/>
    </row>
    <row r="357" spans="21:21" ht="15.75" customHeight="1" x14ac:dyDescent="0.25">
      <c r="U357" s="42"/>
    </row>
    <row r="358" spans="21:21" ht="15.75" customHeight="1" x14ac:dyDescent="0.25">
      <c r="U358" s="42"/>
    </row>
    <row r="359" spans="21:21" ht="15.75" customHeight="1" x14ac:dyDescent="0.25">
      <c r="U359" s="42"/>
    </row>
    <row r="360" spans="21:21" ht="15.75" customHeight="1" x14ac:dyDescent="0.25">
      <c r="U360" s="42"/>
    </row>
    <row r="361" spans="21:21" ht="15.75" customHeight="1" x14ac:dyDescent="0.25">
      <c r="U361" s="42"/>
    </row>
    <row r="362" spans="21:21" ht="15.75" customHeight="1" x14ac:dyDescent="0.25">
      <c r="U362" s="42"/>
    </row>
    <row r="363" spans="21:21" ht="15.75" customHeight="1" x14ac:dyDescent="0.25">
      <c r="U363" s="42"/>
    </row>
    <row r="364" spans="21:21" ht="15.75" customHeight="1" x14ac:dyDescent="0.25">
      <c r="U364" s="42"/>
    </row>
    <row r="365" spans="21:21" ht="15.75" customHeight="1" x14ac:dyDescent="0.25">
      <c r="U365" s="42"/>
    </row>
    <row r="366" spans="21:21" ht="15.75" customHeight="1" x14ac:dyDescent="0.25">
      <c r="U366" s="42"/>
    </row>
    <row r="367" spans="21:21" ht="15.75" customHeight="1" x14ac:dyDescent="0.25">
      <c r="U367" s="42"/>
    </row>
    <row r="368" spans="21:21" ht="15.75" customHeight="1" x14ac:dyDescent="0.25">
      <c r="U368" s="42"/>
    </row>
    <row r="369" spans="21:21" ht="15.75" customHeight="1" x14ac:dyDescent="0.25">
      <c r="U369" s="42"/>
    </row>
    <row r="370" spans="21:21" ht="15.75" customHeight="1" x14ac:dyDescent="0.25">
      <c r="U370" s="42"/>
    </row>
    <row r="371" spans="21:21" ht="15.75" customHeight="1" x14ac:dyDescent="0.25">
      <c r="U371" s="42"/>
    </row>
    <row r="372" spans="21:21" ht="15.75" customHeight="1" x14ac:dyDescent="0.25">
      <c r="U372" s="42"/>
    </row>
    <row r="373" spans="21:21" ht="15.75" customHeight="1" x14ac:dyDescent="0.25">
      <c r="U373" s="42"/>
    </row>
    <row r="374" spans="21:21" ht="15.75" customHeight="1" x14ac:dyDescent="0.25">
      <c r="U374" s="42"/>
    </row>
    <row r="375" spans="21:21" ht="15.75" customHeight="1" x14ac:dyDescent="0.25">
      <c r="U375" s="42"/>
    </row>
    <row r="376" spans="21:21" ht="15.75" customHeight="1" x14ac:dyDescent="0.25">
      <c r="U376" s="42"/>
    </row>
    <row r="377" spans="21:21" ht="15.75" customHeight="1" x14ac:dyDescent="0.25">
      <c r="U377" s="42"/>
    </row>
    <row r="378" spans="21:21" ht="15.75" customHeight="1" x14ac:dyDescent="0.25">
      <c r="U378" s="42"/>
    </row>
    <row r="379" spans="21:21" ht="15.75" customHeight="1" x14ac:dyDescent="0.25">
      <c r="U379" s="42"/>
    </row>
    <row r="380" spans="21:21" ht="15.75" customHeight="1" x14ac:dyDescent="0.25">
      <c r="U380" s="42"/>
    </row>
    <row r="381" spans="21:21" ht="15.75" customHeight="1" x14ac:dyDescent="0.25">
      <c r="U381" s="42"/>
    </row>
    <row r="382" spans="21:21" ht="15.75" customHeight="1" x14ac:dyDescent="0.25">
      <c r="U382" s="42"/>
    </row>
    <row r="383" spans="21:21" ht="15.75" customHeight="1" x14ac:dyDescent="0.25">
      <c r="U383" s="42"/>
    </row>
    <row r="384" spans="21:21" ht="15.75" customHeight="1" x14ac:dyDescent="0.25">
      <c r="U384" s="42"/>
    </row>
    <row r="385" spans="21:21" ht="15.75" customHeight="1" x14ac:dyDescent="0.25">
      <c r="U385" s="42"/>
    </row>
    <row r="386" spans="21:21" ht="15.75" customHeight="1" x14ac:dyDescent="0.25">
      <c r="U386" s="42"/>
    </row>
    <row r="387" spans="21:21" ht="15.75" customHeight="1" x14ac:dyDescent="0.25">
      <c r="U387" s="42"/>
    </row>
    <row r="388" spans="21:21" ht="15.75" customHeight="1" x14ac:dyDescent="0.25">
      <c r="U388" s="42"/>
    </row>
    <row r="389" spans="21:21" ht="15.75" customHeight="1" x14ac:dyDescent="0.25">
      <c r="U389" s="42"/>
    </row>
    <row r="390" spans="21:21" ht="15.75" customHeight="1" x14ac:dyDescent="0.25">
      <c r="U390" s="42"/>
    </row>
    <row r="391" spans="21:21" ht="15.75" customHeight="1" x14ac:dyDescent="0.25">
      <c r="U391" s="42"/>
    </row>
    <row r="392" spans="21:21" ht="15.75" customHeight="1" x14ac:dyDescent="0.25">
      <c r="U392" s="42"/>
    </row>
    <row r="393" spans="21:21" ht="15.75" customHeight="1" x14ac:dyDescent="0.25">
      <c r="U393" s="42"/>
    </row>
    <row r="394" spans="21:21" ht="15.75" customHeight="1" x14ac:dyDescent="0.25">
      <c r="U394" s="42"/>
    </row>
    <row r="395" spans="21:21" ht="15.75" customHeight="1" x14ac:dyDescent="0.25">
      <c r="U395" s="42"/>
    </row>
    <row r="396" spans="21:21" ht="15.75" customHeight="1" x14ac:dyDescent="0.25">
      <c r="U396" s="42"/>
    </row>
    <row r="397" spans="21:21" ht="15.75" customHeight="1" x14ac:dyDescent="0.25">
      <c r="U397" s="42"/>
    </row>
    <row r="398" spans="21:21" ht="15.75" customHeight="1" x14ac:dyDescent="0.25">
      <c r="U398" s="42"/>
    </row>
    <row r="399" spans="21:21" ht="15.75" customHeight="1" x14ac:dyDescent="0.25">
      <c r="U399" s="42"/>
    </row>
    <row r="400" spans="21:21" ht="15.75" customHeight="1" x14ac:dyDescent="0.25">
      <c r="U400" s="42"/>
    </row>
    <row r="401" spans="21:21" ht="15.75" customHeight="1" x14ac:dyDescent="0.25">
      <c r="U401" s="42"/>
    </row>
    <row r="402" spans="21:21" ht="15.75" customHeight="1" x14ac:dyDescent="0.25">
      <c r="U402" s="42"/>
    </row>
    <row r="403" spans="21:21" ht="15.75" customHeight="1" x14ac:dyDescent="0.25">
      <c r="U403" s="42"/>
    </row>
    <row r="404" spans="21:21" ht="15.75" customHeight="1" x14ac:dyDescent="0.25">
      <c r="U404" s="42"/>
    </row>
    <row r="405" spans="21:21" ht="15.75" customHeight="1" x14ac:dyDescent="0.25">
      <c r="U405" s="42"/>
    </row>
    <row r="406" spans="21:21" ht="15.75" customHeight="1" x14ac:dyDescent="0.25">
      <c r="U406" s="42"/>
    </row>
    <row r="407" spans="21:21" ht="15.75" customHeight="1" x14ac:dyDescent="0.25">
      <c r="U407" s="42"/>
    </row>
    <row r="408" spans="21:21" ht="15.75" customHeight="1" x14ac:dyDescent="0.25">
      <c r="U408" s="42"/>
    </row>
    <row r="409" spans="21:21" ht="15.75" customHeight="1" x14ac:dyDescent="0.25">
      <c r="U409" s="42"/>
    </row>
    <row r="410" spans="21:21" ht="15.75" customHeight="1" x14ac:dyDescent="0.25">
      <c r="U410" s="42"/>
    </row>
    <row r="411" spans="21:21" ht="15.75" customHeight="1" x14ac:dyDescent="0.25">
      <c r="U411" s="42"/>
    </row>
    <row r="412" spans="21:21" ht="15.75" customHeight="1" x14ac:dyDescent="0.25">
      <c r="U412" s="42"/>
    </row>
    <row r="413" spans="21:21" ht="15.75" customHeight="1" x14ac:dyDescent="0.25">
      <c r="U413" s="42"/>
    </row>
    <row r="414" spans="21:21" ht="15.75" customHeight="1" x14ac:dyDescent="0.25">
      <c r="U414" s="42"/>
    </row>
    <row r="415" spans="21:21" ht="15.75" customHeight="1" x14ac:dyDescent="0.25">
      <c r="U415" s="42"/>
    </row>
    <row r="416" spans="21:21" ht="15.75" customHeight="1" x14ac:dyDescent="0.25">
      <c r="U416" s="42"/>
    </row>
    <row r="417" spans="21:21" ht="15.75" customHeight="1" x14ac:dyDescent="0.25">
      <c r="U417" s="42"/>
    </row>
    <row r="418" spans="21:21" ht="15.75" customHeight="1" x14ac:dyDescent="0.25">
      <c r="U418" s="42"/>
    </row>
    <row r="419" spans="21:21" ht="15.75" customHeight="1" x14ac:dyDescent="0.25">
      <c r="U419" s="42"/>
    </row>
    <row r="420" spans="21:21" ht="15.75" customHeight="1" x14ac:dyDescent="0.25">
      <c r="U420" s="42"/>
    </row>
    <row r="421" spans="21:21" ht="15.75" customHeight="1" x14ac:dyDescent="0.25">
      <c r="U421" s="42"/>
    </row>
    <row r="422" spans="21:21" ht="15.75" customHeight="1" x14ac:dyDescent="0.25">
      <c r="U422" s="42"/>
    </row>
    <row r="423" spans="21:21" ht="15.75" customHeight="1" x14ac:dyDescent="0.25">
      <c r="U423" s="42"/>
    </row>
    <row r="424" spans="21:21" ht="15.75" customHeight="1" x14ac:dyDescent="0.25">
      <c r="U424" s="42"/>
    </row>
    <row r="425" spans="21:21" ht="15.75" customHeight="1" x14ac:dyDescent="0.25">
      <c r="U425" s="42"/>
    </row>
    <row r="426" spans="21:21" ht="15.75" customHeight="1" x14ac:dyDescent="0.25">
      <c r="U426" s="42"/>
    </row>
    <row r="427" spans="21:21" ht="15.75" customHeight="1" x14ac:dyDescent="0.25">
      <c r="U427" s="42"/>
    </row>
    <row r="428" spans="21:21" ht="15.75" customHeight="1" x14ac:dyDescent="0.25">
      <c r="U428" s="42"/>
    </row>
    <row r="429" spans="21:21" ht="15.75" customHeight="1" x14ac:dyDescent="0.25">
      <c r="U429" s="42"/>
    </row>
    <row r="430" spans="21:21" ht="15.75" customHeight="1" x14ac:dyDescent="0.25">
      <c r="U430" s="42"/>
    </row>
    <row r="431" spans="21:21" ht="15.75" customHeight="1" x14ac:dyDescent="0.25">
      <c r="U431" s="42"/>
    </row>
    <row r="432" spans="21:21" ht="15.75" customHeight="1" x14ac:dyDescent="0.25">
      <c r="U432" s="42"/>
    </row>
    <row r="433" spans="21:21" ht="15.75" customHeight="1" x14ac:dyDescent="0.25">
      <c r="U433" s="42"/>
    </row>
    <row r="434" spans="21:21" ht="15.75" customHeight="1" x14ac:dyDescent="0.25">
      <c r="U434" s="42"/>
    </row>
    <row r="435" spans="21:21" ht="15.75" customHeight="1" x14ac:dyDescent="0.25">
      <c r="U435" s="42"/>
    </row>
    <row r="436" spans="21:21" ht="15.75" customHeight="1" x14ac:dyDescent="0.25">
      <c r="U436" s="42"/>
    </row>
    <row r="437" spans="21:21" ht="15.75" customHeight="1" x14ac:dyDescent="0.25">
      <c r="U437" s="42"/>
    </row>
    <row r="438" spans="21:21" ht="15.75" customHeight="1" x14ac:dyDescent="0.25">
      <c r="U438" s="42"/>
    </row>
    <row r="439" spans="21:21" ht="15.75" customHeight="1" x14ac:dyDescent="0.25">
      <c r="U439" s="42"/>
    </row>
    <row r="440" spans="21:21" ht="15.75" customHeight="1" x14ac:dyDescent="0.25">
      <c r="U440" s="42"/>
    </row>
    <row r="441" spans="21:21" ht="15.75" customHeight="1" x14ac:dyDescent="0.25">
      <c r="U441" s="42"/>
    </row>
    <row r="442" spans="21:21" ht="15.75" customHeight="1" x14ac:dyDescent="0.25">
      <c r="U442" s="42"/>
    </row>
    <row r="443" spans="21:21" ht="15.75" customHeight="1" x14ac:dyDescent="0.25">
      <c r="U443" s="42"/>
    </row>
    <row r="444" spans="21:21" ht="15.75" customHeight="1" x14ac:dyDescent="0.25">
      <c r="U444" s="42"/>
    </row>
    <row r="445" spans="21:21" ht="15.75" customHeight="1" x14ac:dyDescent="0.25">
      <c r="U445" s="42"/>
    </row>
    <row r="446" spans="21:21" ht="15.75" customHeight="1" x14ac:dyDescent="0.25">
      <c r="U446" s="42"/>
    </row>
    <row r="447" spans="21:21" ht="15.75" customHeight="1" x14ac:dyDescent="0.25">
      <c r="U447" s="42"/>
    </row>
    <row r="448" spans="21:21" ht="15.75" customHeight="1" x14ac:dyDescent="0.25">
      <c r="U448" s="42"/>
    </row>
    <row r="449" spans="21:21" ht="15.75" customHeight="1" x14ac:dyDescent="0.25">
      <c r="U449" s="42"/>
    </row>
    <row r="450" spans="21:21" ht="15.75" customHeight="1" x14ac:dyDescent="0.25">
      <c r="U450" s="42"/>
    </row>
    <row r="451" spans="21:21" ht="15.75" customHeight="1" x14ac:dyDescent="0.25">
      <c r="U451" s="42"/>
    </row>
    <row r="452" spans="21:21" ht="15.75" customHeight="1" x14ac:dyDescent="0.25">
      <c r="U452" s="42"/>
    </row>
    <row r="453" spans="21:21" ht="15.75" customHeight="1" x14ac:dyDescent="0.25">
      <c r="U453" s="42"/>
    </row>
    <row r="454" spans="21:21" ht="15.75" customHeight="1" x14ac:dyDescent="0.25">
      <c r="U454" s="42"/>
    </row>
    <row r="455" spans="21:21" ht="15.75" customHeight="1" x14ac:dyDescent="0.25">
      <c r="U455" s="42"/>
    </row>
    <row r="456" spans="21:21" ht="15.75" customHeight="1" x14ac:dyDescent="0.25">
      <c r="U456" s="42"/>
    </row>
    <row r="457" spans="21:21" ht="15.75" customHeight="1" x14ac:dyDescent="0.25">
      <c r="U457" s="42"/>
    </row>
    <row r="458" spans="21:21" ht="15.75" customHeight="1" x14ac:dyDescent="0.25">
      <c r="U458" s="42"/>
    </row>
    <row r="459" spans="21:21" ht="15.75" customHeight="1" x14ac:dyDescent="0.25">
      <c r="U459" s="42"/>
    </row>
    <row r="460" spans="21:21" ht="15.75" customHeight="1" x14ac:dyDescent="0.25">
      <c r="U460" s="42"/>
    </row>
    <row r="461" spans="21:21" ht="15.75" customHeight="1" x14ac:dyDescent="0.25">
      <c r="U461" s="42"/>
    </row>
    <row r="462" spans="21:21" ht="15.75" customHeight="1" x14ac:dyDescent="0.25">
      <c r="U462" s="42"/>
    </row>
    <row r="463" spans="21:21" ht="15.75" customHeight="1" x14ac:dyDescent="0.25">
      <c r="U463" s="42"/>
    </row>
    <row r="464" spans="21:21" ht="15.75" customHeight="1" x14ac:dyDescent="0.25">
      <c r="U464" s="42"/>
    </row>
    <row r="465" spans="21:21" ht="15.75" customHeight="1" x14ac:dyDescent="0.25">
      <c r="U465" s="42"/>
    </row>
    <row r="466" spans="21:21" ht="15.75" customHeight="1" x14ac:dyDescent="0.25">
      <c r="U466" s="42"/>
    </row>
    <row r="467" spans="21:21" ht="15.75" customHeight="1" x14ac:dyDescent="0.25">
      <c r="U467" s="42"/>
    </row>
    <row r="468" spans="21:21" ht="15.75" customHeight="1" x14ac:dyDescent="0.25">
      <c r="U468" s="42"/>
    </row>
    <row r="469" spans="21:21" ht="15.75" customHeight="1" x14ac:dyDescent="0.25">
      <c r="U469" s="42"/>
    </row>
    <row r="470" spans="21:21" ht="15.75" customHeight="1" x14ac:dyDescent="0.25">
      <c r="U470" s="42"/>
    </row>
    <row r="471" spans="21:21" ht="15.75" customHeight="1" x14ac:dyDescent="0.25">
      <c r="U471" s="42"/>
    </row>
    <row r="472" spans="21:21" ht="15.75" customHeight="1" x14ac:dyDescent="0.25">
      <c r="U472" s="42"/>
    </row>
    <row r="473" spans="21:21" ht="15.75" customHeight="1" x14ac:dyDescent="0.25">
      <c r="U473" s="42"/>
    </row>
    <row r="474" spans="21:21" ht="15.75" customHeight="1" x14ac:dyDescent="0.25">
      <c r="U474" s="42"/>
    </row>
    <row r="475" spans="21:21" ht="15.75" customHeight="1" x14ac:dyDescent="0.25">
      <c r="U475" s="42"/>
    </row>
    <row r="476" spans="21:21" ht="15.75" customHeight="1" x14ac:dyDescent="0.25">
      <c r="U476" s="42"/>
    </row>
    <row r="477" spans="21:21" ht="15.75" customHeight="1" x14ac:dyDescent="0.25">
      <c r="U477" s="42"/>
    </row>
    <row r="478" spans="21:21" ht="15.75" customHeight="1" x14ac:dyDescent="0.25">
      <c r="U478" s="42"/>
    </row>
    <row r="479" spans="21:21" ht="15.75" customHeight="1" x14ac:dyDescent="0.25">
      <c r="U479" s="42"/>
    </row>
    <row r="480" spans="21:21" ht="15.75" customHeight="1" x14ac:dyDescent="0.25">
      <c r="U480" s="42"/>
    </row>
    <row r="481" spans="21:21" ht="15.75" customHeight="1" x14ac:dyDescent="0.25">
      <c r="U481" s="42"/>
    </row>
    <row r="482" spans="21:21" ht="15.75" customHeight="1" x14ac:dyDescent="0.25">
      <c r="U482" s="42"/>
    </row>
    <row r="483" spans="21:21" ht="15.75" customHeight="1" x14ac:dyDescent="0.25">
      <c r="U483" s="42"/>
    </row>
    <row r="484" spans="21:21" ht="15.75" customHeight="1" x14ac:dyDescent="0.25">
      <c r="U484" s="42"/>
    </row>
    <row r="485" spans="21:21" ht="15.75" customHeight="1" x14ac:dyDescent="0.25">
      <c r="U485" s="42"/>
    </row>
    <row r="486" spans="21:21" ht="15.75" customHeight="1" x14ac:dyDescent="0.25">
      <c r="U486" s="42"/>
    </row>
    <row r="487" spans="21:21" ht="15.75" customHeight="1" x14ac:dyDescent="0.25">
      <c r="U487" s="42"/>
    </row>
    <row r="488" spans="21:21" ht="15.75" customHeight="1" x14ac:dyDescent="0.25">
      <c r="U488" s="42"/>
    </row>
    <row r="489" spans="21:21" ht="15.75" customHeight="1" x14ac:dyDescent="0.25">
      <c r="U489" s="42"/>
    </row>
    <row r="490" spans="21:21" ht="15.75" customHeight="1" x14ac:dyDescent="0.25">
      <c r="U490" s="42"/>
    </row>
    <row r="491" spans="21:21" ht="15.75" customHeight="1" x14ac:dyDescent="0.25">
      <c r="U491" s="42"/>
    </row>
    <row r="492" spans="21:21" ht="15.75" customHeight="1" x14ac:dyDescent="0.25">
      <c r="U492" s="42"/>
    </row>
    <row r="493" spans="21:21" ht="15.75" customHeight="1" x14ac:dyDescent="0.25">
      <c r="U493" s="42"/>
    </row>
    <row r="494" spans="21:21" ht="15.75" customHeight="1" x14ac:dyDescent="0.25">
      <c r="U494" s="42"/>
    </row>
    <row r="495" spans="21:21" ht="15.75" customHeight="1" x14ac:dyDescent="0.25">
      <c r="U495" s="42"/>
    </row>
    <row r="496" spans="21:21" ht="15.75" customHeight="1" x14ac:dyDescent="0.25">
      <c r="U496" s="42"/>
    </row>
    <row r="497" spans="21:21" ht="15.75" customHeight="1" x14ac:dyDescent="0.25">
      <c r="U497" s="42"/>
    </row>
    <row r="498" spans="21:21" ht="15.75" customHeight="1" x14ac:dyDescent="0.25">
      <c r="U498" s="42"/>
    </row>
    <row r="499" spans="21:21" ht="15.75" customHeight="1" x14ac:dyDescent="0.25">
      <c r="U499" s="42"/>
    </row>
    <row r="500" spans="21:21" ht="15.75" customHeight="1" x14ac:dyDescent="0.25">
      <c r="U500" s="42"/>
    </row>
    <row r="501" spans="21:21" ht="15.75" customHeight="1" x14ac:dyDescent="0.25">
      <c r="U501" s="42"/>
    </row>
    <row r="502" spans="21:21" ht="15.75" customHeight="1" x14ac:dyDescent="0.25">
      <c r="U502" s="42"/>
    </row>
    <row r="503" spans="21:21" ht="15.75" customHeight="1" x14ac:dyDescent="0.25">
      <c r="U503" s="42"/>
    </row>
    <row r="504" spans="21:21" ht="15.75" customHeight="1" x14ac:dyDescent="0.25">
      <c r="U504" s="42"/>
    </row>
    <row r="505" spans="21:21" ht="15.75" customHeight="1" x14ac:dyDescent="0.25">
      <c r="U505" s="42"/>
    </row>
    <row r="506" spans="21:21" ht="15.75" customHeight="1" x14ac:dyDescent="0.25">
      <c r="U506" s="42"/>
    </row>
    <row r="507" spans="21:21" ht="15.75" customHeight="1" x14ac:dyDescent="0.25">
      <c r="U507" s="42"/>
    </row>
    <row r="508" spans="21:21" ht="15.75" customHeight="1" x14ac:dyDescent="0.25">
      <c r="U508" s="42"/>
    </row>
    <row r="509" spans="21:21" ht="15.75" customHeight="1" x14ac:dyDescent="0.25">
      <c r="U509" s="42"/>
    </row>
    <row r="510" spans="21:21" ht="15.75" customHeight="1" x14ac:dyDescent="0.25">
      <c r="U510" s="42"/>
    </row>
    <row r="511" spans="21:21" ht="15.75" customHeight="1" x14ac:dyDescent="0.25">
      <c r="U511" s="42"/>
    </row>
    <row r="512" spans="21:21" ht="15.75" customHeight="1" x14ac:dyDescent="0.25">
      <c r="U512" s="42"/>
    </row>
    <row r="513" spans="21:21" ht="15.75" customHeight="1" x14ac:dyDescent="0.25">
      <c r="U513" s="42"/>
    </row>
    <row r="514" spans="21:21" ht="15.75" customHeight="1" x14ac:dyDescent="0.25">
      <c r="U514" s="42"/>
    </row>
    <row r="515" spans="21:21" ht="15.75" customHeight="1" x14ac:dyDescent="0.25">
      <c r="U515" s="42"/>
    </row>
    <row r="516" spans="21:21" ht="15.75" customHeight="1" x14ac:dyDescent="0.25">
      <c r="U516" s="42"/>
    </row>
    <row r="517" spans="21:21" ht="15.75" customHeight="1" x14ac:dyDescent="0.25">
      <c r="U517" s="42"/>
    </row>
    <row r="518" spans="21:21" ht="15.75" customHeight="1" x14ac:dyDescent="0.25">
      <c r="U518" s="42"/>
    </row>
    <row r="519" spans="21:21" ht="15.75" customHeight="1" x14ac:dyDescent="0.25">
      <c r="U519" s="42"/>
    </row>
    <row r="520" spans="21:21" ht="15.75" customHeight="1" x14ac:dyDescent="0.25">
      <c r="U520" s="42"/>
    </row>
    <row r="521" spans="21:21" ht="15.75" customHeight="1" x14ac:dyDescent="0.25">
      <c r="U521" s="42"/>
    </row>
    <row r="522" spans="21:21" ht="15.75" customHeight="1" x14ac:dyDescent="0.25">
      <c r="U522" s="42"/>
    </row>
    <row r="523" spans="21:21" ht="15.75" customHeight="1" x14ac:dyDescent="0.25">
      <c r="U523" s="42"/>
    </row>
    <row r="524" spans="21:21" ht="15.75" customHeight="1" x14ac:dyDescent="0.25">
      <c r="U524" s="42"/>
    </row>
    <row r="525" spans="21:21" ht="15.75" customHeight="1" x14ac:dyDescent="0.25">
      <c r="U525" s="42"/>
    </row>
    <row r="526" spans="21:21" ht="15.75" customHeight="1" x14ac:dyDescent="0.25">
      <c r="U526" s="42"/>
    </row>
    <row r="527" spans="21:21" ht="15.75" customHeight="1" x14ac:dyDescent="0.25">
      <c r="U527" s="42"/>
    </row>
    <row r="528" spans="21:21" ht="15.75" customHeight="1" x14ac:dyDescent="0.25">
      <c r="U528" s="42"/>
    </row>
    <row r="529" spans="21:21" ht="15.75" customHeight="1" x14ac:dyDescent="0.25">
      <c r="U529" s="42"/>
    </row>
    <row r="530" spans="21:21" ht="15.75" customHeight="1" x14ac:dyDescent="0.25">
      <c r="U530" s="42"/>
    </row>
    <row r="531" spans="21:21" ht="15.75" customHeight="1" x14ac:dyDescent="0.25">
      <c r="U531" s="42"/>
    </row>
    <row r="532" spans="21:21" ht="15.75" customHeight="1" x14ac:dyDescent="0.25">
      <c r="U532" s="42"/>
    </row>
    <row r="533" spans="21:21" ht="15.75" customHeight="1" x14ac:dyDescent="0.25">
      <c r="U533" s="42"/>
    </row>
    <row r="534" spans="21:21" ht="15.75" customHeight="1" x14ac:dyDescent="0.25">
      <c r="U534" s="42"/>
    </row>
    <row r="535" spans="21:21" ht="15.75" customHeight="1" x14ac:dyDescent="0.25">
      <c r="U535" s="42"/>
    </row>
    <row r="536" spans="21:21" ht="15.75" customHeight="1" x14ac:dyDescent="0.25">
      <c r="U536" s="42"/>
    </row>
    <row r="537" spans="21:21" ht="15.75" customHeight="1" x14ac:dyDescent="0.25">
      <c r="U537" s="42"/>
    </row>
    <row r="538" spans="21:21" ht="15.75" customHeight="1" x14ac:dyDescent="0.25">
      <c r="U538" s="42"/>
    </row>
    <row r="539" spans="21:21" ht="15.75" customHeight="1" x14ac:dyDescent="0.25">
      <c r="U539" s="42"/>
    </row>
    <row r="540" spans="21:21" ht="15.75" customHeight="1" x14ac:dyDescent="0.25">
      <c r="U540" s="42"/>
    </row>
    <row r="541" spans="21:21" ht="15.75" customHeight="1" x14ac:dyDescent="0.25">
      <c r="U541" s="42"/>
    </row>
    <row r="542" spans="21:21" ht="15.75" customHeight="1" x14ac:dyDescent="0.25">
      <c r="U542" s="42"/>
    </row>
    <row r="543" spans="21:21" ht="15.75" customHeight="1" x14ac:dyDescent="0.25">
      <c r="U543" s="42"/>
    </row>
    <row r="544" spans="21:21" ht="15.75" customHeight="1" x14ac:dyDescent="0.25">
      <c r="U544" s="42"/>
    </row>
    <row r="545" spans="21:21" ht="15.75" customHeight="1" x14ac:dyDescent="0.25">
      <c r="U545" s="42"/>
    </row>
    <row r="546" spans="21:21" ht="15.75" customHeight="1" x14ac:dyDescent="0.25">
      <c r="U546" s="42"/>
    </row>
    <row r="547" spans="21:21" ht="15.75" customHeight="1" x14ac:dyDescent="0.25">
      <c r="U547" s="42"/>
    </row>
    <row r="548" spans="21:21" ht="15.75" customHeight="1" x14ac:dyDescent="0.25">
      <c r="U548" s="42"/>
    </row>
    <row r="549" spans="21:21" ht="15.75" customHeight="1" x14ac:dyDescent="0.25">
      <c r="U549" s="42"/>
    </row>
    <row r="550" spans="21:21" ht="15.75" customHeight="1" x14ac:dyDescent="0.25">
      <c r="U550" s="42"/>
    </row>
    <row r="551" spans="21:21" ht="15.75" customHeight="1" x14ac:dyDescent="0.25">
      <c r="U551" s="42"/>
    </row>
    <row r="552" spans="21:21" ht="15.75" customHeight="1" x14ac:dyDescent="0.25">
      <c r="U552" s="42"/>
    </row>
    <row r="553" spans="21:21" ht="15.75" customHeight="1" x14ac:dyDescent="0.25">
      <c r="U553" s="42"/>
    </row>
    <row r="554" spans="21:21" ht="15.75" customHeight="1" x14ac:dyDescent="0.25">
      <c r="U554" s="42"/>
    </row>
    <row r="555" spans="21:21" ht="15.75" customHeight="1" x14ac:dyDescent="0.25">
      <c r="U555" s="42"/>
    </row>
    <row r="556" spans="21:21" ht="15.75" customHeight="1" x14ac:dyDescent="0.25">
      <c r="U556" s="42"/>
    </row>
    <row r="557" spans="21:21" ht="15.75" customHeight="1" x14ac:dyDescent="0.25">
      <c r="U557" s="42"/>
    </row>
    <row r="558" spans="21:21" ht="15.75" customHeight="1" x14ac:dyDescent="0.25">
      <c r="U558" s="42"/>
    </row>
    <row r="559" spans="21:21" ht="15.75" customHeight="1" x14ac:dyDescent="0.25">
      <c r="U559" s="42"/>
    </row>
    <row r="560" spans="21:21" ht="15.75" customHeight="1" x14ac:dyDescent="0.25">
      <c r="U560" s="42"/>
    </row>
    <row r="561" spans="21:21" ht="15.75" customHeight="1" x14ac:dyDescent="0.25">
      <c r="U561" s="42"/>
    </row>
    <row r="562" spans="21:21" ht="15.75" customHeight="1" x14ac:dyDescent="0.25">
      <c r="U562" s="42"/>
    </row>
    <row r="563" spans="21:21" ht="15.75" customHeight="1" x14ac:dyDescent="0.25">
      <c r="U563" s="42"/>
    </row>
    <row r="564" spans="21:21" ht="15.75" customHeight="1" x14ac:dyDescent="0.25">
      <c r="U564" s="42"/>
    </row>
    <row r="565" spans="21:21" ht="15.75" customHeight="1" x14ac:dyDescent="0.25">
      <c r="U565" s="42"/>
    </row>
    <row r="566" spans="21:21" ht="15.75" customHeight="1" x14ac:dyDescent="0.25">
      <c r="U566" s="42"/>
    </row>
    <row r="567" spans="21:21" ht="15.75" customHeight="1" x14ac:dyDescent="0.25">
      <c r="U567" s="42"/>
    </row>
    <row r="568" spans="21:21" ht="15.75" customHeight="1" x14ac:dyDescent="0.25">
      <c r="U568" s="42"/>
    </row>
    <row r="569" spans="21:21" ht="15.75" customHeight="1" x14ac:dyDescent="0.25">
      <c r="U569" s="42"/>
    </row>
    <row r="570" spans="21:21" ht="15.75" customHeight="1" x14ac:dyDescent="0.25">
      <c r="U570" s="42"/>
    </row>
    <row r="571" spans="21:21" ht="15.75" customHeight="1" x14ac:dyDescent="0.25">
      <c r="U571" s="42"/>
    </row>
    <row r="572" spans="21:21" ht="15.75" customHeight="1" x14ac:dyDescent="0.25">
      <c r="U572" s="42"/>
    </row>
    <row r="573" spans="21:21" ht="15.75" customHeight="1" x14ac:dyDescent="0.25">
      <c r="U573" s="42"/>
    </row>
    <row r="574" spans="21:21" ht="15.75" customHeight="1" x14ac:dyDescent="0.25">
      <c r="U574" s="42"/>
    </row>
    <row r="575" spans="21:21" ht="15.75" customHeight="1" x14ac:dyDescent="0.25">
      <c r="U575" s="42"/>
    </row>
    <row r="576" spans="21:21" ht="15.75" customHeight="1" x14ac:dyDescent="0.25">
      <c r="U576" s="42"/>
    </row>
    <row r="577" spans="21:21" ht="15.75" customHeight="1" x14ac:dyDescent="0.25">
      <c r="U577" s="42"/>
    </row>
    <row r="578" spans="21:21" ht="15.75" customHeight="1" x14ac:dyDescent="0.25">
      <c r="U578" s="42"/>
    </row>
    <row r="579" spans="21:21" ht="15.75" customHeight="1" x14ac:dyDescent="0.25">
      <c r="U579" s="42"/>
    </row>
    <row r="580" spans="21:21" ht="15.75" customHeight="1" x14ac:dyDescent="0.25">
      <c r="U580" s="42"/>
    </row>
    <row r="581" spans="21:21" ht="15.75" customHeight="1" x14ac:dyDescent="0.25">
      <c r="U581" s="42"/>
    </row>
    <row r="582" spans="21:21" ht="15.75" customHeight="1" x14ac:dyDescent="0.25">
      <c r="U582" s="42"/>
    </row>
    <row r="583" spans="21:21" ht="15.75" customHeight="1" x14ac:dyDescent="0.25">
      <c r="U583" s="42"/>
    </row>
    <row r="584" spans="21:21" ht="15.75" customHeight="1" x14ac:dyDescent="0.25">
      <c r="U584" s="42"/>
    </row>
    <row r="585" spans="21:21" ht="15.75" customHeight="1" x14ac:dyDescent="0.25">
      <c r="U585" s="42"/>
    </row>
    <row r="586" spans="21:21" ht="15.75" customHeight="1" x14ac:dyDescent="0.25">
      <c r="U586" s="42"/>
    </row>
    <row r="587" spans="21:21" ht="15.75" customHeight="1" x14ac:dyDescent="0.25">
      <c r="U587" s="42"/>
    </row>
    <row r="588" spans="21:21" ht="15.75" customHeight="1" x14ac:dyDescent="0.25">
      <c r="U588" s="42"/>
    </row>
    <row r="589" spans="21:21" ht="15.75" customHeight="1" x14ac:dyDescent="0.25">
      <c r="U589" s="42"/>
    </row>
    <row r="590" spans="21:21" ht="15.75" customHeight="1" x14ac:dyDescent="0.25">
      <c r="U590" s="42"/>
    </row>
    <row r="591" spans="21:21" ht="15.75" customHeight="1" x14ac:dyDescent="0.25">
      <c r="U591" s="42"/>
    </row>
    <row r="592" spans="21:21" ht="15.75" customHeight="1" x14ac:dyDescent="0.25">
      <c r="U592" s="42"/>
    </row>
    <row r="593" spans="21:21" ht="15.75" customHeight="1" x14ac:dyDescent="0.25">
      <c r="U593" s="42"/>
    </row>
    <row r="594" spans="21:21" ht="15.75" customHeight="1" x14ac:dyDescent="0.25">
      <c r="U594" s="42"/>
    </row>
    <row r="595" spans="21:21" ht="15.75" customHeight="1" x14ac:dyDescent="0.25">
      <c r="U595" s="42"/>
    </row>
    <row r="596" spans="21:21" ht="15.75" customHeight="1" x14ac:dyDescent="0.25">
      <c r="U596" s="42"/>
    </row>
    <row r="597" spans="21:21" ht="15.75" customHeight="1" x14ac:dyDescent="0.25">
      <c r="U597" s="42"/>
    </row>
    <row r="598" spans="21:21" ht="15.75" customHeight="1" x14ac:dyDescent="0.25">
      <c r="U598" s="42"/>
    </row>
    <row r="599" spans="21:21" ht="15.75" customHeight="1" x14ac:dyDescent="0.25">
      <c r="U599" s="42"/>
    </row>
    <row r="600" spans="21:21" ht="15.75" customHeight="1" x14ac:dyDescent="0.25">
      <c r="U600" s="42"/>
    </row>
    <row r="601" spans="21:21" ht="15.75" customHeight="1" x14ac:dyDescent="0.25">
      <c r="U601" s="42"/>
    </row>
    <row r="602" spans="21:21" ht="15.75" customHeight="1" x14ac:dyDescent="0.25">
      <c r="U602" s="42"/>
    </row>
    <row r="603" spans="21:21" ht="15.75" customHeight="1" x14ac:dyDescent="0.25">
      <c r="U603" s="42"/>
    </row>
    <row r="604" spans="21:21" ht="15.75" customHeight="1" x14ac:dyDescent="0.25">
      <c r="U604" s="42"/>
    </row>
    <row r="605" spans="21:21" ht="15.75" customHeight="1" x14ac:dyDescent="0.25">
      <c r="U605" s="42"/>
    </row>
    <row r="606" spans="21:21" ht="15.75" customHeight="1" x14ac:dyDescent="0.25">
      <c r="U606" s="42"/>
    </row>
    <row r="607" spans="21:21" ht="15.75" customHeight="1" x14ac:dyDescent="0.25">
      <c r="U607" s="42"/>
    </row>
    <row r="608" spans="21:21" ht="15.75" customHeight="1" x14ac:dyDescent="0.25">
      <c r="U608" s="42"/>
    </row>
    <row r="609" spans="21:21" ht="15.75" customHeight="1" x14ac:dyDescent="0.25">
      <c r="U609" s="42"/>
    </row>
    <row r="610" spans="21:21" ht="15.75" customHeight="1" x14ac:dyDescent="0.25">
      <c r="U610" s="42"/>
    </row>
    <row r="611" spans="21:21" ht="15.75" customHeight="1" x14ac:dyDescent="0.25">
      <c r="U611" s="42"/>
    </row>
    <row r="612" spans="21:21" ht="15.75" customHeight="1" x14ac:dyDescent="0.25">
      <c r="U612" s="42"/>
    </row>
    <row r="613" spans="21:21" ht="15.75" customHeight="1" x14ac:dyDescent="0.25">
      <c r="U613" s="42"/>
    </row>
    <row r="614" spans="21:21" ht="15.75" customHeight="1" x14ac:dyDescent="0.25">
      <c r="U614" s="42"/>
    </row>
    <row r="615" spans="21:21" ht="15.75" customHeight="1" x14ac:dyDescent="0.25">
      <c r="U615" s="42"/>
    </row>
    <row r="616" spans="21:21" ht="15.75" customHeight="1" x14ac:dyDescent="0.25">
      <c r="U616" s="42"/>
    </row>
    <row r="617" spans="21:21" ht="15.75" customHeight="1" x14ac:dyDescent="0.25">
      <c r="U617" s="42"/>
    </row>
    <row r="618" spans="21:21" ht="15.75" customHeight="1" x14ac:dyDescent="0.25">
      <c r="U618" s="42"/>
    </row>
    <row r="619" spans="21:21" ht="15.75" customHeight="1" x14ac:dyDescent="0.25">
      <c r="U619" s="42"/>
    </row>
    <row r="620" spans="21:21" ht="15.75" customHeight="1" x14ac:dyDescent="0.25">
      <c r="U620" s="42"/>
    </row>
    <row r="621" spans="21:21" ht="15.75" customHeight="1" x14ac:dyDescent="0.25">
      <c r="U621" s="42"/>
    </row>
    <row r="622" spans="21:21" ht="15.75" customHeight="1" x14ac:dyDescent="0.25">
      <c r="U622" s="42"/>
    </row>
    <row r="623" spans="21:21" ht="15.75" customHeight="1" x14ac:dyDescent="0.25">
      <c r="U623" s="42"/>
    </row>
    <row r="624" spans="21:21" ht="15.75" customHeight="1" x14ac:dyDescent="0.25">
      <c r="U624" s="42"/>
    </row>
    <row r="625" spans="21:21" ht="15.75" customHeight="1" x14ac:dyDescent="0.25">
      <c r="U625" s="42"/>
    </row>
    <row r="626" spans="21:21" ht="15.75" customHeight="1" x14ac:dyDescent="0.25">
      <c r="U626" s="42"/>
    </row>
    <row r="627" spans="21:21" ht="15.75" customHeight="1" x14ac:dyDescent="0.25">
      <c r="U627" s="42"/>
    </row>
    <row r="628" spans="21:21" ht="15.75" customHeight="1" x14ac:dyDescent="0.25">
      <c r="U628" s="42"/>
    </row>
    <row r="629" spans="21:21" ht="15.75" customHeight="1" x14ac:dyDescent="0.25">
      <c r="U629" s="42"/>
    </row>
    <row r="630" spans="21:21" ht="15.75" customHeight="1" x14ac:dyDescent="0.25">
      <c r="U630" s="42"/>
    </row>
    <row r="631" spans="21:21" ht="15.75" customHeight="1" x14ac:dyDescent="0.25">
      <c r="U631" s="42"/>
    </row>
    <row r="632" spans="21:21" ht="15.75" customHeight="1" x14ac:dyDescent="0.25">
      <c r="U632" s="42"/>
    </row>
    <row r="633" spans="21:21" ht="15.75" customHeight="1" x14ac:dyDescent="0.25">
      <c r="U633" s="42"/>
    </row>
    <row r="634" spans="21:21" ht="15.75" customHeight="1" x14ac:dyDescent="0.25">
      <c r="U634" s="42"/>
    </row>
    <row r="635" spans="21:21" ht="15.75" customHeight="1" x14ac:dyDescent="0.25">
      <c r="U635" s="42"/>
    </row>
    <row r="636" spans="21:21" ht="15.75" customHeight="1" x14ac:dyDescent="0.25">
      <c r="U636" s="42"/>
    </row>
    <row r="637" spans="21:21" ht="15.75" customHeight="1" x14ac:dyDescent="0.25">
      <c r="U637" s="42"/>
    </row>
    <row r="638" spans="21:21" ht="15.75" customHeight="1" x14ac:dyDescent="0.25">
      <c r="U638" s="42"/>
    </row>
    <row r="639" spans="21:21" ht="15.75" customHeight="1" x14ac:dyDescent="0.25">
      <c r="U639" s="42"/>
    </row>
    <row r="640" spans="21:21" ht="15.75" customHeight="1" x14ac:dyDescent="0.25">
      <c r="U640" s="42"/>
    </row>
    <row r="641" spans="21:21" ht="15.75" customHeight="1" x14ac:dyDescent="0.25">
      <c r="U641" s="42"/>
    </row>
    <row r="642" spans="21:21" ht="15.75" customHeight="1" x14ac:dyDescent="0.25">
      <c r="U642" s="42"/>
    </row>
    <row r="643" spans="21:21" ht="15.75" customHeight="1" x14ac:dyDescent="0.25">
      <c r="U643" s="42"/>
    </row>
    <row r="644" spans="21:21" ht="15.75" customHeight="1" x14ac:dyDescent="0.25">
      <c r="U644" s="42"/>
    </row>
    <row r="645" spans="21:21" ht="15.75" customHeight="1" x14ac:dyDescent="0.25">
      <c r="U645" s="42"/>
    </row>
    <row r="646" spans="21:21" ht="15.75" customHeight="1" x14ac:dyDescent="0.25">
      <c r="U646" s="42"/>
    </row>
    <row r="647" spans="21:21" ht="15.75" customHeight="1" x14ac:dyDescent="0.25">
      <c r="U647" s="42"/>
    </row>
    <row r="648" spans="21:21" ht="15.75" customHeight="1" x14ac:dyDescent="0.25">
      <c r="U648" s="42"/>
    </row>
    <row r="649" spans="21:21" ht="15.75" customHeight="1" x14ac:dyDescent="0.25">
      <c r="U649" s="42"/>
    </row>
    <row r="650" spans="21:21" ht="15.75" customHeight="1" x14ac:dyDescent="0.25">
      <c r="U650" s="42"/>
    </row>
    <row r="651" spans="21:21" ht="15.75" customHeight="1" x14ac:dyDescent="0.25">
      <c r="U651" s="42"/>
    </row>
    <row r="652" spans="21:21" ht="15.75" customHeight="1" x14ac:dyDescent="0.25">
      <c r="U652" s="42"/>
    </row>
    <row r="653" spans="21:21" ht="15.75" customHeight="1" x14ac:dyDescent="0.25">
      <c r="U653" s="42"/>
    </row>
    <row r="654" spans="21:21" ht="15.75" customHeight="1" x14ac:dyDescent="0.25">
      <c r="U654" s="42"/>
    </row>
    <row r="655" spans="21:21" ht="15.75" customHeight="1" x14ac:dyDescent="0.25">
      <c r="U655" s="42"/>
    </row>
    <row r="656" spans="21:21" ht="15.75" customHeight="1" x14ac:dyDescent="0.25">
      <c r="U656" s="42"/>
    </row>
    <row r="657" spans="21:21" ht="15.75" customHeight="1" x14ac:dyDescent="0.25">
      <c r="U657" s="42"/>
    </row>
    <row r="658" spans="21:21" ht="15.75" customHeight="1" x14ac:dyDescent="0.25">
      <c r="U658" s="42"/>
    </row>
    <row r="659" spans="21:21" ht="15.75" customHeight="1" x14ac:dyDescent="0.25">
      <c r="U659" s="42"/>
    </row>
    <row r="660" spans="21:21" ht="15.75" customHeight="1" x14ac:dyDescent="0.25">
      <c r="U660" s="42"/>
    </row>
    <row r="661" spans="21:21" ht="15.75" customHeight="1" x14ac:dyDescent="0.25">
      <c r="U661" s="42"/>
    </row>
    <row r="662" spans="21:21" ht="15.75" customHeight="1" x14ac:dyDescent="0.25">
      <c r="U662" s="42"/>
    </row>
    <row r="663" spans="21:21" ht="15.75" customHeight="1" x14ac:dyDescent="0.25">
      <c r="U663" s="42"/>
    </row>
    <row r="664" spans="21:21" ht="15.75" customHeight="1" x14ac:dyDescent="0.25">
      <c r="U664" s="42"/>
    </row>
    <row r="665" spans="21:21" ht="15.75" customHeight="1" x14ac:dyDescent="0.25">
      <c r="U665" s="42"/>
    </row>
    <row r="666" spans="21:21" ht="15.75" customHeight="1" x14ac:dyDescent="0.25">
      <c r="U666" s="42"/>
    </row>
    <row r="667" spans="21:21" ht="15.75" customHeight="1" x14ac:dyDescent="0.25">
      <c r="U667" s="42"/>
    </row>
    <row r="668" spans="21:21" ht="15.75" customHeight="1" x14ac:dyDescent="0.25">
      <c r="U668" s="42"/>
    </row>
    <row r="669" spans="21:21" ht="15.75" customHeight="1" x14ac:dyDescent="0.25">
      <c r="U669" s="42"/>
    </row>
    <row r="670" spans="21:21" ht="15.75" customHeight="1" x14ac:dyDescent="0.25">
      <c r="U670" s="42"/>
    </row>
    <row r="671" spans="21:21" ht="15.75" customHeight="1" x14ac:dyDescent="0.25">
      <c r="U671" s="42"/>
    </row>
    <row r="672" spans="21:21" ht="15.75" customHeight="1" x14ac:dyDescent="0.25">
      <c r="U672" s="42"/>
    </row>
    <row r="673" spans="21:21" ht="15.75" customHeight="1" x14ac:dyDescent="0.25">
      <c r="U673" s="42"/>
    </row>
    <row r="674" spans="21:21" ht="15.75" customHeight="1" x14ac:dyDescent="0.25">
      <c r="U674" s="42"/>
    </row>
    <row r="675" spans="21:21" ht="15.75" customHeight="1" x14ac:dyDescent="0.25">
      <c r="U675" s="42"/>
    </row>
    <row r="676" spans="21:21" ht="15.75" customHeight="1" x14ac:dyDescent="0.25">
      <c r="U676" s="42"/>
    </row>
    <row r="677" spans="21:21" ht="15.75" customHeight="1" x14ac:dyDescent="0.25">
      <c r="U677" s="42"/>
    </row>
    <row r="678" spans="21:21" ht="15.75" customHeight="1" x14ac:dyDescent="0.25">
      <c r="U678" s="42"/>
    </row>
    <row r="679" spans="21:21" ht="15.75" customHeight="1" x14ac:dyDescent="0.25">
      <c r="U679" s="42"/>
    </row>
    <row r="680" spans="21:21" ht="15.75" customHeight="1" x14ac:dyDescent="0.25">
      <c r="U680" s="42"/>
    </row>
    <row r="681" spans="21:21" ht="15.75" customHeight="1" x14ac:dyDescent="0.25">
      <c r="U681" s="42"/>
    </row>
    <row r="682" spans="21:21" ht="15.75" customHeight="1" x14ac:dyDescent="0.25">
      <c r="U682" s="42"/>
    </row>
    <row r="683" spans="21:21" ht="15.75" customHeight="1" x14ac:dyDescent="0.25">
      <c r="U683" s="42"/>
    </row>
    <row r="684" spans="21:21" ht="15.75" customHeight="1" x14ac:dyDescent="0.25">
      <c r="U684" s="42"/>
    </row>
    <row r="685" spans="21:21" ht="15.75" customHeight="1" x14ac:dyDescent="0.25">
      <c r="U685" s="42"/>
    </row>
    <row r="686" spans="21:21" ht="15.75" customHeight="1" x14ac:dyDescent="0.25">
      <c r="U686" s="42"/>
    </row>
    <row r="687" spans="21:21" ht="15.75" customHeight="1" x14ac:dyDescent="0.25">
      <c r="U687" s="42"/>
    </row>
    <row r="688" spans="21:21" ht="15.75" customHeight="1" x14ac:dyDescent="0.25">
      <c r="U688" s="42"/>
    </row>
    <row r="689" spans="21:21" ht="15.75" customHeight="1" x14ac:dyDescent="0.25">
      <c r="U689" s="42"/>
    </row>
    <row r="690" spans="21:21" ht="15.75" customHeight="1" x14ac:dyDescent="0.25">
      <c r="U690" s="42"/>
    </row>
    <row r="691" spans="21:21" ht="15.75" customHeight="1" x14ac:dyDescent="0.25">
      <c r="U691" s="42"/>
    </row>
    <row r="692" spans="21:21" ht="15.75" customHeight="1" x14ac:dyDescent="0.25">
      <c r="U692" s="42"/>
    </row>
    <row r="693" spans="21:21" ht="15.75" customHeight="1" x14ac:dyDescent="0.25">
      <c r="U693" s="42"/>
    </row>
    <row r="694" spans="21:21" ht="15.75" customHeight="1" x14ac:dyDescent="0.25">
      <c r="U694" s="42"/>
    </row>
    <row r="695" spans="21:21" ht="15.75" customHeight="1" x14ac:dyDescent="0.25">
      <c r="U695" s="42"/>
    </row>
    <row r="696" spans="21:21" ht="15.75" customHeight="1" x14ac:dyDescent="0.25">
      <c r="U696" s="42"/>
    </row>
    <row r="697" spans="21:21" ht="15.75" customHeight="1" x14ac:dyDescent="0.25">
      <c r="U697" s="42"/>
    </row>
    <row r="698" spans="21:21" ht="15.75" customHeight="1" x14ac:dyDescent="0.25">
      <c r="U698" s="42"/>
    </row>
    <row r="699" spans="21:21" ht="15.75" customHeight="1" x14ac:dyDescent="0.25">
      <c r="U699" s="42"/>
    </row>
    <row r="700" spans="21:21" ht="15.75" customHeight="1" x14ac:dyDescent="0.25">
      <c r="U700" s="42"/>
    </row>
    <row r="701" spans="21:21" ht="15.75" customHeight="1" x14ac:dyDescent="0.25">
      <c r="U701" s="42"/>
    </row>
    <row r="702" spans="21:21" ht="15.75" customHeight="1" x14ac:dyDescent="0.25">
      <c r="U702" s="42"/>
    </row>
    <row r="703" spans="21:21" ht="15.75" customHeight="1" x14ac:dyDescent="0.25">
      <c r="U703" s="42"/>
    </row>
    <row r="704" spans="21:21" ht="15.75" customHeight="1" x14ac:dyDescent="0.25">
      <c r="U704" s="42"/>
    </row>
    <row r="705" spans="21:21" ht="15.75" customHeight="1" x14ac:dyDescent="0.25">
      <c r="U705" s="42"/>
    </row>
    <row r="706" spans="21:21" ht="15.75" customHeight="1" x14ac:dyDescent="0.25">
      <c r="U706" s="42"/>
    </row>
    <row r="707" spans="21:21" ht="15.75" customHeight="1" x14ac:dyDescent="0.25">
      <c r="U707" s="42"/>
    </row>
    <row r="708" spans="21:21" ht="15.75" customHeight="1" x14ac:dyDescent="0.25">
      <c r="U708" s="42"/>
    </row>
    <row r="709" spans="21:21" ht="15.75" customHeight="1" x14ac:dyDescent="0.25">
      <c r="U709" s="42"/>
    </row>
    <row r="710" spans="21:21" ht="15.75" customHeight="1" x14ac:dyDescent="0.25">
      <c r="U710" s="42"/>
    </row>
    <row r="711" spans="21:21" ht="15.75" customHeight="1" x14ac:dyDescent="0.25">
      <c r="U711" s="42"/>
    </row>
    <row r="712" spans="21:21" ht="15.75" customHeight="1" x14ac:dyDescent="0.25">
      <c r="U712" s="42"/>
    </row>
    <row r="713" spans="21:21" ht="15.75" customHeight="1" x14ac:dyDescent="0.25">
      <c r="U713" s="42"/>
    </row>
    <row r="714" spans="21:21" ht="15.75" customHeight="1" x14ac:dyDescent="0.25">
      <c r="U714" s="42"/>
    </row>
    <row r="715" spans="21:21" ht="15.75" customHeight="1" x14ac:dyDescent="0.25">
      <c r="U715" s="42"/>
    </row>
    <row r="716" spans="21:21" ht="15.75" customHeight="1" x14ac:dyDescent="0.25">
      <c r="U716" s="42"/>
    </row>
    <row r="717" spans="21:21" ht="15.75" customHeight="1" x14ac:dyDescent="0.25">
      <c r="U717" s="42"/>
    </row>
    <row r="718" spans="21:21" ht="15.75" customHeight="1" x14ac:dyDescent="0.25">
      <c r="U718" s="42"/>
    </row>
    <row r="719" spans="21:21" ht="15.75" customHeight="1" x14ac:dyDescent="0.25">
      <c r="U719" s="42"/>
    </row>
    <row r="720" spans="21:21" ht="15.75" customHeight="1" x14ac:dyDescent="0.25">
      <c r="U720" s="42"/>
    </row>
    <row r="721" spans="21:21" ht="15.75" customHeight="1" x14ac:dyDescent="0.25">
      <c r="U721" s="42"/>
    </row>
    <row r="722" spans="21:21" ht="15.75" customHeight="1" x14ac:dyDescent="0.25">
      <c r="U722" s="42"/>
    </row>
    <row r="723" spans="21:21" ht="15.75" customHeight="1" x14ac:dyDescent="0.25">
      <c r="U723" s="42"/>
    </row>
    <row r="724" spans="21:21" ht="15.75" customHeight="1" x14ac:dyDescent="0.25">
      <c r="U724" s="42"/>
    </row>
    <row r="725" spans="21:21" ht="15.75" customHeight="1" x14ac:dyDescent="0.25">
      <c r="U725" s="42"/>
    </row>
    <row r="726" spans="21:21" ht="15.75" customHeight="1" x14ac:dyDescent="0.25">
      <c r="U726" s="42"/>
    </row>
    <row r="727" spans="21:21" ht="15.75" customHeight="1" x14ac:dyDescent="0.25">
      <c r="U727" s="42"/>
    </row>
    <row r="728" spans="21:21" ht="15.75" customHeight="1" x14ac:dyDescent="0.25">
      <c r="U728" s="42"/>
    </row>
    <row r="729" spans="21:21" ht="15.75" customHeight="1" x14ac:dyDescent="0.25">
      <c r="U729" s="42"/>
    </row>
    <row r="730" spans="21:21" ht="15.75" customHeight="1" x14ac:dyDescent="0.25">
      <c r="U730" s="42"/>
    </row>
    <row r="731" spans="21:21" ht="15.75" customHeight="1" x14ac:dyDescent="0.25">
      <c r="U731" s="42"/>
    </row>
    <row r="732" spans="21:21" ht="15.75" customHeight="1" x14ac:dyDescent="0.25">
      <c r="U732" s="42"/>
    </row>
    <row r="733" spans="21:21" ht="15.75" customHeight="1" x14ac:dyDescent="0.25">
      <c r="U733" s="42"/>
    </row>
    <row r="734" spans="21:21" ht="15.75" customHeight="1" x14ac:dyDescent="0.25">
      <c r="U734" s="42"/>
    </row>
    <row r="735" spans="21:21" ht="15.75" customHeight="1" x14ac:dyDescent="0.25">
      <c r="U735" s="42"/>
    </row>
    <row r="736" spans="21:21" ht="15.75" customHeight="1" x14ac:dyDescent="0.25">
      <c r="U736" s="42"/>
    </row>
    <row r="737" spans="21:21" ht="15.75" customHeight="1" x14ac:dyDescent="0.25">
      <c r="U737" s="42"/>
    </row>
    <row r="738" spans="21:21" ht="15.75" customHeight="1" x14ac:dyDescent="0.25">
      <c r="U738" s="42"/>
    </row>
    <row r="739" spans="21:21" ht="15.75" customHeight="1" x14ac:dyDescent="0.25">
      <c r="U739" s="42"/>
    </row>
    <row r="740" spans="21:21" ht="15.75" customHeight="1" x14ac:dyDescent="0.25">
      <c r="U740" s="42"/>
    </row>
    <row r="741" spans="21:21" ht="15.75" customHeight="1" x14ac:dyDescent="0.25">
      <c r="U741" s="42"/>
    </row>
    <row r="742" spans="21:21" ht="15.75" customHeight="1" x14ac:dyDescent="0.25">
      <c r="U742" s="42"/>
    </row>
    <row r="743" spans="21:21" ht="15.75" customHeight="1" x14ac:dyDescent="0.25">
      <c r="U743" s="42"/>
    </row>
    <row r="744" spans="21:21" ht="15.75" customHeight="1" x14ac:dyDescent="0.25">
      <c r="U744" s="42"/>
    </row>
    <row r="745" spans="21:21" ht="15.75" customHeight="1" x14ac:dyDescent="0.25">
      <c r="U745" s="42"/>
    </row>
    <row r="746" spans="21:21" ht="15.75" customHeight="1" x14ac:dyDescent="0.25">
      <c r="U746" s="42"/>
    </row>
    <row r="747" spans="21:21" ht="15.75" customHeight="1" x14ac:dyDescent="0.25">
      <c r="U747" s="42"/>
    </row>
    <row r="748" spans="21:21" ht="15.75" customHeight="1" x14ac:dyDescent="0.25">
      <c r="U748" s="42"/>
    </row>
    <row r="749" spans="21:21" ht="15.75" customHeight="1" x14ac:dyDescent="0.25">
      <c r="U749" s="42"/>
    </row>
    <row r="750" spans="21:21" ht="15.75" customHeight="1" x14ac:dyDescent="0.25">
      <c r="U750" s="42"/>
    </row>
    <row r="751" spans="21:21" ht="15.75" customHeight="1" x14ac:dyDescent="0.25">
      <c r="U751" s="42"/>
    </row>
    <row r="752" spans="21:21" ht="15.75" customHeight="1" x14ac:dyDescent="0.25">
      <c r="U752" s="42"/>
    </row>
    <row r="753" spans="21:21" ht="15.75" customHeight="1" x14ac:dyDescent="0.25">
      <c r="U753" s="42"/>
    </row>
    <row r="754" spans="21:21" ht="15.75" customHeight="1" x14ac:dyDescent="0.25">
      <c r="U754" s="42"/>
    </row>
    <row r="755" spans="21:21" ht="15.75" customHeight="1" x14ac:dyDescent="0.25">
      <c r="U755" s="42"/>
    </row>
    <row r="756" spans="21:21" ht="15.75" customHeight="1" x14ac:dyDescent="0.25">
      <c r="U756" s="42"/>
    </row>
    <row r="757" spans="21:21" ht="15.75" customHeight="1" x14ac:dyDescent="0.25">
      <c r="U757" s="42"/>
    </row>
    <row r="758" spans="21:21" ht="15.75" customHeight="1" x14ac:dyDescent="0.25">
      <c r="U758" s="42"/>
    </row>
    <row r="759" spans="21:21" ht="15.75" customHeight="1" x14ac:dyDescent="0.25">
      <c r="U759" s="42"/>
    </row>
    <row r="760" spans="21:21" ht="15.75" customHeight="1" x14ac:dyDescent="0.25">
      <c r="U760" s="42"/>
    </row>
    <row r="761" spans="21:21" ht="15.75" customHeight="1" x14ac:dyDescent="0.25">
      <c r="U761" s="42"/>
    </row>
    <row r="762" spans="21:21" ht="15.75" customHeight="1" x14ac:dyDescent="0.25">
      <c r="U762" s="42"/>
    </row>
    <row r="763" spans="21:21" ht="15.75" customHeight="1" x14ac:dyDescent="0.25">
      <c r="U763" s="42"/>
    </row>
    <row r="764" spans="21:21" ht="15.75" customHeight="1" x14ac:dyDescent="0.25">
      <c r="U764" s="42"/>
    </row>
    <row r="765" spans="21:21" ht="15.75" customHeight="1" x14ac:dyDescent="0.25">
      <c r="U765" s="42"/>
    </row>
    <row r="766" spans="21:21" ht="15.75" customHeight="1" x14ac:dyDescent="0.25">
      <c r="U766" s="42"/>
    </row>
    <row r="767" spans="21:21" ht="15.75" customHeight="1" x14ac:dyDescent="0.25">
      <c r="U767" s="42"/>
    </row>
    <row r="768" spans="21:21" ht="15.75" customHeight="1" x14ac:dyDescent="0.25">
      <c r="U768" s="42"/>
    </row>
    <row r="769" spans="21:21" ht="15.75" customHeight="1" x14ac:dyDescent="0.25">
      <c r="U769" s="42"/>
    </row>
    <row r="770" spans="21:21" ht="15.75" customHeight="1" x14ac:dyDescent="0.25">
      <c r="U770" s="42"/>
    </row>
    <row r="771" spans="21:21" ht="15.75" customHeight="1" x14ac:dyDescent="0.25">
      <c r="U771" s="42"/>
    </row>
    <row r="772" spans="21:21" ht="15.75" customHeight="1" x14ac:dyDescent="0.25">
      <c r="U772" s="42"/>
    </row>
    <row r="773" spans="21:21" ht="15.75" customHeight="1" x14ac:dyDescent="0.25">
      <c r="U773" s="42"/>
    </row>
    <row r="774" spans="21:21" ht="15.75" customHeight="1" x14ac:dyDescent="0.25">
      <c r="U774" s="42"/>
    </row>
    <row r="775" spans="21:21" ht="15.75" customHeight="1" x14ac:dyDescent="0.25">
      <c r="U775" s="42"/>
    </row>
    <row r="776" spans="21:21" ht="15.75" customHeight="1" x14ac:dyDescent="0.25">
      <c r="U776" s="42"/>
    </row>
    <row r="777" spans="21:21" ht="15.75" customHeight="1" x14ac:dyDescent="0.25">
      <c r="U777" s="42"/>
    </row>
    <row r="778" spans="21:21" ht="15.75" customHeight="1" x14ac:dyDescent="0.25">
      <c r="U778" s="42"/>
    </row>
    <row r="779" spans="21:21" ht="15.75" customHeight="1" x14ac:dyDescent="0.25">
      <c r="U779" s="42"/>
    </row>
    <row r="780" spans="21:21" ht="15.75" customHeight="1" x14ac:dyDescent="0.25">
      <c r="U780" s="42"/>
    </row>
    <row r="781" spans="21:21" ht="15.75" customHeight="1" x14ac:dyDescent="0.25">
      <c r="U781" s="42"/>
    </row>
    <row r="782" spans="21:21" ht="15.75" customHeight="1" x14ac:dyDescent="0.25">
      <c r="U782" s="42"/>
    </row>
    <row r="783" spans="21:21" ht="15.75" customHeight="1" x14ac:dyDescent="0.25">
      <c r="U783" s="42"/>
    </row>
    <row r="784" spans="21:21" ht="15.75" customHeight="1" x14ac:dyDescent="0.25">
      <c r="U784" s="42"/>
    </row>
    <row r="785" spans="21:21" ht="15.75" customHeight="1" x14ac:dyDescent="0.25">
      <c r="U785" s="42"/>
    </row>
    <row r="786" spans="21:21" ht="15.75" customHeight="1" x14ac:dyDescent="0.25">
      <c r="U786" s="42"/>
    </row>
    <row r="787" spans="21:21" ht="15.75" customHeight="1" x14ac:dyDescent="0.25">
      <c r="U787" s="42"/>
    </row>
    <row r="788" spans="21:21" ht="15.75" customHeight="1" x14ac:dyDescent="0.25">
      <c r="U788" s="42"/>
    </row>
    <row r="789" spans="21:21" ht="15.75" customHeight="1" x14ac:dyDescent="0.25">
      <c r="U789" s="42"/>
    </row>
    <row r="790" spans="21:21" ht="15.75" customHeight="1" x14ac:dyDescent="0.25">
      <c r="U790" s="42"/>
    </row>
    <row r="791" spans="21:21" ht="15.75" customHeight="1" x14ac:dyDescent="0.25">
      <c r="U791" s="42"/>
    </row>
    <row r="792" spans="21:21" ht="15.75" customHeight="1" x14ac:dyDescent="0.25">
      <c r="U792" s="42"/>
    </row>
    <row r="793" spans="21:21" ht="15.75" customHeight="1" x14ac:dyDescent="0.25">
      <c r="U793" s="42"/>
    </row>
    <row r="794" spans="21:21" ht="15.75" customHeight="1" x14ac:dyDescent="0.25">
      <c r="U794" s="42"/>
    </row>
    <row r="795" spans="21:21" ht="15.75" customHeight="1" x14ac:dyDescent="0.25">
      <c r="U795" s="42"/>
    </row>
    <row r="796" spans="21:21" ht="15.75" customHeight="1" x14ac:dyDescent="0.25">
      <c r="U796" s="42"/>
    </row>
    <row r="797" spans="21:21" ht="15.75" customHeight="1" x14ac:dyDescent="0.25">
      <c r="U797" s="42"/>
    </row>
    <row r="798" spans="21:21" ht="15.75" customHeight="1" x14ac:dyDescent="0.25">
      <c r="U798" s="42"/>
    </row>
    <row r="799" spans="21:21" ht="15.75" customHeight="1" x14ac:dyDescent="0.25">
      <c r="U799" s="42"/>
    </row>
    <row r="800" spans="21:21" ht="15.75" customHeight="1" x14ac:dyDescent="0.25">
      <c r="U800" s="42"/>
    </row>
    <row r="801" spans="21:21" ht="15.75" customHeight="1" x14ac:dyDescent="0.25">
      <c r="U801" s="42"/>
    </row>
    <row r="802" spans="21:21" ht="15.75" customHeight="1" x14ac:dyDescent="0.25">
      <c r="U802" s="42"/>
    </row>
    <row r="803" spans="21:21" ht="15.75" customHeight="1" x14ac:dyDescent="0.25">
      <c r="U803" s="42"/>
    </row>
    <row r="804" spans="21:21" ht="15.75" customHeight="1" x14ac:dyDescent="0.25">
      <c r="U804" s="42"/>
    </row>
    <row r="805" spans="21:21" ht="15.75" customHeight="1" x14ac:dyDescent="0.25">
      <c r="U805" s="42"/>
    </row>
    <row r="806" spans="21:21" ht="15.75" customHeight="1" x14ac:dyDescent="0.25">
      <c r="U806" s="42"/>
    </row>
    <row r="807" spans="21:21" ht="15.75" customHeight="1" x14ac:dyDescent="0.25">
      <c r="U807" s="42"/>
    </row>
    <row r="808" spans="21:21" ht="15.75" customHeight="1" x14ac:dyDescent="0.25">
      <c r="U808" s="42"/>
    </row>
    <row r="809" spans="21:21" ht="15.75" customHeight="1" x14ac:dyDescent="0.25">
      <c r="U809" s="42"/>
    </row>
    <row r="810" spans="21:21" ht="15.75" customHeight="1" x14ac:dyDescent="0.25">
      <c r="U810" s="42"/>
    </row>
    <row r="811" spans="21:21" ht="15.75" customHeight="1" x14ac:dyDescent="0.25">
      <c r="U811" s="42"/>
    </row>
    <row r="812" spans="21:21" ht="15.75" customHeight="1" x14ac:dyDescent="0.25">
      <c r="U812" s="42"/>
    </row>
    <row r="813" spans="21:21" ht="15.75" customHeight="1" x14ac:dyDescent="0.25">
      <c r="U813" s="42"/>
    </row>
    <row r="814" spans="21:21" ht="15.75" customHeight="1" x14ac:dyDescent="0.25">
      <c r="U814" s="42"/>
    </row>
    <row r="815" spans="21:21" ht="15.75" customHeight="1" x14ac:dyDescent="0.25">
      <c r="U815" s="42"/>
    </row>
    <row r="816" spans="21:21" ht="15.75" customHeight="1" x14ac:dyDescent="0.25">
      <c r="U816" s="42"/>
    </row>
    <row r="817" spans="21:21" ht="15.75" customHeight="1" x14ac:dyDescent="0.25">
      <c r="U817" s="42"/>
    </row>
    <row r="818" spans="21:21" ht="15.75" customHeight="1" x14ac:dyDescent="0.25">
      <c r="U818" s="42"/>
    </row>
    <row r="819" spans="21:21" ht="15.75" customHeight="1" x14ac:dyDescent="0.25">
      <c r="U819" s="42"/>
    </row>
    <row r="820" spans="21:21" ht="15.75" customHeight="1" x14ac:dyDescent="0.25">
      <c r="U820" s="42"/>
    </row>
    <row r="821" spans="21:21" ht="15.75" customHeight="1" x14ac:dyDescent="0.25">
      <c r="U821" s="42"/>
    </row>
    <row r="822" spans="21:21" ht="15.75" customHeight="1" x14ac:dyDescent="0.25">
      <c r="U822" s="42"/>
    </row>
    <row r="823" spans="21:21" ht="15.75" customHeight="1" x14ac:dyDescent="0.25">
      <c r="U823" s="42"/>
    </row>
    <row r="824" spans="21:21" ht="15.75" customHeight="1" x14ac:dyDescent="0.25">
      <c r="U824" s="42"/>
    </row>
    <row r="825" spans="21:21" ht="15.75" customHeight="1" x14ac:dyDescent="0.25">
      <c r="U825" s="42"/>
    </row>
    <row r="826" spans="21:21" ht="15.75" customHeight="1" x14ac:dyDescent="0.25">
      <c r="U826" s="42"/>
    </row>
    <row r="827" spans="21:21" ht="15.75" customHeight="1" x14ac:dyDescent="0.25">
      <c r="U827" s="42"/>
    </row>
    <row r="828" spans="21:21" ht="15.75" customHeight="1" x14ac:dyDescent="0.25">
      <c r="U828" s="42"/>
    </row>
    <row r="829" spans="21:21" ht="15.75" customHeight="1" x14ac:dyDescent="0.25">
      <c r="U829" s="42"/>
    </row>
    <row r="830" spans="21:21" ht="15.75" customHeight="1" x14ac:dyDescent="0.25">
      <c r="U830" s="42"/>
    </row>
    <row r="831" spans="21:21" ht="15.75" customHeight="1" x14ac:dyDescent="0.25">
      <c r="U831" s="42"/>
    </row>
    <row r="832" spans="21:21" ht="15.75" customHeight="1" x14ac:dyDescent="0.25">
      <c r="U832" s="42"/>
    </row>
    <row r="833" spans="21:21" ht="15.75" customHeight="1" x14ac:dyDescent="0.25">
      <c r="U833" s="42"/>
    </row>
    <row r="834" spans="21:21" ht="15.75" customHeight="1" x14ac:dyDescent="0.25">
      <c r="U834" s="42"/>
    </row>
    <row r="835" spans="21:21" ht="15.75" customHeight="1" x14ac:dyDescent="0.25">
      <c r="U835" s="42"/>
    </row>
    <row r="836" spans="21:21" ht="15.75" customHeight="1" x14ac:dyDescent="0.25">
      <c r="U836" s="42"/>
    </row>
    <row r="837" spans="21:21" ht="15.75" customHeight="1" x14ac:dyDescent="0.25">
      <c r="U837" s="42"/>
    </row>
    <row r="838" spans="21:21" ht="15.75" customHeight="1" x14ac:dyDescent="0.25">
      <c r="U838" s="42"/>
    </row>
    <row r="839" spans="21:21" ht="15.75" customHeight="1" x14ac:dyDescent="0.25">
      <c r="U839" s="42"/>
    </row>
    <row r="840" spans="21:21" ht="15.75" customHeight="1" x14ac:dyDescent="0.25">
      <c r="U840" s="42"/>
    </row>
    <row r="841" spans="21:21" ht="15.75" customHeight="1" x14ac:dyDescent="0.25">
      <c r="U841" s="42"/>
    </row>
    <row r="842" spans="21:21" ht="15.75" customHeight="1" x14ac:dyDescent="0.25">
      <c r="U842" s="42"/>
    </row>
    <row r="843" spans="21:21" ht="15.75" customHeight="1" x14ac:dyDescent="0.25">
      <c r="U843" s="42"/>
    </row>
    <row r="844" spans="21:21" ht="15.75" customHeight="1" x14ac:dyDescent="0.25">
      <c r="U844" s="42"/>
    </row>
    <row r="845" spans="21:21" ht="15.75" customHeight="1" x14ac:dyDescent="0.25">
      <c r="U845" s="42"/>
    </row>
    <row r="846" spans="21:21" ht="15.75" customHeight="1" x14ac:dyDescent="0.25">
      <c r="U846" s="42"/>
    </row>
    <row r="847" spans="21:21" ht="15.75" customHeight="1" x14ac:dyDescent="0.25">
      <c r="U847" s="42"/>
    </row>
    <row r="848" spans="21:21" ht="15.75" customHeight="1" x14ac:dyDescent="0.25">
      <c r="U848" s="42"/>
    </row>
    <row r="849" spans="21:21" ht="15.75" customHeight="1" x14ac:dyDescent="0.25">
      <c r="U849" s="42"/>
    </row>
    <row r="850" spans="21:21" ht="15.75" customHeight="1" x14ac:dyDescent="0.25">
      <c r="U850" s="42"/>
    </row>
    <row r="851" spans="21:21" ht="15.75" customHeight="1" x14ac:dyDescent="0.25">
      <c r="U851" s="42"/>
    </row>
    <row r="852" spans="21:21" ht="15.75" customHeight="1" x14ac:dyDescent="0.25">
      <c r="U852" s="42"/>
    </row>
    <row r="853" spans="21:21" ht="15.75" customHeight="1" x14ac:dyDescent="0.25">
      <c r="U853" s="42"/>
    </row>
    <row r="854" spans="21:21" ht="15.75" customHeight="1" x14ac:dyDescent="0.25">
      <c r="U854" s="42"/>
    </row>
    <row r="855" spans="21:21" ht="15.75" customHeight="1" x14ac:dyDescent="0.25">
      <c r="U855" s="42"/>
    </row>
    <row r="856" spans="21:21" ht="15.75" customHeight="1" x14ac:dyDescent="0.25">
      <c r="U856" s="42"/>
    </row>
    <row r="857" spans="21:21" ht="15.75" customHeight="1" x14ac:dyDescent="0.25">
      <c r="U857" s="42"/>
    </row>
    <row r="858" spans="21:21" ht="15.75" customHeight="1" x14ac:dyDescent="0.25">
      <c r="U858" s="42"/>
    </row>
    <row r="859" spans="21:21" ht="15.75" customHeight="1" x14ac:dyDescent="0.25">
      <c r="U859" s="42"/>
    </row>
    <row r="860" spans="21:21" ht="15.75" customHeight="1" x14ac:dyDescent="0.25">
      <c r="U860" s="42"/>
    </row>
    <row r="861" spans="21:21" ht="15.75" customHeight="1" x14ac:dyDescent="0.25">
      <c r="U861" s="42"/>
    </row>
    <row r="862" spans="21:21" ht="15.75" customHeight="1" x14ac:dyDescent="0.25">
      <c r="U862" s="42"/>
    </row>
    <row r="863" spans="21:21" ht="15.75" customHeight="1" x14ac:dyDescent="0.25">
      <c r="U863" s="42"/>
    </row>
    <row r="864" spans="21:21" ht="15.75" customHeight="1" x14ac:dyDescent="0.25">
      <c r="U864" s="42"/>
    </row>
    <row r="865" spans="21:21" ht="15.75" customHeight="1" x14ac:dyDescent="0.25">
      <c r="U865" s="42"/>
    </row>
    <row r="866" spans="21:21" ht="15.75" customHeight="1" x14ac:dyDescent="0.25">
      <c r="U866" s="42"/>
    </row>
    <row r="867" spans="21:21" ht="15.75" customHeight="1" x14ac:dyDescent="0.25">
      <c r="U867" s="42"/>
    </row>
    <row r="868" spans="21:21" ht="15.75" customHeight="1" x14ac:dyDescent="0.25">
      <c r="U868" s="42"/>
    </row>
    <row r="869" spans="21:21" ht="15.75" customHeight="1" x14ac:dyDescent="0.25">
      <c r="U869" s="42"/>
    </row>
    <row r="870" spans="21:21" ht="15.75" customHeight="1" x14ac:dyDescent="0.25">
      <c r="U870" s="42"/>
    </row>
    <row r="871" spans="21:21" ht="15.75" customHeight="1" x14ac:dyDescent="0.25">
      <c r="U871" s="42"/>
    </row>
    <row r="872" spans="21:21" ht="15.75" customHeight="1" x14ac:dyDescent="0.25">
      <c r="U872" s="42"/>
    </row>
    <row r="873" spans="21:21" ht="15.75" customHeight="1" x14ac:dyDescent="0.25">
      <c r="U873" s="42"/>
    </row>
    <row r="874" spans="21:21" ht="15.75" customHeight="1" x14ac:dyDescent="0.25">
      <c r="U874" s="42"/>
    </row>
    <row r="875" spans="21:21" ht="15.75" customHeight="1" x14ac:dyDescent="0.25">
      <c r="U875" s="42"/>
    </row>
    <row r="876" spans="21:21" ht="15.75" customHeight="1" x14ac:dyDescent="0.25">
      <c r="U876" s="42"/>
    </row>
    <row r="877" spans="21:21" ht="15.75" customHeight="1" x14ac:dyDescent="0.25">
      <c r="U877" s="42"/>
    </row>
    <row r="878" spans="21:21" ht="15.75" customHeight="1" x14ac:dyDescent="0.25">
      <c r="U878" s="42"/>
    </row>
    <row r="879" spans="21:21" ht="15.75" customHeight="1" x14ac:dyDescent="0.25">
      <c r="U879" s="42"/>
    </row>
    <row r="880" spans="21:21" ht="15.75" customHeight="1" x14ac:dyDescent="0.25">
      <c r="U880" s="42"/>
    </row>
    <row r="881" spans="21:21" ht="15.75" customHeight="1" x14ac:dyDescent="0.25">
      <c r="U881" s="42"/>
    </row>
    <row r="882" spans="21:21" ht="15.75" customHeight="1" x14ac:dyDescent="0.25">
      <c r="U882" s="42"/>
    </row>
    <row r="883" spans="21:21" ht="15.75" customHeight="1" x14ac:dyDescent="0.25">
      <c r="U883" s="42"/>
    </row>
    <row r="884" spans="21:21" ht="15.75" customHeight="1" x14ac:dyDescent="0.25">
      <c r="U884" s="42"/>
    </row>
    <row r="885" spans="21:21" ht="15.75" customHeight="1" x14ac:dyDescent="0.25">
      <c r="U885" s="42"/>
    </row>
    <row r="886" spans="21:21" ht="15.75" customHeight="1" x14ac:dyDescent="0.25">
      <c r="U886" s="42"/>
    </row>
    <row r="887" spans="21:21" ht="15.75" customHeight="1" x14ac:dyDescent="0.25">
      <c r="U887" s="42"/>
    </row>
    <row r="888" spans="21:21" ht="15.75" customHeight="1" x14ac:dyDescent="0.25">
      <c r="U888" s="42"/>
    </row>
    <row r="889" spans="21:21" ht="15.75" customHeight="1" x14ac:dyDescent="0.25">
      <c r="U889" s="42"/>
    </row>
    <row r="890" spans="21:21" ht="15.75" customHeight="1" x14ac:dyDescent="0.25">
      <c r="U890" s="42"/>
    </row>
    <row r="891" spans="21:21" ht="15.75" customHeight="1" x14ac:dyDescent="0.25">
      <c r="U891" s="42"/>
    </row>
    <row r="892" spans="21:21" ht="15.75" customHeight="1" x14ac:dyDescent="0.25">
      <c r="U892" s="42"/>
    </row>
    <row r="893" spans="21:21" ht="15.75" customHeight="1" x14ac:dyDescent="0.25">
      <c r="U893" s="42"/>
    </row>
    <row r="894" spans="21:21" ht="15.75" customHeight="1" x14ac:dyDescent="0.25">
      <c r="U894" s="42"/>
    </row>
    <row r="895" spans="21:21" ht="15.75" customHeight="1" x14ac:dyDescent="0.25">
      <c r="U895" s="42"/>
    </row>
    <row r="896" spans="21:21" ht="15.75" customHeight="1" x14ac:dyDescent="0.25">
      <c r="U896" s="42"/>
    </row>
    <row r="897" spans="21:21" ht="15.75" customHeight="1" x14ac:dyDescent="0.25">
      <c r="U897" s="42"/>
    </row>
    <row r="898" spans="21:21" ht="15.75" customHeight="1" x14ac:dyDescent="0.25">
      <c r="U898" s="42"/>
    </row>
    <row r="899" spans="21:21" ht="15.75" customHeight="1" x14ac:dyDescent="0.25">
      <c r="U899" s="42"/>
    </row>
    <row r="900" spans="21:21" ht="15.75" customHeight="1" x14ac:dyDescent="0.25">
      <c r="U900" s="42"/>
    </row>
    <row r="901" spans="21:21" ht="15.75" customHeight="1" x14ac:dyDescent="0.25">
      <c r="U901" s="42"/>
    </row>
    <row r="902" spans="21:21" ht="15.75" customHeight="1" x14ac:dyDescent="0.25">
      <c r="U902" s="42"/>
    </row>
    <row r="903" spans="21:21" ht="15.75" customHeight="1" x14ac:dyDescent="0.25">
      <c r="U903" s="42"/>
    </row>
    <row r="904" spans="21:21" ht="15.75" customHeight="1" x14ac:dyDescent="0.25">
      <c r="U904" s="42"/>
    </row>
    <row r="905" spans="21:21" ht="15.75" customHeight="1" x14ac:dyDescent="0.25">
      <c r="U905" s="42"/>
    </row>
    <row r="906" spans="21:21" ht="15.75" customHeight="1" x14ac:dyDescent="0.25">
      <c r="U906" s="42"/>
    </row>
    <row r="907" spans="21:21" ht="15.75" customHeight="1" x14ac:dyDescent="0.25">
      <c r="U907" s="42"/>
    </row>
    <row r="908" spans="21:21" ht="15.75" customHeight="1" x14ac:dyDescent="0.25">
      <c r="U908" s="42"/>
    </row>
    <row r="909" spans="21:21" ht="15.75" customHeight="1" x14ac:dyDescent="0.25">
      <c r="U909" s="42"/>
    </row>
    <row r="910" spans="21:21" ht="15.75" customHeight="1" x14ac:dyDescent="0.25">
      <c r="U910" s="42"/>
    </row>
    <row r="911" spans="21:21" ht="15.75" customHeight="1" x14ac:dyDescent="0.25">
      <c r="U911" s="42"/>
    </row>
    <row r="912" spans="21:21" ht="15.75" customHeight="1" x14ac:dyDescent="0.25">
      <c r="U912" s="42"/>
    </row>
    <row r="913" spans="21:21" ht="15.75" customHeight="1" x14ac:dyDescent="0.25">
      <c r="U913" s="42"/>
    </row>
    <row r="914" spans="21:21" ht="15.75" customHeight="1" x14ac:dyDescent="0.25">
      <c r="U914" s="42"/>
    </row>
    <row r="915" spans="21:21" ht="15.75" customHeight="1" x14ac:dyDescent="0.25">
      <c r="U915" s="42"/>
    </row>
    <row r="916" spans="21:21" ht="15.75" customHeight="1" x14ac:dyDescent="0.25">
      <c r="U916" s="42"/>
    </row>
    <row r="917" spans="21:21" ht="15.75" customHeight="1" x14ac:dyDescent="0.25">
      <c r="U917" s="42"/>
    </row>
    <row r="918" spans="21:21" ht="15.75" customHeight="1" x14ac:dyDescent="0.25">
      <c r="U918" s="42"/>
    </row>
    <row r="919" spans="21:21" ht="15.75" customHeight="1" x14ac:dyDescent="0.25">
      <c r="U919" s="42"/>
    </row>
    <row r="920" spans="21:21" ht="15.75" customHeight="1" x14ac:dyDescent="0.25">
      <c r="U920" s="42"/>
    </row>
    <row r="921" spans="21:21" ht="15.75" customHeight="1" x14ac:dyDescent="0.25">
      <c r="U921" s="42"/>
    </row>
    <row r="922" spans="21:21" ht="15.75" customHeight="1" x14ac:dyDescent="0.25">
      <c r="U922" s="42"/>
    </row>
    <row r="923" spans="21:21" ht="15.75" customHeight="1" x14ac:dyDescent="0.25">
      <c r="U923" s="42"/>
    </row>
    <row r="924" spans="21:21" ht="15.75" customHeight="1" x14ac:dyDescent="0.25">
      <c r="U924" s="42"/>
    </row>
    <row r="925" spans="21:21" ht="15.75" customHeight="1" x14ac:dyDescent="0.25">
      <c r="U925" s="42"/>
    </row>
    <row r="926" spans="21:21" ht="15.75" customHeight="1" x14ac:dyDescent="0.25">
      <c r="U926" s="42"/>
    </row>
    <row r="927" spans="21:21" ht="15.75" customHeight="1" x14ac:dyDescent="0.25">
      <c r="U927" s="42"/>
    </row>
    <row r="928" spans="21:21" ht="15.75" customHeight="1" x14ac:dyDescent="0.25">
      <c r="U928" s="42"/>
    </row>
    <row r="929" spans="21:21" ht="15.75" customHeight="1" x14ac:dyDescent="0.25">
      <c r="U929" s="42"/>
    </row>
    <row r="930" spans="21:21" ht="15.75" customHeight="1" x14ac:dyDescent="0.25">
      <c r="U930" s="42"/>
    </row>
    <row r="931" spans="21:21" ht="15.75" customHeight="1" x14ac:dyDescent="0.25">
      <c r="U931" s="42"/>
    </row>
    <row r="932" spans="21:21" ht="15.75" customHeight="1" x14ac:dyDescent="0.25">
      <c r="U932" s="42"/>
    </row>
    <row r="933" spans="21:21" ht="15.75" customHeight="1" x14ac:dyDescent="0.25">
      <c r="U933" s="42"/>
    </row>
    <row r="934" spans="21:21" ht="15.75" customHeight="1" x14ac:dyDescent="0.25">
      <c r="U934" s="42"/>
    </row>
    <row r="935" spans="21:21" ht="15.75" customHeight="1" x14ac:dyDescent="0.25">
      <c r="U935" s="42"/>
    </row>
    <row r="936" spans="21:21" ht="15.75" customHeight="1" x14ac:dyDescent="0.25">
      <c r="U936" s="42"/>
    </row>
    <row r="937" spans="21:21" ht="15.75" customHeight="1" x14ac:dyDescent="0.25">
      <c r="U937" s="42"/>
    </row>
    <row r="938" spans="21:21" ht="15.75" customHeight="1" x14ac:dyDescent="0.25">
      <c r="U938" s="42"/>
    </row>
    <row r="939" spans="21:21" ht="15.75" customHeight="1" x14ac:dyDescent="0.25">
      <c r="U939" s="42"/>
    </row>
    <row r="940" spans="21:21" ht="15.75" customHeight="1" x14ac:dyDescent="0.25">
      <c r="U940" s="42"/>
    </row>
    <row r="941" spans="21:21" ht="15.75" customHeight="1" x14ac:dyDescent="0.25">
      <c r="U941" s="42"/>
    </row>
    <row r="942" spans="21:21" ht="15.75" customHeight="1" x14ac:dyDescent="0.25">
      <c r="U942" s="42"/>
    </row>
    <row r="943" spans="21:21" ht="15.75" customHeight="1" x14ac:dyDescent="0.25">
      <c r="U943" s="42"/>
    </row>
    <row r="944" spans="21:21" ht="15.75" customHeight="1" x14ac:dyDescent="0.25">
      <c r="U944" s="42"/>
    </row>
    <row r="945" spans="21:21" ht="15.75" customHeight="1" x14ac:dyDescent="0.25">
      <c r="U945" s="42"/>
    </row>
    <row r="946" spans="21:21" ht="15.75" customHeight="1" x14ac:dyDescent="0.25">
      <c r="U946" s="42"/>
    </row>
    <row r="947" spans="21:21" ht="15.75" customHeight="1" x14ac:dyDescent="0.25">
      <c r="U947" s="42"/>
    </row>
    <row r="948" spans="21:21" ht="15.75" customHeight="1" x14ac:dyDescent="0.25">
      <c r="U948" s="42"/>
    </row>
    <row r="949" spans="21:21" ht="15.75" customHeight="1" x14ac:dyDescent="0.25">
      <c r="U949" s="42"/>
    </row>
    <row r="950" spans="21:21" ht="15.75" customHeight="1" x14ac:dyDescent="0.25">
      <c r="U950" s="42"/>
    </row>
    <row r="951" spans="21:21" ht="15.75" customHeight="1" x14ac:dyDescent="0.25">
      <c r="U951" s="42"/>
    </row>
    <row r="952" spans="21:21" ht="15.75" customHeight="1" x14ac:dyDescent="0.25">
      <c r="U952" s="42"/>
    </row>
    <row r="953" spans="21:21" ht="15.75" customHeight="1" x14ac:dyDescent="0.25">
      <c r="U953" s="42"/>
    </row>
    <row r="954" spans="21:21" ht="15.75" customHeight="1" x14ac:dyDescent="0.25">
      <c r="U954" s="42"/>
    </row>
    <row r="955" spans="21:21" ht="15.75" customHeight="1" x14ac:dyDescent="0.25">
      <c r="U955" s="42"/>
    </row>
    <row r="956" spans="21:21" ht="15.75" customHeight="1" x14ac:dyDescent="0.25">
      <c r="U956" s="42"/>
    </row>
    <row r="957" spans="21:21" ht="15.75" customHeight="1" x14ac:dyDescent="0.25">
      <c r="U957" s="42"/>
    </row>
    <row r="958" spans="21:21" ht="15.75" customHeight="1" x14ac:dyDescent="0.25">
      <c r="U958" s="42"/>
    </row>
    <row r="959" spans="21:21" ht="15.75" customHeight="1" x14ac:dyDescent="0.25">
      <c r="U959" s="42"/>
    </row>
    <row r="960" spans="21:21" ht="15.75" customHeight="1" x14ac:dyDescent="0.25">
      <c r="U960" s="42"/>
    </row>
    <row r="961" spans="21:21" ht="15.75" customHeight="1" x14ac:dyDescent="0.25">
      <c r="U961" s="42"/>
    </row>
    <row r="962" spans="21:21" ht="15.75" customHeight="1" x14ac:dyDescent="0.25">
      <c r="U962" s="42"/>
    </row>
    <row r="963" spans="21:21" ht="15.75" customHeight="1" x14ac:dyDescent="0.25">
      <c r="U963" s="42"/>
    </row>
    <row r="964" spans="21:21" ht="15.75" customHeight="1" x14ac:dyDescent="0.25">
      <c r="U964" s="42"/>
    </row>
    <row r="965" spans="21:21" ht="15.75" customHeight="1" x14ac:dyDescent="0.25">
      <c r="U965" s="42"/>
    </row>
    <row r="966" spans="21:21" ht="15.75" customHeight="1" x14ac:dyDescent="0.25">
      <c r="U966" s="42"/>
    </row>
    <row r="967" spans="21:21" ht="15.75" customHeight="1" x14ac:dyDescent="0.25">
      <c r="U967" s="42"/>
    </row>
    <row r="968" spans="21:21" ht="15.75" customHeight="1" x14ac:dyDescent="0.25">
      <c r="U968" s="42"/>
    </row>
    <row r="969" spans="21:21" ht="15.75" customHeight="1" x14ac:dyDescent="0.25">
      <c r="U969" s="42"/>
    </row>
    <row r="970" spans="21:21" ht="15.75" customHeight="1" x14ac:dyDescent="0.25">
      <c r="U970" s="42"/>
    </row>
    <row r="971" spans="21:21" ht="15.75" customHeight="1" x14ac:dyDescent="0.25">
      <c r="U971" s="42"/>
    </row>
    <row r="972" spans="21:21" ht="15.75" customHeight="1" x14ac:dyDescent="0.25">
      <c r="U972" s="42"/>
    </row>
    <row r="973" spans="21:21" ht="15.75" customHeight="1" x14ac:dyDescent="0.25">
      <c r="U973" s="42"/>
    </row>
    <row r="974" spans="21:21" ht="15.75" customHeight="1" x14ac:dyDescent="0.25">
      <c r="U974" s="42"/>
    </row>
    <row r="975" spans="21:21" ht="15.75" customHeight="1" x14ac:dyDescent="0.25">
      <c r="U975" s="42"/>
    </row>
    <row r="976" spans="21:21" ht="15.75" customHeight="1" x14ac:dyDescent="0.25">
      <c r="U976" s="42"/>
    </row>
    <row r="977" spans="21:21" ht="15.75" customHeight="1" x14ac:dyDescent="0.25">
      <c r="U977" s="42"/>
    </row>
    <row r="978" spans="21:21" ht="15.75" customHeight="1" x14ac:dyDescent="0.25">
      <c r="U978" s="42"/>
    </row>
    <row r="979" spans="21:21" ht="15.75" customHeight="1" x14ac:dyDescent="0.25">
      <c r="U979" s="42"/>
    </row>
    <row r="980" spans="21:21" ht="15.75" customHeight="1" x14ac:dyDescent="0.25">
      <c r="U980" s="42"/>
    </row>
    <row r="981" spans="21:21" ht="15.75" customHeight="1" x14ac:dyDescent="0.25">
      <c r="U981" s="42"/>
    </row>
    <row r="982" spans="21:21" ht="15.75" customHeight="1" x14ac:dyDescent="0.25">
      <c r="U982" s="42"/>
    </row>
    <row r="983" spans="21:21" ht="15.75" customHeight="1" x14ac:dyDescent="0.25">
      <c r="U983" s="42"/>
    </row>
    <row r="984" spans="21:21" ht="15.75" customHeight="1" x14ac:dyDescent="0.25">
      <c r="U984" s="42"/>
    </row>
    <row r="985" spans="21:21" ht="15.75" customHeight="1" x14ac:dyDescent="0.25">
      <c r="U985" s="42"/>
    </row>
    <row r="986" spans="21:21" ht="15.75" customHeight="1" x14ac:dyDescent="0.25">
      <c r="U986" s="42"/>
    </row>
    <row r="987" spans="21:21" ht="15.75" customHeight="1" x14ac:dyDescent="0.25">
      <c r="U987" s="42"/>
    </row>
    <row r="988" spans="21:21" ht="15.75" customHeight="1" x14ac:dyDescent="0.25">
      <c r="U988" s="42"/>
    </row>
    <row r="989" spans="21:21" ht="15.75" customHeight="1" x14ac:dyDescent="0.25">
      <c r="U989" s="42"/>
    </row>
    <row r="990" spans="21:21" ht="15.75" customHeight="1" x14ac:dyDescent="0.25">
      <c r="U990" s="42"/>
    </row>
    <row r="991" spans="21:21" ht="15.75" customHeight="1" x14ac:dyDescent="0.25">
      <c r="U991" s="42"/>
    </row>
    <row r="992" spans="21:21" ht="15.75" customHeight="1" x14ac:dyDescent="0.25">
      <c r="U992" s="42"/>
    </row>
    <row r="993" spans="21:21" ht="15.75" customHeight="1" x14ac:dyDescent="0.25">
      <c r="U993" s="42"/>
    </row>
    <row r="994" spans="21:21" ht="15.75" customHeight="1" x14ac:dyDescent="0.25">
      <c r="U994" s="42"/>
    </row>
    <row r="995" spans="21:21" ht="15.75" customHeight="1" x14ac:dyDescent="0.25">
      <c r="U995" s="42"/>
    </row>
    <row r="996" spans="21:21" ht="15.75" customHeight="1" x14ac:dyDescent="0.25">
      <c r="U996" s="42"/>
    </row>
    <row r="997" spans="21:21" ht="15.75" customHeight="1" x14ac:dyDescent="0.25">
      <c r="U997" s="42"/>
    </row>
  </sheetData>
  <autoFilter ref="A11:V32" xr:uid="{00000000-0009-0000-0000-000005000000}"/>
  <mergeCells count="33">
    <mergeCell ref="G34:J34"/>
    <mergeCell ref="N34:Q34"/>
    <mergeCell ref="C35:E35"/>
    <mergeCell ref="G35:J35"/>
    <mergeCell ref="E41:G41"/>
    <mergeCell ref="N41:Q41"/>
    <mergeCell ref="G40:J40"/>
    <mergeCell ref="B41:C41"/>
    <mergeCell ref="A35:B35"/>
    <mergeCell ref="A36:B36"/>
    <mergeCell ref="A37:B37"/>
    <mergeCell ref="A38:B38"/>
    <mergeCell ref="C40:E40"/>
    <mergeCell ref="A26:E26"/>
    <mergeCell ref="A29:S29"/>
    <mergeCell ref="A30:S30"/>
    <mergeCell ref="A31:S31"/>
    <mergeCell ref="A32:S32"/>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61"/>
      <c r="B1" s="162"/>
      <c r="C1" s="162"/>
      <c r="D1" s="162"/>
      <c r="E1" s="163"/>
      <c r="F1" s="162"/>
      <c r="G1" s="161"/>
      <c r="H1" s="161"/>
      <c r="I1" s="161"/>
      <c r="J1" s="161"/>
      <c r="K1" s="161"/>
      <c r="L1" s="161"/>
      <c r="M1" s="161"/>
      <c r="N1" s="161"/>
      <c r="O1" s="161"/>
      <c r="P1" s="161"/>
      <c r="Q1" s="161"/>
      <c r="R1" s="161"/>
      <c r="S1" s="145"/>
      <c r="T1" s="201"/>
      <c r="U1" s="145"/>
      <c r="V1" s="145"/>
      <c r="W1" s="145"/>
      <c r="X1" s="145"/>
      <c r="Y1" s="145"/>
      <c r="Z1" s="145"/>
    </row>
    <row r="2" spans="1:26" ht="17.25" customHeight="1" x14ac:dyDescent="0.25">
      <c r="A2" s="574" t="s">
        <v>126</v>
      </c>
      <c r="B2" s="504"/>
      <c r="C2" s="504"/>
      <c r="D2" s="504"/>
      <c r="E2" s="504"/>
      <c r="F2" s="504"/>
      <c r="G2" s="504"/>
      <c r="H2" s="504"/>
      <c r="I2" s="504"/>
      <c r="J2" s="504"/>
      <c r="K2" s="504"/>
      <c r="L2" s="504"/>
      <c r="M2" s="504"/>
      <c r="N2" s="504"/>
      <c r="O2" s="504"/>
      <c r="P2" s="504"/>
      <c r="Q2" s="504"/>
      <c r="R2" s="505"/>
      <c r="S2" s="145"/>
      <c r="T2" s="201"/>
      <c r="U2" s="145"/>
      <c r="V2" s="145"/>
      <c r="W2" s="145"/>
      <c r="X2" s="145"/>
      <c r="Y2" s="145"/>
      <c r="Z2" s="145"/>
    </row>
    <row r="3" spans="1:26" ht="17.25" customHeight="1" x14ac:dyDescent="0.25">
      <c r="A3" s="508"/>
      <c r="B3" s="509"/>
      <c r="C3" s="509"/>
      <c r="D3" s="509"/>
      <c r="E3" s="509"/>
      <c r="F3" s="509"/>
      <c r="G3" s="509"/>
      <c r="H3" s="509"/>
      <c r="I3" s="509"/>
      <c r="J3" s="509"/>
      <c r="K3" s="509"/>
      <c r="L3" s="509"/>
      <c r="M3" s="509"/>
      <c r="N3" s="509"/>
      <c r="O3" s="509"/>
      <c r="P3" s="509"/>
      <c r="Q3" s="509"/>
      <c r="R3" s="510"/>
      <c r="S3" s="145"/>
      <c r="T3" s="201"/>
      <c r="U3" s="145"/>
      <c r="V3" s="145"/>
      <c r="W3" s="145"/>
      <c r="X3" s="145"/>
      <c r="Y3" s="145"/>
      <c r="Z3" s="145"/>
    </row>
    <row r="4" spans="1:26" ht="21.75" customHeight="1" x14ac:dyDescent="0.25">
      <c r="A4" s="578" t="s">
        <v>1</v>
      </c>
      <c r="B4" s="578" t="s">
        <v>129</v>
      </c>
      <c r="C4" s="578" t="s">
        <v>95</v>
      </c>
      <c r="D4" s="578" t="s">
        <v>130</v>
      </c>
      <c r="E4" s="578" t="s">
        <v>41</v>
      </c>
      <c r="F4" s="578" t="s">
        <v>131</v>
      </c>
      <c r="G4" s="604" t="s">
        <v>159</v>
      </c>
      <c r="H4" s="605" t="s">
        <v>160</v>
      </c>
      <c r="I4" s="603" t="s">
        <v>159</v>
      </c>
      <c r="J4" s="145"/>
      <c r="K4" s="145"/>
      <c r="L4" s="145"/>
      <c r="M4" s="145"/>
      <c r="N4" s="145"/>
      <c r="O4" s="145"/>
      <c r="P4" s="145"/>
      <c r="Q4" s="145"/>
      <c r="R4" s="145"/>
      <c r="S4" s="145"/>
      <c r="T4" s="145"/>
      <c r="U4" s="145"/>
      <c r="V4" s="145"/>
      <c r="W4" s="145"/>
      <c r="X4" s="145"/>
      <c r="Y4" s="145"/>
      <c r="Z4" s="145"/>
    </row>
    <row r="5" spans="1:26" ht="33.75" customHeight="1" x14ac:dyDescent="0.25">
      <c r="A5" s="602"/>
      <c r="B5" s="602"/>
      <c r="C5" s="602"/>
      <c r="D5" s="602"/>
      <c r="E5" s="602"/>
      <c r="F5" s="602"/>
      <c r="G5" s="602"/>
      <c r="H5" s="602"/>
      <c r="I5" s="602"/>
      <c r="J5" s="145"/>
      <c r="K5" s="145"/>
      <c r="L5" s="145"/>
      <c r="M5" s="145"/>
      <c r="N5" s="145"/>
      <c r="O5" s="145"/>
      <c r="P5" s="145"/>
      <c r="Q5" s="145"/>
      <c r="R5" s="145"/>
      <c r="S5" s="145"/>
      <c r="T5" s="145"/>
      <c r="U5" s="145"/>
      <c r="V5" s="145"/>
      <c r="W5" s="145"/>
      <c r="X5" s="145"/>
      <c r="Y5" s="145"/>
      <c r="Z5" s="145"/>
    </row>
    <row r="6" spans="1:26" ht="27" customHeight="1" x14ac:dyDescent="0.25">
      <c r="A6" s="569"/>
      <c r="B6" s="569"/>
      <c r="C6" s="569"/>
      <c r="D6" s="569"/>
      <c r="E6" s="569"/>
      <c r="F6" s="569"/>
      <c r="G6" s="569"/>
      <c r="H6" s="569"/>
      <c r="I6" s="569"/>
      <c r="J6" s="145"/>
      <c r="K6" s="145"/>
      <c r="L6" s="145"/>
      <c r="M6" s="145"/>
      <c r="N6" s="145"/>
      <c r="O6" s="145"/>
      <c r="P6" s="145"/>
      <c r="Q6" s="145"/>
      <c r="R6" s="145"/>
      <c r="S6" s="145"/>
      <c r="T6" s="145"/>
      <c r="U6" s="145"/>
      <c r="V6" s="145"/>
      <c r="W6" s="145"/>
      <c r="X6" s="145"/>
      <c r="Y6" s="145"/>
      <c r="Z6" s="145"/>
    </row>
    <row r="7" spans="1:26" ht="37.5" customHeight="1" x14ac:dyDescent="0.25">
      <c r="A7" s="177">
        <f t="shared" ref="A7:A8" si="0">SUBTOTAL(3,$C$7:C7)</f>
        <v>1</v>
      </c>
      <c r="B7" s="117" t="s">
        <v>103</v>
      </c>
      <c r="C7" s="117" t="s">
        <v>161</v>
      </c>
      <c r="D7" s="37" t="s">
        <v>49</v>
      </c>
      <c r="E7" s="38" t="s">
        <v>50</v>
      </c>
      <c r="F7" s="188"/>
      <c r="G7" s="180">
        <f>I7/90%</f>
        <v>3333333.333333333</v>
      </c>
      <c r="H7" s="202">
        <f t="shared" ref="H7:H8" si="1">G7*10%</f>
        <v>333333.33333333331</v>
      </c>
      <c r="I7" s="180">
        <v>3000000</v>
      </c>
      <c r="J7" s="203"/>
      <c r="K7" s="156"/>
      <c r="L7" s="156"/>
      <c r="M7" s="156"/>
      <c r="N7" s="156"/>
      <c r="O7" s="156"/>
      <c r="P7" s="156"/>
      <c r="Q7" s="156"/>
      <c r="R7" s="156"/>
      <c r="S7" s="156"/>
      <c r="T7" s="156"/>
      <c r="U7" s="156"/>
      <c r="V7" s="156"/>
      <c r="W7" s="156"/>
      <c r="X7" s="156"/>
      <c r="Y7" s="156"/>
      <c r="Z7" s="156"/>
    </row>
    <row r="8" spans="1:26" ht="37.5" customHeight="1" x14ac:dyDescent="0.25">
      <c r="A8" s="177">
        <f t="shared" si="0"/>
        <v>2</v>
      </c>
      <c r="B8" s="117" t="s">
        <v>103</v>
      </c>
      <c r="C8" s="117" t="s">
        <v>161</v>
      </c>
      <c r="D8" s="37" t="s">
        <v>162</v>
      </c>
      <c r="E8" s="38" t="s">
        <v>163</v>
      </c>
      <c r="F8" s="188"/>
      <c r="G8" s="180">
        <v>13333333</v>
      </c>
      <c r="H8" s="202">
        <f t="shared" si="1"/>
        <v>1333333.3</v>
      </c>
      <c r="I8" s="180">
        <v>12000000</v>
      </c>
      <c r="J8" s="203"/>
      <c r="K8" s="156"/>
      <c r="L8" s="156"/>
      <c r="M8" s="156"/>
      <c r="N8" s="156"/>
      <c r="O8" s="156"/>
      <c r="P8" s="156"/>
      <c r="Q8" s="156"/>
      <c r="R8" s="156"/>
      <c r="S8" s="156"/>
      <c r="T8" s="156"/>
      <c r="U8" s="156"/>
      <c r="V8" s="156"/>
      <c r="W8" s="156"/>
      <c r="X8" s="156"/>
      <c r="Y8" s="156"/>
      <c r="Z8" s="156"/>
    </row>
    <row r="9" spans="1:26" ht="30" customHeight="1" x14ac:dyDescent="0.25">
      <c r="A9" s="606" t="s">
        <v>51</v>
      </c>
      <c r="B9" s="535"/>
      <c r="C9" s="535"/>
      <c r="D9" s="535"/>
      <c r="E9" s="536"/>
      <c r="F9" s="2"/>
      <c r="G9" s="204">
        <f t="shared" ref="G9:I9" si="2">SUM(G7)</f>
        <v>3333333.333333333</v>
      </c>
      <c r="H9" s="204">
        <f t="shared" si="2"/>
        <v>333333.33333333331</v>
      </c>
      <c r="I9" s="204">
        <f t="shared" si="2"/>
        <v>3000000</v>
      </c>
      <c r="J9" s="201"/>
      <c r="K9" s="145"/>
      <c r="L9" s="145"/>
      <c r="M9" s="145"/>
      <c r="N9" s="145"/>
      <c r="O9" s="145"/>
      <c r="P9" s="145"/>
      <c r="Q9" s="145"/>
      <c r="R9" s="145"/>
      <c r="S9" s="145"/>
      <c r="T9" s="145"/>
      <c r="U9" s="145"/>
      <c r="V9" s="145"/>
      <c r="W9" s="145"/>
      <c r="X9" s="145"/>
      <c r="Y9" s="145"/>
      <c r="Z9" s="145"/>
    </row>
    <row r="10" spans="1:26" ht="15.75" customHeight="1" x14ac:dyDescent="0.3">
      <c r="A10" s="40"/>
      <c r="B10" s="40"/>
      <c r="C10" s="40"/>
      <c r="D10" s="40"/>
      <c r="E10" s="40"/>
      <c r="F10" s="39"/>
      <c r="G10" s="167"/>
      <c r="H10" s="167"/>
      <c r="I10" s="189"/>
      <c r="J10" s="189"/>
      <c r="K10" s="189"/>
      <c r="L10" s="189"/>
      <c r="M10" s="189"/>
      <c r="N10" s="190"/>
      <c r="O10" s="191"/>
      <c r="P10" s="192" t="e">
        <f>+#REF!/Q10</f>
        <v>#REF!</v>
      </c>
      <c r="Q10" s="193">
        <v>2500000000</v>
      </c>
      <c r="R10" s="193"/>
      <c r="S10" s="145"/>
      <c r="T10" s="201"/>
      <c r="U10" s="145"/>
      <c r="V10" s="145"/>
      <c r="W10" s="145"/>
      <c r="X10" s="145"/>
      <c r="Y10" s="145"/>
      <c r="Z10" s="145"/>
    </row>
    <row r="11" spans="1:26" ht="15.75" customHeight="1" x14ac:dyDescent="0.3">
      <c r="A11" s="40"/>
      <c r="B11" s="40"/>
      <c r="C11" s="40"/>
      <c r="D11" s="40"/>
      <c r="E11" s="40"/>
      <c r="F11" s="39"/>
      <c r="G11" s="167"/>
      <c r="H11" s="167"/>
      <c r="I11" s="189"/>
      <c r="J11" s="189"/>
      <c r="K11" s="189"/>
      <c r="L11" s="189"/>
      <c r="M11" s="189"/>
      <c r="N11" s="194"/>
      <c r="O11" s="40"/>
      <c r="P11" s="40"/>
      <c r="Q11" s="189"/>
      <c r="R11" s="189"/>
      <c r="S11" s="145"/>
      <c r="T11" s="201"/>
      <c r="U11" s="145"/>
      <c r="V11" s="145"/>
      <c r="W11" s="145"/>
      <c r="X11" s="145"/>
      <c r="Y11" s="145"/>
      <c r="Z11" s="145"/>
    </row>
    <row r="12" spans="1:26" ht="15.75" customHeight="1" x14ac:dyDescent="0.3">
      <c r="A12" s="196"/>
      <c r="B12" s="197"/>
      <c r="C12" s="197"/>
      <c r="D12" s="197"/>
      <c r="E12" s="197"/>
      <c r="F12" s="197"/>
      <c r="G12" s="596" t="s">
        <v>164</v>
      </c>
      <c r="H12" s="476"/>
      <c r="I12" s="476"/>
      <c r="J12" s="476"/>
      <c r="K12" s="190"/>
      <c r="L12" s="190"/>
      <c r="M12" s="597"/>
      <c r="N12" s="476"/>
      <c r="O12" s="476"/>
      <c r="P12" s="476"/>
      <c r="Q12" s="198"/>
      <c r="R12" s="198"/>
      <c r="S12" s="145"/>
      <c r="T12" s="201"/>
      <c r="U12" s="145"/>
      <c r="V12" s="145"/>
      <c r="W12" s="145"/>
      <c r="X12" s="145"/>
      <c r="Y12" s="145"/>
      <c r="Z12" s="145"/>
    </row>
    <row r="13" spans="1:26" ht="15.75" customHeight="1" x14ac:dyDescent="0.3">
      <c r="A13" s="601"/>
      <c r="B13" s="476"/>
      <c r="C13" s="598"/>
      <c r="D13" s="476"/>
      <c r="E13" s="476"/>
      <c r="F13" s="145"/>
      <c r="G13" s="599" t="s">
        <v>38</v>
      </c>
      <c r="H13" s="476"/>
      <c r="I13" s="476"/>
      <c r="J13" s="476"/>
      <c r="K13" s="199"/>
      <c r="L13" s="199"/>
      <c r="M13" s="189"/>
      <c r="N13" s="194"/>
      <c r="O13" s="40"/>
      <c r="P13" s="40"/>
      <c r="Q13" s="189"/>
      <c r="R13" s="189"/>
      <c r="S13" s="145"/>
      <c r="T13" s="201"/>
      <c r="U13" s="145"/>
      <c r="V13" s="145"/>
      <c r="W13" s="145"/>
      <c r="X13" s="145"/>
      <c r="Y13" s="145"/>
      <c r="Z13" s="145"/>
    </row>
    <row r="14" spans="1:26" ht="15.75" customHeight="1" x14ac:dyDescent="0.3">
      <c r="A14" s="601"/>
      <c r="B14" s="476"/>
      <c r="C14" s="197"/>
      <c r="D14" s="197"/>
      <c r="E14" s="205">
        <f>G8*90%</f>
        <v>11999999.700000001</v>
      </c>
      <c r="F14" s="197"/>
      <c r="G14" s="190"/>
      <c r="H14" s="190"/>
      <c r="I14" s="190"/>
      <c r="J14" s="190"/>
      <c r="K14" s="190"/>
      <c r="L14" s="190"/>
      <c r="M14" s="189"/>
      <c r="N14" s="194"/>
      <c r="O14" s="40"/>
      <c r="P14" s="40"/>
      <c r="Q14" s="189"/>
      <c r="R14" s="189"/>
      <c r="S14" s="145"/>
      <c r="T14" s="201"/>
      <c r="U14" s="145"/>
      <c r="V14" s="145"/>
      <c r="W14" s="145"/>
      <c r="X14" s="145"/>
      <c r="Y14" s="145"/>
      <c r="Z14" s="145"/>
    </row>
    <row r="15" spans="1:26" ht="15.75" customHeight="1" x14ac:dyDescent="0.3">
      <c r="A15" s="601"/>
      <c r="B15" s="476"/>
      <c r="C15" s="197"/>
      <c r="D15" s="197"/>
      <c r="E15" s="197"/>
      <c r="F15" s="197"/>
      <c r="G15" s="190"/>
      <c r="H15" s="190"/>
      <c r="I15" s="190"/>
      <c r="J15" s="190"/>
      <c r="K15" s="190"/>
      <c r="L15" s="190"/>
      <c r="M15" s="189"/>
      <c r="N15" s="194"/>
      <c r="O15" s="40"/>
      <c r="P15" s="40"/>
      <c r="Q15" s="189"/>
      <c r="R15" s="189"/>
      <c r="S15" s="145"/>
      <c r="T15" s="201"/>
      <c r="U15" s="145"/>
      <c r="V15" s="145"/>
      <c r="W15" s="145"/>
      <c r="X15" s="145"/>
      <c r="Y15" s="145"/>
      <c r="Z15" s="145"/>
    </row>
    <row r="16" spans="1:26" ht="15.75" customHeight="1" x14ac:dyDescent="0.3">
      <c r="A16" s="601"/>
      <c r="B16" s="476"/>
      <c r="C16" s="197"/>
      <c r="D16" s="197"/>
      <c r="E16" s="197"/>
      <c r="F16" s="197"/>
      <c r="G16" s="190"/>
      <c r="H16" s="190"/>
      <c r="I16" s="190"/>
      <c r="J16" s="190"/>
      <c r="K16" s="190"/>
      <c r="L16" s="190"/>
      <c r="M16" s="189"/>
      <c r="N16" s="194"/>
      <c r="O16" s="40"/>
      <c r="P16" s="40"/>
      <c r="Q16" s="189"/>
      <c r="R16" s="189"/>
      <c r="S16" s="145"/>
      <c r="T16" s="201"/>
      <c r="U16" s="145"/>
      <c r="V16" s="145"/>
      <c r="W16" s="145"/>
      <c r="X16" s="145"/>
      <c r="Y16" s="145"/>
      <c r="Z16" s="145"/>
    </row>
    <row r="17" spans="1:26" ht="15.75" customHeight="1" x14ac:dyDescent="0.3">
      <c r="A17" s="197"/>
      <c r="B17" s="197"/>
      <c r="C17" s="197"/>
      <c r="D17" s="197"/>
      <c r="E17" s="197"/>
      <c r="F17" s="197"/>
      <c r="G17" s="190"/>
      <c r="H17" s="190"/>
      <c r="I17" s="190"/>
      <c r="J17" s="190"/>
      <c r="K17" s="190"/>
      <c r="L17" s="190"/>
      <c r="M17" s="189"/>
      <c r="N17" s="194"/>
      <c r="O17" s="40"/>
      <c r="P17" s="40"/>
      <c r="Q17" s="189"/>
      <c r="R17" s="189"/>
      <c r="S17" s="145"/>
      <c r="T17" s="201"/>
      <c r="U17" s="145"/>
      <c r="V17" s="145"/>
      <c r="W17" s="145"/>
      <c r="X17" s="145"/>
      <c r="Y17" s="145"/>
      <c r="Z17" s="145"/>
    </row>
    <row r="18" spans="1:26" ht="15.75" customHeight="1" x14ac:dyDescent="0.3">
      <c r="A18" s="145"/>
      <c r="B18" s="197"/>
      <c r="C18" s="598"/>
      <c r="D18" s="476"/>
      <c r="E18" s="476"/>
      <c r="F18" s="145"/>
      <c r="G18" s="599" t="s">
        <v>39</v>
      </c>
      <c r="H18" s="476"/>
      <c r="I18" s="476"/>
      <c r="J18" s="476"/>
      <c r="K18" s="190"/>
      <c r="L18" s="190"/>
      <c r="M18" s="189"/>
      <c r="N18" s="194"/>
      <c r="O18" s="40"/>
      <c r="P18" s="40"/>
      <c r="Q18" s="189"/>
      <c r="R18" s="189"/>
      <c r="S18" s="145"/>
      <c r="T18" s="201"/>
      <c r="U18" s="145"/>
      <c r="V18" s="145"/>
      <c r="W18" s="145"/>
      <c r="X18" s="145"/>
      <c r="Y18" s="145"/>
      <c r="Z18" s="145"/>
    </row>
    <row r="19" spans="1:26" ht="15.75" customHeight="1" x14ac:dyDescent="0.3">
      <c r="A19" s="47"/>
      <c r="B19" s="600"/>
      <c r="C19" s="476"/>
      <c r="D19" s="145"/>
      <c r="E19" s="600"/>
      <c r="F19" s="476"/>
      <c r="G19" s="476"/>
      <c r="H19" s="200"/>
      <c r="I19" s="198"/>
      <c r="J19" s="198"/>
      <c r="K19" s="198"/>
      <c r="L19" s="198"/>
      <c r="M19" s="597"/>
      <c r="N19" s="476"/>
      <c r="O19" s="476"/>
      <c r="P19" s="476"/>
      <c r="Q19" s="198"/>
      <c r="R19" s="198"/>
      <c r="S19" s="145"/>
      <c r="T19" s="201"/>
      <c r="U19" s="145"/>
      <c r="V19" s="145"/>
      <c r="W19" s="145"/>
      <c r="X19" s="145"/>
      <c r="Y19" s="145"/>
      <c r="Z19" s="145"/>
    </row>
    <row r="20" spans="1:26" ht="13.2" x14ac:dyDescent="0.25">
      <c r="A20" s="145"/>
      <c r="B20" s="145"/>
      <c r="C20" s="145"/>
      <c r="D20" s="145"/>
      <c r="E20" s="145"/>
      <c r="F20" s="145"/>
      <c r="G20" s="145"/>
      <c r="H20" s="145"/>
      <c r="I20" s="145"/>
      <c r="J20" s="145"/>
      <c r="K20" s="145"/>
      <c r="L20" s="145"/>
      <c r="M20" s="145"/>
      <c r="N20" s="145"/>
      <c r="O20" s="145"/>
      <c r="P20" s="145"/>
      <c r="Q20" s="145"/>
      <c r="R20" s="145"/>
      <c r="S20" s="145"/>
      <c r="T20" s="201"/>
      <c r="U20" s="145"/>
      <c r="V20" s="145"/>
      <c r="W20" s="145"/>
      <c r="X20" s="145"/>
      <c r="Y20" s="145"/>
      <c r="Z20" s="145"/>
    </row>
    <row r="21" spans="1:26" ht="15.75" customHeight="1" x14ac:dyDescent="0.25">
      <c r="A21" s="145"/>
      <c r="B21" s="145"/>
      <c r="C21" s="145"/>
      <c r="D21" s="145"/>
      <c r="E21" s="145"/>
      <c r="F21" s="145"/>
      <c r="G21" s="145"/>
      <c r="H21" s="145"/>
      <c r="I21" s="145"/>
      <c r="J21" s="145"/>
      <c r="K21" s="145"/>
      <c r="L21" s="145"/>
      <c r="M21" s="145"/>
      <c r="N21" s="145"/>
      <c r="O21" s="145"/>
      <c r="P21" s="145"/>
      <c r="Q21" s="145"/>
      <c r="R21" s="145"/>
      <c r="S21" s="145"/>
      <c r="T21" s="201"/>
      <c r="U21" s="145"/>
      <c r="V21" s="145"/>
      <c r="W21" s="145"/>
      <c r="X21" s="145"/>
      <c r="Y21" s="145"/>
      <c r="Z21" s="145"/>
    </row>
    <row r="22" spans="1:26" ht="15.75" customHeight="1" x14ac:dyDescent="0.25">
      <c r="A22" s="145"/>
      <c r="B22" s="145"/>
      <c r="C22" s="145"/>
      <c r="D22" s="145"/>
      <c r="E22" s="145"/>
      <c r="F22" s="145"/>
      <c r="G22" s="145"/>
      <c r="H22" s="145"/>
      <c r="I22" s="145"/>
      <c r="J22" s="145"/>
      <c r="K22" s="145"/>
      <c r="L22" s="145"/>
      <c r="M22" s="145"/>
      <c r="N22" s="145"/>
      <c r="O22" s="145"/>
      <c r="P22" s="145"/>
      <c r="Q22" s="145"/>
      <c r="R22" s="145"/>
      <c r="S22" s="145"/>
      <c r="T22" s="201"/>
      <c r="U22" s="145"/>
      <c r="V22" s="145"/>
      <c r="W22" s="145"/>
      <c r="X22" s="145"/>
      <c r="Y22" s="145"/>
      <c r="Z22" s="145"/>
    </row>
    <row r="23" spans="1:26" ht="15.75" customHeight="1" x14ac:dyDescent="0.25">
      <c r="A23" s="145"/>
      <c r="B23" s="145"/>
      <c r="C23" s="145"/>
      <c r="D23" s="145"/>
      <c r="E23" s="145"/>
      <c r="F23" s="145"/>
      <c r="G23" s="145"/>
      <c r="H23" s="145"/>
      <c r="I23" s="145"/>
      <c r="J23" s="145"/>
      <c r="K23" s="145"/>
      <c r="L23" s="145"/>
      <c r="M23" s="145"/>
      <c r="N23" s="145"/>
      <c r="O23" s="145"/>
      <c r="P23" s="145"/>
      <c r="Q23" s="145"/>
      <c r="R23" s="145"/>
      <c r="S23" s="145"/>
      <c r="T23" s="201"/>
      <c r="U23" s="145"/>
      <c r="V23" s="145"/>
      <c r="W23" s="145"/>
      <c r="X23" s="145"/>
      <c r="Y23" s="145"/>
      <c r="Z23" s="145"/>
    </row>
    <row r="24" spans="1:26" ht="15.75" customHeight="1" x14ac:dyDescent="0.25">
      <c r="A24" s="145"/>
      <c r="B24" s="145"/>
      <c r="C24" s="145"/>
      <c r="D24" s="145"/>
      <c r="E24" s="145"/>
      <c r="F24" s="145"/>
      <c r="G24" s="145"/>
      <c r="H24" s="145"/>
      <c r="I24" s="145"/>
      <c r="J24" s="145"/>
      <c r="K24" s="145"/>
      <c r="L24" s="145"/>
      <c r="M24" s="145"/>
      <c r="N24" s="145"/>
      <c r="O24" s="145"/>
      <c r="P24" s="145"/>
      <c r="Q24" s="145"/>
      <c r="R24" s="145"/>
      <c r="S24" s="145"/>
      <c r="T24" s="201"/>
      <c r="U24" s="145"/>
      <c r="V24" s="145"/>
      <c r="W24" s="145"/>
      <c r="X24" s="145"/>
      <c r="Y24" s="145"/>
      <c r="Z24" s="145"/>
    </row>
    <row r="25" spans="1:26" ht="15.75" customHeight="1" x14ac:dyDescent="0.25">
      <c r="A25" s="145"/>
      <c r="B25" s="145"/>
      <c r="C25" s="145"/>
      <c r="D25" s="145"/>
      <c r="E25" s="145"/>
      <c r="F25" s="145"/>
      <c r="G25" s="145"/>
      <c r="H25" s="145"/>
      <c r="I25" s="145"/>
      <c r="J25" s="145"/>
      <c r="K25" s="145"/>
      <c r="L25" s="145"/>
      <c r="M25" s="145"/>
      <c r="N25" s="145"/>
      <c r="O25" s="145"/>
      <c r="P25" s="145"/>
      <c r="Q25" s="145"/>
      <c r="R25" s="145"/>
      <c r="S25" s="145"/>
      <c r="T25" s="201"/>
      <c r="U25" s="145"/>
      <c r="V25" s="145"/>
      <c r="W25" s="145"/>
      <c r="X25" s="145"/>
      <c r="Y25" s="145"/>
      <c r="Z25" s="145"/>
    </row>
    <row r="26" spans="1:26" ht="15.75" customHeight="1" x14ac:dyDescent="0.25">
      <c r="A26" s="145"/>
      <c r="B26" s="145"/>
      <c r="C26" s="145"/>
      <c r="D26" s="145"/>
      <c r="E26" s="145"/>
      <c r="F26" s="145"/>
      <c r="G26" s="145"/>
      <c r="H26" s="145"/>
      <c r="I26" s="145"/>
      <c r="J26" s="145"/>
      <c r="K26" s="145"/>
      <c r="L26" s="145"/>
      <c r="M26" s="145"/>
      <c r="N26" s="145"/>
      <c r="O26" s="145"/>
      <c r="P26" s="145"/>
      <c r="Q26" s="145"/>
      <c r="R26" s="145"/>
      <c r="S26" s="145"/>
      <c r="T26" s="201"/>
      <c r="U26" s="145"/>
      <c r="V26" s="145"/>
      <c r="W26" s="145"/>
      <c r="X26" s="145"/>
      <c r="Y26" s="145"/>
      <c r="Z26" s="145"/>
    </row>
    <row r="27" spans="1:26" ht="15.75" customHeight="1" x14ac:dyDescent="0.25">
      <c r="A27" s="145"/>
      <c r="B27" s="145"/>
      <c r="C27" s="145"/>
      <c r="D27" s="145"/>
      <c r="E27" s="145"/>
      <c r="F27" s="145"/>
      <c r="G27" s="145"/>
      <c r="H27" s="145"/>
      <c r="I27" s="145"/>
      <c r="J27" s="145"/>
      <c r="K27" s="145"/>
      <c r="L27" s="145"/>
      <c r="M27" s="145"/>
      <c r="N27" s="145"/>
      <c r="O27" s="145"/>
      <c r="P27" s="145"/>
      <c r="Q27" s="145"/>
      <c r="R27" s="145"/>
      <c r="S27" s="145"/>
      <c r="T27" s="201"/>
      <c r="U27" s="145"/>
      <c r="V27" s="145"/>
      <c r="W27" s="145"/>
      <c r="X27" s="145"/>
      <c r="Y27" s="145"/>
      <c r="Z27" s="145"/>
    </row>
    <row r="28" spans="1:26" ht="15.75" customHeight="1" x14ac:dyDescent="0.25">
      <c r="A28" s="145"/>
      <c r="B28" s="145"/>
      <c r="C28" s="145"/>
      <c r="D28" s="145"/>
      <c r="E28" s="145"/>
      <c r="F28" s="145"/>
      <c r="G28" s="145"/>
      <c r="H28" s="145"/>
      <c r="I28" s="145"/>
      <c r="J28" s="145"/>
      <c r="K28" s="145"/>
      <c r="L28" s="145"/>
      <c r="M28" s="145"/>
      <c r="N28" s="145"/>
      <c r="O28" s="145"/>
      <c r="P28" s="145"/>
      <c r="Q28" s="145"/>
      <c r="R28" s="145"/>
      <c r="S28" s="145"/>
      <c r="T28" s="201"/>
      <c r="U28" s="145"/>
      <c r="V28" s="145"/>
      <c r="W28" s="145"/>
      <c r="X28" s="145"/>
      <c r="Y28" s="145"/>
      <c r="Z28" s="145"/>
    </row>
    <row r="29" spans="1:26" ht="15.75" customHeight="1" x14ac:dyDescent="0.25">
      <c r="A29" s="145"/>
      <c r="B29" s="145"/>
      <c r="C29" s="145"/>
      <c r="D29" s="145"/>
      <c r="E29" s="145"/>
      <c r="F29" s="145"/>
      <c r="G29" s="145"/>
      <c r="H29" s="145"/>
      <c r="I29" s="145"/>
      <c r="J29" s="145"/>
      <c r="K29" s="145"/>
      <c r="L29" s="145"/>
      <c r="M29" s="145"/>
      <c r="N29" s="145"/>
      <c r="O29" s="145"/>
      <c r="P29" s="145"/>
      <c r="Q29" s="145"/>
      <c r="R29" s="145"/>
      <c r="S29" s="145"/>
      <c r="T29" s="201"/>
      <c r="U29" s="145"/>
      <c r="V29" s="145"/>
      <c r="W29" s="145"/>
      <c r="X29" s="145"/>
      <c r="Y29" s="145"/>
      <c r="Z29" s="145"/>
    </row>
    <row r="30" spans="1:26" ht="15.75" customHeight="1" x14ac:dyDescent="0.25">
      <c r="A30" s="145"/>
      <c r="B30" s="145"/>
      <c r="C30" s="145"/>
      <c r="D30" s="145"/>
      <c r="E30" s="145"/>
      <c r="F30" s="145"/>
      <c r="G30" s="145"/>
      <c r="H30" s="145"/>
      <c r="I30" s="145"/>
      <c r="J30" s="145"/>
      <c r="K30" s="145"/>
      <c r="L30" s="145"/>
      <c r="M30" s="145"/>
      <c r="N30" s="145"/>
      <c r="O30" s="145"/>
      <c r="P30" s="145"/>
      <c r="Q30" s="145"/>
      <c r="R30" s="145"/>
      <c r="S30" s="145"/>
      <c r="T30" s="201"/>
      <c r="U30" s="145"/>
      <c r="V30" s="145"/>
      <c r="W30" s="145"/>
      <c r="X30" s="145"/>
      <c r="Y30" s="145"/>
      <c r="Z30" s="145"/>
    </row>
    <row r="31" spans="1:26" ht="15.75" customHeight="1" x14ac:dyDescent="0.25">
      <c r="A31" s="145"/>
      <c r="B31" s="145"/>
      <c r="C31" s="145"/>
      <c r="D31" s="145"/>
      <c r="E31" s="145"/>
      <c r="F31" s="145"/>
      <c r="G31" s="145"/>
      <c r="H31" s="145"/>
      <c r="I31" s="145"/>
      <c r="J31" s="145"/>
      <c r="K31" s="145"/>
      <c r="L31" s="145"/>
      <c r="M31" s="145"/>
      <c r="N31" s="145"/>
      <c r="O31" s="145"/>
      <c r="P31" s="145"/>
      <c r="Q31" s="145"/>
      <c r="R31" s="145"/>
      <c r="S31" s="145"/>
      <c r="T31" s="201"/>
      <c r="U31" s="145"/>
      <c r="V31" s="145"/>
      <c r="W31" s="145"/>
      <c r="X31" s="145"/>
      <c r="Y31" s="145"/>
      <c r="Z31" s="145"/>
    </row>
    <row r="32" spans="1:26" ht="15.75" customHeight="1" x14ac:dyDescent="0.25">
      <c r="A32" s="145"/>
      <c r="B32" s="145"/>
      <c r="C32" s="145"/>
      <c r="D32" s="145"/>
      <c r="E32" s="145"/>
      <c r="F32" s="145"/>
      <c r="G32" s="145"/>
      <c r="H32" s="145"/>
      <c r="I32" s="145"/>
      <c r="J32" s="145"/>
      <c r="K32" s="145"/>
      <c r="L32" s="145"/>
      <c r="M32" s="145"/>
      <c r="N32" s="145"/>
      <c r="O32" s="145"/>
      <c r="P32" s="145"/>
      <c r="Q32" s="145"/>
      <c r="R32" s="145"/>
      <c r="S32" s="145"/>
      <c r="T32" s="201"/>
      <c r="U32" s="145"/>
      <c r="V32" s="145"/>
      <c r="W32" s="145"/>
      <c r="X32" s="145"/>
      <c r="Y32" s="145"/>
      <c r="Z32" s="145"/>
    </row>
    <row r="33" spans="1:26" ht="15.75" customHeight="1" x14ac:dyDescent="0.25">
      <c r="A33" s="145"/>
      <c r="B33" s="145"/>
      <c r="C33" s="145"/>
      <c r="D33" s="145"/>
      <c r="E33" s="145"/>
      <c r="F33" s="145"/>
      <c r="G33" s="145"/>
      <c r="H33" s="145"/>
      <c r="I33" s="145"/>
      <c r="J33" s="145"/>
      <c r="K33" s="145"/>
      <c r="L33" s="145"/>
      <c r="M33" s="145"/>
      <c r="N33" s="145"/>
      <c r="O33" s="145"/>
      <c r="P33" s="145"/>
      <c r="Q33" s="145"/>
      <c r="R33" s="145"/>
      <c r="S33" s="145"/>
      <c r="T33" s="201"/>
      <c r="U33" s="145"/>
      <c r="V33" s="145"/>
      <c r="W33" s="145"/>
      <c r="X33" s="145"/>
      <c r="Y33" s="145"/>
      <c r="Z33" s="145"/>
    </row>
    <row r="34" spans="1:26" ht="15.75" customHeight="1" x14ac:dyDescent="0.25">
      <c r="A34" s="145"/>
      <c r="B34" s="145"/>
      <c r="C34" s="145"/>
      <c r="D34" s="145"/>
      <c r="E34" s="145"/>
      <c r="F34" s="145"/>
      <c r="G34" s="145"/>
      <c r="H34" s="145"/>
      <c r="I34" s="145"/>
      <c r="J34" s="145"/>
      <c r="K34" s="145"/>
      <c r="L34" s="145"/>
      <c r="M34" s="145"/>
      <c r="N34" s="145"/>
      <c r="O34" s="145"/>
      <c r="P34" s="145"/>
      <c r="Q34" s="145"/>
      <c r="R34" s="145"/>
      <c r="S34" s="145"/>
      <c r="T34" s="201"/>
      <c r="U34" s="145"/>
      <c r="V34" s="145"/>
      <c r="W34" s="145"/>
      <c r="X34" s="145"/>
      <c r="Y34" s="145"/>
      <c r="Z34" s="145"/>
    </row>
    <row r="35" spans="1:26" ht="15.75" customHeight="1" x14ac:dyDescent="0.25">
      <c r="A35" s="145"/>
      <c r="B35" s="145"/>
      <c r="C35" s="145"/>
      <c r="D35" s="145"/>
      <c r="E35" s="145"/>
      <c r="F35" s="145"/>
      <c r="G35" s="145"/>
      <c r="H35" s="145"/>
      <c r="I35" s="145"/>
      <c r="J35" s="145"/>
      <c r="K35" s="145"/>
      <c r="L35" s="145"/>
      <c r="M35" s="145"/>
      <c r="N35" s="145"/>
      <c r="O35" s="145"/>
      <c r="P35" s="145"/>
      <c r="Q35" s="145"/>
      <c r="R35" s="145"/>
      <c r="S35" s="145"/>
      <c r="T35" s="201"/>
      <c r="U35" s="145"/>
      <c r="V35" s="145"/>
      <c r="W35" s="145"/>
      <c r="X35" s="145"/>
      <c r="Y35" s="145"/>
      <c r="Z35" s="145"/>
    </row>
    <row r="36" spans="1:26" ht="15.75" customHeight="1" x14ac:dyDescent="0.25">
      <c r="A36" s="145"/>
      <c r="B36" s="145"/>
      <c r="C36" s="145"/>
      <c r="D36" s="145"/>
      <c r="E36" s="145"/>
      <c r="F36" s="145"/>
      <c r="G36" s="145"/>
      <c r="H36" s="145"/>
      <c r="I36" s="145"/>
      <c r="J36" s="145"/>
      <c r="K36" s="145"/>
      <c r="L36" s="145"/>
      <c r="M36" s="145"/>
      <c r="N36" s="145"/>
      <c r="O36" s="145"/>
      <c r="P36" s="145"/>
      <c r="Q36" s="145"/>
      <c r="R36" s="145"/>
      <c r="S36" s="145"/>
      <c r="T36" s="201"/>
      <c r="U36" s="145"/>
      <c r="V36" s="145"/>
      <c r="W36" s="145"/>
      <c r="X36" s="145"/>
      <c r="Y36" s="145"/>
      <c r="Z36" s="145"/>
    </row>
    <row r="37" spans="1:26" ht="15.75" customHeight="1" x14ac:dyDescent="0.25">
      <c r="A37" s="145"/>
      <c r="B37" s="145"/>
      <c r="C37" s="145"/>
      <c r="D37" s="145"/>
      <c r="E37" s="145"/>
      <c r="F37" s="145"/>
      <c r="G37" s="145"/>
      <c r="H37" s="145"/>
      <c r="I37" s="145"/>
      <c r="J37" s="145"/>
      <c r="K37" s="145"/>
      <c r="L37" s="145"/>
      <c r="M37" s="145"/>
      <c r="N37" s="145"/>
      <c r="O37" s="145"/>
      <c r="P37" s="145"/>
      <c r="Q37" s="145"/>
      <c r="R37" s="145"/>
      <c r="S37" s="145"/>
      <c r="T37" s="201"/>
      <c r="U37" s="145"/>
      <c r="V37" s="145"/>
      <c r="W37" s="145"/>
      <c r="X37" s="145"/>
      <c r="Y37" s="145"/>
      <c r="Z37" s="145"/>
    </row>
    <row r="38" spans="1:26" ht="15.75" customHeight="1" x14ac:dyDescent="0.25">
      <c r="A38" s="145"/>
      <c r="B38" s="145"/>
      <c r="C38" s="145"/>
      <c r="D38" s="145"/>
      <c r="E38" s="145"/>
      <c r="F38" s="145"/>
      <c r="G38" s="145"/>
      <c r="H38" s="145"/>
      <c r="I38" s="145"/>
      <c r="J38" s="145"/>
      <c r="K38" s="145"/>
      <c r="L38" s="145"/>
      <c r="M38" s="145"/>
      <c r="N38" s="145"/>
      <c r="O38" s="145"/>
      <c r="P38" s="145"/>
      <c r="Q38" s="145"/>
      <c r="R38" s="145"/>
      <c r="S38" s="145"/>
      <c r="T38" s="201"/>
      <c r="U38" s="145"/>
      <c r="V38" s="145"/>
      <c r="W38" s="145"/>
      <c r="X38" s="145"/>
      <c r="Y38" s="145"/>
      <c r="Z38" s="145"/>
    </row>
    <row r="39" spans="1:26" ht="15.75" customHeight="1" x14ac:dyDescent="0.25">
      <c r="A39" s="145"/>
      <c r="B39" s="145"/>
      <c r="C39" s="145"/>
      <c r="D39" s="145"/>
      <c r="E39" s="145"/>
      <c r="F39" s="145"/>
      <c r="G39" s="145"/>
      <c r="H39" s="145"/>
      <c r="I39" s="145"/>
      <c r="J39" s="145"/>
      <c r="K39" s="145"/>
      <c r="L39" s="145"/>
      <c r="M39" s="145"/>
      <c r="N39" s="145"/>
      <c r="O39" s="145"/>
      <c r="P39" s="145"/>
      <c r="Q39" s="145"/>
      <c r="R39" s="145"/>
      <c r="S39" s="145"/>
      <c r="T39" s="201"/>
      <c r="U39" s="145"/>
      <c r="V39" s="145"/>
      <c r="W39" s="145"/>
      <c r="X39" s="145"/>
      <c r="Y39" s="145"/>
      <c r="Z39" s="145"/>
    </row>
    <row r="40" spans="1:26" ht="15.75" customHeight="1" x14ac:dyDescent="0.25">
      <c r="A40" s="145"/>
      <c r="B40" s="145"/>
      <c r="C40" s="145"/>
      <c r="D40" s="145"/>
      <c r="E40" s="145"/>
      <c r="F40" s="145"/>
      <c r="G40" s="145"/>
      <c r="H40" s="145"/>
      <c r="I40" s="145"/>
      <c r="J40" s="145"/>
      <c r="K40" s="145"/>
      <c r="L40" s="145"/>
      <c r="M40" s="145"/>
      <c r="N40" s="145"/>
      <c r="O40" s="145"/>
      <c r="P40" s="145"/>
      <c r="Q40" s="145"/>
      <c r="R40" s="145"/>
      <c r="S40" s="145"/>
      <c r="T40" s="201"/>
      <c r="U40" s="145"/>
      <c r="V40" s="145"/>
      <c r="W40" s="145"/>
      <c r="X40" s="145"/>
      <c r="Y40" s="145"/>
      <c r="Z40" s="145"/>
    </row>
    <row r="41" spans="1:26" ht="15.75" customHeight="1" x14ac:dyDescent="0.25">
      <c r="A41" s="145"/>
      <c r="B41" s="145"/>
      <c r="C41" s="145"/>
      <c r="D41" s="145"/>
      <c r="E41" s="145"/>
      <c r="F41" s="145"/>
      <c r="G41" s="145"/>
      <c r="H41" s="145"/>
      <c r="I41" s="145"/>
      <c r="J41" s="145"/>
      <c r="K41" s="145"/>
      <c r="L41" s="145"/>
      <c r="M41" s="145"/>
      <c r="N41" s="145"/>
      <c r="O41" s="145"/>
      <c r="P41" s="145"/>
      <c r="Q41" s="145"/>
      <c r="R41" s="145"/>
      <c r="S41" s="145"/>
      <c r="T41" s="201"/>
      <c r="U41" s="145"/>
      <c r="V41" s="145"/>
      <c r="W41" s="145"/>
      <c r="X41" s="145"/>
      <c r="Y41" s="145"/>
      <c r="Z41" s="145"/>
    </row>
    <row r="42" spans="1:26" ht="15.75" customHeight="1" x14ac:dyDescent="0.25">
      <c r="A42" s="145"/>
      <c r="B42" s="145"/>
      <c r="C42" s="145"/>
      <c r="D42" s="145"/>
      <c r="E42" s="145"/>
      <c r="F42" s="145"/>
      <c r="G42" s="145"/>
      <c r="H42" s="145"/>
      <c r="I42" s="145"/>
      <c r="J42" s="145"/>
      <c r="K42" s="145"/>
      <c r="L42" s="145"/>
      <c r="M42" s="145"/>
      <c r="N42" s="145"/>
      <c r="O42" s="145"/>
      <c r="P42" s="145"/>
      <c r="Q42" s="145"/>
      <c r="R42" s="145"/>
      <c r="S42" s="145"/>
      <c r="T42" s="201"/>
      <c r="U42" s="145"/>
      <c r="V42" s="145"/>
      <c r="W42" s="145"/>
      <c r="X42" s="145"/>
      <c r="Y42" s="145"/>
      <c r="Z42" s="145"/>
    </row>
    <row r="43" spans="1:26" ht="15.75" customHeight="1" x14ac:dyDescent="0.25">
      <c r="A43" s="145"/>
      <c r="B43" s="145"/>
      <c r="C43" s="145"/>
      <c r="D43" s="145"/>
      <c r="E43" s="145"/>
      <c r="F43" s="145"/>
      <c r="G43" s="145"/>
      <c r="H43" s="145"/>
      <c r="I43" s="145"/>
      <c r="J43" s="145"/>
      <c r="K43" s="145"/>
      <c r="L43" s="145"/>
      <c r="M43" s="145"/>
      <c r="N43" s="145"/>
      <c r="O43" s="145"/>
      <c r="P43" s="145"/>
      <c r="Q43" s="145"/>
      <c r="R43" s="145"/>
      <c r="S43" s="145"/>
      <c r="T43" s="201"/>
      <c r="U43" s="145"/>
      <c r="V43" s="145"/>
      <c r="W43" s="145"/>
      <c r="X43" s="145"/>
      <c r="Y43" s="145"/>
      <c r="Z43" s="145"/>
    </row>
    <row r="44" spans="1:26" ht="15.75" customHeight="1" x14ac:dyDescent="0.25">
      <c r="A44" s="145"/>
      <c r="B44" s="145"/>
      <c r="C44" s="145"/>
      <c r="D44" s="145"/>
      <c r="E44" s="145"/>
      <c r="F44" s="145"/>
      <c r="G44" s="145"/>
      <c r="H44" s="145"/>
      <c r="I44" s="145"/>
      <c r="J44" s="145"/>
      <c r="K44" s="145"/>
      <c r="L44" s="145"/>
      <c r="M44" s="145"/>
      <c r="N44" s="145"/>
      <c r="O44" s="145"/>
      <c r="P44" s="145"/>
      <c r="Q44" s="145"/>
      <c r="R44" s="145"/>
      <c r="S44" s="145"/>
      <c r="T44" s="201"/>
      <c r="U44" s="145"/>
      <c r="V44" s="145"/>
      <c r="W44" s="145"/>
      <c r="X44" s="145"/>
      <c r="Y44" s="145"/>
      <c r="Z44" s="145"/>
    </row>
    <row r="45" spans="1:26" ht="15.75" customHeight="1" x14ac:dyDescent="0.25">
      <c r="A45" s="145"/>
      <c r="B45" s="145"/>
      <c r="C45" s="145"/>
      <c r="D45" s="145"/>
      <c r="E45" s="145"/>
      <c r="F45" s="145"/>
      <c r="G45" s="145"/>
      <c r="H45" s="145"/>
      <c r="I45" s="145"/>
      <c r="J45" s="145"/>
      <c r="K45" s="145"/>
      <c r="L45" s="145"/>
      <c r="M45" s="145"/>
      <c r="N45" s="145"/>
      <c r="O45" s="145"/>
      <c r="P45" s="145"/>
      <c r="Q45" s="145"/>
      <c r="R45" s="145"/>
      <c r="S45" s="145"/>
      <c r="T45" s="201"/>
      <c r="U45" s="145"/>
      <c r="V45" s="145"/>
      <c r="W45" s="145"/>
      <c r="X45" s="145"/>
      <c r="Y45" s="145"/>
      <c r="Z45" s="145"/>
    </row>
    <row r="46" spans="1:26" ht="15.75" customHeight="1" x14ac:dyDescent="0.25">
      <c r="A46" s="145"/>
      <c r="B46" s="145"/>
      <c r="C46" s="145"/>
      <c r="D46" s="145"/>
      <c r="E46" s="145"/>
      <c r="F46" s="145"/>
      <c r="G46" s="145"/>
      <c r="H46" s="145"/>
      <c r="I46" s="145"/>
      <c r="J46" s="145"/>
      <c r="K46" s="145"/>
      <c r="L46" s="145"/>
      <c r="M46" s="145"/>
      <c r="N46" s="145"/>
      <c r="O46" s="145"/>
      <c r="P46" s="145"/>
      <c r="Q46" s="145"/>
      <c r="R46" s="145"/>
      <c r="S46" s="145"/>
      <c r="T46" s="201"/>
      <c r="U46" s="145"/>
      <c r="V46" s="145"/>
      <c r="W46" s="145"/>
      <c r="X46" s="145"/>
      <c r="Y46" s="145"/>
      <c r="Z46" s="145"/>
    </row>
    <row r="47" spans="1:26" ht="15.75" customHeight="1" x14ac:dyDescent="0.25">
      <c r="A47" s="145"/>
      <c r="B47" s="145"/>
      <c r="C47" s="145"/>
      <c r="D47" s="145"/>
      <c r="E47" s="145"/>
      <c r="F47" s="145"/>
      <c r="G47" s="145"/>
      <c r="H47" s="145"/>
      <c r="I47" s="145"/>
      <c r="J47" s="145"/>
      <c r="K47" s="145"/>
      <c r="L47" s="145"/>
      <c r="M47" s="145"/>
      <c r="N47" s="145"/>
      <c r="O47" s="145"/>
      <c r="P47" s="145"/>
      <c r="Q47" s="145"/>
      <c r="R47" s="145"/>
      <c r="S47" s="145"/>
      <c r="T47" s="201"/>
      <c r="U47" s="145"/>
      <c r="V47" s="145"/>
      <c r="W47" s="145"/>
      <c r="X47" s="145"/>
      <c r="Y47" s="145"/>
      <c r="Z47" s="145"/>
    </row>
    <row r="48" spans="1:26" ht="15.75" customHeight="1" x14ac:dyDescent="0.25">
      <c r="A48" s="145"/>
      <c r="B48" s="145"/>
      <c r="C48" s="145"/>
      <c r="D48" s="145"/>
      <c r="E48" s="145"/>
      <c r="F48" s="145"/>
      <c r="G48" s="145"/>
      <c r="H48" s="145"/>
      <c r="I48" s="145"/>
      <c r="J48" s="145"/>
      <c r="K48" s="145"/>
      <c r="L48" s="145"/>
      <c r="M48" s="145"/>
      <c r="N48" s="145"/>
      <c r="O48" s="145"/>
      <c r="P48" s="145"/>
      <c r="Q48" s="145"/>
      <c r="R48" s="145"/>
      <c r="S48" s="145"/>
      <c r="T48" s="201"/>
      <c r="U48" s="145"/>
      <c r="V48" s="145"/>
      <c r="W48" s="145"/>
      <c r="X48" s="145"/>
      <c r="Y48" s="145"/>
      <c r="Z48" s="145"/>
    </row>
    <row r="49" spans="1:26" ht="15.75" customHeight="1" x14ac:dyDescent="0.25">
      <c r="A49" s="145"/>
      <c r="B49" s="145"/>
      <c r="C49" s="145"/>
      <c r="D49" s="145"/>
      <c r="E49" s="145"/>
      <c r="F49" s="145"/>
      <c r="G49" s="145"/>
      <c r="H49" s="145"/>
      <c r="I49" s="145"/>
      <c r="J49" s="145"/>
      <c r="K49" s="145"/>
      <c r="L49" s="145"/>
      <c r="M49" s="145"/>
      <c r="N49" s="145"/>
      <c r="O49" s="145"/>
      <c r="P49" s="145"/>
      <c r="Q49" s="145"/>
      <c r="R49" s="145"/>
      <c r="S49" s="145"/>
      <c r="T49" s="201"/>
      <c r="U49" s="145"/>
      <c r="V49" s="145"/>
      <c r="W49" s="145"/>
      <c r="X49" s="145"/>
      <c r="Y49" s="145"/>
      <c r="Z49" s="145"/>
    </row>
    <row r="50" spans="1:26" ht="15.75" customHeight="1" x14ac:dyDescent="0.25">
      <c r="A50" s="145"/>
      <c r="B50" s="145"/>
      <c r="C50" s="145"/>
      <c r="D50" s="145"/>
      <c r="E50" s="145"/>
      <c r="F50" s="145"/>
      <c r="G50" s="145"/>
      <c r="H50" s="145"/>
      <c r="I50" s="145"/>
      <c r="J50" s="145"/>
      <c r="K50" s="145"/>
      <c r="L50" s="145"/>
      <c r="M50" s="145"/>
      <c r="N50" s="145"/>
      <c r="O50" s="145"/>
      <c r="P50" s="145"/>
      <c r="Q50" s="145"/>
      <c r="R50" s="145"/>
      <c r="S50" s="145"/>
      <c r="T50" s="201"/>
      <c r="U50" s="145"/>
      <c r="V50" s="145"/>
      <c r="W50" s="145"/>
      <c r="X50" s="145"/>
      <c r="Y50" s="145"/>
      <c r="Z50" s="145"/>
    </row>
    <row r="51" spans="1:26" ht="15.75" customHeight="1" x14ac:dyDescent="0.25">
      <c r="A51" s="145"/>
      <c r="B51" s="145"/>
      <c r="C51" s="145"/>
      <c r="D51" s="145"/>
      <c r="E51" s="145"/>
      <c r="F51" s="145"/>
      <c r="G51" s="145"/>
      <c r="H51" s="145"/>
      <c r="I51" s="145"/>
      <c r="J51" s="145"/>
      <c r="K51" s="145"/>
      <c r="L51" s="145"/>
      <c r="M51" s="145"/>
      <c r="N51" s="145"/>
      <c r="O51" s="145"/>
      <c r="P51" s="145"/>
      <c r="Q51" s="145"/>
      <c r="R51" s="145"/>
      <c r="S51" s="145"/>
      <c r="T51" s="201"/>
      <c r="U51" s="145"/>
      <c r="V51" s="145"/>
      <c r="W51" s="145"/>
      <c r="X51" s="145"/>
      <c r="Y51" s="145"/>
      <c r="Z51" s="145"/>
    </row>
    <row r="52" spans="1:26" ht="15.75" customHeight="1" x14ac:dyDescent="0.25">
      <c r="A52" s="145"/>
      <c r="B52" s="145"/>
      <c r="C52" s="145"/>
      <c r="D52" s="145"/>
      <c r="E52" s="145"/>
      <c r="F52" s="145"/>
      <c r="G52" s="145"/>
      <c r="H52" s="145"/>
      <c r="I52" s="145"/>
      <c r="J52" s="145"/>
      <c r="K52" s="145"/>
      <c r="L52" s="145"/>
      <c r="M52" s="145"/>
      <c r="N52" s="145"/>
      <c r="O52" s="145"/>
      <c r="P52" s="145"/>
      <c r="Q52" s="145"/>
      <c r="R52" s="145"/>
      <c r="S52" s="145"/>
      <c r="T52" s="201"/>
      <c r="U52" s="145"/>
      <c r="V52" s="145"/>
      <c r="W52" s="145"/>
      <c r="X52" s="145"/>
      <c r="Y52" s="145"/>
      <c r="Z52" s="145"/>
    </row>
    <row r="53" spans="1:26" ht="15.75" customHeight="1" x14ac:dyDescent="0.25">
      <c r="A53" s="145"/>
      <c r="B53" s="145"/>
      <c r="C53" s="145"/>
      <c r="D53" s="145"/>
      <c r="E53" s="145"/>
      <c r="F53" s="145"/>
      <c r="G53" s="145"/>
      <c r="H53" s="145"/>
      <c r="I53" s="145"/>
      <c r="J53" s="145"/>
      <c r="K53" s="145"/>
      <c r="L53" s="145"/>
      <c r="M53" s="145"/>
      <c r="N53" s="145"/>
      <c r="O53" s="145"/>
      <c r="P53" s="145"/>
      <c r="Q53" s="145"/>
      <c r="R53" s="145"/>
      <c r="S53" s="145"/>
      <c r="T53" s="201"/>
      <c r="U53" s="145"/>
      <c r="V53" s="145"/>
      <c r="W53" s="145"/>
      <c r="X53" s="145"/>
      <c r="Y53" s="145"/>
      <c r="Z53" s="145"/>
    </row>
    <row r="54" spans="1:26" ht="15.75" customHeight="1" x14ac:dyDescent="0.25">
      <c r="A54" s="145"/>
      <c r="B54" s="145"/>
      <c r="C54" s="145"/>
      <c r="D54" s="145"/>
      <c r="E54" s="145"/>
      <c r="F54" s="145"/>
      <c r="G54" s="145"/>
      <c r="H54" s="145"/>
      <c r="I54" s="145"/>
      <c r="J54" s="145"/>
      <c r="K54" s="145"/>
      <c r="L54" s="145"/>
      <c r="M54" s="145"/>
      <c r="N54" s="145"/>
      <c r="O54" s="145"/>
      <c r="P54" s="145"/>
      <c r="Q54" s="145"/>
      <c r="R54" s="145"/>
      <c r="S54" s="145"/>
      <c r="T54" s="201"/>
      <c r="U54" s="145"/>
      <c r="V54" s="145"/>
      <c r="W54" s="145"/>
      <c r="X54" s="145"/>
      <c r="Y54" s="145"/>
      <c r="Z54" s="145"/>
    </row>
    <row r="55" spans="1:26" ht="15.75" customHeight="1" x14ac:dyDescent="0.25">
      <c r="A55" s="145"/>
      <c r="B55" s="145"/>
      <c r="C55" s="145"/>
      <c r="D55" s="145"/>
      <c r="E55" s="145"/>
      <c r="F55" s="145"/>
      <c r="G55" s="145"/>
      <c r="H55" s="145"/>
      <c r="I55" s="145"/>
      <c r="J55" s="145"/>
      <c r="K55" s="145"/>
      <c r="L55" s="145"/>
      <c r="M55" s="145"/>
      <c r="N55" s="145"/>
      <c r="O55" s="145"/>
      <c r="P55" s="145"/>
      <c r="Q55" s="145"/>
      <c r="R55" s="145"/>
      <c r="S55" s="145"/>
      <c r="T55" s="201"/>
      <c r="U55" s="145"/>
      <c r="V55" s="145"/>
      <c r="W55" s="145"/>
      <c r="X55" s="145"/>
      <c r="Y55" s="145"/>
      <c r="Z55" s="145"/>
    </row>
    <row r="56" spans="1:26" ht="15.75" customHeight="1" x14ac:dyDescent="0.25">
      <c r="A56" s="145"/>
      <c r="B56" s="145"/>
      <c r="C56" s="145"/>
      <c r="D56" s="145"/>
      <c r="E56" s="145"/>
      <c r="F56" s="145"/>
      <c r="G56" s="145"/>
      <c r="H56" s="145"/>
      <c r="I56" s="145"/>
      <c r="J56" s="145"/>
      <c r="K56" s="145"/>
      <c r="L56" s="145"/>
      <c r="M56" s="145"/>
      <c r="N56" s="145"/>
      <c r="O56" s="145"/>
      <c r="P56" s="145"/>
      <c r="Q56" s="145"/>
      <c r="R56" s="145"/>
      <c r="S56" s="145"/>
      <c r="T56" s="201"/>
      <c r="U56" s="145"/>
      <c r="V56" s="145"/>
      <c r="W56" s="145"/>
      <c r="X56" s="145"/>
      <c r="Y56" s="145"/>
      <c r="Z56" s="145"/>
    </row>
    <row r="57" spans="1:26" ht="15.75" customHeight="1" x14ac:dyDescent="0.25">
      <c r="A57" s="145"/>
      <c r="B57" s="145"/>
      <c r="C57" s="145"/>
      <c r="D57" s="145"/>
      <c r="E57" s="145"/>
      <c r="F57" s="145"/>
      <c r="G57" s="145"/>
      <c r="H57" s="145"/>
      <c r="I57" s="145"/>
      <c r="J57" s="145"/>
      <c r="K57" s="145"/>
      <c r="L57" s="145"/>
      <c r="M57" s="145"/>
      <c r="N57" s="145"/>
      <c r="O57" s="145"/>
      <c r="P57" s="145"/>
      <c r="Q57" s="145"/>
      <c r="R57" s="145"/>
      <c r="S57" s="145"/>
      <c r="T57" s="201"/>
      <c r="U57" s="145"/>
      <c r="V57" s="145"/>
      <c r="W57" s="145"/>
      <c r="X57" s="145"/>
      <c r="Y57" s="145"/>
      <c r="Z57" s="145"/>
    </row>
    <row r="58" spans="1:26" ht="15.75" customHeight="1" x14ac:dyDescent="0.25">
      <c r="A58" s="145"/>
      <c r="B58" s="145"/>
      <c r="C58" s="145"/>
      <c r="D58" s="145"/>
      <c r="E58" s="145"/>
      <c r="F58" s="145"/>
      <c r="G58" s="145"/>
      <c r="H58" s="145"/>
      <c r="I58" s="145"/>
      <c r="J58" s="145"/>
      <c r="K58" s="145"/>
      <c r="L58" s="145"/>
      <c r="M58" s="145"/>
      <c r="N58" s="145"/>
      <c r="O58" s="145"/>
      <c r="P58" s="145"/>
      <c r="Q58" s="145"/>
      <c r="R58" s="145"/>
      <c r="S58" s="145"/>
      <c r="T58" s="201"/>
      <c r="U58" s="145"/>
      <c r="V58" s="145"/>
      <c r="W58" s="145"/>
      <c r="X58" s="145"/>
      <c r="Y58" s="145"/>
      <c r="Z58" s="145"/>
    </row>
    <row r="59" spans="1:26" ht="15.75" customHeight="1" x14ac:dyDescent="0.25">
      <c r="A59" s="145"/>
      <c r="B59" s="145"/>
      <c r="C59" s="145"/>
      <c r="D59" s="145"/>
      <c r="E59" s="145"/>
      <c r="F59" s="145"/>
      <c r="G59" s="145"/>
      <c r="H59" s="145"/>
      <c r="I59" s="145"/>
      <c r="J59" s="145"/>
      <c r="K59" s="145"/>
      <c r="L59" s="145"/>
      <c r="M59" s="145"/>
      <c r="N59" s="145"/>
      <c r="O59" s="145"/>
      <c r="P59" s="145"/>
      <c r="Q59" s="145"/>
      <c r="R59" s="145"/>
      <c r="S59" s="145"/>
      <c r="T59" s="201"/>
      <c r="U59" s="145"/>
      <c r="V59" s="145"/>
      <c r="W59" s="145"/>
      <c r="X59" s="145"/>
      <c r="Y59" s="145"/>
      <c r="Z59" s="145"/>
    </row>
    <row r="60" spans="1:26" ht="15.75" customHeight="1" x14ac:dyDescent="0.25">
      <c r="A60" s="145"/>
      <c r="B60" s="145"/>
      <c r="C60" s="145"/>
      <c r="D60" s="145"/>
      <c r="E60" s="145"/>
      <c r="F60" s="145"/>
      <c r="G60" s="145"/>
      <c r="H60" s="145"/>
      <c r="I60" s="145"/>
      <c r="J60" s="145"/>
      <c r="K60" s="145"/>
      <c r="L60" s="145"/>
      <c r="M60" s="145"/>
      <c r="N60" s="145"/>
      <c r="O60" s="145"/>
      <c r="P60" s="145"/>
      <c r="Q60" s="145"/>
      <c r="R60" s="145"/>
      <c r="S60" s="145"/>
      <c r="T60" s="201"/>
      <c r="U60" s="145"/>
      <c r="V60" s="145"/>
      <c r="W60" s="145"/>
      <c r="X60" s="145"/>
      <c r="Y60" s="145"/>
      <c r="Z60" s="145"/>
    </row>
    <row r="61" spans="1:26" ht="15.75" customHeight="1" x14ac:dyDescent="0.25">
      <c r="A61" s="145"/>
      <c r="B61" s="145"/>
      <c r="C61" s="145"/>
      <c r="D61" s="145"/>
      <c r="E61" s="145"/>
      <c r="F61" s="145"/>
      <c r="G61" s="145"/>
      <c r="H61" s="145"/>
      <c r="I61" s="145"/>
      <c r="J61" s="145"/>
      <c r="K61" s="145"/>
      <c r="L61" s="145"/>
      <c r="M61" s="145"/>
      <c r="N61" s="145"/>
      <c r="O61" s="145"/>
      <c r="P61" s="145"/>
      <c r="Q61" s="145"/>
      <c r="R61" s="145"/>
      <c r="S61" s="145"/>
      <c r="T61" s="201"/>
      <c r="U61" s="145"/>
      <c r="V61" s="145"/>
      <c r="W61" s="145"/>
      <c r="X61" s="145"/>
      <c r="Y61" s="145"/>
      <c r="Z61" s="145"/>
    </row>
    <row r="62" spans="1:26" ht="15.75" customHeight="1" x14ac:dyDescent="0.25">
      <c r="A62" s="145"/>
      <c r="B62" s="145"/>
      <c r="C62" s="145"/>
      <c r="D62" s="145"/>
      <c r="E62" s="145"/>
      <c r="F62" s="145"/>
      <c r="G62" s="145"/>
      <c r="H62" s="145"/>
      <c r="I62" s="145"/>
      <c r="J62" s="145"/>
      <c r="K62" s="145"/>
      <c r="L62" s="145"/>
      <c r="M62" s="145"/>
      <c r="N62" s="145"/>
      <c r="O62" s="145"/>
      <c r="P62" s="145"/>
      <c r="Q62" s="145"/>
      <c r="R62" s="145"/>
      <c r="S62" s="145"/>
      <c r="T62" s="201"/>
      <c r="U62" s="145"/>
      <c r="V62" s="145"/>
      <c r="W62" s="145"/>
      <c r="X62" s="145"/>
      <c r="Y62" s="145"/>
      <c r="Z62" s="145"/>
    </row>
    <row r="63" spans="1:26" ht="15.75" customHeight="1" x14ac:dyDescent="0.25">
      <c r="A63" s="145"/>
      <c r="B63" s="145"/>
      <c r="C63" s="145"/>
      <c r="D63" s="145"/>
      <c r="E63" s="145"/>
      <c r="F63" s="145"/>
      <c r="G63" s="145"/>
      <c r="H63" s="145"/>
      <c r="I63" s="145"/>
      <c r="J63" s="145"/>
      <c r="K63" s="145"/>
      <c r="L63" s="145"/>
      <c r="M63" s="145"/>
      <c r="N63" s="145"/>
      <c r="O63" s="145"/>
      <c r="P63" s="145"/>
      <c r="Q63" s="145"/>
      <c r="R63" s="145"/>
      <c r="S63" s="145"/>
      <c r="T63" s="201"/>
      <c r="U63" s="145"/>
      <c r="V63" s="145"/>
      <c r="W63" s="145"/>
      <c r="X63" s="145"/>
      <c r="Y63" s="145"/>
      <c r="Z63" s="145"/>
    </row>
    <row r="64" spans="1:26" ht="15.75" customHeight="1" x14ac:dyDescent="0.25">
      <c r="A64" s="145"/>
      <c r="B64" s="145"/>
      <c r="C64" s="145"/>
      <c r="D64" s="145"/>
      <c r="E64" s="145"/>
      <c r="F64" s="145"/>
      <c r="G64" s="145"/>
      <c r="H64" s="145"/>
      <c r="I64" s="145"/>
      <c r="J64" s="145"/>
      <c r="K64" s="145"/>
      <c r="L64" s="145"/>
      <c r="M64" s="145"/>
      <c r="N64" s="145"/>
      <c r="O64" s="145"/>
      <c r="P64" s="145"/>
      <c r="Q64" s="145"/>
      <c r="R64" s="145"/>
      <c r="S64" s="145"/>
      <c r="T64" s="201"/>
      <c r="U64" s="145"/>
      <c r="V64" s="145"/>
      <c r="W64" s="145"/>
      <c r="X64" s="145"/>
      <c r="Y64" s="145"/>
      <c r="Z64" s="145"/>
    </row>
    <row r="65" spans="1:26" ht="15.75" customHeight="1" x14ac:dyDescent="0.25">
      <c r="A65" s="145"/>
      <c r="B65" s="145"/>
      <c r="C65" s="145"/>
      <c r="D65" s="145"/>
      <c r="E65" s="145"/>
      <c r="F65" s="145"/>
      <c r="G65" s="145"/>
      <c r="H65" s="145"/>
      <c r="I65" s="145"/>
      <c r="J65" s="145"/>
      <c r="K65" s="145"/>
      <c r="L65" s="145"/>
      <c r="M65" s="145"/>
      <c r="N65" s="145"/>
      <c r="O65" s="145"/>
      <c r="P65" s="145"/>
      <c r="Q65" s="145"/>
      <c r="R65" s="145"/>
      <c r="S65" s="145"/>
      <c r="T65" s="201"/>
      <c r="U65" s="145"/>
      <c r="V65" s="145"/>
      <c r="W65" s="145"/>
      <c r="X65" s="145"/>
      <c r="Y65" s="145"/>
      <c r="Z65" s="145"/>
    </row>
    <row r="66" spans="1:26" ht="15.75" customHeight="1" x14ac:dyDescent="0.25">
      <c r="A66" s="145"/>
      <c r="B66" s="145"/>
      <c r="C66" s="145"/>
      <c r="D66" s="145"/>
      <c r="E66" s="145"/>
      <c r="F66" s="145"/>
      <c r="G66" s="145"/>
      <c r="H66" s="145"/>
      <c r="I66" s="145"/>
      <c r="J66" s="145"/>
      <c r="K66" s="145"/>
      <c r="L66" s="145"/>
      <c r="M66" s="145"/>
      <c r="N66" s="145"/>
      <c r="O66" s="145"/>
      <c r="P66" s="145"/>
      <c r="Q66" s="145"/>
      <c r="R66" s="145"/>
      <c r="S66" s="145"/>
      <c r="T66" s="201"/>
      <c r="U66" s="145"/>
      <c r="V66" s="145"/>
      <c r="W66" s="145"/>
      <c r="X66" s="145"/>
      <c r="Y66" s="145"/>
      <c r="Z66" s="145"/>
    </row>
    <row r="67" spans="1:26" ht="15.75" customHeight="1" x14ac:dyDescent="0.25">
      <c r="A67" s="145"/>
      <c r="B67" s="145"/>
      <c r="C67" s="145"/>
      <c r="D67" s="145"/>
      <c r="E67" s="145"/>
      <c r="F67" s="145"/>
      <c r="G67" s="145"/>
      <c r="H67" s="145"/>
      <c r="I67" s="145"/>
      <c r="J67" s="145"/>
      <c r="K67" s="145"/>
      <c r="L67" s="145"/>
      <c r="M67" s="145"/>
      <c r="N67" s="145"/>
      <c r="O67" s="145"/>
      <c r="P67" s="145"/>
      <c r="Q67" s="145"/>
      <c r="R67" s="145"/>
      <c r="S67" s="145"/>
      <c r="T67" s="201"/>
      <c r="U67" s="145"/>
      <c r="V67" s="145"/>
      <c r="W67" s="145"/>
      <c r="X67" s="145"/>
      <c r="Y67" s="145"/>
      <c r="Z67" s="145"/>
    </row>
    <row r="68" spans="1:26" ht="15.75" customHeight="1" x14ac:dyDescent="0.25">
      <c r="A68" s="145"/>
      <c r="B68" s="145"/>
      <c r="C68" s="145"/>
      <c r="D68" s="145"/>
      <c r="E68" s="145"/>
      <c r="F68" s="145"/>
      <c r="G68" s="145"/>
      <c r="H68" s="145"/>
      <c r="I68" s="145"/>
      <c r="J68" s="145"/>
      <c r="K68" s="145"/>
      <c r="L68" s="145"/>
      <c r="M68" s="145"/>
      <c r="N68" s="145"/>
      <c r="O68" s="145"/>
      <c r="P68" s="145"/>
      <c r="Q68" s="145"/>
      <c r="R68" s="145"/>
      <c r="S68" s="145"/>
      <c r="T68" s="201"/>
      <c r="U68" s="145"/>
      <c r="V68" s="145"/>
      <c r="W68" s="145"/>
      <c r="X68" s="145"/>
      <c r="Y68" s="145"/>
      <c r="Z68" s="145"/>
    </row>
    <row r="69" spans="1:26" ht="15.75" customHeight="1" x14ac:dyDescent="0.25">
      <c r="A69" s="145"/>
      <c r="B69" s="145"/>
      <c r="C69" s="145"/>
      <c r="D69" s="145"/>
      <c r="E69" s="145"/>
      <c r="F69" s="145"/>
      <c r="G69" s="145"/>
      <c r="H69" s="145"/>
      <c r="I69" s="145"/>
      <c r="J69" s="145"/>
      <c r="K69" s="145"/>
      <c r="L69" s="145"/>
      <c r="M69" s="145"/>
      <c r="N69" s="145"/>
      <c r="O69" s="145"/>
      <c r="P69" s="145"/>
      <c r="Q69" s="145"/>
      <c r="R69" s="145"/>
      <c r="S69" s="145"/>
      <c r="T69" s="201"/>
      <c r="U69" s="145"/>
      <c r="V69" s="145"/>
      <c r="W69" s="145"/>
      <c r="X69" s="145"/>
      <c r="Y69" s="145"/>
      <c r="Z69" s="145"/>
    </row>
    <row r="70" spans="1:26" ht="15.75" customHeight="1" x14ac:dyDescent="0.25">
      <c r="A70" s="145"/>
      <c r="B70" s="145"/>
      <c r="C70" s="145"/>
      <c r="D70" s="145"/>
      <c r="E70" s="145"/>
      <c r="F70" s="145"/>
      <c r="G70" s="145"/>
      <c r="H70" s="145"/>
      <c r="I70" s="145"/>
      <c r="J70" s="145"/>
      <c r="K70" s="145"/>
      <c r="L70" s="145"/>
      <c r="M70" s="145"/>
      <c r="N70" s="145"/>
      <c r="O70" s="145"/>
      <c r="P70" s="145"/>
      <c r="Q70" s="145"/>
      <c r="R70" s="145"/>
      <c r="S70" s="145"/>
      <c r="T70" s="201"/>
      <c r="U70" s="145"/>
      <c r="V70" s="145"/>
      <c r="W70" s="145"/>
      <c r="X70" s="145"/>
      <c r="Y70" s="145"/>
      <c r="Z70" s="145"/>
    </row>
    <row r="71" spans="1:26" ht="15.75" customHeight="1" x14ac:dyDescent="0.25">
      <c r="A71" s="145"/>
      <c r="B71" s="145"/>
      <c r="C71" s="145"/>
      <c r="D71" s="145"/>
      <c r="E71" s="145"/>
      <c r="F71" s="145"/>
      <c r="G71" s="145"/>
      <c r="H71" s="145"/>
      <c r="I71" s="145"/>
      <c r="J71" s="145"/>
      <c r="K71" s="145"/>
      <c r="L71" s="145"/>
      <c r="M71" s="145"/>
      <c r="N71" s="145"/>
      <c r="O71" s="145"/>
      <c r="P71" s="145"/>
      <c r="Q71" s="145"/>
      <c r="R71" s="145"/>
      <c r="S71" s="145"/>
      <c r="T71" s="201"/>
      <c r="U71" s="145"/>
      <c r="V71" s="145"/>
      <c r="W71" s="145"/>
      <c r="X71" s="145"/>
      <c r="Y71" s="145"/>
      <c r="Z71" s="145"/>
    </row>
    <row r="72" spans="1:26" ht="15.75" customHeight="1" x14ac:dyDescent="0.25">
      <c r="A72" s="145"/>
      <c r="B72" s="145"/>
      <c r="C72" s="145"/>
      <c r="D72" s="145"/>
      <c r="E72" s="145"/>
      <c r="F72" s="145"/>
      <c r="G72" s="145"/>
      <c r="H72" s="145"/>
      <c r="I72" s="145"/>
      <c r="J72" s="145"/>
      <c r="K72" s="145"/>
      <c r="L72" s="145"/>
      <c r="M72" s="145"/>
      <c r="N72" s="145"/>
      <c r="O72" s="145"/>
      <c r="P72" s="145"/>
      <c r="Q72" s="145"/>
      <c r="R72" s="145"/>
      <c r="S72" s="145"/>
      <c r="T72" s="201"/>
      <c r="U72" s="145"/>
      <c r="V72" s="145"/>
      <c r="W72" s="145"/>
      <c r="X72" s="145"/>
      <c r="Y72" s="145"/>
      <c r="Z72" s="145"/>
    </row>
    <row r="73" spans="1:26" ht="15.75" customHeight="1" x14ac:dyDescent="0.25">
      <c r="A73" s="145"/>
      <c r="B73" s="145"/>
      <c r="C73" s="145"/>
      <c r="D73" s="145"/>
      <c r="E73" s="145"/>
      <c r="F73" s="145"/>
      <c r="G73" s="145"/>
      <c r="H73" s="145"/>
      <c r="I73" s="145"/>
      <c r="J73" s="145"/>
      <c r="K73" s="145"/>
      <c r="L73" s="145"/>
      <c r="M73" s="145"/>
      <c r="N73" s="145"/>
      <c r="O73" s="145"/>
      <c r="P73" s="145"/>
      <c r="Q73" s="145"/>
      <c r="R73" s="145"/>
      <c r="S73" s="145"/>
      <c r="T73" s="201"/>
      <c r="U73" s="145"/>
      <c r="V73" s="145"/>
      <c r="W73" s="145"/>
      <c r="X73" s="145"/>
      <c r="Y73" s="145"/>
      <c r="Z73" s="145"/>
    </row>
    <row r="74" spans="1:26" ht="15.75" customHeight="1" x14ac:dyDescent="0.25">
      <c r="A74" s="145"/>
      <c r="B74" s="145"/>
      <c r="C74" s="145"/>
      <c r="D74" s="145"/>
      <c r="E74" s="145"/>
      <c r="F74" s="145"/>
      <c r="G74" s="145"/>
      <c r="H74" s="145"/>
      <c r="I74" s="145"/>
      <c r="J74" s="145"/>
      <c r="K74" s="145"/>
      <c r="L74" s="145"/>
      <c r="M74" s="145"/>
      <c r="N74" s="145"/>
      <c r="O74" s="145"/>
      <c r="P74" s="145"/>
      <c r="Q74" s="145"/>
      <c r="R74" s="145"/>
      <c r="S74" s="145"/>
      <c r="T74" s="201"/>
      <c r="U74" s="145"/>
      <c r="V74" s="145"/>
      <c r="W74" s="145"/>
      <c r="X74" s="145"/>
      <c r="Y74" s="145"/>
      <c r="Z74" s="145"/>
    </row>
    <row r="75" spans="1:26" ht="15.75" customHeight="1" x14ac:dyDescent="0.25">
      <c r="A75" s="145"/>
      <c r="B75" s="145"/>
      <c r="C75" s="145"/>
      <c r="D75" s="145"/>
      <c r="E75" s="145"/>
      <c r="F75" s="145"/>
      <c r="G75" s="145"/>
      <c r="H75" s="145"/>
      <c r="I75" s="145"/>
      <c r="J75" s="145"/>
      <c r="K75" s="145"/>
      <c r="L75" s="145"/>
      <c r="M75" s="145"/>
      <c r="N75" s="145"/>
      <c r="O75" s="145"/>
      <c r="P75" s="145"/>
      <c r="Q75" s="145"/>
      <c r="R75" s="145"/>
      <c r="S75" s="145"/>
      <c r="T75" s="201"/>
      <c r="U75" s="145"/>
      <c r="V75" s="145"/>
      <c r="W75" s="145"/>
      <c r="X75" s="145"/>
      <c r="Y75" s="145"/>
      <c r="Z75" s="145"/>
    </row>
    <row r="76" spans="1:26" ht="15.75" customHeight="1" x14ac:dyDescent="0.25">
      <c r="A76" s="145"/>
      <c r="B76" s="145"/>
      <c r="C76" s="145"/>
      <c r="D76" s="145"/>
      <c r="E76" s="145"/>
      <c r="F76" s="145"/>
      <c r="G76" s="145"/>
      <c r="H76" s="145"/>
      <c r="I76" s="145"/>
      <c r="J76" s="145"/>
      <c r="K76" s="145"/>
      <c r="L76" s="145"/>
      <c r="M76" s="145"/>
      <c r="N76" s="145"/>
      <c r="O76" s="145"/>
      <c r="P76" s="145"/>
      <c r="Q76" s="145"/>
      <c r="R76" s="145"/>
      <c r="S76" s="145"/>
      <c r="T76" s="201"/>
      <c r="U76" s="145"/>
      <c r="V76" s="145"/>
      <c r="W76" s="145"/>
      <c r="X76" s="145"/>
      <c r="Y76" s="145"/>
      <c r="Z76" s="145"/>
    </row>
    <row r="77" spans="1:26" ht="15.75" customHeight="1" x14ac:dyDescent="0.25">
      <c r="A77" s="145"/>
      <c r="B77" s="145"/>
      <c r="C77" s="145"/>
      <c r="D77" s="145"/>
      <c r="E77" s="145"/>
      <c r="F77" s="145"/>
      <c r="G77" s="145"/>
      <c r="H77" s="145"/>
      <c r="I77" s="145"/>
      <c r="J77" s="145"/>
      <c r="K77" s="145"/>
      <c r="L77" s="145"/>
      <c r="M77" s="145"/>
      <c r="N77" s="145"/>
      <c r="O77" s="145"/>
      <c r="P77" s="145"/>
      <c r="Q77" s="145"/>
      <c r="R77" s="145"/>
      <c r="S77" s="145"/>
      <c r="T77" s="201"/>
      <c r="U77" s="145"/>
      <c r="V77" s="145"/>
      <c r="W77" s="145"/>
      <c r="X77" s="145"/>
      <c r="Y77" s="145"/>
      <c r="Z77" s="145"/>
    </row>
    <row r="78" spans="1:26" ht="15.75" customHeight="1" x14ac:dyDescent="0.25">
      <c r="A78" s="145"/>
      <c r="B78" s="145"/>
      <c r="C78" s="145"/>
      <c r="D78" s="145"/>
      <c r="E78" s="145"/>
      <c r="F78" s="145"/>
      <c r="G78" s="145"/>
      <c r="H78" s="145"/>
      <c r="I78" s="145"/>
      <c r="J78" s="145"/>
      <c r="K78" s="145"/>
      <c r="L78" s="145"/>
      <c r="M78" s="145"/>
      <c r="N78" s="145"/>
      <c r="O78" s="145"/>
      <c r="P78" s="145"/>
      <c r="Q78" s="145"/>
      <c r="R78" s="145"/>
      <c r="S78" s="145"/>
      <c r="T78" s="201"/>
      <c r="U78" s="145"/>
      <c r="V78" s="145"/>
      <c r="W78" s="145"/>
      <c r="X78" s="145"/>
      <c r="Y78" s="145"/>
      <c r="Z78" s="145"/>
    </row>
    <row r="79" spans="1:26" ht="15.75" customHeight="1" x14ac:dyDescent="0.25">
      <c r="A79" s="145"/>
      <c r="B79" s="145"/>
      <c r="C79" s="145"/>
      <c r="D79" s="145"/>
      <c r="E79" s="145"/>
      <c r="F79" s="145"/>
      <c r="G79" s="145"/>
      <c r="H79" s="145"/>
      <c r="I79" s="145"/>
      <c r="J79" s="145"/>
      <c r="K79" s="145"/>
      <c r="L79" s="145"/>
      <c r="M79" s="145"/>
      <c r="N79" s="145"/>
      <c r="O79" s="145"/>
      <c r="P79" s="145"/>
      <c r="Q79" s="145"/>
      <c r="R79" s="145"/>
      <c r="S79" s="145"/>
      <c r="T79" s="201"/>
      <c r="U79" s="145"/>
      <c r="V79" s="145"/>
      <c r="W79" s="145"/>
      <c r="X79" s="145"/>
      <c r="Y79" s="145"/>
      <c r="Z79" s="145"/>
    </row>
    <row r="80" spans="1:26" ht="15.75" customHeight="1" x14ac:dyDescent="0.25">
      <c r="A80" s="145"/>
      <c r="B80" s="145"/>
      <c r="C80" s="145"/>
      <c r="D80" s="145"/>
      <c r="E80" s="145"/>
      <c r="F80" s="145"/>
      <c r="G80" s="145"/>
      <c r="H80" s="145"/>
      <c r="I80" s="145"/>
      <c r="J80" s="145"/>
      <c r="K80" s="145"/>
      <c r="L80" s="145"/>
      <c r="M80" s="145"/>
      <c r="N80" s="145"/>
      <c r="O80" s="145"/>
      <c r="P80" s="145"/>
      <c r="Q80" s="145"/>
      <c r="R80" s="145"/>
      <c r="S80" s="145"/>
      <c r="T80" s="201"/>
      <c r="U80" s="145"/>
      <c r="V80" s="145"/>
      <c r="W80" s="145"/>
      <c r="X80" s="145"/>
      <c r="Y80" s="145"/>
      <c r="Z80" s="145"/>
    </row>
    <row r="81" spans="1:26" ht="15.75" customHeight="1" x14ac:dyDescent="0.25">
      <c r="A81" s="145"/>
      <c r="B81" s="145"/>
      <c r="C81" s="145"/>
      <c r="D81" s="145"/>
      <c r="E81" s="145"/>
      <c r="F81" s="145"/>
      <c r="G81" s="145"/>
      <c r="H81" s="145"/>
      <c r="I81" s="145"/>
      <c r="J81" s="145"/>
      <c r="K81" s="145"/>
      <c r="L81" s="145"/>
      <c r="M81" s="145"/>
      <c r="N81" s="145"/>
      <c r="O81" s="145"/>
      <c r="P81" s="145"/>
      <c r="Q81" s="145"/>
      <c r="R81" s="145"/>
      <c r="S81" s="145"/>
      <c r="T81" s="201"/>
      <c r="U81" s="145"/>
      <c r="V81" s="145"/>
      <c r="W81" s="145"/>
      <c r="X81" s="145"/>
      <c r="Y81" s="145"/>
      <c r="Z81" s="145"/>
    </row>
    <row r="82" spans="1:26" ht="15.75" customHeight="1" x14ac:dyDescent="0.25">
      <c r="A82" s="145"/>
      <c r="B82" s="145"/>
      <c r="C82" s="145"/>
      <c r="D82" s="145"/>
      <c r="E82" s="145"/>
      <c r="F82" s="145"/>
      <c r="G82" s="145"/>
      <c r="H82" s="145"/>
      <c r="I82" s="145"/>
      <c r="J82" s="145"/>
      <c r="K82" s="145"/>
      <c r="L82" s="145"/>
      <c r="M82" s="145"/>
      <c r="N82" s="145"/>
      <c r="O82" s="145"/>
      <c r="P82" s="145"/>
      <c r="Q82" s="145"/>
      <c r="R82" s="145"/>
      <c r="S82" s="145"/>
      <c r="T82" s="201"/>
      <c r="U82" s="145"/>
      <c r="V82" s="145"/>
      <c r="W82" s="145"/>
      <c r="X82" s="145"/>
      <c r="Y82" s="145"/>
      <c r="Z82" s="145"/>
    </row>
    <row r="83" spans="1:26" ht="15.75" customHeight="1" x14ac:dyDescent="0.25">
      <c r="A83" s="145"/>
      <c r="B83" s="145"/>
      <c r="C83" s="145"/>
      <c r="D83" s="145"/>
      <c r="E83" s="145"/>
      <c r="F83" s="145"/>
      <c r="G83" s="145"/>
      <c r="H83" s="145"/>
      <c r="I83" s="145"/>
      <c r="J83" s="145"/>
      <c r="K83" s="145"/>
      <c r="L83" s="145"/>
      <c r="M83" s="145"/>
      <c r="N83" s="145"/>
      <c r="O83" s="145"/>
      <c r="P83" s="145"/>
      <c r="Q83" s="145"/>
      <c r="R83" s="145"/>
      <c r="S83" s="145"/>
      <c r="T83" s="201"/>
      <c r="U83" s="145"/>
      <c r="V83" s="145"/>
      <c r="W83" s="145"/>
      <c r="X83" s="145"/>
      <c r="Y83" s="145"/>
      <c r="Z83" s="145"/>
    </row>
    <row r="84" spans="1:26" ht="15.75" customHeight="1" x14ac:dyDescent="0.25">
      <c r="A84" s="145"/>
      <c r="B84" s="145"/>
      <c r="C84" s="145"/>
      <c r="D84" s="145"/>
      <c r="E84" s="145"/>
      <c r="F84" s="145"/>
      <c r="G84" s="145"/>
      <c r="H84" s="145"/>
      <c r="I84" s="145"/>
      <c r="J84" s="145"/>
      <c r="K84" s="145"/>
      <c r="L84" s="145"/>
      <c r="M84" s="145"/>
      <c r="N84" s="145"/>
      <c r="O84" s="145"/>
      <c r="P84" s="145"/>
      <c r="Q84" s="145"/>
      <c r="R84" s="145"/>
      <c r="S84" s="145"/>
      <c r="T84" s="201"/>
      <c r="U84" s="145"/>
      <c r="V84" s="145"/>
      <c r="W84" s="145"/>
      <c r="X84" s="145"/>
      <c r="Y84" s="145"/>
      <c r="Z84" s="145"/>
    </row>
    <row r="85" spans="1:26" ht="15.75" customHeight="1" x14ac:dyDescent="0.25">
      <c r="A85" s="145"/>
      <c r="B85" s="145"/>
      <c r="C85" s="145"/>
      <c r="D85" s="145"/>
      <c r="E85" s="145"/>
      <c r="F85" s="145"/>
      <c r="G85" s="145"/>
      <c r="H85" s="145"/>
      <c r="I85" s="145"/>
      <c r="J85" s="145"/>
      <c r="K85" s="145"/>
      <c r="L85" s="145"/>
      <c r="M85" s="145"/>
      <c r="N85" s="145"/>
      <c r="O85" s="145"/>
      <c r="P85" s="145"/>
      <c r="Q85" s="145"/>
      <c r="R85" s="145"/>
      <c r="S85" s="145"/>
      <c r="T85" s="201"/>
      <c r="U85" s="145"/>
      <c r="V85" s="145"/>
      <c r="W85" s="145"/>
      <c r="X85" s="145"/>
      <c r="Y85" s="145"/>
      <c r="Z85" s="145"/>
    </row>
    <row r="86" spans="1:26" ht="15.75" customHeight="1" x14ac:dyDescent="0.25">
      <c r="A86" s="145"/>
      <c r="B86" s="145"/>
      <c r="C86" s="145"/>
      <c r="D86" s="145"/>
      <c r="E86" s="145"/>
      <c r="F86" s="145"/>
      <c r="G86" s="145"/>
      <c r="H86" s="145"/>
      <c r="I86" s="145"/>
      <c r="J86" s="145"/>
      <c r="K86" s="145"/>
      <c r="L86" s="145"/>
      <c r="M86" s="145"/>
      <c r="N86" s="145"/>
      <c r="O86" s="145"/>
      <c r="P86" s="145"/>
      <c r="Q86" s="145"/>
      <c r="R86" s="145"/>
      <c r="S86" s="145"/>
      <c r="T86" s="201"/>
      <c r="U86" s="145"/>
      <c r="V86" s="145"/>
      <c r="W86" s="145"/>
      <c r="X86" s="145"/>
      <c r="Y86" s="145"/>
      <c r="Z86" s="145"/>
    </row>
    <row r="87" spans="1:26" ht="15.75" customHeight="1" x14ac:dyDescent="0.25">
      <c r="A87" s="145"/>
      <c r="B87" s="145"/>
      <c r="C87" s="145"/>
      <c r="D87" s="145"/>
      <c r="E87" s="145"/>
      <c r="F87" s="145"/>
      <c r="G87" s="145"/>
      <c r="H87" s="145"/>
      <c r="I87" s="145"/>
      <c r="J87" s="145"/>
      <c r="K87" s="145"/>
      <c r="L87" s="145"/>
      <c r="M87" s="145"/>
      <c r="N87" s="145"/>
      <c r="O87" s="145"/>
      <c r="P87" s="145"/>
      <c r="Q87" s="145"/>
      <c r="R87" s="145"/>
      <c r="S87" s="145"/>
      <c r="T87" s="201"/>
      <c r="U87" s="145"/>
      <c r="V87" s="145"/>
      <c r="W87" s="145"/>
      <c r="X87" s="145"/>
      <c r="Y87" s="145"/>
      <c r="Z87" s="145"/>
    </row>
    <row r="88" spans="1:26" ht="15.75" customHeight="1" x14ac:dyDescent="0.25">
      <c r="A88" s="145"/>
      <c r="B88" s="145"/>
      <c r="C88" s="145"/>
      <c r="D88" s="145"/>
      <c r="E88" s="145"/>
      <c r="F88" s="145"/>
      <c r="G88" s="145"/>
      <c r="H88" s="145"/>
      <c r="I88" s="145"/>
      <c r="J88" s="145"/>
      <c r="K88" s="145"/>
      <c r="L88" s="145"/>
      <c r="M88" s="145"/>
      <c r="N88" s="145"/>
      <c r="O88" s="145"/>
      <c r="P88" s="145"/>
      <c r="Q88" s="145"/>
      <c r="R88" s="145"/>
      <c r="S88" s="145"/>
      <c r="T88" s="201"/>
      <c r="U88" s="145"/>
      <c r="V88" s="145"/>
      <c r="W88" s="145"/>
      <c r="X88" s="145"/>
      <c r="Y88" s="145"/>
      <c r="Z88" s="145"/>
    </row>
    <row r="89" spans="1:26" ht="15.75" customHeight="1" x14ac:dyDescent="0.25">
      <c r="A89" s="145"/>
      <c r="B89" s="145"/>
      <c r="C89" s="145"/>
      <c r="D89" s="145"/>
      <c r="E89" s="145"/>
      <c r="F89" s="145"/>
      <c r="G89" s="145"/>
      <c r="H89" s="145"/>
      <c r="I89" s="145"/>
      <c r="J89" s="145"/>
      <c r="K89" s="145"/>
      <c r="L89" s="145"/>
      <c r="M89" s="145"/>
      <c r="N89" s="145"/>
      <c r="O89" s="145"/>
      <c r="P89" s="145"/>
      <c r="Q89" s="145"/>
      <c r="R89" s="145"/>
      <c r="S89" s="145"/>
      <c r="T89" s="201"/>
      <c r="U89" s="145"/>
      <c r="V89" s="145"/>
      <c r="W89" s="145"/>
      <c r="X89" s="145"/>
      <c r="Y89" s="145"/>
      <c r="Z89" s="145"/>
    </row>
    <row r="90" spans="1:26" ht="15.75" customHeight="1" x14ac:dyDescent="0.25">
      <c r="A90" s="145"/>
      <c r="B90" s="145"/>
      <c r="C90" s="145"/>
      <c r="D90" s="145"/>
      <c r="E90" s="145"/>
      <c r="F90" s="145"/>
      <c r="G90" s="145"/>
      <c r="H90" s="145"/>
      <c r="I90" s="145"/>
      <c r="J90" s="145"/>
      <c r="K90" s="145"/>
      <c r="L90" s="145"/>
      <c r="M90" s="145"/>
      <c r="N90" s="145"/>
      <c r="O90" s="145"/>
      <c r="P90" s="145"/>
      <c r="Q90" s="145"/>
      <c r="R90" s="145"/>
      <c r="S90" s="145"/>
      <c r="T90" s="201"/>
      <c r="U90" s="145"/>
      <c r="V90" s="145"/>
      <c r="W90" s="145"/>
      <c r="X90" s="145"/>
      <c r="Y90" s="145"/>
      <c r="Z90" s="145"/>
    </row>
    <row r="91" spans="1:26" ht="15.75" customHeight="1" x14ac:dyDescent="0.25">
      <c r="A91" s="145"/>
      <c r="B91" s="145"/>
      <c r="C91" s="145"/>
      <c r="D91" s="145"/>
      <c r="E91" s="145"/>
      <c r="F91" s="145"/>
      <c r="G91" s="145"/>
      <c r="H91" s="145"/>
      <c r="I91" s="145"/>
      <c r="J91" s="145"/>
      <c r="K91" s="145"/>
      <c r="L91" s="145"/>
      <c r="M91" s="145"/>
      <c r="N91" s="145"/>
      <c r="O91" s="145"/>
      <c r="P91" s="145"/>
      <c r="Q91" s="145"/>
      <c r="R91" s="145"/>
      <c r="S91" s="145"/>
      <c r="T91" s="201"/>
      <c r="U91" s="145"/>
      <c r="V91" s="145"/>
      <c r="W91" s="145"/>
      <c r="X91" s="145"/>
      <c r="Y91" s="145"/>
      <c r="Z91" s="145"/>
    </row>
    <row r="92" spans="1:26" ht="15.75" customHeight="1" x14ac:dyDescent="0.25">
      <c r="A92" s="145"/>
      <c r="B92" s="145"/>
      <c r="C92" s="145"/>
      <c r="D92" s="145"/>
      <c r="E92" s="145"/>
      <c r="F92" s="145"/>
      <c r="G92" s="145"/>
      <c r="H92" s="145"/>
      <c r="I92" s="145"/>
      <c r="J92" s="145"/>
      <c r="K92" s="145"/>
      <c r="L92" s="145"/>
      <c r="M92" s="145"/>
      <c r="N92" s="145"/>
      <c r="O92" s="145"/>
      <c r="P92" s="145"/>
      <c r="Q92" s="145"/>
      <c r="R92" s="145"/>
      <c r="S92" s="145"/>
      <c r="T92" s="201"/>
      <c r="U92" s="145"/>
      <c r="V92" s="145"/>
      <c r="W92" s="145"/>
      <c r="X92" s="145"/>
      <c r="Y92" s="145"/>
      <c r="Z92" s="145"/>
    </row>
    <row r="93" spans="1:26" ht="15.75" customHeight="1" x14ac:dyDescent="0.25">
      <c r="A93" s="145"/>
      <c r="B93" s="145"/>
      <c r="C93" s="145"/>
      <c r="D93" s="145"/>
      <c r="E93" s="145"/>
      <c r="F93" s="145"/>
      <c r="G93" s="145"/>
      <c r="H93" s="145"/>
      <c r="I93" s="145"/>
      <c r="J93" s="145"/>
      <c r="K93" s="145"/>
      <c r="L93" s="145"/>
      <c r="M93" s="145"/>
      <c r="N93" s="145"/>
      <c r="O93" s="145"/>
      <c r="P93" s="145"/>
      <c r="Q93" s="145"/>
      <c r="R93" s="145"/>
      <c r="S93" s="145"/>
      <c r="T93" s="201"/>
      <c r="U93" s="145"/>
      <c r="V93" s="145"/>
      <c r="W93" s="145"/>
      <c r="X93" s="145"/>
      <c r="Y93" s="145"/>
      <c r="Z93" s="145"/>
    </row>
    <row r="94" spans="1:26" ht="15.75" customHeight="1" x14ac:dyDescent="0.25">
      <c r="A94" s="145"/>
      <c r="B94" s="145"/>
      <c r="C94" s="145"/>
      <c r="D94" s="145"/>
      <c r="E94" s="145"/>
      <c r="F94" s="145"/>
      <c r="G94" s="145"/>
      <c r="H94" s="145"/>
      <c r="I94" s="145"/>
      <c r="J94" s="145"/>
      <c r="K94" s="145"/>
      <c r="L94" s="145"/>
      <c r="M94" s="145"/>
      <c r="N94" s="145"/>
      <c r="O94" s="145"/>
      <c r="P94" s="145"/>
      <c r="Q94" s="145"/>
      <c r="R94" s="145"/>
      <c r="S94" s="145"/>
      <c r="T94" s="201"/>
      <c r="U94" s="145"/>
      <c r="V94" s="145"/>
      <c r="W94" s="145"/>
      <c r="X94" s="145"/>
      <c r="Y94" s="145"/>
      <c r="Z94" s="145"/>
    </row>
    <row r="95" spans="1:26" ht="15.75" customHeight="1" x14ac:dyDescent="0.25">
      <c r="A95" s="145"/>
      <c r="B95" s="145"/>
      <c r="C95" s="145"/>
      <c r="D95" s="145"/>
      <c r="E95" s="145"/>
      <c r="F95" s="145"/>
      <c r="G95" s="145"/>
      <c r="H95" s="145"/>
      <c r="I95" s="145"/>
      <c r="J95" s="145"/>
      <c r="K95" s="145"/>
      <c r="L95" s="145"/>
      <c r="M95" s="145"/>
      <c r="N95" s="145"/>
      <c r="O95" s="145"/>
      <c r="P95" s="145"/>
      <c r="Q95" s="145"/>
      <c r="R95" s="145"/>
      <c r="S95" s="145"/>
      <c r="T95" s="201"/>
      <c r="U95" s="145"/>
      <c r="V95" s="145"/>
      <c r="W95" s="145"/>
      <c r="X95" s="145"/>
      <c r="Y95" s="145"/>
      <c r="Z95" s="145"/>
    </row>
    <row r="96" spans="1:26" ht="15.75" customHeight="1" x14ac:dyDescent="0.25">
      <c r="A96" s="145"/>
      <c r="B96" s="145"/>
      <c r="C96" s="145"/>
      <c r="D96" s="145"/>
      <c r="E96" s="145"/>
      <c r="F96" s="145"/>
      <c r="G96" s="145"/>
      <c r="H96" s="145"/>
      <c r="I96" s="145"/>
      <c r="J96" s="145"/>
      <c r="K96" s="145"/>
      <c r="L96" s="145"/>
      <c r="M96" s="145"/>
      <c r="N96" s="145"/>
      <c r="O96" s="145"/>
      <c r="P96" s="145"/>
      <c r="Q96" s="145"/>
      <c r="R96" s="145"/>
      <c r="S96" s="145"/>
      <c r="T96" s="201"/>
      <c r="U96" s="145"/>
      <c r="V96" s="145"/>
      <c r="W96" s="145"/>
      <c r="X96" s="145"/>
      <c r="Y96" s="145"/>
      <c r="Z96" s="145"/>
    </row>
    <row r="97" spans="1:26" ht="15.75" customHeight="1" x14ac:dyDescent="0.25">
      <c r="A97" s="145"/>
      <c r="B97" s="145"/>
      <c r="C97" s="145"/>
      <c r="D97" s="145"/>
      <c r="E97" s="145"/>
      <c r="F97" s="145"/>
      <c r="G97" s="145"/>
      <c r="H97" s="145"/>
      <c r="I97" s="145"/>
      <c r="J97" s="145"/>
      <c r="K97" s="145"/>
      <c r="L97" s="145"/>
      <c r="M97" s="145"/>
      <c r="N97" s="145"/>
      <c r="O97" s="145"/>
      <c r="P97" s="145"/>
      <c r="Q97" s="145"/>
      <c r="R97" s="145"/>
      <c r="S97" s="145"/>
      <c r="T97" s="201"/>
      <c r="U97" s="145"/>
      <c r="V97" s="145"/>
      <c r="W97" s="145"/>
      <c r="X97" s="145"/>
      <c r="Y97" s="145"/>
      <c r="Z97" s="145"/>
    </row>
    <row r="98" spans="1:26" ht="15.75" customHeight="1" x14ac:dyDescent="0.25">
      <c r="A98" s="145"/>
      <c r="B98" s="145"/>
      <c r="C98" s="145"/>
      <c r="D98" s="145"/>
      <c r="E98" s="145"/>
      <c r="F98" s="145"/>
      <c r="G98" s="145"/>
      <c r="H98" s="145"/>
      <c r="I98" s="145"/>
      <c r="J98" s="145"/>
      <c r="K98" s="145"/>
      <c r="L98" s="145"/>
      <c r="M98" s="145"/>
      <c r="N98" s="145"/>
      <c r="O98" s="145"/>
      <c r="P98" s="145"/>
      <c r="Q98" s="145"/>
      <c r="R98" s="145"/>
      <c r="S98" s="145"/>
      <c r="T98" s="201"/>
      <c r="U98" s="145"/>
      <c r="V98" s="145"/>
      <c r="W98" s="145"/>
      <c r="X98" s="145"/>
      <c r="Y98" s="145"/>
      <c r="Z98" s="145"/>
    </row>
    <row r="99" spans="1:26" ht="15.75" customHeight="1" x14ac:dyDescent="0.25">
      <c r="A99" s="145"/>
      <c r="B99" s="145"/>
      <c r="C99" s="145"/>
      <c r="D99" s="145"/>
      <c r="E99" s="145"/>
      <c r="F99" s="145"/>
      <c r="G99" s="145"/>
      <c r="H99" s="145"/>
      <c r="I99" s="145"/>
      <c r="J99" s="145"/>
      <c r="K99" s="145"/>
      <c r="L99" s="145"/>
      <c r="M99" s="145"/>
      <c r="N99" s="145"/>
      <c r="O99" s="145"/>
      <c r="P99" s="145"/>
      <c r="Q99" s="145"/>
      <c r="R99" s="145"/>
      <c r="S99" s="145"/>
      <c r="T99" s="201"/>
      <c r="U99" s="145"/>
      <c r="V99" s="145"/>
      <c r="W99" s="145"/>
      <c r="X99" s="145"/>
      <c r="Y99" s="145"/>
      <c r="Z99" s="145"/>
    </row>
    <row r="100" spans="1:26" ht="15.75" customHeight="1" x14ac:dyDescent="0.25">
      <c r="A100" s="145"/>
      <c r="B100" s="145"/>
      <c r="C100" s="145"/>
      <c r="D100" s="145"/>
      <c r="E100" s="145"/>
      <c r="F100" s="145"/>
      <c r="G100" s="145"/>
      <c r="H100" s="145"/>
      <c r="I100" s="145"/>
      <c r="J100" s="145"/>
      <c r="K100" s="145"/>
      <c r="L100" s="145"/>
      <c r="M100" s="145"/>
      <c r="N100" s="145"/>
      <c r="O100" s="145"/>
      <c r="P100" s="145"/>
      <c r="Q100" s="145"/>
      <c r="R100" s="145"/>
      <c r="S100" s="145"/>
      <c r="T100" s="201"/>
      <c r="U100" s="145"/>
      <c r="V100" s="145"/>
      <c r="W100" s="145"/>
      <c r="X100" s="145"/>
      <c r="Y100" s="145"/>
      <c r="Z100" s="145"/>
    </row>
    <row r="101" spans="1:26" ht="15.75" customHeight="1" x14ac:dyDescent="0.25">
      <c r="A101" s="145"/>
      <c r="B101" s="145"/>
      <c r="C101" s="145"/>
      <c r="D101" s="145"/>
      <c r="E101" s="145"/>
      <c r="F101" s="145"/>
      <c r="G101" s="145"/>
      <c r="H101" s="145"/>
      <c r="I101" s="145"/>
      <c r="J101" s="145"/>
      <c r="K101" s="145"/>
      <c r="L101" s="145"/>
      <c r="M101" s="145"/>
      <c r="N101" s="145"/>
      <c r="O101" s="145"/>
      <c r="P101" s="145"/>
      <c r="Q101" s="145"/>
      <c r="R101" s="145"/>
      <c r="S101" s="145"/>
      <c r="T101" s="201"/>
      <c r="U101" s="145"/>
      <c r="V101" s="145"/>
      <c r="W101" s="145"/>
      <c r="X101" s="145"/>
      <c r="Y101" s="145"/>
      <c r="Z101" s="145"/>
    </row>
    <row r="102" spans="1:26" ht="15.75" customHeight="1" x14ac:dyDescent="0.25">
      <c r="A102" s="145"/>
      <c r="B102" s="145"/>
      <c r="C102" s="145"/>
      <c r="D102" s="145"/>
      <c r="E102" s="145"/>
      <c r="F102" s="145"/>
      <c r="G102" s="145"/>
      <c r="H102" s="145"/>
      <c r="I102" s="145"/>
      <c r="J102" s="145"/>
      <c r="K102" s="145"/>
      <c r="L102" s="145"/>
      <c r="M102" s="145"/>
      <c r="N102" s="145"/>
      <c r="O102" s="145"/>
      <c r="P102" s="145"/>
      <c r="Q102" s="145"/>
      <c r="R102" s="145"/>
      <c r="S102" s="145"/>
      <c r="T102" s="201"/>
      <c r="U102" s="145"/>
      <c r="V102" s="145"/>
      <c r="W102" s="145"/>
      <c r="X102" s="145"/>
      <c r="Y102" s="145"/>
      <c r="Z102" s="145"/>
    </row>
    <row r="103" spans="1:26" ht="15.75" customHeight="1" x14ac:dyDescent="0.25">
      <c r="A103" s="145"/>
      <c r="B103" s="145"/>
      <c r="C103" s="145"/>
      <c r="D103" s="145"/>
      <c r="E103" s="145"/>
      <c r="F103" s="145"/>
      <c r="G103" s="145"/>
      <c r="H103" s="145"/>
      <c r="I103" s="145"/>
      <c r="J103" s="145"/>
      <c r="K103" s="145"/>
      <c r="L103" s="145"/>
      <c r="M103" s="145"/>
      <c r="N103" s="145"/>
      <c r="O103" s="145"/>
      <c r="P103" s="145"/>
      <c r="Q103" s="145"/>
      <c r="R103" s="145"/>
      <c r="S103" s="145"/>
      <c r="T103" s="201"/>
      <c r="U103" s="145"/>
      <c r="V103" s="145"/>
      <c r="W103" s="145"/>
      <c r="X103" s="145"/>
      <c r="Y103" s="145"/>
      <c r="Z103" s="145"/>
    </row>
    <row r="104" spans="1:26" ht="15.75" customHeight="1" x14ac:dyDescent="0.25">
      <c r="A104" s="145"/>
      <c r="B104" s="145"/>
      <c r="C104" s="145"/>
      <c r="D104" s="145"/>
      <c r="E104" s="145"/>
      <c r="F104" s="145"/>
      <c r="G104" s="145"/>
      <c r="H104" s="145"/>
      <c r="I104" s="145"/>
      <c r="J104" s="145"/>
      <c r="K104" s="145"/>
      <c r="L104" s="145"/>
      <c r="M104" s="145"/>
      <c r="N104" s="145"/>
      <c r="O104" s="145"/>
      <c r="P104" s="145"/>
      <c r="Q104" s="145"/>
      <c r="R104" s="145"/>
      <c r="S104" s="145"/>
      <c r="T104" s="201"/>
      <c r="U104" s="145"/>
      <c r="V104" s="145"/>
      <c r="W104" s="145"/>
      <c r="X104" s="145"/>
      <c r="Y104" s="145"/>
      <c r="Z104" s="145"/>
    </row>
    <row r="105" spans="1:26" ht="15.75" customHeight="1" x14ac:dyDescent="0.25">
      <c r="A105" s="145"/>
      <c r="B105" s="145"/>
      <c r="C105" s="145"/>
      <c r="D105" s="145"/>
      <c r="E105" s="145"/>
      <c r="F105" s="145"/>
      <c r="G105" s="145"/>
      <c r="H105" s="145"/>
      <c r="I105" s="145"/>
      <c r="J105" s="145"/>
      <c r="K105" s="145"/>
      <c r="L105" s="145"/>
      <c r="M105" s="145"/>
      <c r="N105" s="145"/>
      <c r="O105" s="145"/>
      <c r="P105" s="145"/>
      <c r="Q105" s="145"/>
      <c r="R105" s="145"/>
      <c r="S105" s="145"/>
      <c r="T105" s="201"/>
      <c r="U105" s="145"/>
      <c r="V105" s="145"/>
      <c r="W105" s="145"/>
      <c r="X105" s="145"/>
      <c r="Y105" s="145"/>
      <c r="Z105" s="145"/>
    </row>
    <row r="106" spans="1:26" ht="15.75" customHeight="1" x14ac:dyDescent="0.25">
      <c r="A106" s="145"/>
      <c r="B106" s="145"/>
      <c r="C106" s="145"/>
      <c r="D106" s="145"/>
      <c r="E106" s="145"/>
      <c r="F106" s="145"/>
      <c r="G106" s="145"/>
      <c r="H106" s="145"/>
      <c r="I106" s="145"/>
      <c r="J106" s="145"/>
      <c r="K106" s="145"/>
      <c r="L106" s="145"/>
      <c r="M106" s="145"/>
      <c r="N106" s="145"/>
      <c r="O106" s="145"/>
      <c r="P106" s="145"/>
      <c r="Q106" s="145"/>
      <c r="R106" s="145"/>
      <c r="S106" s="145"/>
      <c r="T106" s="201"/>
      <c r="U106" s="145"/>
      <c r="V106" s="145"/>
      <c r="W106" s="145"/>
      <c r="X106" s="145"/>
      <c r="Y106" s="145"/>
      <c r="Z106" s="145"/>
    </row>
    <row r="107" spans="1:26" ht="15.75" customHeight="1" x14ac:dyDescent="0.25">
      <c r="A107" s="145"/>
      <c r="B107" s="145"/>
      <c r="C107" s="145"/>
      <c r="D107" s="145"/>
      <c r="E107" s="145"/>
      <c r="F107" s="145"/>
      <c r="G107" s="145"/>
      <c r="H107" s="145"/>
      <c r="I107" s="145"/>
      <c r="J107" s="145"/>
      <c r="K107" s="145"/>
      <c r="L107" s="145"/>
      <c r="M107" s="145"/>
      <c r="N107" s="145"/>
      <c r="O107" s="145"/>
      <c r="P107" s="145"/>
      <c r="Q107" s="145"/>
      <c r="R107" s="145"/>
      <c r="S107" s="145"/>
      <c r="T107" s="201"/>
      <c r="U107" s="145"/>
      <c r="V107" s="145"/>
      <c r="W107" s="145"/>
      <c r="X107" s="145"/>
      <c r="Y107" s="145"/>
      <c r="Z107" s="145"/>
    </row>
    <row r="108" spans="1:26" ht="15.75" customHeight="1" x14ac:dyDescent="0.25">
      <c r="A108" s="145"/>
      <c r="B108" s="145"/>
      <c r="C108" s="145"/>
      <c r="D108" s="145"/>
      <c r="E108" s="145"/>
      <c r="F108" s="145"/>
      <c r="G108" s="145"/>
      <c r="H108" s="145"/>
      <c r="I108" s="145"/>
      <c r="J108" s="145"/>
      <c r="K108" s="145"/>
      <c r="L108" s="145"/>
      <c r="M108" s="145"/>
      <c r="N108" s="145"/>
      <c r="O108" s="145"/>
      <c r="P108" s="145"/>
      <c r="Q108" s="145"/>
      <c r="R108" s="145"/>
      <c r="S108" s="145"/>
      <c r="T108" s="201"/>
      <c r="U108" s="145"/>
      <c r="V108" s="145"/>
      <c r="W108" s="145"/>
      <c r="X108" s="145"/>
      <c r="Y108" s="145"/>
      <c r="Z108" s="145"/>
    </row>
    <row r="109" spans="1:26" ht="15.75" customHeight="1" x14ac:dyDescent="0.25">
      <c r="A109" s="145"/>
      <c r="B109" s="145"/>
      <c r="C109" s="145"/>
      <c r="D109" s="145"/>
      <c r="E109" s="145"/>
      <c r="F109" s="145"/>
      <c r="G109" s="145"/>
      <c r="H109" s="145"/>
      <c r="I109" s="145"/>
      <c r="J109" s="145"/>
      <c r="K109" s="145"/>
      <c r="L109" s="145"/>
      <c r="M109" s="145"/>
      <c r="N109" s="145"/>
      <c r="O109" s="145"/>
      <c r="P109" s="145"/>
      <c r="Q109" s="145"/>
      <c r="R109" s="145"/>
      <c r="S109" s="145"/>
      <c r="T109" s="201"/>
      <c r="U109" s="145"/>
      <c r="V109" s="145"/>
      <c r="W109" s="145"/>
      <c r="X109" s="145"/>
      <c r="Y109" s="145"/>
      <c r="Z109" s="145"/>
    </row>
    <row r="110" spans="1:26" ht="15.75" customHeight="1" x14ac:dyDescent="0.25">
      <c r="A110" s="145"/>
      <c r="B110" s="145"/>
      <c r="C110" s="145"/>
      <c r="D110" s="145"/>
      <c r="E110" s="145"/>
      <c r="F110" s="145"/>
      <c r="G110" s="145"/>
      <c r="H110" s="145"/>
      <c r="I110" s="145"/>
      <c r="J110" s="145"/>
      <c r="K110" s="145"/>
      <c r="L110" s="145"/>
      <c r="M110" s="145"/>
      <c r="N110" s="145"/>
      <c r="O110" s="145"/>
      <c r="P110" s="145"/>
      <c r="Q110" s="145"/>
      <c r="R110" s="145"/>
      <c r="S110" s="145"/>
      <c r="T110" s="201"/>
      <c r="U110" s="145"/>
      <c r="V110" s="145"/>
      <c r="W110" s="145"/>
      <c r="X110" s="145"/>
      <c r="Y110" s="145"/>
      <c r="Z110" s="145"/>
    </row>
    <row r="111" spans="1:26" ht="15.75" customHeight="1" x14ac:dyDescent="0.25">
      <c r="A111" s="145"/>
      <c r="B111" s="145"/>
      <c r="C111" s="145"/>
      <c r="D111" s="145"/>
      <c r="E111" s="145"/>
      <c r="F111" s="145"/>
      <c r="G111" s="145"/>
      <c r="H111" s="145"/>
      <c r="I111" s="145"/>
      <c r="J111" s="145"/>
      <c r="K111" s="145"/>
      <c r="L111" s="145"/>
      <c r="M111" s="145"/>
      <c r="N111" s="145"/>
      <c r="O111" s="145"/>
      <c r="P111" s="145"/>
      <c r="Q111" s="145"/>
      <c r="R111" s="145"/>
      <c r="S111" s="145"/>
      <c r="T111" s="201"/>
      <c r="U111" s="145"/>
      <c r="V111" s="145"/>
      <c r="W111" s="145"/>
      <c r="X111" s="145"/>
      <c r="Y111" s="145"/>
      <c r="Z111" s="145"/>
    </row>
    <row r="112" spans="1:26" ht="15.75" customHeight="1" x14ac:dyDescent="0.25">
      <c r="A112" s="145"/>
      <c r="B112" s="145"/>
      <c r="C112" s="145"/>
      <c r="D112" s="145"/>
      <c r="E112" s="145"/>
      <c r="F112" s="145"/>
      <c r="G112" s="145"/>
      <c r="H112" s="145"/>
      <c r="I112" s="145"/>
      <c r="J112" s="145"/>
      <c r="K112" s="145"/>
      <c r="L112" s="145"/>
      <c r="M112" s="145"/>
      <c r="N112" s="145"/>
      <c r="O112" s="145"/>
      <c r="P112" s="145"/>
      <c r="Q112" s="145"/>
      <c r="R112" s="145"/>
      <c r="S112" s="145"/>
      <c r="T112" s="201"/>
      <c r="U112" s="145"/>
      <c r="V112" s="145"/>
      <c r="W112" s="145"/>
      <c r="X112" s="145"/>
      <c r="Y112" s="145"/>
      <c r="Z112" s="145"/>
    </row>
    <row r="113" spans="1:26" ht="15.75" customHeight="1" x14ac:dyDescent="0.25">
      <c r="A113" s="145"/>
      <c r="B113" s="145"/>
      <c r="C113" s="145"/>
      <c r="D113" s="145"/>
      <c r="E113" s="145"/>
      <c r="F113" s="145"/>
      <c r="G113" s="145"/>
      <c r="H113" s="145"/>
      <c r="I113" s="145"/>
      <c r="J113" s="145"/>
      <c r="K113" s="145"/>
      <c r="L113" s="145"/>
      <c r="M113" s="145"/>
      <c r="N113" s="145"/>
      <c r="O113" s="145"/>
      <c r="P113" s="145"/>
      <c r="Q113" s="145"/>
      <c r="R113" s="145"/>
      <c r="S113" s="145"/>
      <c r="T113" s="201"/>
      <c r="U113" s="145"/>
      <c r="V113" s="145"/>
      <c r="W113" s="145"/>
      <c r="X113" s="145"/>
      <c r="Y113" s="145"/>
      <c r="Z113" s="145"/>
    </row>
    <row r="114" spans="1:26" ht="15.75" customHeight="1" x14ac:dyDescent="0.25">
      <c r="A114" s="145"/>
      <c r="B114" s="145"/>
      <c r="C114" s="145"/>
      <c r="D114" s="145"/>
      <c r="E114" s="145"/>
      <c r="F114" s="145"/>
      <c r="G114" s="145"/>
      <c r="H114" s="145"/>
      <c r="I114" s="145"/>
      <c r="J114" s="145"/>
      <c r="K114" s="145"/>
      <c r="L114" s="145"/>
      <c r="M114" s="145"/>
      <c r="N114" s="145"/>
      <c r="O114" s="145"/>
      <c r="P114" s="145"/>
      <c r="Q114" s="145"/>
      <c r="R114" s="145"/>
      <c r="S114" s="145"/>
      <c r="T114" s="201"/>
      <c r="U114" s="145"/>
      <c r="V114" s="145"/>
      <c r="W114" s="145"/>
      <c r="X114" s="145"/>
      <c r="Y114" s="145"/>
      <c r="Z114" s="145"/>
    </row>
    <row r="115" spans="1:26" ht="15.75" customHeight="1" x14ac:dyDescent="0.25">
      <c r="A115" s="145"/>
      <c r="B115" s="145"/>
      <c r="C115" s="145"/>
      <c r="D115" s="145"/>
      <c r="E115" s="145"/>
      <c r="F115" s="145"/>
      <c r="G115" s="145"/>
      <c r="H115" s="145"/>
      <c r="I115" s="145"/>
      <c r="J115" s="145"/>
      <c r="K115" s="145"/>
      <c r="L115" s="145"/>
      <c r="M115" s="145"/>
      <c r="N115" s="145"/>
      <c r="O115" s="145"/>
      <c r="P115" s="145"/>
      <c r="Q115" s="145"/>
      <c r="R115" s="145"/>
      <c r="S115" s="145"/>
      <c r="T115" s="201"/>
      <c r="U115" s="145"/>
      <c r="V115" s="145"/>
      <c r="W115" s="145"/>
      <c r="X115" s="145"/>
      <c r="Y115" s="145"/>
      <c r="Z115" s="145"/>
    </row>
    <row r="116" spans="1:26" ht="15.75" customHeight="1" x14ac:dyDescent="0.25">
      <c r="A116" s="145"/>
      <c r="B116" s="145"/>
      <c r="C116" s="145"/>
      <c r="D116" s="145"/>
      <c r="E116" s="145"/>
      <c r="F116" s="145"/>
      <c r="G116" s="145"/>
      <c r="H116" s="145"/>
      <c r="I116" s="145"/>
      <c r="J116" s="145"/>
      <c r="K116" s="145"/>
      <c r="L116" s="145"/>
      <c r="M116" s="145"/>
      <c r="N116" s="145"/>
      <c r="O116" s="145"/>
      <c r="P116" s="145"/>
      <c r="Q116" s="145"/>
      <c r="R116" s="145"/>
      <c r="S116" s="145"/>
      <c r="T116" s="201"/>
      <c r="U116" s="145"/>
      <c r="V116" s="145"/>
      <c r="W116" s="145"/>
      <c r="X116" s="145"/>
      <c r="Y116" s="145"/>
      <c r="Z116" s="145"/>
    </row>
    <row r="117" spans="1:26" ht="15.75" customHeight="1" x14ac:dyDescent="0.25">
      <c r="A117" s="145"/>
      <c r="B117" s="145"/>
      <c r="C117" s="145"/>
      <c r="D117" s="145"/>
      <c r="E117" s="145"/>
      <c r="F117" s="145"/>
      <c r="G117" s="145"/>
      <c r="H117" s="145"/>
      <c r="I117" s="145"/>
      <c r="J117" s="145"/>
      <c r="K117" s="145"/>
      <c r="L117" s="145"/>
      <c r="M117" s="145"/>
      <c r="N117" s="145"/>
      <c r="O117" s="145"/>
      <c r="P117" s="145"/>
      <c r="Q117" s="145"/>
      <c r="R117" s="145"/>
      <c r="S117" s="145"/>
      <c r="T117" s="201"/>
      <c r="U117" s="145"/>
      <c r="V117" s="145"/>
      <c r="W117" s="145"/>
      <c r="X117" s="145"/>
      <c r="Y117" s="145"/>
      <c r="Z117" s="145"/>
    </row>
    <row r="118" spans="1:26" ht="15.75" customHeight="1" x14ac:dyDescent="0.25">
      <c r="A118" s="145"/>
      <c r="B118" s="145"/>
      <c r="C118" s="145"/>
      <c r="D118" s="145"/>
      <c r="E118" s="145"/>
      <c r="F118" s="145"/>
      <c r="G118" s="145"/>
      <c r="H118" s="145"/>
      <c r="I118" s="145"/>
      <c r="J118" s="145"/>
      <c r="K118" s="145"/>
      <c r="L118" s="145"/>
      <c r="M118" s="145"/>
      <c r="N118" s="145"/>
      <c r="O118" s="145"/>
      <c r="P118" s="145"/>
      <c r="Q118" s="145"/>
      <c r="R118" s="145"/>
      <c r="S118" s="145"/>
      <c r="T118" s="201"/>
      <c r="U118" s="145"/>
      <c r="V118" s="145"/>
      <c r="W118" s="145"/>
      <c r="X118" s="145"/>
      <c r="Y118" s="145"/>
      <c r="Z118" s="145"/>
    </row>
    <row r="119" spans="1:26" ht="15.75" customHeight="1" x14ac:dyDescent="0.25">
      <c r="A119" s="145"/>
      <c r="B119" s="145"/>
      <c r="C119" s="145"/>
      <c r="D119" s="145"/>
      <c r="E119" s="145"/>
      <c r="F119" s="145"/>
      <c r="G119" s="145"/>
      <c r="H119" s="145"/>
      <c r="I119" s="145"/>
      <c r="J119" s="145"/>
      <c r="K119" s="145"/>
      <c r="L119" s="145"/>
      <c r="M119" s="145"/>
      <c r="N119" s="145"/>
      <c r="O119" s="145"/>
      <c r="P119" s="145"/>
      <c r="Q119" s="145"/>
      <c r="R119" s="145"/>
      <c r="S119" s="145"/>
      <c r="T119" s="201"/>
      <c r="U119" s="145"/>
      <c r="V119" s="145"/>
      <c r="W119" s="145"/>
      <c r="X119" s="145"/>
      <c r="Y119" s="145"/>
      <c r="Z119" s="145"/>
    </row>
    <row r="120" spans="1:26" ht="15.75" customHeight="1" x14ac:dyDescent="0.25">
      <c r="A120" s="145"/>
      <c r="B120" s="145"/>
      <c r="C120" s="145"/>
      <c r="D120" s="145"/>
      <c r="E120" s="145"/>
      <c r="F120" s="145"/>
      <c r="G120" s="145"/>
      <c r="H120" s="145"/>
      <c r="I120" s="145"/>
      <c r="J120" s="145"/>
      <c r="K120" s="145"/>
      <c r="L120" s="145"/>
      <c r="M120" s="145"/>
      <c r="N120" s="145"/>
      <c r="O120" s="145"/>
      <c r="P120" s="145"/>
      <c r="Q120" s="145"/>
      <c r="R120" s="145"/>
      <c r="S120" s="145"/>
      <c r="T120" s="201"/>
      <c r="U120" s="145"/>
      <c r="V120" s="145"/>
      <c r="W120" s="145"/>
      <c r="X120" s="145"/>
      <c r="Y120" s="145"/>
      <c r="Z120" s="145"/>
    </row>
    <row r="121" spans="1:26" ht="15.75" customHeight="1" x14ac:dyDescent="0.25">
      <c r="A121" s="145"/>
      <c r="B121" s="145"/>
      <c r="C121" s="145"/>
      <c r="D121" s="145"/>
      <c r="E121" s="145"/>
      <c r="F121" s="145"/>
      <c r="G121" s="145"/>
      <c r="H121" s="145"/>
      <c r="I121" s="145"/>
      <c r="J121" s="145"/>
      <c r="K121" s="145"/>
      <c r="L121" s="145"/>
      <c r="M121" s="145"/>
      <c r="N121" s="145"/>
      <c r="O121" s="145"/>
      <c r="P121" s="145"/>
      <c r="Q121" s="145"/>
      <c r="R121" s="145"/>
      <c r="S121" s="145"/>
      <c r="T121" s="201"/>
      <c r="U121" s="145"/>
      <c r="V121" s="145"/>
      <c r="W121" s="145"/>
      <c r="X121" s="145"/>
      <c r="Y121" s="145"/>
      <c r="Z121" s="145"/>
    </row>
    <row r="122" spans="1:26" ht="15.75" customHeight="1" x14ac:dyDescent="0.25">
      <c r="A122" s="145"/>
      <c r="B122" s="145"/>
      <c r="C122" s="145"/>
      <c r="D122" s="145"/>
      <c r="E122" s="145"/>
      <c r="F122" s="145"/>
      <c r="G122" s="145"/>
      <c r="H122" s="145"/>
      <c r="I122" s="145"/>
      <c r="J122" s="145"/>
      <c r="K122" s="145"/>
      <c r="L122" s="145"/>
      <c r="M122" s="145"/>
      <c r="N122" s="145"/>
      <c r="O122" s="145"/>
      <c r="P122" s="145"/>
      <c r="Q122" s="145"/>
      <c r="R122" s="145"/>
      <c r="S122" s="145"/>
      <c r="T122" s="201"/>
      <c r="U122" s="145"/>
      <c r="V122" s="145"/>
      <c r="W122" s="145"/>
      <c r="X122" s="145"/>
      <c r="Y122" s="145"/>
      <c r="Z122" s="145"/>
    </row>
    <row r="123" spans="1:26" ht="15.75" customHeight="1" x14ac:dyDescent="0.25">
      <c r="A123" s="145"/>
      <c r="B123" s="145"/>
      <c r="C123" s="145"/>
      <c r="D123" s="145"/>
      <c r="E123" s="145"/>
      <c r="F123" s="145"/>
      <c r="G123" s="145"/>
      <c r="H123" s="145"/>
      <c r="I123" s="145"/>
      <c r="J123" s="145"/>
      <c r="K123" s="145"/>
      <c r="L123" s="145"/>
      <c r="M123" s="145"/>
      <c r="N123" s="145"/>
      <c r="O123" s="145"/>
      <c r="P123" s="145"/>
      <c r="Q123" s="145"/>
      <c r="R123" s="145"/>
      <c r="S123" s="145"/>
      <c r="T123" s="201"/>
      <c r="U123" s="145"/>
      <c r="V123" s="145"/>
      <c r="W123" s="145"/>
      <c r="X123" s="145"/>
      <c r="Y123" s="145"/>
      <c r="Z123" s="145"/>
    </row>
    <row r="124" spans="1:26" ht="15.75" customHeight="1" x14ac:dyDescent="0.25">
      <c r="A124" s="145"/>
      <c r="B124" s="145"/>
      <c r="C124" s="145"/>
      <c r="D124" s="145"/>
      <c r="E124" s="145"/>
      <c r="F124" s="145"/>
      <c r="G124" s="145"/>
      <c r="H124" s="145"/>
      <c r="I124" s="145"/>
      <c r="J124" s="145"/>
      <c r="K124" s="145"/>
      <c r="L124" s="145"/>
      <c r="M124" s="145"/>
      <c r="N124" s="145"/>
      <c r="O124" s="145"/>
      <c r="P124" s="145"/>
      <c r="Q124" s="145"/>
      <c r="R124" s="145"/>
      <c r="S124" s="145"/>
      <c r="T124" s="201"/>
      <c r="U124" s="145"/>
      <c r="V124" s="145"/>
      <c r="W124" s="145"/>
      <c r="X124" s="145"/>
      <c r="Y124" s="145"/>
      <c r="Z124" s="145"/>
    </row>
    <row r="125" spans="1:26" ht="15.75" customHeight="1" x14ac:dyDescent="0.25">
      <c r="A125" s="145"/>
      <c r="B125" s="145"/>
      <c r="C125" s="145"/>
      <c r="D125" s="145"/>
      <c r="E125" s="145"/>
      <c r="F125" s="145"/>
      <c r="G125" s="145"/>
      <c r="H125" s="145"/>
      <c r="I125" s="145"/>
      <c r="J125" s="145"/>
      <c r="K125" s="145"/>
      <c r="L125" s="145"/>
      <c r="M125" s="145"/>
      <c r="N125" s="145"/>
      <c r="O125" s="145"/>
      <c r="P125" s="145"/>
      <c r="Q125" s="145"/>
      <c r="R125" s="145"/>
      <c r="S125" s="145"/>
      <c r="T125" s="201"/>
      <c r="U125" s="145"/>
      <c r="V125" s="145"/>
      <c r="W125" s="145"/>
      <c r="X125" s="145"/>
      <c r="Y125" s="145"/>
      <c r="Z125" s="145"/>
    </row>
    <row r="126" spans="1:26" ht="15.75" customHeight="1" x14ac:dyDescent="0.25">
      <c r="A126" s="145"/>
      <c r="B126" s="145"/>
      <c r="C126" s="145"/>
      <c r="D126" s="145"/>
      <c r="E126" s="145"/>
      <c r="F126" s="145"/>
      <c r="G126" s="145"/>
      <c r="H126" s="145"/>
      <c r="I126" s="145"/>
      <c r="J126" s="145"/>
      <c r="K126" s="145"/>
      <c r="L126" s="145"/>
      <c r="M126" s="145"/>
      <c r="N126" s="145"/>
      <c r="O126" s="145"/>
      <c r="P126" s="145"/>
      <c r="Q126" s="145"/>
      <c r="R126" s="145"/>
      <c r="S126" s="145"/>
      <c r="T126" s="201"/>
      <c r="U126" s="145"/>
      <c r="V126" s="145"/>
      <c r="W126" s="145"/>
      <c r="X126" s="145"/>
      <c r="Y126" s="145"/>
      <c r="Z126" s="145"/>
    </row>
    <row r="127" spans="1:26" ht="15.75" customHeight="1" x14ac:dyDescent="0.25">
      <c r="A127" s="145"/>
      <c r="B127" s="145"/>
      <c r="C127" s="145"/>
      <c r="D127" s="145"/>
      <c r="E127" s="145"/>
      <c r="F127" s="145"/>
      <c r="G127" s="145"/>
      <c r="H127" s="145"/>
      <c r="I127" s="145"/>
      <c r="J127" s="145"/>
      <c r="K127" s="145"/>
      <c r="L127" s="145"/>
      <c r="M127" s="145"/>
      <c r="N127" s="145"/>
      <c r="O127" s="145"/>
      <c r="P127" s="145"/>
      <c r="Q127" s="145"/>
      <c r="R127" s="145"/>
      <c r="S127" s="145"/>
      <c r="T127" s="201"/>
      <c r="U127" s="145"/>
      <c r="V127" s="145"/>
      <c r="W127" s="145"/>
      <c r="X127" s="145"/>
      <c r="Y127" s="145"/>
      <c r="Z127" s="145"/>
    </row>
    <row r="128" spans="1:26" ht="15.75" customHeight="1" x14ac:dyDescent="0.25">
      <c r="A128" s="145"/>
      <c r="B128" s="145"/>
      <c r="C128" s="145"/>
      <c r="D128" s="145"/>
      <c r="E128" s="145"/>
      <c r="F128" s="145"/>
      <c r="G128" s="145"/>
      <c r="H128" s="145"/>
      <c r="I128" s="145"/>
      <c r="J128" s="145"/>
      <c r="K128" s="145"/>
      <c r="L128" s="145"/>
      <c r="M128" s="145"/>
      <c r="N128" s="145"/>
      <c r="O128" s="145"/>
      <c r="P128" s="145"/>
      <c r="Q128" s="145"/>
      <c r="R128" s="145"/>
      <c r="S128" s="145"/>
      <c r="T128" s="201"/>
      <c r="U128" s="145"/>
      <c r="V128" s="145"/>
      <c r="W128" s="145"/>
      <c r="X128" s="145"/>
      <c r="Y128" s="145"/>
      <c r="Z128" s="145"/>
    </row>
    <row r="129" spans="1:26" ht="15.75" customHeight="1" x14ac:dyDescent="0.25">
      <c r="A129" s="145"/>
      <c r="B129" s="145"/>
      <c r="C129" s="145"/>
      <c r="D129" s="145"/>
      <c r="E129" s="145"/>
      <c r="F129" s="145"/>
      <c r="G129" s="145"/>
      <c r="H129" s="145"/>
      <c r="I129" s="145"/>
      <c r="J129" s="145"/>
      <c r="K129" s="145"/>
      <c r="L129" s="145"/>
      <c r="M129" s="145"/>
      <c r="N129" s="145"/>
      <c r="O129" s="145"/>
      <c r="P129" s="145"/>
      <c r="Q129" s="145"/>
      <c r="R129" s="145"/>
      <c r="S129" s="145"/>
      <c r="T129" s="201"/>
      <c r="U129" s="145"/>
      <c r="V129" s="145"/>
      <c r="W129" s="145"/>
      <c r="X129" s="145"/>
      <c r="Y129" s="145"/>
      <c r="Z129" s="145"/>
    </row>
    <row r="130" spans="1:26" ht="15.75" customHeight="1" x14ac:dyDescent="0.25">
      <c r="A130" s="145"/>
      <c r="B130" s="145"/>
      <c r="C130" s="145"/>
      <c r="D130" s="145"/>
      <c r="E130" s="145"/>
      <c r="F130" s="145"/>
      <c r="G130" s="145"/>
      <c r="H130" s="145"/>
      <c r="I130" s="145"/>
      <c r="J130" s="145"/>
      <c r="K130" s="145"/>
      <c r="L130" s="145"/>
      <c r="M130" s="145"/>
      <c r="N130" s="145"/>
      <c r="O130" s="145"/>
      <c r="P130" s="145"/>
      <c r="Q130" s="145"/>
      <c r="R130" s="145"/>
      <c r="S130" s="145"/>
      <c r="T130" s="201"/>
      <c r="U130" s="145"/>
      <c r="V130" s="145"/>
      <c r="W130" s="145"/>
      <c r="X130" s="145"/>
      <c r="Y130" s="145"/>
      <c r="Z130" s="145"/>
    </row>
    <row r="131" spans="1:26" ht="15.75" customHeight="1" x14ac:dyDescent="0.25">
      <c r="A131" s="145"/>
      <c r="B131" s="145"/>
      <c r="C131" s="145"/>
      <c r="D131" s="145"/>
      <c r="E131" s="145"/>
      <c r="F131" s="145"/>
      <c r="G131" s="145"/>
      <c r="H131" s="145"/>
      <c r="I131" s="145"/>
      <c r="J131" s="145"/>
      <c r="K131" s="145"/>
      <c r="L131" s="145"/>
      <c r="M131" s="145"/>
      <c r="N131" s="145"/>
      <c r="O131" s="145"/>
      <c r="P131" s="145"/>
      <c r="Q131" s="145"/>
      <c r="R131" s="145"/>
      <c r="S131" s="145"/>
      <c r="T131" s="201"/>
      <c r="U131" s="145"/>
      <c r="V131" s="145"/>
      <c r="W131" s="145"/>
      <c r="X131" s="145"/>
      <c r="Y131" s="145"/>
      <c r="Z131" s="145"/>
    </row>
    <row r="132" spans="1:26" ht="15.75" customHeight="1" x14ac:dyDescent="0.25">
      <c r="A132" s="145"/>
      <c r="B132" s="145"/>
      <c r="C132" s="145"/>
      <c r="D132" s="145"/>
      <c r="E132" s="145"/>
      <c r="F132" s="145"/>
      <c r="G132" s="145"/>
      <c r="H132" s="145"/>
      <c r="I132" s="145"/>
      <c r="J132" s="145"/>
      <c r="K132" s="145"/>
      <c r="L132" s="145"/>
      <c r="M132" s="145"/>
      <c r="N132" s="145"/>
      <c r="O132" s="145"/>
      <c r="P132" s="145"/>
      <c r="Q132" s="145"/>
      <c r="R132" s="145"/>
      <c r="S132" s="145"/>
      <c r="T132" s="201"/>
      <c r="U132" s="145"/>
      <c r="V132" s="145"/>
      <c r="W132" s="145"/>
      <c r="X132" s="145"/>
      <c r="Y132" s="145"/>
      <c r="Z132" s="145"/>
    </row>
    <row r="133" spans="1:26" ht="15.75" customHeight="1" x14ac:dyDescent="0.25">
      <c r="A133" s="145"/>
      <c r="B133" s="145"/>
      <c r="C133" s="145"/>
      <c r="D133" s="145"/>
      <c r="E133" s="145"/>
      <c r="F133" s="145"/>
      <c r="G133" s="145"/>
      <c r="H133" s="145"/>
      <c r="I133" s="145"/>
      <c r="J133" s="145"/>
      <c r="K133" s="145"/>
      <c r="L133" s="145"/>
      <c r="M133" s="145"/>
      <c r="N133" s="145"/>
      <c r="O133" s="145"/>
      <c r="P133" s="145"/>
      <c r="Q133" s="145"/>
      <c r="R133" s="145"/>
      <c r="S133" s="145"/>
      <c r="T133" s="201"/>
      <c r="U133" s="145"/>
      <c r="V133" s="145"/>
      <c r="W133" s="145"/>
      <c r="X133" s="145"/>
      <c r="Y133" s="145"/>
      <c r="Z133" s="145"/>
    </row>
    <row r="134" spans="1:26" ht="15.75" customHeight="1" x14ac:dyDescent="0.25">
      <c r="A134" s="145"/>
      <c r="B134" s="145"/>
      <c r="C134" s="145"/>
      <c r="D134" s="145"/>
      <c r="E134" s="145"/>
      <c r="F134" s="145"/>
      <c r="G134" s="145"/>
      <c r="H134" s="145"/>
      <c r="I134" s="145"/>
      <c r="J134" s="145"/>
      <c r="K134" s="145"/>
      <c r="L134" s="145"/>
      <c r="M134" s="145"/>
      <c r="N134" s="145"/>
      <c r="O134" s="145"/>
      <c r="P134" s="145"/>
      <c r="Q134" s="145"/>
      <c r="R134" s="145"/>
      <c r="S134" s="145"/>
      <c r="T134" s="201"/>
      <c r="U134" s="145"/>
      <c r="V134" s="145"/>
      <c r="W134" s="145"/>
      <c r="X134" s="145"/>
      <c r="Y134" s="145"/>
      <c r="Z134" s="145"/>
    </row>
    <row r="135" spans="1:26" ht="15.75" customHeight="1" x14ac:dyDescent="0.25">
      <c r="A135" s="145"/>
      <c r="B135" s="145"/>
      <c r="C135" s="145"/>
      <c r="D135" s="145"/>
      <c r="E135" s="145"/>
      <c r="F135" s="145"/>
      <c r="G135" s="145"/>
      <c r="H135" s="145"/>
      <c r="I135" s="145"/>
      <c r="J135" s="145"/>
      <c r="K135" s="145"/>
      <c r="L135" s="145"/>
      <c r="M135" s="145"/>
      <c r="N135" s="145"/>
      <c r="O135" s="145"/>
      <c r="P135" s="145"/>
      <c r="Q135" s="145"/>
      <c r="R135" s="145"/>
      <c r="S135" s="145"/>
      <c r="T135" s="201"/>
      <c r="U135" s="145"/>
      <c r="V135" s="145"/>
      <c r="W135" s="145"/>
      <c r="X135" s="145"/>
      <c r="Y135" s="145"/>
      <c r="Z135" s="145"/>
    </row>
    <row r="136" spans="1:26" ht="15.75" customHeight="1" x14ac:dyDescent="0.25">
      <c r="A136" s="145"/>
      <c r="B136" s="145"/>
      <c r="C136" s="145"/>
      <c r="D136" s="145"/>
      <c r="E136" s="145"/>
      <c r="F136" s="145"/>
      <c r="G136" s="145"/>
      <c r="H136" s="145"/>
      <c r="I136" s="145"/>
      <c r="J136" s="145"/>
      <c r="K136" s="145"/>
      <c r="L136" s="145"/>
      <c r="M136" s="145"/>
      <c r="N136" s="145"/>
      <c r="O136" s="145"/>
      <c r="P136" s="145"/>
      <c r="Q136" s="145"/>
      <c r="R136" s="145"/>
      <c r="S136" s="145"/>
      <c r="T136" s="201"/>
      <c r="U136" s="145"/>
      <c r="V136" s="145"/>
      <c r="W136" s="145"/>
      <c r="X136" s="145"/>
      <c r="Y136" s="145"/>
      <c r="Z136" s="145"/>
    </row>
    <row r="137" spans="1:26" ht="15.75" customHeight="1" x14ac:dyDescent="0.25">
      <c r="A137" s="145"/>
      <c r="B137" s="145"/>
      <c r="C137" s="145"/>
      <c r="D137" s="145"/>
      <c r="E137" s="145"/>
      <c r="F137" s="145"/>
      <c r="G137" s="145"/>
      <c r="H137" s="145"/>
      <c r="I137" s="145"/>
      <c r="J137" s="145"/>
      <c r="K137" s="145"/>
      <c r="L137" s="145"/>
      <c r="M137" s="145"/>
      <c r="N137" s="145"/>
      <c r="O137" s="145"/>
      <c r="P137" s="145"/>
      <c r="Q137" s="145"/>
      <c r="R137" s="145"/>
      <c r="S137" s="145"/>
      <c r="T137" s="201"/>
      <c r="U137" s="145"/>
      <c r="V137" s="145"/>
      <c r="W137" s="145"/>
      <c r="X137" s="145"/>
      <c r="Y137" s="145"/>
      <c r="Z137" s="145"/>
    </row>
    <row r="138" spans="1:26" ht="15.75" customHeight="1" x14ac:dyDescent="0.25">
      <c r="A138" s="145"/>
      <c r="B138" s="145"/>
      <c r="C138" s="145"/>
      <c r="D138" s="145"/>
      <c r="E138" s="145"/>
      <c r="F138" s="145"/>
      <c r="G138" s="145"/>
      <c r="H138" s="145"/>
      <c r="I138" s="145"/>
      <c r="J138" s="145"/>
      <c r="K138" s="145"/>
      <c r="L138" s="145"/>
      <c r="M138" s="145"/>
      <c r="N138" s="145"/>
      <c r="O138" s="145"/>
      <c r="P138" s="145"/>
      <c r="Q138" s="145"/>
      <c r="R138" s="145"/>
      <c r="S138" s="145"/>
      <c r="T138" s="201"/>
      <c r="U138" s="145"/>
      <c r="V138" s="145"/>
      <c r="W138" s="145"/>
      <c r="X138" s="145"/>
      <c r="Y138" s="145"/>
      <c r="Z138" s="145"/>
    </row>
    <row r="139" spans="1:26" ht="15.75" customHeight="1" x14ac:dyDescent="0.25">
      <c r="A139" s="145"/>
      <c r="B139" s="145"/>
      <c r="C139" s="145"/>
      <c r="D139" s="145"/>
      <c r="E139" s="145"/>
      <c r="F139" s="145"/>
      <c r="G139" s="145"/>
      <c r="H139" s="145"/>
      <c r="I139" s="145"/>
      <c r="J139" s="145"/>
      <c r="K139" s="145"/>
      <c r="L139" s="145"/>
      <c r="M139" s="145"/>
      <c r="N139" s="145"/>
      <c r="O139" s="145"/>
      <c r="P139" s="145"/>
      <c r="Q139" s="145"/>
      <c r="R139" s="145"/>
      <c r="S139" s="145"/>
      <c r="T139" s="201"/>
      <c r="U139" s="145"/>
      <c r="V139" s="145"/>
      <c r="W139" s="145"/>
      <c r="X139" s="145"/>
      <c r="Y139" s="145"/>
      <c r="Z139" s="145"/>
    </row>
    <row r="140" spans="1:26" ht="15.75" customHeight="1" x14ac:dyDescent="0.25">
      <c r="A140" s="145"/>
      <c r="B140" s="145"/>
      <c r="C140" s="145"/>
      <c r="D140" s="145"/>
      <c r="E140" s="145"/>
      <c r="F140" s="145"/>
      <c r="G140" s="145"/>
      <c r="H140" s="145"/>
      <c r="I140" s="145"/>
      <c r="J140" s="145"/>
      <c r="K140" s="145"/>
      <c r="L140" s="145"/>
      <c r="M140" s="145"/>
      <c r="N140" s="145"/>
      <c r="O140" s="145"/>
      <c r="P140" s="145"/>
      <c r="Q140" s="145"/>
      <c r="R140" s="145"/>
      <c r="S140" s="145"/>
      <c r="T140" s="201"/>
      <c r="U140" s="145"/>
      <c r="V140" s="145"/>
      <c r="W140" s="145"/>
      <c r="X140" s="145"/>
      <c r="Y140" s="145"/>
      <c r="Z140" s="145"/>
    </row>
    <row r="141" spans="1:26" ht="15.75" customHeight="1" x14ac:dyDescent="0.25">
      <c r="A141" s="145"/>
      <c r="B141" s="145"/>
      <c r="C141" s="145"/>
      <c r="D141" s="145"/>
      <c r="E141" s="145"/>
      <c r="F141" s="145"/>
      <c r="G141" s="145"/>
      <c r="H141" s="145"/>
      <c r="I141" s="145"/>
      <c r="J141" s="145"/>
      <c r="K141" s="145"/>
      <c r="L141" s="145"/>
      <c r="M141" s="145"/>
      <c r="N141" s="145"/>
      <c r="O141" s="145"/>
      <c r="P141" s="145"/>
      <c r="Q141" s="145"/>
      <c r="R141" s="145"/>
      <c r="S141" s="145"/>
      <c r="T141" s="201"/>
      <c r="U141" s="145"/>
      <c r="V141" s="145"/>
      <c r="W141" s="145"/>
      <c r="X141" s="145"/>
      <c r="Y141" s="145"/>
      <c r="Z141" s="145"/>
    </row>
    <row r="142" spans="1:26" ht="15.75" customHeight="1" x14ac:dyDescent="0.25">
      <c r="A142" s="145"/>
      <c r="B142" s="145"/>
      <c r="C142" s="145"/>
      <c r="D142" s="145"/>
      <c r="E142" s="145"/>
      <c r="F142" s="145"/>
      <c r="G142" s="145"/>
      <c r="H142" s="145"/>
      <c r="I142" s="145"/>
      <c r="J142" s="145"/>
      <c r="K142" s="145"/>
      <c r="L142" s="145"/>
      <c r="M142" s="145"/>
      <c r="N142" s="145"/>
      <c r="O142" s="145"/>
      <c r="P142" s="145"/>
      <c r="Q142" s="145"/>
      <c r="R142" s="145"/>
      <c r="S142" s="145"/>
      <c r="T142" s="201"/>
      <c r="U142" s="145"/>
      <c r="V142" s="145"/>
      <c r="W142" s="145"/>
      <c r="X142" s="145"/>
      <c r="Y142" s="145"/>
      <c r="Z142" s="145"/>
    </row>
    <row r="143" spans="1:26" ht="15.75" customHeight="1" x14ac:dyDescent="0.25">
      <c r="A143" s="145"/>
      <c r="B143" s="145"/>
      <c r="C143" s="145"/>
      <c r="D143" s="145"/>
      <c r="E143" s="145"/>
      <c r="F143" s="145"/>
      <c r="G143" s="145"/>
      <c r="H143" s="145"/>
      <c r="I143" s="145"/>
      <c r="J143" s="145"/>
      <c r="K143" s="145"/>
      <c r="L143" s="145"/>
      <c r="M143" s="145"/>
      <c r="N143" s="145"/>
      <c r="O143" s="145"/>
      <c r="P143" s="145"/>
      <c r="Q143" s="145"/>
      <c r="R143" s="145"/>
      <c r="S143" s="145"/>
      <c r="T143" s="201"/>
      <c r="U143" s="145"/>
      <c r="V143" s="145"/>
      <c r="W143" s="145"/>
      <c r="X143" s="145"/>
      <c r="Y143" s="145"/>
      <c r="Z143" s="145"/>
    </row>
    <row r="144" spans="1:26" ht="15.75" customHeight="1" x14ac:dyDescent="0.25">
      <c r="A144" s="145"/>
      <c r="B144" s="145"/>
      <c r="C144" s="145"/>
      <c r="D144" s="145"/>
      <c r="E144" s="145"/>
      <c r="F144" s="145"/>
      <c r="G144" s="145"/>
      <c r="H144" s="145"/>
      <c r="I144" s="145"/>
      <c r="J144" s="145"/>
      <c r="K144" s="145"/>
      <c r="L144" s="145"/>
      <c r="M144" s="145"/>
      <c r="N144" s="145"/>
      <c r="O144" s="145"/>
      <c r="P144" s="145"/>
      <c r="Q144" s="145"/>
      <c r="R144" s="145"/>
      <c r="S144" s="145"/>
      <c r="T144" s="201"/>
      <c r="U144" s="145"/>
      <c r="V144" s="145"/>
      <c r="W144" s="145"/>
      <c r="X144" s="145"/>
      <c r="Y144" s="145"/>
      <c r="Z144" s="145"/>
    </row>
    <row r="145" spans="1:26" ht="15.75" customHeight="1" x14ac:dyDescent="0.25">
      <c r="A145" s="145"/>
      <c r="B145" s="145"/>
      <c r="C145" s="145"/>
      <c r="D145" s="145"/>
      <c r="E145" s="145"/>
      <c r="F145" s="145"/>
      <c r="G145" s="145"/>
      <c r="H145" s="145"/>
      <c r="I145" s="145"/>
      <c r="J145" s="145"/>
      <c r="K145" s="145"/>
      <c r="L145" s="145"/>
      <c r="M145" s="145"/>
      <c r="N145" s="145"/>
      <c r="O145" s="145"/>
      <c r="P145" s="145"/>
      <c r="Q145" s="145"/>
      <c r="R145" s="145"/>
      <c r="S145" s="145"/>
      <c r="T145" s="201"/>
      <c r="U145" s="145"/>
      <c r="V145" s="145"/>
      <c r="W145" s="145"/>
      <c r="X145" s="145"/>
      <c r="Y145" s="145"/>
      <c r="Z145" s="145"/>
    </row>
    <row r="146" spans="1:26" ht="15.75" customHeight="1" x14ac:dyDescent="0.25">
      <c r="A146" s="145"/>
      <c r="B146" s="145"/>
      <c r="C146" s="145"/>
      <c r="D146" s="145"/>
      <c r="E146" s="145"/>
      <c r="F146" s="145"/>
      <c r="G146" s="145"/>
      <c r="H146" s="145"/>
      <c r="I146" s="145"/>
      <c r="J146" s="145"/>
      <c r="K146" s="145"/>
      <c r="L146" s="145"/>
      <c r="M146" s="145"/>
      <c r="N146" s="145"/>
      <c r="O146" s="145"/>
      <c r="P146" s="145"/>
      <c r="Q146" s="145"/>
      <c r="R146" s="145"/>
      <c r="S146" s="145"/>
      <c r="T146" s="201"/>
      <c r="U146" s="145"/>
      <c r="V146" s="145"/>
      <c r="W146" s="145"/>
      <c r="X146" s="145"/>
      <c r="Y146" s="145"/>
      <c r="Z146" s="145"/>
    </row>
    <row r="147" spans="1:26" ht="15.75" customHeight="1" x14ac:dyDescent="0.25">
      <c r="A147" s="145"/>
      <c r="B147" s="145"/>
      <c r="C147" s="145"/>
      <c r="D147" s="145"/>
      <c r="E147" s="145"/>
      <c r="F147" s="145"/>
      <c r="G147" s="145"/>
      <c r="H147" s="145"/>
      <c r="I147" s="145"/>
      <c r="J147" s="145"/>
      <c r="K147" s="145"/>
      <c r="L147" s="145"/>
      <c r="M147" s="145"/>
      <c r="N147" s="145"/>
      <c r="O147" s="145"/>
      <c r="P147" s="145"/>
      <c r="Q147" s="145"/>
      <c r="R147" s="145"/>
      <c r="S147" s="145"/>
      <c r="T147" s="201"/>
      <c r="U147" s="145"/>
      <c r="V147" s="145"/>
      <c r="W147" s="145"/>
      <c r="X147" s="145"/>
      <c r="Y147" s="145"/>
      <c r="Z147" s="145"/>
    </row>
    <row r="148" spans="1:26" ht="15.75" customHeight="1" x14ac:dyDescent="0.25">
      <c r="A148" s="145"/>
      <c r="B148" s="145"/>
      <c r="C148" s="145"/>
      <c r="D148" s="145"/>
      <c r="E148" s="145"/>
      <c r="F148" s="145"/>
      <c r="G148" s="145"/>
      <c r="H148" s="145"/>
      <c r="I148" s="145"/>
      <c r="J148" s="145"/>
      <c r="K148" s="145"/>
      <c r="L148" s="145"/>
      <c r="M148" s="145"/>
      <c r="N148" s="145"/>
      <c r="O148" s="145"/>
      <c r="P148" s="145"/>
      <c r="Q148" s="145"/>
      <c r="R148" s="145"/>
      <c r="S148" s="145"/>
      <c r="T148" s="201"/>
      <c r="U148" s="145"/>
      <c r="V148" s="145"/>
      <c r="W148" s="145"/>
      <c r="X148" s="145"/>
      <c r="Y148" s="145"/>
      <c r="Z148" s="145"/>
    </row>
    <row r="149" spans="1:26" ht="15.75" customHeight="1" x14ac:dyDescent="0.25">
      <c r="A149" s="145"/>
      <c r="B149" s="145"/>
      <c r="C149" s="145"/>
      <c r="D149" s="145"/>
      <c r="E149" s="145"/>
      <c r="F149" s="145"/>
      <c r="G149" s="145"/>
      <c r="H149" s="145"/>
      <c r="I149" s="145"/>
      <c r="J149" s="145"/>
      <c r="K149" s="145"/>
      <c r="L149" s="145"/>
      <c r="M149" s="145"/>
      <c r="N149" s="145"/>
      <c r="O149" s="145"/>
      <c r="P149" s="145"/>
      <c r="Q149" s="145"/>
      <c r="R149" s="145"/>
      <c r="S149" s="145"/>
      <c r="T149" s="201"/>
      <c r="U149" s="145"/>
      <c r="V149" s="145"/>
      <c r="W149" s="145"/>
      <c r="X149" s="145"/>
      <c r="Y149" s="145"/>
      <c r="Z149" s="145"/>
    </row>
    <row r="150" spans="1:26" ht="15.75" customHeight="1" x14ac:dyDescent="0.25">
      <c r="A150" s="145"/>
      <c r="B150" s="145"/>
      <c r="C150" s="145"/>
      <c r="D150" s="145"/>
      <c r="E150" s="145"/>
      <c r="F150" s="145"/>
      <c r="G150" s="145"/>
      <c r="H150" s="145"/>
      <c r="I150" s="145"/>
      <c r="J150" s="145"/>
      <c r="K150" s="145"/>
      <c r="L150" s="145"/>
      <c r="M150" s="145"/>
      <c r="N150" s="145"/>
      <c r="O150" s="145"/>
      <c r="P150" s="145"/>
      <c r="Q150" s="145"/>
      <c r="R150" s="145"/>
      <c r="S150" s="145"/>
      <c r="T150" s="201"/>
      <c r="U150" s="145"/>
      <c r="V150" s="145"/>
      <c r="W150" s="145"/>
      <c r="X150" s="145"/>
      <c r="Y150" s="145"/>
      <c r="Z150" s="145"/>
    </row>
    <row r="151" spans="1:26" ht="15.75" customHeight="1" x14ac:dyDescent="0.25">
      <c r="A151" s="145"/>
      <c r="B151" s="145"/>
      <c r="C151" s="145"/>
      <c r="D151" s="145"/>
      <c r="E151" s="145"/>
      <c r="F151" s="145"/>
      <c r="G151" s="145"/>
      <c r="H151" s="145"/>
      <c r="I151" s="145"/>
      <c r="J151" s="145"/>
      <c r="K151" s="145"/>
      <c r="L151" s="145"/>
      <c r="M151" s="145"/>
      <c r="N151" s="145"/>
      <c r="O151" s="145"/>
      <c r="P151" s="145"/>
      <c r="Q151" s="145"/>
      <c r="R151" s="145"/>
      <c r="S151" s="145"/>
      <c r="T151" s="201"/>
      <c r="U151" s="145"/>
      <c r="V151" s="145"/>
      <c r="W151" s="145"/>
      <c r="X151" s="145"/>
      <c r="Y151" s="145"/>
      <c r="Z151" s="145"/>
    </row>
    <row r="152" spans="1:26" ht="15.75" customHeight="1" x14ac:dyDescent="0.25">
      <c r="A152" s="145"/>
      <c r="B152" s="145"/>
      <c r="C152" s="145"/>
      <c r="D152" s="145"/>
      <c r="E152" s="145"/>
      <c r="F152" s="145"/>
      <c r="G152" s="145"/>
      <c r="H152" s="145"/>
      <c r="I152" s="145"/>
      <c r="J152" s="145"/>
      <c r="K152" s="145"/>
      <c r="L152" s="145"/>
      <c r="M152" s="145"/>
      <c r="N152" s="145"/>
      <c r="O152" s="145"/>
      <c r="P152" s="145"/>
      <c r="Q152" s="145"/>
      <c r="R152" s="145"/>
      <c r="S152" s="145"/>
      <c r="T152" s="201"/>
      <c r="U152" s="145"/>
      <c r="V152" s="145"/>
      <c r="W152" s="145"/>
      <c r="X152" s="145"/>
      <c r="Y152" s="145"/>
      <c r="Z152" s="145"/>
    </row>
    <row r="153" spans="1:26" ht="15.75" customHeight="1" x14ac:dyDescent="0.25">
      <c r="A153" s="145"/>
      <c r="B153" s="145"/>
      <c r="C153" s="145"/>
      <c r="D153" s="145"/>
      <c r="E153" s="145"/>
      <c r="F153" s="145"/>
      <c r="G153" s="145"/>
      <c r="H153" s="145"/>
      <c r="I153" s="145"/>
      <c r="J153" s="145"/>
      <c r="K153" s="145"/>
      <c r="L153" s="145"/>
      <c r="M153" s="145"/>
      <c r="N153" s="145"/>
      <c r="O153" s="145"/>
      <c r="P153" s="145"/>
      <c r="Q153" s="145"/>
      <c r="R153" s="145"/>
      <c r="S153" s="145"/>
      <c r="T153" s="201"/>
      <c r="U153" s="145"/>
      <c r="V153" s="145"/>
      <c r="W153" s="145"/>
      <c r="X153" s="145"/>
      <c r="Y153" s="145"/>
      <c r="Z153" s="145"/>
    </row>
    <row r="154" spans="1:26" ht="15.75" customHeight="1" x14ac:dyDescent="0.25">
      <c r="A154" s="145"/>
      <c r="B154" s="145"/>
      <c r="C154" s="145"/>
      <c r="D154" s="145"/>
      <c r="E154" s="145"/>
      <c r="F154" s="145"/>
      <c r="G154" s="145"/>
      <c r="H154" s="145"/>
      <c r="I154" s="145"/>
      <c r="J154" s="145"/>
      <c r="K154" s="145"/>
      <c r="L154" s="145"/>
      <c r="M154" s="145"/>
      <c r="N154" s="145"/>
      <c r="O154" s="145"/>
      <c r="P154" s="145"/>
      <c r="Q154" s="145"/>
      <c r="R154" s="145"/>
      <c r="S154" s="145"/>
      <c r="T154" s="201"/>
      <c r="U154" s="145"/>
      <c r="V154" s="145"/>
      <c r="W154" s="145"/>
      <c r="X154" s="145"/>
      <c r="Y154" s="145"/>
      <c r="Z154" s="145"/>
    </row>
    <row r="155" spans="1:26" ht="15.75" customHeight="1" x14ac:dyDescent="0.25">
      <c r="A155" s="145"/>
      <c r="B155" s="145"/>
      <c r="C155" s="145"/>
      <c r="D155" s="145"/>
      <c r="E155" s="145"/>
      <c r="F155" s="145"/>
      <c r="G155" s="145"/>
      <c r="H155" s="145"/>
      <c r="I155" s="145"/>
      <c r="J155" s="145"/>
      <c r="K155" s="145"/>
      <c r="L155" s="145"/>
      <c r="M155" s="145"/>
      <c r="N155" s="145"/>
      <c r="O155" s="145"/>
      <c r="P155" s="145"/>
      <c r="Q155" s="145"/>
      <c r="R155" s="145"/>
      <c r="S155" s="145"/>
      <c r="T155" s="201"/>
      <c r="U155" s="145"/>
      <c r="V155" s="145"/>
      <c r="W155" s="145"/>
      <c r="X155" s="145"/>
      <c r="Y155" s="145"/>
      <c r="Z155" s="145"/>
    </row>
    <row r="156" spans="1:26" ht="15.75" customHeight="1" x14ac:dyDescent="0.25">
      <c r="A156" s="145"/>
      <c r="B156" s="145"/>
      <c r="C156" s="145"/>
      <c r="D156" s="145"/>
      <c r="E156" s="145"/>
      <c r="F156" s="145"/>
      <c r="G156" s="145"/>
      <c r="H156" s="145"/>
      <c r="I156" s="145"/>
      <c r="J156" s="145"/>
      <c r="K156" s="145"/>
      <c r="L156" s="145"/>
      <c r="M156" s="145"/>
      <c r="N156" s="145"/>
      <c r="O156" s="145"/>
      <c r="P156" s="145"/>
      <c r="Q156" s="145"/>
      <c r="R156" s="145"/>
      <c r="S156" s="145"/>
      <c r="T156" s="201"/>
      <c r="U156" s="145"/>
      <c r="V156" s="145"/>
      <c r="W156" s="145"/>
      <c r="X156" s="145"/>
      <c r="Y156" s="145"/>
      <c r="Z156" s="145"/>
    </row>
    <row r="157" spans="1:26" ht="15.75" customHeight="1" x14ac:dyDescent="0.25">
      <c r="A157" s="145"/>
      <c r="B157" s="145"/>
      <c r="C157" s="145"/>
      <c r="D157" s="145"/>
      <c r="E157" s="145"/>
      <c r="F157" s="145"/>
      <c r="G157" s="145"/>
      <c r="H157" s="145"/>
      <c r="I157" s="145"/>
      <c r="J157" s="145"/>
      <c r="K157" s="145"/>
      <c r="L157" s="145"/>
      <c r="M157" s="145"/>
      <c r="N157" s="145"/>
      <c r="O157" s="145"/>
      <c r="P157" s="145"/>
      <c r="Q157" s="145"/>
      <c r="R157" s="145"/>
      <c r="S157" s="145"/>
      <c r="T157" s="201"/>
      <c r="U157" s="145"/>
      <c r="V157" s="145"/>
      <c r="W157" s="145"/>
      <c r="X157" s="145"/>
      <c r="Y157" s="145"/>
      <c r="Z157" s="145"/>
    </row>
    <row r="158" spans="1:26" ht="15.75" customHeight="1" x14ac:dyDescent="0.25">
      <c r="A158" s="145"/>
      <c r="B158" s="145"/>
      <c r="C158" s="145"/>
      <c r="D158" s="145"/>
      <c r="E158" s="145"/>
      <c r="F158" s="145"/>
      <c r="G158" s="145"/>
      <c r="H158" s="145"/>
      <c r="I158" s="145"/>
      <c r="J158" s="145"/>
      <c r="K158" s="145"/>
      <c r="L158" s="145"/>
      <c r="M158" s="145"/>
      <c r="N158" s="145"/>
      <c r="O158" s="145"/>
      <c r="P158" s="145"/>
      <c r="Q158" s="145"/>
      <c r="R158" s="145"/>
      <c r="S158" s="145"/>
      <c r="T158" s="201"/>
      <c r="U158" s="145"/>
      <c r="V158" s="145"/>
      <c r="W158" s="145"/>
      <c r="X158" s="145"/>
      <c r="Y158" s="145"/>
      <c r="Z158" s="145"/>
    </row>
    <row r="159" spans="1:26" ht="15.75" customHeight="1" x14ac:dyDescent="0.25">
      <c r="A159" s="145"/>
      <c r="B159" s="145"/>
      <c r="C159" s="145"/>
      <c r="D159" s="145"/>
      <c r="E159" s="145"/>
      <c r="F159" s="145"/>
      <c r="G159" s="145"/>
      <c r="H159" s="145"/>
      <c r="I159" s="145"/>
      <c r="J159" s="145"/>
      <c r="K159" s="145"/>
      <c r="L159" s="145"/>
      <c r="M159" s="145"/>
      <c r="N159" s="145"/>
      <c r="O159" s="145"/>
      <c r="P159" s="145"/>
      <c r="Q159" s="145"/>
      <c r="R159" s="145"/>
      <c r="S159" s="145"/>
      <c r="T159" s="201"/>
      <c r="U159" s="145"/>
      <c r="V159" s="145"/>
      <c r="W159" s="145"/>
      <c r="X159" s="145"/>
      <c r="Y159" s="145"/>
      <c r="Z159" s="145"/>
    </row>
    <row r="160" spans="1:26" ht="15.75" customHeight="1" x14ac:dyDescent="0.25">
      <c r="A160" s="145"/>
      <c r="B160" s="145"/>
      <c r="C160" s="145"/>
      <c r="D160" s="145"/>
      <c r="E160" s="145"/>
      <c r="F160" s="145"/>
      <c r="G160" s="145"/>
      <c r="H160" s="145"/>
      <c r="I160" s="145"/>
      <c r="J160" s="145"/>
      <c r="K160" s="145"/>
      <c r="L160" s="145"/>
      <c r="M160" s="145"/>
      <c r="N160" s="145"/>
      <c r="O160" s="145"/>
      <c r="P160" s="145"/>
      <c r="Q160" s="145"/>
      <c r="R160" s="145"/>
      <c r="S160" s="145"/>
      <c r="T160" s="201"/>
      <c r="U160" s="145"/>
      <c r="V160" s="145"/>
      <c r="W160" s="145"/>
      <c r="X160" s="145"/>
      <c r="Y160" s="145"/>
      <c r="Z160" s="145"/>
    </row>
    <row r="161" spans="1:26" ht="15.75" customHeight="1" x14ac:dyDescent="0.25">
      <c r="A161" s="145"/>
      <c r="B161" s="145"/>
      <c r="C161" s="145"/>
      <c r="D161" s="145"/>
      <c r="E161" s="145"/>
      <c r="F161" s="145"/>
      <c r="G161" s="145"/>
      <c r="H161" s="145"/>
      <c r="I161" s="145"/>
      <c r="J161" s="145"/>
      <c r="K161" s="145"/>
      <c r="L161" s="145"/>
      <c r="M161" s="145"/>
      <c r="N161" s="145"/>
      <c r="O161" s="145"/>
      <c r="P161" s="145"/>
      <c r="Q161" s="145"/>
      <c r="R161" s="145"/>
      <c r="S161" s="145"/>
      <c r="T161" s="201"/>
      <c r="U161" s="145"/>
      <c r="V161" s="145"/>
      <c r="W161" s="145"/>
      <c r="X161" s="145"/>
      <c r="Y161" s="145"/>
      <c r="Z161" s="145"/>
    </row>
    <row r="162" spans="1:26" ht="15.75" customHeight="1" x14ac:dyDescent="0.25">
      <c r="A162" s="145"/>
      <c r="B162" s="145"/>
      <c r="C162" s="145"/>
      <c r="D162" s="145"/>
      <c r="E162" s="145"/>
      <c r="F162" s="145"/>
      <c r="G162" s="145"/>
      <c r="H162" s="145"/>
      <c r="I162" s="145"/>
      <c r="J162" s="145"/>
      <c r="K162" s="145"/>
      <c r="L162" s="145"/>
      <c r="M162" s="145"/>
      <c r="N162" s="145"/>
      <c r="O162" s="145"/>
      <c r="P162" s="145"/>
      <c r="Q162" s="145"/>
      <c r="R162" s="145"/>
      <c r="S162" s="145"/>
      <c r="T162" s="201"/>
      <c r="U162" s="145"/>
      <c r="V162" s="145"/>
      <c r="W162" s="145"/>
      <c r="X162" s="145"/>
      <c r="Y162" s="145"/>
      <c r="Z162" s="145"/>
    </row>
    <row r="163" spans="1:26" ht="15.75" customHeight="1" x14ac:dyDescent="0.25">
      <c r="A163" s="145"/>
      <c r="B163" s="145"/>
      <c r="C163" s="145"/>
      <c r="D163" s="145"/>
      <c r="E163" s="145"/>
      <c r="F163" s="145"/>
      <c r="G163" s="145"/>
      <c r="H163" s="145"/>
      <c r="I163" s="145"/>
      <c r="J163" s="145"/>
      <c r="K163" s="145"/>
      <c r="L163" s="145"/>
      <c r="M163" s="145"/>
      <c r="N163" s="145"/>
      <c r="O163" s="145"/>
      <c r="P163" s="145"/>
      <c r="Q163" s="145"/>
      <c r="R163" s="145"/>
      <c r="S163" s="145"/>
      <c r="T163" s="201"/>
      <c r="U163" s="145"/>
      <c r="V163" s="145"/>
      <c r="W163" s="145"/>
      <c r="X163" s="145"/>
      <c r="Y163" s="145"/>
      <c r="Z163" s="145"/>
    </row>
    <row r="164" spans="1:26" ht="15.75" customHeight="1" x14ac:dyDescent="0.25">
      <c r="A164" s="145"/>
      <c r="B164" s="145"/>
      <c r="C164" s="145"/>
      <c r="D164" s="145"/>
      <c r="E164" s="145"/>
      <c r="F164" s="145"/>
      <c r="G164" s="145"/>
      <c r="H164" s="145"/>
      <c r="I164" s="145"/>
      <c r="J164" s="145"/>
      <c r="K164" s="145"/>
      <c r="L164" s="145"/>
      <c r="M164" s="145"/>
      <c r="N164" s="145"/>
      <c r="O164" s="145"/>
      <c r="P164" s="145"/>
      <c r="Q164" s="145"/>
      <c r="R164" s="145"/>
      <c r="S164" s="145"/>
      <c r="T164" s="201"/>
      <c r="U164" s="145"/>
      <c r="V164" s="145"/>
      <c r="W164" s="145"/>
      <c r="X164" s="145"/>
      <c r="Y164" s="145"/>
      <c r="Z164" s="145"/>
    </row>
    <row r="165" spans="1:26" ht="15.75" customHeight="1" x14ac:dyDescent="0.25">
      <c r="A165" s="145"/>
      <c r="B165" s="145"/>
      <c r="C165" s="145"/>
      <c r="D165" s="145"/>
      <c r="E165" s="145"/>
      <c r="F165" s="145"/>
      <c r="G165" s="145"/>
      <c r="H165" s="145"/>
      <c r="I165" s="145"/>
      <c r="J165" s="145"/>
      <c r="K165" s="145"/>
      <c r="L165" s="145"/>
      <c r="M165" s="145"/>
      <c r="N165" s="145"/>
      <c r="O165" s="145"/>
      <c r="P165" s="145"/>
      <c r="Q165" s="145"/>
      <c r="R165" s="145"/>
      <c r="S165" s="145"/>
      <c r="T165" s="201"/>
      <c r="U165" s="145"/>
      <c r="V165" s="145"/>
      <c r="W165" s="145"/>
      <c r="X165" s="145"/>
      <c r="Y165" s="145"/>
      <c r="Z165" s="145"/>
    </row>
    <row r="166" spans="1:26" ht="15.75" customHeight="1" x14ac:dyDescent="0.25">
      <c r="A166" s="145"/>
      <c r="B166" s="145"/>
      <c r="C166" s="145"/>
      <c r="D166" s="145"/>
      <c r="E166" s="145"/>
      <c r="F166" s="145"/>
      <c r="G166" s="145"/>
      <c r="H166" s="145"/>
      <c r="I166" s="145"/>
      <c r="J166" s="145"/>
      <c r="K166" s="145"/>
      <c r="L166" s="145"/>
      <c r="M166" s="145"/>
      <c r="N166" s="145"/>
      <c r="O166" s="145"/>
      <c r="P166" s="145"/>
      <c r="Q166" s="145"/>
      <c r="R166" s="145"/>
      <c r="S166" s="145"/>
      <c r="T166" s="201"/>
      <c r="U166" s="145"/>
      <c r="V166" s="145"/>
      <c r="W166" s="145"/>
      <c r="X166" s="145"/>
      <c r="Y166" s="145"/>
      <c r="Z166" s="145"/>
    </row>
    <row r="167" spans="1:26" ht="15.75" customHeight="1" x14ac:dyDescent="0.25">
      <c r="A167" s="145"/>
      <c r="B167" s="145"/>
      <c r="C167" s="145"/>
      <c r="D167" s="145"/>
      <c r="E167" s="145"/>
      <c r="F167" s="145"/>
      <c r="G167" s="145"/>
      <c r="H167" s="145"/>
      <c r="I167" s="145"/>
      <c r="J167" s="145"/>
      <c r="K167" s="145"/>
      <c r="L167" s="145"/>
      <c r="M167" s="145"/>
      <c r="N167" s="145"/>
      <c r="O167" s="145"/>
      <c r="P167" s="145"/>
      <c r="Q167" s="145"/>
      <c r="R167" s="145"/>
      <c r="S167" s="145"/>
      <c r="T167" s="201"/>
      <c r="U167" s="145"/>
      <c r="V167" s="145"/>
      <c r="W167" s="145"/>
      <c r="X167" s="145"/>
      <c r="Y167" s="145"/>
      <c r="Z167" s="145"/>
    </row>
    <row r="168" spans="1:26" ht="15.75" customHeight="1" x14ac:dyDescent="0.25">
      <c r="A168" s="145"/>
      <c r="B168" s="145"/>
      <c r="C168" s="145"/>
      <c r="D168" s="145"/>
      <c r="E168" s="145"/>
      <c r="F168" s="145"/>
      <c r="G168" s="145"/>
      <c r="H168" s="145"/>
      <c r="I168" s="145"/>
      <c r="J168" s="145"/>
      <c r="K168" s="145"/>
      <c r="L168" s="145"/>
      <c r="M168" s="145"/>
      <c r="N168" s="145"/>
      <c r="O168" s="145"/>
      <c r="P168" s="145"/>
      <c r="Q168" s="145"/>
      <c r="R168" s="145"/>
      <c r="S168" s="145"/>
      <c r="T168" s="201"/>
      <c r="U168" s="145"/>
      <c r="V168" s="145"/>
      <c r="W168" s="145"/>
      <c r="X168" s="145"/>
      <c r="Y168" s="145"/>
      <c r="Z168" s="145"/>
    </row>
    <row r="169" spans="1:26" ht="15.75" customHeight="1" x14ac:dyDescent="0.25">
      <c r="A169" s="145"/>
      <c r="B169" s="145"/>
      <c r="C169" s="145"/>
      <c r="D169" s="145"/>
      <c r="E169" s="145"/>
      <c r="F169" s="145"/>
      <c r="G169" s="145"/>
      <c r="H169" s="145"/>
      <c r="I169" s="145"/>
      <c r="J169" s="145"/>
      <c r="K169" s="145"/>
      <c r="L169" s="145"/>
      <c r="M169" s="145"/>
      <c r="N169" s="145"/>
      <c r="O169" s="145"/>
      <c r="P169" s="145"/>
      <c r="Q169" s="145"/>
      <c r="R169" s="145"/>
      <c r="S169" s="145"/>
      <c r="T169" s="201"/>
      <c r="U169" s="145"/>
      <c r="V169" s="145"/>
      <c r="W169" s="145"/>
      <c r="X169" s="145"/>
      <c r="Y169" s="145"/>
      <c r="Z169" s="145"/>
    </row>
    <row r="170" spans="1:26" ht="15.75" customHeight="1" x14ac:dyDescent="0.25">
      <c r="A170" s="145"/>
      <c r="B170" s="145"/>
      <c r="C170" s="145"/>
      <c r="D170" s="145"/>
      <c r="E170" s="145"/>
      <c r="F170" s="145"/>
      <c r="G170" s="145"/>
      <c r="H170" s="145"/>
      <c r="I170" s="145"/>
      <c r="J170" s="145"/>
      <c r="K170" s="145"/>
      <c r="L170" s="145"/>
      <c r="M170" s="145"/>
      <c r="N170" s="145"/>
      <c r="O170" s="145"/>
      <c r="P170" s="145"/>
      <c r="Q170" s="145"/>
      <c r="R170" s="145"/>
      <c r="S170" s="145"/>
      <c r="T170" s="201"/>
      <c r="U170" s="145"/>
      <c r="V170" s="145"/>
      <c r="W170" s="145"/>
      <c r="X170" s="145"/>
      <c r="Y170" s="145"/>
      <c r="Z170" s="145"/>
    </row>
    <row r="171" spans="1:26" ht="15.75" customHeight="1" x14ac:dyDescent="0.25">
      <c r="A171" s="145"/>
      <c r="B171" s="145"/>
      <c r="C171" s="145"/>
      <c r="D171" s="145"/>
      <c r="E171" s="145"/>
      <c r="F171" s="145"/>
      <c r="G171" s="145"/>
      <c r="H171" s="145"/>
      <c r="I171" s="145"/>
      <c r="J171" s="145"/>
      <c r="K171" s="145"/>
      <c r="L171" s="145"/>
      <c r="M171" s="145"/>
      <c r="N171" s="145"/>
      <c r="O171" s="145"/>
      <c r="P171" s="145"/>
      <c r="Q171" s="145"/>
      <c r="R171" s="145"/>
      <c r="S171" s="145"/>
      <c r="T171" s="201"/>
      <c r="U171" s="145"/>
      <c r="V171" s="145"/>
      <c r="W171" s="145"/>
      <c r="X171" s="145"/>
      <c r="Y171" s="145"/>
      <c r="Z171" s="145"/>
    </row>
    <row r="172" spans="1:26" ht="15.75" customHeight="1" x14ac:dyDescent="0.25">
      <c r="A172" s="145"/>
      <c r="B172" s="145"/>
      <c r="C172" s="145"/>
      <c r="D172" s="145"/>
      <c r="E172" s="145"/>
      <c r="F172" s="145"/>
      <c r="G172" s="145"/>
      <c r="H172" s="145"/>
      <c r="I172" s="145"/>
      <c r="J172" s="145"/>
      <c r="K172" s="145"/>
      <c r="L172" s="145"/>
      <c r="M172" s="145"/>
      <c r="N172" s="145"/>
      <c r="O172" s="145"/>
      <c r="P172" s="145"/>
      <c r="Q172" s="145"/>
      <c r="R172" s="145"/>
      <c r="S172" s="145"/>
      <c r="T172" s="201"/>
      <c r="U172" s="145"/>
      <c r="V172" s="145"/>
      <c r="W172" s="145"/>
      <c r="X172" s="145"/>
      <c r="Y172" s="145"/>
      <c r="Z172" s="145"/>
    </row>
    <row r="173" spans="1:26" ht="15.75" customHeight="1" x14ac:dyDescent="0.25">
      <c r="A173" s="145"/>
      <c r="B173" s="145"/>
      <c r="C173" s="145"/>
      <c r="D173" s="145"/>
      <c r="E173" s="145"/>
      <c r="F173" s="145"/>
      <c r="G173" s="145"/>
      <c r="H173" s="145"/>
      <c r="I173" s="145"/>
      <c r="J173" s="145"/>
      <c r="K173" s="145"/>
      <c r="L173" s="145"/>
      <c r="M173" s="145"/>
      <c r="N173" s="145"/>
      <c r="O173" s="145"/>
      <c r="P173" s="145"/>
      <c r="Q173" s="145"/>
      <c r="R173" s="145"/>
      <c r="S173" s="145"/>
      <c r="T173" s="201"/>
      <c r="U173" s="145"/>
      <c r="V173" s="145"/>
      <c r="W173" s="145"/>
      <c r="X173" s="145"/>
      <c r="Y173" s="145"/>
      <c r="Z173" s="145"/>
    </row>
    <row r="174" spans="1:26" ht="15.75" customHeight="1" x14ac:dyDescent="0.25">
      <c r="A174" s="145"/>
      <c r="B174" s="145"/>
      <c r="C174" s="145"/>
      <c r="D174" s="145"/>
      <c r="E174" s="145"/>
      <c r="F174" s="145"/>
      <c r="G174" s="145"/>
      <c r="H174" s="145"/>
      <c r="I174" s="145"/>
      <c r="J174" s="145"/>
      <c r="K174" s="145"/>
      <c r="L174" s="145"/>
      <c r="M174" s="145"/>
      <c r="N174" s="145"/>
      <c r="O174" s="145"/>
      <c r="P174" s="145"/>
      <c r="Q174" s="145"/>
      <c r="R174" s="145"/>
      <c r="S174" s="145"/>
      <c r="T174" s="201"/>
      <c r="U174" s="145"/>
      <c r="V174" s="145"/>
      <c r="W174" s="145"/>
      <c r="X174" s="145"/>
      <c r="Y174" s="145"/>
      <c r="Z174" s="145"/>
    </row>
    <row r="175" spans="1:26" ht="15.75" customHeight="1" x14ac:dyDescent="0.25">
      <c r="A175" s="145"/>
      <c r="B175" s="145"/>
      <c r="C175" s="145"/>
      <c r="D175" s="145"/>
      <c r="E175" s="145"/>
      <c r="F175" s="145"/>
      <c r="G175" s="145"/>
      <c r="H175" s="145"/>
      <c r="I175" s="145"/>
      <c r="J175" s="145"/>
      <c r="K175" s="145"/>
      <c r="L175" s="145"/>
      <c r="M175" s="145"/>
      <c r="N175" s="145"/>
      <c r="O175" s="145"/>
      <c r="P175" s="145"/>
      <c r="Q175" s="145"/>
      <c r="R175" s="145"/>
      <c r="S175" s="145"/>
      <c r="T175" s="201"/>
      <c r="U175" s="145"/>
      <c r="V175" s="145"/>
      <c r="W175" s="145"/>
      <c r="X175" s="145"/>
      <c r="Y175" s="145"/>
      <c r="Z175" s="145"/>
    </row>
    <row r="176" spans="1:26" ht="15.75" customHeight="1" x14ac:dyDescent="0.25">
      <c r="A176" s="145"/>
      <c r="B176" s="145"/>
      <c r="C176" s="145"/>
      <c r="D176" s="145"/>
      <c r="E176" s="145"/>
      <c r="F176" s="145"/>
      <c r="G176" s="145"/>
      <c r="H176" s="145"/>
      <c r="I176" s="145"/>
      <c r="J176" s="145"/>
      <c r="K176" s="145"/>
      <c r="L176" s="145"/>
      <c r="M176" s="145"/>
      <c r="N176" s="145"/>
      <c r="O176" s="145"/>
      <c r="P176" s="145"/>
      <c r="Q176" s="145"/>
      <c r="R176" s="145"/>
      <c r="S176" s="145"/>
      <c r="T176" s="201"/>
      <c r="U176" s="145"/>
      <c r="V176" s="145"/>
      <c r="W176" s="145"/>
      <c r="X176" s="145"/>
      <c r="Y176" s="145"/>
      <c r="Z176" s="145"/>
    </row>
    <row r="177" spans="1:26" ht="15.75" customHeight="1" x14ac:dyDescent="0.25">
      <c r="A177" s="145"/>
      <c r="B177" s="145"/>
      <c r="C177" s="145"/>
      <c r="D177" s="145"/>
      <c r="E177" s="145"/>
      <c r="F177" s="145"/>
      <c r="G177" s="145"/>
      <c r="H177" s="145"/>
      <c r="I177" s="145"/>
      <c r="J177" s="145"/>
      <c r="K177" s="145"/>
      <c r="L177" s="145"/>
      <c r="M177" s="145"/>
      <c r="N177" s="145"/>
      <c r="O177" s="145"/>
      <c r="P177" s="145"/>
      <c r="Q177" s="145"/>
      <c r="R177" s="145"/>
      <c r="S177" s="145"/>
      <c r="T177" s="201"/>
      <c r="U177" s="145"/>
      <c r="V177" s="145"/>
      <c r="W177" s="145"/>
      <c r="X177" s="145"/>
      <c r="Y177" s="145"/>
      <c r="Z177" s="145"/>
    </row>
    <row r="178" spans="1:26" ht="15.75" customHeight="1" x14ac:dyDescent="0.25">
      <c r="A178" s="145"/>
      <c r="B178" s="145"/>
      <c r="C178" s="145"/>
      <c r="D178" s="145"/>
      <c r="E178" s="145"/>
      <c r="F178" s="145"/>
      <c r="G178" s="145"/>
      <c r="H178" s="145"/>
      <c r="I178" s="145"/>
      <c r="J178" s="145"/>
      <c r="K178" s="145"/>
      <c r="L178" s="145"/>
      <c r="M178" s="145"/>
      <c r="N178" s="145"/>
      <c r="O178" s="145"/>
      <c r="P178" s="145"/>
      <c r="Q178" s="145"/>
      <c r="R178" s="145"/>
      <c r="S178" s="145"/>
      <c r="T178" s="201"/>
      <c r="U178" s="145"/>
      <c r="V178" s="145"/>
      <c r="W178" s="145"/>
      <c r="X178" s="145"/>
      <c r="Y178" s="145"/>
      <c r="Z178" s="145"/>
    </row>
    <row r="179" spans="1:26" ht="15.75" customHeight="1" x14ac:dyDescent="0.25">
      <c r="A179" s="145"/>
      <c r="B179" s="145"/>
      <c r="C179" s="145"/>
      <c r="D179" s="145"/>
      <c r="E179" s="145"/>
      <c r="F179" s="145"/>
      <c r="G179" s="145"/>
      <c r="H179" s="145"/>
      <c r="I179" s="145"/>
      <c r="J179" s="145"/>
      <c r="K179" s="145"/>
      <c r="L179" s="145"/>
      <c r="M179" s="145"/>
      <c r="N179" s="145"/>
      <c r="O179" s="145"/>
      <c r="P179" s="145"/>
      <c r="Q179" s="145"/>
      <c r="R179" s="145"/>
      <c r="S179" s="145"/>
      <c r="T179" s="201"/>
      <c r="U179" s="145"/>
      <c r="V179" s="145"/>
      <c r="W179" s="145"/>
      <c r="X179" s="145"/>
      <c r="Y179" s="145"/>
      <c r="Z179" s="145"/>
    </row>
    <row r="180" spans="1:26" ht="15.75" customHeight="1" x14ac:dyDescent="0.25">
      <c r="A180" s="145"/>
      <c r="B180" s="145"/>
      <c r="C180" s="145"/>
      <c r="D180" s="145"/>
      <c r="E180" s="145"/>
      <c r="F180" s="145"/>
      <c r="G180" s="145"/>
      <c r="H180" s="145"/>
      <c r="I180" s="145"/>
      <c r="J180" s="145"/>
      <c r="K180" s="145"/>
      <c r="L180" s="145"/>
      <c r="M180" s="145"/>
      <c r="N180" s="145"/>
      <c r="O180" s="145"/>
      <c r="P180" s="145"/>
      <c r="Q180" s="145"/>
      <c r="R180" s="145"/>
      <c r="S180" s="145"/>
      <c r="T180" s="201"/>
      <c r="U180" s="145"/>
      <c r="V180" s="145"/>
      <c r="W180" s="145"/>
      <c r="X180" s="145"/>
      <c r="Y180" s="145"/>
      <c r="Z180" s="145"/>
    </row>
    <row r="181" spans="1:26" ht="15.75" customHeight="1" x14ac:dyDescent="0.25">
      <c r="A181" s="145"/>
      <c r="B181" s="145"/>
      <c r="C181" s="145"/>
      <c r="D181" s="145"/>
      <c r="E181" s="145"/>
      <c r="F181" s="145"/>
      <c r="G181" s="145"/>
      <c r="H181" s="145"/>
      <c r="I181" s="145"/>
      <c r="J181" s="145"/>
      <c r="K181" s="145"/>
      <c r="L181" s="145"/>
      <c r="M181" s="145"/>
      <c r="N181" s="145"/>
      <c r="O181" s="145"/>
      <c r="P181" s="145"/>
      <c r="Q181" s="145"/>
      <c r="R181" s="145"/>
      <c r="S181" s="145"/>
      <c r="T181" s="201"/>
      <c r="U181" s="145"/>
      <c r="V181" s="145"/>
      <c r="W181" s="145"/>
      <c r="X181" s="145"/>
      <c r="Y181" s="145"/>
      <c r="Z181" s="145"/>
    </row>
    <row r="182" spans="1:26" ht="15.75" customHeight="1" x14ac:dyDescent="0.25">
      <c r="A182" s="145"/>
      <c r="B182" s="145"/>
      <c r="C182" s="145"/>
      <c r="D182" s="145"/>
      <c r="E182" s="145"/>
      <c r="F182" s="145"/>
      <c r="G182" s="145"/>
      <c r="H182" s="145"/>
      <c r="I182" s="145"/>
      <c r="J182" s="145"/>
      <c r="K182" s="145"/>
      <c r="L182" s="145"/>
      <c r="M182" s="145"/>
      <c r="N182" s="145"/>
      <c r="O182" s="145"/>
      <c r="P182" s="145"/>
      <c r="Q182" s="145"/>
      <c r="R182" s="145"/>
      <c r="S182" s="145"/>
      <c r="T182" s="201"/>
      <c r="U182" s="145"/>
      <c r="V182" s="145"/>
      <c r="W182" s="145"/>
      <c r="X182" s="145"/>
      <c r="Y182" s="145"/>
      <c r="Z182" s="145"/>
    </row>
    <row r="183" spans="1:26" ht="15.75" customHeight="1" x14ac:dyDescent="0.25">
      <c r="A183" s="145"/>
      <c r="B183" s="145"/>
      <c r="C183" s="145"/>
      <c r="D183" s="145"/>
      <c r="E183" s="145"/>
      <c r="F183" s="145"/>
      <c r="G183" s="145"/>
      <c r="H183" s="145"/>
      <c r="I183" s="145"/>
      <c r="J183" s="145"/>
      <c r="K183" s="145"/>
      <c r="L183" s="145"/>
      <c r="M183" s="145"/>
      <c r="N183" s="145"/>
      <c r="O183" s="145"/>
      <c r="P183" s="145"/>
      <c r="Q183" s="145"/>
      <c r="R183" s="145"/>
      <c r="S183" s="145"/>
      <c r="T183" s="201"/>
      <c r="U183" s="145"/>
      <c r="V183" s="145"/>
      <c r="W183" s="145"/>
      <c r="X183" s="145"/>
      <c r="Y183" s="145"/>
      <c r="Z183" s="145"/>
    </row>
    <row r="184" spans="1:26" ht="15.75" customHeight="1" x14ac:dyDescent="0.25">
      <c r="A184" s="145"/>
      <c r="B184" s="145"/>
      <c r="C184" s="145"/>
      <c r="D184" s="145"/>
      <c r="E184" s="145"/>
      <c r="F184" s="145"/>
      <c r="G184" s="145"/>
      <c r="H184" s="145"/>
      <c r="I184" s="145"/>
      <c r="J184" s="145"/>
      <c r="K184" s="145"/>
      <c r="L184" s="145"/>
      <c r="M184" s="145"/>
      <c r="N184" s="145"/>
      <c r="O184" s="145"/>
      <c r="P184" s="145"/>
      <c r="Q184" s="145"/>
      <c r="R184" s="145"/>
      <c r="S184" s="145"/>
      <c r="T184" s="201"/>
      <c r="U184" s="145"/>
      <c r="V184" s="145"/>
      <c r="W184" s="145"/>
      <c r="X184" s="145"/>
      <c r="Y184" s="145"/>
      <c r="Z184" s="145"/>
    </row>
    <row r="185" spans="1:26" ht="15.75" customHeight="1" x14ac:dyDescent="0.25">
      <c r="A185" s="145"/>
      <c r="B185" s="145"/>
      <c r="C185" s="145"/>
      <c r="D185" s="145"/>
      <c r="E185" s="145"/>
      <c r="F185" s="145"/>
      <c r="G185" s="145"/>
      <c r="H185" s="145"/>
      <c r="I185" s="145"/>
      <c r="J185" s="145"/>
      <c r="K185" s="145"/>
      <c r="L185" s="145"/>
      <c r="M185" s="145"/>
      <c r="N185" s="145"/>
      <c r="O185" s="145"/>
      <c r="P185" s="145"/>
      <c r="Q185" s="145"/>
      <c r="R185" s="145"/>
      <c r="S185" s="145"/>
      <c r="T185" s="201"/>
      <c r="U185" s="145"/>
      <c r="V185" s="145"/>
      <c r="W185" s="145"/>
      <c r="X185" s="145"/>
      <c r="Y185" s="145"/>
      <c r="Z185" s="145"/>
    </row>
    <row r="186" spans="1:26" ht="15.75" customHeight="1" x14ac:dyDescent="0.25">
      <c r="A186" s="145"/>
      <c r="B186" s="145"/>
      <c r="C186" s="145"/>
      <c r="D186" s="145"/>
      <c r="E186" s="145"/>
      <c r="F186" s="145"/>
      <c r="G186" s="145"/>
      <c r="H186" s="145"/>
      <c r="I186" s="145"/>
      <c r="J186" s="145"/>
      <c r="K186" s="145"/>
      <c r="L186" s="145"/>
      <c r="M186" s="145"/>
      <c r="N186" s="145"/>
      <c r="O186" s="145"/>
      <c r="P186" s="145"/>
      <c r="Q186" s="145"/>
      <c r="R186" s="145"/>
      <c r="S186" s="145"/>
      <c r="T186" s="201"/>
      <c r="U186" s="145"/>
      <c r="V186" s="145"/>
      <c r="W186" s="145"/>
      <c r="X186" s="145"/>
      <c r="Y186" s="145"/>
      <c r="Z186" s="145"/>
    </row>
    <row r="187" spans="1:26" ht="15.75" customHeight="1" x14ac:dyDescent="0.25">
      <c r="A187" s="145"/>
      <c r="B187" s="145"/>
      <c r="C187" s="145"/>
      <c r="D187" s="145"/>
      <c r="E187" s="145"/>
      <c r="F187" s="145"/>
      <c r="G187" s="145"/>
      <c r="H187" s="145"/>
      <c r="I187" s="145"/>
      <c r="J187" s="145"/>
      <c r="K187" s="145"/>
      <c r="L187" s="145"/>
      <c r="M187" s="145"/>
      <c r="N187" s="145"/>
      <c r="O187" s="145"/>
      <c r="P187" s="145"/>
      <c r="Q187" s="145"/>
      <c r="R187" s="145"/>
      <c r="S187" s="145"/>
      <c r="T187" s="201"/>
      <c r="U187" s="145"/>
      <c r="V187" s="145"/>
      <c r="W187" s="145"/>
      <c r="X187" s="145"/>
      <c r="Y187" s="145"/>
      <c r="Z187" s="145"/>
    </row>
    <row r="188" spans="1:26" ht="15.75" customHeight="1" x14ac:dyDescent="0.25">
      <c r="A188" s="145"/>
      <c r="B188" s="145"/>
      <c r="C188" s="145"/>
      <c r="D188" s="145"/>
      <c r="E188" s="145"/>
      <c r="F188" s="145"/>
      <c r="G188" s="145"/>
      <c r="H188" s="145"/>
      <c r="I188" s="145"/>
      <c r="J188" s="145"/>
      <c r="K188" s="145"/>
      <c r="L188" s="145"/>
      <c r="M188" s="145"/>
      <c r="N188" s="145"/>
      <c r="O188" s="145"/>
      <c r="P188" s="145"/>
      <c r="Q188" s="145"/>
      <c r="R188" s="145"/>
      <c r="S188" s="145"/>
      <c r="T188" s="201"/>
      <c r="U188" s="145"/>
      <c r="V188" s="145"/>
      <c r="W188" s="145"/>
      <c r="X188" s="145"/>
      <c r="Y188" s="145"/>
      <c r="Z188" s="145"/>
    </row>
    <row r="189" spans="1:26" ht="15.75" customHeight="1" x14ac:dyDescent="0.25">
      <c r="A189" s="145"/>
      <c r="B189" s="145"/>
      <c r="C189" s="145"/>
      <c r="D189" s="145"/>
      <c r="E189" s="145"/>
      <c r="F189" s="145"/>
      <c r="G189" s="145"/>
      <c r="H189" s="145"/>
      <c r="I189" s="145"/>
      <c r="J189" s="145"/>
      <c r="K189" s="145"/>
      <c r="L189" s="145"/>
      <c r="M189" s="145"/>
      <c r="N189" s="145"/>
      <c r="O189" s="145"/>
      <c r="P189" s="145"/>
      <c r="Q189" s="145"/>
      <c r="R189" s="145"/>
      <c r="S189" s="145"/>
      <c r="T189" s="201"/>
      <c r="U189" s="145"/>
      <c r="V189" s="145"/>
      <c r="W189" s="145"/>
      <c r="X189" s="145"/>
      <c r="Y189" s="145"/>
      <c r="Z189" s="145"/>
    </row>
    <row r="190" spans="1:26" ht="15.75" customHeight="1" x14ac:dyDescent="0.25">
      <c r="A190" s="145"/>
      <c r="B190" s="145"/>
      <c r="C190" s="145"/>
      <c r="D190" s="145"/>
      <c r="E190" s="145"/>
      <c r="F190" s="145"/>
      <c r="G190" s="145"/>
      <c r="H190" s="145"/>
      <c r="I190" s="145"/>
      <c r="J190" s="145"/>
      <c r="K190" s="145"/>
      <c r="L190" s="145"/>
      <c r="M190" s="145"/>
      <c r="N190" s="145"/>
      <c r="O190" s="145"/>
      <c r="P190" s="145"/>
      <c r="Q190" s="145"/>
      <c r="R190" s="145"/>
      <c r="S190" s="145"/>
      <c r="T190" s="201"/>
      <c r="U190" s="145"/>
      <c r="V190" s="145"/>
      <c r="W190" s="145"/>
      <c r="X190" s="145"/>
      <c r="Y190" s="145"/>
      <c r="Z190" s="145"/>
    </row>
    <row r="191" spans="1:26" ht="15.75" customHeight="1" x14ac:dyDescent="0.25">
      <c r="A191" s="145"/>
      <c r="B191" s="145"/>
      <c r="C191" s="145"/>
      <c r="D191" s="145"/>
      <c r="E191" s="145"/>
      <c r="F191" s="145"/>
      <c r="G191" s="145"/>
      <c r="H191" s="145"/>
      <c r="I191" s="145"/>
      <c r="J191" s="145"/>
      <c r="K191" s="145"/>
      <c r="L191" s="145"/>
      <c r="M191" s="145"/>
      <c r="N191" s="145"/>
      <c r="O191" s="145"/>
      <c r="P191" s="145"/>
      <c r="Q191" s="145"/>
      <c r="R191" s="145"/>
      <c r="S191" s="145"/>
      <c r="T191" s="201"/>
      <c r="U191" s="145"/>
      <c r="V191" s="145"/>
      <c r="W191" s="145"/>
      <c r="X191" s="145"/>
      <c r="Y191" s="145"/>
      <c r="Z191" s="145"/>
    </row>
    <row r="192" spans="1:26" ht="15.75" customHeight="1" x14ac:dyDescent="0.25">
      <c r="A192" s="145"/>
      <c r="B192" s="145"/>
      <c r="C192" s="145"/>
      <c r="D192" s="145"/>
      <c r="E192" s="145"/>
      <c r="F192" s="145"/>
      <c r="G192" s="145"/>
      <c r="H192" s="145"/>
      <c r="I192" s="145"/>
      <c r="J192" s="145"/>
      <c r="K192" s="145"/>
      <c r="L192" s="145"/>
      <c r="M192" s="145"/>
      <c r="N192" s="145"/>
      <c r="O192" s="145"/>
      <c r="P192" s="145"/>
      <c r="Q192" s="145"/>
      <c r="R192" s="145"/>
      <c r="S192" s="145"/>
      <c r="T192" s="201"/>
      <c r="U192" s="145"/>
      <c r="V192" s="145"/>
      <c r="W192" s="145"/>
      <c r="X192" s="145"/>
      <c r="Y192" s="145"/>
      <c r="Z192" s="145"/>
    </row>
    <row r="193" spans="1:26" ht="15.75" customHeight="1" x14ac:dyDescent="0.25">
      <c r="A193" s="145"/>
      <c r="B193" s="145"/>
      <c r="C193" s="145"/>
      <c r="D193" s="145"/>
      <c r="E193" s="145"/>
      <c r="F193" s="145"/>
      <c r="G193" s="145"/>
      <c r="H193" s="145"/>
      <c r="I193" s="145"/>
      <c r="J193" s="145"/>
      <c r="K193" s="145"/>
      <c r="L193" s="145"/>
      <c r="M193" s="145"/>
      <c r="N193" s="145"/>
      <c r="O193" s="145"/>
      <c r="P193" s="145"/>
      <c r="Q193" s="145"/>
      <c r="R193" s="145"/>
      <c r="S193" s="145"/>
      <c r="T193" s="201"/>
      <c r="U193" s="145"/>
      <c r="V193" s="145"/>
      <c r="W193" s="145"/>
      <c r="X193" s="145"/>
      <c r="Y193" s="145"/>
      <c r="Z193" s="145"/>
    </row>
    <row r="194" spans="1:26" ht="15.75" customHeight="1" x14ac:dyDescent="0.25">
      <c r="A194" s="145"/>
      <c r="B194" s="145"/>
      <c r="C194" s="145"/>
      <c r="D194" s="145"/>
      <c r="E194" s="145"/>
      <c r="F194" s="145"/>
      <c r="G194" s="145"/>
      <c r="H194" s="145"/>
      <c r="I194" s="145"/>
      <c r="J194" s="145"/>
      <c r="K194" s="145"/>
      <c r="L194" s="145"/>
      <c r="M194" s="145"/>
      <c r="N194" s="145"/>
      <c r="O194" s="145"/>
      <c r="P194" s="145"/>
      <c r="Q194" s="145"/>
      <c r="R194" s="145"/>
      <c r="S194" s="145"/>
      <c r="T194" s="201"/>
      <c r="U194" s="145"/>
      <c r="V194" s="145"/>
      <c r="W194" s="145"/>
      <c r="X194" s="145"/>
      <c r="Y194" s="145"/>
      <c r="Z194" s="145"/>
    </row>
    <row r="195" spans="1:26" ht="15.75" customHeight="1" x14ac:dyDescent="0.25">
      <c r="A195" s="145"/>
      <c r="B195" s="145"/>
      <c r="C195" s="145"/>
      <c r="D195" s="145"/>
      <c r="E195" s="145"/>
      <c r="F195" s="145"/>
      <c r="G195" s="145"/>
      <c r="H195" s="145"/>
      <c r="I195" s="145"/>
      <c r="J195" s="145"/>
      <c r="K195" s="145"/>
      <c r="L195" s="145"/>
      <c r="M195" s="145"/>
      <c r="N195" s="145"/>
      <c r="O195" s="145"/>
      <c r="P195" s="145"/>
      <c r="Q195" s="145"/>
      <c r="R195" s="145"/>
      <c r="S195" s="145"/>
      <c r="T195" s="201"/>
      <c r="U195" s="145"/>
      <c r="V195" s="145"/>
      <c r="W195" s="145"/>
      <c r="X195" s="145"/>
      <c r="Y195" s="145"/>
      <c r="Z195" s="145"/>
    </row>
    <row r="196" spans="1:26" ht="15.75" customHeight="1" x14ac:dyDescent="0.25">
      <c r="A196" s="145"/>
      <c r="B196" s="145"/>
      <c r="C196" s="145"/>
      <c r="D196" s="145"/>
      <c r="E196" s="145"/>
      <c r="F196" s="145"/>
      <c r="G196" s="145"/>
      <c r="H196" s="145"/>
      <c r="I196" s="145"/>
      <c r="J196" s="145"/>
      <c r="K196" s="145"/>
      <c r="L196" s="145"/>
      <c r="M196" s="145"/>
      <c r="N196" s="145"/>
      <c r="O196" s="145"/>
      <c r="P196" s="145"/>
      <c r="Q196" s="145"/>
      <c r="R196" s="145"/>
      <c r="S196" s="145"/>
      <c r="T196" s="201"/>
      <c r="U196" s="145"/>
      <c r="V196" s="145"/>
      <c r="W196" s="145"/>
      <c r="X196" s="145"/>
      <c r="Y196" s="145"/>
      <c r="Z196" s="145"/>
    </row>
    <row r="197" spans="1:26" ht="15.75" customHeight="1" x14ac:dyDescent="0.25">
      <c r="A197" s="145"/>
      <c r="B197" s="145"/>
      <c r="C197" s="145"/>
      <c r="D197" s="145"/>
      <c r="E197" s="145"/>
      <c r="F197" s="145"/>
      <c r="G197" s="145"/>
      <c r="H197" s="145"/>
      <c r="I197" s="145"/>
      <c r="J197" s="145"/>
      <c r="K197" s="145"/>
      <c r="L197" s="145"/>
      <c r="M197" s="145"/>
      <c r="N197" s="145"/>
      <c r="O197" s="145"/>
      <c r="P197" s="145"/>
      <c r="Q197" s="145"/>
      <c r="R197" s="145"/>
      <c r="S197" s="145"/>
      <c r="T197" s="201"/>
      <c r="U197" s="145"/>
      <c r="V197" s="145"/>
      <c r="W197" s="145"/>
      <c r="X197" s="145"/>
      <c r="Y197" s="145"/>
      <c r="Z197" s="145"/>
    </row>
    <row r="198" spans="1:26" ht="15.75" customHeight="1" x14ac:dyDescent="0.25">
      <c r="A198" s="145"/>
      <c r="B198" s="145"/>
      <c r="C198" s="145"/>
      <c r="D198" s="145"/>
      <c r="E198" s="145"/>
      <c r="F198" s="145"/>
      <c r="G198" s="145"/>
      <c r="H198" s="145"/>
      <c r="I198" s="145"/>
      <c r="J198" s="145"/>
      <c r="K198" s="145"/>
      <c r="L198" s="145"/>
      <c r="M198" s="145"/>
      <c r="N198" s="145"/>
      <c r="O198" s="145"/>
      <c r="P198" s="145"/>
      <c r="Q198" s="145"/>
      <c r="R198" s="145"/>
      <c r="S198" s="145"/>
      <c r="T198" s="201"/>
      <c r="U198" s="145"/>
      <c r="V198" s="145"/>
      <c r="W198" s="145"/>
      <c r="X198" s="145"/>
      <c r="Y198" s="145"/>
      <c r="Z198" s="145"/>
    </row>
    <row r="199" spans="1:26" ht="15.75" customHeight="1" x14ac:dyDescent="0.25">
      <c r="A199" s="145"/>
      <c r="B199" s="145"/>
      <c r="C199" s="145"/>
      <c r="D199" s="145"/>
      <c r="E199" s="145"/>
      <c r="F199" s="145"/>
      <c r="G199" s="145"/>
      <c r="H199" s="145"/>
      <c r="I199" s="145"/>
      <c r="J199" s="145"/>
      <c r="K199" s="145"/>
      <c r="L199" s="145"/>
      <c r="M199" s="145"/>
      <c r="N199" s="145"/>
      <c r="O199" s="145"/>
      <c r="P199" s="145"/>
      <c r="Q199" s="145"/>
      <c r="R199" s="145"/>
      <c r="S199" s="145"/>
      <c r="T199" s="201"/>
      <c r="U199" s="145"/>
      <c r="V199" s="145"/>
      <c r="W199" s="145"/>
      <c r="X199" s="145"/>
      <c r="Y199" s="145"/>
      <c r="Z199" s="145"/>
    </row>
    <row r="200" spans="1:26" ht="15.75" customHeight="1" x14ac:dyDescent="0.25">
      <c r="A200" s="145"/>
      <c r="B200" s="145"/>
      <c r="C200" s="145"/>
      <c r="D200" s="145"/>
      <c r="E200" s="145"/>
      <c r="F200" s="145"/>
      <c r="G200" s="145"/>
      <c r="H200" s="145"/>
      <c r="I200" s="145"/>
      <c r="J200" s="145"/>
      <c r="K200" s="145"/>
      <c r="L200" s="145"/>
      <c r="M200" s="145"/>
      <c r="N200" s="145"/>
      <c r="O200" s="145"/>
      <c r="P200" s="145"/>
      <c r="Q200" s="145"/>
      <c r="R200" s="145"/>
      <c r="S200" s="145"/>
      <c r="T200" s="201"/>
      <c r="U200" s="145"/>
      <c r="V200" s="145"/>
      <c r="W200" s="145"/>
      <c r="X200" s="145"/>
      <c r="Y200" s="145"/>
      <c r="Z200" s="145"/>
    </row>
    <row r="201" spans="1:26" ht="15.75" customHeight="1" x14ac:dyDescent="0.25">
      <c r="A201" s="145"/>
      <c r="B201" s="145"/>
      <c r="C201" s="145"/>
      <c r="D201" s="145"/>
      <c r="E201" s="145"/>
      <c r="F201" s="145"/>
      <c r="G201" s="145"/>
      <c r="H201" s="145"/>
      <c r="I201" s="145"/>
      <c r="J201" s="145"/>
      <c r="K201" s="145"/>
      <c r="L201" s="145"/>
      <c r="M201" s="145"/>
      <c r="N201" s="145"/>
      <c r="O201" s="145"/>
      <c r="P201" s="145"/>
      <c r="Q201" s="145"/>
      <c r="R201" s="145"/>
      <c r="S201" s="145"/>
      <c r="T201" s="201"/>
      <c r="U201" s="145"/>
      <c r="V201" s="145"/>
      <c r="W201" s="145"/>
      <c r="X201" s="145"/>
      <c r="Y201" s="145"/>
      <c r="Z201" s="145"/>
    </row>
    <row r="202" spans="1:26" ht="15.75" customHeight="1" x14ac:dyDescent="0.25">
      <c r="A202" s="145"/>
      <c r="B202" s="145"/>
      <c r="C202" s="145"/>
      <c r="D202" s="145"/>
      <c r="E202" s="145"/>
      <c r="F202" s="145"/>
      <c r="G202" s="145"/>
      <c r="H202" s="145"/>
      <c r="I202" s="145"/>
      <c r="J202" s="145"/>
      <c r="K202" s="145"/>
      <c r="L202" s="145"/>
      <c r="M202" s="145"/>
      <c r="N202" s="145"/>
      <c r="O202" s="145"/>
      <c r="P202" s="145"/>
      <c r="Q202" s="145"/>
      <c r="R202" s="145"/>
      <c r="S202" s="145"/>
      <c r="T202" s="201"/>
      <c r="U202" s="145"/>
      <c r="V202" s="145"/>
      <c r="W202" s="145"/>
      <c r="X202" s="145"/>
      <c r="Y202" s="145"/>
      <c r="Z202" s="145"/>
    </row>
    <row r="203" spans="1:26" ht="15.75" customHeight="1" x14ac:dyDescent="0.25">
      <c r="A203" s="145"/>
      <c r="B203" s="145"/>
      <c r="C203" s="145"/>
      <c r="D203" s="145"/>
      <c r="E203" s="145"/>
      <c r="F203" s="145"/>
      <c r="G203" s="145"/>
      <c r="H203" s="145"/>
      <c r="I203" s="145"/>
      <c r="J203" s="145"/>
      <c r="K203" s="145"/>
      <c r="L203" s="145"/>
      <c r="M203" s="145"/>
      <c r="N203" s="145"/>
      <c r="O203" s="145"/>
      <c r="P203" s="145"/>
      <c r="Q203" s="145"/>
      <c r="R203" s="145"/>
      <c r="S203" s="145"/>
      <c r="T203" s="201"/>
      <c r="U203" s="145"/>
      <c r="V203" s="145"/>
      <c r="W203" s="145"/>
      <c r="X203" s="145"/>
      <c r="Y203" s="145"/>
      <c r="Z203" s="145"/>
    </row>
    <row r="204" spans="1:26" ht="15.75" customHeight="1" x14ac:dyDescent="0.25">
      <c r="A204" s="145"/>
      <c r="B204" s="145"/>
      <c r="C204" s="145"/>
      <c r="D204" s="145"/>
      <c r="E204" s="145"/>
      <c r="F204" s="145"/>
      <c r="G204" s="145"/>
      <c r="H204" s="145"/>
      <c r="I204" s="145"/>
      <c r="J204" s="145"/>
      <c r="K204" s="145"/>
      <c r="L204" s="145"/>
      <c r="M204" s="145"/>
      <c r="N204" s="145"/>
      <c r="O204" s="145"/>
      <c r="P204" s="145"/>
      <c r="Q204" s="145"/>
      <c r="R204" s="145"/>
      <c r="S204" s="145"/>
      <c r="T204" s="201"/>
      <c r="U204" s="145"/>
      <c r="V204" s="145"/>
      <c r="W204" s="145"/>
      <c r="X204" s="145"/>
      <c r="Y204" s="145"/>
      <c r="Z204" s="145"/>
    </row>
    <row r="205" spans="1:26" ht="15.75" customHeight="1" x14ac:dyDescent="0.25">
      <c r="A205" s="145"/>
      <c r="B205" s="145"/>
      <c r="C205" s="145"/>
      <c r="D205" s="145"/>
      <c r="E205" s="145"/>
      <c r="F205" s="145"/>
      <c r="G205" s="145"/>
      <c r="H205" s="145"/>
      <c r="I205" s="145"/>
      <c r="J205" s="145"/>
      <c r="K205" s="145"/>
      <c r="L205" s="145"/>
      <c r="M205" s="145"/>
      <c r="N205" s="145"/>
      <c r="O205" s="145"/>
      <c r="P205" s="145"/>
      <c r="Q205" s="145"/>
      <c r="R205" s="145"/>
      <c r="S205" s="145"/>
      <c r="T205" s="201"/>
      <c r="U205" s="145"/>
      <c r="V205" s="145"/>
      <c r="W205" s="145"/>
      <c r="X205" s="145"/>
      <c r="Y205" s="145"/>
      <c r="Z205" s="145"/>
    </row>
    <row r="206" spans="1:26" ht="15.75" customHeight="1" x14ac:dyDescent="0.25">
      <c r="A206" s="145"/>
      <c r="B206" s="145"/>
      <c r="C206" s="145"/>
      <c r="D206" s="145"/>
      <c r="E206" s="145"/>
      <c r="F206" s="145"/>
      <c r="G206" s="145"/>
      <c r="H206" s="145"/>
      <c r="I206" s="145"/>
      <c r="J206" s="145"/>
      <c r="K206" s="145"/>
      <c r="L206" s="145"/>
      <c r="M206" s="145"/>
      <c r="N206" s="145"/>
      <c r="O206" s="145"/>
      <c r="P206" s="145"/>
      <c r="Q206" s="145"/>
      <c r="R206" s="145"/>
      <c r="S206" s="145"/>
      <c r="T206" s="201"/>
      <c r="U206" s="145"/>
      <c r="V206" s="145"/>
      <c r="W206" s="145"/>
      <c r="X206" s="145"/>
      <c r="Y206" s="145"/>
      <c r="Z206" s="145"/>
    </row>
    <row r="207" spans="1:26" ht="15.75" customHeight="1" x14ac:dyDescent="0.25">
      <c r="A207" s="145"/>
      <c r="B207" s="145"/>
      <c r="C207" s="145"/>
      <c r="D207" s="145"/>
      <c r="E207" s="145"/>
      <c r="F207" s="145"/>
      <c r="G207" s="145"/>
      <c r="H207" s="145"/>
      <c r="I207" s="145"/>
      <c r="J207" s="145"/>
      <c r="K207" s="145"/>
      <c r="L207" s="145"/>
      <c r="M207" s="145"/>
      <c r="N207" s="145"/>
      <c r="O207" s="145"/>
      <c r="P207" s="145"/>
      <c r="Q207" s="145"/>
      <c r="R207" s="145"/>
      <c r="S207" s="145"/>
      <c r="T207" s="201"/>
      <c r="U207" s="145"/>
      <c r="V207" s="145"/>
      <c r="W207" s="145"/>
      <c r="X207" s="145"/>
      <c r="Y207" s="145"/>
      <c r="Z207" s="145"/>
    </row>
    <row r="208" spans="1:26" ht="15.75" customHeight="1" x14ac:dyDescent="0.25">
      <c r="A208" s="145"/>
      <c r="B208" s="145"/>
      <c r="C208" s="145"/>
      <c r="D208" s="145"/>
      <c r="E208" s="145"/>
      <c r="F208" s="145"/>
      <c r="G208" s="145"/>
      <c r="H208" s="145"/>
      <c r="I208" s="145"/>
      <c r="J208" s="145"/>
      <c r="K208" s="145"/>
      <c r="L208" s="145"/>
      <c r="M208" s="145"/>
      <c r="N208" s="145"/>
      <c r="O208" s="145"/>
      <c r="P208" s="145"/>
      <c r="Q208" s="145"/>
      <c r="R208" s="145"/>
      <c r="S208" s="145"/>
      <c r="T208" s="201"/>
      <c r="U208" s="145"/>
      <c r="V208" s="145"/>
      <c r="W208" s="145"/>
      <c r="X208" s="145"/>
      <c r="Y208" s="145"/>
      <c r="Z208" s="145"/>
    </row>
    <row r="209" spans="1:26" ht="15.75" customHeight="1" x14ac:dyDescent="0.25">
      <c r="A209" s="145"/>
      <c r="B209" s="145"/>
      <c r="C209" s="145"/>
      <c r="D209" s="145"/>
      <c r="E209" s="145"/>
      <c r="F209" s="145"/>
      <c r="G209" s="145"/>
      <c r="H209" s="145"/>
      <c r="I209" s="145"/>
      <c r="J209" s="145"/>
      <c r="K209" s="145"/>
      <c r="L209" s="145"/>
      <c r="M209" s="145"/>
      <c r="N209" s="145"/>
      <c r="O209" s="145"/>
      <c r="P209" s="145"/>
      <c r="Q209" s="145"/>
      <c r="R209" s="145"/>
      <c r="S209" s="145"/>
      <c r="T209" s="201"/>
      <c r="U209" s="145"/>
      <c r="V209" s="145"/>
      <c r="W209" s="145"/>
      <c r="X209" s="145"/>
      <c r="Y209" s="145"/>
      <c r="Z209" s="145"/>
    </row>
    <row r="210" spans="1:26" ht="15.75" customHeight="1" x14ac:dyDescent="0.25">
      <c r="A210" s="145"/>
      <c r="B210" s="145"/>
      <c r="C210" s="145"/>
      <c r="D210" s="145"/>
      <c r="E210" s="145"/>
      <c r="F210" s="145"/>
      <c r="G210" s="145"/>
      <c r="H210" s="145"/>
      <c r="I210" s="145"/>
      <c r="J210" s="145"/>
      <c r="K210" s="145"/>
      <c r="L210" s="145"/>
      <c r="M210" s="145"/>
      <c r="N210" s="145"/>
      <c r="O210" s="145"/>
      <c r="P210" s="145"/>
      <c r="Q210" s="145"/>
      <c r="R210" s="145"/>
      <c r="S210" s="145"/>
      <c r="T210" s="201"/>
      <c r="U210" s="145"/>
      <c r="V210" s="145"/>
      <c r="W210" s="145"/>
      <c r="X210" s="145"/>
      <c r="Y210" s="145"/>
      <c r="Z210" s="145"/>
    </row>
    <row r="211" spans="1:26" ht="15.75" customHeight="1" x14ac:dyDescent="0.25">
      <c r="A211" s="145"/>
      <c r="B211" s="145"/>
      <c r="C211" s="145"/>
      <c r="D211" s="145"/>
      <c r="E211" s="145"/>
      <c r="F211" s="145"/>
      <c r="G211" s="145"/>
      <c r="H211" s="145"/>
      <c r="I211" s="145"/>
      <c r="J211" s="145"/>
      <c r="K211" s="145"/>
      <c r="L211" s="145"/>
      <c r="M211" s="145"/>
      <c r="N211" s="145"/>
      <c r="O211" s="145"/>
      <c r="P211" s="145"/>
      <c r="Q211" s="145"/>
      <c r="R211" s="145"/>
      <c r="S211" s="145"/>
      <c r="T211" s="201"/>
      <c r="U211" s="145"/>
      <c r="V211" s="145"/>
      <c r="W211" s="145"/>
      <c r="X211" s="145"/>
      <c r="Y211" s="145"/>
      <c r="Z211" s="145"/>
    </row>
    <row r="212" spans="1:26" ht="15.75" customHeight="1" x14ac:dyDescent="0.25">
      <c r="A212" s="145"/>
      <c r="B212" s="145"/>
      <c r="C212" s="145"/>
      <c r="D212" s="145"/>
      <c r="E212" s="145"/>
      <c r="F212" s="145"/>
      <c r="G212" s="145"/>
      <c r="H212" s="145"/>
      <c r="I212" s="145"/>
      <c r="J212" s="145"/>
      <c r="K212" s="145"/>
      <c r="L212" s="145"/>
      <c r="M212" s="145"/>
      <c r="N212" s="145"/>
      <c r="O212" s="145"/>
      <c r="P212" s="145"/>
      <c r="Q212" s="145"/>
      <c r="R212" s="145"/>
      <c r="S212" s="145"/>
      <c r="T212" s="201"/>
      <c r="U212" s="145"/>
      <c r="V212" s="145"/>
      <c r="W212" s="145"/>
      <c r="X212" s="145"/>
      <c r="Y212" s="145"/>
      <c r="Z212" s="145"/>
    </row>
    <row r="213" spans="1:26" ht="15.75" customHeight="1" x14ac:dyDescent="0.25">
      <c r="A213" s="145"/>
      <c r="B213" s="145"/>
      <c r="C213" s="145"/>
      <c r="D213" s="145"/>
      <c r="E213" s="145"/>
      <c r="F213" s="145"/>
      <c r="G213" s="145"/>
      <c r="H213" s="145"/>
      <c r="I213" s="145"/>
      <c r="J213" s="145"/>
      <c r="K213" s="145"/>
      <c r="L213" s="145"/>
      <c r="M213" s="145"/>
      <c r="N213" s="145"/>
      <c r="O213" s="145"/>
      <c r="P213" s="145"/>
      <c r="Q213" s="145"/>
      <c r="R213" s="145"/>
      <c r="S213" s="145"/>
      <c r="T213" s="201"/>
      <c r="U213" s="145"/>
      <c r="V213" s="145"/>
      <c r="W213" s="145"/>
      <c r="X213" s="145"/>
      <c r="Y213" s="145"/>
      <c r="Z213" s="145"/>
    </row>
    <row r="214" spans="1:26" ht="15.75" customHeight="1" x14ac:dyDescent="0.25">
      <c r="A214" s="145"/>
      <c r="B214" s="145"/>
      <c r="C214" s="145"/>
      <c r="D214" s="145"/>
      <c r="E214" s="145"/>
      <c r="F214" s="145"/>
      <c r="G214" s="145"/>
      <c r="H214" s="145"/>
      <c r="I214" s="145"/>
      <c r="J214" s="145"/>
      <c r="K214" s="145"/>
      <c r="L214" s="145"/>
      <c r="M214" s="145"/>
      <c r="N214" s="145"/>
      <c r="O214" s="145"/>
      <c r="P214" s="145"/>
      <c r="Q214" s="145"/>
      <c r="R214" s="145"/>
      <c r="S214" s="145"/>
      <c r="T214" s="201"/>
      <c r="U214" s="145"/>
      <c r="V214" s="145"/>
      <c r="W214" s="145"/>
      <c r="X214" s="145"/>
      <c r="Y214" s="145"/>
      <c r="Z214" s="145"/>
    </row>
    <row r="215" spans="1:26" ht="15.75" customHeight="1" x14ac:dyDescent="0.25">
      <c r="A215" s="145"/>
      <c r="B215" s="145"/>
      <c r="C215" s="145"/>
      <c r="D215" s="145"/>
      <c r="E215" s="145"/>
      <c r="F215" s="145"/>
      <c r="G215" s="145"/>
      <c r="H215" s="145"/>
      <c r="I215" s="145"/>
      <c r="J215" s="145"/>
      <c r="K215" s="145"/>
      <c r="L215" s="145"/>
      <c r="M215" s="145"/>
      <c r="N215" s="145"/>
      <c r="O215" s="145"/>
      <c r="P215" s="145"/>
      <c r="Q215" s="145"/>
      <c r="R215" s="145"/>
      <c r="S215" s="145"/>
      <c r="T215" s="201"/>
      <c r="U215" s="145"/>
      <c r="V215" s="145"/>
      <c r="W215" s="145"/>
      <c r="X215" s="145"/>
      <c r="Y215" s="145"/>
      <c r="Z215" s="145"/>
    </row>
    <row r="216" spans="1:26" ht="15.75" customHeight="1" x14ac:dyDescent="0.25">
      <c r="A216" s="145"/>
      <c r="B216" s="145"/>
      <c r="C216" s="145"/>
      <c r="D216" s="145"/>
      <c r="E216" s="145"/>
      <c r="F216" s="145"/>
      <c r="G216" s="145"/>
      <c r="H216" s="145"/>
      <c r="I216" s="145"/>
      <c r="J216" s="145"/>
      <c r="K216" s="145"/>
      <c r="L216" s="145"/>
      <c r="M216" s="145"/>
      <c r="N216" s="145"/>
      <c r="O216" s="145"/>
      <c r="P216" s="145"/>
      <c r="Q216" s="145"/>
      <c r="R216" s="145"/>
      <c r="S216" s="145"/>
      <c r="T216" s="201"/>
      <c r="U216" s="145"/>
      <c r="V216" s="145"/>
      <c r="W216" s="145"/>
      <c r="X216" s="145"/>
      <c r="Y216" s="145"/>
      <c r="Z216" s="145"/>
    </row>
    <row r="217" spans="1:26"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201"/>
      <c r="U217" s="145"/>
      <c r="V217" s="145"/>
      <c r="W217" s="145"/>
      <c r="X217" s="145"/>
      <c r="Y217" s="145"/>
      <c r="Z217" s="145"/>
    </row>
    <row r="218" spans="1:26"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201"/>
      <c r="U218" s="145"/>
      <c r="V218" s="145"/>
      <c r="W218" s="145"/>
      <c r="X218" s="145"/>
      <c r="Y218" s="145"/>
      <c r="Z218" s="145"/>
    </row>
    <row r="219" spans="1:26"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201"/>
      <c r="U219" s="145"/>
      <c r="V219" s="145"/>
      <c r="W219" s="145"/>
      <c r="X219" s="145"/>
      <c r="Y219" s="145"/>
      <c r="Z219" s="145"/>
    </row>
    <row r="220" spans="1:26"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201"/>
      <c r="U220" s="145"/>
      <c r="V220" s="145"/>
      <c r="W220" s="145"/>
      <c r="X220" s="145"/>
      <c r="Y220" s="145"/>
      <c r="Z220" s="145"/>
    </row>
    <row r="221" spans="1:26"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201"/>
      <c r="U221" s="145"/>
      <c r="V221" s="145"/>
      <c r="W221" s="145"/>
      <c r="X221" s="145"/>
      <c r="Y221" s="145"/>
      <c r="Z221" s="145"/>
    </row>
    <row r="222" spans="1:26"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201"/>
      <c r="U222" s="145"/>
      <c r="V222" s="145"/>
      <c r="W222" s="145"/>
      <c r="X222" s="145"/>
      <c r="Y222" s="145"/>
      <c r="Z222" s="145"/>
    </row>
    <row r="223" spans="1:26"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201"/>
      <c r="U223" s="145"/>
      <c r="V223" s="145"/>
      <c r="W223" s="145"/>
      <c r="X223" s="145"/>
      <c r="Y223" s="145"/>
      <c r="Z223" s="145"/>
    </row>
    <row r="224" spans="1:26"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201"/>
      <c r="U224" s="145"/>
      <c r="V224" s="145"/>
      <c r="W224" s="145"/>
      <c r="X224" s="145"/>
      <c r="Y224" s="145"/>
      <c r="Z224" s="145"/>
    </row>
    <row r="225" spans="1:26"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201"/>
      <c r="U225" s="145"/>
      <c r="V225" s="145"/>
      <c r="W225" s="145"/>
      <c r="X225" s="145"/>
      <c r="Y225" s="145"/>
      <c r="Z225" s="145"/>
    </row>
    <row r="226" spans="1:26"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201"/>
      <c r="U226" s="145"/>
      <c r="V226" s="145"/>
      <c r="W226" s="145"/>
      <c r="X226" s="145"/>
      <c r="Y226" s="145"/>
      <c r="Z226" s="145"/>
    </row>
    <row r="227" spans="1:26"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201"/>
      <c r="U227" s="145"/>
      <c r="V227" s="145"/>
      <c r="W227" s="145"/>
      <c r="X227" s="145"/>
      <c r="Y227" s="145"/>
      <c r="Z227" s="145"/>
    </row>
    <row r="228" spans="1:26"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201"/>
      <c r="U228" s="145"/>
      <c r="V228" s="145"/>
      <c r="W228" s="145"/>
      <c r="X228" s="145"/>
      <c r="Y228" s="145"/>
      <c r="Z228" s="145"/>
    </row>
    <row r="229" spans="1:26"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201"/>
      <c r="U229" s="145"/>
      <c r="V229" s="145"/>
      <c r="W229" s="145"/>
      <c r="X229" s="145"/>
      <c r="Y229" s="145"/>
      <c r="Z229" s="145"/>
    </row>
    <row r="230" spans="1:26"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201"/>
      <c r="U230" s="145"/>
      <c r="V230" s="145"/>
      <c r="W230" s="145"/>
      <c r="X230" s="145"/>
      <c r="Y230" s="145"/>
      <c r="Z230" s="145"/>
    </row>
    <row r="231" spans="1:26"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201"/>
      <c r="U231" s="145"/>
      <c r="V231" s="145"/>
      <c r="W231" s="145"/>
      <c r="X231" s="145"/>
      <c r="Y231" s="145"/>
      <c r="Z231" s="145"/>
    </row>
    <row r="232" spans="1:26"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201"/>
      <c r="U232" s="145"/>
      <c r="V232" s="145"/>
      <c r="W232" s="145"/>
      <c r="X232" s="145"/>
      <c r="Y232" s="145"/>
      <c r="Z232" s="145"/>
    </row>
    <row r="233" spans="1:26"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201"/>
      <c r="U233" s="145"/>
      <c r="V233" s="145"/>
      <c r="W233" s="145"/>
      <c r="X233" s="145"/>
      <c r="Y233" s="145"/>
      <c r="Z233" s="145"/>
    </row>
    <row r="234" spans="1:26"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201"/>
      <c r="U234" s="145"/>
      <c r="V234" s="145"/>
      <c r="W234" s="145"/>
      <c r="X234" s="145"/>
      <c r="Y234" s="145"/>
      <c r="Z234" s="145"/>
    </row>
    <row r="235" spans="1:26"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201"/>
      <c r="U235" s="145"/>
      <c r="V235" s="145"/>
      <c r="W235" s="145"/>
      <c r="X235" s="145"/>
      <c r="Y235" s="145"/>
      <c r="Z235" s="145"/>
    </row>
    <row r="236" spans="1:26"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201"/>
      <c r="U236" s="145"/>
      <c r="V236" s="145"/>
      <c r="W236" s="145"/>
      <c r="X236" s="145"/>
      <c r="Y236" s="145"/>
      <c r="Z236" s="145"/>
    </row>
    <row r="237" spans="1:26"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201"/>
      <c r="U237" s="145"/>
      <c r="V237" s="145"/>
      <c r="W237" s="145"/>
      <c r="X237" s="145"/>
      <c r="Y237" s="145"/>
      <c r="Z237" s="145"/>
    </row>
    <row r="238" spans="1:26"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201"/>
      <c r="U238" s="145"/>
      <c r="V238" s="145"/>
      <c r="W238" s="145"/>
      <c r="X238" s="145"/>
      <c r="Y238" s="145"/>
      <c r="Z238" s="145"/>
    </row>
    <row r="239" spans="1:26"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201"/>
      <c r="U239" s="145"/>
      <c r="V239" s="145"/>
      <c r="W239" s="145"/>
      <c r="X239" s="145"/>
      <c r="Y239" s="145"/>
      <c r="Z239" s="145"/>
    </row>
    <row r="240" spans="1:26"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201"/>
      <c r="U240" s="145"/>
      <c r="V240" s="145"/>
      <c r="W240" s="145"/>
      <c r="X240" s="145"/>
      <c r="Y240" s="145"/>
      <c r="Z240" s="145"/>
    </row>
    <row r="241" spans="1:26"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201"/>
      <c r="U241" s="145"/>
      <c r="V241" s="145"/>
      <c r="W241" s="145"/>
      <c r="X241" s="145"/>
      <c r="Y241" s="145"/>
      <c r="Z241" s="145"/>
    </row>
    <row r="242" spans="1:26"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201"/>
      <c r="U242" s="145"/>
      <c r="V242" s="145"/>
      <c r="W242" s="145"/>
      <c r="X242" s="145"/>
      <c r="Y242" s="145"/>
      <c r="Z242" s="145"/>
    </row>
    <row r="243" spans="1:26"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201"/>
      <c r="U243" s="145"/>
      <c r="V243" s="145"/>
      <c r="W243" s="145"/>
      <c r="X243" s="145"/>
      <c r="Y243" s="145"/>
      <c r="Z243" s="145"/>
    </row>
    <row r="244" spans="1:26"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201"/>
      <c r="U244" s="145"/>
      <c r="V244" s="145"/>
      <c r="W244" s="145"/>
      <c r="X244" s="145"/>
      <c r="Y244" s="145"/>
      <c r="Z244" s="145"/>
    </row>
    <row r="245" spans="1:26"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201"/>
      <c r="U245" s="145"/>
      <c r="V245" s="145"/>
      <c r="W245" s="145"/>
      <c r="X245" s="145"/>
      <c r="Y245" s="145"/>
      <c r="Z245" s="145"/>
    </row>
    <row r="246" spans="1:26"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201"/>
      <c r="U246" s="145"/>
      <c r="V246" s="145"/>
      <c r="W246" s="145"/>
      <c r="X246" s="145"/>
      <c r="Y246" s="145"/>
      <c r="Z246" s="145"/>
    </row>
    <row r="247" spans="1:26"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201"/>
      <c r="U247" s="145"/>
      <c r="V247" s="145"/>
      <c r="W247" s="145"/>
      <c r="X247" s="145"/>
      <c r="Y247" s="145"/>
      <c r="Z247" s="145"/>
    </row>
    <row r="248" spans="1:26"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201"/>
      <c r="U248" s="145"/>
      <c r="V248" s="145"/>
      <c r="W248" s="145"/>
      <c r="X248" s="145"/>
      <c r="Y248" s="145"/>
      <c r="Z248" s="145"/>
    </row>
    <row r="249" spans="1:26"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201"/>
      <c r="U249" s="145"/>
      <c r="V249" s="145"/>
      <c r="W249" s="145"/>
      <c r="X249" s="145"/>
      <c r="Y249" s="145"/>
      <c r="Z249" s="145"/>
    </row>
    <row r="250" spans="1:26"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201"/>
      <c r="U250" s="145"/>
      <c r="V250" s="145"/>
      <c r="W250" s="145"/>
      <c r="X250" s="145"/>
      <c r="Y250" s="145"/>
      <c r="Z250" s="145"/>
    </row>
    <row r="251" spans="1:26"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201"/>
      <c r="U251" s="145"/>
      <c r="V251" s="145"/>
      <c r="W251" s="145"/>
      <c r="X251" s="145"/>
      <c r="Y251" s="145"/>
      <c r="Z251" s="145"/>
    </row>
    <row r="252" spans="1:26"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201"/>
      <c r="U252" s="145"/>
      <c r="V252" s="145"/>
      <c r="W252" s="145"/>
      <c r="X252" s="145"/>
      <c r="Y252" s="145"/>
      <c r="Z252" s="145"/>
    </row>
    <row r="253" spans="1:26"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201"/>
      <c r="U253" s="145"/>
      <c r="V253" s="145"/>
      <c r="W253" s="145"/>
      <c r="X253" s="145"/>
      <c r="Y253" s="145"/>
      <c r="Z253" s="145"/>
    </row>
    <row r="254" spans="1:26"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201"/>
      <c r="U254" s="145"/>
      <c r="V254" s="145"/>
      <c r="W254" s="145"/>
      <c r="X254" s="145"/>
      <c r="Y254" s="145"/>
      <c r="Z254" s="145"/>
    </row>
    <row r="255" spans="1:26"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201"/>
      <c r="U255" s="145"/>
      <c r="V255" s="145"/>
      <c r="W255" s="145"/>
      <c r="X255" s="145"/>
      <c r="Y255" s="145"/>
      <c r="Z255" s="145"/>
    </row>
    <row r="256" spans="1:26"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201"/>
      <c r="U256" s="145"/>
      <c r="V256" s="145"/>
      <c r="W256" s="145"/>
      <c r="X256" s="145"/>
      <c r="Y256" s="145"/>
      <c r="Z256" s="145"/>
    </row>
    <row r="257" spans="1:26"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201"/>
      <c r="U257" s="145"/>
      <c r="V257" s="145"/>
      <c r="W257" s="145"/>
      <c r="X257" s="145"/>
      <c r="Y257" s="145"/>
      <c r="Z257" s="145"/>
    </row>
    <row r="258" spans="1:26"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201"/>
      <c r="U258" s="145"/>
      <c r="V258" s="145"/>
      <c r="W258" s="145"/>
      <c r="X258" s="145"/>
      <c r="Y258" s="145"/>
      <c r="Z258" s="145"/>
    </row>
    <row r="259" spans="1:26"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201"/>
      <c r="U259" s="145"/>
      <c r="V259" s="145"/>
      <c r="W259" s="145"/>
      <c r="X259" s="145"/>
      <c r="Y259" s="145"/>
      <c r="Z259" s="145"/>
    </row>
    <row r="260" spans="1:26"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201"/>
      <c r="U260" s="145"/>
      <c r="V260" s="145"/>
      <c r="W260" s="145"/>
      <c r="X260" s="145"/>
      <c r="Y260" s="145"/>
      <c r="Z260" s="145"/>
    </row>
    <row r="261" spans="1:26"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201"/>
      <c r="U261" s="145"/>
      <c r="V261" s="145"/>
      <c r="W261" s="145"/>
      <c r="X261" s="145"/>
      <c r="Y261" s="145"/>
      <c r="Z261" s="145"/>
    </row>
    <row r="262" spans="1:26"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201"/>
      <c r="U262" s="145"/>
      <c r="V262" s="145"/>
      <c r="W262" s="145"/>
      <c r="X262" s="145"/>
      <c r="Y262" s="145"/>
      <c r="Z262" s="145"/>
    </row>
    <row r="263" spans="1:26"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201"/>
      <c r="U263" s="145"/>
      <c r="V263" s="145"/>
      <c r="W263" s="145"/>
      <c r="X263" s="145"/>
      <c r="Y263" s="145"/>
      <c r="Z263" s="145"/>
    </row>
    <row r="264" spans="1:26"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201"/>
      <c r="U264" s="145"/>
      <c r="V264" s="145"/>
      <c r="W264" s="145"/>
      <c r="X264" s="145"/>
      <c r="Y264" s="145"/>
      <c r="Z264" s="145"/>
    </row>
    <row r="265" spans="1:26"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201"/>
      <c r="U265" s="145"/>
      <c r="V265" s="145"/>
      <c r="W265" s="145"/>
      <c r="X265" s="145"/>
      <c r="Y265" s="145"/>
      <c r="Z265" s="145"/>
    </row>
    <row r="266" spans="1:26"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201"/>
      <c r="U266" s="145"/>
      <c r="V266" s="145"/>
      <c r="W266" s="145"/>
      <c r="X266" s="145"/>
      <c r="Y266" s="145"/>
      <c r="Z266" s="145"/>
    </row>
    <row r="267" spans="1:26"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201"/>
      <c r="U267" s="145"/>
      <c r="V267" s="145"/>
      <c r="W267" s="145"/>
      <c r="X267" s="145"/>
      <c r="Y267" s="145"/>
      <c r="Z267" s="145"/>
    </row>
    <row r="268" spans="1:26"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201"/>
      <c r="U268" s="145"/>
      <c r="V268" s="145"/>
      <c r="W268" s="145"/>
      <c r="X268" s="145"/>
      <c r="Y268" s="145"/>
      <c r="Z268" s="145"/>
    </row>
    <row r="269" spans="1:26"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201"/>
      <c r="U269" s="145"/>
      <c r="V269" s="145"/>
      <c r="W269" s="145"/>
      <c r="X269" s="145"/>
      <c r="Y269" s="145"/>
      <c r="Z269" s="145"/>
    </row>
    <row r="270" spans="1:26"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201"/>
      <c r="U270" s="145"/>
      <c r="V270" s="145"/>
      <c r="W270" s="145"/>
      <c r="X270" s="145"/>
      <c r="Y270" s="145"/>
      <c r="Z270" s="145"/>
    </row>
    <row r="271" spans="1:26"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201"/>
      <c r="U271" s="145"/>
      <c r="V271" s="145"/>
      <c r="W271" s="145"/>
      <c r="X271" s="145"/>
      <c r="Y271" s="145"/>
      <c r="Z271" s="145"/>
    </row>
    <row r="272" spans="1:26"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201"/>
      <c r="U272" s="145"/>
      <c r="V272" s="145"/>
      <c r="W272" s="145"/>
      <c r="X272" s="145"/>
      <c r="Y272" s="145"/>
      <c r="Z272" s="145"/>
    </row>
    <row r="273" spans="1:26"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201"/>
      <c r="U273" s="145"/>
      <c r="V273" s="145"/>
      <c r="W273" s="145"/>
      <c r="X273" s="145"/>
      <c r="Y273" s="145"/>
      <c r="Z273" s="145"/>
    </row>
    <row r="274" spans="1:26"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201"/>
      <c r="U274" s="145"/>
      <c r="V274" s="145"/>
      <c r="W274" s="145"/>
      <c r="X274" s="145"/>
      <c r="Y274" s="145"/>
      <c r="Z274" s="145"/>
    </row>
    <row r="275" spans="1:26"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201"/>
      <c r="U275" s="145"/>
      <c r="V275" s="145"/>
      <c r="W275" s="145"/>
      <c r="X275" s="145"/>
      <c r="Y275" s="145"/>
      <c r="Z275" s="145"/>
    </row>
    <row r="276" spans="1:26"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201"/>
      <c r="U276" s="145"/>
      <c r="V276" s="145"/>
      <c r="W276" s="145"/>
      <c r="X276" s="145"/>
      <c r="Y276" s="145"/>
      <c r="Z276" s="145"/>
    </row>
    <row r="277" spans="1:26"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201"/>
      <c r="U277" s="145"/>
      <c r="V277" s="145"/>
      <c r="W277" s="145"/>
      <c r="X277" s="145"/>
      <c r="Y277" s="145"/>
      <c r="Z277" s="145"/>
    </row>
    <row r="278" spans="1:26"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201"/>
      <c r="U278" s="145"/>
      <c r="V278" s="145"/>
      <c r="W278" s="145"/>
      <c r="X278" s="145"/>
      <c r="Y278" s="145"/>
      <c r="Z278" s="145"/>
    </row>
    <row r="279" spans="1:26"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201"/>
      <c r="U279" s="145"/>
      <c r="V279" s="145"/>
      <c r="W279" s="145"/>
      <c r="X279" s="145"/>
      <c r="Y279" s="145"/>
      <c r="Z279" s="145"/>
    </row>
    <row r="280" spans="1:26"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201"/>
      <c r="U280" s="145"/>
      <c r="V280" s="145"/>
      <c r="W280" s="145"/>
      <c r="X280" s="145"/>
      <c r="Y280" s="145"/>
      <c r="Z280" s="145"/>
    </row>
    <row r="281" spans="1:26"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201"/>
      <c r="U281" s="145"/>
      <c r="V281" s="145"/>
      <c r="W281" s="145"/>
      <c r="X281" s="145"/>
      <c r="Y281" s="145"/>
      <c r="Z281" s="145"/>
    </row>
    <row r="282" spans="1:26"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201"/>
      <c r="U282" s="145"/>
      <c r="V282" s="145"/>
      <c r="W282" s="145"/>
      <c r="X282" s="145"/>
      <c r="Y282" s="145"/>
      <c r="Z282" s="145"/>
    </row>
    <row r="283" spans="1:26"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201"/>
      <c r="U283" s="145"/>
      <c r="V283" s="145"/>
      <c r="W283" s="145"/>
      <c r="X283" s="145"/>
      <c r="Y283" s="145"/>
      <c r="Z283" s="145"/>
    </row>
    <row r="284" spans="1:26"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201"/>
      <c r="U284" s="145"/>
      <c r="V284" s="145"/>
      <c r="W284" s="145"/>
      <c r="X284" s="145"/>
      <c r="Y284" s="145"/>
      <c r="Z284" s="145"/>
    </row>
    <row r="285" spans="1:26"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201"/>
      <c r="U285" s="145"/>
      <c r="V285" s="145"/>
      <c r="W285" s="145"/>
      <c r="X285" s="145"/>
      <c r="Y285" s="145"/>
      <c r="Z285" s="145"/>
    </row>
    <row r="286" spans="1:26"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201"/>
      <c r="U286" s="145"/>
      <c r="V286" s="145"/>
      <c r="W286" s="145"/>
      <c r="X286" s="145"/>
      <c r="Y286" s="145"/>
      <c r="Z286" s="145"/>
    </row>
    <row r="287" spans="1:26"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201"/>
      <c r="U287" s="145"/>
      <c r="V287" s="145"/>
      <c r="W287" s="145"/>
      <c r="X287" s="145"/>
      <c r="Y287" s="145"/>
      <c r="Z287" s="145"/>
    </row>
    <row r="288" spans="1:26"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201"/>
      <c r="U288" s="145"/>
      <c r="V288" s="145"/>
      <c r="W288" s="145"/>
      <c r="X288" s="145"/>
      <c r="Y288" s="145"/>
      <c r="Z288" s="145"/>
    </row>
    <row r="289" spans="1:26"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201"/>
      <c r="U289" s="145"/>
      <c r="V289" s="145"/>
      <c r="W289" s="145"/>
      <c r="X289" s="145"/>
      <c r="Y289" s="145"/>
      <c r="Z289" s="145"/>
    </row>
    <row r="290" spans="1:26"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201"/>
      <c r="U290" s="145"/>
      <c r="V290" s="145"/>
      <c r="W290" s="145"/>
      <c r="X290" s="145"/>
      <c r="Y290" s="145"/>
      <c r="Z290" s="145"/>
    </row>
    <row r="291" spans="1:26"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201"/>
      <c r="U291" s="145"/>
      <c r="V291" s="145"/>
      <c r="W291" s="145"/>
      <c r="X291" s="145"/>
      <c r="Y291" s="145"/>
      <c r="Z291" s="145"/>
    </row>
    <row r="292" spans="1:26"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201"/>
      <c r="U292" s="145"/>
      <c r="V292" s="145"/>
      <c r="W292" s="145"/>
      <c r="X292" s="145"/>
      <c r="Y292" s="145"/>
      <c r="Z292" s="145"/>
    </row>
    <row r="293" spans="1:26"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201"/>
      <c r="U293" s="145"/>
      <c r="V293" s="145"/>
      <c r="W293" s="145"/>
      <c r="X293" s="145"/>
      <c r="Y293" s="145"/>
      <c r="Z293" s="145"/>
    </row>
    <row r="294" spans="1:26"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201"/>
      <c r="U294" s="145"/>
      <c r="V294" s="145"/>
      <c r="W294" s="145"/>
      <c r="X294" s="145"/>
      <c r="Y294" s="145"/>
      <c r="Z294" s="145"/>
    </row>
    <row r="295" spans="1:26"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201"/>
      <c r="U295" s="145"/>
      <c r="V295" s="145"/>
      <c r="W295" s="145"/>
      <c r="X295" s="145"/>
      <c r="Y295" s="145"/>
      <c r="Z295" s="145"/>
    </row>
    <row r="296" spans="1:26"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201"/>
      <c r="U296" s="145"/>
      <c r="V296" s="145"/>
      <c r="W296" s="145"/>
      <c r="X296" s="145"/>
      <c r="Y296" s="145"/>
      <c r="Z296" s="145"/>
    </row>
    <row r="297" spans="1:26"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201"/>
      <c r="U297" s="145"/>
      <c r="V297" s="145"/>
      <c r="W297" s="145"/>
      <c r="X297" s="145"/>
      <c r="Y297" s="145"/>
      <c r="Z297" s="145"/>
    </row>
    <row r="298" spans="1:26"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201"/>
      <c r="U298" s="145"/>
      <c r="V298" s="145"/>
      <c r="W298" s="145"/>
      <c r="X298" s="145"/>
      <c r="Y298" s="145"/>
      <c r="Z298" s="145"/>
    </row>
    <row r="299" spans="1:26"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201"/>
      <c r="U299" s="145"/>
      <c r="V299" s="145"/>
      <c r="W299" s="145"/>
      <c r="X299" s="145"/>
      <c r="Y299" s="145"/>
      <c r="Z299" s="145"/>
    </row>
    <row r="300" spans="1:26"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201"/>
      <c r="U300" s="145"/>
      <c r="V300" s="145"/>
      <c r="W300" s="145"/>
      <c r="X300" s="145"/>
      <c r="Y300" s="145"/>
      <c r="Z300" s="145"/>
    </row>
    <row r="301" spans="1:26"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201"/>
      <c r="U301" s="145"/>
      <c r="V301" s="145"/>
      <c r="W301" s="145"/>
      <c r="X301" s="145"/>
      <c r="Y301" s="145"/>
      <c r="Z301" s="145"/>
    </row>
    <row r="302" spans="1:26"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201"/>
      <c r="U302" s="145"/>
      <c r="V302" s="145"/>
      <c r="W302" s="145"/>
      <c r="X302" s="145"/>
      <c r="Y302" s="145"/>
      <c r="Z302" s="145"/>
    </row>
    <row r="303" spans="1:26"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201"/>
      <c r="U303" s="145"/>
      <c r="V303" s="145"/>
      <c r="W303" s="145"/>
      <c r="X303" s="145"/>
      <c r="Y303" s="145"/>
      <c r="Z303" s="145"/>
    </row>
    <row r="304" spans="1:26"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201"/>
      <c r="U304" s="145"/>
      <c r="V304" s="145"/>
      <c r="W304" s="145"/>
      <c r="X304" s="145"/>
      <c r="Y304" s="145"/>
      <c r="Z304" s="145"/>
    </row>
    <row r="305" spans="1:26"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201"/>
      <c r="U305" s="145"/>
      <c r="V305" s="145"/>
      <c r="W305" s="145"/>
      <c r="X305" s="145"/>
      <c r="Y305" s="145"/>
      <c r="Z305" s="145"/>
    </row>
    <row r="306" spans="1:26"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201"/>
      <c r="U306" s="145"/>
      <c r="V306" s="145"/>
      <c r="W306" s="145"/>
      <c r="X306" s="145"/>
      <c r="Y306" s="145"/>
      <c r="Z306" s="145"/>
    </row>
    <row r="307" spans="1:26"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201"/>
      <c r="U307" s="145"/>
      <c r="V307" s="145"/>
      <c r="W307" s="145"/>
      <c r="X307" s="145"/>
      <c r="Y307" s="145"/>
      <c r="Z307" s="145"/>
    </row>
    <row r="308" spans="1:26"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201"/>
      <c r="U308" s="145"/>
      <c r="V308" s="145"/>
      <c r="W308" s="145"/>
      <c r="X308" s="145"/>
      <c r="Y308" s="145"/>
      <c r="Z308" s="145"/>
    </row>
    <row r="309" spans="1:26"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201"/>
      <c r="U309" s="145"/>
      <c r="V309" s="145"/>
      <c r="W309" s="145"/>
      <c r="X309" s="145"/>
      <c r="Y309" s="145"/>
      <c r="Z309" s="145"/>
    </row>
    <row r="310" spans="1:26"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201"/>
      <c r="U310" s="145"/>
      <c r="V310" s="145"/>
      <c r="W310" s="145"/>
      <c r="X310" s="145"/>
      <c r="Y310" s="145"/>
      <c r="Z310" s="145"/>
    </row>
    <row r="311" spans="1:26"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201"/>
      <c r="U311" s="145"/>
      <c r="V311" s="145"/>
      <c r="W311" s="145"/>
      <c r="X311" s="145"/>
      <c r="Y311" s="145"/>
      <c r="Z311" s="145"/>
    </row>
    <row r="312" spans="1:26"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201"/>
      <c r="U312" s="145"/>
      <c r="V312" s="145"/>
      <c r="W312" s="145"/>
      <c r="X312" s="145"/>
      <c r="Y312" s="145"/>
      <c r="Z312" s="145"/>
    </row>
    <row r="313" spans="1:26"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201"/>
      <c r="U313" s="145"/>
      <c r="V313" s="145"/>
      <c r="W313" s="145"/>
      <c r="X313" s="145"/>
      <c r="Y313" s="145"/>
      <c r="Z313" s="145"/>
    </row>
    <row r="314" spans="1:26"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201"/>
      <c r="U314" s="145"/>
      <c r="V314" s="145"/>
      <c r="W314" s="145"/>
      <c r="X314" s="145"/>
      <c r="Y314" s="145"/>
      <c r="Z314" s="145"/>
    </row>
    <row r="315" spans="1:26"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201"/>
      <c r="U315" s="145"/>
      <c r="V315" s="145"/>
      <c r="W315" s="145"/>
      <c r="X315" s="145"/>
      <c r="Y315" s="145"/>
      <c r="Z315" s="145"/>
    </row>
    <row r="316" spans="1:26"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201"/>
      <c r="U316" s="145"/>
      <c r="V316" s="145"/>
      <c r="W316" s="145"/>
      <c r="X316" s="145"/>
      <c r="Y316" s="145"/>
      <c r="Z316" s="145"/>
    </row>
    <row r="317" spans="1:26"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201"/>
      <c r="U317" s="145"/>
      <c r="V317" s="145"/>
      <c r="W317" s="145"/>
      <c r="X317" s="145"/>
      <c r="Y317" s="145"/>
      <c r="Z317" s="145"/>
    </row>
    <row r="318" spans="1:26"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201"/>
      <c r="U318" s="145"/>
      <c r="V318" s="145"/>
      <c r="W318" s="145"/>
      <c r="X318" s="145"/>
      <c r="Y318" s="145"/>
      <c r="Z318" s="145"/>
    </row>
    <row r="319" spans="1:26"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201"/>
      <c r="U319" s="145"/>
      <c r="V319" s="145"/>
      <c r="W319" s="145"/>
      <c r="X319" s="145"/>
      <c r="Y319" s="145"/>
      <c r="Z319" s="145"/>
    </row>
    <row r="320" spans="1:26"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201"/>
      <c r="U320" s="145"/>
      <c r="V320" s="145"/>
      <c r="W320" s="145"/>
      <c r="X320" s="145"/>
      <c r="Y320" s="145"/>
      <c r="Z320" s="145"/>
    </row>
    <row r="321" spans="1:26"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201"/>
      <c r="U321" s="145"/>
      <c r="V321" s="145"/>
      <c r="W321" s="145"/>
      <c r="X321" s="145"/>
      <c r="Y321" s="145"/>
      <c r="Z321" s="145"/>
    </row>
    <row r="322" spans="1:26"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201"/>
      <c r="U322" s="145"/>
      <c r="V322" s="145"/>
      <c r="W322" s="145"/>
      <c r="X322" s="145"/>
      <c r="Y322" s="145"/>
      <c r="Z322" s="145"/>
    </row>
    <row r="323" spans="1:26"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201"/>
      <c r="U323" s="145"/>
      <c r="V323" s="145"/>
      <c r="W323" s="145"/>
      <c r="X323" s="145"/>
      <c r="Y323" s="145"/>
      <c r="Z323" s="145"/>
    </row>
    <row r="324" spans="1:26"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201"/>
      <c r="U324" s="145"/>
      <c r="V324" s="145"/>
      <c r="W324" s="145"/>
      <c r="X324" s="145"/>
      <c r="Y324" s="145"/>
      <c r="Z324" s="145"/>
    </row>
    <row r="325" spans="1:26"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201"/>
      <c r="U325" s="145"/>
      <c r="V325" s="145"/>
      <c r="W325" s="145"/>
      <c r="X325" s="145"/>
      <c r="Y325" s="145"/>
      <c r="Z325" s="145"/>
    </row>
    <row r="326" spans="1:26"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201"/>
      <c r="U326" s="145"/>
      <c r="V326" s="145"/>
      <c r="W326" s="145"/>
      <c r="X326" s="145"/>
      <c r="Y326" s="145"/>
      <c r="Z326" s="145"/>
    </row>
    <row r="327" spans="1:26"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201"/>
      <c r="U327" s="145"/>
      <c r="V327" s="145"/>
      <c r="W327" s="145"/>
      <c r="X327" s="145"/>
      <c r="Y327" s="145"/>
      <c r="Z327" s="145"/>
    </row>
    <row r="328" spans="1:26"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201"/>
      <c r="U328" s="145"/>
      <c r="V328" s="145"/>
      <c r="W328" s="145"/>
      <c r="X328" s="145"/>
      <c r="Y328" s="145"/>
      <c r="Z328" s="145"/>
    </row>
    <row r="329" spans="1:26"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201"/>
      <c r="U329" s="145"/>
      <c r="V329" s="145"/>
      <c r="W329" s="145"/>
      <c r="X329" s="145"/>
      <c r="Y329" s="145"/>
      <c r="Z329" s="145"/>
    </row>
    <row r="330" spans="1:26"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201"/>
      <c r="U330" s="145"/>
      <c r="V330" s="145"/>
      <c r="W330" s="145"/>
      <c r="X330" s="145"/>
      <c r="Y330" s="145"/>
      <c r="Z330" s="145"/>
    </row>
    <row r="331" spans="1:26"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201"/>
      <c r="U331" s="145"/>
      <c r="V331" s="145"/>
      <c r="W331" s="145"/>
      <c r="X331" s="145"/>
      <c r="Y331" s="145"/>
      <c r="Z331" s="145"/>
    </row>
    <row r="332" spans="1:26"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201"/>
      <c r="U332" s="145"/>
      <c r="V332" s="145"/>
      <c r="W332" s="145"/>
      <c r="X332" s="145"/>
      <c r="Y332" s="145"/>
      <c r="Z332" s="145"/>
    </row>
    <row r="333" spans="1:26"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201"/>
      <c r="U333" s="145"/>
      <c r="V333" s="145"/>
      <c r="W333" s="145"/>
      <c r="X333" s="145"/>
      <c r="Y333" s="145"/>
      <c r="Z333" s="145"/>
    </row>
    <row r="334" spans="1:26"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201"/>
      <c r="U334" s="145"/>
      <c r="V334" s="145"/>
      <c r="W334" s="145"/>
      <c r="X334" s="145"/>
      <c r="Y334" s="145"/>
      <c r="Z334" s="145"/>
    </row>
    <row r="335" spans="1:26"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201"/>
      <c r="U335" s="145"/>
      <c r="V335" s="145"/>
      <c r="W335" s="145"/>
      <c r="X335" s="145"/>
      <c r="Y335" s="145"/>
      <c r="Z335" s="145"/>
    </row>
    <row r="336" spans="1:26"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201"/>
      <c r="U336" s="145"/>
      <c r="V336" s="145"/>
      <c r="W336" s="145"/>
      <c r="X336" s="145"/>
      <c r="Y336" s="145"/>
      <c r="Z336" s="145"/>
    </row>
    <row r="337" spans="1:26"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201"/>
      <c r="U337" s="145"/>
      <c r="V337" s="145"/>
      <c r="W337" s="145"/>
      <c r="X337" s="145"/>
      <c r="Y337" s="145"/>
      <c r="Z337" s="145"/>
    </row>
    <row r="338" spans="1:26"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201"/>
      <c r="U338" s="145"/>
      <c r="V338" s="145"/>
      <c r="W338" s="145"/>
      <c r="X338" s="145"/>
      <c r="Y338" s="145"/>
      <c r="Z338" s="145"/>
    </row>
    <row r="339" spans="1:26"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201"/>
      <c r="U339" s="145"/>
      <c r="V339" s="145"/>
      <c r="W339" s="145"/>
      <c r="X339" s="145"/>
      <c r="Y339" s="145"/>
      <c r="Z339" s="145"/>
    </row>
    <row r="340" spans="1:26"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201"/>
      <c r="U340" s="145"/>
      <c r="V340" s="145"/>
      <c r="W340" s="145"/>
      <c r="X340" s="145"/>
      <c r="Y340" s="145"/>
      <c r="Z340" s="145"/>
    </row>
    <row r="341" spans="1:26"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201"/>
      <c r="U341" s="145"/>
      <c r="V341" s="145"/>
      <c r="W341" s="145"/>
      <c r="X341" s="145"/>
      <c r="Y341" s="145"/>
      <c r="Z341" s="145"/>
    </row>
    <row r="342" spans="1:26"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201"/>
      <c r="U342" s="145"/>
      <c r="V342" s="145"/>
      <c r="W342" s="145"/>
      <c r="X342" s="145"/>
      <c r="Y342" s="145"/>
      <c r="Z342" s="145"/>
    </row>
    <row r="343" spans="1:26"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201"/>
      <c r="U343" s="145"/>
      <c r="V343" s="145"/>
      <c r="W343" s="145"/>
      <c r="X343" s="145"/>
      <c r="Y343" s="145"/>
      <c r="Z343" s="145"/>
    </row>
    <row r="344" spans="1:26"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201"/>
      <c r="U344" s="145"/>
      <c r="V344" s="145"/>
      <c r="W344" s="145"/>
      <c r="X344" s="145"/>
      <c r="Y344" s="145"/>
      <c r="Z344" s="145"/>
    </row>
    <row r="345" spans="1:26"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201"/>
      <c r="U345" s="145"/>
      <c r="V345" s="145"/>
      <c r="W345" s="145"/>
      <c r="X345" s="145"/>
      <c r="Y345" s="145"/>
      <c r="Z345" s="145"/>
    </row>
    <row r="346" spans="1:26"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201"/>
      <c r="U346" s="145"/>
      <c r="V346" s="145"/>
      <c r="W346" s="145"/>
      <c r="X346" s="145"/>
      <c r="Y346" s="145"/>
      <c r="Z346" s="145"/>
    </row>
    <row r="347" spans="1:26"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201"/>
      <c r="U347" s="145"/>
      <c r="V347" s="145"/>
      <c r="W347" s="145"/>
      <c r="X347" s="145"/>
      <c r="Y347" s="145"/>
      <c r="Z347" s="145"/>
    </row>
    <row r="348" spans="1:26"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201"/>
      <c r="U348" s="145"/>
      <c r="V348" s="145"/>
      <c r="W348" s="145"/>
      <c r="X348" s="145"/>
      <c r="Y348" s="145"/>
      <c r="Z348" s="145"/>
    </row>
    <row r="349" spans="1:26"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201"/>
      <c r="U349" s="145"/>
      <c r="V349" s="145"/>
      <c r="W349" s="145"/>
      <c r="X349" s="145"/>
      <c r="Y349" s="145"/>
      <c r="Z349" s="145"/>
    </row>
    <row r="350" spans="1:26"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201"/>
      <c r="U350" s="145"/>
      <c r="V350" s="145"/>
      <c r="W350" s="145"/>
      <c r="X350" s="145"/>
      <c r="Y350" s="145"/>
      <c r="Z350" s="145"/>
    </row>
    <row r="351" spans="1:26"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201"/>
      <c r="U351" s="145"/>
      <c r="V351" s="145"/>
      <c r="W351" s="145"/>
      <c r="X351" s="145"/>
      <c r="Y351" s="145"/>
      <c r="Z351" s="145"/>
    </row>
    <row r="352" spans="1:26"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201"/>
      <c r="U352" s="145"/>
      <c r="V352" s="145"/>
      <c r="W352" s="145"/>
      <c r="X352" s="145"/>
      <c r="Y352" s="145"/>
      <c r="Z352" s="145"/>
    </row>
    <row r="353" spans="1:26"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201"/>
      <c r="U353" s="145"/>
      <c r="V353" s="145"/>
      <c r="W353" s="145"/>
      <c r="X353" s="145"/>
      <c r="Y353" s="145"/>
      <c r="Z353" s="145"/>
    </row>
    <row r="354" spans="1:26"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201"/>
      <c r="U354" s="145"/>
      <c r="V354" s="145"/>
      <c r="W354" s="145"/>
      <c r="X354" s="145"/>
      <c r="Y354" s="145"/>
      <c r="Z354" s="145"/>
    </row>
    <row r="355" spans="1:26"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201"/>
      <c r="U355" s="145"/>
      <c r="V355" s="145"/>
      <c r="W355" s="145"/>
      <c r="X355" s="145"/>
      <c r="Y355" s="145"/>
      <c r="Z355" s="145"/>
    </row>
    <row r="356" spans="1:26"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201"/>
      <c r="U356" s="145"/>
      <c r="V356" s="145"/>
      <c r="W356" s="145"/>
      <c r="X356" s="145"/>
      <c r="Y356" s="145"/>
      <c r="Z356" s="145"/>
    </row>
    <row r="357" spans="1:26"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201"/>
      <c r="U357" s="145"/>
      <c r="V357" s="145"/>
      <c r="W357" s="145"/>
      <c r="X357" s="145"/>
      <c r="Y357" s="145"/>
      <c r="Z357" s="145"/>
    </row>
    <row r="358" spans="1:26"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201"/>
      <c r="U358" s="145"/>
      <c r="V358" s="145"/>
      <c r="W358" s="145"/>
      <c r="X358" s="145"/>
      <c r="Y358" s="145"/>
      <c r="Z358" s="145"/>
    </row>
    <row r="359" spans="1:26"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201"/>
      <c r="U359" s="145"/>
      <c r="V359" s="145"/>
      <c r="W359" s="145"/>
      <c r="X359" s="145"/>
      <c r="Y359" s="145"/>
      <c r="Z359" s="145"/>
    </row>
    <row r="360" spans="1:26"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201"/>
      <c r="U360" s="145"/>
      <c r="V360" s="145"/>
      <c r="W360" s="145"/>
      <c r="X360" s="145"/>
      <c r="Y360" s="145"/>
      <c r="Z360" s="145"/>
    </row>
    <row r="361" spans="1:26"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201"/>
      <c r="U361" s="145"/>
      <c r="V361" s="145"/>
      <c r="W361" s="145"/>
      <c r="X361" s="145"/>
      <c r="Y361" s="145"/>
      <c r="Z361" s="145"/>
    </row>
    <row r="362" spans="1:26"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201"/>
      <c r="U362" s="145"/>
      <c r="V362" s="145"/>
      <c r="W362" s="145"/>
      <c r="X362" s="145"/>
      <c r="Y362" s="145"/>
      <c r="Z362" s="145"/>
    </row>
    <row r="363" spans="1:26"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201"/>
      <c r="U363" s="145"/>
      <c r="V363" s="145"/>
      <c r="W363" s="145"/>
      <c r="X363" s="145"/>
      <c r="Y363" s="145"/>
      <c r="Z363" s="145"/>
    </row>
    <row r="364" spans="1:26"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201"/>
      <c r="U364" s="145"/>
      <c r="V364" s="145"/>
      <c r="W364" s="145"/>
      <c r="X364" s="145"/>
      <c r="Y364" s="145"/>
      <c r="Z364" s="145"/>
    </row>
    <row r="365" spans="1:26"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201"/>
      <c r="U365" s="145"/>
      <c r="V365" s="145"/>
      <c r="W365" s="145"/>
      <c r="X365" s="145"/>
      <c r="Y365" s="145"/>
      <c r="Z365" s="145"/>
    </row>
    <row r="366" spans="1:26"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201"/>
      <c r="U366" s="145"/>
      <c r="V366" s="145"/>
      <c r="W366" s="145"/>
      <c r="X366" s="145"/>
      <c r="Y366" s="145"/>
      <c r="Z366" s="145"/>
    </row>
    <row r="367" spans="1:26"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201"/>
      <c r="U367" s="145"/>
      <c r="V367" s="145"/>
      <c r="W367" s="145"/>
      <c r="X367" s="145"/>
      <c r="Y367" s="145"/>
      <c r="Z367" s="145"/>
    </row>
    <row r="368" spans="1:26"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201"/>
      <c r="U368" s="145"/>
      <c r="V368" s="145"/>
      <c r="W368" s="145"/>
      <c r="X368" s="145"/>
      <c r="Y368" s="145"/>
      <c r="Z368" s="145"/>
    </row>
    <row r="369" spans="1:26"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201"/>
      <c r="U369" s="145"/>
      <c r="V369" s="145"/>
      <c r="W369" s="145"/>
      <c r="X369" s="145"/>
      <c r="Y369" s="145"/>
      <c r="Z369" s="145"/>
    </row>
    <row r="370" spans="1:26"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201"/>
      <c r="U370" s="145"/>
      <c r="V370" s="145"/>
      <c r="W370" s="145"/>
      <c r="X370" s="145"/>
      <c r="Y370" s="145"/>
      <c r="Z370" s="145"/>
    </row>
    <row r="371" spans="1:26"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201"/>
      <c r="U371" s="145"/>
      <c r="V371" s="145"/>
      <c r="W371" s="145"/>
      <c r="X371" s="145"/>
      <c r="Y371" s="145"/>
      <c r="Z371" s="145"/>
    </row>
    <row r="372" spans="1:26"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201"/>
      <c r="U372" s="145"/>
      <c r="V372" s="145"/>
      <c r="W372" s="145"/>
      <c r="X372" s="145"/>
      <c r="Y372" s="145"/>
      <c r="Z372" s="145"/>
    </row>
    <row r="373" spans="1:26"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201"/>
      <c r="U373" s="145"/>
      <c r="V373" s="145"/>
      <c r="W373" s="145"/>
      <c r="X373" s="145"/>
      <c r="Y373" s="145"/>
      <c r="Z373" s="145"/>
    </row>
    <row r="374" spans="1:26"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201"/>
      <c r="U374" s="145"/>
      <c r="V374" s="145"/>
      <c r="W374" s="145"/>
      <c r="X374" s="145"/>
      <c r="Y374" s="145"/>
      <c r="Z374" s="145"/>
    </row>
    <row r="375" spans="1:26"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201"/>
      <c r="U375" s="145"/>
      <c r="V375" s="145"/>
      <c r="W375" s="145"/>
      <c r="X375" s="145"/>
      <c r="Y375" s="145"/>
      <c r="Z375" s="145"/>
    </row>
    <row r="376" spans="1:26"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201"/>
      <c r="U376" s="145"/>
      <c r="V376" s="145"/>
      <c r="W376" s="145"/>
      <c r="X376" s="145"/>
      <c r="Y376" s="145"/>
      <c r="Z376" s="145"/>
    </row>
    <row r="377" spans="1:26"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201"/>
      <c r="U377" s="145"/>
      <c r="V377" s="145"/>
      <c r="W377" s="145"/>
      <c r="X377" s="145"/>
      <c r="Y377" s="145"/>
      <c r="Z377" s="145"/>
    </row>
    <row r="378" spans="1:26"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201"/>
      <c r="U378" s="145"/>
      <c r="V378" s="145"/>
      <c r="W378" s="145"/>
      <c r="X378" s="145"/>
      <c r="Y378" s="145"/>
      <c r="Z378" s="145"/>
    </row>
    <row r="379" spans="1:26"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201"/>
      <c r="U379" s="145"/>
      <c r="V379" s="145"/>
      <c r="W379" s="145"/>
      <c r="X379" s="145"/>
      <c r="Y379" s="145"/>
      <c r="Z379" s="145"/>
    </row>
    <row r="380" spans="1:26"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201"/>
      <c r="U380" s="145"/>
      <c r="V380" s="145"/>
      <c r="W380" s="145"/>
      <c r="X380" s="145"/>
      <c r="Y380" s="145"/>
      <c r="Z380" s="145"/>
    </row>
    <row r="381" spans="1:26"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201"/>
      <c r="U381" s="145"/>
      <c r="V381" s="145"/>
      <c r="W381" s="145"/>
      <c r="X381" s="145"/>
      <c r="Y381" s="145"/>
      <c r="Z381" s="145"/>
    </row>
    <row r="382" spans="1:26"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201"/>
      <c r="U382" s="145"/>
      <c r="V382" s="145"/>
      <c r="W382" s="145"/>
      <c r="X382" s="145"/>
      <c r="Y382" s="145"/>
      <c r="Z382" s="145"/>
    </row>
    <row r="383" spans="1:26"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201"/>
      <c r="U383" s="145"/>
      <c r="V383" s="145"/>
      <c r="W383" s="145"/>
      <c r="X383" s="145"/>
      <c r="Y383" s="145"/>
      <c r="Z383" s="145"/>
    </row>
    <row r="384" spans="1:26"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201"/>
      <c r="U384" s="145"/>
      <c r="V384" s="145"/>
      <c r="W384" s="145"/>
      <c r="X384" s="145"/>
      <c r="Y384" s="145"/>
      <c r="Z384" s="145"/>
    </row>
    <row r="385" spans="1:26"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201"/>
      <c r="U385" s="145"/>
      <c r="V385" s="145"/>
      <c r="W385" s="145"/>
      <c r="X385" s="145"/>
      <c r="Y385" s="145"/>
      <c r="Z385" s="145"/>
    </row>
    <row r="386" spans="1:26"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201"/>
      <c r="U386" s="145"/>
      <c r="V386" s="145"/>
      <c r="W386" s="145"/>
      <c r="X386" s="145"/>
      <c r="Y386" s="145"/>
      <c r="Z386" s="145"/>
    </row>
    <row r="387" spans="1:26"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201"/>
      <c r="U387" s="145"/>
      <c r="V387" s="145"/>
      <c r="W387" s="145"/>
      <c r="X387" s="145"/>
      <c r="Y387" s="145"/>
      <c r="Z387" s="145"/>
    </row>
    <row r="388" spans="1:26"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201"/>
      <c r="U388" s="145"/>
      <c r="V388" s="145"/>
      <c r="W388" s="145"/>
      <c r="X388" s="145"/>
      <c r="Y388" s="145"/>
      <c r="Z388" s="145"/>
    </row>
    <row r="389" spans="1:26"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201"/>
      <c r="U389" s="145"/>
      <c r="V389" s="145"/>
      <c r="W389" s="145"/>
      <c r="X389" s="145"/>
      <c r="Y389" s="145"/>
      <c r="Z389" s="145"/>
    </row>
    <row r="390" spans="1:26"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201"/>
      <c r="U390" s="145"/>
      <c r="V390" s="145"/>
      <c r="W390" s="145"/>
      <c r="X390" s="145"/>
      <c r="Y390" s="145"/>
      <c r="Z390" s="145"/>
    </row>
    <row r="391" spans="1:26"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201"/>
      <c r="U391" s="145"/>
      <c r="V391" s="145"/>
      <c r="W391" s="145"/>
      <c r="X391" s="145"/>
      <c r="Y391" s="145"/>
      <c r="Z391" s="145"/>
    </row>
    <row r="392" spans="1:26"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201"/>
      <c r="U392" s="145"/>
      <c r="V392" s="145"/>
      <c r="W392" s="145"/>
      <c r="X392" s="145"/>
      <c r="Y392" s="145"/>
      <c r="Z392" s="145"/>
    </row>
    <row r="393" spans="1:26"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201"/>
      <c r="U393" s="145"/>
      <c r="V393" s="145"/>
      <c r="W393" s="145"/>
      <c r="X393" s="145"/>
      <c r="Y393" s="145"/>
      <c r="Z393" s="145"/>
    </row>
    <row r="394" spans="1:26"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201"/>
      <c r="U394" s="145"/>
      <c r="V394" s="145"/>
      <c r="W394" s="145"/>
      <c r="X394" s="145"/>
      <c r="Y394" s="145"/>
      <c r="Z394" s="145"/>
    </row>
    <row r="395" spans="1:26"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201"/>
      <c r="U395" s="145"/>
      <c r="V395" s="145"/>
      <c r="W395" s="145"/>
      <c r="X395" s="145"/>
      <c r="Y395" s="145"/>
      <c r="Z395" s="145"/>
    </row>
    <row r="396" spans="1:26"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201"/>
      <c r="U396" s="145"/>
      <c r="V396" s="145"/>
      <c r="W396" s="145"/>
      <c r="X396" s="145"/>
      <c r="Y396" s="145"/>
      <c r="Z396" s="145"/>
    </row>
    <row r="397" spans="1:26"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201"/>
      <c r="U397" s="145"/>
      <c r="V397" s="145"/>
      <c r="W397" s="145"/>
      <c r="X397" s="145"/>
      <c r="Y397" s="145"/>
      <c r="Z397" s="145"/>
    </row>
    <row r="398" spans="1:26"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201"/>
      <c r="U398" s="145"/>
      <c r="V398" s="145"/>
      <c r="W398" s="145"/>
      <c r="X398" s="145"/>
      <c r="Y398" s="145"/>
      <c r="Z398" s="145"/>
    </row>
    <row r="399" spans="1:26"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201"/>
      <c r="U399" s="145"/>
      <c r="V399" s="145"/>
      <c r="W399" s="145"/>
      <c r="X399" s="145"/>
      <c r="Y399" s="145"/>
      <c r="Z399" s="145"/>
    </row>
    <row r="400" spans="1:26"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201"/>
      <c r="U400" s="145"/>
      <c r="V400" s="145"/>
      <c r="W400" s="145"/>
      <c r="X400" s="145"/>
      <c r="Y400" s="145"/>
      <c r="Z400" s="145"/>
    </row>
    <row r="401" spans="1:26"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201"/>
      <c r="U401" s="145"/>
      <c r="V401" s="145"/>
      <c r="W401" s="145"/>
      <c r="X401" s="145"/>
      <c r="Y401" s="145"/>
      <c r="Z401" s="145"/>
    </row>
    <row r="402" spans="1:26"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201"/>
      <c r="U402" s="145"/>
      <c r="V402" s="145"/>
      <c r="W402" s="145"/>
      <c r="X402" s="145"/>
      <c r="Y402" s="145"/>
      <c r="Z402" s="145"/>
    </row>
    <row r="403" spans="1:26"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201"/>
      <c r="U403" s="145"/>
      <c r="V403" s="145"/>
      <c r="W403" s="145"/>
      <c r="X403" s="145"/>
      <c r="Y403" s="145"/>
      <c r="Z403" s="145"/>
    </row>
    <row r="404" spans="1:26"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201"/>
      <c r="U404" s="145"/>
      <c r="V404" s="145"/>
      <c r="W404" s="145"/>
      <c r="X404" s="145"/>
      <c r="Y404" s="145"/>
      <c r="Z404" s="145"/>
    </row>
    <row r="405" spans="1:26"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201"/>
      <c r="U405" s="145"/>
      <c r="V405" s="145"/>
      <c r="W405" s="145"/>
      <c r="X405" s="145"/>
      <c r="Y405" s="145"/>
      <c r="Z405" s="145"/>
    </row>
    <row r="406" spans="1:26"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201"/>
      <c r="U406" s="145"/>
      <c r="V406" s="145"/>
      <c r="W406" s="145"/>
      <c r="X406" s="145"/>
      <c r="Y406" s="145"/>
      <c r="Z406" s="145"/>
    </row>
    <row r="407" spans="1:26"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201"/>
      <c r="U407" s="145"/>
      <c r="V407" s="145"/>
      <c r="W407" s="145"/>
      <c r="X407" s="145"/>
      <c r="Y407" s="145"/>
      <c r="Z407" s="145"/>
    </row>
    <row r="408" spans="1:26"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201"/>
      <c r="U408" s="145"/>
      <c r="V408" s="145"/>
      <c r="W408" s="145"/>
      <c r="X408" s="145"/>
      <c r="Y408" s="145"/>
      <c r="Z408" s="145"/>
    </row>
    <row r="409" spans="1:26"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201"/>
      <c r="U409" s="145"/>
      <c r="V409" s="145"/>
      <c r="W409" s="145"/>
      <c r="X409" s="145"/>
      <c r="Y409" s="145"/>
      <c r="Z409" s="145"/>
    </row>
    <row r="410" spans="1:26"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201"/>
      <c r="U410" s="145"/>
      <c r="V410" s="145"/>
      <c r="W410" s="145"/>
      <c r="X410" s="145"/>
      <c r="Y410" s="145"/>
      <c r="Z410" s="145"/>
    </row>
    <row r="411" spans="1:26"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201"/>
      <c r="U411" s="145"/>
      <c r="V411" s="145"/>
      <c r="W411" s="145"/>
      <c r="X411" s="145"/>
      <c r="Y411" s="145"/>
      <c r="Z411" s="145"/>
    </row>
    <row r="412" spans="1:26"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201"/>
      <c r="U412" s="145"/>
      <c r="V412" s="145"/>
      <c r="W412" s="145"/>
      <c r="X412" s="145"/>
      <c r="Y412" s="145"/>
      <c r="Z412" s="145"/>
    </row>
    <row r="413" spans="1:26"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201"/>
      <c r="U413" s="145"/>
      <c r="V413" s="145"/>
      <c r="W413" s="145"/>
      <c r="X413" s="145"/>
      <c r="Y413" s="145"/>
      <c r="Z413" s="145"/>
    </row>
    <row r="414" spans="1:26"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201"/>
      <c r="U414" s="145"/>
      <c r="V414" s="145"/>
      <c r="W414" s="145"/>
      <c r="X414" s="145"/>
      <c r="Y414" s="145"/>
      <c r="Z414" s="145"/>
    </row>
    <row r="415" spans="1:26"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201"/>
      <c r="U415" s="145"/>
      <c r="V415" s="145"/>
      <c r="W415" s="145"/>
      <c r="X415" s="145"/>
      <c r="Y415" s="145"/>
      <c r="Z415" s="145"/>
    </row>
    <row r="416" spans="1:26"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201"/>
      <c r="U416" s="145"/>
      <c r="V416" s="145"/>
      <c r="W416" s="145"/>
      <c r="X416" s="145"/>
      <c r="Y416" s="145"/>
      <c r="Z416" s="145"/>
    </row>
    <row r="417" spans="1:26"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201"/>
      <c r="U417" s="145"/>
      <c r="V417" s="145"/>
      <c r="W417" s="145"/>
      <c r="X417" s="145"/>
      <c r="Y417" s="145"/>
      <c r="Z417" s="145"/>
    </row>
    <row r="418" spans="1:26"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201"/>
      <c r="U418" s="145"/>
      <c r="V418" s="145"/>
      <c r="W418" s="145"/>
      <c r="X418" s="145"/>
      <c r="Y418" s="145"/>
      <c r="Z418" s="145"/>
    </row>
    <row r="419" spans="1:26"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201"/>
      <c r="U419" s="145"/>
      <c r="V419" s="145"/>
      <c r="W419" s="145"/>
      <c r="X419" s="145"/>
      <c r="Y419" s="145"/>
      <c r="Z419" s="145"/>
    </row>
    <row r="420" spans="1:26"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201"/>
      <c r="U420" s="145"/>
      <c r="V420" s="145"/>
      <c r="W420" s="145"/>
      <c r="X420" s="145"/>
      <c r="Y420" s="145"/>
      <c r="Z420" s="145"/>
    </row>
    <row r="421" spans="1:26"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201"/>
      <c r="U421" s="145"/>
      <c r="V421" s="145"/>
      <c r="W421" s="145"/>
      <c r="X421" s="145"/>
      <c r="Y421" s="145"/>
      <c r="Z421" s="145"/>
    </row>
    <row r="422" spans="1:26"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201"/>
      <c r="U422" s="145"/>
      <c r="V422" s="145"/>
      <c r="W422" s="145"/>
      <c r="X422" s="145"/>
      <c r="Y422" s="145"/>
      <c r="Z422" s="145"/>
    </row>
    <row r="423" spans="1:26"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201"/>
      <c r="U423" s="145"/>
      <c r="V423" s="145"/>
      <c r="W423" s="145"/>
      <c r="X423" s="145"/>
      <c r="Y423" s="145"/>
      <c r="Z423" s="145"/>
    </row>
    <row r="424" spans="1:26"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201"/>
      <c r="U424" s="145"/>
      <c r="V424" s="145"/>
      <c r="W424" s="145"/>
      <c r="X424" s="145"/>
      <c r="Y424" s="145"/>
      <c r="Z424" s="145"/>
    </row>
    <row r="425" spans="1:26"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201"/>
      <c r="U425" s="145"/>
      <c r="V425" s="145"/>
      <c r="W425" s="145"/>
      <c r="X425" s="145"/>
      <c r="Y425" s="145"/>
      <c r="Z425" s="145"/>
    </row>
    <row r="426" spans="1:26"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201"/>
      <c r="U426" s="145"/>
      <c r="V426" s="145"/>
      <c r="W426" s="145"/>
      <c r="X426" s="145"/>
      <c r="Y426" s="145"/>
      <c r="Z426" s="145"/>
    </row>
    <row r="427" spans="1:26"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201"/>
      <c r="U427" s="145"/>
      <c r="V427" s="145"/>
      <c r="W427" s="145"/>
      <c r="X427" s="145"/>
      <c r="Y427" s="145"/>
      <c r="Z427" s="145"/>
    </row>
    <row r="428" spans="1:26"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201"/>
      <c r="U428" s="145"/>
      <c r="V428" s="145"/>
      <c r="W428" s="145"/>
      <c r="X428" s="145"/>
      <c r="Y428" s="145"/>
      <c r="Z428" s="145"/>
    </row>
    <row r="429" spans="1:26"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201"/>
      <c r="U429" s="145"/>
      <c r="V429" s="145"/>
      <c r="W429" s="145"/>
      <c r="X429" s="145"/>
      <c r="Y429" s="145"/>
      <c r="Z429" s="145"/>
    </row>
    <row r="430" spans="1:26"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201"/>
      <c r="U430" s="145"/>
      <c r="V430" s="145"/>
      <c r="W430" s="145"/>
      <c r="X430" s="145"/>
      <c r="Y430" s="145"/>
      <c r="Z430" s="145"/>
    </row>
    <row r="431" spans="1:26"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201"/>
      <c r="U431" s="145"/>
      <c r="V431" s="145"/>
      <c r="W431" s="145"/>
      <c r="X431" s="145"/>
      <c r="Y431" s="145"/>
      <c r="Z431" s="145"/>
    </row>
    <row r="432" spans="1:26"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201"/>
      <c r="U432" s="145"/>
      <c r="V432" s="145"/>
      <c r="W432" s="145"/>
      <c r="X432" s="145"/>
      <c r="Y432" s="145"/>
      <c r="Z432" s="145"/>
    </row>
    <row r="433" spans="1:26"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201"/>
      <c r="U433" s="145"/>
      <c r="V433" s="145"/>
      <c r="W433" s="145"/>
      <c r="X433" s="145"/>
      <c r="Y433" s="145"/>
      <c r="Z433" s="145"/>
    </row>
    <row r="434" spans="1:26"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201"/>
      <c r="U434" s="145"/>
      <c r="V434" s="145"/>
      <c r="W434" s="145"/>
      <c r="X434" s="145"/>
      <c r="Y434" s="145"/>
      <c r="Z434" s="145"/>
    </row>
    <row r="435" spans="1:26"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201"/>
      <c r="U435" s="145"/>
      <c r="V435" s="145"/>
      <c r="W435" s="145"/>
      <c r="X435" s="145"/>
      <c r="Y435" s="145"/>
      <c r="Z435" s="145"/>
    </row>
    <row r="436" spans="1:26"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201"/>
      <c r="U436" s="145"/>
      <c r="V436" s="145"/>
      <c r="W436" s="145"/>
      <c r="X436" s="145"/>
      <c r="Y436" s="145"/>
      <c r="Z436" s="145"/>
    </row>
    <row r="437" spans="1:26"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201"/>
      <c r="U437" s="145"/>
      <c r="V437" s="145"/>
      <c r="W437" s="145"/>
      <c r="X437" s="145"/>
      <c r="Y437" s="145"/>
      <c r="Z437" s="145"/>
    </row>
    <row r="438" spans="1:26"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201"/>
      <c r="U438" s="145"/>
      <c r="V438" s="145"/>
      <c r="W438" s="145"/>
      <c r="X438" s="145"/>
      <c r="Y438" s="145"/>
      <c r="Z438" s="145"/>
    </row>
    <row r="439" spans="1:26"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201"/>
      <c r="U439" s="145"/>
      <c r="V439" s="145"/>
      <c r="W439" s="145"/>
      <c r="X439" s="145"/>
      <c r="Y439" s="145"/>
      <c r="Z439" s="145"/>
    </row>
    <row r="440" spans="1:26"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201"/>
      <c r="U440" s="145"/>
      <c r="V440" s="145"/>
      <c r="W440" s="145"/>
      <c r="X440" s="145"/>
      <c r="Y440" s="145"/>
      <c r="Z440" s="145"/>
    </row>
    <row r="441" spans="1:26"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201"/>
      <c r="U441" s="145"/>
      <c r="V441" s="145"/>
      <c r="W441" s="145"/>
      <c r="X441" s="145"/>
      <c r="Y441" s="145"/>
      <c r="Z441" s="145"/>
    </row>
    <row r="442" spans="1:26"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201"/>
      <c r="U442" s="145"/>
      <c r="V442" s="145"/>
      <c r="W442" s="145"/>
      <c r="X442" s="145"/>
      <c r="Y442" s="145"/>
      <c r="Z442" s="145"/>
    </row>
    <row r="443" spans="1:26"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201"/>
      <c r="U443" s="145"/>
      <c r="V443" s="145"/>
      <c r="W443" s="145"/>
      <c r="X443" s="145"/>
      <c r="Y443" s="145"/>
      <c r="Z443" s="145"/>
    </row>
    <row r="444" spans="1:26"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201"/>
      <c r="U444" s="145"/>
      <c r="V444" s="145"/>
      <c r="W444" s="145"/>
      <c r="X444" s="145"/>
      <c r="Y444" s="145"/>
      <c r="Z444" s="145"/>
    </row>
    <row r="445" spans="1:26"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201"/>
      <c r="U445" s="145"/>
      <c r="V445" s="145"/>
      <c r="W445" s="145"/>
      <c r="X445" s="145"/>
      <c r="Y445" s="145"/>
      <c r="Z445" s="145"/>
    </row>
    <row r="446" spans="1:26"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201"/>
      <c r="U446" s="145"/>
      <c r="V446" s="145"/>
      <c r="W446" s="145"/>
      <c r="X446" s="145"/>
      <c r="Y446" s="145"/>
      <c r="Z446" s="145"/>
    </row>
    <row r="447" spans="1:26"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201"/>
      <c r="U447" s="145"/>
      <c r="V447" s="145"/>
      <c r="W447" s="145"/>
      <c r="X447" s="145"/>
      <c r="Y447" s="145"/>
      <c r="Z447" s="145"/>
    </row>
    <row r="448" spans="1:26"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201"/>
      <c r="U448" s="145"/>
      <c r="V448" s="145"/>
      <c r="W448" s="145"/>
      <c r="X448" s="145"/>
      <c r="Y448" s="145"/>
      <c r="Z448" s="145"/>
    </row>
    <row r="449" spans="1:26"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201"/>
      <c r="U449" s="145"/>
      <c r="V449" s="145"/>
      <c r="W449" s="145"/>
      <c r="X449" s="145"/>
      <c r="Y449" s="145"/>
      <c r="Z449" s="145"/>
    </row>
    <row r="450" spans="1:26"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201"/>
      <c r="U450" s="145"/>
      <c r="V450" s="145"/>
      <c r="W450" s="145"/>
      <c r="X450" s="145"/>
      <c r="Y450" s="145"/>
      <c r="Z450" s="145"/>
    </row>
    <row r="451" spans="1:26"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201"/>
      <c r="U451" s="145"/>
      <c r="V451" s="145"/>
      <c r="W451" s="145"/>
      <c r="X451" s="145"/>
      <c r="Y451" s="145"/>
      <c r="Z451" s="145"/>
    </row>
    <row r="452" spans="1:26"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201"/>
      <c r="U452" s="145"/>
      <c r="V452" s="145"/>
      <c r="W452" s="145"/>
      <c r="X452" s="145"/>
      <c r="Y452" s="145"/>
      <c r="Z452" s="145"/>
    </row>
    <row r="453" spans="1:26"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201"/>
      <c r="U453" s="145"/>
      <c r="V453" s="145"/>
      <c r="W453" s="145"/>
      <c r="X453" s="145"/>
      <c r="Y453" s="145"/>
      <c r="Z453" s="145"/>
    </row>
    <row r="454" spans="1:26"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201"/>
      <c r="U454" s="145"/>
      <c r="V454" s="145"/>
      <c r="W454" s="145"/>
      <c r="X454" s="145"/>
      <c r="Y454" s="145"/>
      <c r="Z454" s="145"/>
    </row>
    <row r="455" spans="1:26"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201"/>
      <c r="U455" s="145"/>
      <c r="V455" s="145"/>
      <c r="W455" s="145"/>
      <c r="X455" s="145"/>
      <c r="Y455" s="145"/>
      <c r="Z455" s="145"/>
    </row>
    <row r="456" spans="1:26"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201"/>
      <c r="U456" s="145"/>
      <c r="V456" s="145"/>
      <c r="W456" s="145"/>
      <c r="X456" s="145"/>
      <c r="Y456" s="145"/>
      <c r="Z456" s="145"/>
    </row>
    <row r="457" spans="1:26"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201"/>
      <c r="U457" s="145"/>
      <c r="V457" s="145"/>
      <c r="W457" s="145"/>
      <c r="X457" s="145"/>
      <c r="Y457" s="145"/>
      <c r="Z457" s="145"/>
    </row>
    <row r="458" spans="1:26"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201"/>
      <c r="U458" s="145"/>
      <c r="V458" s="145"/>
      <c r="W458" s="145"/>
      <c r="X458" s="145"/>
      <c r="Y458" s="145"/>
      <c r="Z458" s="145"/>
    </row>
    <row r="459" spans="1:26"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201"/>
      <c r="U459" s="145"/>
      <c r="V459" s="145"/>
      <c r="W459" s="145"/>
      <c r="X459" s="145"/>
      <c r="Y459" s="145"/>
      <c r="Z459" s="145"/>
    </row>
    <row r="460" spans="1:26"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201"/>
      <c r="U460" s="145"/>
      <c r="V460" s="145"/>
      <c r="W460" s="145"/>
      <c r="X460" s="145"/>
      <c r="Y460" s="145"/>
      <c r="Z460" s="145"/>
    </row>
    <row r="461" spans="1:26"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201"/>
      <c r="U461" s="145"/>
      <c r="V461" s="145"/>
      <c r="W461" s="145"/>
      <c r="X461" s="145"/>
      <c r="Y461" s="145"/>
      <c r="Z461" s="145"/>
    </row>
    <row r="462" spans="1:26"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201"/>
      <c r="U462" s="145"/>
      <c r="V462" s="145"/>
      <c r="W462" s="145"/>
      <c r="X462" s="145"/>
      <c r="Y462" s="145"/>
      <c r="Z462" s="145"/>
    </row>
    <row r="463" spans="1:26"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201"/>
      <c r="U463" s="145"/>
      <c r="V463" s="145"/>
      <c r="W463" s="145"/>
      <c r="X463" s="145"/>
      <c r="Y463" s="145"/>
      <c r="Z463" s="145"/>
    </row>
    <row r="464" spans="1:26"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201"/>
      <c r="U464" s="145"/>
      <c r="V464" s="145"/>
      <c r="W464" s="145"/>
      <c r="X464" s="145"/>
      <c r="Y464" s="145"/>
      <c r="Z464" s="145"/>
    </row>
    <row r="465" spans="1:26"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201"/>
      <c r="U465" s="145"/>
      <c r="V465" s="145"/>
      <c r="W465" s="145"/>
      <c r="X465" s="145"/>
      <c r="Y465" s="145"/>
      <c r="Z465" s="145"/>
    </row>
    <row r="466" spans="1:26"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201"/>
      <c r="U466" s="145"/>
      <c r="V466" s="145"/>
      <c r="W466" s="145"/>
      <c r="X466" s="145"/>
      <c r="Y466" s="145"/>
      <c r="Z466" s="145"/>
    </row>
    <row r="467" spans="1:26"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201"/>
      <c r="U467" s="145"/>
      <c r="V467" s="145"/>
      <c r="W467" s="145"/>
      <c r="X467" s="145"/>
      <c r="Y467" s="145"/>
      <c r="Z467" s="145"/>
    </row>
    <row r="468" spans="1:26"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201"/>
      <c r="U468" s="145"/>
      <c r="V468" s="145"/>
      <c r="W468" s="145"/>
      <c r="X468" s="145"/>
      <c r="Y468" s="145"/>
      <c r="Z468" s="145"/>
    </row>
    <row r="469" spans="1:26"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201"/>
      <c r="U469" s="145"/>
      <c r="V469" s="145"/>
      <c r="W469" s="145"/>
      <c r="X469" s="145"/>
      <c r="Y469" s="145"/>
      <c r="Z469" s="145"/>
    </row>
    <row r="470" spans="1:26"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201"/>
      <c r="U470" s="145"/>
      <c r="V470" s="145"/>
      <c r="W470" s="145"/>
      <c r="X470" s="145"/>
      <c r="Y470" s="145"/>
      <c r="Z470" s="145"/>
    </row>
    <row r="471" spans="1:26"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201"/>
      <c r="U471" s="145"/>
      <c r="V471" s="145"/>
      <c r="W471" s="145"/>
      <c r="X471" s="145"/>
      <c r="Y471" s="145"/>
      <c r="Z471" s="145"/>
    </row>
    <row r="472" spans="1:26"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201"/>
      <c r="U472" s="145"/>
      <c r="V472" s="145"/>
      <c r="W472" s="145"/>
      <c r="X472" s="145"/>
      <c r="Y472" s="145"/>
      <c r="Z472" s="145"/>
    </row>
    <row r="473" spans="1:26"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201"/>
      <c r="U473" s="145"/>
      <c r="V473" s="145"/>
      <c r="W473" s="145"/>
      <c r="X473" s="145"/>
      <c r="Y473" s="145"/>
      <c r="Z473" s="145"/>
    </row>
    <row r="474" spans="1:26"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201"/>
      <c r="U474" s="145"/>
      <c r="V474" s="145"/>
      <c r="W474" s="145"/>
      <c r="X474" s="145"/>
      <c r="Y474" s="145"/>
      <c r="Z474" s="145"/>
    </row>
    <row r="475" spans="1:26"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201"/>
      <c r="U475" s="145"/>
      <c r="V475" s="145"/>
      <c r="W475" s="145"/>
      <c r="X475" s="145"/>
      <c r="Y475" s="145"/>
      <c r="Z475" s="145"/>
    </row>
    <row r="476" spans="1:26"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201"/>
      <c r="U476" s="145"/>
      <c r="V476" s="145"/>
      <c r="W476" s="145"/>
      <c r="X476" s="145"/>
      <c r="Y476" s="145"/>
      <c r="Z476" s="145"/>
    </row>
    <row r="477" spans="1:26"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201"/>
      <c r="U477" s="145"/>
      <c r="V477" s="145"/>
      <c r="W477" s="145"/>
      <c r="X477" s="145"/>
      <c r="Y477" s="145"/>
      <c r="Z477" s="145"/>
    </row>
    <row r="478" spans="1:26"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201"/>
      <c r="U478" s="145"/>
      <c r="V478" s="145"/>
      <c r="W478" s="145"/>
      <c r="X478" s="145"/>
      <c r="Y478" s="145"/>
      <c r="Z478" s="145"/>
    </row>
    <row r="479" spans="1:26"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201"/>
      <c r="U479" s="145"/>
      <c r="V479" s="145"/>
      <c r="W479" s="145"/>
      <c r="X479" s="145"/>
      <c r="Y479" s="145"/>
      <c r="Z479" s="145"/>
    </row>
    <row r="480" spans="1:26"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201"/>
      <c r="U480" s="145"/>
      <c r="V480" s="145"/>
      <c r="W480" s="145"/>
      <c r="X480" s="145"/>
      <c r="Y480" s="145"/>
      <c r="Z480" s="145"/>
    </row>
    <row r="481" spans="1:26"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201"/>
      <c r="U481" s="145"/>
      <c r="V481" s="145"/>
      <c r="W481" s="145"/>
      <c r="X481" s="145"/>
      <c r="Y481" s="145"/>
      <c r="Z481" s="145"/>
    </row>
    <row r="482" spans="1:26"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201"/>
      <c r="U482" s="145"/>
      <c r="V482" s="145"/>
      <c r="W482" s="145"/>
      <c r="X482" s="145"/>
      <c r="Y482" s="145"/>
      <c r="Z482" s="145"/>
    </row>
    <row r="483" spans="1:26"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201"/>
      <c r="U483" s="145"/>
      <c r="V483" s="145"/>
      <c r="W483" s="145"/>
      <c r="X483" s="145"/>
      <c r="Y483" s="145"/>
      <c r="Z483" s="145"/>
    </row>
    <row r="484" spans="1:26"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201"/>
      <c r="U484" s="145"/>
      <c r="V484" s="145"/>
      <c r="W484" s="145"/>
      <c r="X484" s="145"/>
      <c r="Y484" s="145"/>
      <c r="Z484" s="145"/>
    </row>
    <row r="485" spans="1:26"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201"/>
      <c r="U485" s="145"/>
      <c r="V485" s="145"/>
      <c r="W485" s="145"/>
      <c r="X485" s="145"/>
      <c r="Y485" s="145"/>
      <c r="Z485" s="145"/>
    </row>
    <row r="486" spans="1:26"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201"/>
      <c r="U486" s="145"/>
      <c r="V486" s="145"/>
      <c r="W486" s="145"/>
      <c r="X486" s="145"/>
      <c r="Y486" s="145"/>
      <c r="Z486" s="145"/>
    </row>
    <row r="487" spans="1:26"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201"/>
      <c r="U487" s="145"/>
      <c r="V487" s="145"/>
      <c r="W487" s="145"/>
      <c r="X487" s="145"/>
      <c r="Y487" s="145"/>
      <c r="Z487" s="145"/>
    </row>
    <row r="488" spans="1:26"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201"/>
      <c r="U488" s="145"/>
      <c r="V488" s="145"/>
      <c r="W488" s="145"/>
      <c r="X488" s="145"/>
      <c r="Y488" s="145"/>
      <c r="Z488" s="145"/>
    </row>
    <row r="489" spans="1:26"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201"/>
      <c r="U489" s="145"/>
      <c r="V489" s="145"/>
      <c r="W489" s="145"/>
      <c r="X489" s="145"/>
      <c r="Y489" s="145"/>
      <c r="Z489" s="145"/>
    </row>
    <row r="490" spans="1:26"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201"/>
      <c r="U490" s="145"/>
      <c r="V490" s="145"/>
      <c r="W490" s="145"/>
      <c r="X490" s="145"/>
      <c r="Y490" s="145"/>
      <c r="Z490" s="145"/>
    </row>
    <row r="491" spans="1:26"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201"/>
      <c r="U491" s="145"/>
      <c r="V491" s="145"/>
      <c r="W491" s="145"/>
      <c r="X491" s="145"/>
      <c r="Y491" s="145"/>
      <c r="Z491" s="145"/>
    </row>
    <row r="492" spans="1:26"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201"/>
      <c r="U492" s="145"/>
      <c r="V492" s="145"/>
      <c r="W492" s="145"/>
      <c r="X492" s="145"/>
      <c r="Y492" s="145"/>
      <c r="Z492" s="145"/>
    </row>
    <row r="493" spans="1:26"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201"/>
      <c r="U493" s="145"/>
      <c r="V493" s="145"/>
      <c r="W493" s="145"/>
      <c r="X493" s="145"/>
      <c r="Y493" s="145"/>
      <c r="Z493" s="145"/>
    </row>
    <row r="494" spans="1:26"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201"/>
      <c r="U494" s="145"/>
      <c r="V494" s="145"/>
      <c r="W494" s="145"/>
      <c r="X494" s="145"/>
      <c r="Y494" s="145"/>
      <c r="Z494" s="145"/>
    </row>
    <row r="495" spans="1:26"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201"/>
      <c r="U495" s="145"/>
      <c r="V495" s="145"/>
      <c r="W495" s="145"/>
      <c r="X495" s="145"/>
      <c r="Y495" s="145"/>
      <c r="Z495" s="145"/>
    </row>
    <row r="496" spans="1:26"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201"/>
      <c r="U496" s="145"/>
      <c r="V496" s="145"/>
      <c r="W496" s="145"/>
      <c r="X496" s="145"/>
      <c r="Y496" s="145"/>
      <c r="Z496" s="145"/>
    </row>
    <row r="497" spans="1:26"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201"/>
      <c r="U497" s="145"/>
      <c r="V497" s="145"/>
      <c r="W497" s="145"/>
      <c r="X497" s="145"/>
      <c r="Y497" s="145"/>
      <c r="Z497" s="145"/>
    </row>
    <row r="498" spans="1:26"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201"/>
      <c r="U498" s="145"/>
      <c r="V498" s="145"/>
      <c r="W498" s="145"/>
      <c r="X498" s="145"/>
      <c r="Y498" s="145"/>
      <c r="Z498" s="145"/>
    </row>
    <row r="499" spans="1:26"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201"/>
      <c r="U499" s="145"/>
      <c r="V499" s="145"/>
      <c r="W499" s="145"/>
      <c r="X499" s="145"/>
      <c r="Y499" s="145"/>
      <c r="Z499" s="145"/>
    </row>
    <row r="500" spans="1:26"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201"/>
      <c r="U500" s="145"/>
      <c r="V500" s="145"/>
      <c r="W500" s="145"/>
      <c r="X500" s="145"/>
      <c r="Y500" s="145"/>
      <c r="Z500" s="145"/>
    </row>
    <row r="501" spans="1:26"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201"/>
      <c r="U501" s="145"/>
      <c r="V501" s="145"/>
      <c r="W501" s="145"/>
      <c r="X501" s="145"/>
      <c r="Y501" s="145"/>
      <c r="Z501" s="145"/>
    </row>
    <row r="502" spans="1:26"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201"/>
      <c r="U502" s="145"/>
      <c r="V502" s="145"/>
      <c r="W502" s="145"/>
      <c r="X502" s="145"/>
      <c r="Y502" s="145"/>
      <c r="Z502" s="145"/>
    </row>
    <row r="503" spans="1:26"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201"/>
      <c r="U503" s="145"/>
      <c r="V503" s="145"/>
      <c r="W503" s="145"/>
      <c r="X503" s="145"/>
      <c r="Y503" s="145"/>
      <c r="Z503" s="145"/>
    </row>
    <row r="504" spans="1:26"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201"/>
      <c r="U504" s="145"/>
      <c r="V504" s="145"/>
      <c r="W504" s="145"/>
      <c r="X504" s="145"/>
      <c r="Y504" s="145"/>
      <c r="Z504" s="145"/>
    </row>
    <row r="505" spans="1:26"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201"/>
      <c r="U505" s="145"/>
      <c r="V505" s="145"/>
      <c r="W505" s="145"/>
      <c r="X505" s="145"/>
      <c r="Y505" s="145"/>
      <c r="Z505" s="145"/>
    </row>
    <row r="506" spans="1:26"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201"/>
      <c r="U506" s="145"/>
      <c r="V506" s="145"/>
      <c r="W506" s="145"/>
      <c r="X506" s="145"/>
      <c r="Y506" s="145"/>
      <c r="Z506" s="145"/>
    </row>
    <row r="507" spans="1:26"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201"/>
      <c r="U507" s="145"/>
      <c r="V507" s="145"/>
      <c r="W507" s="145"/>
      <c r="X507" s="145"/>
      <c r="Y507" s="145"/>
      <c r="Z507" s="145"/>
    </row>
    <row r="508" spans="1:26"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201"/>
      <c r="U508" s="145"/>
      <c r="V508" s="145"/>
      <c r="W508" s="145"/>
      <c r="X508" s="145"/>
      <c r="Y508" s="145"/>
      <c r="Z508" s="145"/>
    </row>
    <row r="509" spans="1:26"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201"/>
      <c r="U509" s="145"/>
      <c r="V509" s="145"/>
      <c r="W509" s="145"/>
      <c r="X509" s="145"/>
      <c r="Y509" s="145"/>
      <c r="Z509" s="145"/>
    </row>
    <row r="510" spans="1:26"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201"/>
      <c r="U510" s="145"/>
      <c r="V510" s="145"/>
      <c r="W510" s="145"/>
      <c r="X510" s="145"/>
      <c r="Y510" s="145"/>
      <c r="Z510" s="145"/>
    </row>
    <row r="511" spans="1:26"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201"/>
      <c r="U511" s="145"/>
      <c r="V511" s="145"/>
      <c r="W511" s="145"/>
      <c r="X511" s="145"/>
      <c r="Y511" s="145"/>
      <c r="Z511" s="145"/>
    </row>
    <row r="512" spans="1:26"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201"/>
      <c r="U512" s="145"/>
      <c r="V512" s="145"/>
      <c r="W512" s="145"/>
      <c r="X512" s="145"/>
      <c r="Y512" s="145"/>
      <c r="Z512" s="145"/>
    </row>
    <row r="513" spans="1:26"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201"/>
      <c r="U513" s="145"/>
      <c r="V513" s="145"/>
      <c r="W513" s="145"/>
      <c r="X513" s="145"/>
      <c r="Y513" s="145"/>
      <c r="Z513" s="145"/>
    </row>
    <row r="514" spans="1:26"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201"/>
      <c r="U514" s="145"/>
      <c r="V514" s="145"/>
      <c r="W514" s="145"/>
      <c r="X514" s="145"/>
      <c r="Y514" s="145"/>
      <c r="Z514" s="145"/>
    </row>
    <row r="515" spans="1:26"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201"/>
      <c r="U515" s="145"/>
      <c r="V515" s="145"/>
      <c r="W515" s="145"/>
      <c r="X515" s="145"/>
      <c r="Y515" s="145"/>
      <c r="Z515" s="145"/>
    </row>
    <row r="516" spans="1:26"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201"/>
      <c r="U516" s="145"/>
      <c r="V516" s="145"/>
      <c r="W516" s="145"/>
      <c r="X516" s="145"/>
      <c r="Y516" s="145"/>
      <c r="Z516" s="145"/>
    </row>
    <row r="517" spans="1:26"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201"/>
      <c r="U517" s="145"/>
      <c r="V517" s="145"/>
      <c r="W517" s="145"/>
      <c r="X517" s="145"/>
      <c r="Y517" s="145"/>
      <c r="Z517" s="145"/>
    </row>
    <row r="518" spans="1:26"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201"/>
      <c r="U518" s="145"/>
      <c r="V518" s="145"/>
      <c r="W518" s="145"/>
      <c r="X518" s="145"/>
      <c r="Y518" s="145"/>
      <c r="Z518" s="145"/>
    </row>
    <row r="519" spans="1:26"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201"/>
      <c r="U519" s="145"/>
      <c r="V519" s="145"/>
      <c r="W519" s="145"/>
      <c r="X519" s="145"/>
      <c r="Y519" s="145"/>
      <c r="Z519" s="145"/>
    </row>
    <row r="520" spans="1:26"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201"/>
      <c r="U520" s="145"/>
      <c r="V520" s="145"/>
      <c r="W520" s="145"/>
      <c r="X520" s="145"/>
      <c r="Y520" s="145"/>
      <c r="Z520" s="145"/>
    </row>
    <row r="521" spans="1:26"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201"/>
      <c r="U521" s="145"/>
      <c r="V521" s="145"/>
      <c r="W521" s="145"/>
      <c r="X521" s="145"/>
      <c r="Y521" s="145"/>
      <c r="Z521" s="145"/>
    </row>
    <row r="522" spans="1:26"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201"/>
      <c r="U522" s="145"/>
      <c r="V522" s="145"/>
      <c r="W522" s="145"/>
      <c r="X522" s="145"/>
      <c r="Y522" s="145"/>
      <c r="Z522" s="145"/>
    </row>
    <row r="523" spans="1:26"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201"/>
      <c r="U523" s="145"/>
      <c r="V523" s="145"/>
      <c r="W523" s="145"/>
      <c r="X523" s="145"/>
      <c r="Y523" s="145"/>
      <c r="Z523" s="145"/>
    </row>
    <row r="524" spans="1:26"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201"/>
      <c r="U524" s="145"/>
      <c r="V524" s="145"/>
      <c r="W524" s="145"/>
      <c r="X524" s="145"/>
      <c r="Y524" s="145"/>
      <c r="Z524" s="145"/>
    </row>
    <row r="525" spans="1:26"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201"/>
      <c r="U525" s="145"/>
      <c r="V525" s="145"/>
      <c r="W525" s="145"/>
      <c r="X525" s="145"/>
      <c r="Y525" s="145"/>
      <c r="Z525" s="145"/>
    </row>
    <row r="526" spans="1:26"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201"/>
      <c r="U526" s="145"/>
      <c r="V526" s="145"/>
      <c r="W526" s="145"/>
      <c r="X526" s="145"/>
      <c r="Y526" s="145"/>
      <c r="Z526" s="145"/>
    </row>
    <row r="527" spans="1:26"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201"/>
      <c r="U527" s="145"/>
      <c r="V527" s="145"/>
      <c r="W527" s="145"/>
      <c r="X527" s="145"/>
      <c r="Y527" s="145"/>
      <c r="Z527" s="145"/>
    </row>
    <row r="528" spans="1:26"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201"/>
      <c r="U528" s="145"/>
      <c r="V528" s="145"/>
      <c r="W528" s="145"/>
      <c r="X528" s="145"/>
      <c r="Y528" s="145"/>
      <c r="Z528" s="145"/>
    </row>
    <row r="529" spans="1:26"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201"/>
      <c r="U529" s="145"/>
      <c r="V529" s="145"/>
      <c r="W529" s="145"/>
      <c r="X529" s="145"/>
      <c r="Y529" s="145"/>
      <c r="Z529" s="145"/>
    </row>
    <row r="530" spans="1:26"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201"/>
      <c r="U530" s="145"/>
      <c r="V530" s="145"/>
      <c r="W530" s="145"/>
      <c r="X530" s="145"/>
      <c r="Y530" s="145"/>
      <c r="Z530" s="145"/>
    </row>
    <row r="531" spans="1:26"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201"/>
      <c r="U531" s="145"/>
      <c r="V531" s="145"/>
      <c r="W531" s="145"/>
      <c r="X531" s="145"/>
      <c r="Y531" s="145"/>
      <c r="Z531" s="145"/>
    </row>
    <row r="532" spans="1:26"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201"/>
      <c r="U532" s="145"/>
      <c r="V532" s="145"/>
      <c r="W532" s="145"/>
      <c r="X532" s="145"/>
      <c r="Y532" s="145"/>
      <c r="Z532" s="145"/>
    </row>
    <row r="533" spans="1:26"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201"/>
      <c r="U533" s="145"/>
      <c r="V533" s="145"/>
      <c r="W533" s="145"/>
      <c r="X533" s="145"/>
      <c r="Y533" s="145"/>
      <c r="Z533" s="145"/>
    </row>
    <row r="534" spans="1:26"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201"/>
      <c r="U534" s="145"/>
      <c r="V534" s="145"/>
      <c r="W534" s="145"/>
      <c r="X534" s="145"/>
      <c r="Y534" s="145"/>
      <c r="Z534" s="145"/>
    </row>
    <row r="535" spans="1:26"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201"/>
      <c r="U535" s="145"/>
      <c r="V535" s="145"/>
      <c r="W535" s="145"/>
      <c r="X535" s="145"/>
      <c r="Y535" s="145"/>
      <c r="Z535" s="145"/>
    </row>
    <row r="536" spans="1:26"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201"/>
      <c r="U536" s="145"/>
      <c r="V536" s="145"/>
      <c r="W536" s="145"/>
      <c r="X536" s="145"/>
      <c r="Y536" s="145"/>
      <c r="Z536" s="145"/>
    </row>
    <row r="537" spans="1:26"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201"/>
      <c r="U537" s="145"/>
      <c r="V537" s="145"/>
      <c r="W537" s="145"/>
      <c r="X537" s="145"/>
      <c r="Y537" s="145"/>
      <c r="Z537" s="145"/>
    </row>
    <row r="538" spans="1:26"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201"/>
      <c r="U538" s="145"/>
      <c r="V538" s="145"/>
      <c r="W538" s="145"/>
      <c r="X538" s="145"/>
      <c r="Y538" s="145"/>
      <c r="Z538" s="145"/>
    </row>
    <row r="539" spans="1:26"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201"/>
      <c r="U539" s="145"/>
      <c r="V539" s="145"/>
      <c r="W539" s="145"/>
      <c r="X539" s="145"/>
      <c r="Y539" s="145"/>
      <c r="Z539" s="145"/>
    </row>
    <row r="540" spans="1:26"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201"/>
      <c r="U540" s="145"/>
      <c r="V540" s="145"/>
      <c r="W540" s="145"/>
      <c r="X540" s="145"/>
      <c r="Y540" s="145"/>
      <c r="Z540" s="145"/>
    </row>
    <row r="541" spans="1:26"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201"/>
      <c r="U541" s="145"/>
      <c r="V541" s="145"/>
      <c r="W541" s="145"/>
      <c r="X541" s="145"/>
      <c r="Y541" s="145"/>
      <c r="Z541" s="145"/>
    </row>
    <row r="542" spans="1:26"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201"/>
      <c r="U542" s="145"/>
      <c r="V542" s="145"/>
      <c r="W542" s="145"/>
      <c r="X542" s="145"/>
      <c r="Y542" s="145"/>
      <c r="Z542" s="145"/>
    </row>
    <row r="543" spans="1:26"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201"/>
      <c r="U543" s="145"/>
      <c r="V543" s="145"/>
      <c r="W543" s="145"/>
      <c r="X543" s="145"/>
      <c r="Y543" s="145"/>
      <c r="Z543" s="145"/>
    </row>
    <row r="544" spans="1:26"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201"/>
      <c r="U544" s="145"/>
      <c r="V544" s="145"/>
      <c r="W544" s="145"/>
      <c r="X544" s="145"/>
      <c r="Y544" s="145"/>
      <c r="Z544" s="145"/>
    </row>
    <row r="545" spans="1:26"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201"/>
      <c r="U545" s="145"/>
      <c r="V545" s="145"/>
      <c r="W545" s="145"/>
      <c r="X545" s="145"/>
      <c r="Y545" s="145"/>
      <c r="Z545" s="145"/>
    </row>
    <row r="546" spans="1:26"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201"/>
      <c r="U546" s="145"/>
      <c r="V546" s="145"/>
      <c r="W546" s="145"/>
      <c r="X546" s="145"/>
      <c r="Y546" s="145"/>
      <c r="Z546" s="145"/>
    </row>
    <row r="547" spans="1:26"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201"/>
      <c r="U547" s="145"/>
      <c r="V547" s="145"/>
      <c r="W547" s="145"/>
      <c r="X547" s="145"/>
      <c r="Y547" s="145"/>
      <c r="Z547" s="145"/>
    </row>
    <row r="548" spans="1:26"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201"/>
      <c r="U548" s="145"/>
      <c r="V548" s="145"/>
      <c r="W548" s="145"/>
      <c r="X548" s="145"/>
      <c r="Y548" s="145"/>
      <c r="Z548" s="145"/>
    </row>
    <row r="549" spans="1:26"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201"/>
      <c r="U549" s="145"/>
      <c r="V549" s="145"/>
      <c r="W549" s="145"/>
      <c r="X549" s="145"/>
      <c r="Y549" s="145"/>
      <c r="Z549" s="145"/>
    </row>
    <row r="550" spans="1:26"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201"/>
      <c r="U550" s="145"/>
      <c r="V550" s="145"/>
      <c r="W550" s="145"/>
      <c r="X550" s="145"/>
      <c r="Y550" s="145"/>
      <c r="Z550" s="145"/>
    </row>
    <row r="551" spans="1:26"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201"/>
      <c r="U551" s="145"/>
      <c r="V551" s="145"/>
      <c r="W551" s="145"/>
      <c r="X551" s="145"/>
      <c r="Y551" s="145"/>
      <c r="Z551" s="145"/>
    </row>
    <row r="552" spans="1:26"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201"/>
      <c r="U552" s="145"/>
      <c r="V552" s="145"/>
      <c r="W552" s="145"/>
      <c r="X552" s="145"/>
      <c r="Y552" s="145"/>
      <c r="Z552" s="145"/>
    </row>
    <row r="553" spans="1:26"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201"/>
      <c r="U553" s="145"/>
      <c r="V553" s="145"/>
      <c r="W553" s="145"/>
      <c r="X553" s="145"/>
      <c r="Y553" s="145"/>
      <c r="Z553" s="145"/>
    </row>
    <row r="554" spans="1:26"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201"/>
      <c r="U554" s="145"/>
      <c r="V554" s="145"/>
      <c r="W554" s="145"/>
      <c r="X554" s="145"/>
      <c r="Y554" s="145"/>
      <c r="Z554" s="145"/>
    </row>
    <row r="555" spans="1:26"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201"/>
      <c r="U555" s="145"/>
      <c r="V555" s="145"/>
      <c r="W555" s="145"/>
      <c r="X555" s="145"/>
      <c r="Y555" s="145"/>
      <c r="Z555" s="145"/>
    </row>
    <row r="556" spans="1:26"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201"/>
      <c r="U556" s="145"/>
      <c r="V556" s="145"/>
      <c r="W556" s="145"/>
      <c r="X556" s="145"/>
      <c r="Y556" s="145"/>
      <c r="Z556" s="145"/>
    </row>
    <row r="557" spans="1:26"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201"/>
      <c r="U557" s="145"/>
      <c r="V557" s="145"/>
      <c r="W557" s="145"/>
      <c r="X557" s="145"/>
      <c r="Y557" s="145"/>
      <c r="Z557" s="145"/>
    </row>
    <row r="558" spans="1:26"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201"/>
      <c r="U558" s="145"/>
      <c r="V558" s="145"/>
      <c r="W558" s="145"/>
      <c r="X558" s="145"/>
      <c r="Y558" s="145"/>
      <c r="Z558" s="145"/>
    </row>
    <row r="559" spans="1:26"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201"/>
      <c r="U559" s="145"/>
      <c r="V559" s="145"/>
      <c r="W559" s="145"/>
      <c r="X559" s="145"/>
      <c r="Y559" s="145"/>
      <c r="Z559" s="145"/>
    </row>
    <row r="560" spans="1:26"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201"/>
      <c r="U560" s="145"/>
      <c r="V560" s="145"/>
      <c r="W560" s="145"/>
      <c r="X560" s="145"/>
      <c r="Y560" s="145"/>
      <c r="Z560" s="145"/>
    </row>
    <row r="561" spans="1:26"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201"/>
      <c r="U561" s="145"/>
      <c r="V561" s="145"/>
      <c r="W561" s="145"/>
      <c r="X561" s="145"/>
      <c r="Y561" s="145"/>
      <c r="Z561" s="145"/>
    </row>
    <row r="562" spans="1:26"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201"/>
      <c r="U562" s="145"/>
      <c r="V562" s="145"/>
      <c r="W562" s="145"/>
      <c r="X562" s="145"/>
      <c r="Y562" s="145"/>
      <c r="Z562" s="145"/>
    </row>
    <row r="563" spans="1:26"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201"/>
      <c r="U563" s="145"/>
      <c r="V563" s="145"/>
      <c r="W563" s="145"/>
      <c r="X563" s="145"/>
      <c r="Y563" s="145"/>
      <c r="Z563" s="145"/>
    </row>
    <row r="564" spans="1:26"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201"/>
      <c r="U564" s="145"/>
      <c r="V564" s="145"/>
      <c r="W564" s="145"/>
      <c r="X564" s="145"/>
      <c r="Y564" s="145"/>
      <c r="Z564" s="145"/>
    </row>
    <row r="565" spans="1:26"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201"/>
      <c r="U565" s="145"/>
      <c r="V565" s="145"/>
      <c r="W565" s="145"/>
      <c r="X565" s="145"/>
      <c r="Y565" s="145"/>
      <c r="Z565" s="145"/>
    </row>
    <row r="566" spans="1:26"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201"/>
      <c r="U566" s="145"/>
      <c r="V566" s="145"/>
      <c r="W566" s="145"/>
      <c r="X566" s="145"/>
      <c r="Y566" s="145"/>
      <c r="Z566" s="145"/>
    </row>
    <row r="567" spans="1:26"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201"/>
      <c r="U567" s="145"/>
      <c r="V567" s="145"/>
      <c r="W567" s="145"/>
      <c r="X567" s="145"/>
      <c r="Y567" s="145"/>
      <c r="Z567" s="145"/>
    </row>
    <row r="568" spans="1:26"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201"/>
      <c r="U568" s="145"/>
      <c r="V568" s="145"/>
      <c r="W568" s="145"/>
      <c r="X568" s="145"/>
      <c r="Y568" s="145"/>
      <c r="Z568" s="145"/>
    </row>
    <row r="569" spans="1:26"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201"/>
      <c r="U569" s="145"/>
      <c r="V569" s="145"/>
      <c r="W569" s="145"/>
      <c r="X569" s="145"/>
      <c r="Y569" s="145"/>
      <c r="Z569" s="145"/>
    </row>
    <row r="570" spans="1:26"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201"/>
      <c r="U570" s="145"/>
      <c r="V570" s="145"/>
      <c r="W570" s="145"/>
      <c r="X570" s="145"/>
      <c r="Y570" s="145"/>
      <c r="Z570" s="145"/>
    </row>
    <row r="571" spans="1:26"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201"/>
      <c r="U571" s="145"/>
      <c r="V571" s="145"/>
      <c r="W571" s="145"/>
      <c r="X571" s="145"/>
      <c r="Y571" s="145"/>
      <c r="Z571" s="145"/>
    </row>
    <row r="572" spans="1:26"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201"/>
      <c r="U572" s="145"/>
      <c r="V572" s="145"/>
      <c r="W572" s="145"/>
      <c r="X572" s="145"/>
      <c r="Y572" s="145"/>
      <c r="Z572" s="145"/>
    </row>
    <row r="573" spans="1:26"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201"/>
      <c r="U573" s="145"/>
      <c r="V573" s="145"/>
      <c r="W573" s="145"/>
      <c r="X573" s="145"/>
      <c r="Y573" s="145"/>
      <c r="Z573" s="145"/>
    </row>
    <row r="574" spans="1:26"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201"/>
      <c r="U574" s="145"/>
      <c r="V574" s="145"/>
      <c r="W574" s="145"/>
      <c r="X574" s="145"/>
      <c r="Y574" s="145"/>
      <c r="Z574" s="145"/>
    </row>
    <row r="575" spans="1:26"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201"/>
      <c r="U575" s="145"/>
      <c r="V575" s="145"/>
      <c r="W575" s="145"/>
      <c r="X575" s="145"/>
      <c r="Y575" s="145"/>
      <c r="Z575" s="145"/>
    </row>
    <row r="576" spans="1:26"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201"/>
      <c r="U576" s="145"/>
      <c r="V576" s="145"/>
      <c r="W576" s="145"/>
      <c r="X576" s="145"/>
      <c r="Y576" s="145"/>
      <c r="Z576" s="145"/>
    </row>
    <row r="577" spans="1:26"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201"/>
      <c r="U577" s="145"/>
      <c r="V577" s="145"/>
      <c r="W577" s="145"/>
      <c r="X577" s="145"/>
      <c r="Y577" s="145"/>
      <c r="Z577" s="145"/>
    </row>
    <row r="578" spans="1:26"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201"/>
      <c r="U578" s="145"/>
      <c r="V578" s="145"/>
      <c r="W578" s="145"/>
      <c r="X578" s="145"/>
      <c r="Y578" s="145"/>
      <c r="Z578" s="145"/>
    </row>
    <row r="579" spans="1:26"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201"/>
      <c r="U579" s="145"/>
      <c r="V579" s="145"/>
      <c r="W579" s="145"/>
      <c r="X579" s="145"/>
      <c r="Y579" s="145"/>
      <c r="Z579" s="145"/>
    </row>
    <row r="580" spans="1:26"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201"/>
      <c r="U580" s="145"/>
      <c r="V580" s="145"/>
      <c r="W580" s="145"/>
      <c r="X580" s="145"/>
      <c r="Y580" s="145"/>
      <c r="Z580" s="145"/>
    </row>
    <row r="581" spans="1:26"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201"/>
      <c r="U581" s="145"/>
      <c r="V581" s="145"/>
      <c r="W581" s="145"/>
      <c r="X581" s="145"/>
      <c r="Y581" s="145"/>
      <c r="Z581" s="145"/>
    </row>
    <row r="582" spans="1:26"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201"/>
      <c r="U582" s="145"/>
      <c r="V582" s="145"/>
      <c r="W582" s="145"/>
      <c r="X582" s="145"/>
      <c r="Y582" s="145"/>
      <c r="Z582" s="145"/>
    </row>
    <row r="583" spans="1:26"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201"/>
      <c r="U583" s="145"/>
      <c r="V583" s="145"/>
      <c r="W583" s="145"/>
      <c r="X583" s="145"/>
      <c r="Y583" s="145"/>
      <c r="Z583" s="145"/>
    </row>
    <row r="584" spans="1:26"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201"/>
      <c r="U584" s="145"/>
      <c r="V584" s="145"/>
      <c r="W584" s="145"/>
      <c r="X584" s="145"/>
      <c r="Y584" s="145"/>
      <c r="Z584" s="145"/>
    </row>
    <row r="585" spans="1:26"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201"/>
      <c r="U585" s="145"/>
      <c r="V585" s="145"/>
      <c r="W585" s="145"/>
      <c r="X585" s="145"/>
      <c r="Y585" s="145"/>
      <c r="Z585" s="145"/>
    </row>
    <row r="586" spans="1:26"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201"/>
      <c r="U586" s="145"/>
      <c r="V586" s="145"/>
      <c r="W586" s="145"/>
      <c r="X586" s="145"/>
      <c r="Y586" s="145"/>
      <c r="Z586" s="145"/>
    </row>
    <row r="587" spans="1:26"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201"/>
      <c r="U587" s="145"/>
      <c r="V587" s="145"/>
      <c r="W587" s="145"/>
      <c r="X587" s="145"/>
      <c r="Y587" s="145"/>
      <c r="Z587" s="145"/>
    </row>
    <row r="588" spans="1:26"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201"/>
      <c r="U588" s="145"/>
      <c r="V588" s="145"/>
      <c r="W588" s="145"/>
      <c r="X588" s="145"/>
      <c r="Y588" s="145"/>
      <c r="Z588" s="145"/>
    </row>
    <row r="589" spans="1:26"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201"/>
      <c r="U589" s="145"/>
      <c r="V589" s="145"/>
      <c r="W589" s="145"/>
      <c r="X589" s="145"/>
      <c r="Y589" s="145"/>
      <c r="Z589" s="145"/>
    </row>
    <row r="590" spans="1:26"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201"/>
      <c r="U590" s="145"/>
      <c r="V590" s="145"/>
      <c r="W590" s="145"/>
      <c r="X590" s="145"/>
      <c r="Y590" s="145"/>
      <c r="Z590" s="145"/>
    </row>
    <row r="591" spans="1:26"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201"/>
      <c r="U591" s="145"/>
      <c r="V591" s="145"/>
      <c r="W591" s="145"/>
      <c r="X591" s="145"/>
      <c r="Y591" s="145"/>
      <c r="Z591" s="145"/>
    </row>
    <row r="592" spans="1:26"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201"/>
      <c r="U592" s="145"/>
      <c r="V592" s="145"/>
      <c r="W592" s="145"/>
      <c r="X592" s="145"/>
      <c r="Y592" s="145"/>
      <c r="Z592" s="145"/>
    </row>
    <row r="593" spans="1:26"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201"/>
      <c r="U593" s="145"/>
      <c r="V593" s="145"/>
      <c r="W593" s="145"/>
      <c r="X593" s="145"/>
      <c r="Y593" s="145"/>
      <c r="Z593" s="145"/>
    </row>
    <row r="594" spans="1:26"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201"/>
      <c r="U594" s="145"/>
      <c r="V594" s="145"/>
      <c r="W594" s="145"/>
      <c r="X594" s="145"/>
      <c r="Y594" s="145"/>
      <c r="Z594" s="145"/>
    </row>
    <row r="595" spans="1:26"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201"/>
      <c r="U595" s="145"/>
      <c r="V595" s="145"/>
      <c r="W595" s="145"/>
      <c r="X595" s="145"/>
      <c r="Y595" s="145"/>
      <c r="Z595" s="145"/>
    </row>
    <row r="596" spans="1:26"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201"/>
      <c r="U596" s="145"/>
      <c r="V596" s="145"/>
      <c r="W596" s="145"/>
      <c r="X596" s="145"/>
      <c r="Y596" s="145"/>
      <c r="Z596" s="145"/>
    </row>
    <row r="597" spans="1:26"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201"/>
      <c r="U597" s="145"/>
      <c r="V597" s="145"/>
      <c r="W597" s="145"/>
      <c r="X597" s="145"/>
      <c r="Y597" s="145"/>
      <c r="Z597" s="145"/>
    </row>
    <row r="598" spans="1:26"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201"/>
      <c r="U598" s="145"/>
      <c r="V598" s="145"/>
      <c r="W598" s="145"/>
      <c r="X598" s="145"/>
      <c r="Y598" s="145"/>
      <c r="Z598" s="145"/>
    </row>
    <row r="599" spans="1:26"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201"/>
      <c r="U599" s="145"/>
      <c r="V599" s="145"/>
      <c r="W599" s="145"/>
      <c r="X599" s="145"/>
      <c r="Y599" s="145"/>
      <c r="Z599" s="145"/>
    </row>
    <row r="600" spans="1:26"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201"/>
      <c r="U600" s="145"/>
      <c r="V600" s="145"/>
      <c r="W600" s="145"/>
      <c r="X600" s="145"/>
      <c r="Y600" s="145"/>
      <c r="Z600" s="145"/>
    </row>
    <row r="601" spans="1:26"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201"/>
      <c r="U601" s="145"/>
      <c r="V601" s="145"/>
      <c r="W601" s="145"/>
      <c r="X601" s="145"/>
      <c r="Y601" s="145"/>
      <c r="Z601" s="145"/>
    </row>
    <row r="602" spans="1:26"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201"/>
      <c r="U602" s="145"/>
      <c r="V602" s="145"/>
      <c r="W602" s="145"/>
      <c r="X602" s="145"/>
      <c r="Y602" s="145"/>
      <c r="Z602" s="145"/>
    </row>
    <row r="603" spans="1:26"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201"/>
      <c r="U603" s="145"/>
      <c r="V603" s="145"/>
      <c r="W603" s="145"/>
      <c r="X603" s="145"/>
      <c r="Y603" s="145"/>
      <c r="Z603" s="145"/>
    </row>
    <row r="604" spans="1:26"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201"/>
      <c r="U604" s="145"/>
      <c r="V604" s="145"/>
      <c r="W604" s="145"/>
      <c r="X604" s="145"/>
      <c r="Y604" s="145"/>
      <c r="Z604" s="145"/>
    </row>
    <row r="605" spans="1:26"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201"/>
      <c r="U605" s="145"/>
      <c r="V605" s="145"/>
      <c r="W605" s="145"/>
      <c r="X605" s="145"/>
      <c r="Y605" s="145"/>
      <c r="Z605" s="145"/>
    </row>
    <row r="606" spans="1:26"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201"/>
      <c r="U606" s="145"/>
      <c r="V606" s="145"/>
      <c r="W606" s="145"/>
      <c r="X606" s="145"/>
      <c r="Y606" s="145"/>
      <c r="Z606" s="145"/>
    </row>
    <row r="607" spans="1:26"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201"/>
      <c r="U607" s="145"/>
      <c r="V607" s="145"/>
      <c r="W607" s="145"/>
      <c r="X607" s="145"/>
      <c r="Y607" s="145"/>
      <c r="Z607" s="145"/>
    </row>
    <row r="608" spans="1:26"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201"/>
      <c r="U608" s="145"/>
      <c r="V608" s="145"/>
      <c r="W608" s="145"/>
      <c r="X608" s="145"/>
      <c r="Y608" s="145"/>
      <c r="Z608" s="145"/>
    </row>
    <row r="609" spans="1:26"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201"/>
      <c r="U609" s="145"/>
      <c r="V609" s="145"/>
      <c r="W609" s="145"/>
      <c r="X609" s="145"/>
      <c r="Y609" s="145"/>
      <c r="Z609" s="145"/>
    </row>
    <row r="610" spans="1:26"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201"/>
      <c r="U610" s="145"/>
      <c r="V610" s="145"/>
      <c r="W610" s="145"/>
      <c r="X610" s="145"/>
      <c r="Y610" s="145"/>
      <c r="Z610" s="145"/>
    </row>
    <row r="611" spans="1:26"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201"/>
      <c r="U611" s="145"/>
      <c r="V611" s="145"/>
      <c r="W611" s="145"/>
      <c r="X611" s="145"/>
      <c r="Y611" s="145"/>
      <c r="Z611" s="145"/>
    </row>
    <row r="612" spans="1:26"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201"/>
      <c r="U612" s="145"/>
      <c r="V612" s="145"/>
      <c r="W612" s="145"/>
      <c r="X612" s="145"/>
      <c r="Y612" s="145"/>
      <c r="Z612" s="145"/>
    </row>
    <row r="613" spans="1:26"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201"/>
      <c r="U613" s="145"/>
      <c r="V613" s="145"/>
      <c r="W613" s="145"/>
      <c r="X613" s="145"/>
      <c r="Y613" s="145"/>
      <c r="Z613" s="145"/>
    </row>
    <row r="614" spans="1:26"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201"/>
      <c r="U614" s="145"/>
      <c r="V614" s="145"/>
      <c r="W614" s="145"/>
      <c r="X614" s="145"/>
      <c r="Y614" s="145"/>
      <c r="Z614" s="145"/>
    </row>
    <row r="615" spans="1:26"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201"/>
      <c r="U615" s="145"/>
      <c r="V615" s="145"/>
      <c r="W615" s="145"/>
      <c r="X615" s="145"/>
      <c r="Y615" s="145"/>
      <c r="Z615" s="145"/>
    </row>
    <row r="616" spans="1:26"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201"/>
      <c r="U616" s="145"/>
      <c r="V616" s="145"/>
      <c r="W616" s="145"/>
      <c r="X616" s="145"/>
      <c r="Y616" s="145"/>
      <c r="Z616" s="145"/>
    </row>
    <row r="617" spans="1:26"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201"/>
      <c r="U617" s="145"/>
      <c r="V617" s="145"/>
      <c r="W617" s="145"/>
      <c r="X617" s="145"/>
      <c r="Y617" s="145"/>
      <c r="Z617" s="145"/>
    </row>
    <row r="618" spans="1:26"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201"/>
      <c r="U618" s="145"/>
      <c r="V618" s="145"/>
      <c r="W618" s="145"/>
      <c r="X618" s="145"/>
      <c r="Y618" s="145"/>
      <c r="Z618" s="145"/>
    </row>
    <row r="619" spans="1:26"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201"/>
      <c r="U619" s="145"/>
      <c r="V619" s="145"/>
      <c r="W619" s="145"/>
      <c r="X619" s="145"/>
      <c r="Y619" s="145"/>
      <c r="Z619" s="145"/>
    </row>
    <row r="620" spans="1:26"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201"/>
      <c r="U620" s="145"/>
      <c r="V620" s="145"/>
      <c r="W620" s="145"/>
      <c r="X620" s="145"/>
      <c r="Y620" s="145"/>
      <c r="Z620" s="145"/>
    </row>
    <row r="621" spans="1:26"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201"/>
      <c r="U621" s="145"/>
      <c r="V621" s="145"/>
      <c r="W621" s="145"/>
      <c r="X621" s="145"/>
      <c r="Y621" s="145"/>
      <c r="Z621" s="145"/>
    </row>
    <row r="622" spans="1:26"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201"/>
      <c r="U622" s="145"/>
      <c r="V622" s="145"/>
      <c r="W622" s="145"/>
      <c r="X622" s="145"/>
      <c r="Y622" s="145"/>
      <c r="Z622" s="145"/>
    </row>
    <row r="623" spans="1:26"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201"/>
      <c r="U623" s="145"/>
      <c r="V623" s="145"/>
      <c r="W623" s="145"/>
      <c r="X623" s="145"/>
      <c r="Y623" s="145"/>
      <c r="Z623" s="145"/>
    </row>
    <row r="624" spans="1:26"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201"/>
      <c r="U624" s="145"/>
      <c r="V624" s="145"/>
      <c r="W624" s="145"/>
      <c r="X624" s="145"/>
      <c r="Y624" s="145"/>
      <c r="Z624" s="145"/>
    </row>
    <row r="625" spans="1:26"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201"/>
      <c r="U625" s="145"/>
      <c r="V625" s="145"/>
      <c r="W625" s="145"/>
      <c r="X625" s="145"/>
      <c r="Y625" s="145"/>
      <c r="Z625" s="145"/>
    </row>
    <row r="626" spans="1:26"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201"/>
      <c r="U626" s="145"/>
      <c r="V626" s="145"/>
      <c r="W626" s="145"/>
      <c r="X626" s="145"/>
      <c r="Y626" s="145"/>
      <c r="Z626" s="145"/>
    </row>
    <row r="627" spans="1:26"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201"/>
      <c r="U627" s="145"/>
      <c r="V627" s="145"/>
      <c r="W627" s="145"/>
      <c r="X627" s="145"/>
      <c r="Y627" s="145"/>
      <c r="Z627" s="145"/>
    </row>
    <row r="628" spans="1:26"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201"/>
      <c r="U628" s="145"/>
      <c r="V628" s="145"/>
      <c r="W628" s="145"/>
      <c r="X628" s="145"/>
      <c r="Y628" s="145"/>
      <c r="Z628" s="145"/>
    </row>
    <row r="629" spans="1:26"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201"/>
      <c r="U629" s="145"/>
      <c r="V629" s="145"/>
      <c r="W629" s="145"/>
      <c r="X629" s="145"/>
      <c r="Y629" s="145"/>
      <c r="Z629" s="145"/>
    </row>
    <row r="630" spans="1:26"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201"/>
      <c r="U630" s="145"/>
      <c r="V630" s="145"/>
      <c r="W630" s="145"/>
      <c r="X630" s="145"/>
      <c r="Y630" s="145"/>
      <c r="Z630" s="145"/>
    </row>
    <row r="631" spans="1:26"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201"/>
      <c r="U631" s="145"/>
      <c r="V631" s="145"/>
      <c r="W631" s="145"/>
      <c r="X631" s="145"/>
      <c r="Y631" s="145"/>
      <c r="Z631" s="145"/>
    </row>
    <row r="632" spans="1:26"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201"/>
      <c r="U632" s="145"/>
      <c r="V632" s="145"/>
      <c r="W632" s="145"/>
      <c r="X632" s="145"/>
      <c r="Y632" s="145"/>
      <c r="Z632" s="145"/>
    </row>
    <row r="633" spans="1:26"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201"/>
      <c r="U633" s="145"/>
      <c r="V633" s="145"/>
      <c r="W633" s="145"/>
      <c r="X633" s="145"/>
      <c r="Y633" s="145"/>
      <c r="Z633" s="145"/>
    </row>
    <row r="634" spans="1:26"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201"/>
      <c r="U634" s="145"/>
      <c r="V634" s="145"/>
      <c r="W634" s="145"/>
      <c r="X634" s="145"/>
      <c r="Y634" s="145"/>
      <c r="Z634" s="145"/>
    </row>
    <row r="635" spans="1:26"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201"/>
      <c r="U635" s="145"/>
      <c r="V635" s="145"/>
      <c r="W635" s="145"/>
      <c r="X635" s="145"/>
      <c r="Y635" s="145"/>
      <c r="Z635" s="145"/>
    </row>
    <row r="636" spans="1:26"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201"/>
      <c r="U636" s="145"/>
      <c r="V636" s="145"/>
      <c r="W636" s="145"/>
      <c r="X636" s="145"/>
      <c r="Y636" s="145"/>
      <c r="Z636" s="145"/>
    </row>
    <row r="637" spans="1:26"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201"/>
      <c r="U637" s="145"/>
      <c r="V637" s="145"/>
      <c r="W637" s="145"/>
      <c r="X637" s="145"/>
      <c r="Y637" s="145"/>
      <c r="Z637" s="145"/>
    </row>
    <row r="638" spans="1:26"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201"/>
      <c r="U638" s="145"/>
      <c r="V638" s="145"/>
      <c r="W638" s="145"/>
      <c r="X638" s="145"/>
      <c r="Y638" s="145"/>
      <c r="Z638" s="145"/>
    </row>
    <row r="639" spans="1:26"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201"/>
      <c r="U639" s="145"/>
      <c r="V639" s="145"/>
      <c r="W639" s="145"/>
      <c r="X639" s="145"/>
      <c r="Y639" s="145"/>
      <c r="Z639" s="145"/>
    </row>
    <row r="640" spans="1:26"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201"/>
      <c r="U640" s="145"/>
      <c r="V640" s="145"/>
      <c r="W640" s="145"/>
      <c r="X640" s="145"/>
      <c r="Y640" s="145"/>
      <c r="Z640" s="145"/>
    </row>
    <row r="641" spans="1:26"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201"/>
      <c r="U641" s="145"/>
      <c r="V641" s="145"/>
      <c r="W641" s="145"/>
      <c r="X641" s="145"/>
      <c r="Y641" s="145"/>
      <c r="Z641" s="145"/>
    </row>
    <row r="642" spans="1:26"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201"/>
      <c r="U642" s="145"/>
      <c r="V642" s="145"/>
      <c r="W642" s="145"/>
      <c r="X642" s="145"/>
      <c r="Y642" s="145"/>
      <c r="Z642" s="145"/>
    </row>
    <row r="643" spans="1:26"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201"/>
      <c r="U643" s="145"/>
      <c r="V643" s="145"/>
      <c r="W643" s="145"/>
      <c r="X643" s="145"/>
      <c r="Y643" s="145"/>
      <c r="Z643" s="145"/>
    </row>
    <row r="644" spans="1:26"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201"/>
      <c r="U644" s="145"/>
      <c r="V644" s="145"/>
      <c r="W644" s="145"/>
      <c r="X644" s="145"/>
      <c r="Y644" s="145"/>
      <c r="Z644" s="145"/>
    </row>
    <row r="645" spans="1:26"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201"/>
      <c r="U645" s="145"/>
      <c r="V645" s="145"/>
      <c r="W645" s="145"/>
      <c r="X645" s="145"/>
      <c r="Y645" s="145"/>
      <c r="Z645" s="145"/>
    </row>
    <row r="646" spans="1:26"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201"/>
      <c r="U646" s="145"/>
      <c r="V646" s="145"/>
      <c r="W646" s="145"/>
      <c r="X646" s="145"/>
      <c r="Y646" s="145"/>
      <c r="Z646" s="145"/>
    </row>
    <row r="647" spans="1:26"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201"/>
      <c r="U647" s="145"/>
      <c r="V647" s="145"/>
      <c r="W647" s="145"/>
      <c r="X647" s="145"/>
      <c r="Y647" s="145"/>
      <c r="Z647" s="145"/>
    </row>
    <row r="648" spans="1:26"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201"/>
      <c r="U648" s="145"/>
      <c r="V648" s="145"/>
      <c r="W648" s="145"/>
      <c r="X648" s="145"/>
      <c r="Y648" s="145"/>
      <c r="Z648" s="145"/>
    </row>
    <row r="649" spans="1:26"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201"/>
      <c r="U649" s="145"/>
      <c r="V649" s="145"/>
      <c r="W649" s="145"/>
      <c r="X649" s="145"/>
      <c r="Y649" s="145"/>
      <c r="Z649" s="145"/>
    </row>
    <row r="650" spans="1:26"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201"/>
      <c r="U650" s="145"/>
      <c r="V650" s="145"/>
      <c r="W650" s="145"/>
      <c r="X650" s="145"/>
      <c r="Y650" s="145"/>
      <c r="Z650" s="145"/>
    </row>
    <row r="651" spans="1:26"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201"/>
      <c r="U651" s="145"/>
      <c r="V651" s="145"/>
      <c r="W651" s="145"/>
      <c r="X651" s="145"/>
      <c r="Y651" s="145"/>
      <c r="Z651" s="145"/>
    </row>
    <row r="652" spans="1:26"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201"/>
      <c r="U652" s="145"/>
      <c r="V652" s="145"/>
      <c r="W652" s="145"/>
      <c r="X652" s="145"/>
      <c r="Y652" s="145"/>
      <c r="Z652" s="145"/>
    </row>
    <row r="653" spans="1:26"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201"/>
      <c r="U653" s="145"/>
      <c r="V653" s="145"/>
      <c r="W653" s="145"/>
      <c r="X653" s="145"/>
      <c r="Y653" s="145"/>
      <c r="Z653" s="145"/>
    </row>
    <row r="654" spans="1:26"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201"/>
      <c r="U654" s="145"/>
      <c r="V654" s="145"/>
      <c r="W654" s="145"/>
      <c r="X654" s="145"/>
      <c r="Y654" s="145"/>
      <c r="Z654" s="145"/>
    </row>
    <row r="655" spans="1:26"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201"/>
      <c r="U655" s="145"/>
      <c r="V655" s="145"/>
      <c r="W655" s="145"/>
      <c r="X655" s="145"/>
      <c r="Y655" s="145"/>
      <c r="Z655" s="145"/>
    </row>
    <row r="656" spans="1:26"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201"/>
      <c r="U656" s="145"/>
      <c r="V656" s="145"/>
      <c r="W656" s="145"/>
      <c r="X656" s="145"/>
      <c r="Y656" s="145"/>
      <c r="Z656" s="145"/>
    </row>
    <row r="657" spans="1:26"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201"/>
      <c r="U657" s="145"/>
      <c r="V657" s="145"/>
      <c r="W657" s="145"/>
      <c r="X657" s="145"/>
      <c r="Y657" s="145"/>
      <c r="Z657" s="145"/>
    </row>
    <row r="658" spans="1:26"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201"/>
      <c r="U658" s="145"/>
      <c r="V658" s="145"/>
      <c r="W658" s="145"/>
      <c r="X658" s="145"/>
      <c r="Y658" s="145"/>
      <c r="Z658" s="145"/>
    </row>
    <row r="659" spans="1:26"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201"/>
      <c r="U659" s="145"/>
      <c r="V659" s="145"/>
      <c r="W659" s="145"/>
      <c r="X659" s="145"/>
      <c r="Y659" s="145"/>
      <c r="Z659" s="145"/>
    </row>
    <row r="660" spans="1:26"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201"/>
      <c r="U660" s="145"/>
      <c r="V660" s="145"/>
      <c r="W660" s="145"/>
      <c r="X660" s="145"/>
      <c r="Y660" s="145"/>
      <c r="Z660" s="145"/>
    </row>
    <row r="661" spans="1:26"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201"/>
      <c r="U661" s="145"/>
      <c r="V661" s="145"/>
      <c r="W661" s="145"/>
      <c r="X661" s="145"/>
      <c r="Y661" s="145"/>
      <c r="Z661" s="145"/>
    </row>
    <row r="662" spans="1:26"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201"/>
      <c r="U662" s="145"/>
      <c r="V662" s="145"/>
      <c r="W662" s="145"/>
      <c r="X662" s="145"/>
      <c r="Y662" s="145"/>
      <c r="Z662" s="145"/>
    </row>
    <row r="663" spans="1:26"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201"/>
      <c r="U663" s="145"/>
      <c r="V663" s="145"/>
      <c r="W663" s="145"/>
      <c r="X663" s="145"/>
      <c r="Y663" s="145"/>
      <c r="Z663" s="145"/>
    </row>
    <row r="664" spans="1:26"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201"/>
      <c r="U664" s="145"/>
      <c r="V664" s="145"/>
      <c r="W664" s="145"/>
      <c r="X664" s="145"/>
      <c r="Y664" s="145"/>
      <c r="Z664" s="145"/>
    </row>
    <row r="665" spans="1:26"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201"/>
      <c r="U665" s="145"/>
      <c r="V665" s="145"/>
      <c r="W665" s="145"/>
      <c r="X665" s="145"/>
      <c r="Y665" s="145"/>
      <c r="Z665" s="145"/>
    </row>
    <row r="666" spans="1:26"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201"/>
      <c r="U666" s="145"/>
      <c r="V666" s="145"/>
      <c r="W666" s="145"/>
      <c r="X666" s="145"/>
      <c r="Y666" s="145"/>
      <c r="Z666" s="145"/>
    </row>
    <row r="667" spans="1:26"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201"/>
      <c r="U667" s="145"/>
      <c r="V667" s="145"/>
      <c r="W667" s="145"/>
      <c r="X667" s="145"/>
      <c r="Y667" s="145"/>
      <c r="Z667" s="145"/>
    </row>
    <row r="668" spans="1:26"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201"/>
      <c r="U668" s="145"/>
      <c r="V668" s="145"/>
      <c r="W668" s="145"/>
      <c r="X668" s="145"/>
      <c r="Y668" s="145"/>
      <c r="Z668" s="145"/>
    </row>
    <row r="669" spans="1:26"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201"/>
      <c r="U669" s="145"/>
      <c r="V669" s="145"/>
      <c r="W669" s="145"/>
      <c r="X669" s="145"/>
      <c r="Y669" s="145"/>
      <c r="Z669" s="145"/>
    </row>
    <row r="670" spans="1:26"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201"/>
      <c r="U670" s="145"/>
      <c r="V670" s="145"/>
      <c r="W670" s="145"/>
      <c r="X670" s="145"/>
      <c r="Y670" s="145"/>
      <c r="Z670" s="145"/>
    </row>
    <row r="671" spans="1:26"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201"/>
      <c r="U671" s="145"/>
      <c r="V671" s="145"/>
      <c r="W671" s="145"/>
      <c r="X671" s="145"/>
      <c r="Y671" s="145"/>
      <c r="Z671" s="145"/>
    </row>
    <row r="672" spans="1:26"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201"/>
      <c r="U672" s="145"/>
      <c r="V672" s="145"/>
      <c r="W672" s="145"/>
      <c r="X672" s="145"/>
      <c r="Y672" s="145"/>
      <c r="Z672" s="145"/>
    </row>
    <row r="673" spans="1:26"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201"/>
      <c r="U673" s="145"/>
      <c r="V673" s="145"/>
      <c r="W673" s="145"/>
      <c r="X673" s="145"/>
      <c r="Y673" s="145"/>
      <c r="Z673" s="145"/>
    </row>
    <row r="674" spans="1:26"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201"/>
      <c r="U674" s="145"/>
      <c r="V674" s="145"/>
      <c r="W674" s="145"/>
      <c r="X674" s="145"/>
      <c r="Y674" s="145"/>
      <c r="Z674" s="145"/>
    </row>
    <row r="675" spans="1:26"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201"/>
      <c r="U675" s="145"/>
      <c r="V675" s="145"/>
      <c r="W675" s="145"/>
      <c r="X675" s="145"/>
      <c r="Y675" s="145"/>
      <c r="Z675" s="145"/>
    </row>
    <row r="676" spans="1:26"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201"/>
      <c r="U676" s="145"/>
      <c r="V676" s="145"/>
      <c r="W676" s="145"/>
      <c r="X676" s="145"/>
      <c r="Y676" s="145"/>
      <c r="Z676" s="145"/>
    </row>
    <row r="677" spans="1:26"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201"/>
      <c r="U677" s="145"/>
      <c r="V677" s="145"/>
      <c r="W677" s="145"/>
      <c r="X677" s="145"/>
      <c r="Y677" s="145"/>
      <c r="Z677" s="145"/>
    </row>
    <row r="678" spans="1:26"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201"/>
      <c r="U678" s="145"/>
      <c r="V678" s="145"/>
      <c r="W678" s="145"/>
      <c r="X678" s="145"/>
      <c r="Y678" s="145"/>
      <c r="Z678" s="145"/>
    </row>
    <row r="679" spans="1:26"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201"/>
      <c r="U679" s="145"/>
      <c r="V679" s="145"/>
      <c r="W679" s="145"/>
      <c r="X679" s="145"/>
      <c r="Y679" s="145"/>
      <c r="Z679" s="145"/>
    </row>
    <row r="680" spans="1:26"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201"/>
      <c r="U680" s="145"/>
      <c r="V680" s="145"/>
      <c r="W680" s="145"/>
      <c r="X680" s="145"/>
      <c r="Y680" s="145"/>
      <c r="Z680" s="145"/>
    </row>
    <row r="681" spans="1:26"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201"/>
      <c r="U681" s="145"/>
      <c r="V681" s="145"/>
      <c r="W681" s="145"/>
      <c r="X681" s="145"/>
      <c r="Y681" s="145"/>
      <c r="Z681" s="145"/>
    </row>
    <row r="682" spans="1:26"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201"/>
      <c r="U682" s="145"/>
      <c r="V682" s="145"/>
      <c r="W682" s="145"/>
      <c r="X682" s="145"/>
      <c r="Y682" s="145"/>
      <c r="Z682" s="145"/>
    </row>
    <row r="683" spans="1:26"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201"/>
      <c r="U683" s="145"/>
      <c r="V683" s="145"/>
      <c r="W683" s="145"/>
      <c r="X683" s="145"/>
      <c r="Y683" s="145"/>
      <c r="Z683" s="145"/>
    </row>
    <row r="684" spans="1:26"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201"/>
      <c r="U684" s="145"/>
      <c r="V684" s="145"/>
      <c r="W684" s="145"/>
      <c r="X684" s="145"/>
      <c r="Y684" s="145"/>
      <c r="Z684" s="145"/>
    </row>
    <row r="685" spans="1:26"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201"/>
      <c r="U685" s="145"/>
      <c r="V685" s="145"/>
      <c r="W685" s="145"/>
      <c r="X685" s="145"/>
      <c r="Y685" s="145"/>
      <c r="Z685" s="145"/>
    </row>
    <row r="686" spans="1:26"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201"/>
      <c r="U686" s="145"/>
      <c r="V686" s="145"/>
      <c r="W686" s="145"/>
      <c r="X686" s="145"/>
      <c r="Y686" s="145"/>
      <c r="Z686" s="145"/>
    </row>
    <row r="687" spans="1:26"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201"/>
      <c r="U687" s="145"/>
      <c r="V687" s="145"/>
      <c r="W687" s="145"/>
      <c r="X687" s="145"/>
      <c r="Y687" s="145"/>
      <c r="Z687" s="145"/>
    </row>
    <row r="688" spans="1:26"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201"/>
      <c r="U688" s="145"/>
      <c r="V688" s="145"/>
      <c r="W688" s="145"/>
      <c r="X688" s="145"/>
      <c r="Y688" s="145"/>
      <c r="Z688" s="145"/>
    </row>
    <row r="689" spans="1:26"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201"/>
      <c r="U689" s="145"/>
      <c r="V689" s="145"/>
      <c r="W689" s="145"/>
      <c r="X689" s="145"/>
      <c r="Y689" s="145"/>
      <c r="Z689" s="145"/>
    </row>
    <row r="690" spans="1:26"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201"/>
      <c r="U690" s="145"/>
      <c r="V690" s="145"/>
      <c r="W690" s="145"/>
      <c r="X690" s="145"/>
      <c r="Y690" s="145"/>
      <c r="Z690" s="145"/>
    </row>
    <row r="691" spans="1:26"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201"/>
      <c r="U691" s="145"/>
      <c r="V691" s="145"/>
      <c r="W691" s="145"/>
      <c r="X691" s="145"/>
      <c r="Y691" s="145"/>
      <c r="Z691" s="145"/>
    </row>
    <row r="692" spans="1:26"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201"/>
      <c r="U692" s="145"/>
      <c r="V692" s="145"/>
      <c r="W692" s="145"/>
      <c r="X692" s="145"/>
      <c r="Y692" s="145"/>
      <c r="Z692" s="145"/>
    </row>
    <row r="693" spans="1:26"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201"/>
      <c r="U693" s="145"/>
      <c r="V693" s="145"/>
      <c r="W693" s="145"/>
      <c r="X693" s="145"/>
      <c r="Y693" s="145"/>
      <c r="Z693" s="145"/>
    </row>
    <row r="694" spans="1:26"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201"/>
      <c r="U694" s="145"/>
      <c r="V694" s="145"/>
      <c r="W694" s="145"/>
      <c r="X694" s="145"/>
      <c r="Y694" s="145"/>
      <c r="Z694" s="145"/>
    </row>
    <row r="695" spans="1:26"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201"/>
      <c r="U695" s="145"/>
      <c r="V695" s="145"/>
      <c r="W695" s="145"/>
      <c r="X695" s="145"/>
      <c r="Y695" s="145"/>
      <c r="Z695" s="145"/>
    </row>
    <row r="696" spans="1:26"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201"/>
      <c r="U696" s="145"/>
      <c r="V696" s="145"/>
      <c r="W696" s="145"/>
      <c r="X696" s="145"/>
      <c r="Y696" s="145"/>
      <c r="Z696" s="145"/>
    </row>
    <row r="697" spans="1:26"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201"/>
      <c r="U697" s="145"/>
      <c r="V697" s="145"/>
      <c r="W697" s="145"/>
      <c r="X697" s="145"/>
      <c r="Y697" s="145"/>
      <c r="Z697" s="145"/>
    </row>
    <row r="698" spans="1:26"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201"/>
      <c r="U698" s="145"/>
      <c r="V698" s="145"/>
      <c r="W698" s="145"/>
      <c r="X698" s="145"/>
      <c r="Y698" s="145"/>
      <c r="Z698" s="145"/>
    </row>
    <row r="699" spans="1:26"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201"/>
      <c r="U699" s="145"/>
      <c r="V699" s="145"/>
      <c r="W699" s="145"/>
      <c r="X699" s="145"/>
      <c r="Y699" s="145"/>
      <c r="Z699" s="145"/>
    </row>
    <row r="700" spans="1:26"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201"/>
      <c r="U700" s="145"/>
      <c r="V700" s="145"/>
      <c r="W700" s="145"/>
      <c r="X700" s="145"/>
      <c r="Y700" s="145"/>
      <c r="Z700" s="145"/>
    </row>
    <row r="701" spans="1:26"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201"/>
      <c r="U701" s="145"/>
      <c r="V701" s="145"/>
      <c r="W701" s="145"/>
      <c r="X701" s="145"/>
      <c r="Y701" s="145"/>
      <c r="Z701" s="145"/>
    </row>
    <row r="702" spans="1:26"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201"/>
      <c r="U702" s="145"/>
      <c r="V702" s="145"/>
      <c r="W702" s="145"/>
      <c r="X702" s="145"/>
      <c r="Y702" s="145"/>
      <c r="Z702" s="145"/>
    </row>
    <row r="703" spans="1:26"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201"/>
      <c r="U703" s="145"/>
      <c r="V703" s="145"/>
      <c r="W703" s="145"/>
      <c r="X703" s="145"/>
      <c r="Y703" s="145"/>
      <c r="Z703" s="145"/>
    </row>
    <row r="704" spans="1:26"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201"/>
      <c r="U704" s="145"/>
      <c r="V704" s="145"/>
      <c r="W704" s="145"/>
      <c r="X704" s="145"/>
      <c r="Y704" s="145"/>
      <c r="Z704" s="145"/>
    </row>
    <row r="705" spans="1:26"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201"/>
      <c r="U705" s="145"/>
      <c r="V705" s="145"/>
      <c r="W705" s="145"/>
      <c r="X705" s="145"/>
      <c r="Y705" s="145"/>
      <c r="Z705" s="145"/>
    </row>
    <row r="706" spans="1:26"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201"/>
      <c r="U706" s="145"/>
      <c r="V706" s="145"/>
      <c r="W706" s="145"/>
      <c r="X706" s="145"/>
      <c r="Y706" s="145"/>
      <c r="Z706" s="145"/>
    </row>
    <row r="707" spans="1:26"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201"/>
      <c r="U707" s="145"/>
      <c r="V707" s="145"/>
      <c r="W707" s="145"/>
      <c r="X707" s="145"/>
      <c r="Y707" s="145"/>
      <c r="Z707" s="145"/>
    </row>
    <row r="708" spans="1:26"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201"/>
      <c r="U708" s="145"/>
      <c r="V708" s="145"/>
      <c r="W708" s="145"/>
      <c r="X708" s="145"/>
      <c r="Y708" s="145"/>
      <c r="Z708" s="145"/>
    </row>
    <row r="709" spans="1:26"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201"/>
      <c r="U709" s="145"/>
      <c r="V709" s="145"/>
      <c r="W709" s="145"/>
      <c r="X709" s="145"/>
      <c r="Y709" s="145"/>
      <c r="Z709" s="145"/>
    </row>
    <row r="710" spans="1:26"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201"/>
      <c r="U710" s="145"/>
      <c r="V710" s="145"/>
      <c r="W710" s="145"/>
      <c r="X710" s="145"/>
      <c r="Y710" s="145"/>
      <c r="Z710" s="145"/>
    </row>
    <row r="711" spans="1:26"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201"/>
      <c r="U711" s="145"/>
      <c r="V711" s="145"/>
      <c r="W711" s="145"/>
      <c r="X711" s="145"/>
      <c r="Y711" s="145"/>
      <c r="Z711" s="145"/>
    </row>
    <row r="712" spans="1:26"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201"/>
      <c r="U712" s="145"/>
      <c r="V712" s="145"/>
      <c r="W712" s="145"/>
      <c r="X712" s="145"/>
      <c r="Y712" s="145"/>
      <c r="Z712" s="145"/>
    </row>
    <row r="713" spans="1:26"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201"/>
      <c r="U713" s="145"/>
      <c r="V713" s="145"/>
      <c r="W713" s="145"/>
      <c r="X713" s="145"/>
      <c r="Y713" s="145"/>
      <c r="Z713" s="145"/>
    </row>
    <row r="714" spans="1:26"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201"/>
      <c r="U714" s="145"/>
      <c r="V714" s="145"/>
      <c r="W714" s="145"/>
      <c r="X714" s="145"/>
      <c r="Y714" s="145"/>
      <c r="Z714" s="145"/>
    </row>
    <row r="715" spans="1:26"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201"/>
      <c r="U715" s="145"/>
      <c r="V715" s="145"/>
      <c r="W715" s="145"/>
      <c r="X715" s="145"/>
      <c r="Y715" s="145"/>
      <c r="Z715" s="145"/>
    </row>
    <row r="716" spans="1:26"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201"/>
      <c r="U716" s="145"/>
      <c r="V716" s="145"/>
      <c r="W716" s="145"/>
      <c r="X716" s="145"/>
      <c r="Y716" s="145"/>
      <c r="Z716" s="145"/>
    </row>
    <row r="717" spans="1:26"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201"/>
      <c r="U717" s="145"/>
      <c r="V717" s="145"/>
      <c r="W717" s="145"/>
      <c r="X717" s="145"/>
      <c r="Y717" s="145"/>
      <c r="Z717" s="145"/>
    </row>
    <row r="718" spans="1:26"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201"/>
      <c r="U718" s="145"/>
      <c r="V718" s="145"/>
      <c r="W718" s="145"/>
      <c r="X718" s="145"/>
      <c r="Y718" s="145"/>
      <c r="Z718" s="145"/>
    </row>
    <row r="719" spans="1:26"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201"/>
      <c r="U719" s="145"/>
      <c r="V719" s="145"/>
      <c r="W719" s="145"/>
      <c r="X719" s="145"/>
      <c r="Y719" s="145"/>
      <c r="Z719" s="145"/>
    </row>
    <row r="720" spans="1:26"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201"/>
      <c r="U720" s="145"/>
      <c r="V720" s="145"/>
      <c r="W720" s="145"/>
      <c r="X720" s="145"/>
      <c r="Y720" s="145"/>
      <c r="Z720" s="145"/>
    </row>
    <row r="721" spans="1:26"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201"/>
      <c r="U721" s="145"/>
      <c r="V721" s="145"/>
      <c r="W721" s="145"/>
      <c r="X721" s="145"/>
      <c r="Y721" s="145"/>
      <c r="Z721" s="145"/>
    </row>
    <row r="722" spans="1:26"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201"/>
      <c r="U722" s="145"/>
      <c r="V722" s="145"/>
      <c r="W722" s="145"/>
      <c r="X722" s="145"/>
      <c r="Y722" s="145"/>
      <c r="Z722" s="145"/>
    </row>
    <row r="723" spans="1:26"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201"/>
      <c r="U723" s="145"/>
      <c r="V723" s="145"/>
      <c r="W723" s="145"/>
      <c r="X723" s="145"/>
      <c r="Y723" s="145"/>
      <c r="Z723" s="145"/>
    </row>
    <row r="724" spans="1:26"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201"/>
      <c r="U724" s="145"/>
      <c r="V724" s="145"/>
      <c r="W724" s="145"/>
      <c r="X724" s="145"/>
      <c r="Y724" s="145"/>
      <c r="Z724" s="145"/>
    </row>
    <row r="725" spans="1:26"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201"/>
      <c r="U725" s="145"/>
      <c r="V725" s="145"/>
      <c r="W725" s="145"/>
      <c r="X725" s="145"/>
      <c r="Y725" s="145"/>
      <c r="Z725" s="145"/>
    </row>
    <row r="726" spans="1:26"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201"/>
      <c r="U726" s="145"/>
      <c r="V726" s="145"/>
      <c r="W726" s="145"/>
      <c r="X726" s="145"/>
      <c r="Y726" s="145"/>
      <c r="Z726" s="145"/>
    </row>
    <row r="727" spans="1:26"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201"/>
      <c r="U727" s="145"/>
      <c r="V727" s="145"/>
      <c r="W727" s="145"/>
      <c r="X727" s="145"/>
      <c r="Y727" s="145"/>
      <c r="Z727" s="145"/>
    </row>
    <row r="728" spans="1:26"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201"/>
      <c r="U728" s="145"/>
      <c r="V728" s="145"/>
      <c r="W728" s="145"/>
      <c r="X728" s="145"/>
      <c r="Y728" s="145"/>
      <c r="Z728" s="145"/>
    </row>
    <row r="729" spans="1:26"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201"/>
      <c r="U729" s="145"/>
      <c r="V729" s="145"/>
      <c r="W729" s="145"/>
      <c r="X729" s="145"/>
      <c r="Y729" s="145"/>
      <c r="Z729" s="145"/>
    </row>
    <row r="730" spans="1:26"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201"/>
      <c r="U730" s="145"/>
      <c r="V730" s="145"/>
      <c r="W730" s="145"/>
      <c r="X730" s="145"/>
      <c r="Y730" s="145"/>
      <c r="Z730" s="145"/>
    </row>
    <row r="731" spans="1:26"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201"/>
      <c r="U731" s="145"/>
      <c r="V731" s="145"/>
      <c r="W731" s="145"/>
      <c r="X731" s="145"/>
      <c r="Y731" s="145"/>
      <c r="Z731" s="145"/>
    </row>
    <row r="732" spans="1:26"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201"/>
      <c r="U732" s="145"/>
      <c r="V732" s="145"/>
      <c r="W732" s="145"/>
      <c r="X732" s="145"/>
      <c r="Y732" s="145"/>
      <c r="Z732" s="145"/>
    </row>
    <row r="733" spans="1:26"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201"/>
      <c r="U733" s="145"/>
      <c r="V733" s="145"/>
      <c r="W733" s="145"/>
      <c r="X733" s="145"/>
      <c r="Y733" s="145"/>
      <c r="Z733" s="145"/>
    </row>
    <row r="734" spans="1:26"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201"/>
      <c r="U734" s="145"/>
      <c r="V734" s="145"/>
      <c r="W734" s="145"/>
      <c r="X734" s="145"/>
      <c r="Y734" s="145"/>
      <c r="Z734" s="145"/>
    </row>
    <row r="735" spans="1:26"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201"/>
      <c r="U735" s="145"/>
      <c r="V735" s="145"/>
      <c r="W735" s="145"/>
      <c r="X735" s="145"/>
      <c r="Y735" s="145"/>
      <c r="Z735" s="145"/>
    </row>
    <row r="736" spans="1:26"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201"/>
      <c r="U736" s="145"/>
      <c r="V736" s="145"/>
      <c r="W736" s="145"/>
      <c r="X736" s="145"/>
      <c r="Y736" s="145"/>
      <c r="Z736" s="145"/>
    </row>
    <row r="737" spans="1:26"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201"/>
      <c r="U737" s="145"/>
      <c r="V737" s="145"/>
      <c r="W737" s="145"/>
      <c r="X737" s="145"/>
      <c r="Y737" s="145"/>
      <c r="Z737" s="145"/>
    </row>
    <row r="738" spans="1:26"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201"/>
      <c r="U738" s="145"/>
      <c r="V738" s="145"/>
      <c r="W738" s="145"/>
      <c r="X738" s="145"/>
      <c r="Y738" s="145"/>
      <c r="Z738" s="145"/>
    </row>
    <row r="739" spans="1:26"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201"/>
      <c r="U739" s="145"/>
      <c r="V739" s="145"/>
      <c r="W739" s="145"/>
      <c r="X739" s="145"/>
      <c r="Y739" s="145"/>
      <c r="Z739" s="145"/>
    </row>
    <row r="740" spans="1:26"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201"/>
      <c r="U740" s="145"/>
      <c r="V740" s="145"/>
      <c r="W740" s="145"/>
      <c r="X740" s="145"/>
      <c r="Y740" s="145"/>
      <c r="Z740" s="145"/>
    </row>
    <row r="741" spans="1:26"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201"/>
      <c r="U741" s="145"/>
      <c r="V741" s="145"/>
      <c r="W741" s="145"/>
      <c r="X741" s="145"/>
      <c r="Y741" s="145"/>
      <c r="Z741" s="145"/>
    </row>
    <row r="742" spans="1:26"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201"/>
      <c r="U742" s="145"/>
      <c r="V742" s="145"/>
      <c r="W742" s="145"/>
      <c r="X742" s="145"/>
      <c r="Y742" s="145"/>
      <c r="Z742" s="145"/>
    </row>
    <row r="743" spans="1:26"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201"/>
      <c r="U743" s="145"/>
      <c r="V743" s="145"/>
      <c r="W743" s="145"/>
      <c r="X743" s="145"/>
      <c r="Y743" s="145"/>
      <c r="Z743" s="145"/>
    </row>
    <row r="744" spans="1:26"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201"/>
      <c r="U744" s="145"/>
      <c r="V744" s="145"/>
      <c r="W744" s="145"/>
      <c r="X744" s="145"/>
      <c r="Y744" s="145"/>
      <c r="Z744" s="145"/>
    </row>
    <row r="745" spans="1:26"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201"/>
      <c r="U745" s="145"/>
      <c r="V745" s="145"/>
      <c r="W745" s="145"/>
      <c r="X745" s="145"/>
      <c r="Y745" s="145"/>
      <c r="Z745" s="145"/>
    </row>
    <row r="746" spans="1:26"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201"/>
      <c r="U746" s="145"/>
      <c r="V746" s="145"/>
      <c r="W746" s="145"/>
      <c r="X746" s="145"/>
      <c r="Y746" s="145"/>
      <c r="Z746" s="145"/>
    </row>
    <row r="747" spans="1:26"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201"/>
      <c r="U747" s="145"/>
      <c r="V747" s="145"/>
      <c r="W747" s="145"/>
      <c r="X747" s="145"/>
      <c r="Y747" s="145"/>
      <c r="Z747" s="145"/>
    </row>
    <row r="748" spans="1:26"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201"/>
      <c r="U748" s="145"/>
      <c r="V748" s="145"/>
      <c r="W748" s="145"/>
      <c r="X748" s="145"/>
      <c r="Y748" s="145"/>
      <c r="Z748" s="145"/>
    </row>
    <row r="749" spans="1:26"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201"/>
      <c r="U749" s="145"/>
      <c r="V749" s="145"/>
      <c r="W749" s="145"/>
      <c r="X749" s="145"/>
      <c r="Y749" s="145"/>
      <c r="Z749" s="145"/>
    </row>
    <row r="750" spans="1:26"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201"/>
      <c r="U750" s="145"/>
      <c r="V750" s="145"/>
      <c r="W750" s="145"/>
      <c r="X750" s="145"/>
      <c r="Y750" s="145"/>
      <c r="Z750" s="145"/>
    </row>
    <row r="751" spans="1:26"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201"/>
      <c r="U751" s="145"/>
      <c r="V751" s="145"/>
      <c r="W751" s="145"/>
      <c r="X751" s="145"/>
      <c r="Y751" s="145"/>
      <c r="Z751" s="145"/>
    </row>
    <row r="752" spans="1:26"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201"/>
      <c r="U752" s="145"/>
      <c r="V752" s="145"/>
      <c r="W752" s="145"/>
      <c r="X752" s="145"/>
      <c r="Y752" s="145"/>
      <c r="Z752" s="145"/>
    </row>
    <row r="753" spans="1:26"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201"/>
      <c r="U753" s="145"/>
      <c r="V753" s="145"/>
      <c r="W753" s="145"/>
      <c r="X753" s="145"/>
      <c r="Y753" s="145"/>
      <c r="Z753" s="145"/>
    </row>
    <row r="754" spans="1:26"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201"/>
      <c r="U754" s="145"/>
      <c r="V754" s="145"/>
      <c r="W754" s="145"/>
      <c r="X754" s="145"/>
      <c r="Y754" s="145"/>
      <c r="Z754" s="145"/>
    </row>
    <row r="755" spans="1:26"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201"/>
      <c r="U755" s="145"/>
      <c r="V755" s="145"/>
      <c r="W755" s="145"/>
      <c r="X755" s="145"/>
      <c r="Y755" s="145"/>
      <c r="Z755" s="145"/>
    </row>
    <row r="756" spans="1:26"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201"/>
      <c r="U756" s="145"/>
      <c r="V756" s="145"/>
      <c r="W756" s="145"/>
      <c r="X756" s="145"/>
      <c r="Y756" s="145"/>
      <c r="Z756" s="145"/>
    </row>
    <row r="757" spans="1:26"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201"/>
      <c r="U757" s="145"/>
      <c r="V757" s="145"/>
      <c r="W757" s="145"/>
      <c r="X757" s="145"/>
      <c r="Y757" s="145"/>
      <c r="Z757" s="145"/>
    </row>
    <row r="758" spans="1:26"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201"/>
      <c r="U758" s="145"/>
      <c r="V758" s="145"/>
      <c r="W758" s="145"/>
      <c r="X758" s="145"/>
      <c r="Y758" s="145"/>
      <c r="Z758" s="145"/>
    </row>
    <row r="759" spans="1:26"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201"/>
      <c r="U759" s="145"/>
      <c r="V759" s="145"/>
      <c r="W759" s="145"/>
      <c r="X759" s="145"/>
      <c r="Y759" s="145"/>
      <c r="Z759" s="145"/>
    </row>
    <row r="760" spans="1:26"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201"/>
      <c r="U760" s="145"/>
      <c r="V760" s="145"/>
      <c r="W760" s="145"/>
      <c r="X760" s="145"/>
      <c r="Y760" s="145"/>
      <c r="Z760" s="145"/>
    </row>
    <row r="761" spans="1:26"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201"/>
      <c r="U761" s="145"/>
      <c r="V761" s="145"/>
      <c r="W761" s="145"/>
      <c r="X761" s="145"/>
      <c r="Y761" s="145"/>
      <c r="Z761" s="145"/>
    </row>
    <row r="762" spans="1:26"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201"/>
      <c r="U762" s="145"/>
      <c r="V762" s="145"/>
      <c r="W762" s="145"/>
      <c r="X762" s="145"/>
      <c r="Y762" s="145"/>
      <c r="Z762" s="145"/>
    </row>
    <row r="763" spans="1:26"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201"/>
      <c r="U763" s="145"/>
      <c r="V763" s="145"/>
      <c r="W763" s="145"/>
      <c r="X763" s="145"/>
      <c r="Y763" s="145"/>
      <c r="Z763" s="145"/>
    </row>
    <row r="764" spans="1:26"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201"/>
      <c r="U764" s="145"/>
      <c r="V764" s="145"/>
      <c r="W764" s="145"/>
      <c r="X764" s="145"/>
      <c r="Y764" s="145"/>
      <c r="Z764" s="145"/>
    </row>
    <row r="765" spans="1:26"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201"/>
      <c r="U765" s="145"/>
      <c r="V765" s="145"/>
      <c r="W765" s="145"/>
      <c r="X765" s="145"/>
      <c r="Y765" s="145"/>
      <c r="Z765" s="145"/>
    </row>
    <row r="766" spans="1:26"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201"/>
      <c r="U766" s="145"/>
      <c r="V766" s="145"/>
      <c r="W766" s="145"/>
      <c r="X766" s="145"/>
      <c r="Y766" s="145"/>
      <c r="Z766" s="145"/>
    </row>
    <row r="767" spans="1:26"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201"/>
      <c r="U767" s="145"/>
      <c r="V767" s="145"/>
      <c r="W767" s="145"/>
      <c r="X767" s="145"/>
      <c r="Y767" s="145"/>
      <c r="Z767" s="145"/>
    </row>
    <row r="768" spans="1:26"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201"/>
      <c r="U768" s="145"/>
      <c r="V768" s="145"/>
      <c r="W768" s="145"/>
      <c r="X768" s="145"/>
      <c r="Y768" s="145"/>
      <c r="Z768" s="145"/>
    </row>
    <row r="769" spans="1:26"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201"/>
      <c r="U769" s="145"/>
      <c r="V769" s="145"/>
      <c r="W769" s="145"/>
      <c r="X769" s="145"/>
      <c r="Y769" s="145"/>
      <c r="Z769" s="145"/>
    </row>
    <row r="770" spans="1:26"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201"/>
      <c r="U770" s="145"/>
      <c r="V770" s="145"/>
      <c r="W770" s="145"/>
      <c r="X770" s="145"/>
      <c r="Y770" s="145"/>
      <c r="Z770" s="145"/>
    </row>
    <row r="771" spans="1:26"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201"/>
      <c r="U771" s="145"/>
      <c r="V771" s="145"/>
      <c r="W771" s="145"/>
      <c r="X771" s="145"/>
      <c r="Y771" s="145"/>
      <c r="Z771" s="145"/>
    </row>
    <row r="772" spans="1:26"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201"/>
      <c r="U772" s="145"/>
      <c r="V772" s="145"/>
      <c r="W772" s="145"/>
      <c r="X772" s="145"/>
      <c r="Y772" s="145"/>
      <c r="Z772" s="145"/>
    </row>
    <row r="773" spans="1:26"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201"/>
      <c r="U773" s="145"/>
      <c r="V773" s="145"/>
      <c r="W773" s="145"/>
      <c r="X773" s="145"/>
      <c r="Y773" s="145"/>
      <c r="Z773" s="145"/>
    </row>
    <row r="774" spans="1:26"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201"/>
      <c r="U774" s="145"/>
      <c r="V774" s="145"/>
      <c r="W774" s="145"/>
      <c r="X774" s="145"/>
      <c r="Y774" s="145"/>
      <c r="Z774" s="145"/>
    </row>
    <row r="775" spans="1:26"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201"/>
      <c r="U775" s="145"/>
      <c r="V775" s="145"/>
      <c r="W775" s="145"/>
      <c r="X775" s="145"/>
      <c r="Y775" s="145"/>
      <c r="Z775" s="145"/>
    </row>
    <row r="776" spans="1:26"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201"/>
      <c r="U776" s="145"/>
      <c r="V776" s="145"/>
      <c r="W776" s="145"/>
      <c r="X776" s="145"/>
      <c r="Y776" s="145"/>
      <c r="Z776" s="145"/>
    </row>
    <row r="777" spans="1:26"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201"/>
      <c r="U777" s="145"/>
      <c r="V777" s="145"/>
      <c r="W777" s="145"/>
      <c r="X777" s="145"/>
      <c r="Y777" s="145"/>
      <c r="Z777" s="145"/>
    </row>
    <row r="778" spans="1:26"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201"/>
      <c r="U778" s="145"/>
      <c r="V778" s="145"/>
      <c r="W778" s="145"/>
      <c r="X778" s="145"/>
      <c r="Y778" s="145"/>
      <c r="Z778" s="145"/>
    </row>
    <row r="779" spans="1:26"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201"/>
      <c r="U779" s="145"/>
      <c r="V779" s="145"/>
      <c r="W779" s="145"/>
      <c r="X779" s="145"/>
      <c r="Y779" s="145"/>
      <c r="Z779" s="145"/>
    </row>
    <row r="780" spans="1:26"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201"/>
      <c r="U780" s="145"/>
      <c r="V780" s="145"/>
      <c r="W780" s="145"/>
      <c r="X780" s="145"/>
      <c r="Y780" s="145"/>
      <c r="Z780" s="145"/>
    </row>
    <row r="781" spans="1:26"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201"/>
      <c r="U781" s="145"/>
      <c r="V781" s="145"/>
      <c r="W781" s="145"/>
      <c r="X781" s="145"/>
      <c r="Y781" s="145"/>
      <c r="Z781" s="145"/>
    </row>
    <row r="782" spans="1:26"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201"/>
      <c r="U782" s="145"/>
      <c r="V782" s="145"/>
      <c r="W782" s="145"/>
      <c r="X782" s="145"/>
      <c r="Y782" s="145"/>
      <c r="Z782" s="145"/>
    </row>
    <row r="783" spans="1:26"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201"/>
      <c r="U783" s="145"/>
      <c r="V783" s="145"/>
      <c r="W783" s="145"/>
      <c r="X783" s="145"/>
      <c r="Y783" s="145"/>
      <c r="Z783" s="145"/>
    </row>
    <row r="784" spans="1:26"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201"/>
      <c r="U784" s="145"/>
      <c r="V784" s="145"/>
      <c r="W784" s="145"/>
      <c r="X784" s="145"/>
      <c r="Y784" s="145"/>
      <c r="Z784" s="145"/>
    </row>
    <row r="785" spans="1:26"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201"/>
      <c r="U785" s="145"/>
      <c r="V785" s="145"/>
      <c r="W785" s="145"/>
      <c r="X785" s="145"/>
      <c r="Y785" s="145"/>
      <c r="Z785" s="145"/>
    </row>
    <row r="786" spans="1:26"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201"/>
      <c r="U786" s="145"/>
      <c r="V786" s="145"/>
      <c r="W786" s="145"/>
      <c r="X786" s="145"/>
      <c r="Y786" s="145"/>
      <c r="Z786" s="145"/>
    </row>
    <row r="787" spans="1:26"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201"/>
      <c r="U787" s="145"/>
      <c r="V787" s="145"/>
      <c r="W787" s="145"/>
      <c r="X787" s="145"/>
      <c r="Y787" s="145"/>
      <c r="Z787" s="145"/>
    </row>
    <row r="788" spans="1:26"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201"/>
      <c r="U788" s="145"/>
      <c r="V788" s="145"/>
      <c r="W788" s="145"/>
      <c r="X788" s="145"/>
      <c r="Y788" s="145"/>
      <c r="Z788" s="145"/>
    </row>
    <row r="789" spans="1:26"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201"/>
      <c r="U789" s="145"/>
      <c r="V789" s="145"/>
      <c r="W789" s="145"/>
      <c r="X789" s="145"/>
      <c r="Y789" s="145"/>
      <c r="Z789" s="145"/>
    </row>
    <row r="790" spans="1:26"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201"/>
      <c r="U790" s="145"/>
      <c r="V790" s="145"/>
      <c r="W790" s="145"/>
      <c r="X790" s="145"/>
      <c r="Y790" s="145"/>
      <c r="Z790" s="145"/>
    </row>
    <row r="791" spans="1:26"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201"/>
      <c r="U791" s="145"/>
      <c r="V791" s="145"/>
      <c r="W791" s="145"/>
      <c r="X791" s="145"/>
      <c r="Y791" s="145"/>
      <c r="Z791" s="145"/>
    </row>
    <row r="792" spans="1:26"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201"/>
      <c r="U792" s="145"/>
      <c r="V792" s="145"/>
      <c r="W792" s="145"/>
      <c r="X792" s="145"/>
      <c r="Y792" s="145"/>
      <c r="Z792" s="145"/>
    </row>
    <row r="793" spans="1:26"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201"/>
      <c r="U793" s="145"/>
      <c r="V793" s="145"/>
      <c r="W793" s="145"/>
      <c r="X793" s="145"/>
      <c r="Y793" s="145"/>
      <c r="Z793" s="145"/>
    </row>
    <row r="794" spans="1:26"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201"/>
      <c r="U794" s="145"/>
      <c r="V794" s="145"/>
      <c r="W794" s="145"/>
      <c r="X794" s="145"/>
      <c r="Y794" s="145"/>
      <c r="Z794" s="145"/>
    </row>
    <row r="795" spans="1:26"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201"/>
      <c r="U795" s="145"/>
      <c r="V795" s="145"/>
      <c r="W795" s="145"/>
      <c r="X795" s="145"/>
      <c r="Y795" s="145"/>
      <c r="Z795" s="145"/>
    </row>
    <row r="796" spans="1:26"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201"/>
      <c r="U796" s="145"/>
      <c r="V796" s="145"/>
      <c r="W796" s="145"/>
      <c r="X796" s="145"/>
      <c r="Y796" s="145"/>
      <c r="Z796" s="145"/>
    </row>
    <row r="797" spans="1:26"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201"/>
      <c r="U797" s="145"/>
      <c r="V797" s="145"/>
      <c r="W797" s="145"/>
      <c r="X797" s="145"/>
      <c r="Y797" s="145"/>
      <c r="Z797" s="145"/>
    </row>
    <row r="798" spans="1:26"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201"/>
      <c r="U798" s="145"/>
      <c r="V798" s="145"/>
      <c r="W798" s="145"/>
      <c r="X798" s="145"/>
      <c r="Y798" s="145"/>
      <c r="Z798" s="145"/>
    </row>
    <row r="799" spans="1:26"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201"/>
      <c r="U799" s="145"/>
      <c r="V799" s="145"/>
      <c r="W799" s="145"/>
      <c r="X799" s="145"/>
      <c r="Y799" s="145"/>
      <c r="Z799" s="145"/>
    </row>
    <row r="800" spans="1:26"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201"/>
      <c r="U800" s="145"/>
      <c r="V800" s="145"/>
      <c r="W800" s="145"/>
      <c r="X800" s="145"/>
      <c r="Y800" s="145"/>
      <c r="Z800" s="145"/>
    </row>
    <row r="801" spans="1:26"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201"/>
      <c r="U801" s="145"/>
      <c r="V801" s="145"/>
      <c r="W801" s="145"/>
      <c r="X801" s="145"/>
      <c r="Y801" s="145"/>
      <c r="Z801" s="145"/>
    </row>
    <row r="802" spans="1:26"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201"/>
      <c r="U802" s="145"/>
      <c r="V802" s="145"/>
      <c r="W802" s="145"/>
      <c r="X802" s="145"/>
      <c r="Y802" s="145"/>
      <c r="Z802" s="145"/>
    </row>
    <row r="803" spans="1:26"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201"/>
      <c r="U803" s="145"/>
      <c r="V803" s="145"/>
      <c r="W803" s="145"/>
      <c r="X803" s="145"/>
      <c r="Y803" s="145"/>
      <c r="Z803" s="145"/>
    </row>
    <row r="804" spans="1:26"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201"/>
      <c r="U804" s="145"/>
      <c r="V804" s="145"/>
      <c r="W804" s="145"/>
      <c r="X804" s="145"/>
      <c r="Y804" s="145"/>
      <c r="Z804" s="145"/>
    </row>
    <row r="805" spans="1:26"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201"/>
      <c r="U805" s="145"/>
      <c r="V805" s="145"/>
      <c r="W805" s="145"/>
      <c r="X805" s="145"/>
      <c r="Y805" s="145"/>
      <c r="Z805" s="145"/>
    </row>
    <row r="806" spans="1:26"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201"/>
      <c r="U806" s="145"/>
      <c r="V806" s="145"/>
      <c r="W806" s="145"/>
      <c r="X806" s="145"/>
      <c r="Y806" s="145"/>
      <c r="Z806" s="145"/>
    </row>
    <row r="807" spans="1:26"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201"/>
      <c r="U807" s="145"/>
      <c r="V807" s="145"/>
      <c r="W807" s="145"/>
      <c r="X807" s="145"/>
      <c r="Y807" s="145"/>
      <c r="Z807" s="145"/>
    </row>
    <row r="808" spans="1:26"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201"/>
      <c r="U808" s="145"/>
      <c r="V808" s="145"/>
      <c r="W808" s="145"/>
      <c r="X808" s="145"/>
      <c r="Y808" s="145"/>
      <c r="Z808" s="145"/>
    </row>
    <row r="809" spans="1:26"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201"/>
      <c r="U809" s="145"/>
      <c r="V809" s="145"/>
      <c r="W809" s="145"/>
      <c r="X809" s="145"/>
      <c r="Y809" s="145"/>
      <c r="Z809" s="145"/>
    </row>
    <row r="810" spans="1:26"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201"/>
      <c r="U810" s="145"/>
      <c r="V810" s="145"/>
      <c r="W810" s="145"/>
      <c r="X810" s="145"/>
      <c r="Y810" s="145"/>
      <c r="Z810" s="145"/>
    </row>
    <row r="811" spans="1:26"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201"/>
      <c r="U811" s="145"/>
      <c r="V811" s="145"/>
      <c r="W811" s="145"/>
      <c r="X811" s="145"/>
      <c r="Y811" s="145"/>
      <c r="Z811" s="145"/>
    </row>
    <row r="812" spans="1:26"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201"/>
      <c r="U812" s="145"/>
      <c r="V812" s="145"/>
      <c r="W812" s="145"/>
      <c r="X812" s="145"/>
      <c r="Y812" s="145"/>
      <c r="Z812" s="145"/>
    </row>
    <row r="813" spans="1:26"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201"/>
      <c r="U813" s="145"/>
      <c r="V813" s="145"/>
      <c r="W813" s="145"/>
      <c r="X813" s="145"/>
      <c r="Y813" s="145"/>
      <c r="Z813" s="145"/>
    </row>
    <row r="814" spans="1:26"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201"/>
      <c r="U814" s="145"/>
      <c r="V814" s="145"/>
      <c r="W814" s="145"/>
      <c r="X814" s="145"/>
      <c r="Y814" s="145"/>
      <c r="Z814" s="145"/>
    </row>
    <row r="815" spans="1:26"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201"/>
      <c r="U815" s="145"/>
      <c r="V815" s="145"/>
      <c r="W815" s="145"/>
      <c r="X815" s="145"/>
      <c r="Y815" s="145"/>
      <c r="Z815" s="145"/>
    </row>
    <row r="816" spans="1:26"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201"/>
      <c r="U816" s="145"/>
      <c r="V816" s="145"/>
      <c r="W816" s="145"/>
      <c r="X816" s="145"/>
      <c r="Y816" s="145"/>
      <c r="Z816" s="145"/>
    </row>
    <row r="817" spans="1:26"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201"/>
      <c r="U817" s="145"/>
      <c r="V817" s="145"/>
      <c r="W817" s="145"/>
      <c r="X817" s="145"/>
      <c r="Y817" s="145"/>
      <c r="Z817" s="145"/>
    </row>
    <row r="818" spans="1:26"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201"/>
      <c r="U818" s="145"/>
      <c r="V818" s="145"/>
      <c r="W818" s="145"/>
      <c r="X818" s="145"/>
      <c r="Y818" s="145"/>
      <c r="Z818" s="145"/>
    </row>
    <row r="819" spans="1:26"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201"/>
      <c r="U819" s="145"/>
      <c r="V819" s="145"/>
      <c r="W819" s="145"/>
      <c r="X819" s="145"/>
      <c r="Y819" s="145"/>
      <c r="Z819" s="145"/>
    </row>
    <row r="820" spans="1:26"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201"/>
      <c r="U820" s="145"/>
      <c r="V820" s="145"/>
      <c r="W820" s="145"/>
      <c r="X820" s="145"/>
      <c r="Y820" s="145"/>
      <c r="Z820" s="145"/>
    </row>
    <row r="821" spans="1:26"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201"/>
      <c r="U821" s="145"/>
      <c r="V821" s="145"/>
      <c r="W821" s="145"/>
      <c r="X821" s="145"/>
      <c r="Y821" s="145"/>
      <c r="Z821" s="145"/>
    </row>
    <row r="822" spans="1:26"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201"/>
      <c r="U822" s="145"/>
      <c r="V822" s="145"/>
      <c r="W822" s="145"/>
      <c r="X822" s="145"/>
      <c r="Y822" s="145"/>
      <c r="Z822" s="145"/>
    </row>
    <row r="823" spans="1:26"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201"/>
      <c r="U823" s="145"/>
      <c r="V823" s="145"/>
      <c r="W823" s="145"/>
      <c r="X823" s="145"/>
      <c r="Y823" s="145"/>
      <c r="Z823" s="145"/>
    </row>
    <row r="824" spans="1:26"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201"/>
      <c r="U824" s="145"/>
      <c r="V824" s="145"/>
      <c r="W824" s="145"/>
      <c r="X824" s="145"/>
      <c r="Y824" s="145"/>
      <c r="Z824" s="145"/>
    </row>
    <row r="825" spans="1:26"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201"/>
      <c r="U825" s="145"/>
      <c r="V825" s="145"/>
      <c r="W825" s="145"/>
      <c r="X825" s="145"/>
      <c r="Y825" s="145"/>
      <c r="Z825" s="145"/>
    </row>
    <row r="826" spans="1:26"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201"/>
      <c r="U826" s="145"/>
      <c r="V826" s="145"/>
      <c r="W826" s="145"/>
      <c r="X826" s="145"/>
      <c r="Y826" s="145"/>
      <c r="Z826" s="145"/>
    </row>
    <row r="827" spans="1:26"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201"/>
      <c r="U827" s="145"/>
      <c r="V827" s="145"/>
      <c r="W827" s="145"/>
      <c r="X827" s="145"/>
      <c r="Y827" s="145"/>
      <c r="Z827" s="145"/>
    </row>
    <row r="828" spans="1:26"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201"/>
      <c r="U828" s="145"/>
      <c r="V828" s="145"/>
      <c r="W828" s="145"/>
      <c r="X828" s="145"/>
      <c r="Y828" s="145"/>
      <c r="Z828" s="145"/>
    </row>
    <row r="829" spans="1:26"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201"/>
      <c r="U829" s="145"/>
      <c r="V829" s="145"/>
      <c r="W829" s="145"/>
      <c r="X829" s="145"/>
      <c r="Y829" s="145"/>
      <c r="Z829" s="145"/>
    </row>
    <row r="830" spans="1:26"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201"/>
      <c r="U830" s="145"/>
      <c r="V830" s="145"/>
      <c r="W830" s="145"/>
      <c r="X830" s="145"/>
      <c r="Y830" s="145"/>
      <c r="Z830" s="145"/>
    </row>
    <row r="831" spans="1:26"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201"/>
      <c r="U831" s="145"/>
      <c r="V831" s="145"/>
      <c r="W831" s="145"/>
      <c r="X831" s="145"/>
      <c r="Y831" s="145"/>
      <c r="Z831" s="145"/>
    </row>
    <row r="832" spans="1:26"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201"/>
      <c r="U832" s="145"/>
      <c r="V832" s="145"/>
      <c r="W832" s="145"/>
      <c r="X832" s="145"/>
      <c r="Y832" s="145"/>
      <c r="Z832" s="145"/>
    </row>
    <row r="833" spans="1:26"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201"/>
      <c r="U833" s="145"/>
      <c r="V833" s="145"/>
      <c r="W833" s="145"/>
      <c r="X833" s="145"/>
      <c r="Y833" s="145"/>
      <c r="Z833" s="145"/>
    </row>
    <row r="834" spans="1:26"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201"/>
      <c r="U834" s="145"/>
      <c r="V834" s="145"/>
      <c r="W834" s="145"/>
      <c r="X834" s="145"/>
      <c r="Y834" s="145"/>
      <c r="Z834" s="145"/>
    </row>
    <row r="835" spans="1:26"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201"/>
      <c r="U835" s="145"/>
      <c r="V835" s="145"/>
      <c r="W835" s="145"/>
      <c r="X835" s="145"/>
      <c r="Y835" s="145"/>
      <c r="Z835" s="145"/>
    </row>
    <row r="836" spans="1:26"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201"/>
      <c r="U836" s="145"/>
      <c r="V836" s="145"/>
      <c r="W836" s="145"/>
      <c r="X836" s="145"/>
      <c r="Y836" s="145"/>
      <c r="Z836" s="145"/>
    </row>
    <row r="837" spans="1:26"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201"/>
      <c r="U837" s="145"/>
      <c r="V837" s="145"/>
      <c r="W837" s="145"/>
      <c r="X837" s="145"/>
      <c r="Y837" s="145"/>
      <c r="Z837" s="145"/>
    </row>
    <row r="838" spans="1:26"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201"/>
      <c r="U838" s="145"/>
      <c r="V838" s="145"/>
      <c r="W838" s="145"/>
      <c r="X838" s="145"/>
      <c r="Y838" s="145"/>
      <c r="Z838" s="145"/>
    </row>
    <row r="839" spans="1:26"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201"/>
      <c r="U839" s="145"/>
      <c r="V839" s="145"/>
      <c r="W839" s="145"/>
      <c r="X839" s="145"/>
      <c r="Y839" s="145"/>
      <c r="Z839" s="145"/>
    </row>
    <row r="840" spans="1:26"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201"/>
      <c r="U840" s="145"/>
      <c r="V840" s="145"/>
      <c r="W840" s="145"/>
      <c r="X840" s="145"/>
      <c r="Y840" s="145"/>
      <c r="Z840" s="145"/>
    </row>
    <row r="841" spans="1:26"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201"/>
      <c r="U841" s="145"/>
      <c r="V841" s="145"/>
      <c r="W841" s="145"/>
      <c r="X841" s="145"/>
      <c r="Y841" s="145"/>
      <c r="Z841" s="145"/>
    </row>
    <row r="842" spans="1:26"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201"/>
      <c r="U842" s="145"/>
      <c r="V842" s="145"/>
      <c r="W842" s="145"/>
      <c r="X842" s="145"/>
      <c r="Y842" s="145"/>
      <c r="Z842" s="145"/>
    </row>
    <row r="843" spans="1:26"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201"/>
      <c r="U843" s="145"/>
      <c r="V843" s="145"/>
      <c r="W843" s="145"/>
      <c r="X843" s="145"/>
      <c r="Y843" s="145"/>
      <c r="Z843" s="145"/>
    </row>
    <row r="844" spans="1:26"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201"/>
      <c r="U844" s="145"/>
      <c r="V844" s="145"/>
      <c r="W844" s="145"/>
      <c r="X844" s="145"/>
      <c r="Y844" s="145"/>
      <c r="Z844" s="145"/>
    </row>
    <row r="845" spans="1:26"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201"/>
      <c r="U845" s="145"/>
      <c r="V845" s="145"/>
      <c r="W845" s="145"/>
      <c r="X845" s="145"/>
      <c r="Y845" s="145"/>
      <c r="Z845" s="145"/>
    </row>
    <row r="846" spans="1:26"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201"/>
      <c r="U846" s="145"/>
      <c r="V846" s="145"/>
      <c r="W846" s="145"/>
      <c r="X846" s="145"/>
      <c r="Y846" s="145"/>
      <c r="Z846" s="145"/>
    </row>
    <row r="847" spans="1:26"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201"/>
      <c r="U847" s="145"/>
      <c r="V847" s="145"/>
      <c r="W847" s="145"/>
      <c r="X847" s="145"/>
      <c r="Y847" s="145"/>
      <c r="Z847" s="145"/>
    </row>
    <row r="848" spans="1:26"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201"/>
      <c r="U848" s="145"/>
      <c r="V848" s="145"/>
      <c r="W848" s="145"/>
      <c r="X848" s="145"/>
      <c r="Y848" s="145"/>
      <c r="Z848" s="145"/>
    </row>
    <row r="849" spans="1:26"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201"/>
      <c r="U849" s="145"/>
      <c r="V849" s="145"/>
      <c r="W849" s="145"/>
      <c r="X849" s="145"/>
      <c r="Y849" s="145"/>
      <c r="Z849" s="145"/>
    </row>
    <row r="850" spans="1:26"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201"/>
      <c r="U850" s="145"/>
      <c r="V850" s="145"/>
      <c r="W850" s="145"/>
      <c r="X850" s="145"/>
      <c r="Y850" s="145"/>
      <c r="Z850" s="145"/>
    </row>
    <row r="851" spans="1:26"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201"/>
      <c r="U851" s="145"/>
      <c r="V851" s="145"/>
      <c r="W851" s="145"/>
      <c r="X851" s="145"/>
      <c r="Y851" s="145"/>
      <c r="Z851" s="145"/>
    </row>
    <row r="852" spans="1:26"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201"/>
      <c r="U852" s="145"/>
      <c r="V852" s="145"/>
      <c r="W852" s="145"/>
      <c r="X852" s="145"/>
      <c r="Y852" s="145"/>
      <c r="Z852" s="145"/>
    </row>
    <row r="853" spans="1:26"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201"/>
      <c r="U853" s="145"/>
      <c r="V853" s="145"/>
      <c r="W853" s="145"/>
      <c r="X853" s="145"/>
      <c r="Y853" s="145"/>
      <c r="Z853" s="145"/>
    </row>
    <row r="854" spans="1:26"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201"/>
      <c r="U854" s="145"/>
      <c r="V854" s="145"/>
      <c r="W854" s="145"/>
      <c r="X854" s="145"/>
      <c r="Y854" s="145"/>
      <c r="Z854" s="145"/>
    </row>
    <row r="855" spans="1:26"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201"/>
      <c r="U855" s="145"/>
      <c r="V855" s="145"/>
      <c r="W855" s="145"/>
      <c r="X855" s="145"/>
      <c r="Y855" s="145"/>
      <c r="Z855" s="145"/>
    </row>
    <row r="856" spans="1:26"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201"/>
      <c r="U856" s="145"/>
      <c r="V856" s="145"/>
      <c r="W856" s="145"/>
      <c r="X856" s="145"/>
      <c r="Y856" s="145"/>
      <c r="Z856" s="145"/>
    </row>
    <row r="857" spans="1:26"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201"/>
      <c r="U857" s="145"/>
      <c r="V857" s="145"/>
      <c r="W857" s="145"/>
      <c r="X857" s="145"/>
      <c r="Y857" s="145"/>
      <c r="Z857" s="145"/>
    </row>
    <row r="858" spans="1:26"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201"/>
      <c r="U858" s="145"/>
      <c r="V858" s="145"/>
      <c r="W858" s="145"/>
      <c r="X858" s="145"/>
      <c r="Y858" s="145"/>
      <c r="Z858" s="145"/>
    </row>
    <row r="859" spans="1:26"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201"/>
      <c r="U859" s="145"/>
      <c r="V859" s="145"/>
      <c r="W859" s="145"/>
      <c r="X859" s="145"/>
      <c r="Y859" s="145"/>
      <c r="Z859" s="145"/>
    </row>
    <row r="860" spans="1:26"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201"/>
      <c r="U860" s="145"/>
      <c r="V860" s="145"/>
      <c r="W860" s="145"/>
      <c r="X860" s="145"/>
      <c r="Y860" s="145"/>
      <c r="Z860" s="145"/>
    </row>
    <row r="861" spans="1:26"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201"/>
      <c r="U861" s="145"/>
      <c r="V861" s="145"/>
      <c r="W861" s="145"/>
      <c r="X861" s="145"/>
      <c r="Y861" s="145"/>
      <c r="Z861" s="145"/>
    </row>
    <row r="862" spans="1:26"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201"/>
      <c r="U862" s="145"/>
      <c r="V862" s="145"/>
      <c r="W862" s="145"/>
      <c r="X862" s="145"/>
      <c r="Y862" s="145"/>
      <c r="Z862" s="145"/>
    </row>
    <row r="863" spans="1:26"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201"/>
      <c r="U863" s="145"/>
      <c r="V863" s="145"/>
      <c r="W863" s="145"/>
      <c r="X863" s="145"/>
      <c r="Y863" s="145"/>
      <c r="Z863" s="145"/>
    </row>
    <row r="864" spans="1:26"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201"/>
      <c r="U864" s="145"/>
      <c r="V864" s="145"/>
      <c r="W864" s="145"/>
      <c r="X864" s="145"/>
      <c r="Y864" s="145"/>
      <c r="Z864" s="145"/>
    </row>
    <row r="865" spans="1:26"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201"/>
      <c r="U865" s="145"/>
      <c r="V865" s="145"/>
      <c r="W865" s="145"/>
      <c r="X865" s="145"/>
      <c r="Y865" s="145"/>
      <c r="Z865" s="145"/>
    </row>
    <row r="866" spans="1:26"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201"/>
      <c r="U866" s="145"/>
      <c r="V866" s="145"/>
      <c r="W866" s="145"/>
      <c r="X866" s="145"/>
      <c r="Y866" s="145"/>
      <c r="Z866" s="145"/>
    </row>
    <row r="867" spans="1:26"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201"/>
      <c r="U867" s="145"/>
      <c r="V867" s="145"/>
      <c r="W867" s="145"/>
      <c r="X867" s="145"/>
      <c r="Y867" s="145"/>
      <c r="Z867" s="145"/>
    </row>
    <row r="868" spans="1:26"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201"/>
      <c r="U868" s="145"/>
      <c r="V868" s="145"/>
      <c r="W868" s="145"/>
      <c r="X868" s="145"/>
      <c r="Y868" s="145"/>
      <c r="Z868" s="145"/>
    </row>
    <row r="869" spans="1:26"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201"/>
      <c r="U869" s="145"/>
      <c r="V869" s="145"/>
      <c r="W869" s="145"/>
      <c r="X869" s="145"/>
      <c r="Y869" s="145"/>
      <c r="Z869" s="145"/>
    </row>
    <row r="870" spans="1:26"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201"/>
      <c r="U870" s="145"/>
      <c r="V870" s="145"/>
      <c r="W870" s="145"/>
      <c r="X870" s="145"/>
      <c r="Y870" s="145"/>
      <c r="Z870" s="145"/>
    </row>
    <row r="871" spans="1:26"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201"/>
      <c r="U871" s="145"/>
      <c r="V871" s="145"/>
      <c r="W871" s="145"/>
      <c r="X871" s="145"/>
      <c r="Y871" s="145"/>
      <c r="Z871" s="145"/>
    </row>
    <row r="872" spans="1:26"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201"/>
      <c r="U872" s="145"/>
      <c r="V872" s="145"/>
      <c r="W872" s="145"/>
      <c r="X872" s="145"/>
      <c r="Y872" s="145"/>
      <c r="Z872" s="145"/>
    </row>
    <row r="873" spans="1:26"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201"/>
      <c r="U873" s="145"/>
      <c r="V873" s="145"/>
      <c r="W873" s="145"/>
      <c r="X873" s="145"/>
      <c r="Y873" s="145"/>
      <c r="Z873" s="145"/>
    </row>
    <row r="874" spans="1:26"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201"/>
      <c r="U874" s="145"/>
      <c r="V874" s="145"/>
      <c r="W874" s="145"/>
      <c r="X874" s="145"/>
      <c r="Y874" s="145"/>
      <c r="Z874" s="145"/>
    </row>
    <row r="875" spans="1:26"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201"/>
      <c r="U875" s="145"/>
      <c r="V875" s="145"/>
      <c r="W875" s="145"/>
      <c r="X875" s="145"/>
      <c r="Y875" s="145"/>
      <c r="Z875" s="145"/>
    </row>
    <row r="876" spans="1:26"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201"/>
      <c r="U876" s="145"/>
      <c r="V876" s="145"/>
      <c r="W876" s="145"/>
      <c r="X876" s="145"/>
      <c r="Y876" s="145"/>
      <c r="Z876" s="145"/>
    </row>
    <row r="877" spans="1:26"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201"/>
      <c r="U877" s="145"/>
      <c r="V877" s="145"/>
      <c r="W877" s="145"/>
      <c r="X877" s="145"/>
      <c r="Y877" s="145"/>
      <c r="Z877" s="145"/>
    </row>
    <row r="878" spans="1:26"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201"/>
      <c r="U878" s="145"/>
      <c r="V878" s="145"/>
      <c r="W878" s="145"/>
      <c r="X878" s="145"/>
      <c r="Y878" s="145"/>
      <c r="Z878" s="145"/>
    </row>
    <row r="879" spans="1:26"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201"/>
      <c r="U879" s="145"/>
      <c r="V879" s="145"/>
      <c r="W879" s="145"/>
      <c r="X879" s="145"/>
      <c r="Y879" s="145"/>
      <c r="Z879" s="145"/>
    </row>
    <row r="880" spans="1:26"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201"/>
      <c r="U880" s="145"/>
      <c r="V880" s="145"/>
      <c r="W880" s="145"/>
      <c r="X880" s="145"/>
      <c r="Y880" s="145"/>
      <c r="Z880" s="145"/>
    </row>
    <row r="881" spans="1:26"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201"/>
      <c r="U881" s="145"/>
      <c r="V881" s="145"/>
      <c r="W881" s="145"/>
      <c r="X881" s="145"/>
      <c r="Y881" s="145"/>
      <c r="Z881" s="145"/>
    </row>
    <row r="882" spans="1:26"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201"/>
      <c r="U882" s="145"/>
      <c r="V882" s="145"/>
      <c r="W882" s="145"/>
      <c r="X882" s="145"/>
      <c r="Y882" s="145"/>
      <c r="Z882" s="145"/>
    </row>
    <row r="883" spans="1:26"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201"/>
      <c r="U883" s="145"/>
      <c r="V883" s="145"/>
      <c r="W883" s="145"/>
      <c r="X883" s="145"/>
      <c r="Y883" s="145"/>
      <c r="Z883" s="145"/>
    </row>
    <row r="884" spans="1:26"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201"/>
      <c r="U884" s="145"/>
      <c r="V884" s="145"/>
      <c r="W884" s="145"/>
      <c r="X884" s="145"/>
      <c r="Y884" s="145"/>
      <c r="Z884" s="145"/>
    </row>
    <row r="885" spans="1:26"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201"/>
      <c r="U885" s="145"/>
      <c r="V885" s="145"/>
      <c r="W885" s="145"/>
      <c r="X885" s="145"/>
      <c r="Y885" s="145"/>
      <c r="Z885" s="145"/>
    </row>
    <row r="886" spans="1:26"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201"/>
      <c r="U886" s="145"/>
      <c r="V886" s="145"/>
      <c r="W886" s="145"/>
      <c r="X886" s="145"/>
      <c r="Y886" s="145"/>
      <c r="Z886" s="145"/>
    </row>
    <row r="887" spans="1:26"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201"/>
      <c r="U887" s="145"/>
      <c r="V887" s="145"/>
      <c r="W887" s="145"/>
      <c r="X887" s="145"/>
      <c r="Y887" s="145"/>
      <c r="Z887" s="145"/>
    </row>
    <row r="888" spans="1:26"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201"/>
      <c r="U888" s="145"/>
      <c r="V888" s="145"/>
      <c r="W888" s="145"/>
      <c r="X888" s="145"/>
      <c r="Y888" s="145"/>
      <c r="Z888" s="145"/>
    </row>
    <row r="889" spans="1:26"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201"/>
      <c r="U889" s="145"/>
      <c r="V889" s="145"/>
      <c r="W889" s="145"/>
      <c r="X889" s="145"/>
      <c r="Y889" s="145"/>
      <c r="Z889" s="145"/>
    </row>
    <row r="890" spans="1:26"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201"/>
      <c r="U890" s="145"/>
      <c r="V890" s="145"/>
      <c r="W890" s="145"/>
      <c r="X890" s="145"/>
      <c r="Y890" s="145"/>
      <c r="Z890" s="145"/>
    </row>
    <row r="891" spans="1:26"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201"/>
      <c r="U891" s="145"/>
      <c r="V891" s="145"/>
      <c r="W891" s="145"/>
      <c r="X891" s="145"/>
      <c r="Y891" s="145"/>
      <c r="Z891" s="145"/>
    </row>
    <row r="892" spans="1:26"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201"/>
      <c r="U892" s="145"/>
      <c r="V892" s="145"/>
      <c r="W892" s="145"/>
      <c r="X892" s="145"/>
      <c r="Y892" s="145"/>
      <c r="Z892" s="145"/>
    </row>
    <row r="893" spans="1:26"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201"/>
      <c r="U893" s="145"/>
      <c r="V893" s="145"/>
      <c r="W893" s="145"/>
      <c r="X893" s="145"/>
      <c r="Y893" s="145"/>
      <c r="Z893" s="145"/>
    </row>
    <row r="894" spans="1:26"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201"/>
      <c r="U894" s="145"/>
      <c r="V894" s="145"/>
      <c r="W894" s="145"/>
      <c r="X894" s="145"/>
      <c r="Y894" s="145"/>
      <c r="Z894" s="145"/>
    </row>
    <row r="895" spans="1:26"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201"/>
      <c r="U895" s="145"/>
      <c r="V895" s="145"/>
      <c r="W895" s="145"/>
      <c r="X895" s="145"/>
      <c r="Y895" s="145"/>
      <c r="Z895" s="145"/>
    </row>
    <row r="896" spans="1:26"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201"/>
      <c r="U896" s="145"/>
      <c r="V896" s="145"/>
      <c r="W896" s="145"/>
      <c r="X896" s="145"/>
      <c r="Y896" s="145"/>
      <c r="Z896" s="145"/>
    </row>
    <row r="897" spans="1:26"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201"/>
      <c r="U897" s="145"/>
      <c r="V897" s="145"/>
      <c r="W897" s="145"/>
      <c r="X897" s="145"/>
      <c r="Y897" s="145"/>
      <c r="Z897" s="145"/>
    </row>
    <row r="898" spans="1:26"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201"/>
      <c r="U898" s="145"/>
      <c r="V898" s="145"/>
      <c r="W898" s="145"/>
      <c r="X898" s="145"/>
      <c r="Y898" s="145"/>
      <c r="Z898" s="145"/>
    </row>
    <row r="899" spans="1:26"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201"/>
      <c r="U899" s="145"/>
      <c r="V899" s="145"/>
      <c r="W899" s="145"/>
      <c r="X899" s="145"/>
      <c r="Y899" s="145"/>
      <c r="Z899" s="145"/>
    </row>
    <row r="900" spans="1:26"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201"/>
      <c r="U900" s="145"/>
      <c r="V900" s="145"/>
      <c r="W900" s="145"/>
      <c r="X900" s="145"/>
      <c r="Y900" s="145"/>
      <c r="Z900" s="145"/>
    </row>
    <row r="901" spans="1:26"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201"/>
      <c r="U901" s="145"/>
      <c r="V901" s="145"/>
      <c r="W901" s="145"/>
      <c r="X901" s="145"/>
      <c r="Y901" s="145"/>
      <c r="Z901" s="145"/>
    </row>
    <row r="902" spans="1:26"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201"/>
      <c r="U902" s="145"/>
      <c r="V902" s="145"/>
      <c r="W902" s="145"/>
      <c r="X902" s="145"/>
      <c r="Y902" s="145"/>
      <c r="Z902" s="145"/>
    </row>
    <row r="903" spans="1:26"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201"/>
      <c r="U903" s="145"/>
      <c r="V903" s="145"/>
      <c r="W903" s="145"/>
      <c r="X903" s="145"/>
      <c r="Y903" s="145"/>
      <c r="Z903" s="145"/>
    </row>
    <row r="904" spans="1:26"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201"/>
      <c r="U904" s="145"/>
      <c r="V904" s="145"/>
      <c r="W904" s="145"/>
      <c r="X904" s="145"/>
      <c r="Y904" s="145"/>
      <c r="Z904" s="145"/>
    </row>
    <row r="905" spans="1:26"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201"/>
      <c r="U905" s="145"/>
      <c r="V905" s="145"/>
      <c r="W905" s="145"/>
      <c r="X905" s="145"/>
      <c r="Y905" s="145"/>
      <c r="Z905" s="145"/>
    </row>
    <row r="906" spans="1:26"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201"/>
      <c r="U906" s="145"/>
      <c r="V906" s="145"/>
      <c r="W906" s="145"/>
      <c r="X906" s="145"/>
      <c r="Y906" s="145"/>
      <c r="Z906" s="145"/>
    </row>
    <row r="907" spans="1:26"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201"/>
      <c r="U907" s="145"/>
      <c r="V907" s="145"/>
      <c r="W907" s="145"/>
      <c r="X907" s="145"/>
      <c r="Y907" s="145"/>
      <c r="Z907" s="145"/>
    </row>
    <row r="908" spans="1:26"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201"/>
      <c r="U908" s="145"/>
      <c r="V908" s="145"/>
      <c r="W908" s="145"/>
      <c r="X908" s="145"/>
      <c r="Y908" s="145"/>
      <c r="Z908" s="145"/>
    </row>
    <row r="909" spans="1:26"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201"/>
      <c r="U909" s="145"/>
      <c r="V909" s="145"/>
      <c r="W909" s="145"/>
      <c r="X909" s="145"/>
      <c r="Y909" s="145"/>
      <c r="Z909" s="145"/>
    </row>
    <row r="910" spans="1:26"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201"/>
      <c r="U910" s="145"/>
      <c r="V910" s="145"/>
      <c r="W910" s="145"/>
      <c r="X910" s="145"/>
      <c r="Y910" s="145"/>
      <c r="Z910" s="145"/>
    </row>
    <row r="911" spans="1:26"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201"/>
      <c r="U911" s="145"/>
      <c r="V911" s="145"/>
      <c r="W911" s="145"/>
      <c r="X911" s="145"/>
      <c r="Y911" s="145"/>
      <c r="Z911" s="145"/>
    </row>
    <row r="912" spans="1:26"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201"/>
      <c r="U912" s="145"/>
      <c r="V912" s="145"/>
      <c r="W912" s="145"/>
      <c r="X912" s="145"/>
      <c r="Y912" s="145"/>
      <c r="Z912" s="145"/>
    </row>
    <row r="913" spans="1:26"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201"/>
      <c r="U913" s="145"/>
      <c r="V913" s="145"/>
      <c r="W913" s="145"/>
      <c r="X913" s="145"/>
      <c r="Y913" s="145"/>
      <c r="Z913" s="145"/>
    </row>
    <row r="914" spans="1:26"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201"/>
      <c r="U914" s="145"/>
      <c r="V914" s="145"/>
      <c r="W914" s="145"/>
      <c r="X914" s="145"/>
      <c r="Y914" s="145"/>
      <c r="Z914" s="145"/>
    </row>
    <row r="915" spans="1:26"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201"/>
      <c r="U915" s="145"/>
      <c r="V915" s="145"/>
      <c r="W915" s="145"/>
      <c r="X915" s="145"/>
      <c r="Y915" s="145"/>
      <c r="Z915" s="145"/>
    </row>
    <row r="916" spans="1:26"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201"/>
      <c r="U916" s="145"/>
      <c r="V916" s="145"/>
      <c r="W916" s="145"/>
      <c r="X916" s="145"/>
      <c r="Y916" s="145"/>
      <c r="Z916" s="145"/>
    </row>
    <row r="917" spans="1:26"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201"/>
      <c r="U917" s="145"/>
      <c r="V917" s="145"/>
      <c r="W917" s="145"/>
      <c r="X917" s="145"/>
      <c r="Y917" s="145"/>
      <c r="Z917" s="145"/>
    </row>
    <row r="918" spans="1:26"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201"/>
      <c r="U918" s="145"/>
      <c r="V918" s="145"/>
      <c r="W918" s="145"/>
      <c r="X918" s="145"/>
      <c r="Y918" s="145"/>
      <c r="Z918" s="145"/>
    </row>
    <row r="919" spans="1:26"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201"/>
      <c r="U919" s="145"/>
      <c r="V919" s="145"/>
      <c r="W919" s="145"/>
      <c r="X919" s="145"/>
      <c r="Y919" s="145"/>
      <c r="Z919" s="145"/>
    </row>
    <row r="920" spans="1:26"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201"/>
      <c r="U920" s="145"/>
      <c r="V920" s="145"/>
      <c r="W920" s="145"/>
      <c r="X920" s="145"/>
      <c r="Y920" s="145"/>
      <c r="Z920" s="145"/>
    </row>
    <row r="921" spans="1:26"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201"/>
      <c r="U921" s="145"/>
      <c r="V921" s="145"/>
      <c r="W921" s="145"/>
      <c r="X921" s="145"/>
      <c r="Y921" s="145"/>
      <c r="Z921" s="145"/>
    </row>
    <row r="922" spans="1:26"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201"/>
      <c r="U922" s="145"/>
      <c r="V922" s="145"/>
      <c r="W922" s="145"/>
      <c r="X922" s="145"/>
      <c r="Y922" s="145"/>
      <c r="Z922" s="145"/>
    </row>
    <row r="923" spans="1:26"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201"/>
      <c r="U923" s="145"/>
      <c r="V923" s="145"/>
      <c r="W923" s="145"/>
      <c r="X923" s="145"/>
      <c r="Y923" s="145"/>
      <c r="Z923" s="145"/>
    </row>
    <row r="924" spans="1:26"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201"/>
      <c r="U924" s="145"/>
      <c r="V924" s="145"/>
      <c r="W924" s="145"/>
      <c r="X924" s="145"/>
      <c r="Y924" s="145"/>
      <c r="Z924" s="145"/>
    </row>
    <row r="925" spans="1:26"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201"/>
      <c r="U925" s="145"/>
      <c r="V925" s="145"/>
      <c r="W925" s="145"/>
      <c r="X925" s="145"/>
      <c r="Y925" s="145"/>
      <c r="Z925" s="145"/>
    </row>
    <row r="926" spans="1:26"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201"/>
      <c r="U926" s="145"/>
      <c r="V926" s="145"/>
      <c r="W926" s="145"/>
      <c r="X926" s="145"/>
      <c r="Y926" s="145"/>
      <c r="Z926" s="145"/>
    </row>
    <row r="927" spans="1:26"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201"/>
      <c r="U927" s="145"/>
      <c r="V927" s="145"/>
      <c r="W927" s="145"/>
      <c r="X927" s="145"/>
      <c r="Y927" s="145"/>
      <c r="Z927" s="145"/>
    </row>
    <row r="928" spans="1:26"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201"/>
      <c r="U928" s="145"/>
      <c r="V928" s="145"/>
      <c r="W928" s="145"/>
      <c r="X928" s="145"/>
      <c r="Y928" s="145"/>
      <c r="Z928" s="145"/>
    </row>
    <row r="929" spans="1:26"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201"/>
      <c r="U929" s="145"/>
      <c r="V929" s="145"/>
      <c r="W929" s="145"/>
      <c r="X929" s="145"/>
      <c r="Y929" s="145"/>
      <c r="Z929" s="145"/>
    </row>
    <row r="930" spans="1:26"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201"/>
      <c r="U930" s="145"/>
      <c r="V930" s="145"/>
      <c r="W930" s="145"/>
      <c r="X930" s="145"/>
      <c r="Y930" s="145"/>
      <c r="Z930" s="145"/>
    </row>
    <row r="931" spans="1:26"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201"/>
      <c r="U931" s="145"/>
      <c r="V931" s="145"/>
      <c r="W931" s="145"/>
      <c r="X931" s="145"/>
      <c r="Y931" s="145"/>
      <c r="Z931" s="145"/>
    </row>
    <row r="932" spans="1:26"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201"/>
      <c r="U932" s="145"/>
      <c r="V932" s="145"/>
      <c r="W932" s="145"/>
      <c r="X932" s="145"/>
      <c r="Y932" s="145"/>
      <c r="Z932" s="145"/>
    </row>
    <row r="933" spans="1:26"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201"/>
      <c r="U933" s="145"/>
      <c r="V933" s="145"/>
      <c r="W933" s="145"/>
      <c r="X933" s="145"/>
      <c r="Y933" s="145"/>
      <c r="Z933" s="145"/>
    </row>
    <row r="934" spans="1:26"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201"/>
      <c r="U934" s="145"/>
      <c r="V934" s="145"/>
      <c r="W934" s="145"/>
      <c r="X934" s="145"/>
      <c r="Y934" s="145"/>
      <c r="Z934" s="145"/>
    </row>
    <row r="935" spans="1:26"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201"/>
      <c r="U935" s="145"/>
      <c r="V935" s="145"/>
      <c r="W935" s="145"/>
      <c r="X935" s="145"/>
      <c r="Y935" s="145"/>
      <c r="Z935" s="145"/>
    </row>
    <row r="936" spans="1:26"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201"/>
      <c r="U936" s="145"/>
      <c r="V936" s="145"/>
      <c r="W936" s="145"/>
      <c r="X936" s="145"/>
      <c r="Y936" s="145"/>
      <c r="Z936" s="145"/>
    </row>
    <row r="937" spans="1:26"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201"/>
      <c r="U937" s="145"/>
      <c r="V937" s="145"/>
      <c r="W937" s="145"/>
      <c r="X937" s="145"/>
      <c r="Y937" s="145"/>
      <c r="Z937" s="145"/>
    </row>
    <row r="938" spans="1:26"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201"/>
      <c r="U938" s="145"/>
      <c r="V938" s="145"/>
      <c r="W938" s="145"/>
      <c r="X938" s="145"/>
      <c r="Y938" s="145"/>
      <c r="Z938" s="145"/>
    </row>
    <row r="939" spans="1:26"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201"/>
      <c r="U939" s="145"/>
      <c r="V939" s="145"/>
      <c r="W939" s="145"/>
      <c r="X939" s="145"/>
      <c r="Y939" s="145"/>
      <c r="Z939" s="145"/>
    </row>
    <row r="940" spans="1:26"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201"/>
      <c r="U940" s="145"/>
      <c r="V940" s="145"/>
      <c r="W940" s="145"/>
      <c r="X940" s="145"/>
      <c r="Y940" s="145"/>
      <c r="Z940" s="145"/>
    </row>
    <row r="941" spans="1:26"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201"/>
      <c r="U941" s="145"/>
      <c r="V941" s="145"/>
      <c r="W941" s="145"/>
      <c r="X941" s="145"/>
      <c r="Y941" s="145"/>
      <c r="Z941" s="145"/>
    </row>
    <row r="942" spans="1:26"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201"/>
      <c r="U942" s="145"/>
      <c r="V942" s="145"/>
      <c r="W942" s="145"/>
      <c r="X942" s="145"/>
      <c r="Y942" s="145"/>
      <c r="Z942" s="145"/>
    </row>
    <row r="943" spans="1:26"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201"/>
      <c r="U943" s="145"/>
      <c r="V943" s="145"/>
      <c r="W943" s="145"/>
      <c r="X943" s="145"/>
      <c r="Y943" s="145"/>
      <c r="Z943" s="145"/>
    </row>
    <row r="944" spans="1:26"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201"/>
      <c r="U944" s="145"/>
      <c r="V944" s="145"/>
      <c r="W944" s="145"/>
      <c r="X944" s="145"/>
      <c r="Y944" s="145"/>
      <c r="Z944" s="145"/>
    </row>
    <row r="945" spans="1:26"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201"/>
      <c r="U945" s="145"/>
      <c r="V945" s="145"/>
      <c r="W945" s="145"/>
      <c r="X945" s="145"/>
      <c r="Y945" s="145"/>
      <c r="Z945" s="145"/>
    </row>
    <row r="946" spans="1:26"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201"/>
      <c r="U946" s="145"/>
      <c r="V946" s="145"/>
      <c r="W946" s="145"/>
      <c r="X946" s="145"/>
      <c r="Y946" s="145"/>
      <c r="Z946" s="145"/>
    </row>
    <row r="947" spans="1:26"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201"/>
      <c r="U947" s="145"/>
      <c r="V947" s="145"/>
      <c r="W947" s="145"/>
      <c r="X947" s="145"/>
      <c r="Y947" s="145"/>
      <c r="Z947" s="145"/>
    </row>
    <row r="948" spans="1:26"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201"/>
      <c r="U948" s="145"/>
      <c r="V948" s="145"/>
      <c r="W948" s="145"/>
      <c r="X948" s="145"/>
      <c r="Y948" s="145"/>
      <c r="Z948" s="145"/>
    </row>
    <row r="949" spans="1:26"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201"/>
      <c r="U949" s="145"/>
      <c r="V949" s="145"/>
      <c r="W949" s="145"/>
      <c r="X949" s="145"/>
      <c r="Y949" s="145"/>
      <c r="Z949" s="145"/>
    </row>
    <row r="950" spans="1:26"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201"/>
      <c r="U950" s="145"/>
      <c r="V950" s="145"/>
      <c r="W950" s="145"/>
      <c r="X950" s="145"/>
      <c r="Y950" s="145"/>
      <c r="Z950" s="145"/>
    </row>
    <row r="951" spans="1:26"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201"/>
      <c r="U951" s="145"/>
      <c r="V951" s="145"/>
      <c r="W951" s="145"/>
      <c r="X951" s="145"/>
      <c r="Y951" s="145"/>
      <c r="Z951" s="145"/>
    </row>
    <row r="952" spans="1:26"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201"/>
      <c r="U952" s="145"/>
      <c r="V952" s="145"/>
      <c r="W952" s="145"/>
      <c r="X952" s="145"/>
      <c r="Y952" s="145"/>
      <c r="Z952" s="145"/>
    </row>
    <row r="953" spans="1:26"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201"/>
      <c r="U953" s="145"/>
      <c r="V953" s="145"/>
      <c r="W953" s="145"/>
      <c r="X953" s="145"/>
      <c r="Y953" s="145"/>
      <c r="Z953" s="145"/>
    </row>
    <row r="954" spans="1:26"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201"/>
      <c r="U954" s="145"/>
      <c r="V954" s="145"/>
      <c r="W954" s="145"/>
      <c r="X954" s="145"/>
      <c r="Y954" s="145"/>
      <c r="Z954" s="145"/>
    </row>
    <row r="955" spans="1:26"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201"/>
      <c r="U955" s="145"/>
      <c r="V955" s="145"/>
      <c r="W955" s="145"/>
      <c r="X955" s="145"/>
      <c r="Y955" s="145"/>
      <c r="Z955" s="145"/>
    </row>
    <row r="956" spans="1:26"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201"/>
      <c r="U956" s="145"/>
      <c r="V956" s="145"/>
      <c r="W956" s="145"/>
      <c r="X956" s="145"/>
      <c r="Y956" s="145"/>
      <c r="Z956" s="145"/>
    </row>
    <row r="957" spans="1:26"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201"/>
      <c r="U957" s="145"/>
      <c r="V957" s="145"/>
      <c r="W957" s="145"/>
      <c r="X957" s="145"/>
      <c r="Y957" s="145"/>
      <c r="Z957" s="145"/>
    </row>
    <row r="958" spans="1:26"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201"/>
      <c r="U958" s="145"/>
      <c r="V958" s="145"/>
      <c r="W958" s="145"/>
      <c r="X958" s="145"/>
      <c r="Y958" s="145"/>
      <c r="Z958" s="145"/>
    </row>
    <row r="959" spans="1:26"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201"/>
      <c r="U959" s="145"/>
      <c r="V959" s="145"/>
      <c r="W959" s="145"/>
      <c r="X959" s="145"/>
      <c r="Y959" s="145"/>
      <c r="Z959" s="145"/>
    </row>
    <row r="960" spans="1:26"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201"/>
      <c r="U960" s="145"/>
      <c r="V960" s="145"/>
      <c r="W960" s="145"/>
      <c r="X960" s="145"/>
      <c r="Y960" s="145"/>
      <c r="Z960" s="145"/>
    </row>
    <row r="961" spans="1:26"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201"/>
      <c r="U961" s="145"/>
      <c r="V961" s="145"/>
      <c r="W961" s="145"/>
      <c r="X961" s="145"/>
      <c r="Y961" s="145"/>
      <c r="Z961" s="145"/>
    </row>
    <row r="962" spans="1:26"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201"/>
      <c r="U962" s="145"/>
      <c r="V962" s="145"/>
      <c r="W962" s="145"/>
      <c r="X962" s="145"/>
      <c r="Y962" s="145"/>
      <c r="Z962" s="145"/>
    </row>
    <row r="963" spans="1:26"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201"/>
      <c r="U963" s="145"/>
      <c r="V963" s="145"/>
      <c r="W963" s="145"/>
      <c r="X963" s="145"/>
      <c r="Y963" s="145"/>
      <c r="Z963" s="145"/>
    </row>
    <row r="964" spans="1:26"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201"/>
      <c r="U964" s="145"/>
      <c r="V964" s="145"/>
      <c r="W964" s="145"/>
      <c r="X964" s="145"/>
      <c r="Y964" s="145"/>
      <c r="Z964" s="145"/>
    </row>
    <row r="965" spans="1:26"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201"/>
      <c r="U965" s="145"/>
      <c r="V965" s="145"/>
      <c r="W965" s="145"/>
      <c r="X965" s="145"/>
      <c r="Y965" s="145"/>
      <c r="Z965" s="145"/>
    </row>
    <row r="966" spans="1:26"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201"/>
      <c r="U966" s="145"/>
      <c r="V966" s="145"/>
      <c r="W966" s="145"/>
      <c r="X966" s="145"/>
      <c r="Y966" s="145"/>
      <c r="Z966" s="145"/>
    </row>
    <row r="967" spans="1:26"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201"/>
      <c r="U967" s="145"/>
      <c r="V967" s="145"/>
      <c r="W967" s="145"/>
      <c r="X967" s="145"/>
      <c r="Y967" s="145"/>
      <c r="Z967" s="145"/>
    </row>
    <row r="968" spans="1:26"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201"/>
      <c r="U968" s="145"/>
      <c r="V968" s="145"/>
      <c r="W968" s="145"/>
      <c r="X968" s="145"/>
      <c r="Y968" s="145"/>
      <c r="Z968" s="145"/>
    </row>
    <row r="969" spans="1:26"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201"/>
      <c r="U969" s="145"/>
      <c r="V969" s="145"/>
      <c r="W969" s="145"/>
      <c r="X969" s="145"/>
      <c r="Y969" s="145"/>
      <c r="Z969" s="145"/>
    </row>
    <row r="970" spans="1:26"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201"/>
      <c r="U970" s="145"/>
      <c r="V970" s="145"/>
      <c r="W970" s="145"/>
      <c r="X970" s="145"/>
      <c r="Y970" s="145"/>
      <c r="Z970" s="145"/>
    </row>
    <row r="971" spans="1:26"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201"/>
      <c r="U971" s="145"/>
      <c r="V971" s="145"/>
      <c r="W971" s="145"/>
      <c r="X971" s="145"/>
      <c r="Y971" s="145"/>
      <c r="Z971" s="145"/>
    </row>
    <row r="972" spans="1:26"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201"/>
      <c r="U972" s="145"/>
      <c r="V972" s="145"/>
      <c r="W972" s="145"/>
      <c r="X972" s="145"/>
      <c r="Y972" s="145"/>
      <c r="Z972" s="145"/>
    </row>
    <row r="973" spans="1:26"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201"/>
      <c r="U973" s="145"/>
      <c r="V973" s="145"/>
      <c r="W973" s="145"/>
      <c r="X973" s="145"/>
      <c r="Y973" s="145"/>
      <c r="Z973" s="145"/>
    </row>
    <row r="974" spans="1:26"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201"/>
      <c r="U974" s="145"/>
      <c r="V974" s="145"/>
      <c r="W974" s="145"/>
      <c r="X974" s="145"/>
      <c r="Y974" s="145"/>
      <c r="Z974" s="145"/>
    </row>
    <row r="975" spans="1:26"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201"/>
      <c r="U975" s="145"/>
      <c r="V975" s="145"/>
      <c r="W975" s="145"/>
      <c r="X975" s="145"/>
      <c r="Y975" s="145"/>
      <c r="Z975" s="145"/>
    </row>
    <row r="976" spans="1:26"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201"/>
      <c r="U976" s="145"/>
      <c r="V976" s="145"/>
      <c r="W976" s="145"/>
      <c r="X976" s="145"/>
      <c r="Y976" s="145"/>
      <c r="Z976" s="145"/>
    </row>
    <row r="977" spans="1:26"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201"/>
      <c r="U977" s="145"/>
      <c r="V977" s="145"/>
      <c r="W977" s="145"/>
      <c r="X977" s="145"/>
      <c r="Y977" s="145"/>
      <c r="Z977" s="145"/>
    </row>
    <row r="978" spans="1:26"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201"/>
      <c r="U978" s="145"/>
      <c r="V978" s="145"/>
      <c r="W978" s="145"/>
      <c r="X978" s="145"/>
      <c r="Y978" s="145"/>
      <c r="Z978" s="145"/>
    </row>
    <row r="979" spans="1:26"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201"/>
      <c r="U979" s="145"/>
      <c r="V979" s="145"/>
      <c r="W979" s="145"/>
      <c r="X979" s="145"/>
      <c r="Y979" s="145"/>
      <c r="Z979" s="145"/>
    </row>
    <row r="980" spans="1:26"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201"/>
      <c r="U980" s="145"/>
      <c r="V980" s="145"/>
      <c r="W980" s="145"/>
      <c r="X980" s="145"/>
      <c r="Y980" s="145"/>
      <c r="Z980" s="145"/>
    </row>
    <row r="981" spans="1:26"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201"/>
      <c r="U981" s="145"/>
      <c r="V981" s="145"/>
      <c r="W981" s="145"/>
      <c r="X981" s="145"/>
      <c r="Y981" s="145"/>
      <c r="Z981" s="145"/>
    </row>
    <row r="982" spans="1:26"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201"/>
      <c r="U982" s="145"/>
      <c r="V982" s="145"/>
      <c r="W982" s="145"/>
      <c r="X982" s="145"/>
      <c r="Y982" s="145"/>
      <c r="Z982" s="145"/>
    </row>
    <row r="983" spans="1:26"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201"/>
      <c r="U983" s="145"/>
      <c r="V983" s="145"/>
      <c r="W983" s="145"/>
      <c r="X983" s="145"/>
      <c r="Y983" s="145"/>
      <c r="Z983" s="145"/>
    </row>
    <row r="984" spans="1:26"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201"/>
      <c r="U984" s="145"/>
      <c r="V984" s="145"/>
      <c r="W984" s="145"/>
      <c r="X984" s="145"/>
      <c r="Y984" s="145"/>
      <c r="Z984" s="145"/>
    </row>
    <row r="985" spans="1:26"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201"/>
      <c r="U985" s="145"/>
      <c r="V985" s="145"/>
      <c r="W985" s="145"/>
      <c r="X985" s="145"/>
      <c r="Y985" s="145"/>
      <c r="Z985" s="145"/>
    </row>
    <row r="986" spans="1:26"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201"/>
      <c r="U986" s="145"/>
      <c r="V986" s="145"/>
      <c r="W986" s="145"/>
      <c r="X986" s="145"/>
      <c r="Y986" s="145"/>
      <c r="Z986" s="145"/>
    </row>
    <row r="987" spans="1:26" ht="15.75" customHeight="1" x14ac:dyDescent="0.25">
      <c r="A987" s="145"/>
      <c r="B987" s="145"/>
      <c r="C987" s="145"/>
      <c r="D987" s="145"/>
      <c r="E987" s="145"/>
      <c r="F987" s="145"/>
      <c r="G987" s="145"/>
      <c r="H987" s="145"/>
      <c r="I987" s="145"/>
      <c r="J987" s="145"/>
      <c r="K987" s="145"/>
      <c r="L987" s="145"/>
      <c r="M987" s="145"/>
      <c r="N987" s="145"/>
      <c r="O987" s="145"/>
      <c r="P987" s="145"/>
      <c r="Q987" s="145"/>
      <c r="R987" s="145"/>
      <c r="S987" s="145"/>
      <c r="T987" s="201"/>
      <c r="U987" s="145"/>
      <c r="V987" s="145"/>
      <c r="W987" s="145"/>
      <c r="X987" s="145"/>
      <c r="Y987" s="145"/>
      <c r="Z987" s="145"/>
    </row>
    <row r="988" spans="1:26" ht="15.75" customHeight="1" x14ac:dyDescent="0.25">
      <c r="A988" s="145"/>
      <c r="B988" s="145"/>
      <c r="C988" s="145"/>
      <c r="D988" s="145"/>
      <c r="E988" s="145"/>
      <c r="F988" s="145"/>
      <c r="G988" s="145"/>
      <c r="H988" s="145"/>
      <c r="I988" s="145"/>
      <c r="J988" s="145"/>
      <c r="K988" s="145"/>
      <c r="L988" s="145"/>
      <c r="M988" s="145"/>
      <c r="N988" s="145"/>
      <c r="O988" s="145"/>
      <c r="P988" s="145"/>
      <c r="Q988" s="145"/>
      <c r="R988" s="145"/>
      <c r="S988" s="145"/>
      <c r="T988" s="201"/>
      <c r="U988" s="145"/>
      <c r="V988" s="145"/>
      <c r="W988" s="145"/>
      <c r="X988" s="145"/>
      <c r="Y988" s="145"/>
      <c r="Z988" s="145"/>
    </row>
    <row r="989" spans="1:26" ht="15.75" customHeight="1" x14ac:dyDescent="0.25">
      <c r="A989" s="145"/>
      <c r="B989" s="145"/>
      <c r="C989" s="145"/>
      <c r="D989" s="145"/>
      <c r="E989" s="145"/>
      <c r="F989" s="145"/>
      <c r="G989" s="145"/>
      <c r="H989" s="145"/>
      <c r="I989" s="145"/>
      <c r="J989" s="145"/>
      <c r="K989" s="145"/>
      <c r="L989" s="145"/>
      <c r="M989" s="145"/>
      <c r="N989" s="145"/>
      <c r="O989" s="145"/>
      <c r="P989" s="145"/>
      <c r="Q989" s="145"/>
      <c r="R989" s="145"/>
      <c r="S989" s="145"/>
      <c r="T989" s="201"/>
      <c r="U989" s="145"/>
      <c r="V989" s="145"/>
      <c r="W989" s="145"/>
      <c r="X989" s="145"/>
      <c r="Y989" s="145"/>
      <c r="Z989" s="145"/>
    </row>
    <row r="990" spans="1:26" ht="15.75" customHeight="1" x14ac:dyDescent="0.25">
      <c r="A990" s="145"/>
      <c r="B990" s="145"/>
      <c r="C990" s="145"/>
      <c r="D990" s="145"/>
      <c r="E990" s="145"/>
      <c r="F990" s="145"/>
      <c r="G990" s="145"/>
      <c r="H990" s="145"/>
      <c r="I990" s="145"/>
      <c r="J990" s="145"/>
      <c r="K990" s="145"/>
      <c r="L990" s="145"/>
      <c r="M990" s="145"/>
      <c r="N990" s="145"/>
      <c r="O990" s="145"/>
      <c r="P990" s="145"/>
      <c r="Q990" s="145"/>
      <c r="R990" s="145"/>
      <c r="S990" s="145"/>
      <c r="T990" s="201"/>
      <c r="U990" s="145"/>
      <c r="V990" s="145"/>
      <c r="W990" s="145"/>
      <c r="X990" s="145"/>
      <c r="Y990" s="145"/>
      <c r="Z990" s="145"/>
    </row>
    <row r="991" spans="1:26" ht="15.75" customHeight="1" x14ac:dyDescent="0.25">
      <c r="A991" s="145"/>
      <c r="B991" s="145"/>
      <c r="C991" s="145"/>
      <c r="D991" s="145"/>
      <c r="E991" s="145"/>
      <c r="F991" s="145"/>
      <c r="G991" s="145"/>
      <c r="H991" s="145"/>
      <c r="I991" s="145"/>
      <c r="J991" s="145"/>
      <c r="K991" s="145"/>
      <c r="L991" s="145"/>
      <c r="M991" s="145"/>
      <c r="N991" s="145"/>
      <c r="O991" s="145"/>
      <c r="P991" s="145"/>
      <c r="Q991" s="145"/>
      <c r="R991" s="145"/>
      <c r="S991" s="145"/>
      <c r="T991" s="201"/>
      <c r="U991" s="145"/>
      <c r="V991" s="145"/>
      <c r="W991" s="145"/>
      <c r="X991" s="145"/>
      <c r="Y991" s="145"/>
      <c r="Z991" s="145"/>
    </row>
    <row r="992" spans="1:26" ht="15.75" customHeight="1" x14ac:dyDescent="0.25">
      <c r="A992" s="145"/>
      <c r="B992" s="145"/>
      <c r="C992" s="145"/>
      <c r="D992" s="145"/>
      <c r="E992" s="145"/>
      <c r="F992" s="145"/>
      <c r="G992" s="145"/>
      <c r="H992" s="145"/>
      <c r="I992" s="145"/>
      <c r="J992" s="145"/>
      <c r="K992" s="145"/>
      <c r="L992" s="145"/>
      <c r="M992" s="145"/>
      <c r="N992" s="145"/>
      <c r="O992" s="145"/>
      <c r="P992" s="145"/>
      <c r="Q992" s="145"/>
      <c r="R992" s="145"/>
      <c r="S992" s="145"/>
      <c r="T992" s="201"/>
      <c r="U992" s="145"/>
      <c r="V992" s="145"/>
      <c r="W992" s="145"/>
      <c r="X992" s="145"/>
      <c r="Y992" s="145"/>
      <c r="Z992" s="145"/>
    </row>
    <row r="993" spans="1:26" ht="15.75" customHeight="1" x14ac:dyDescent="0.25">
      <c r="A993" s="145"/>
      <c r="B993" s="145"/>
      <c r="C993" s="145"/>
      <c r="D993" s="145"/>
      <c r="E993" s="145"/>
      <c r="F993" s="145"/>
      <c r="G993" s="145"/>
      <c r="H993" s="145"/>
      <c r="I993" s="145"/>
      <c r="J993" s="145"/>
      <c r="K993" s="145"/>
      <c r="L993" s="145"/>
      <c r="M993" s="145"/>
      <c r="N993" s="145"/>
      <c r="O993" s="145"/>
      <c r="P993" s="145"/>
      <c r="Q993" s="145"/>
      <c r="R993" s="145"/>
      <c r="S993" s="145"/>
      <c r="T993" s="201"/>
      <c r="U993" s="145"/>
      <c r="V993" s="145"/>
      <c r="W993" s="145"/>
      <c r="X993" s="145"/>
      <c r="Y993" s="145"/>
      <c r="Z993" s="145"/>
    </row>
    <row r="994" spans="1:26" ht="15.75" customHeight="1" x14ac:dyDescent="0.25">
      <c r="A994" s="145"/>
      <c r="B994" s="145"/>
      <c r="C994" s="145"/>
      <c r="D994" s="145"/>
      <c r="E994" s="145"/>
      <c r="F994" s="145"/>
      <c r="G994" s="145"/>
      <c r="H994" s="145"/>
      <c r="I994" s="145"/>
      <c r="J994" s="145"/>
      <c r="K994" s="145"/>
      <c r="L994" s="145"/>
      <c r="M994" s="145"/>
      <c r="N994" s="145"/>
      <c r="O994" s="145"/>
      <c r="P994" s="145"/>
      <c r="Q994" s="145"/>
      <c r="R994" s="145"/>
      <c r="S994" s="145"/>
      <c r="T994" s="201"/>
      <c r="U994" s="145"/>
      <c r="V994" s="145"/>
      <c r="W994" s="145"/>
      <c r="X994" s="145"/>
      <c r="Y994" s="145"/>
      <c r="Z994" s="145"/>
    </row>
    <row r="995" spans="1:26" ht="15.75" customHeight="1" x14ac:dyDescent="0.25">
      <c r="A995" s="145"/>
      <c r="B995" s="145"/>
      <c r="C995" s="145"/>
      <c r="D995" s="145"/>
      <c r="E995" s="145"/>
      <c r="F995" s="145"/>
      <c r="G995" s="145"/>
      <c r="H995" s="145"/>
      <c r="I995" s="145"/>
      <c r="J995" s="145"/>
      <c r="K995" s="145"/>
      <c r="L995" s="145"/>
      <c r="M995" s="145"/>
      <c r="N995" s="145"/>
      <c r="O995" s="145"/>
      <c r="P995" s="145"/>
      <c r="Q995" s="145"/>
      <c r="R995" s="145"/>
      <c r="S995" s="145"/>
      <c r="T995" s="201"/>
      <c r="U995" s="145"/>
      <c r="V995" s="145"/>
      <c r="W995" s="145"/>
      <c r="X995" s="145"/>
      <c r="Y995" s="145"/>
      <c r="Z995" s="145"/>
    </row>
    <row r="996" spans="1:26" ht="15.75" customHeight="1" x14ac:dyDescent="0.25">
      <c r="A996" s="145"/>
      <c r="B996" s="145"/>
      <c r="C996" s="145"/>
      <c r="D996" s="145"/>
      <c r="E996" s="145"/>
      <c r="F996" s="145"/>
      <c r="G996" s="145"/>
      <c r="H996" s="145"/>
      <c r="I996" s="145"/>
      <c r="J996" s="145"/>
      <c r="K996" s="145"/>
      <c r="L996" s="145"/>
      <c r="M996" s="145"/>
      <c r="N996" s="145"/>
      <c r="O996" s="145"/>
      <c r="P996" s="145"/>
      <c r="Q996" s="145"/>
      <c r="R996" s="145"/>
      <c r="S996" s="145"/>
      <c r="T996" s="201"/>
      <c r="U996" s="145"/>
      <c r="V996" s="145"/>
      <c r="W996" s="145"/>
      <c r="X996" s="145"/>
      <c r="Y996" s="145"/>
      <c r="Z996" s="145"/>
    </row>
    <row r="997" spans="1:26" ht="15.75" customHeight="1" x14ac:dyDescent="0.25">
      <c r="A997" s="145"/>
      <c r="B997" s="145"/>
      <c r="C997" s="145"/>
      <c r="D997" s="145"/>
      <c r="E997" s="145"/>
      <c r="F997" s="145"/>
      <c r="G997" s="145"/>
      <c r="H997" s="145"/>
      <c r="I997" s="145"/>
      <c r="J997" s="145"/>
      <c r="K997" s="145"/>
      <c r="L997" s="145"/>
      <c r="M997" s="145"/>
      <c r="N997" s="145"/>
      <c r="O997" s="145"/>
      <c r="P997" s="145"/>
      <c r="Q997" s="145"/>
      <c r="R997" s="145"/>
      <c r="S997" s="145"/>
      <c r="T997" s="201"/>
      <c r="U997" s="145"/>
      <c r="V997" s="145"/>
      <c r="W997" s="145"/>
      <c r="X997" s="145"/>
      <c r="Y997" s="145"/>
      <c r="Z997" s="145"/>
    </row>
    <row r="998" spans="1:26" ht="15.75" customHeight="1" x14ac:dyDescent="0.25">
      <c r="A998" s="145"/>
      <c r="B998" s="145"/>
      <c r="C998" s="145"/>
      <c r="D998" s="145"/>
      <c r="E998" s="145"/>
      <c r="F998" s="145"/>
      <c r="G998" s="145"/>
      <c r="H998" s="145"/>
      <c r="I998" s="145"/>
      <c r="J998" s="145"/>
      <c r="K998" s="145"/>
      <c r="L998" s="145"/>
      <c r="M998" s="145"/>
      <c r="N998" s="145"/>
      <c r="O998" s="145"/>
      <c r="P998" s="145"/>
      <c r="Q998" s="145"/>
      <c r="R998" s="145"/>
      <c r="S998" s="145"/>
      <c r="T998" s="201"/>
      <c r="U998" s="145"/>
      <c r="V998" s="145"/>
      <c r="W998" s="145"/>
      <c r="X998" s="145"/>
      <c r="Y998" s="145"/>
      <c r="Z998" s="145"/>
    </row>
    <row r="999" spans="1:26" ht="15.75" customHeight="1" x14ac:dyDescent="0.25">
      <c r="A999" s="145"/>
      <c r="B999" s="145"/>
      <c r="C999" s="145"/>
      <c r="D999" s="145"/>
      <c r="E999" s="145"/>
      <c r="F999" s="145"/>
      <c r="G999" s="145"/>
      <c r="H999" s="145"/>
      <c r="I999" s="145"/>
      <c r="J999" s="145"/>
      <c r="K999" s="145"/>
      <c r="L999" s="145"/>
      <c r="M999" s="145"/>
      <c r="N999" s="145"/>
      <c r="O999" s="145"/>
      <c r="P999" s="145"/>
      <c r="Q999" s="145"/>
      <c r="R999" s="145"/>
      <c r="S999" s="145"/>
      <c r="T999" s="201"/>
      <c r="U999" s="145"/>
      <c r="V999" s="145"/>
      <c r="W999" s="145"/>
      <c r="X999" s="145"/>
      <c r="Y999" s="145"/>
      <c r="Z999" s="145"/>
    </row>
    <row r="1000" spans="1:26" ht="15.75" customHeight="1" x14ac:dyDescent="0.25">
      <c r="A1000" s="145"/>
      <c r="B1000" s="145"/>
      <c r="C1000" s="145"/>
      <c r="D1000" s="145"/>
      <c r="E1000" s="145"/>
      <c r="F1000" s="145"/>
      <c r="G1000" s="145"/>
      <c r="H1000" s="145"/>
      <c r="I1000" s="145"/>
      <c r="J1000" s="145"/>
      <c r="K1000" s="145"/>
      <c r="L1000" s="145"/>
      <c r="M1000" s="145"/>
      <c r="N1000" s="145"/>
      <c r="O1000" s="145"/>
      <c r="P1000" s="145"/>
      <c r="Q1000" s="145"/>
      <c r="R1000" s="145"/>
      <c r="S1000" s="145"/>
      <c r="T1000" s="201"/>
      <c r="U1000" s="145"/>
      <c r="V1000" s="145"/>
      <c r="W1000" s="145"/>
      <c r="X1000" s="145"/>
      <c r="Y1000" s="145"/>
      <c r="Z1000" s="145"/>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91"/>
  <sheetViews>
    <sheetView showGridLines="0" zoomScale="75" zoomScaleNormal="75" workbookViewId="0">
      <pane xSplit="6" ySplit="10" topLeftCell="AL25" activePane="bottomRight" state="frozen"/>
      <selection pane="topRight" activeCell="G1" sqref="G1"/>
      <selection pane="bottomLeft" activeCell="A11" sqref="A11"/>
      <selection pane="bottomRight" activeCell="AL25" sqref="AL25"/>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10"/>
      <c r="B1" s="476"/>
      <c r="C1" s="533" t="s">
        <v>328</v>
      </c>
      <c r="D1" s="476"/>
      <c r="E1" s="476"/>
      <c r="F1" s="476"/>
      <c r="G1" s="476"/>
      <c r="H1" s="476"/>
      <c r="I1" s="476"/>
      <c r="J1" s="476"/>
      <c r="K1" s="476"/>
      <c r="L1" s="611" t="s">
        <v>380</v>
      </c>
      <c r="M1" s="476"/>
      <c r="N1" s="476"/>
      <c r="O1" s="476"/>
      <c r="P1" s="476"/>
      <c r="Q1" s="476"/>
      <c r="R1" s="476"/>
      <c r="S1" s="476"/>
      <c r="T1" s="476"/>
      <c r="U1" s="476"/>
      <c r="V1" s="476"/>
      <c r="W1" s="476"/>
      <c r="X1" s="476"/>
      <c r="Y1" s="476"/>
      <c r="Z1" s="476"/>
      <c r="AA1" s="476"/>
      <c r="AB1" s="476"/>
      <c r="AC1" s="476"/>
      <c r="AD1" s="476"/>
      <c r="AE1" s="476"/>
      <c r="AF1" s="476"/>
      <c r="AG1" s="476"/>
      <c r="AH1" s="476"/>
      <c r="AI1" s="476"/>
      <c r="AJ1" s="476"/>
      <c r="AK1" s="612"/>
      <c r="AL1" s="476"/>
      <c r="AM1" s="207"/>
      <c r="AN1" s="207"/>
      <c r="AO1" s="207"/>
      <c r="AP1" s="207"/>
      <c r="AQ1" s="207"/>
      <c r="AR1" s="207"/>
      <c r="AS1" s="207"/>
      <c r="AT1" s="207"/>
      <c r="AU1" s="207"/>
      <c r="AV1" s="207"/>
      <c r="AW1" s="207"/>
    </row>
    <row r="2" spans="1:50" ht="34.5" customHeight="1" x14ac:dyDescent="0.25">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c r="AA2" s="476"/>
      <c r="AB2" s="476"/>
      <c r="AC2" s="476"/>
      <c r="AD2" s="476"/>
      <c r="AE2" s="476"/>
      <c r="AF2" s="476"/>
      <c r="AG2" s="476"/>
      <c r="AH2" s="476"/>
      <c r="AI2" s="476"/>
      <c r="AJ2" s="476"/>
      <c r="AK2" s="476"/>
      <c r="AL2" s="476"/>
      <c r="AM2" s="207"/>
      <c r="AN2" s="207"/>
      <c r="AO2" s="207"/>
      <c r="AP2" s="207"/>
      <c r="AQ2" s="207"/>
      <c r="AR2" s="207"/>
      <c r="AS2" s="207"/>
      <c r="AT2" s="207"/>
      <c r="AU2" s="207"/>
      <c r="AV2" s="207"/>
      <c r="AW2" s="207"/>
    </row>
    <row r="3" spans="1:50" ht="36" customHeight="1" x14ac:dyDescent="0.25">
      <c r="A3" s="476"/>
      <c r="B3" s="476"/>
      <c r="C3" s="476"/>
      <c r="D3" s="476"/>
      <c r="E3" s="476"/>
      <c r="F3" s="476"/>
      <c r="G3" s="476"/>
      <c r="H3" s="476"/>
      <c r="I3" s="476"/>
      <c r="J3" s="476"/>
      <c r="K3" s="476"/>
      <c r="N3" s="208"/>
      <c r="AE3" s="195"/>
      <c r="AH3" s="457"/>
      <c r="AM3" s="206"/>
      <c r="AN3" s="206"/>
      <c r="AO3" s="206"/>
      <c r="AP3" s="206"/>
      <c r="AQ3" s="206"/>
      <c r="AR3" s="206"/>
      <c r="AS3" s="206"/>
      <c r="AT3" s="206"/>
      <c r="AU3" s="209"/>
      <c r="AV3" s="206"/>
      <c r="AW3" s="206"/>
    </row>
    <row r="4" spans="1:50" ht="27" customHeight="1" x14ac:dyDescent="0.25">
      <c r="A4" s="607" t="s">
        <v>165</v>
      </c>
      <c r="B4" s="535"/>
      <c r="C4" s="535"/>
      <c r="D4" s="535"/>
      <c r="E4" s="535"/>
      <c r="F4" s="536"/>
      <c r="G4" s="210">
        <f>'3. BẢNG CHẤM CÔNG'!$AU$11</f>
        <v>22</v>
      </c>
      <c r="H4" s="211"/>
      <c r="I4" s="211"/>
      <c r="J4" s="211"/>
      <c r="K4" s="211"/>
      <c r="L4" s="211"/>
      <c r="M4" s="211"/>
      <c r="N4" s="212"/>
      <c r="O4" s="211"/>
      <c r="P4" s="211"/>
      <c r="Q4" s="211"/>
      <c r="R4" s="211"/>
      <c r="S4" s="211"/>
      <c r="T4" s="211"/>
      <c r="U4" s="211"/>
      <c r="V4" s="211"/>
      <c r="W4" s="213"/>
      <c r="X4" s="211"/>
      <c r="Y4" s="211"/>
      <c r="Z4" s="211"/>
      <c r="AA4" s="211"/>
      <c r="AB4" s="211"/>
      <c r="AC4" s="211"/>
      <c r="AD4" s="211"/>
      <c r="AE4" s="211"/>
      <c r="AF4" s="211"/>
      <c r="AG4" s="211"/>
      <c r="AH4" s="211"/>
      <c r="AI4" s="211"/>
      <c r="AJ4" s="214"/>
      <c r="AK4" s="211"/>
      <c r="AL4" s="211"/>
      <c r="AM4" s="211"/>
      <c r="AN4" s="211"/>
      <c r="AO4" s="211"/>
      <c r="AP4" s="211"/>
      <c r="AQ4" s="211"/>
      <c r="AR4" s="211"/>
      <c r="AS4" s="211"/>
      <c r="AT4" s="211"/>
      <c r="AU4" s="214"/>
      <c r="AV4" s="211"/>
      <c r="AW4" s="215"/>
    </row>
    <row r="5" spans="1:50" ht="45.75" customHeight="1" x14ac:dyDescent="0.25">
      <c r="A5" s="568" t="s">
        <v>166</v>
      </c>
      <c r="B5" s="568" t="s">
        <v>167</v>
      </c>
      <c r="C5" s="568" t="s">
        <v>41</v>
      </c>
      <c r="D5" s="568" t="s">
        <v>129</v>
      </c>
      <c r="E5" s="568" t="s">
        <v>168</v>
      </c>
      <c r="F5" s="568" t="s">
        <v>169</v>
      </c>
      <c r="G5" s="607" t="s">
        <v>170</v>
      </c>
      <c r="H5" s="535"/>
      <c r="I5" s="535"/>
      <c r="J5" s="535"/>
      <c r="K5" s="535"/>
      <c r="L5" s="536"/>
      <c r="M5" s="607" t="s">
        <v>171</v>
      </c>
      <c r="N5" s="535"/>
      <c r="O5" s="536"/>
      <c r="P5" s="624" t="s">
        <v>172</v>
      </c>
      <c r="Q5" s="618"/>
      <c r="R5" s="618"/>
      <c r="S5" s="619"/>
      <c r="T5" s="607" t="s">
        <v>173</v>
      </c>
      <c r="U5" s="535"/>
      <c r="V5" s="536"/>
      <c r="W5" s="607" t="s">
        <v>174</v>
      </c>
      <c r="X5" s="535"/>
      <c r="Y5" s="535"/>
      <c r="Z5" s="535"/>
      <c r="AA5" s="535"/>
      <c r="AB5" s="535"/>
      <c r="AC5" s="535"/>
      <c r="AD5" s="536"/>
      <c r="AE5" s="568" t="s">
        <v>136</v>
      </c>
      <c r="AF5" s="568" t="s">
        <v>175</v>
      </c>
      <c r="AG5" s="607" t="s">
        <v>176</v>
      </c>
      <c r="AH5" s="535"/>
      <c r="AI5" s="535"/>
      <c r="AJ5" s="535"/>
      <c r="AK5" s="535"/>
      <c r="AL5" s="535"/>
      <c r="AM5" s="535"/>
      <c r="AN5" s="536"/>
      <c r="AO5" s="617" t="s">
        <v>177</v>
      </c>
      <c r="AP5" s="618"/>
      <c r="AQ5" s="618"/>
      <c r="AR5" s="619"/>
      <c r="AS5" s="609" t="s">
        <v>178</v>
      </c>
      <c r="AT5" s="609" t="s">
        <v>179</v>
      </c>
      <c r="AU5" s="568" t="s">
        <v>317</v>
      </c>
      <c r="AV5" s="568" t="s">
        <v>181</v>
      </c>
      <c r="AW5" s="568" t="s">
        <v>182</v>
      </c>
    </row>
    <row r="6" spans="1:50" ht="40.5" customHeight="1" x14ac:dyDescent="0.25">
      <c r="A6" s="602"/>
      <c r="B6" s="602"/>
      <c r="C6" s="602"/>
      <c r="D6" s="602"/>
      <c r="E6" s="602"/>
      <c r="F6" s="602"/>
      <c r="G6" s="607" t="s">
        <v>183</v>
      </c>
      <c r="H6" s="535"/>
      <c r="I6" s="536"/>
      <c r="J6" s="568" t="s">
        <v>184</v>
      </c>
      <c r="K6" s="568" t="s">
        <v>185</v>
      </c>
      <c r="L6" s="609" t="s">
        <v>186</v>
      </c>
      <c r="M6" s="568" t="s">
        <v>187</v>
      </c>
      <c r="N6" s="614" t="s">
        <v>188</v>
      </c>
      <c r="O6" s="609" t="s">
        <v>189</v>
      </c>
      <c r="P6" s="620"/>
      <c r="Q6" s="561"/>
      <c r="R6" s="561"/>
      <c r="S6" s="621"/>
      <c r="T6" s="568" t="s">
        <v>190</v>
      </c>
      <c r="U6" s="568" t="s">
        <v>191</v>
      </c>
      <c r="V6" s="609" t="s">
        <v>192</v>
      </c>
      <c r="W6" s="607" t="s">
        <v>193</v>
      </c>
      <c r="X6" s="535"/>
      <c r="Y6" s="535"/>
      <c r="Z6" s="536"/>
      <c r="AA6" s="608" t="s">
        <v>194</v>
      </c>
      <c r="AB6" s="572"/>
      <c r="AC6" s="573"/>
      <c r="AD6" s="609" t="s">
        <v>195</v>
      </c>
      <c r="AE6" s="602"/>
      <c r="AF6" s="602"/>
      <c r="AG6" s="607" t="s">
        <v>196</v>
      </c>
      <c r="AH6" s="535"/>
      <c r="AI6" s="535"/>
      <c r="AJ6" s="536"/>
      <c r="AK6" s="607" t="s">
        <v>197</v>
      </c>
      <c r="AL6" s="535"/>
      <c r="AM6" s="535"/>
      <c r="AN6" s="536"/>
      <c r="AO6" s="620"/>
      <c r="AP6" s="561"/>
      <c r="AQ6" s="561"/>
      <c r="AR6" s="621"/>
      <c r="AS6" s="602"/>
      <c r="AT6" s="602"/>
      <c r="AU6" s="602"/>
      <c r="AV6" s="602"/>
      <c r="AW6" s="602"/>
    </row>
    <row r="7" spans="1:50" ht="48" customHeight="1" x14ac:dyDescent="0.25">
      <c r="A7" s="602"/>
      <c r="B7" s="602"/>
      <c r="C7" s="602"/>
      <c r="D7" s="602"/>
      <c r="E7" s="602"/>
      <c r="F7" s="602"/>
      <c r="G7" s="568" t="s">
        <v>198</v>
      </c>
      <c r="H7" s="568" t="s">
        <v>199</v>
      </c>
      <c r="I7" s="568" t="s">
        <v>200</v>
      </c>
      <c r="J7" s="602"/>
      <c r="K7" s="602"/>
      <c r="L7" s="602"/>
      <c r="M7" s="602"/>
      <c r="N7" s="602"/>
      <c r="O7" s="602"/>
      <c r="P7" s="568" t="s">
        <v>142</v>
      </c>
      <c r="Q7" s="568" t="s">
        <v>141</v>
      </c>
      <c r="R7" s="615" t="s">
        <v>201</v>
      </c>
      <c r="S7" s="609" t="s">
        <v>202</v>
      </c>
      <c r="T7" s="602"/>
      <c r="U7" s="602"/>
      <c r="V7" s="602"/>
      <c r="W7" s="568" t="s">
        <v>143</v>
      </c>
      <c r="X7" s="568" t="s">
        <v>144</v>
      </c>
      <c r="Y7" s="568" t="s">
        <v>145</v>
      </c>
      <c r="Z7" s="568" t="s">
        <v>203</v>
      </c>
      <c r="AA7" s="568" t="s">
        <v>147</v>
      </c>
      <c r="AB7" s="568" t="s">
        <v>204</v>
      </c>
      <c r="AC7" s="568" t="s">
        <v>205</v>
      </c>
      <c r="AD7" s="602"/>
      <c r="AE7" s="602"/>
      <c r="AF7" s="602"/>
      <c r="AG7" s="216" t="s">
        <v>206</v>
      </c>
      <c r="AH7" s="216" t="s">
        <v>207</v>
      </c>
      <c r="AI7" s="216" t="s">
        <v>208</v>
      </c>
      <c r="AJ7" s="609" t="s">
        <v>209</v>
      </c>
      <c r="AK7" s="216" t="s">
        <v>210</v>
      </c>
      <c r="AL7" s="216" t="s">
        <v>211</v>
      </c>
      <c r="AM7" s="216" t="s">
        <v>208</v>
      </c>
      <c r="AN7" s="609" t="s">
        <v>212</v>
      </c>
      <c r="AO7" s="622" t="s">
        <v>213</v>
      </c>
      <c r="AP7" s="623" t="s">
        <v>214</v>
      </c>
      <c r="AQ7" s="562"/>
      <c r="AR7" s="568" t="s">
        <v>215</v>
      </c>
      <c r="AS7" s="602"/>
      <c r="AT7" s="602"/>
      <c r="AU7" s="602"/>
      <c r="AV7" s="602"/>
      <c r="AW7" s="602"/>
    </row>
    <row r="8" spans="1:50" ht="43.5" customHeight="1" x14ac:dyDescent="0.25">
      <c r="A8" s="602"/>
      <c r="B8" s="602"/>
      <c r="C8" s="602"/>
      <c r="D8" s="602"/>
      <c r="E8" s="602"/>
      <c r="F8" s="602"/>
      <c r="G8" s="569"/>
      <c r="H8" s="569"/>
      <c r="I8" s="569"/>
      <c r="J8" s="569"/>
      <c r="K8" s="569"/>
      <c r="L8" s="569"/>
      <c r="M8" s="569"/>
      <c r="N8" s="569"/>
      <c r="O8" s="569"/>
      <c r="P8" s="569"/>
      <c r="Q8" s="569"/>
      <c r="R8" s="569"/>
      <c r="S8" s="569"/>
      <c r="T8" s="569"/>
      <c r="U8" s="569"/>
      <c r="V8" s="569"/>
      <c r="W8" s="569"/>
      <c r="X8" s="569"/>
      <c r="Y8" s="569"/>
      <c r="Z8" s="569"/>
      <c r="AA8" s="569"/>
      <c r="AB8" s="569"/>
      <c r="AC8" s="569"/>
      <c r="AD8" s="569"/>
      <c r="AE8" s="569"/>
      <c r="AF8" s="569"/>
      <c r="AG8" s="217">
        <v>0.17499999999999999</v>
      </c>
      <c r="AH8" s="218">
        <v>0.03</v>
      </c>
      <c r="AI8" s="217">
        <v>0.01</v>
      </c>
      <c r="AJ8" s="569"/>
      <c r="AK8" s="217">
        <v>0.08</v>
      </c>
      <c r="AL8" s="217">
        <v>1.4999999999999999E-2</v>
      </c>
      <c r="AM8" s="217">
        <v>0.01</v>
      </c>
      <c r="AN8" s="569"/>
      <c r="AO8" s="569"/>
      <c r="AP8" s="216" t="s">
        <v>216</v>
      </c>
      <c r="AQ8" s="216" t="s">
        <v>217</v>
      </c>
      <c r="AR8" s="569"/>
      <c r="AS8" s="569"/>
      <c r="AT8" s="569"/>
      <c r="AU8" s="569"/>
      <c r="AV8" s="569"/>
      <c r="AW8" s="569"/>
    </row>
    <row r="9" spans="1:50" ht="16.5" customHeight="1" x14ac:dyDescent="0.25">
      <c r="A9" s="569"/>
      <c r="B9" s="569"/>
      <c r="C9" s="569"/>
      <c r="D9" s="569"/>
      <c r="E9" s="569"/>
      <c r="F9" s="569"/>
      <c r="G9" s="219">
        <v>6</v>
      </c>
      <c r="H9" s="219">
        <f t="shared" ref="H9:AA9" si="0">G9+1</f>
        <v>7</v>
      </c>
      <c r="I9" s="219">
        <f t="shared" si="0"/>
        <v>8</v>
      </c>
      <c r="J9" s="219">
        <f t="shared" si="0"/>
        <v>9</v>
      </c>
      <c r="K9" s="219">
        <f t="shared" si="0"/>
        <v>10</v>
      </c>
      <c r="L9" s="219">
        <f t="shared" si="0"/>
        <v>11</v>
      </c>
      <c r="M9" s="219">
        <f t="shared" si="0"/>
        <v>12</v>
      </c>
      <c r="N9" s="219">
        <f t="shared" si="0"/>
        <v>13</v>
      </c>
      <c r="O9" s="219">
        <f t="shared" si="0"/>
        <v>14</v>
      </c>
      <c r="P9" s="219">
        <f t="shared" si="0"/>
        <v>15</v>
      </c>
      <c r="Q9" s="219">
        <f t="shared" si="0"/>
        <v>16</v>
      </c>
      <c r="R9" s="219">
        <f t="shared" si="0"/>
        <v>17</v>
      </c>
      <c r="S9" s="219">
        <f t="shared" si="0"/>
        <v>18</v>
      </c>
      <c r="T9" s="219">
        <f t="shared" si="0"/>
        <v>19</v>
      </c>
      <c r="U9" s="219">
        <f t="shared" si="0"/>
        <v>20</v>
      </c>
      <c r="V9" s="219">
        <f t="shared" si="0"/>
        <v>21</v>
      </c>
      <c r="W9" s="219">
        <f t="shared" si="0"/>
        <v>22</v>
      </c>
      <c r="X9" s="219">
        <f t="shared" si="0"/>
        <v>23</v>
      </c>
      <c r="Y9" s="219">
        <f t="shared" si="0"/>
        <v>24</v>
      </c>
      <c r="Z9" s="219">
        <f t="shared" si="0"/>
        <v>25</v>
      </c>
      <c r="AA9" s="219">
        <f t="shared" si="0"/>
        <v>26</v>
      </c>
      <c r="AB9" s="219"/>
      <c r="AC9" s="219">
        <f>AA9+1</f>
        <v>27</v>
      </c>
      <c r="AD9" s="219">
        <f t="shared" ref="AD9:AW9" si="1">AC9+1</f>
        <v>28</v>
      </c>
      <c r="AE9" s="219">
        <f t="shared" si="1"/>
        <v>29</v>
      </c>
      <c r="AF9" s="219">
        <f t="shared" si="1"/>
        <v>30</v>
      </c>
      <c r="AG9" s="219">
        <f t="shared" si="1"/>
        <v>31</v>
      </c>
      <c r="AH9" s="219">
        <f t="shared" si="1"/>
        <v>32</v>
      </c>
      <c r="AI9" s="219">
        <f t="shared" si="1"/>
        <v>33</v>
      </c>
      <c r="AJ9" s="219">
        <f t="shared" si="1"/>
        <v>34</v>
      </c>
      <c r="AK9" s="219">
        <f t="shared" si="1"/>
        <v>35</v>
      </c>
      <c r="AL9" s="219">
        <f t="shared" si="1"/>
        <v>36</v>
      </c>
      <c r="AM9" s="219">
        <f t="shared" si="1"/>
        <v>37</v>
      </c>
      <c r="AN9" s="219">
        <f t="shared" si="1"/>
        <v>38</v>
      </c>
      <c r="AO9" s="219">
        <f t="shared" si="1"/>
        <v>39</v>
      </c>
      <c r="AP9" s="219">
        <f t="shared" si="1"/>
        <v>40</v>
      </c>
      <c r="AQ9" s="219">
        <f t="shared" si="1"/>
        <v>41</v>
      </c>
      <c r="AR9" s="219">
        <f t="shared" si="1"/>
        <v>42</v>
      </c>
      <c r="AS9" s="219">
        <f t="shared" si="1"/>
        <v>43</v>
      </c>
      <c r="AT9" s="219">
        <f t="shared" si="1"/>
        <v>44</v>
      </c>
      <c r="AU9" s="219">
        <f t="shared" si="1"/>
        <v>45</v>
      </c>
      <c r="AV9" s="219">
        <f t="shared" si="1"/>
        <v>46</v>
      </c>
      <c r="AW9" s="219">
        <f t="shared" si="1"/>
        <v>47</v>
      </c>
    </row>
    <row r="10" spans="1:50" ht="16.5" customHeight="1" x14ac:dyDescent="0.25">
      <c r="A10" s="176"/>
      <c r="C10" s="174"/>
      <c r="D10" s="146"/>
      <c r="E10" s="220"/>
      <c r="F10" s="176"/>
      <c r="G10" s="219"/>
      <c r="H10" s="219"/>
      <c r="I10" s="219"/>
      <c r="J10" s="219"/>
      <c r="K10" s="219"/>
      <c r="L10" s="219"/>
      <c r="M10" s="219"/>
      <c r="N10" s="221"/>
      <c r="O10" s="219"/>
      <c r="P10" s="219"/>
      <c r="Q10" s="219"/>
      <c r="R10" s="219"/>
      <c r="S10" s="219"/>
      <c r="T10" s="219"/>
      <c r="U10" s="219"/>
      <c r="V10" s="219"/>
      <c r="W10" s="219"/>
      <c r="X10" s="219"/>
      <c r="Y10" s="219"/>
      <c r="Z10" s="219"/>
      <c r="AA10" s="219"/>
      <c r="AB10" s="219"/>
      <c r="AC10" s="219"/>
      <c r="AD10" s="219"/>
      <c r="AE10" s="219"/>
      <c r="AF10" s="219"/>
      <c r="AG10" s="219"/>
      <c r="AH10" s="219"/>
      <c r="AI10" s="219"/>
      <c r="AJ10" s="219"/>
      <c r="AK10" s="219"/>
      <c r="AL10" s="219"/>
      <c r="AM10" s="219"/>
      <c r="AN10" s="219"/>
      <c r="AO10" s="222">
        <v>15500000</v>
      </c>
      <c r="AP10" s="219"/>
      <c r="AQ10" s="222">
        <v>6200000</v>
      </c>
      <c r="AR10" s="219"/>
      <c r="AS10" s="219"/>
      <c r="AT10" s="219"/>
      <c r="AU10" s="219"/>
      <c r="AV10" s="219"/>
      <c r="AW10" s="219"/>
    </row>
    <row r="11" spans="1:50" ht="16.5" customHeight="1" x14ac:dyDescent="0.25">
      <c r="A11" s="223"/>
      <c r="B11" s="224" t="s">
        <v>327</v>
      </c>
      <c r="C11" s="225"/>
      <c r="D11" s="226"/>
      <c r="E11" s="383"/>
      <c r="F11" s="227"/>
      <c r="G11" s="228"/>
      <c r="H11" s="228"/>
      <c r="I11" s="228"/>
      <c r="J11" s="235">
        <f t="shared" ref="J11:AT11" si="2">SUBTOTAL(9,J12:J14)</f>
        <v>7500000</v>
      </c>
      <c r="K11" s="235">
        <f t="shared" si="2"/>
        <v>7499999.9999999991</v>
      </c>
      <c r="L11" s="235">
        <f t="shared" si="2"/>
        <v>7499999.9999999991</v>
      </c>
      <c r="M11" s="235">
        <f t="shared" si="2"/>
        <v>26083056</v>
      </c>
      <c r="N11" s="235">
        <f t="shared" si="2"/>
        <v>3</v>
      </c>
      <c r="O11" s="235">
        <f t="shared" si="2"/>
        <v>26083056.000000004</v>
      </c>
      <c r="P11" s="235">
        <f t="shared" si="2"/>
        <v>0</v>
      </c>
      <c r="Q11" s="235">
        <f t="shared" si="2"/>
        <v>0</v>
      </c>
      <c r="R11" s="235">
        <f t="shared" si="2"/>
        <v>0</v>
      </c>
      <c r="S11" s="235">
        <f t="shared" si="2"/>
        <v>0</v>
      </c>
      <c r="T11" s="235">
        <f t="shared" si="2"/>
        <v>0</v>
      </c>
      <c r="U11" s="235">
        <f t="shared" si="2"/>
        <v>0</v>
      </c>
      <c r="V11" s="235">
        <f t="shared" si="2"/>
        <v>0</v>
      </c>
      <c r="W11" s="235">
        <f t="shared" si="2"/>
        <v>2160000</v>
      </c>
      <c r="X11" s="235">
        <f t="shared" si="2"/>
        <v>1199999.9999999998</v>
      </c>
      <c r="Y11" s="235">
        <f t="shared" si="2"/>
        <v>5400000</v>
      </c>
      <c r="Z11" s="235">
        <f t="shared" si="2"/>
        <v>8760000</v>
      </c>
      <c r="AA11" s="235">
        <f t="shared" si="2"/>
        <v>0</v>
      </c>
      <c r="AB11" s="235">
        <f t="shared" si="2"/>
        <v>0</v>
      </c>
      <c r="AC11" s="235">
        <f t="shared" si="2"/>
        <v>0</v>
      </c>
      <c r="AD11" s="235">
        <f t="shared" si="2"/>
        <v>8760000</v>
      </c>
      <c r="AE11" s="235">
        <f t="shared" si="2"/>
        <v>42343056</v>
      </c>
      <c r="AF11" s="235">
        <f t="shared" si="2"/>
        <v>40323056</v>
      </c>
      <c r="AG11" s="235">
        <f t="shared" si="2"/>
        <v>1312500</v>
      </c>
      <c r="AH11" s="235">
        <f t="shared" si="2"/>
        <v>225000</v>
      </c>
      <c r="AI11" s="235">
        <f t="shared" si="2"/>
        <v>75000</v>
      </c>
      <c r="AJ11" s="235">
        <f t="shared" si="2"/>
        <v>1612500</v>
      </c>
      <c r="AK11" s="235">
        <f t="shared" si="2"/>
        <v>600000</v>
      </c>
      <c r="AL11" s="235">
        <f t="shared" si="2"/>
        <v>112500</v>
      </c>
      <c r="AM11" s="235">
        <f t="shared" si="2"/>
        <v>75000</v>
      </c>
      <c r="AN11" s="235">
        <f t="shared" si="2"/>
        <v>787500</v>
      </c>
      <c r="AO11" s="235">
        <f t="shared" si="2"/>
        <v>15500000</v>
      </c>
      <c r="AP11" s="235">
        <f t="shared" si="2"/>
        <v>0</v>
      </c>
      <c r="AQ11" s="235">
        <f t="shared" si="2"/>
        <v>0</v>
      </c>
      <c r="AR11" s="235">
        <f t="shared" si="2"/>
        <v>15500000</v>
      </c>
      <c r="AS11" s="235">
        <f t="shared" si="2"/>
        <v>25555556</v>
      </c>
      <c r="AT11" s="235">
        <f t="shared" si="2"/>
        <v>2555555.6</v>
      </c>
      <c r="AU11" s="227"/>
      <c r="AV11" s="235">
        <f>AV12+AV13+AV14</f>
        <v>39000000</v>
      </c>
      <c r="AW11" s="219"/>
    </row>
    <row r="12" spans="1:50" ht="52.8" customHeight="1" x14ac:dyDescent="0.25">
      <c r="A12" s="223">
        <v>1</v>
      </c>
      <c r="B12" s="37" t="s">
        <v>340</v>
      </c>
      <c r="C12" s="225" t="s">
        <v>341</v>
      </c>
      <c r="D12" s="226" t="s">
        <v>321</v>
      </c>
      <c r="E12" s="178" t="s">
        <v>343</v>
      </c>
      <c r="F12" s="227" t="str">
        <f>IFERROR(VLOOKUP($B12,'3. BẢNG CHẤM CÔNG'!$B$11:$AV$23,6,0),0)</f>
        <v>Chính Thức</v>
      </c>
      <c r="G12" s="228">
        <f>IFERROR(VLOOKUP($B12, '3. BẢNG CHẤM CÔNG'!$B$10:$AV27,43,0),0)</f>
        <v>22</v>
      </c>
      <c r="H12" s="228">
        <f>IFERROR(VLOOKUP($B12, '3. BẢNG CHẤM CÔNG'!$B$10:$AV27,44,0),0)</f>
        <v>0</v>
      </c>
      <c r="I12" s="228"/>
      <c r="J12" s="227">
        <f>IFERROR(VLOOKUP($B12,' 5. Thông số TL'!$D$12:$S$26,4,0),0)</f>
        <v>0</v>
      </c>
      <c r="K12" s="227">
        <f>IFERROR(IF($F12="Chính Thức",$J12/$G$4*($G12+$H12),IF($F12="Thử Việc",$J12/$G$4*($G12+$H12)*85%,"")),0)</f>
        <v>0</v>
      </c>
      <c r="L12" s="229">
        <f t="shared" ref="L12" si="3">SUM(K12)</f>
        <v>0</v>
      </c>
      <c r="M12" s="227">
        <f>IFERROR(VLOOKUP($B12,' 5. Thông số TL'!$D$12:$S$26,5,0),0)</f>
        <v>13046667</v>
      </c>
      <c r="N12" s="230">
        <v>1</v>
      </c>
      <c r="O12" s="227">
        <f>IFERROR(IF($F12="Chính Thức",$M12/$G$4*($G12+$H12)*N12,IF($F12="Thử Việc",$M12/$G$4*N12*($G12+$H12)*85%)),0)</f>
        <v>13046667.000000002</v>
      </c>
      <c r="P12" s="227"/>
      <c r="Q12" s="231"/>
      <c r="R12" s="227"/>
      <c r="S12" s="229"/>
      <c r="T12" s="227"/>
      <c r="U12" s="227"/>
      <c r="V12" s="229">
        <f t="shared" ref="V12" si="4">SUM(T12:U12)</f>
        <v>0</v>
      </c>
      <c r="W12" s="227">
        <f>IFERROR(IF($F12="Chính Thức",VLOOKUP($B12,' 5. Thông số TL'!$D$12:$S$26,6,0)/$G$4*($G12+$H12),IF($F12="Thử Việc",VLOOKUP($B12,' 5. Thông số TL'!$D$12:$S$26,6,0)/$G$4*($G12+$H12)*85%,"")),0)</f>
        <v>720000</v>
      </c>
      <c r="X12" s="227">
        <f>IFERROR(IF($F12="Chính Thức",VLOOKUP($B12,' 5. Thông số TL'!$D$12:$S$26,7,0)/$G$4*($G12+$H12),IF($F12="Thử Việc",VLOOKUP($B12,' 5. Thông số TL'!$D$12:$S$26,7,0)/$G$4*($G12+$H12)*85%,"")),0)</f>
        <v>399999.99999999994</v>
      </c>
      <c r="Y12" s="227">
        <f>IFERROR(IF($F12="Chính Thức",VLOOKUP($B12,' 5. Thông số TL'!$D$12:$S$26,8,0)/$G$4*($G12+$H12),IF($F12="Thử Việc",VLOOKUP($B12,' 5. Thông số TL'!$D$12:$S$26,8,0)/$G$4*($G12+$H12)*85%,"")),0)</f>
        <v>2500000</v>
      </c>
      <c r="Z12" s="227">
        <f t="shared" ref="Z12" si="5">SUM(W12:Y12)</f>
        <v>3620000</v>
      </c>
      <c r="AA12" s="227">
        <f>IFERROR(IF($F12="Chính Thức",VLOOKUP($B12,' 5. Thông số TL'!$D$12:$S$26,10,0)/$G$4*($G12+$H12),IF($F12="Thử Việc",VLOOKUP($B12,' 5. Thông số TL'!$D$12:$S$26,10,0)/$G$4*($G12+$H12)*85%,"")),0)</f>
        <v>0</v>
      </c>
      <c r="AB12" s="227"/>
      <c r="AC12" s="227">
        <f t="shared" ref="AC12" si="6">SUM(AA12:AB12)</f>
        <v>0</v>
      </c>
      <c r="AD12" s="229">
        <f t="shared" ref="AD12" si="7">Z12+AC12</f>
        <v>3620000</v>
      </c>
      <c r="AE12" s="229">
        <f>L12+O12+S12+V12+AD12</f>
        <v>16666667.000000002</v>
      </c>
      <c r="AF12" s="227">
        <f>IF(F12="Chính Thức",AE12,IF(F12="Thử Việc",AE12-W12-X12,IF(F12="CTV",AE12,0)))</f>
        <v>16666667.000000002</v>
      </c>
      <c r="AG12" s="232">
        <f t="shared" ref="AG12:AI13" si="8">IFERROR(IF(AND($F12="Chính Thức",($G12+$H12)&gt;=11),$J12*AG$8,IF(AND($F12="Chính Thức",($G12+$H12)&lt;11,0),IF($F12="Thử Việc",0),"")),0)</f>
        <v>0</v>
      </c>
      <c r="AH12" s="232">
        <f t="shared" si="8"/>
        <v>0</v>
      </c>
      <c r="AI12" s="232">
        <f t="shared" si="8"/>
        <v>0</v>
      </c>
      <c r="AJ12" s="233">
        <f t="shared" ref="AJ12" si="9">ROUND(SUM(AG12:AI12),0)</f>
        <v>0</v>
      </c>
      <c r="AK12" s="232">
        <f t="shared" ref="AK12:AM13" si="10">IFERROR(IF(AND($F12="Chính Thức",($G12+$H12)&gt;=11),$J12*AK$8,IF(AND($F12="Chính Thức",($G12+$H12)&lt;11,0),IF($F12="Thử Việc",0),"")),0)</f>
        <v>0</v>
      </c>
      <c r="AL12" s="232">
        <f t="shared" si="10"/>
        <v>0</v>
      </c>
      <c r="AM12" s="232">
        <f t="shared" si="10"/>
        <v>0</v>
      </c>
      <c r="AN12" s="229">
        <f t="shared" ref="AN12" si="11">ROUND(SUM(AK12:AM12),-1)</f>
        <v>0</v>
      </c>
      <c r="AO12" s="233">
        <v>0</v>
      </c>
      <c r="AP12" s="234"/>
      <c r="AQ12" s="227">
        <f t="shared" ref="AQ12" si="12">AP12*$AQ$10</f>
        <v>0</v>
      </c>
      <c r="AR12" s="227">
        <f t="shared" ref="AR12" si="13">+AO12+AQ12</f>
        <v>0</v>
      </c>
      <c r="AS12" s="227">
        <f>MAX(AF12,0)</f>
        <v>16666667.000000002</v>
      </c>
      <c r="AT12" s="229">
        <f>AS12*10%</f>
        <v>1666666.7000000002</v>
      </c>
      <c r="AU12" s="227"/>
      <c r="AV12" s="229">
        <f t="shared" ref="AV12:AV13" si="14">ROUND(AE12-AN12-AT12+AU12,-2)</f>
        <v>15000000</v>
      </c>
      <c r="AW12" s="219"/>
      <c r="AX12" s="463"/>
    </row>
    <row r="13" spans="1:50" ht="58.5" customHeight="1" x14ac:dyDescent="0.25">
      <c r="A13" s="223">
        <v>2</v>
      </c>
      <c r="B13" s="187" t="s">
        <v>324</v>
      </c>
      <c r="C13" s="225" t="s">
        <v>326</v>
      </c>
      <c r="D13" s="226" t="s">
        <v>321</v>
      </c>
      <c r="E13" s="178" t="s">
        <v>325</v>
      </c>
      <c r="F13" s="227" t="s">
        <v>308</v>
      </c>
      <c r="G13" s="228">
        <f>IFERROR(VLOOKUP($B13, '3. BẢNG CHẤM CÔNG'!$B$10:$AV28,43,0),0)</f>
        <v>22</v>
      </c>
      <c r="H13" s="228">
        <f>IFERROR(VLOOKUP($B13, '3. BẢNG CHẤM CÔNG'!$B$10:$AV28,44,0),0)</f>
        <v>0</v>
      </c>
      <c r="I13" s="408"/>
      <c r="J13" s="407">
        <f>IFERROR(VLOOKUP($B13,' 5. Thông số TL'!$D$12:$S$26,4,0),0)</f>
        <v>7500000</v>
      </c>
      <c r="K13" s="407">
        <f>IFERROR(IF($F13="Chính Thức",$J13/$G$4*($G13+$H13),IF($F13="Thử Việc",$J13/$G$4*($G13+$H13)*85%,"")),0)</f>
        <v>7499999.9999999991</v>
      </c>
      <c r="L13" s="409">
        <f t="shared" ref="L13:L14" si="15">SUM(K13)</f>
        <v>7499999.9999999991</v>
      </c>
      <c r="M13" s="407">
        <f>IFERROR(VLOOKUP($B13,' 5. Thông số TL'!$D$12:$S$26,5,0),0)</f>
        <v>7267500</v>
      </c>
      <c r="N13" s="410">
        <v>1</v>
      </c>
      <c r="O13" s="407">
        <f>IFERROR(IF($F13="Chính Thức",$M13/$G$4*($G13+$H13)*N13,IF($F13="Thử Việc",$M13/$G$4*N13*($G13+$H13)*85%)),0)</f>
        <v>7267500.0000000009</v>
      </c>
      <c r="P13" s="407"/>
      <c r="Q13" s="411"/>
      <c r="R13" s="407"/>
      <c r="S13" s="409"/>
      <c r="T13" s="407"/>
      <c r="U13" s="407"/>
      <c r="V13" s="409">
        <f t="shared" ref="V13:V14" si="16">SUM(T13:U13)</f>
        <v>0</v>
      </c>
      <c r="W13" s="407">
        <f>IFERROR(IF($F13="Chính Thức",VLOOKUP($B13,' 5. Thông số TL'!$D$12:$S$26,6,0)/$G$4*($G13+$H13),IF($F13="Thử Việc",VLOOKUP($B13,' 5. Thông số TL'!$D$12:$S$26,6,0)/$G$4*($G13+$H13)*85%,"")),0)</f>
        <v>720000</v>
      </c>
      <c r="X13" s="407">
        <f>IFERROR(IF($F13="Chính Thức",VLOOKUP($B13,' 5. Thông số TL'!$D$12:$S$26,7,0)/$G$4*($G13+$H13),IF($F13="Thử Việc",VLOOKUP($B13,' 5. Thông số TL'!$D$12:$S$26,7,0)/$G$4*($G13+$H13)*85%,"")),0)</f>
        <v>399999.99999999994</v>
      </c>
      <c r="Y13" s="407">
        <f>IFERROR(IF($F13="Chính Thức",VLOOKUP($B13,' 5. Thông số TL'!$D$12:$S$26,8,0)/$G$4*($G13+$H13),IF($F13="Thử Việc",VLOOKUP($B13,' 5. Thông số TL'!$D$12:$S$26,8,0)/$G$4*($G13+$H13)*85%,"")),0)</f>
        <v>900000</v>
      </c>
      <c r="Z13" s="407">
        <f t="shared" ref="Z13:Z14" si="17">SUM(W13:Y13)</f>
        <v>2020000</v>
      </c>
      <c r="AA13" s="407">
        <f>IFERROR(IF($F13="Chính Thức",VLOOKUP($B13,' 5. Thông số TL'!$D$12:$S$26,10,0)/$G$4*($G13+$H13),IF($F13="Thử Việc",VLOOKUP($B13,' 5. Thông số TL'!$D$12:$S$26,10,0)/$G$4*($G13+$H13)*85%,"")),0)</f>
        <v>0</v>
      </c>
      <c r="AB13" s="407"/>
      <c r="AC13" s="407">
        <f t="shared" ref="AC13:AC14" si="18">SUM(AA13:AB13)</f>
        <v>0</v>
      </c>
      <c r="AD13" s="409">
        <f t="shared" ref="AD13:AD14" si="19">Z13+AC13</f>
        <v>2020000</v>
      </c>
      <c r="AE13" s="409">
        <f t="shared" ref="AE13" si="20">L13+O13+S13+V13+AD13</f>
        <v>16787500</v>
      </c>
      <c r="AF13" s="407">
        <f>IF(F13="Chính Thức",AE13-Z13,IF(F13="Thử Việc",AE13-W13-X13,IF(F13="CTV",AE13,0)))</f>
        <v>14767500</v>
      </c>
      <c r="AG13" s="412">
        <f t="shared" si="8"/>
        <v>1312500</v>
      </c>
      <c r="AH13" s="412">
        <f t="shared" si="8"/>
        <v>225000</v>
      </c>
      <c r="AI13" s="412">
        <f t="shared" si="8"/>
        <v>75000</v>
      </c>
      <c r="AJ13" s="413">
        <f t="shared" ref="AJ13:AJ14" si="21">ROUND(SUM(AG13:AI13),0)</f>
        <v>1612500</v>
      </c>
      <c r="AK13" s="412">
        <f t="shared" si="10"/>
        <v>600000</v>
      </c>
      <c r="AL13" s="412">
        <f t="shared" si="10"/>
        <v>112500</v>
      </c>
      <c r="AM13" s="412">
        <f t="shared" si="10"/>
        <v>75000</v>
      </c>
      <c r="AN13" s="409">
        <f t="shared" ref="AN13:AN14" si="22">ROUND(SUM(AK13:AM13),-1)</f>
        <v>787500</v>
      </c>
      <c r="AO13" s="413">
        <f>IF(F13="Chính Thức",$AO$10,0)</f>
        <v>15500000</v>
      </c>
      <c r="AP13" s="414"/>
      <c r="AQ13" s="407">
        <f t="shared" ref="AQ13:AQ14" si="23">AP13*$AQ$10</f>
        <v>0</v>
      </c>
      <c r="AR13" s="407">
        <f t="shared" ref="AR13:AR14" si="24">+AO13+AQ13</f>
        <v>15500000</v>
      </c>
      <c r="AS13" s="407">
        <f t="shared" ref="AS13" si="25">MAX(AF13-AR13-AN13,0)</f>
        <v>0</v>
      </c>
      <c r="AT13" s="409">
        <f>IF(F13="Chính Thức",IF(AS13&lt;=0,,IF(AND(AS13&gt;0,AS13&lt;=5000000),5%*AS13,IF(AND(AS13&gt;5000000,AS13&lt;=10000000),10%*AS13-250000,IF(AND(AS13&gt;10000000,AS13&lt;=18000000),15%*AS13-750000,IF(AND(AS13&gt;18000000,AS13&lt;=32000000),20%*AS13-1650000,IF(AND(AS13&gt;32000000,AS13&lt;=52000000),25%*AS13-3250000,IF(AND(AS13&gt;52000000,AS13&lt;=80000000),30%*AS13-5850000,IF(AS13&gt;80000000,35%*AS13-9850000)))))))),IF(AND(F13="Thử Việc",AS13&gt;=2000000),AS13*10%,IF(F13="CTV",AS13*10%)))</f>
        <v>0</v>
      </c>
      <c r="AU13" s="407"/>
      <c r="AV13" s="229">
        <f t="shared" si="14"/>
        <v>16000000</v>
      </c>
      <c r="AW13" s="227"/>
    </row>
    <row r="14" spans="1:50" ht="58.5" customHeight="1" x14ac:dyDescent="0.25">
      <c r="A14" s="223">
        <v>3</v>
      </c>
      <c r="B14" s="187" t="s">
        <v>356</v>
      </c>
      <c r="C14" s="225" t="s">
        <v>357</v>
      </c>
      <c r="D14" s="226" t="s">
        <v>321</v>
      </c>
      <c r="E14" s="178" t="s">
        <v>355</v>
      </c>
      <c r="F14" s="227" t="str">
        <f>IFERROR(VLOOKUP($B14,'3. BẢNG CHẤM CÔNG'!$B$11:$AV$23,6,0),0)</f>
        <v>Chính Thức</v>
      </c>
      <c r="G14" s="228">
        <f>IFERROR(VLOOKUP($B14, '3. BẢNG CHẤM CÔNG'!$B$10:$AV28,43,0),0)</f>
        <v>22</v>
      </c>
      <c r="H14" s="228">
        <f>IFERROR(VLOOKUP($B14, '3. BẢNG CHẤM CÔNG'!$B$10:$AV28,44,0),0)</f>
        <v>0</v>
      </c>
      <c r="I14" s="228"/>
      <c r="J14" s="227">
        <f>IFERROR(VLOOKUP($B14,' 5. Thông số TL'!$D$12:$S$26,4,0),0)</f>
        <v>0</v>
      </c>
      <c r="K14" s="227">
        <f>IFERROR(IF($F14="Chính Thức",$J14/$G$4*($G14+$H14),IF($F14="Thử Việc",$J14/$G$4*($G14+$H14)*85%,"")),0)</f>
        <v>0</v>
      </c>
      <c r="L14" s="229">
        <f t="shared" si="15"/>
        <v>0</v>
      </c>
      <c r="M14" s="227">
        <f>IFERROR(VLOOKUP($B14,' 5. Thông số TL'!$D$12:$S$26,5,0),0)</f>
        <v>5768889</v>
      </c>
      <c r="N14" s="230">
        <v>1</v>
      </c>
      <c r="O14" s="227">
        <f>IFERROR(IF($F14="Chính Thức",$M14/$G$4*($G14+$H14)*N14,IF($F14="Thử Việc",$M14/$G$4*N14*($G14+$H14)*85%)),0)</f>
        <v>5768889</v>
      </c>
      <c r="P14" s="227"/>
      <c r="Q14" s="231"/>
      <c r="R14" s="227"/>
      <c r="S14" s="229"/>
      <c r="T14" s="227"/>
      <c r="U14" s="227"/>
      <c r="V14" s="229">
        <f t="shared" si="16"/>
        <v>0</v>
      </c>
      <c r="W14" s="227">
        <f>IFERROR(IF($F14="Chính Thức",VLOOKUP($B14,' 5. Thông số TL'!$D$12:$S$26,6,0)/$G$4*($G14+$H14),IF($F14="Thử Việc",VLOOKUP($B14,' 5. Thông số TL'!$D$12:$S$26,6,0)/$G$4*($G14+$H14)*85%,"")),0)</f>
        <v>720000</v>
      </c>
      <c r="X14" s="227">
        <f>IFERROR(IF($F14="Chính Thức",VLOOKUP($B14,' 5. Thông số TL'!$D$12:$S$26,7,0)/$G$4*($G14+$H14),IF($F14="Thử Việc",VLOOKUP($B14,' 5. Thông số TL'!$D$12:$S$26,7,0)/$G$4*($G14+$H14)*85%,"")),0)</f>
        <v>399999.99999999994</v>
      </c>
      <c r="Y14" s="227">
        <f>IFERROR(IF($F14="Chính Thức",VLOOKUP($B14,' 5. Thông số TL'!$D$12:$S$26,8,0)/$G$4*($G14+$H14),IF($F14="Thử Việc",VLOOKUP($B14,' 5. Thông số TL'!$D$12:$S$26,8,0)/$G$4*($G14+$H14)*85%,"")),0)</f>
        <v>2000000</v>
      </c>
      <c r="Z14" s="227">
        <f t="shared" si="17"/>
        <v>3120000</v>
      </c>
      <c r="AA14" s="227">
        <f>IFERROR(IF($F14="Chính Thức",VLOOKUP($B14,' 5. Thông số TL'!$D$12:$S$26,10,0)/$G$4*($G14+$H14),IF($F14="Thử Việc",VLOOKUP($B14,' 5. Thông số TL'!$D$12:$S$26,10,0)/$G$4*($G14+$H14)*85%,"")),0)</f>
        <v>0</v>
      </c>
      <c r="AB14" s="227"/>
      <c r="AC14" s="227">
        <f t="shared" si="18"/>
        <v>0</v>
      </c>
      <c r="AD14" s="229">
        <f t="shared" si="19"/>
        <v>3120000</v>
      </c>
      <c r="AE14" s="229">
        <f>L14+O14+S14+V14+AD14</f>
        <v>8888889</v>
      </c>
      <c r="AF14" s="227">
        <f>IF(F14="Chính Thức",AE14,IF(F14="Thử Việc",AE14-W14-X14,IF(F14="CTV",AE14,0)))</f>
        <v>8888889</v>
      </c>
      <c r="AG14" s="232">
        <f>IFERROR(IF(AND($F14="Chính Thức",($G14+$H14)&gt;=11),$J14*AG$8,IF(AND($F14="Chính Thức",($G14+$H14)&lt;11,0),IF($F14="Thử Việc",0),"")),0)</f>
        <v>0</v>
      </c>
      <c r="AH14" s="232">
        <f>IFERROR(IF(AND($F14="Chính Thức",($G14+$H14)&gt;=11),$J14*AH$8,IF(AND($F14="Chính Thức",($G14+$H14)&lt;11,0),IF($F14="Thử Việc",0),"")),0)</f>
        <v>0</v>
      </c>
      <c r="AI14" s="232">
        <f>IFERROR(IF(AND($F14="Chính Thức",($G14+$H14)&gt;=11),$J14*AI$8,IF(AND($F14="Chính Thức",($G14+$H14)&lt;11,0),IF($F14="Thử Việc",0),"")),0)</f>
        <v>0</v>
      </c>
      <c r="AJ14" s="233">
        <f t="shared" si="21"/>
        <v>0</v>
      </c>
      <c r="AK14" s="232">
        <f>IFERROR(IF(AND($F14="Chính Thức",($G14+$H14)&gt;=11),$J14*AK$8,IF(AND($F14="Chính Thức",($G14+$H14)&lt;11,0),IF($F14="Thử Việc",0),"")),0)</f>
        <v>0</v>
      </c>
      <c r="AL14" s="232">
        <f>IFERROR(IF(AND($F14="Chính Thức",($G14+$H14)&gt;=11),$J14*AL$8,IF(AND($F14="Chính Thức",($G14+$H14)&lt;11,0),IF($F14="Thử Việc",0),"")),0)</f>
        <v>0</v>
      </c>
      <c r="AM14" s="232">
        <f>IFERROR(IF(AND($F14="Chính Thức",($G14+$H14)&gt;=11),$J14*AM$8,IF(AND($F14="Chính Thức",($G14+$H14)&lt;11,0),IF($F14="Thử Việc",0),"")),0)</f>
        <v>0</v>
      </c>
      <c r="AN14" s="229">
        <f t="shared" si="22"/>
        <v>0</v>
      </c>
      <c r="AO14" s="233">
        <v>0</v>
      </c>
      <c r="AP14" s="234"/>
      <c r="AQ14" s="227">
        <f t="shared" si="23"/>
        <v>0</v>
      </c>
      <c r="AR14" s="227">
        <f t="shared" si="24"/>
        <v>0</v>
      </c>
      <c r="AS14" s="227">
        <f>MAX(AF14,0)</f>
        <v>8888889</v>
      </c>
      <c r="AT14" s="229">
        <f>AS14*10%</f>
        <v>888888.9</v>
      </c>
      <c r="AU14" s="227"/>
      <c r="AV14" s="229">
        <f t="shared" ref="AV14" si="26">ROUND(AE14-AN14-AT14+AU14,-2)</f>
        <v>8000000</v>
      </c>
      <c r="AW14" s="227"/>
    </row>
    <row r="15" spans="1:50" ht="58.5" customHeight="1" x14ac:dyDescent="0.25">
      <c r="A15" s="403"/>
      <c r="B15" s="464" t="s">
        <v>319</v>
      </c>
      <c r="C15" s="404"/>
      <c r="D15" s="405"/>
      <c r="E15" s="406"/>
      <c r="F15" s="407"/>
      <c r="G15" s="408"/>
      <c r="H15" s="408"/>
      <c r="I15" s="408"/>
      <c r="J15" s="465">
        <f>SUBTOTAL(9,J16:J20)</f>
        <v>28420000</v>
      </c>
      <c r="K15" s="465">
        <f t="shared" ref="K15:AV15" si="27">SUBTOTAL(9,K16:K20)</f>
        <v>20348909.09090909</v>
      </c>
      <c r="L15" s="465">
        <f t="shared" si="27"/>
        <v>20348909.09090909</v>
      </c>
      <c r="M15" s="465">
        <f t="shared" si="27"/>
        <v>15876600</v>
      </c>
      <c r="N15" s="465">
        <f t="shared" si="27"/>
        <v>5</v>
      </c>
      <c r="O15" s="465">
        <f t="shared" si="27"/>
        <v>11458953.636363635</v>
      </c>
      <c r="P15" s="465">
        <f t="shared" si="27"/>
        <v>0</v>
      </c>
      <c r="Q15" s="465">
        <f t="shared" si="27"/>
        <v>0</v>
      </c>
      <c r="R15" s="465">
        <f t="shared" si="27"/>
        <v>0</v>
      </c>
      <c r="S15" s="465">
        <f t="shared" si="27"/>
        <v>0</v>
      </c>
      <c r="T15" s="465">
        <f t="shared" si="27"/>
        <v>0</v>
      </c>
      <c r="U15" s="465">
        <f t="shared" si="27"/>
        <v>0</v>
      </c>
      <c r="V15" s="465">
        <f t="shared" si="27"/>
        <v>0</v>
      </c>
      <c r="W15" s="465">
        <f t="shared" si="27"/>
        <v>2500363.6363636362</v>
      </c>
      <c r="X15" s="465">
        <f t="shared" si="27"/>
        <v>1389090.9090909089</v>
      </c>
      <c r="Y15" s="465">
        <f t="shared" si="27"/>
        <v>3597272.7272727271</v>
      </c>
      <c r="Z15" s="465">
        <f t="shared" si="27"/>
        <v>7486727.2727272725</v>
      </c>
      <c r="AA15" s="465">
        <f t="shared" si="27"/>
        <v>0</v>
      </c>
      <c r="AB15" s="465">
        <f t="shared" si="27"/>
        <v>0</v>
      </c>
      <c r="AC15" s="465">
        <f t="shared" si="27"/>
        <v>0</v>
      </c>
      <c r="AD15" s="465">
        <f t="shared" si="27"/>
        <v>7486727.2727272725</v>
      </c>
      <c r="AE15" s="465">
        <f t="shared" si="27"/>
        <v>39294589.999999993</v>
      </c>
      <c r="AF15" s="465">
        <f t="shared" si="27"/>
        <v>32905135.454545453</v>
      </c>
      <c r="AG15" s="465">
        <f t="shared" si="27"/>
        <v>1312500</v>
      </c>
      <c r="AH15" s="465">
        <f t="shared" si="27"/>
        <v>225000</v>
      </c>
      <c r="AI15" s="465">
        <f t="shared" si="27"/>
        <v>75000</v>
      </c>
      <c r="AJ15" s="465">
        <f t="shared" si="27"/>
        <v>1612500</v>
      </c>
      <c r="AK15" s="465">
        <f t="shared" si="27"/>
        <v>600000</v>
      </c>
      <c r="AL15" s="465">
        <f t="shared" si="27"/>
        <v>112500</v>
      </c>
      <c r="AM15" s="465">
        <f t="shared" si="27"/>
        <v>75000</v>
      </c>
      <c r="AN15" s="465">
        <f t="shared" si="27"/>
        <v>787500</v>
      </c>
      <c r="AO15" s="465">
        <f t="shared" si="27"/>
        <v>15500000</v>
      </c>
      <c r="AP15" s="465">
        <f t="shared" si="27"/>
        <v>0</v>
      </c>
      <c r="AQ15" s="465">
        <f t="shared" si="27"/>
        <v>0</v>
      </c>
      <c r="AR15" s="465">
        <f t="shared" si="27"/>
        <v>15500000</v>
      </c>
      <c r="AS15" s="465">
        <f t="shared" si="27"/>
        <v>20525135.454545453</v>
      </c>
      <c r="AT15" s="465">
        <f t="shared" si="27"/>
        <v>1856453.3181818181</v>
      </c>
      <c r="AU15" s="465">
        <f t="shared" si="27"/>
        <v>0</v>
      </c>
      <c r="AV15" s="465">
        <f t="shared" si="27"/>
        <v>36650600</v>
      </c>
      <c r="AW15" s="227"/>
    </row>
    <row r="16" spans="1:50" ht="58.5" customHeight="1" x14ac:dyDescent="0.25">
      <c r="A16" s="416">
        <v>4</v>
      </c>
      <c r="B16" s="395" t="s">
        <v>323</v>
      </c>
      <c r="C16" s="418" t="s">
        <v>318</v>
      </c>
      <c r="D16" s="419" t="s">
        <v>319</v>
      </c>
      <c r="E16" s="419" t="s">
        <v>322</v>
      </c>
      <c r="F16" s="420" t="str">
        <f>IFERROR(VLOOKUP($B16,'3. BẢNG CHẤM CÔNG'!$B$11:$AV$23,6,0),0)</f>
        <v>Chính Thức</v>
      </c>
      <c r="G16" s="421">
        <f>IFERROR(VLOOKUP($B16, '3. BẢNG CHẤM CÔNG'!$B$10:$AV29,43,0),0)</f>
        <v>22</v>
      </c>
      <c r="H16" s="421">
        <f>IFERROR(VLOOKUP($B16, '3. BẢNG CHẤM CÔNG'!$B$10:$AV29,44,0),0)</f>
        <v>0</v>
      </c>
      <c r="I16" s="421"/>
      <c r="J16" s="420">
        <f>IFERROR(VLOOKUP($B16,' 5. Thông số TL'!$D$12:$S$26,4,0),0)</f>
        <v>7500000</v>
      </c>
      <c r="K16" s="420">
        <f>IFERROR(IF($F16="Chính Thức",$J16/$G$4*($G16+$H16),IF($F16="Thử Việc",$J16/$G$4*($G16+$H16)*85%,"")),0)</f>
        <v>7499999.9999999991</v>
      </c>
      <c r="L16" s="422">
        <f t="shared" ref="L16" si="28">SUM(K16)</f>
        <v>7499999.9999999991</v>
      </c>
      <c r="M16" s="420">
        <f>IFERROR(VLOOKUP($B16,' 5. Thông số TL'!$D$12:$S$26,5,0),0)</f>
        <v>4880000</v>
      </c>
      <c r="N16" s="423">
        <v>1</v>
      </c>
      <c r="O16" s="420">
        <f>IFERROR(IF($F16="Chính Thức",$M16/$G$4*($G16+$H16)*N16,IF($F16="Thử Việc",$M16/$G$4*N16*($G16+$H16)*85%)),0)</f>
        <v>4880000</v>
      </c>
      <c r="P16" s="420"/>
      <c r="Q16" s="424"/>
      <c r="R16" s="420"/>
      <c r="S16" s="422"/>
      <c r="T16" s="420"/>
      <c r="U16" s="420"/>
      <c r="V16" s="422">
        <f t="shared" ref="V16" si="29">SUM(T16:U16)</f>
        <v>0</v>
      </c>
      <c r="W16" s="420">
        <f>IFERROR(IF($F16="Chính Thức",VLOOKUP($B16,' 5. Thông số TL'!$D$12:$S$26,6,0)/$G$4*($G16+$H16),IF($F16="Thử Việc",VLOOKUP($B16,' 5. Thông số TL'!$D$12:$S$26,6,0)/$G$4*($G16+$H16)*85%,"")),0)</f>
        <v>720000</v>
      </c>
      <c r="X16" s="420">
        <f>IFERROR(IF($F16="Chính Thức",VLOOKUP($B16,' 5. Thông số TL'!$D$12:$S$26,7,0)/$G$4*($G16+$H16),IF($F16="Thử Việc",VLOOKUP($B16,' 5. Thông số TL'!$D$12:$S$26,7,0)/$G$4*($G16+$H16)*85%,"")),0)</f>
        <v>399999.99999999994</v>
      </c>
      <c r="Y16" s="420">
        <f>IFERROR(IF($F16="Chính Thức",VLOOKUP($B16,' 5. Thông số TL'!$D$12:$S$26,8,0)/$G$4*($G16+$H16),IF($F16="Thử Việc",VLOOKUP($B16,' 5. Thông số TL'!$D$12:$S$26,8,0)/$G$4*($G16+$H16)*85%,"")),0)</f>
        <v>2500000</v>
      </c>
      <c r="Z16" s="420">
        <f t="shared" ref="Z16" si="30">SUM(W16:Y16)</f>
        <v>3620000</v>
      </c>
      <c r="AA16" s="420">
        <f>IFERROR(IF($F16="Chính Thức",VLOOKUP($B16,' 5. Thông số TL'!$D$12:$S$26,10,0)/$G$4*($G16+$H16),IF($F16="Thử Việc",VLOOKUP($B16,' 5. Thông số TL'!$D$12:$S$26,10,0)/$G$4*($G16+$H16)*85%,"")),0)</f>
        <v>0</v>
      </c>
      <c r="AB16" s="420"/>
      <c r="AC16" s="420">
        <f t="shared" ref="AC16" si="31">SUM(AA16:AB16)</f>
        <v>0</v>
      </c>
      <c r="AD16" s="422">
        <f t="shared" ref="AD16" si="32">Z16+AC16</f>
        <v>3620000</v>
      </c>
      <c r="AE16" s="422">
        <f t="shared" ref="AE16" si="33">L16+O16+S16+V16+AD16</f>
        <v>16000000</v>
      </c>
      <c r="AF16" s="420">
        <f>IF(F16="Chính Thức",AE16-Z16,IF(F16="Thử Việc",AE16-W16-X16,IF(F16="CTV",AE16,0)))</f>
        <v>12380000</v>
      </c>
      <c r="AG16" s="425">
        <f>IFERROR(IF(AND($F16="Chính Thức",($G16+$H16)&gt;=11),$J16*AG$8,IF(AND($F16="Chính Thức",($G16+$H16)&lt;11,0),IF($F16="Thử Việc",0),"")),0)</f>
        <v>1312500</v>
      </c>
      <c r="AH16" s="425">
        <f>IFERROR(IF(AND($F16="Chính Thức",($G16+$H16)&gt;=11),$J16*AH$8,IF(AND($F16="Chính Thức",($G16+$H16)&lt;11,0),IF($F16="Thử Việc",0),"")),0)</f>
        <v>225000</v>
      </c>
      <c r="AI16" s="425">
        <f>IFERROR(IF(AND($F16="Chính Thức",($G16+$H16)&gt;=11),$J16*AI$8,IF(AND($F16="Chính Thức",($G16+$H16)&lt;11,0),IF($F16="Thử Việc",0),"")),0)</f>
        <v>75000</v>
      </c>
      <c r="AJ16" s="426">
        <f t="shared" ref="AJ16" si="34">ROUND(SUM(AG16:AI16),0)</f>
        <v>1612500</v>
      </c>
      <c r="AK16" s="425">
        <f>IFERROR(IF(AND($F16="Chính Thức",($G16+$H16)&gt;=11),$J16*AK$8,IF(AND($F16="Chính Thức",($G16+$H16)&lt;11,0),IF($F16="Thử Việc",0),"")),0)</f>
        <v>600000</v>
      </c>
      <c r="AL16" s="425">
        <f>IFERROR(IF(AND($F16="Chính Thức",($G16+$H16)&gt;=11),$J16*AL$8,IF(AND($F16="Chính Thức",($G16+$H16)&lt;11,0),IF($F16="Thử Việc",0),"")),0)</f>
        <v>112500</v>
      </c>
      <c r="AM16" s="425">
        <f>IFERROR(IF(AND($F16="Chính Thức",($G16+$H16)&gt;=11),$J16*AM$8,IF(AND($F16="Chính Thức",($G16+$H16)&lt;11,0),IF($F16="Thử Việc",0),"")),0)</f>
        <v>75000</v>
      </c>
      <c r="AN16" s="422">
        <f t="shared" ref="AN16" si="35">ROUND(SUM(AK16:AM16),-1)</f>
        <v>787500</v>
      </c>
      <c r="AO16" s="426">
        <f>IF(F16="Chính Thức",$AO$10,0)</f>
        <v>15500000</v>
      </c>
      <c r="AP16" s="427"/>
      <c r="AQ16" s="420">
        <f t="shared" ref="AQ16" si="36">AP16*$AQ$10</f>
        <v>0</v>
      </c>
      <c r="AR16" s="420">
        <f t="shared" ref="AR16" si="37">+AO16+AQ16</f>
        <v>15500000</v>
      </c>
      <c r="AS16" s="420">
        <f t="shared" ref="AS16" si="38">MAX(AF16-AR16-AN16,0)</f>
        <v>0</v>
      </c>
      <c r="AT16" s="422">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0</v>
      </c>
      <c r="AU16" s="420"/>
      <c r="AV16" s="422">
        <f t="shared" ref="AV16" si="39">ROUND(AE16-AN16-AT16+AU16,-2)</f>
        <v>15212500</v>
      </c>
      <c r="AW16" s="402"/>
    </row>
    <row r="17" spans="1:50" ht="58.5" customHeight="1" x14ac:dyDescent="0.25">
      <c r="A17" s="416"/>
      <c r="B17" s="395" t="s">
        <v>368</v>
      </c>
      <c r="C17" s="418" t="str">
        <f>VLOOKUP(B17,' 5. Thông số TL'!$D$12:$E$25,2,0)</f>
        <v>Đinh Thị Bích Ngọc</v>
      </c>
      <c r="D17" s="419" t="s">
        <v>319</v>
      </c>
      <c r="E17" s="419" t="s">
        <v>367</v>
      </c>
      <c r="F17" s="420" t="str">
        <f>IFERROR(VLOOKUP($B17,'3. BẢNG CHẤM CÔNG'!$B$11:$AV$23,6,0),0)</f>
        <v>Thử Việc</v>
      </c>
      <c r="G17" s="421">
        <f>IFERROR(VLOOKUP($B17, '3. BẢNG CHẤM CÔNG'!$B$10:$AV30,43,0),0)</f>
        <v>22</v>
      </c>
      <c r="H17" s="421">
        <f>IFERROR(VLOOKUP($B17, '3. BẢNG CHẤM CÔNG'!$B$10:$AV30,44,0),0)</f>
        <v>0</v>
      </c>
      <c r="I17" s="421"/>
      <c r="J17" s="420">
        <f>IFERROR(VLOOKUP($B17,' 5. Thông số TL'!$D$12:$S$26,4,0),0)</f>
        <v>4960000</v>
      </c>
      <c r="K17" s="420">
        <f t="shared" ref="K17:K20" si="40">IFERROR(IF($F17="Chính Thức",$J17/$G$4*($G17+$H17),IF($F17="Thử Việc",$J17/$G$4*($G17+$H17)*85%,"")),0)</f>
        <v>4216000</v>
      </c>
      <c r="L17" s="422">
        <f t="shared" ref="L17:L20" si="41">SUM(K17)</f>
        <v>4216000</v>
      </c>
      <c r="M17" s="420">
        <f>IFERROR(VLOOKUP($B17,' 5. Thông số TL'!$D$12:$S$26,5,0),0)</f>
        <v>1040800</v>
      </c>
      <c r="N17" s="423">
        <v>1</v>
      </c>
      <c r="O17" s="420">
        <f t="shared" ref="O17:O20" si="42">IFERROR(IF($F17="Chính Thức",$M17/$G$4*($G17+$H17)*N17,IF($F17="Thử Việc",$M17/$G$4*N17*($G17+$H17)*85%)),0)</f>
        <v>884680</v>
      </c>
      <c r="P17" s="420"/>
      <c r="Q17" s="424"/>
      <c r="R17" s="420"/>
      <c r="S17" s="422"/>
      <c r="T17" s="420"/>
      <c r="U17" s="420"/>
      <c r="V17" s="422">
        <f t="shared" ref="V17:V20" si="43">SUM(T17:U17)</f>
        <v>0</v>
      </c>
      <c r="W17" s="420">
        <f>IFERROR(IF($F17="Chính Thức",VLOOKUP($B17,' 5. Thông số TL'!$D$12:$S$26,6,0)/$G$4*($G17+$H17),IF($F17="Thử Việc",VLOOKUP($B17,' 5. Thông số TL'!$D$12:$S$26,6,0)/$G$4*($G17+$H17)*85%,"")),0)</f>
        <v>612000</v>
      </c>
      <c r="X17" s="420">
        <f>IFERROR(IF($F17="Chính Thức",VLOOKUP($B17,' 5. Thông số TL'!$D$12:$S$26,7,0)/$G$4*($G17+$H17),IF($F17="Thử Việc",VLOOKUP($B17,' 5. Thông số TL'!$D$12:$S$26,7,0)/$G$4*($G17+$H17)*85%,"")),0)</f>
        <v>339999.99999999994</v>
      </c>
      <c r="Y17" s="420">
        <f>IFERROR(IF($F17="Chính Thức",VLOOKUP($B17,' 5. Thông số TL'!$D$12:$S$26,8,0)/$G$4*($G17+$H17),IF($F17="Thử Việc",VLOOKUP($B17,' 5. Thông số TL'!$D$12:$S$26,8,0)/$G$4*($G17+$H17)*85%,"")),0)</f>
        <v>339999.99999999994</v>
      </c>
      <c r="Z17" s="420">
        <f t="shared" ref="Z17:Z20" si="44">SUM(W17:Y17)</f>
        <v>1292000</v>
      </c>
      <c r="AA17" s="420">
        <f>IFERROR(IF($F17="Chính Thức",VLOOKUP($B17,' 5. Thông số TL'!$D$12:$S$26,10,0)/$G$4*($G17+$H17),IF($F17="Thử Việc",VLOOKUP($B17,' 5. Thông số TL'!$D$12:$S$26,10,0)/$G$4*($G17+$H17)*85%,"")),0)</f>
        <v>0</v>
      </c>
      <c r="AB17" s="420"/>
      <c r="AC17" s="420">
        <f t="shared" ref="AC17:AC20" si="45">SUM(AA17:AB17)</f>
        <v>0</v>
      </c>
      <c r="AD17" s="422">
        <f t="shared" ref="AD17:AD20" si="46">Z17+AC17</f>
        <v>1292000</v>
      </c>
      <c r="AE17" s="422">
        <f t="shared" ref="AE17:AE20" si="47">L17+O17+S17+V17+AD17</f>
        <v>6392680</v>
      </c>
      <c r="AF17" s="420">
        <f t="shared" ref="AF17:AF20" si="48">IF(F17="Chính Thức",AE17-Z17,IF(F17="Thử Việc",AE17-W17-X17,IF(F17="CTV",AE17,0)))</f>
        <v>5440680</v>
      </c>
      <c r="AG17" s="425" t="str">
        <f t="shared" ref="AG17:AI20" si="49">IFERROR(IF(AND($F17="Chính Thức",($G17+$H17)&gt;=11),$J17*AG$8,IF(AND($F17="Chính Thức",($G17+$H17)&lt;11,0),IF($F17="Thử Việc",0),"")),0)</f>
        <v/>
      </c>
      <c r="AH17" s="425" t="str">
        <f t="shared" si="49"/>
        <v/>
      </c>
      <c r="AI17" s="425" t="str">
        <f t="shared" si="49"/>
        <v/>
      </c>
      <c r="AJ17" s="426">
        <f t="shared" ref="AJ17:AJ20" si="50">ROUND(SUM(AG17:AI17),0)</f>
        <v>0</v>
      </c>
      <c r="AK17" s="425" t="str">
        <f t="shared" ref="AK17:AM20" si="51">IFERROR(IF(AND($F17="Chính Thức",($G17+$H17)&gt;=11),$J17*AK$8,IF(AND($F17="Chính Thức",($G17+$H17)&lt;11,0),IF($F17="Thử Việc",0),"")),0)</f>
        <v/>
      </c>
      <c r="AL17" s="425" t="str">
        <f t="shared" si="51"/>
        <v/>
      </c>
      <c r="AM17" s="425" t="str">
        <f t="shared" si="51"/>
        <v/>
      </c>
      <c r="AN17" s="422">
        <f t="shared" ref="AN17:AN20" si="52">ROUND(SUM(AK17:AM17),-1)</f>
        <v>0</v>
      </c>
      <c r="AO17" s="426">
        <f t="shared" ref="AO17:AO20" si="53">IF(F17="Chính Thức",$AO$10,0)</f>
        <v>0</v>
      </c>
      <c r="AP17" s="427"/>
      <c r="AQ17" s="420">
        <f t="shared" ref="AQ17:AQ20" si="54">AP17*$AQ$10</f>
        <v>0</v>
      </c>
      <c r="AR17" s="420">
        <f t="shared" ref="AR17:AR20" si="55">+AO17+AQ17</f>
        <v>0</v>
      </c>
      <c r="AS17" s="420">
        <f t="shared" ref="AS17:AS20" si="56">MAX(AF17-AR17-AN17,0)</f>
        <v>5440680</v>
      </c>
      <c r="AT17" s="422">
        <f t="shared" ref="AT17:AT20" si="57">IF(F17="Chính Thức",IF(AS17&lt;=0,,IF(AND(AS17&gt;0,AS17&lt;=5000000),5%*AS17,IF(AND(AS17&gt;5000000,AS17&lt;=10000000),10%*AS17-250000,IF(AND(AS17&gt;10000000,AS17&lt;=18000000),15%*AS17-750000,IF(AND(AS17&gt;18000000,AS17&lt;=32000000),20%*AS17-1650000,IF(AND(AS17&gt;32000000,AS17&lt;=52000000),25%*AS17-3250000,IF(AND(AS17&gt;52000000,AS17&lt;=80000000),30%*AS17-5850000,IF(AS17&gt;80000000,35%*AS17-9850000)))))))),IF(AND(F17="Thử Việc",AS17&gt;=2000000),AS17*10%,IF(F17="CTV",AS17*10%)))</f>
        <v>544068</v>
      </c>
      <c r="AU17" s="420"/>
      <c r="AV17" s="422">
        <f t="shared" ref="AV17:AV20" si="58">ROUND(AE17-AN17-AT17+AU17,-2)</f>
        <v>5848600</v>
      </c>
      <c r="AW17" s="402"/>
    </row>
    <row r="18" spans="1:50" ht="58.5" customHeight="1" x14ac:dyDescent="0.25">
      <c r="A18" s="416"/>
      <c r="B18" s="395" t="s">
        <v>370</v>
      </c>
      <c r="C18" s="418" t="str">
        <f>VLOOKUP(B18,' 5. Thông số TL'!$D$12:$E$25,2,0)</f>
        <v>Lương Văn Châm</v>
      </c>
      <c r="D18" s="419" t="s">
        <v>319</v>
      </c>
      <c r="E18" s="419" t="s">
        <v>376</v>
      </c>
      <c r="F18" s="420" t="str">
        <f>IFERROR(VLOOKUP($B18,'3. BẢNG CHẤM CÔNG'!$B$11:$AV$23,6,0),0)</f>
        <v>Thử Việc</v>
      </c>
      <c r="G18" s="421">
        <f>IFERROR(VLOOKUP($B18, '3. BẢNG CHẤM CÔNG'!$B$10:$AV31,43,0),0)</f>
        <v>14</v>
      </c>
      <c r="H18" s="421">
        <f>IFERROR(VLOOKUP($B18, '3. BẢNG CHẤM CÔNG'!$B$10:$AV31,44,0),0)</f>
        <v>0</v>
      </c>
      <c r="I18" s="421"/>
      <c r="J18" s="420">
        <f>IFERROR(VLOOKUP($B18,' 5. Thông số TL'!$D$12:$S$26,4,0),0)</f>
        <v>4960000</v>
      </c>
      <c r="K18" s="420">
        <f t="shared" si="40"/>
        <v>2682909.0909090908</v>
      </c>
      <c r="L18" s="422">
        <f t="shared" si="41"/>
        <v>2682909.0909090908</v>
      </c>
      <c r="M18" s="420">
        <f>IFERROR(VLOOKUP($B18,' 5. Thông số TL'!$D$12:$S$26,5,0),0)</f>
        <v>4040800</v>
      </c>
      <c r="N18" s="423">
        <v>1</v>
      </c>
      <c r="O18" s="420">
        <f t="shared" si="42"/>
        <v>2185705.4545454541</v>
      </c>
      <c r="P18" s="420"/>
      <c r="Q18" s="424"/>
      <c r="R18" s="420"/>
      <c r="S18" s="422"/>
      <c r="T18" s="420"/>
      <c r="U18" s="420"/>
      <c r="V18" s="422">
        <f t="shared" si="43"/>
        <v>0</v>
      </c>
      <c r="W18" s="420">
        <f>IFERROR(IF($F18="Chính Thức",VLOOKUP($B18,' 5. Thông số TL'!$D$12:$S$26,6,0)/$G$4*($G18+$H18),IF($F18="Thử Việc",VLOOKUP($B18,' 5. Thông số TL'!$D$12:$S$26,6,0)/$G$4*($G18+$H18)*85%,"")),0)</f>
        <v>389454.54545454541</v>
      </c>
      <c r="X18" s="420">
        <f>IFERROR(IF($F18="Chính Thức",VLOOKUP($B18,' 5. Thông số TL'!$D$12:$S$26,7,0)/$G$4*($G18+$H18),IF($F18="Thử Việc",VLOOKUP($B18,' 5. Thông số TL'!$D$12:$S$26,7,0)/$G$4*($G18+$H18)*85%,"")),0)</f>
        <v>216363.63636363635</v>
      </c>
      <c r="Y18" s="420">
        <f>IFERROR(IF($F18="Chính Thức",VLOOKUP($B18,' 5. Thông số TL'!$D$12:$S$26,8,0)/$G$4*($G18+$H18),IF($F18="Thử Việc",VLOOKUP($B18,' 5. Thông số TL'!$D$12:$S$26,8,0)/$G$4*($G18+$H18)*85%,"")),0)</f>
        <v>216363.63636363635</v>
      </c>
      <c r="Z18" s="420">
        <f t="shared" si="44"/>
        <v>822181.81818181812</v>
      </c>
      <c r="AA18" s="420">
        <f>IFERROR(IF($F18="Chính Thức",VLOOKUP($B18,' 5. Thông số TL'!$D$12:$S$26,10,0)/$G$4*($G18+$H18),IF($F18="Thử Việc",VLOOKUP($B18,' 5. Thông số TL'!$D$12:$S$26,10,0)/$G$4*($G18+$H18)*85%,"")),0)</f>
        <v>0</v>
      </c>
      <c r="AB18" s="420"/>
      <c r="AC18" s="420">
        <f t="shared" si="45"/>
        <v>0</v>
      </c>
      <c r="AD18" s="422">
        <f t="shared" si="46"/>
        <v>822181.81818181812</v>
      </c>
      <c r="AE18" s="422">
        <f t="shared" si="47"/>
        <v>5690796.3636363633</v>
      </c>
      <c r="AF18" s="420">
        <f t="shared" si="48"/>
        <v>5084978.1818181816</v>
      </c>
      <c r="AG18" s="425" t="str">
        <f t="shared" si="49"/>
        <v/>
      </c>
      <c r="AH18" s="425" t="str">
        <f t="shared" si="49"/>
        <v/>
      </c>
      <c r="AI18" s="425" t="str">
        <f t="shared" si="49"/>
        <v/>
      </c>
      <c r="AJ18" s="426">
        <f t="shared" si="50"/>
        <v>0</v>
      </c>
      <c r="AK18" s="425" t="str">
        <f t="shared" si="51"/>
        <v/>
      </c>
      <c r="AL18" s="425" t="str">
        <f t="shared" si="51"/>
        <v/>
      </c>
      <c r="AM18" s="425" t="str">
        <f t="shared" si="51"/>
        <v/>
      </c>
      <c r="AN18" s="422">
        <f t="shared" si="52"/>
        <v>0</v>
      </c>
      <c r="AO18" s="426">
        <f t="shared" si="53"/>
        <v>0</v>
      </c>
      <c r="AP18" s="427"/>
      <c r="AQ18" s="420">
        <f t="shared" si="54"/>
        <v>0</v>
      </c>
      <c r="AR18" s="420">
        <f t="shared" si="55"/>
        <v>0</v>
      </c>
      <c r="AS18" s="420">
        <f t="shared" si="56"/>
        <v>5084978.1818181816</v>
      </c>
      <c r="AT18" s="422">
        <f t="shared" si="57"/>
        <v>508497.81818181818</v>
      </c>
      <c r="AU18" s="420"/>
      <c r="AV18" s="422">
        <f t="shared" si="58"/>
        <v>5182300</v>
      </c>
      <c r="AW18" s="402"/>
    </row>
    <row r="19" spans="1:50" ht="58.5" customHeight="1" x14ac:dyDescent="0.25">
      <c r="A19" s="416"/>
      <c r="B19" s="395" t="s">
        <v>372</v>
      </c>
      <c r="C19" s="418" t="str">
        <f>VLOOKUP(B19,' 5. Thông số TL'!$D$12:$E$25,2,0)</f>
        <v>Nguyễn Thị Phúc</v>
      </c>
      <c r="D19" s="419" t="s">
        <v>319</v>
      </c>
      <c r="E19" s="419" t="s">
        <v>377</v>
      </c>
      <c r="F19" s="420" t="str">
        <f>IFERROR(VLOOKUP($B19,'3. BẢNG CHẤM CÔNG'!$B$11:$AV$23,6,0),0)</f>
        <v>Thử Việc</v>
      </c>
      <c r="G19" s="421">
        <f>IFERROR(VLOOKUP($B19, '3. BẢNG CHẤM CÔNG'!$B$10:$AV32,43,0),0)</f>
        <v>22</v>
      </c>
      <c r="H19" s="421">
        <f>IFERROR(VLOOKUP($B19, '3. BẢNG CHẤM CÔNG'!$B$10:$AV32,44,0),0)</f>
        <v>0</v>
      </c>
      <c r="I19" s="421"/>
      <c r="J19" s="420">
        <f>IFERROR(VLOOKUP($B19,' 5. Thông số TL'!$D$12:$S$26,4,0),0)</f>
        <v>5500000</v>
      </c>
      <c r="K19" s="420">
        <f t="shared" si="40"/>
        <v>4675000</v>
      </c>
      <c r="L19" s="422">
        <f t="shared" si="41"/>
        <v>4675000</v>
      </c>
      <c r="M19" s="420">
        <f>IFERROR(VLOOKUP($B19,' 5. Thông số TL'!$D$12:$S$26,5,0),0)</f>
        <v>3457500</v>
      </c>
      <c r="N19" s="423">
        <v>1</v>
      </c>
      <c r="O19" s="420">
        <f t="shared" si="42"/>
        <v>2938875</v>
      </c>
      <c r="P19" s="420"/>
      <c r="Q19" s="424"/>
      <c r="R19" s="420"/>
      <c r="S19" s="422"/>
      <c r="T19" s="420"/>
      <c r="U19" s="420"/>
      <c r="V19" s="422">
        <f t="shared" si="43"/>
        <v>0</v>
      </c>
      <c r="W19" s="420">
        <f>IFERROR(IF($F19="Chính Thức",VLOOKUP($B19,' 5. Thông số TL'!$D$12:$S$26,6,0)/$G$4*($G19+$H19),IF($F19="Thử Việc",VLOOKUP($B19,' 5. Thông số TL'!$D$12:$S$26,6,0)/$G$4*($G19+$H19)*85%,"")),0)</f>
        <v>612000</v>
      </c>
      <c r="X19" s="420">
        <f>IFERROR(IF($F19="Chính Thức",VLOOKUP($B19,' 5. Thông số TL'!$D$12:$S$26,7,0)/$G$4*($G19+$H19),IF($F19="Thử Việc",VLOOKUP($B19,' 5. Thông số TL'!$D$12:$S$26,7,0)/$G$4*($G19+$H19)*85%,"")),0)</f>
        <v>339999.99999999994</v>
      </c>
      <c r="Y19" s="420">
        <f>IFERROR(IF($F19="Chính Thức",VLOOKUP($B19,' 5. Thông số TL'!$D$12:$S$26,8,0)/$G$4*($G19+$H19),IF($F19="Thử Việc",VLOOKUP($B19,' 5. Thông số TL'!$D$12:$S$26,8,0)/$G$4*($G19+$H19)*85%,"")),0)</f>
        <v>425000</v>
      </c>
      <c r="Z19" s="420">
        <f t="shared" si="44"/>
        <v>1377000</v>
      </c>
      <c r="AA19" s="420">
        <f>IFERROR(IF($F19="Chính Thức",VLOOKUP($B19,' 5. Thông số TL'!$D$12:$S$26,10,0)/$G$4*($G19+$H19),IF($F19="Thử Việc",VLOOKUP($B19,' 5. Thông số TL'!$D$12:$S$26,10,0)/$G$4*($G19+$H19)*85%,"")),0)</f>
        <v>0</v>
      </c>
      <c r="AB19" s="420"/>
      <c r="AC19" s="420">
        <f t="shared" si="45"/>
        <v>0</v>
      </c>
      <c r="AD19" s="422">
        <f t="shared" si="46"/>
        <v>1377000</v>
      </c>
      <c r="AE19" s="422">
        <f t="shared" si="47"/>
        <v>8990875</v>
      </c>
      <c r="AF19" s="420">
        <f t="shared" si="48"/>
        <v>8038875</v>
      </c>
      <c r="AG19" s="425" t="str">
        <f t="shared" si="49"/>
        <v/>
      </c>
      <c r="AH19" s="425" t="str">
        <f t="shared" si="49"/>
        <v/>
      </c>
      <c r="AI19" s="425" t="str">
        <f t="shared" si="49"/>
        <v/>
      </c>
      <c r="AJ19" s="426">
        <f t="shared" si="50"/>
        <v>0</v>
      </c>
      <c r="AK19" s="425" t="str">
        <f t="shared" si="51"/>
        <v/>
      </c>
      <c r="AL19" s="425" t="str">
        <f t="shared" si="51"/>
        <v/>
      </c>
      <c r="AM19" s="425" t="str">
        <f t="shared" si="51"/>
        <v/>
      </c>
      <c r="AN19" s="422">
        <f t="shared" si="52"/>
        <v>0</v>
      </c>
      <c r="AO19" s="426">
        <f t="shared" si="53"/>
        <v>0</v>
      </c>
      <c r="AP19" s="427"/>
      <c r="AQ19" s="420">
        <f t="shared" si="54"/>
        <v>0</v>
      </c>
      <c r="AR19" s="420">
        <f t="shared" si="55"/>
        <v>0</v>
      </c>
      <c r="AS19" s="420">
        <f t="shared" si="56"/>
        <v>8038875</v>
      </c>
      <c r="AT19" s="422">
        <f t="shared" si="57"/>
        <v>803887.5</v>
      </c>
      <c r="AU19" s="420"/>
      <c r="AV19" s="422">
        <f t="shared" si="58"/>
        <v>8187000</v>
      </c>
      <c r="AW19" s="402"/>
    </row>
    <row r="20" spans="1:50" ht="58.5" customHeight="1" x14ac:dyDescent="0.25">
      <c r="A20" s="416"/>
      <c r="B20" s="395" t="s">
        <v>374</v>
      </c>
      <c r="C20" s="418" t="str">
        <f>VLOOKUP(B20,' 5. Thông số TL'!$D$12:$E$25,2,0)</f>
        <v>Nguyễn Thị Thuỳ Trang</v>
      </c>
      <c r="D20" s="419" t="s">
        <v>319</v>
      </c>
      <c r="E20" s="419" t="s">
        <v>319</v>
      </c>
      <c r="F20" s="420" t="str">
        <f>IFERROR(VLOOKUP($B20,'3. BẢNG CHẤM CÔNG'!$B$11:$AV$23,6,0),0)</f>
        <v>Thử Việc</v>
      </c>
      <c r="G20" s="421">
        <f>IFERROR(VLOOKUP($B20, '3. BẢNG CHẤM CÔNG'!$B$10:$AV33,43,0),0)</f>
        <v>6</v>
      </c>
      <c r="H20" s="421">
        <f>IFERROR(VLOOKUP($B20, '3. BẢNG CHẤM CÔNG'!$B$10:$AV33,44,0),0)</f>
        <v>0</v>
      </c>
      <c r="I20" s="421"/>
      <c r="J20" s="420">
        <f>IFERROR(VLOOKUP($B20,' 5. Thông số TL'!$D$12:$S$26,4,0),0)</f>
        <v>5500000</v>
      </c>
      <c r="K20" s="420">
        <f t="shared" si="40"/>
        <v>1275000</v>
      </c>
      <c r="L20" s="422">
        <f t="shared" si="41"/>
        <v>1275000</v>
      </c>
      <c r="M20" s="420">
        <f>IFERROR(VLOOKUP($B20,' 5. Thông số TL'!$D$12:$S$26,5,0),0)</f>
        <v>2457500</v>
      </c>
      <c r="N20" s="423">
        <v>1</v>
      </c>
      <c r="O20" s="420">
        <f t="shared" si="42"/>
        <v>569693.18181818177</v>
      </c>
      <c r="P20" s="420"/>
      <c r="Q20" s="424"/>
      <c r="R20" s="420"/>
      <c r="S20" s="422"/>
      <c r="T20" s="420"/>
      <c r="U20" s="420"/>
      <c r="V20" s="422">
        <f t="shared" si="43"/>
        <v>0</v>
      </c>
      <c r="W20" s="420">
        <f>IFERROR(IF($F20="Chính Thức",VLOOKUP($B20,' 5. Thông số TL'!$D$12:$S$26,6,0)/$G$4*($G20+$H20),IF($F20="Thử Việc",VLOOKUP($B20,' 5. Thông số TL'!$D$12:$S$26,6,0)/$G$4*($G20+$H20)*85%,"")),0)</f>
        <v>166909.09090909088</v>
      </c>
      <c r="X20" s="420">
        <f>IFERROR(IF($F20="Chính Thức",VLOOKUP($B20,' 5. Thông số TL'!$D$12:$S$26,7,0)/$G$4*($G20+$H20),IF($F20="Thử Việc",VLOOKUP($B20,' 5. Thông số TL'!$D$12:$S$26,7,0)/$G$4*($G20+$H20)*85%,"")),0)</f>
        <v>92727.272727272721</v>
      </c>
      <c r="Y20" s="420">
        <f>IFERROR(IF($F20="Chính Thức",VLOOKUP($B20,' 5. Thông số TL'!$D$12:$S$26,8,0)/$G$4*($G20+$H20),IF($F20="Thử Việc",VLOOKUP($B20,' 5. Thông số TL'!$D$12:$S$26,8,0)/$G$4*($G20+$H20)*85%,"")),0)</f>
        <v>115909.0909090909</v>
      </c>
      <c r="Z20" s="420">
        <f t="shared" si="44"/>
        <v>375545.45454545447</v>
      </c>
      <c r="AA20" s="420">
        <f>IFERROR(IF($F20="Chính Thức",VLOOKUP($B20,' 5. Thông số TL'!$D$12:$S$26,10,0)/$G$4*($G20+$H20),IF($F20="Thử Việc",VLOOKUP($B20,' 5. Thông số TL'!$D$12:$S$26,10,0)/$G$4*($G20+$H20)*85%,"")),0)</f>
        <v>0</v>
      </c>
      <c r="AB20" s="420"/>
      <c r="AC20" s="420">
        <f t="shared" si="45"/>
        <v>0</v>
      </c>
      <c r="AD20" s="422">
        <f t="shared" si="46"/>
        <v>375545.45454545447</v>
      </c>
      <c r="AE20" s="422">
        <f t="shared" si="47"/>
        <v>2220238.6363636362</v>
      </c>
      <c r="AF20" s="420">
        <f t="shared" si="48"/>
        <v>1960602.2727272727</v>
      </c>
      <c r="AG20" s="425" t="str">
        <f t="shared" si="49"/>
        <v/>
      </c>
      <c r="AH20" s="425" t="str">
        <f t="shared" si="49"/>
        <v/>
      </c>
      <c r="AI20" s="425" t="str">
        <f t="shared" si="49"/>
        <v/>
      </c>
      <c r="AJ20" s="426">
        <f t="shared" si="50"/>
        <v>0</v>
      </c>
      <c r="AK20" s="425" t="str">
        <f t="shared" si="51"/>
        <v/>
      </c>
      <c r="AL20" s="425" t="str">
        <f t="shared" si="51"/>
        <v/>
      </c>
      <c r="AM20" s="425" t="str">
        <f t="shared" si="51"/>
        <v/>
      </c>
      <c r="AN20" s="422">
        <f t="shared" si="52"/>
        <v>0</v>
      </c>
      <c r="AO20" s="426">
        <f t="shared" si="53"/>
        <v>0</v>
      </c>
      <c r="AP20" s="427"/>
      <c r="AQ20" s="420">
        <f t="shared" si="54"/>
        <v>0</v>
      </c>
      <c r="AR20" s="420">
        <f t="shared" si="55"/>
        <v>0</v>
      </c>
      <c r="AS20" s="420">
        <f t="shared" si="56"/>
        <v>1960602.2727272727</v>
      </c>
      <c r="AT20" s="422" t="b">
        <f t="shared" si="57"/>
        <v>0</v>
      </c>
      <c r="AU20" s="420"/>
      <c r="AV20" s="422">
        <f t="shared" si="58"/>
        <v>2220200</v>
      </c>
      <c r="AW20" s="402"/>
    </row>
    <row r="21" spans="1:50" ht="58.5" customHeight="1" x14ac:dyDescent="0.25">
      <c r="A21" s="416"/>
      <c r="B21" s="417" t="s">
        <v>339</v>
      </c>
      <c r="C21" s="418"/>
      <c r="D21" s="419"/>
      <c r="E21" s="419"/>
      <c r="F21" s="420"/>
      <c r="G21" s="421"/>
      <c r="H21" s="421"/>
      <c r="I21" s="421"/>
      <c r="J21" s="428">
        <f>J22+J23+J24+J25</f>
        <v>22000000</v>
      </c>
      <c r="K21" s="428">
        <f t="shared" ref="K21:Z21" si="59">K22+K23+K24+K25</f>
        <v>12487500</v>
      </c>
      <c r="L21" s="428">
        <f t="shared" si="59"/>
        <v>12487500</v>
      </c>
      <c r="M21" s="428">
        <f t="shared" si="59"/>
        <v>48524150</v>
      </c>
      <c r="N21" s="428">
        <f t="shared" si="59"/>
        <v>4</v>
      </c>
      <c r="O21" s="428">
        <f t="shared" si="59"/>
        <v>20267154.545454547</v>
      </c>
      <c r="P21" s="428">
        <f t="shared" si="59"/>
        <v>0</v>
      </c>
      <c r="Q21" s="428">
        <f t="shared" si="59"/>
        <v>0</v>
      </c>
      <c r="R21" s="428">
        <f t="shared" si="59"/>
        <v>0</v>
      </c>
      <c r="S21" s="428">
        <f t="shared" si="59"/>
        <v>0</v>
      </c>
      <c r="T21" s="428">
        <f t="shared" si="59"/>
        <v>0</v>
      </c>
      <c r="U21" s="428">
        <f t="shared" si="59"/>
        <v>0</v>
      </c>
      <c r="V21" s="428">
        <f t="shared" si="59"/>
        <v>0</v>
      </c>
      <c r="W21" s="428">
        <f t="shared" si="59"/>
        <v>1634727.2727272725</v>
      </c>
      <c r="X21" s="428">
        <f t="shared" si="59"/>
        <v>908181.81818181812</v>
      </c>
      <c r="Y21" s="428">
        <f t="shared" si="59"/>
        <v>1289772.7272727273</v>
      </c>
      <c r="Z21" s="428">
        <f t="shared" si="59"/>
        <v>3832681.8181818184</v>
      </c>
      <c r="AA21" s="428">
        <f>SUBTOTAL(9,AA22:AA25)</f>
        <v>0</v>
      </c>
      <c r="AB21" s="428">
        <f>SUBTOTAL(9,AB22:AB25)</f>
        <v>0</v>
      </c>
      <c r="AC21" s="428">
        <f>SUBTOTAL(9,AC22:AC25)</f>
        <v>0</v>
      </c>
      <c r="AD21" s="428">
        <f t="shared" ref="AD21:AV21" si="60">AD22+AD23+AD24+AD25</f>
        <v>3832681.8181818184</v>
      </c>
      <c r="AE21" s="428">
        <f t="shared" si="60"/>
        <v>36587336.363636367</v>
      </c>
      <c r="AF21" s="428">
        <f t="shared" si="60"/>
        <v>33818700</v>
      </c>
      <c r="AG21" s="428">
        <f>SUBTOTAL(9,AG22:AG25)</f>
        <v>962499.99999999988</v>
      </c>
      <c r="AH21" s="428">
        <f t="shared" ref="AH21:AN21" si="61">SUBTOTAL(9,AH22:AH25)</f>
        <v>165000</v>
      </c>
      <c r="AI21" s="428">
        <f t="shared" si="61"/>
        <v>55000</v>
      </c>
      <c r="AJ21" s="428">
        <f t="shared" si="61"/>
        <v>1182500</v>
      </c>
      <c r="AK21" s="428">
        <f t="shared" si="61"/>
        <v>440000</v>
      </c>
      <c r="AL21" s="428">
        <f t="shared" si="61"/>
        <v>82500</v>
      </c>
      <c r="AM21" s="428">
        <f t="shared" si="61"/>
        <v>55000</v>
      </c>
      <c r="AN21" s="428">
        <f t="shared" si="61"/>
        <v>577500</v>
      </c>
      <c r="AO21" s="428">
        <f t="shared" si="60"/>
        <v>46500000</v>
      </c>
      <c r="AP21" s="428">
        <f t="shared" si="60"/>
        <v>0</v>
      </c>
      <c r="AQ21" s="428">
        <f t="shared" si="60"/>
        <v>0</v>
      </c>
      <c r="AR21" s="428">
        <f t="shared" si="60"/>
        <v>46500000</v>
      </c>
      <c r="AS21" s="428">
        <f t="shared" si="60"/>
        <v>9261427.2727272734</v>
      </c>
      <c r="AT21" s="428">
        <f t="shared" si="60"/>
        <v>777605.17045454553</v>
      </c>
      <c r="AU21" s="428">
        <f t="shared" si="60"/>
        <v>0</v>
      </c>
      <c r="AV21" s="428">
        <f t="shared" si="60"/>
        <v>35232300</v>
      </c>
      <c r="AW21" s="402"/>
    </row>
    <row r="22" spans="1:50" ht="58.5" customHeight="1" x14ac:dyDescent="0.25">
      <c r="A22" s="416">
        <v>5</v>
      </c>
      <c r="B22" s="395" t="s">
        <v>336</v>
      </c>
      <c r="C22" s="418" t="s">
        <v>338</v>
      </c>
      <c r="D22" s="419" t="s">
        <v>339</v>
      </c>
      <c r="E22" s="419" t="s">
        <v>337</v>
      </c>
      <c r="F22" s="420" t="str">
        <f>IFERROR(VLOOKUP($B22,'3. BẢNG CHẤM CÔNG'!$B$11:$AV$23,6,0),0)</f>
        <v>Chính Thức</v>
      </c>
      <c r="G22" s="421">
        <f>IFERROR(VLOOKUP($B22, '3. BẢNG CHẤM CÔNG'!$B$10:$AV31,43,0),0)</f>
        <v>8.5</v>
      </c>
      <c r="H22" s="421">
        <f>IFERROR(VLOOKUP($B22, '3. BẢNG CHẤM CÔNG'!$B$10:$AV31,44,0),0)</f>
        <v>0</v>
      </c>
      <c r="I22" s="421"/>
      <c r="J22" s="420">
        <f>IFERROR(VLOOKUP($B22,' 5. Thông số TL'!$D$12:$S$26,4,0),0)</f>
        <v>5500000</v>
      </c>
      <c r="K22" s="420">
        <f>IFERROR(IF($F22="Chính Thức",$J22/$G$4*($G22+$H22),IF($F22="Thử Việc",$J22/$G$4*($G22+$H22)*85%,"")),0)</f>
        <v>2125000</v>
      </c>
      <c r="L22" s="422">
        <f t="shared" ref="L22:L23" si="62">SUM(K22)</f>
        <v>2125000</v>
      </c>
      <c r="M22" s="420">
        <f>IFERROR(VLOOKUP($B22,' 5. Thông số TL'!$D$12:$S$26,5,0),0)</f>
        <v>42306650</v>
      </c>
      <c r="N22" s="423">
        <v>1</v>
      </c>
      <c r="O22" s="420">
        <f>IFERROR(IF($F22="Chính Thức",$M22/$G$4*($G22+$H22)*N22,IF($F22="Thử Việc",$M22/$G$4*N22*($G22+$H22)*85%)),0)</f>
        <v>16345751.136363637</v>
      </c>
      <c r="P22" s="420"/>
      <c r="Q22" s="424"/>
      <c r="R22" s="420"/>
      <c r="S22" s="422"/>
      <c r="T22" s="420"/>
      <c r="U22" s="420"/>
      <c r="V22" s="422">
        <f t="shared" ref="V22:V23" si="63">SUM(T22:U22)</f>
        <v>0</v>
      </c>
      <c r="W22" s="420">
        <f>IFERROR(IF($F22="Chính Thức",VLOOKUP($B22,' 5. Thông số TL'!$D$12:$S$26,6,0)/$G$4*($G22+$H22),IF($F22="Thử Việc",VLOOKUP($B22,' 5. Thông số TL'!$D$12:$S$26,6,0)/$G$4*($G22+$H22)*85%,"")),0)</f>
        <v>278181.81818181818</v>
      </c>
      <c r="X22" s="420">
        <f>IFERROR(IF($F22="Chính Thức",VLOOKUP($B22,' 5. Thông số TL'!$D$12:$S$26,7,0)/$G$4*($G22+$H22),IF($F22="Thử Việc",VLOOKUP($B22,' 5. Thông số TL'!$D$12:$S$26,7,0)/$G$4*($G22+$H22)*85%,"")),0)</f>
        <v>154545.45454545453</v>
      </c>
      <c r="Y22" s="420">
        <f>IFERROR(IF($F22="Chính Thức",VLOOKUP($B22,' 5. Thông số TL'!$D$12:$S$26,8,0)/$G$4*($G22+$H22),IF($F22="Thử Việc",VLOOKUP($B22,' 5. Thông số TL'!$D$12:$S$26,8,0)/$G$4*($G22+$H22)*85%,"")),0)</f>
        <v>347727.27272727276</v>
      </c>
      <c r="Z22" s="420">
        <f t="shared" ref="Z22:Z23" si="64">SUM(W22:Y22)</f>
        <v>780454.54545454541</v>
      </c>
      <c r="AA22" s="420">
        <f>IFERROR(IF($F22="Chính Thức",VLOOKUP($B22,' 5. Thông số TL'!$D$12:$S$26,10,0)/$G$4*($G22+$H22),IF($F22="Thử Việc",VLOOKUP($B22,' 5. Thông số TL'!$D$12:$S$26,10,0)/$G$4*($G22+$H22)*85%,"")),0)</f>
        <v>0</v>
      </c>
      <c r="AB22" s="420"/>
      <c r="AC22" s="420">
        <f t="shared" ref="AC22:AC23" si="65">SUM(AA22:AB22)</f>
        <v>0</v>
      </c>
      <c r="AD22" s="422">
        <f t="shared" ref="AD22:AD23" si="66">Z22+AC22</f>
        <v>780454.54545454541</v>
      </c>
      <c r="AE22" s="422">
        <f t="shared" ref="AE22:AE23" si="67">L22+O22+S22+V22+AD22</f>
        <v>19251205.681818184</v>
      </c>
      <c r="AF22" s="420">
        <f>IF(F22="Chính Thức",AE22-Z22,IF(F22="Thử Việc",AE22,IF(F22="CTV",AE22,0)))</f>
        <v>18470751.136363637</v>
      </c>
      <c r="AG22" s="425">
        <v>0</v>
      </c>
      <c r="AH22" s="425">
        <v>0</v>
      </c>
      <c r="AI22" s="425">
        <v>0</v>
      </c>
      <c r="AJ22" s="425">
        <v>0</v>
      </c>
      <c r="AK22" s="425">
        <v>0</v>
      </c>
      <c r="AL22" s="425">
        <v>0</v>
      </c>
      <c r="AM22" s="425">
        <v>0</v>
      </c>
      <c r="AN22" s="425">
        <v>0</v>
      </c>
      <c r="AO22" s="426">
        <f t="shared" ref="AO22:AO25" si="68">IF(F22="Chính Thức",$AO$10,0)</f>
        <v>15500000</v>
      </c>
      <c r="AP22" s="427"/>
      <c r="AQ22" s="420">
        <f t="shared" ref="AQ22:AQ23" si="69">AP22*$AQ$10</f>
        <v>0</v>
      </c>
      <c r="AR22" s="420">
        <f t="shared" ref="AR22:AR23" si="70">+AO22+AQ22</f>
        <v>15500000</v>
      </c>
      <c r="AS22" s="420">
        <f t="shared" ref="AS22:AS23" si="71">MAX(AF22-AR22-AN22,0)</f>
        <v>2970751.1363636367</v>
      </c>
      <c r="AT22" s="422">
        <f>IF(F22="Chính Thức",IF(AS22&lt;=0,,IF(AND(AS22&gt;0,AS22&lt;=5000000),5%*AS22,IF(AND(AS22&gt;5000000,AS22&lt;=10000000),10%*AS22-250000,IF(AND(AS22&gt;10000000,AS22&lt;=18000000),15%*AS22-750000,IF(AND(AS22&gt;18000000,AS22&lt;=32000000),20%*AS22-1650000,IF(AND(AS22&gt;32000000,AS22&lt;=52000000),25%*AS22-3250000,IF(AND(AS22&gt;52000000,AS22&lt;=80000000),30%*AS22-5850000,IF(AS22&gt;80000000,35%*AS22-9850000)))))))),IF(AND(F22="Thử Việc",AS22&gt;=2000000),AS22*20%,IF(F22="CTV",AS22*10%)))</f>
        <v>148537.55681818185</v>
      </c>
      <c r="AU22" s="420"/>
      <c r="AV22" s="422">
        <f t="shared" ref="AV22:AV23" si="72">ROUND(AE22-AN22-AT22+AU22,-2)</f>
        <v>19102700</v>
      </c>
      <c r="AW22" s="402"/>
    </row>
    <row r="23" spans="1:50" ht="58.5" customHeight="1" x14ac:dyDescent="0.25">
      <c r="A23" s="416">
        <v>6</v>
      </c>
      <c r="B23" s="395" t="s">
        <v>351</v>
      </c>
      <c r="C23" s="379" t="s">
        <v>350</v>
      </c>
      <c r="D23" s="419" t="s">
        <v>339</v>
      </c>
      <c r="E23" s="419" t="s">
        <v>352</v>
      </c>
      <c r="F23" s="420" t="str">
        <f>IFERROR(VLOOKUP($B23,'3. BẢNG CHẤM CÔNG'!$B$11:$AV$23,6,0),0)</f>
        <v>Chính Thức</v>
      </c>
      <c r="G23" s="421">
        <f>IFERROR(VLOOKUP($B23, '3. BẢNG CHẤM CÔNG'!$B$10:$AV33,43,0),0)</f>
        <v>22</v>
      </c>
      <c r="H23" s="421">
        <f>IFERROR(VLOOKUP($B23, '3. BẢNG CHẤM CÔNG'!$B$10:$AV33,44,0),0)</f>
        <v>0</v>
      </c>
      <c r="I23" s="421"/>
      <c r="J23" s="420">
        <f>IFERROR(VLOOKUP($B23,' 5. Thông số TL'!$D$12:$S$26,4,0),0)</f>
        <v>5500000</v>
      </c>
      <c r="K23" s="420">
        <f>IFERROR(IF($F23="Chính Thức",$J23/$G$4*($G23+$H23),IF($F23="Thử Việc",$J23/$G$4*($G23+$H23)*85%,"")),0)</f>
        <v>5500000</v>
      </c>
      <c r="L23" s="422">
        <f t="shared" si="62"/>
        <v>5500000</v>
      </c>
      <c r="M23" s="420">
        <f>IFERROR(VLOOKUP($B23,' 5. Thông số TL'!$D$12:$S$26,5,0),0)</f>
        <v>1880000</v>
      </c>
      <c r="N23" s="423">
        <v>1</v>
      </c>
      <c r="O23" s="420">
        <f>IFERROR(IF($F23="Chính Thức",$M23/$G$4*($G23+$H23)*N23,IF($F23="Thử Việc",$M23/$G$4*N23*($G23+$H23)*85%)),0)</f>
        <v>1880000</v>
      </c>
      <c r="P23" s="420"/>
      <c r="Q23" s="424"/>
      <c r="R23" s="420"/>
      <c r="S23" s="422"/>
      <c r="T23" s="420"/>
      <c r="U23" s="420"/>
      <c r="V23" s="422">
        <f t="shared" si="63"/>
        <v>0</v>
      </c>
      <c r="W23" s="420">
        <f>IFERROR(IF($F23="Chính Thức",VLOOKUP($B23,' 5. Thông số TL'!$D$12:$S$26,6,0)/$G$4*($G23+$H23),IF($F23="Thử Việc",VLOOKUP($B23,' 5. Thông số TL'!$D$12:$S$26,6,0)/$G$4*($G23+$H23)*85%,"")),0)</f>
        <v>720000</v>
      </c>
      <c r="X23" s="420">
        <f>IFERROR(IF($F23="Chính Thức",VLOOKUP($B23,' 5. Thông số TL'!$D$12:$S$26,7,0)/$G$4*($G23+$H23),IF($F23="Thử Việc",VLOOKUP($B23,' 5. Thông số TL'!$D$12:$S$26,7,0)/$G$4*($G23+$H23)*85%,"")),0)</f>
        <v>399999.99999999994</v>
      </c>
      <c r="Y23" s="420">
        <f>IFERROR(IF($F23="Chính Thức",VLOOKUP($B23,' 5. Thông số TL'!$D$12:$S$26,8,0)/$G$4*($G23+$H23),IF($F23="Thử Việc",VLOOKUP($B23,' 5. Thông số TL'!$D$12:$S$26,8,0)/$G$4*($G23+$H23)*85%,"")),0)</f>
        <v>500000</v>
      </c>
      <c r="Z23" s="420">
        <f t="shared" si="64"/>
        <v>1620000</v>
      </c>
      <c r="AA23" s="420">
        <f>IFERROR(IF($F23="Chính Thức",VLOOKUP($B23,' 5. Thông số TL'!$D$12:$S$26,10,0)/$G$4*($G23+$H23),IF($F23="Thử Việc",VLOOKUP($B23,' 5. Thông số TL'!$D$12:$S$26,10,0)/$G$4*($G23+$H23)*85%,"")),0)</f>
        <v>0</v>
      </c>
      <c r="AB23" s="420"/>
      <c r="AC23" s="420">
        <f t="shared" si="65"/>
        <v>0</v>
      </c>
      <c r="AD23" s="422">
        <f t="shared" si="66"/>
        <v>1620000</v>
      </c>
      <c r="AE23" s="422">
        <f t="shared" si="67"/>
        <v>9000000</v>
      </c>
      <c r="AF23" s="420">
        <f>IF(F23="Chính Thức",AE23-Z23,IF(F23="Thử Việc",AE23,IF(F23="CTV",AE23,0)))</f>
        <v>7380000</v>
      </c>
      <c r="AG23" s="425">
        <f t="shared" ref="AG23:AI25" si="73">IFERROR(IF(AND($F23="Chính Thức",($G23+$H23)&gt;=11),$J23*AG$8,IF(AND($F23="Chính Thức",($G23+$H23)&lt;11,0),IF($F23="Thử Việc",0),"")),0)</f>
        <v>962499.99999999988</v>
      </c>
      <c r="AH23" s="425">
        <f t="shared" si="73"/>
        <v>165000</v>
      </c>
      <c r="AI23" s="425">
        <f t="shared" si="73"/>
        <v>55000</v>
      </c>
      <c r="AJ23" s="426">
        <f t="shared" ref="AJ23" si="74">ROUND(SUM(AG23:AI23),0)</f>
        <v>1182500</v>
      </c>
      <c r="AK23" s="425">
        <f t="shared" ref="AK23:AM25" si="75">IFERROR(IF(AND($F23="Chính Thức",($G23+$H23)&gt;=11),$J23*AK$8,IF(AND($F23="Chính Thức",($G23+$H23)&lt;11,0),IF($F23="Thử Việc",0),"")),0)</f>
        <v>440000</v>
      </c>
      <c r="AL23" s="425">
        <f t="shared" si="75"/>
        <v>82500</v>
      </c>
      <c r="AM23" s="425">
        <f t="shared" si="75"/>
        <v>55000</v>
      </c>
      <c r="AN23" s="422">
        <f t="shared" ref="AN23" si="76">ROUND(SUM(AK23:AM23),-1)</f>
        <v>577500</v>
      </c>
      <c r="AO23" s="426">
        <f t="shared" si="68"/>
        <v>15500000</v>
      </c>
      <c r="AP23" s="427"/>
      <c r="AQ23" s="420">
        <f t="shared" si="69"/>
        <v>0</v>
      </c>
      <c r="AR23" s="420">
        <f t="shared" si="70"/>
        <v>15500000</v>
      </c>
      <c r="AS23" s="420">
        <f t="shared" si="71"/>
        <v>0</v>
      </c>
      <c r="AT23" s="422">
        <f>IF(F23="Chính Thức",IF(AS23&lt;=0,,IF(AND(AS23&gt;0,AS23&lt;=5000000),5%*AS23,IF(AND(AS23&gt;5000000,AS23&lt;=10000000),10%*AS23-250000,IF(AND(AS23&gt;10000000,AS23&lt;=18000000),15%*AS23-750000,IF(AND(AS23&gt;18000000,AS23&lt;=32000000),20%*AS23-1650000,IF(AND(AS23&gt;32000000,AS23&lt;=52000000),25%*AS23-3250000,IF(AND(AS23&gt;52000000,AS23&lt;=80000000),30%*AS23-5850000,IF(AS23&gt;80000000,35%*AS23-9850000)))))))),IF(AND(F23="Thử Việc",AS23&gt;=2000000),AS23*20%,IF(F23="CTV",AS23*10%)))</f>
        <v>0</v>
      </c>
      <c r="AU23" s="420"/>
      <c r="AV23" s="422">
        <f t="shared" si="72"/>
        <v>8422500</v>
      </c>
      <c r="AW23" s="402"/>
      <c r="AX23" s="463"/>
    </row>
    <row r="24" spans="1:50" ht="58.5" customHeight="1" x14ac:dyDescent="0.25">
      <c r="A24" s="416">
        <v>8</v>
      </c>
      <c r="B24" s="395" t="s">
        <v>353</v>
      </c>
      <c r="C24" s="379" t="s">
        <v>364</v>
      </c>
      <c r="D24" s="419" t="s">
        <v>339</v>
      </c>
      <c r="E24" s="419" t="s">
        <v>352</v>
      </c>
      <c r="F24" s="420" t="str">
        <f>IFERROR(VLOOKUP($B24,'3. BẢNG CHẤM CÔNG'!$B$11:$AV$23,6,0),0)</f>
        <v>Chính Thức</v>
      </c>
      <c r="G24" s="421">
        <v>5</v>
      </c>
      <c r="H24" s="421">
        <f>IFERROR(VLOOKUP($B24, '3. BẢNG CHẤM CÔNG'!$B$10:$AV34,44,0),0)</f>
        <v>0</v>
      </c>
      <c r="I24" s="421"/>
      <c r="J24" s="420">
        <f>IFERROR(VLOOKUP($B24,' 5. Thông số TL'!$D$12:$S$26,4,0),0)</f>
        <v>5500000</v>
      </c>
      <c r="K24" s="420">
        <f>IFERROR(IF($F24="Chính Thức",$J24/$G$4*($G24+$H24),IF($F24="Thử Việc",$J24/$G$4*($G24+$H24)*85%,"")),0)</f>
        <v>1250000</v>
      </c>
      <c r="L24" s="422">
        <f t="shared" ref="L24" si="77">SUM(K24)</f>
        <v>1250000</v>
      </c>
      <c r="M24" s="420">
        <f>IFERROR(VLOOKUP($B24,' 5. Thông số TL'!$D$12:$S$26,5,0),0)</f>
        <v>1880000</v>
      </c>
      <c r="N24" s="423">
        <v>1</v>
      </c>
      <c r="O24" s="420">
        <f>IFERROR(IF($F24="Chính Thức",$M24/$G$4*($G24+$H24)*N24,IF($F24="Thử Việc",$M24/$G$4*N24*($G24+$H24)*85%)),0)</f>
        <v>427272.72727272729</v>
      </c>
      <c r="P24" s="420"/>
      <c r="Q24" s="424"/>
      <c r="R24" s="420"/>
      <c r="S24" s="422"/>
      <c r="T24" s="420"/>
      <c r="U24" s="420"/>
      <c r="V24" s="422">
        <f t="shared" ref="V24" si="78">SUM(T24:U24)</f>
        <v>0</v>
      </c>
      <c r="W24" s="420">
        <f>IFERROR(IF($F24="Chính Thức",VLOOKUP($B24,' 5. Thông số TL'!$D$12:$S$26,6,0)/$G$4*($G24+$H24),IF($F24="Thử Việc",VLOOKUP($B24,' 5. Thông số TL'!$D$12:$S$26,6,0)/$G$4*($G24+$H24)*85%,"")),0)</f>
        <v>163636.36363636365</v>
      </c>
      <c r="X24" s="420">
        <f>IFERROR(IF($F24="Chính Thức",VLOOKUP($B24,' 5. Thông số TL'!$D$12:$S$26,7,0)/$G$4*($G24+$H24),IF($F24="Thử Việc",VLOOKUP($B24,' 5. Thông số TL'!$D$12:$S$26,7,0)/$G$4*($G24+$H24)*85%,"")),0)</f>
        <v>90909.090909090897</v>
      </c>
      <c r="Y24" s="420">
        <f>IFERROR(IF($F24="Chính Thức",VLOOKUP($B24,' 5. Thông số TL'!$D$12:$S$26,8,0)/$G$4*($G24+$H24),IF($F24="Thử Việc",VLOOKUP($B24,' 5. Thông số TL'!$D$12:$S$26,8,0)/$G$4*($G24+$H24)*85%,"")),0)</f>
        <v>113636.36363636365</v>
      </c>
      <c r="Z24" s="420">
        <f t="shared" ref="Z24" si="79">SUM(W24:Y24)</f>
        <v>368181.81818181818</v>
      </c>
      <c r="AA24" s="420">
        <f>IFERROR(IF($F24="Chính Thức",VLOOKUP($B24,' 5. Thông số TL'!$D$12:$S$26,10,0)/$G$4*($G24+$H24),IF($F24="Thử Việc",VLOOKUP($B24,' 5. Thông số TL'!$D$12:$S$26,10,0)/$G$4*($G24+$H24)*85%,"")),0)</f>
        <v>0</v>
      </c>
      <c r="AB24" s="420"/>
      <c r="AC24" s="420">
        <f t="shared" ref="AC24" si="80">SUM(AA24:AB24)</f>
        <v>0</v>
      </c>
      <c r="AD24" s="422">
        <f t="shared" ref="AD24" si="81">Z24+AC24</f>
        <v>368181.81818181818</v>
      </c>
      <c r="AE24" s="422">
        <f t="shared" ref="AE24" si="82">L24+O24+S24+V24+AD24</f>
        <v>2045454.5454545454</v>
      </c>
      <c r="AF24" s="420">
        <f>IF(F24="Chính Thức",AE24-Z24,IF(F24="Thử Việc",AE24-W24-X24,IF(F24="CTV",AE24,0)))</f>
        <v>1677272.7272727273</v>
      </c>
      <c r="AG24" s="425">
        <v>0</v>
      </c>
      <c r="AH24" s="425">
        <v>0</v>
      </c>
      <c r="AI24" s="425">
        <v>0</v>
      </c>
      <c r="AJ24" s="425">
        <v>0</v>
      </c>
      <c r="AK24" s="425">
        <v>0</v>
      </c>
      <c r="AL24" s="425">
        <v>0</v>
      </c>
      <c r="AM24" s="425">
        <v>0</v>
      </c>
      <c r="AN24" s="425">
        <v>0</v>
      </c>
      <c r="AO24" s="426">
        <f t="shared" si="68"/>
        <v>15500000</v>
      </c>
      <c r="AP24" s="427"/>
      <c r="AQ24" s="420">
        <f t="shared" ref="AQ24" si="83">AP24*$AQ$10</f>
        <v>0</v>
      </c>
      <c r="AR24" s="420">
        <f t="shared" ref="AR24" si="84">+AO24+AQ24</f>
        <v>15500000</v>
      </c>
      <c r="AS24" s="420">
        <f t="shared" ref="AS24" si="85">MAX(AF24-AR24-AN24,0)</f>
        <v>0</v>
      </c>
      <c r="AT24" s="422">
        <f>IF(F24="Chính Thức",IF(AS24&lt;=0,,IF(AND(AS24&gt;0,AS24&lt;=5000000),5%*AS24,IF(AND(AS24&gt;5000000,AS24&lt;=10000000),10%*AS24-250000,IF(AND(AS24&gt;10000000,AS24&lt;=18000000),15%*AS24-750000,IF(AND(AS24&gt;18000000,AS24&lt;=32000000),20%*AS24-1650000,IF(AND(AS24&gt;32000000,AS24&lt;=52000000),25%*AS24-3250000,IF(AND(AS24&gt;52000000,AS24&lt;=80000000),30%*AS24-5850000,IF(AS24&gt;80000000,35%*AS24-9850000)))))))),IF(AND(F24="Thử Việc",AS24&gt;=2000000),AS24*10%,IF(F24="CTV",AS24*10%)))</f>
        <v>0</v>
      </c>
      <c r="AU24" s="420"/>
      <c r="AV24" s="422">
        <f t="shared" ref="AV24" si="86">ROUND(AE24-AN24-AT24+AU24,-2)</f>
        <v>2045500</v>
      </c>
      <c r="AW24" s="402"/>
    </row>
    <row r="25" spans="1:50" ht="58.5" customHeight="1" x14ac:dyDescent="0.25">
      <c r="A25" s="416">
        <v>8</v>
      </c>
      <c r="B25" s="395" t="s">
        <v>366</v>
      </c>
      <c r="C25" s="379" t="s">
        <v>365</v>
      </c>
      <c r="D25" s="419" t="s">
        <v>339</v>
      </c>
      <c r="E25" s="419" t="s">
        <v>362</v>
      </c>
      <c r="F25" s="420" t="str">
        <f>IFERROR(VLOOKUP($B25,'3. BẢNG CHẤM CÔNG'!$B$11:$AV$24,6,0),0)</f>
        <v>Thử Việc</v>
      </c>
      <c r="G25" s="421">
        <f>IFERROR(VLOOKUP($B25, '3. BẢNG CHẤM CÔNG'!$B$10:$AV35,43,0),0)</f>
        <v>17</v>
      </c>
      <c r="H25" s="421">
        <f>IFERROR(VLOOKUP($B25, '3. BẢNG CHẤM CÔNG'!$B$10:$AV35,44,0),0)</f>
        <v>0</v>
      </c>
      <c r="I25" s="421"/>
      <c r="J25" s="420">
        <f>IFERROR(VLOOKUP($B25,' 5. Thông số TL'!$D$12:$S$26,4,0),0)</f>
        <v>5500000</v>
      </c>
      <c r="K25" s="420">
        <f>IFERROR(IF($F25="Chính Thức",$J25/$G$4*($G25+$H25),IF($F25="Thử Việc",$J25/$G$4*($G25+$H25)*85%,"")),0)</f>
        <v>3612500</v>
      </c>
      <c r="L25" s="422">
        <f t="shared" ref="L25" si="87">SUM(K25)</f>
        <v>3612500</v>
      </c>
      <c r="M25" s="420">
        <f>IFERROR(VLOOKUP($B25,' 5. Thông số TL'!$D$12:$S$26,5,0),0)</f>
        <v>2457500</v>
      </c>
      <c r="N25" s="423">
        <v>1</v>
      </c>
      <c r="O25" s="420">
        <f>IFERROR(IF($F25="Chính Thức",$M25/$G$4*($G25+$H25)*N25,IF($F25="Thử Việc",$M25/$G$4*N25*($G25+$H25)*85%)),0)</f>
        <v>1614130.6818181816</v>
      </c>
      <c r="P25" s="420"/>
      <c r="Q25" s="424"/>
      <c r="R25" s="420"/>
      <c r="S25" s="422"/>
      <c r="T25" s="420"/>
      <c r="U25" s="420"/>
      <c r="V25" s="422">
        <f t="shared" ref="V25" si="88">SUM(T25:U25)</f>
        <v>0</v>
      </c>
      <c r="W25" s="420">
        <f>IFERROR(IF($F25="Chính Thức",VLOOKUP($B25,' 5. Thông số TL'!$D$12:$S$26,6,0)/$G$4*($G25+$H25),IF($F25="Thử Việc",VLOOKUP($B25,' 5. Thông số TL'!$D$12:$S$26,6,0)/$G$4*($G25+$H25)*85%,"")),0)</f>
        <v>472909.09090909088</v>
      </c>
      <c r="X25" s="420">
        <f>IFERROR(IF($F25="Chính Thức",VLOOKUP($B25,' 5. Thông số TL'!$D$12:$S$26,7,0)/$G$4*($G25+$H25),IF($F25="Thử Việc",VLOOKUP($B25,' 5. Thông số TL'!$D$12:$S$26,7,0)/$G$4*($G25+$H25)*85%,"")),0)</f>
        <v>262727.27272727271</v>
      </c>
      <c r="Y25" s="420">
        <f>IFERROR(IF($F25="Chính Thức",VLOOKUP($B25,' 5. Thông số TL'!$D$12:$S$26,8,0)/$G$4*($G25+$H25),IF($F25="Thử Việc",VLOOKUP($B25,' 5. Thông số TL'!$D$12:$S$26,8,0)/$G$4*($G25+$H25)*85%,"")),0)</f>
        <v>328409.09090909088</v>
      </c>
      <c r="Z25" s="420">
        <f t="shared" ref="Z25" si="89">SUM(W25:Y25)</f>
        <v>1064045.4545454544</v>
      </c>
      <c r="AA25" s="420">
        <f>IFERROR(IF($F25="Chính Thức",VLOOKUP($B25,' 5. Thông số TL'!$D$12:$S$26,10,0)/$G$4*($G25+$H25),IF($F25="Thử Việc",VLOOKUP($B25,' 5. Thông số TL'!$D$12:$S$26,10,0)/$G$4*($G25+$H25)*85%,"")),0)</f>
        <v>0</v>
      </c>
      <c r="AB25" s="420"/>
      <c r="AC25" s="420">
        <f t="shared" ref="AC25" si="90">SUM(AA25:AB25)</f>
        <v>0</v>
      </c>
      <c r="AD25" s="422">
        <f t="shared" ref="AD25" si="91">Z25+AC25</f>
        <v>1064045.4545454544</v>
      </c>
      <c r="AE25" s="422">
        <f t="shared" ref="AE25" si="92">L25+O25+S25+V25+AD25</f>
        <v>6290676.1363636358</v>
      </c>
      <c r="AF25" s="420">
        <f>IF(F25="Chính Thức",AE25-Z25,IF(F25="Thử Việc",AE25,IF(F25="CTV",AE25,0)))</f>
        <v>6290676.1363636358</v>
      </c>
      <c r="AG25" s="425" t="str">
        <f t="shared" si="73"/>
        <v/>
      </c>
      <c r="AH25" s="425" t="str">
        <f t="shared" si="73"/>
        <v/>
      </c>
      <c r="AI25" s="425" t="str">
        <f t="shared" si="73"/>
        <v/>
      </c>
      <c r="AJ25" s="426">
        <f t="shared" ref="AJ25" si="93">ROUND(SUM(AG25:AI25),0)</f>
        <v>0</v>
      </c>
      <c r="AK25" s="425" t="str">
        <f t="shared" si="75"/>
        <v/>
      </c>
      <c r="AL25" s="425" t="str">
        <f t="shared" si="75"/>
        <v/>
      </c>
      <c r="AM25" s="425" t="str">
        <f t="shared" si="75"/>
        <v/>
      </c>
      <c r="AN25" s="422">
        <f t="shared" ref="AN25" si="94">ROUND(SUM(AK25:AM25),-1)</f>
        <v>0</v>
      </c>
      <c r="AO25" s="426">
        <f t="shared" si="68"/>
        <v>0</v>
      </c>
      <c r="AP25" s="427"/>
      <c r="AQ25" s="420">
        <f t="shared" ref="AQ25" si="95">AP25*$AQ$10</f>
        <v>0</v>
      </c>
      <c r="AR25" s="420">
        <f t="shared" ref="AR25" si="96">+AO25+AQ25</f>
        <v>0</v>
      </c>
      <c r="AS25" s="420">
        <f t="shared" ref="AS25" si="97">MAX(AF25-AR25-AN25,0)</f>
        <v>6290676.1363636358</v>
      </c>
      <c r="AT25" s="422">
        <f>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Việc",AS25&gt;=2000000),AS25*10%,IF(F25="CTV",AS25*10%)))</f>
        <v>629067.61363636365</v>
      </c>
      <c r="AU25" s="420"/>
      <c r="AV25" s="422">
        <f t="shared" ref="AV25" si="98">ROUND(AE25-AN25-AT25+AU25,-2)</f>
        <v>5661600</v>
      </c>
      <c r="AW25" s="402"/>
    </row>
    <row r="26" spans="1:50" ht="58.5" customHeight="1" x14ac:dyDescent="0.25">
      <c r="A26" s="613" t="s">
        <v>218</v>
      </c>
      <c r="B26" s="561"/>
      <c r="C26" s="562"/>
      <c r="D26" s="415"/>
      <c r="E26" s="415"/>
      <c r="F26" s="415"/>
      <c r="G26" s="415">
        <f>SUBTOTAL(9,G11:G22)</f>
        <v>160.5</v>
      </c>
      <c r="H26" s="415">
        <f>SUBTOTAL(9,H11:H22)</f>
        <v>0</v>
      </c>
      <c r="I26" s="415">
        <f>SUBTOTAL(9,I11:I22)</f>
        <v>0</v>
      </c>
      <c r="J26" s="415">
        <f>J21+J15+J11</f>
        <v>57920000</v>
      </c>
      <c r="K26" s="415">
        <f t="shared" ref="K26:AU26" si="99">K21+K15+K11</f>
        <v>40336409.090909086</v>
      </c>
      <c r="L26" s="415">
        <f t="shared" si="99"/>
        <v>40336409.090909086</v>
      </c>
      <c r="M26" s="415">
        <f t="shared" si="99"/>
        <v>90483806</v>
      </c>
      <c r="N26" s="415">
        <f t="shared" si="99"/>
        <v>12</v>
      </c>
      <c r="O26" s="415">
        <f t="shared" si="99"/>
        <v>57809164.181818187</v>
      </c>
      <c r="P26" s="415">
        <f t="shared" si="99"/>
        <v>0</v>
      </c>
      <c r="Q26" s="415">
        <f t="shared" si="99"/>
        <v>0</v>
      </c>
      <c r="R26" s="415">
        <f t="shared" si="99"/>
        <v>0</v>
      </c>
      <c r="S26" s="415">
        <f t="shared" si="99"/>
        <v>0</v>
      </c>
      <c r="T26" s="415">
        <f t="shared" si="99"/>
        <v>0</v>
      </c>
      <c r="U26" s="415">
        <f t="shared" si="99"/>
        <v>0</v>
      </c>
      <c r="V26" s="415">
        <f t="shared" si="99"/>
        <v>0</v>
      </c>
      <c r="W26" s="415">
        <f t="shared" si="99"/>
        <v>6295090.9090909082</v>
      </c>
      <c r="X26" s="415">
        <f t="shared" si="99"/>
        <v>3497272.7272727266</v>
      </c>
      <c r="Y26" s="415">
        <f t="shared" si="99"/>
        <v>10287045.454545453</v>
      </c>
      <c r="Z26" s="415">
        <f t="shared" si="99"/>
        <v>20079409.09090909</v>
      </c>
      <c r="AA26" s="415">
        <f t="shared" si="99"/>
        <v>0</v>
      </c>
      <c r="AB26" s="415">
        <f t="shared" si="99"/>
        <v>0</v>
      </c>
      <c r="AC26" s="415">
        <f t="shared" si="99"/>
        <v>0</v>
      </c>
      <c r="AD26" s="415">
        <f t="shared" si="99"/>
        <v>20079409.09090909</v>
      </c>
      <c r="AE26" s="415">
        <f t="shared" si="99"/>
        <v>118224982.36363636</v>
      </c>
      <c r="AF26" s="415">
        <f t="shared" si="99"/>
        <v>107046891.45454545</v>
      </c>
      <c r="AG26" s="415">
        <f t="shared" si="99"/>
        <v>3587500</v>
      </c>
      <c r="AH26" s="415">
        <f t="shared" si="99"/>
        <v>615000</v>
      </c>
      <c r="AI26" s="415">
        <f t="shared" si="99"/>
        <v>205000</v>
      </c>
      <c r="AJ26" s="415">
        <f t="shared" si="99"/>
        <v>4407500</v>
      </c>
      <c r="AK26" s="415">
        <f t="shared" si="99"/>
        <v>1640000</v>
      </c>
      <c r="AL26" s="415">
        <f t="shared" si="99"/>
        <v>307500</v>
      </c>
      <c r="AM26" s="415">
        <f t="shared" si="99"/>
        <v>205000</v>
      </c>
      <c r="AN26" s="415">
        <f t="shared" si="99"/>
        <v>2152500</v>
      </c>
      <c r="AO26" s="415">
        <f t="shared" si="99"/>
        <v>77500000</v>
      </c>
      <c r="AP26" s="415">
        <f t="shared" si="99"/>
        <v>0</v>
      </c>
      <c r="AQ26" s="415">
        <f t="shared" si="99"/>
        <v>0</v>
      </c>
      <c r="AR26" s="415">
        <f t="shared" si="99"/>
        <v>77500000</v>
      </c>
      <c r="AS26" s="415">
        <f t="shared" si="99"/>
        <v>55342118.727272727</v>
      </c>
      <c r="AT26" s="415">
        <f t="shared" si="99"/>
        <v>5189614.0886363639</v>
      </c>
      <c r="AU26" s="415">
        <f t="shared" si="99"/>
        <v>0</v>
      </c>
      <c r="AV26" s="415">
        <f>AV21+AV15+AV11</f>
        <v>110882900</v>
      </c>
      <c r="AW26" s="236">
        <f>SUBTOTAL(9,AW16:AW16)</f>
        <v>0</v>
      </c>
    </row>
    <row r="27" spans="1:50" ht="21.75" customHeight="1" x14ac:dyDescent="0.25">
      <c r="A27" s="237"/>
      <c r="B27" s="237"/>
      <c r="C27" s="237"/>
      <c r="D27" s="206"/>
      <c r="E27" s="206"/>
      <c r="F27" s="206"/>
      <c r="G27" s="206"/>
      <c r="H27" s="206"/>
      <c r="I27" s="206"/>
      <c r="J27" s="206"/>
      <c r="K27" s="206"/>
      <c r="L27" s="237"/>
      <c r="M27" s="237"/>
      <c r="N27" s="238"/>
      <c r="O27" s="237"/>
      <c r="P27" s="206"/>
      <c r="Q27" s="206"/>
      <c r="R27" s="237"/>
      <c r="S27" s="206"/>
      <c r="T27" s="206"/>
      <c r="U27" s="206"/>
      <c r="V27" s="206"/>
      <c r="W27" s="206"/>
      <c r="X27" s="206"/>
      <c r="Y27" s="206"/>
      <c r="Z27" s="237"/>
      <c r="AA27" s="237"/>
      <c r="AB27" s="237"/>
      <c r="AC27" s="237"/>
      <c r="AD27" s="237"/>
      <c r="AE27" s="237"/>
      <c r="AF27" s="237"/>
      <c r="AG27" s="206"/>
      <c r="AH27" s="206"/>
      <c r="AI27" s="206"/>
      <c r="AJ27" s="239"/>
      <c r="AK27" s="206"/>
      <c r="AL27" s="240"/>
      <c r="AM27" s="240"/>
      <c r="AN27" s="240"/>
      <c r="AO27" s="240"/>
      <c r="AP27" s="240"/>
      <c r="AQ27" s="240"/>
      <c r="AR27" s="240"/>
      <c r="AS27" s="240"/>
      <c r="AT27" s="240"/>
      <c r="AU27" s="240"/>
      <c r="AV27" s="240"/>
      <c r="AW27" s="206"/>
    </row>
    <row r="28" spans="1:50" ht="43.5" customHeight="1" x14ac:dyDescent="0.25">
      <c r="A28" s="237"/>
      <c r="B28" s="237"/>
      <c r="C28" s="237"/>
      <c r="D28" s="206"/>
      <c r="E28" s="241"/>
      <c r="F28" s="206"/>
      <c r="H28" s="206"/>
      <c r="I28" s="206"/>
      <c r="J28" s="206"/>
      <c r="K28" s="206"/>
      <c r="L28" s="237"/>
      <c r="M28" s="237"/>
      <c r="N28" s="238"/>
      <c r="O28" s="237"/>
      <c r="P28" s="206"/>
      <c r="Q28" s="206"/>
      <c r="R28" s="237"/>
      <c r="S28" s="206"/>
      <c r="T28" s="206"/>
      <c r="U28" s="206"/>
      <c r="V28" s="206"/>
      <c r="W28" s="206"/>
      <c r="X28" s="206"/>
      <c r="Y28" s="206"/>
      <c r="Z28" s="237"/>
      <c r="AA28" s="237"/>
      <c r="AB28" s="237"/>
      <c r="AC28" s="237"/>
      <c r="AD28" s="237"/>
      <c r="AE28" s="237"/>
      <c r="AF28" s="237"/>
      <c r="AG28" s="206"/>
      <c r="AH28" s="206"/>
      <c r="AI28" s="206"/>
      <c r="AJ28" s="239"/>
      <c r="AK28" s="206"/>
      <c r="AL28" s="616" t="s">
        <v>219</v>
      </c>
      <c r="AM28" s="476"/>
      <c r="AN28" s="476"/>
      <c r="AO28" s="476"/>
      <c r="AP28" s="476"/>
      <c r="AQ28" s="476"/>
      <c r="AR28" s="476"/>
      <c r="AS28" s="476"/>
      <c r="AT28" s="476"/>
      <c r="AU28" s="476"/>
      <c r="AV28" s="476"/>
      <c r="AW28" s="206"/>
    </row>
    <row r="29" spans="1:50" ht="36.75" customHeight="1" x14ac:dyDescent="0.25">
      <c r="A29" s="44"/>
      <c r="B29" s="44"/>
      <c r="C29" s="551" t="s">
        <v>52</v>
      </c>
      <c r="D29" s="476"/>
      <c r="E29" s="476"/>
      <c r="G29" s="44"/>
      <c r="H29" s="44"/>
      <c r="I29" s="564" t="s">
        <v>53</v>
      </c>
      <c r="J29" s="476"/>
      <c r="K29" s="476"/>
      <c r="L29" s="476"/>
      <c r="M29" s="476"/>
      <c r="N29" s="476"/>
      <c r="O29" s="476"/>
      <c r="P29" s="476"/>
      <c r="Q29" s="476"/>
      <c r="R29" s="476"/>
      <c r="S29" s="476"/>
      <c r="T29" s="476"/>
      <c r="U29" s="476"/>
      <c r="V29" s="476"/>
      <c r="W29" s="476"/>
      <c r="X29" s="476"/>
      <c r="Y29" s="476"/>
      <c r="Z29" s="476"/>
      <c r="AA29" s="45"/>
      <c r="AB29" s="45"/>
      <c r="AC29" s="45"/>
      <c r="AD29" s="511" t="s">
        <v>220</v>
      </c>
      <c r="AE29" s="476"/>
      <c r="AF29" s="476"/>
      <c r="AG29" s="476"/>
      <c r="AH29" s="476"/>
      <c r="AI29" s="476"/>
      <c r="AJ29" s="476"/>
      <c r="AK29" s="242"/>
      <c r="AL29" s="551" t="s">
        <v>55</v>
      </c>
      <c r="AM29" s="476"/>
      <c r="AN29" s="476"/>
      <c r="AO29" s="476"/>
      <c r="AP29" s="476"/>
      <c r="AQ29" s="476"/>
      <c r="AR29" s="476"/>
      <c r="AS29" s="476"/>
      <c r="AT29" s="476"/>
      <c r="AU29" s="476"/>
      <c r="AV29" s="476"/>
      <c r="AW29" s="242"/>
    </row>
    <row r="30" spans="1:50" ht="203.25" customHeight="1" x14ac:dyDescent="0.25">
      <c r="A30" s="243"/>
      <c r="B30" s="244"/>
      <c r="C30" s="244"/>
      <c r="D30" s="245"/>
      <c r="E30" s="243"/>
      <c r="F30" s="243"/>
      <c r="G30" s="246"/>
      <c r="H30" s="247"/>
      <c r="I30" s="243"/>
      <c r="J30" s="243"/>
      <c r="K30" s="243"/>
      <c r="L30" s="243"/>
      <c r="M30" s="243"/>
      <c r="N30" s="248"/>
      <c r="O30" s="243"/>
      <c r="P30" s="249"/>
      <c r="Q30" s="249"/>
      <c r="R30" s="243"/>
      <c r="S30" s="243"/>
      <c r="T30" s="206"/>
      <c r="U30" s="206"/>
      <c r="V30" s="206"/>
      <c r="W30" s="206"/>
      <c r="X30" s="243"/>
      <c r="Y30" s="243"/>
      <c r="Z30" s="243"/>
      <c r="AA30" s="243"/>
      <c r="AB30" s="243"/>
      <c r="AC30" s="243"/>
      <c r="AD30" s="45"/>
      <c r="AE30" s="45"/>
      <c r="AF30" s="250"/>
      <c r="AG30" s="45"/>
      <c r="AH30" s="45"/>
      <c r="AI30" s="45"/>
      <c r="AJ30" s="45"/>
      <c r="AK30" s="243"/>
      <c r="AL30" s="243"/>
      <c r="AM30" s="243"/>
      <c r="AN30" s="251"/>
      <c r="AO30" s="251"/>
      <c r="AP30" s="243"/>
      <c r="AQ30" s="251"/>
      <c r="AR30" s="251"/>
      <c r="AS30" s="251"/>
      <c r="AT30" s="243"/>
      <c r="AU30" s="252"/>
      <c r="AV30" s="243"/>
      <c r="AW30" s="243"/>
    </row>
    <row r="31" spans="1:50" ht="27" customHeight="1" x14ac:dyDescent="0.25">
      <c r="A31" s="44"/>
      <c r="B31" s="44"/>
      <c r="C31" s="551"/>
      <c r="D31" s="476"/>
      <c r="E31" s="476"/>
      <c r="G31" s="44"/>
      <c r="H31" s="44"/>
      <c r="I31" s="564"/>
      <c r="J31" s="476"/>
      <c r="K31" s="476"/>
      <c r="L31" s="476"/>
      <c r="M31" s="476"/>
      <c r="N31" s="476"/>
      <c r="O31" s="476"/>
      <c r="P31" s="476"/>
      <c r="Q31" s="476"/>
      <c r="R31" s="476"/>
      <c r="S31" s="476"/>
      <c r="T31" s="476"/>
      <c r="U31" s="476"/>
      <c r="V31" s="476"/>
      <c r="W31" s="476"/>
      <c r="X31" s="476"/>
      <c r="Y31" s="476"/>
      <c r="Z31" s="476"/>
      <c r="AA31" s="45"/>
      <c r="AB31" s="45"/>
      <c r="AC31" s="45"/>
      <c r="AD31" s="511"/>
      <c r="AE31" s="476"/>
      <c r="AF31" s="476"/>
      <c r="AG31" s="476"/>
      <c r="AH31" s="476"/>
      <c r="AI31" s="476"/>
      <c r="AJ31" s="476"/>
      <c r="AK31" s="242"/>
      <c r="AL31" s="551"/>
      <c r="AM31" s="476"/>
      <c r="AN31" s="476"/>
      <c r="AO31" s="476"/>
      <c r="AP31" s="476"/>
      <c r="AQ31" s="476"/>
      <c r="AR31" s="476"/>
      <c r="AS31" s="476"/>
      <c r="AT31" s="476"/>
      <c r="AU31" s="476"/>
      <c r="AV31" s="476"/>
      <c r="AW31" s="242"/>
    </row>
    <row r="32" spans="1:50" ht="15" hidden="1" customHeight="1" x14ac:dyDescent="0.25">
      <c r="N32" s="208"/>
      <c r="AS32" s="146" t="s">
        <v>132</v>
      </c>
      <c r="AV32" s="43">
        <f>L26</f>
        <v>40336409.090909086</v>
      </c>
    </row>
    <row r="33" spans="14:48" ht="15" hidden="1" customHeight="1" x14ac:dyDescent="0.25">
      <c r="N33" s="208"/>
      <c r="AS33" s="146" t="s">
        <v>222</v>
      </c>
      <c r="AV33" s="43">
        <f>O26</f>
        <v>57809164.181818187</v>
      </c>
    </row>
    <row r="34" spans="14:48" ht="15" hidden="1" customHeight="1" x14ac:dyDescent="0.25">
      <c r="N34" s="208"/>
      <c r="AQ34" s="154"/>
      <c r="AR34" s="43"/>
      <c r="AS34" s="146" t="s">
        <v>223</v>
      </c>
      <c r="AV34" s="43">
        <f>V26</f>
        <v>0</v>
      </c>
    </row>
    <row r="35" spans="14:48" ht="15" hidden="1" customHeight="1" x14ac:dyDescent="0.25">
      <c r="N35" s="208"/>
      <c r="AS35" s="154" t="s">
        <v>224</v>
      </c>
      <c r="AV35" s="43">
        <f>AD26</f>
        <v>20079409.09090909</v>
      </c>
    </row>
    <row r="36" spans="14:48" ht="15" hidden="1" customHeight="1" x14ac:dyDescent="0.25">
      <c r="N36" s="208"/>
      <c r="AQ36" s="154"/>
      <c r="AR36" s="43"/>
      <c r="AS36" s="146" t="s">
        <v>136</v>
      </c>
      <c r="AV36" s="43">
        <f>SUM(AV32:AV35)</f>
        <v>118224982.36363637</v>
      </c>
    </row>
    <row r="37" spans="14:48" ht="15" hidden="1" customHeight="1" x14ac:dyDescent="0.25">
      <c r="N37" s="208"/>
      <c r="AQ37" s="154"/>
      <c r="AR37" s="43"/>
      <c r="AS37" s="146" t="s">
        <v>225</v>
      </c>
      <c r="AV37" s="43">
        <f>AN26</f>
        <v>2152500</v>
      </c>
    </row>
    <row r="38" spans="14:48" ht="15" hidden="1" customHeight="1" x14ac:dyDescent="0.25">
      <c r="N38" s="208"/>
      <c r="AQ38" s="154"/>
      <c r="AR38" s="43"/>
      <c r="AS38" s="146" t="s">
        <v>179</v>
      </c>
      <c r="AV38" s="43">
        <f>AT26</f>
        <v>5189614.0886363639</v>
      </c>
    </row>
    <row r="39" spans="14:48" ht="15" hidden="1" customHeight="1" x14ac:dyDescent="0.25">
      <c r="N39" s="208"/>
      <c r="AQ39" s="154"/>
      <c r="AR39" s="43"/>
      <c r="AS39" s="146" t="s">
        <v>226</v>
      </c>
      <c r="AV39" s="43">
        <f>AU26</f>
        <v>0</v>
      </c>
    </row>
    <row r="40" spans="14:48" ht="15" hidden="1" customHeight="1" x14ac:dyDescent="0.25">
      <c r="N40" s="208"/>
      <c r="AQ40" s="154"/>
      <c r="AR40" s="43"/>
      <c r="AS40" s="146" t="s">
        <v>227</v>
      </c>
      <c r="AV40" s="43">
        <f>AV36-AV37-AV38-AV39</f>
        <v>110882868.27500001</v>
      </c>
    </row>
    <row r="41" spans="14:48" ht="15" hidden="1" customHeight="1" x14ac:dyDescent="0.25">
      <c r="N41" s="208"/>
      <c r="AQ41" s="154"/>
      <c r="AR41" s="253"/>
      <c r="AS41" s="146" t="s">
        <v>228</v>
      </c>
      <c r="AV41" s="43">
        <f>AV40-AV26</f>
        <v>-31.724999994039536</v>
      </c>
    </row>
    <row r="42" spans="14:48" ht="15" customHeight="1" x14ac:dyDescent="0.25">
      <c r="N42" s="208"/>
      <c r="AQ42" s="154"/>
      <c r="AR42" s="43"/>
    </row>
    <row r="43" spans="14:48" ht="15" customHeight="1" x14ac:dyDescent="0.25">
      <c r="N43" s="208"/>
      <c r="AQ43" s="154"/>
      <c r="AR43" s="43"/>
    </row>
    <row r="44" spans="14:48" ht="15" customHeight="1" x14ac:dyDescent="0.25">
      <c r="N44" s="208"/>
      <c r="AQ44" s="154"/>
      <c r="AR44" s="43"/>
    </row>
    <row r="45" spans="14:48" ht="15" customHeight="1" x14ac:dyDescent="0.25">
      <c r="N45" s="208"/>
      <c r="AQ45" s="154"/>
      <c r="AR45" s="43"/>
    </row>
    <row r="46" spans="14:48" ht="15" customHeight="1" x14ac:dyDescent="0.25">
      <c r="N46" s="208"/>
      <c r="AQ46" s="154"/>
      <c r="AR46" s="43"/>
    </row>
    <row r="47" spans="14:48" ht="15.75" customHeight="1" x14ac:dyDescent="0.25">
      <c r="N47" s="208"/>
    </row>
    <row r="48" spans="14:48" ht="15.75" customHeight="1" x14ac:dyDescent="0.25">
      <c r="N48" s="208"/>
    </row>
    <row r="49" spans="14:14" ht="15.75" customHeight="1" x14ac:dyDescent="0.25">
      <c r="N49" s="208"/>
    </row>
    <row r="50" spans="14:14" ht="15.75" customHeight="1" x14ac:dyDescent="0.25">
      <c r="N50" s="208"/>
    </row>
    <row r="51" spans="14:14" ht="15.75" customHeight="1" x14ac:dyDescent="0.25">
      <c r="N51" s="208"/>
    </row>
    <row r="52" spans="14:14" ht="15.75" customHeight="1" x14ac:dyDescent="0.25">
      <c r="N52" s="208"/>
    </row>
    <row r="53" spans="14:14" ht="15.75" customHeight="1" x14ac:dyDescent="0.25">
      <c r="N53" s="208"/>
    </row>
    <row r="54" spans="14:14" ht="15.75" customHeight="1" x14ac:dyDescent="0.25">
      <c r="N54" s="208"/>
    </row>
    <row r="55" spans="14:14" ht="15.75" customHeight="1" x14ac:dyDescent="0.25">
      <c r="N55" s="208"/>
    </row>
    <row r="56" spans="14:14" ht="15.75" customHeight="1" x14ac:dyDescent="0.25">
      <c r="N56" s="208"/>
    </row>
    <row r="57" spans="14:14" ht="15.75" customHeight="1" x14ac:dyDescent="0.25">
      <c r="N57" s="208"/>
    </row>
    <row r="58" spans="14:14" ht="15.75" customHeight="1" x14ac:dyDescent="0.25">
      <c r="N58" s="208"/>
    </row>
    <row r="59" spans="14:14" ht="15.75" customHeight="1" x14ac:dyDescent="0.25">
      <c r="N59" s="208"/>
    </row>
    <row r="60" spans="14:14" ht="15.75" customHeight="1" x14ac:dyDescent="0.25">
      <c r="N60" s="208"/>
    </row>
    <row r="61" spans="14:14" ht="15.75" customHeight="1" x14ac:dyDescent="0.25">
      <c r="N61" s="208"/>
    </row>
    <row r="62" spans="14:14" ht="15.75" customHeight="1" x14ac:dyDescent="0.25">
      <c r="N62" s="208"/>
    </row>
    <row r="63" spans="14:14" ht="15.75" customHeight="1" x14ac:dyDescent="0.25">
      <c r="N63" s="208"/>
    </row>
    <row r="64" spans="14:14" ht="15.75" customHeight="1" x14ac:dyDescent="0.25">
      <c r="N64" s="208"/>
    </row>
    <row r="65" spans="14:14" ht="15.75" customHeight="1" x14ac:dyDescent="0.25">
      <c r="N65" s="208"/>
    </row>
    <row r="66" spans="14:14" ht="15.75" customHeight="1" x14ac:dyDescent="0.25">
      <c r="N66" s="208"/>
    </row>
    <row r="67" spans="14:14" ht="15.75" customHeight="1" x14ac:dyDescent="0.25">
      <c r="N67" s="208"/>
    </row>
    <row r="68" spans="14:14" ht="15.75" customHeight="1" x14ac:dyDescent="0.25">
      <c r="N68" s="208"/>
    </row>
    <row r="69" spans="14:14" ht="15.75" customHeight="1" x14ac:dyDescent="0.25">
      <c r="N69" s="208"/>
    </row>
    <row r="70" spans="14:14" ht="15.75" customHeight="1" x14ac:dyDescent="0.25">
      <c r="N70" s="208"/>
    </row>
    <row r="71" spans="14:14" ht="15.75" customHeight="1" x14ac:dyDescent="0.25">
      <c r="N71" s="208"/>
    </row>
    <row r="72" spans="14:14" ht="15.75" customHeight="1" x14ac:dyDescent="0.25">
      <c r="N72" s="208"/>
    </row>
    <row r="73" spans="14:14" ht="15.75" customHeight="1" x14ac:dyDescent="0.25">
      <c r="N73" s="208"/>
    </row>
    <row r="74" spans="14:14" ht="15.75" customHeight="1" x14ac:dyDescent="0.25">
      <c r="N74" s="208"/>
    </row>
    <row r="75" spans="14:14" ht="15.75" customHeight="1" x14ac:dyDescent="0.25">
      <c r="N75" s="208"/>
    </row>
    <row r="76" spans="14:14" ht="15.75" customHeight="1" x14ac:dyDescent="0.25">
      <c r="N76" s="208"/>
    </row>
    <row r="77" spans="14:14" ht="15.75" customHeight="1" x14ac:dyDescent="0.25">
      <c r="N77" s="208"/>
    </row>
    <row r="78" spans="14:14" ht="15.75" customHeight="1" x14ac:dyDescent="0.25">
      <c r="N78" s="208"/>
    </row>
    <row r="79" spans="14:14" ht="15.75" customHeight="1" x14ac:dyDescent="0.25">
      <c r="N79" s="208"/>
    </row>
    <row r="80" spans="14:14" ht="15.75" customHeight="1" x14ac:dyDescent="0.25">
      <c r="N80" s="208"/>
    </row>
    <row r="81" spans="14:14" ht="15.75" customHeight="1" x14ac:dyDescent="0.25">
      <c r="N81" s="208"/>
    </row>
    <row r="82" spans="14:14" ht="15.75" customHeight="1" x14ac:dyDescent="0.25">
      <c r="N82" s="208"/>
    </row>
    <row r="83" spans="14:14" ht="15.75" customHeight="1" x14ac:dyDescent="0.25">
      <c r="N83" s="208"/>
    </row>
    <row r="84" spans="14:14" ht="15.75" customHeight="1" x14ac:dyDescent="0.25">
      <c r="N84" s="208"/>
    </row>
    <row r="85" spans="14:14" ht="15.75" customHeight="1" x14ac:dyDescent="0.25">
      <c r="N85" s="208"/>
    </row>
    <row r="86" spans="14:14" ht="15.75" customHeight="1" x14ac:dyDescent="0.25">
      <c r="N86" s="208"/>
    </row>
    <row r="87" spans="14:14" ht="15.75" customHeight="1" x14ac:dyDescent="0.25">
      <c r="N87" s="208"/>
    </row>
    <row r="88" spans="14:14" ht="15.75" customHeight="1" x14ac:dyDescent="0.25">
      <c r="N88" s="208"/>
    </row>
    <row r="89" spans="14:14" ht="15.75" customHeight="1" x14ac:dyDescent="0.25">
      <c r="N89" s="208"/>
    </row>
    <row r="90" spans="14:14" ht="15.75" customHeight="1" x14ac:dyDescent="0.25">
      <c r="N90" s="208"/>
    </row>
    <row r="91" spans="14:14" ht="15.75" customHeight="1" x14ac:dyDescent="0.25">
      <c r="N91" s="208"/>
    </row>
    <row r="92" spans="14:14" ht="15.75" customHeight="1" x14ac:dyDescent="0.25">
      <c r="N92" s="208"/>
    </row>
    <row r="93" spans="14:14" ht="15.75" customHeight="1" x14ac:dyDescent="0.25">
      <c r="N93" s="208"/>
    </row>
    <row r="94" spans="14:14" ht="15.75" customHeight="1" x14ac:dyDescent="0.25">
      <c r="N94" s="208"/>
    </row>
    <row r="95" spans="14:14" ht="15.75" customHeight="1" x14ac:dyDescent="0.25">
      <c r="N95" s="208"/>
    </row>
    <row r="96" spans="14:14" ht="15.75" customHeight="1" x14ac:dyDescent="0.25">
      <c r="N96" s="208"/>
    </row>
    <row r="97" spans="14:14" ht="15.75" customHeight="1" x14ac:dyDescent="0.25">
      <c r="N97" s="208"/>
    </row>
    <row r="98" spans="14:14" ht="15.75" customHeight="1" x14ac:dyDescent="0.25">
      <c r="N98" s="208"/>
    </row>
    <row r="99" spans="14:14" ht="15.75" customHeight="1" x14ac:dyDescent="0.25">
      <c r="N99" s="208"/>
    </row>
    <row r="100" spans="14:14" ht="15.75" customHeight="1" x14ac:dyDescent="0.25">
      <c r="N100" s="208"/>
    </row>
    <row r="101" spans="14:14" ht="15.75" customHeight="1" x14ac:dyDescent="0.25">
      <c r="N101" s="208"/>
    </row>
    <row r="102" spans="14:14" ht="15.75" customHeight="1" x14ac:dyDescent="0.25">
      <c r="N102" s="208"/>
    </row>
    <row r="103" spans="14:14" ht="15.75" customHeight="1" x14ac:dyDescent="0.25">
      <c r="N103" s="208"/>
    </row>
    <row r="104" spans="14:14" ht="15.75" customHeight="1" x14ac:dyDescent="0.25">
      <c r="N104" s="208"/>
    </row>
    <row r="105" spans="14:14" ht="15.75" customHeight="1" x14ac:dyDescent="0.25">
      <c r="N105" s="208"/>
    </row>
    <row r="106" spans="14:14" ht="15.75" customHeight="1" x14ac:dyDescent="0.25">
      <c r="N106" s="208"/>
    </row>
    <row r="107" spans="14:14" ht="15.75" customHeight="1" x14ac:dyDescent="0.25">
      <c r="N107" s="208"/>
    </row>
    <row r="108" spans="14:14" ht="15.75" customHeight="1" x14ac:dyDescent="0.25">
      <c r="N108" s="208"/>
    </row>
    <row r="109" spans="14:14" ht="15.75" customHeight="1" x14ac:dyDescent="0.25">
      <c r="N109" s="208"/>
    </row>
    <row r="110" spans="14:14" ht="15.75" customHeight="1" x14ac:dyDescent="0.25">
      <c r="N110" s="208"/>
    </row>
    <row r="111" spans="14:14" ht="15.75" customHeight="1" x14ac:dyDescent="0.25">
      <c r="N111" s="208"/>
    </row>
    <row r="112" spans="14:14" ht="15.75" customHeight="1" x14ac:dyDescent="0.25">
      <c r="N112" s="208"/>
    </row>
    <row r="113" spans="14:14" ht="15.75" customHeight="1" x14ac:dyDescent="0.25">
      <c r="N113" s="208"/>
    </row>
    <row r="114" spans="14:14" ht="15.75" customHeight="1" x14ac:dyDescent="0.25">
      <c r="N114" s="208"/>
    </row>
    <row r="115" spans="14:14" ht="15.75" customHeight="1" x14ac:dyDescent="0.25">
      <c r="N115" s="208"/>
    </row>
    <row r="116" spans="14:14" ht="15.75" customHeight="1" x14ac:dyDescent="0.25">
      <c r="N116" s="208"/>
    </row>
    <row r="117" spans="14:14" ht="15.75" customHeight="1" x14ac:dyDescent="0.25">
      <c r="N117" s="208"/>
    </row>
    <row r="118" spans="14:14" ht="15.75" customHeight="1" x14ac:dyDescent="0.25">
      <c r="N118" s="208"/>
    </row>
    <row r="119" spans="14:14" ht="15.75" customHeight="1" x14ac:dyDescent="0.25">
      <c r="N119" s="208"/>
    </row>
    <row r="120" spans="14:14" ht="15.75" customHeight="1" x14ac:dyDescent="0.25">
      <c r="N120" s="208"/>
    </row>
    <row r="121" spans="14:14" ht="15.75" customHeight="1" x14ac:dyDescent="0.25">
      <c r="N121" s="208"/>
    </row>
    <row r="122" spans="14:14" ht="15.75" customHeight="1" x14ac:dyDescent="0.25">
      <c r="N122" s="208"/>
    </row>
    <row r="123" spans="14:14" ht="15.75" customHeight="1" x14ac:dyDescent="0.25">
      <c r="N123" s="208"/>
    </row>
    <row r="124" spans="14:14" ht="15.75" customHeight="1" x14ac:dyDescent="0.25">
      <c r="N124" s="208"/>
    </row>
    <row r="125" spans="14:14" ht="15.75" customHeight="1" x14ac:dyDescent="0.25">
      <c r="N125" s="208"/>
    </row>
    <row r="126" spans="14:14" ht="15.75" customHeight="1" x14ac:dyDescent="0.25">
      <c r="N126" s="208"/>
    </row>
    <row r="127" spans="14:14" ht="15.75" customHeight="1" x14ac:dyDescent="0.25">
      <c r="N127" s="208"/>
    </row>
    <row r="128" spans="14:14" ht="15.75" customHeight="1" x14ac:dyDescent="0.25">
      <c r="N128" s="208"/>
    </row>
    <row r="129" spans="14:14" ht="15.75" customHeight="1" x14ac:dyDescent="0.25">
      <c r="N129" s="208"/>
    </row>
    <row r="130" spans="14:14" ht="15.75" customHeight="1" x14ac:dyDescent="0.25">
      <c r="N130" s="208"/>
    </row>
    <row r="131" spans="14:14" ht="15.75" customHeight="1" x14ac:dyDescent="0.25">
      <c r="N131" s="208"/>
    </row>
    <row r="132" spans="14:14" ht="15.75" customHeight="1" x14ac:dyDescent="0.25">
      <c r="N132" s="208"/>
    </row>
    <row r="133" spans="14:14" ht="15.75" customHeight="1" x14ac:dyDescent="0.25">
      <c r="N133" s="208"/>
    </row>
    <row r="134" spans="14:14" ht="15.75" customHeight="1" x14ac:dyDescent="0.25">
      <c r="N134" s="208"/>
    </row>
    <row r="135" spans="14:14" ht="15.75" customHeight="1" x14ac:dyDescent="0.25">
      <c r="N135" s="208"/>
    </row>
    <row r="136" spans="14:14" ht="15.75" customHeight="1" x14ac:dyDescent="0.25">
      <c r="N136" s="208"/>
    </row>
    <row r="137" spans="14:14" ht="15.75" customHeight="1" x14ac:dyDescent="0.25">
      <c r="N137" s="208"/>
    </row>
    <row r="138" spans="14:14" ht="15.75" customHeight="1" x14ac:dyDescent="0.25">
      <c r="N138" s="208"/>
    </row>
    <row r="139" spans="14:14" ht="15.75" customHeight="1" x14ac:dyDescent="0.25">
      <c r="N139" s="208"/>
    </row>
    <row r="140" spans="14:14" ht="15.75" customHeight="1" x14ac:dyDescent="0.25">
      <c r="N140" s="208"/>
    </row>
    <row r="141" spans="14:14" ht="15.75" customHeight="1" x14ac:dyDescent="0.25">
      <c r="N141" s="208"/>
    </row>
    <row r="142" spans="14:14" ht="15.75" customHeight="1" x14ac:dyDescent="0.25">
      <c r="N142" s="208"/>
    </row>
    <row r="143" spans="14:14" ht="15.75" customHeight="1" x14ac:dyDescent="0.25">
      <c r="N143" s="208"/>
    </row>
    <row r="144" spans="14:14" ht="15.75" customHeight="1" x14ac:dyDescent="0.25">
      <c r="N144" s="208"/>
    </row>
    <row r="145" spans="14:14" ht="15.75" customHeight="1" x14ac:dyDescent="0.25">
      <c r="N145" s="208"/>
    </row>
    <row r="146" spans="14:14" ht="15.75" customHeight="1" x14ac:dyDescent="0.25">
      <c r="N146" s="208"/>
    </row>
    <row r="147" spans="14:14" ht="15.75" customHeight="1" x14ac:dyDescent="0.25">
      <c r="N147" s="208"/>
    </row>
    <row r="148" spans="14:14" ht="15.75" customHeight="1" x14ac:dyDescent="0.25">
      <c r="N148" s="208"/>
    </row>
    <row r="149" spans="14:14" ht="15.75" customHeight="1" x14ac:dyDescent="0.25">
      <c r="N149" s="208"/>
    </row>
    <row r="150" spans="14:14" ht="15.75" customHeight="1" x14ac:dyDescent="0.25">
      <c r="N150" s="208"/>
    </row>
    <row r="151" spans="14:14" ht="15.75" customHeight="1" x14ac:dyDescent="0.25">
      <c r="N151" s="208"/>
    </row>
    <row r="152" spans="14:14" ht="15.75" customHeight="1" x14ac:dyDescent="0.25">
      <c r="N152" s="208"/>
    </row>
    <row r="153" spans="14:14" ht="15.75" customHeight="1" x14ac:dyDescent="0.25">
      <c r="N153" s="208"/>
    </row>
    <row r="154" spans="14:14" ht="15.75" customHeight="1" x14ac:dyDescent="0.25">
      <c r="N154" s="208"/>
    </row>
    <row r="155" spans="14:14" ht="15.75" customHeight="1" x14ac:dyDescent="0.25">
      <c r="N155" s="208"/>
    </row>
    <row r="156" spans="14:14" ht="15.75" customHeight="1" x14ac:dyDescent="0.25">
      <c r="N156" s="208"/>
    </row>
    <row r="157" spans="14:14" ht="15.75" customHeight="1" x14ac:dyDescent="0.25">
      <c r="N157" s="208"/>
    </row>
    <row r="158" spans="14:14" ht="15.75" customHeight="1" x14ac:dyDescent="0.25">
      <c r="N158" s="208"/>
    </row>
    <row r="159" spans="14:14" ht="15.75" customHeight="1" x14ac:dyDescent="0.25">
      <c r="N159" s="208"/>
    </row>
    <row r="160" spans="14:14" ht="15.75" customHeight="1" x14ac:dyDescent="0.25">
      <c r="N160" s="208"/>
    </row>
    <row r="161" spans="14:14" ht="15.75" customHeight="1" x14ac:dyDescent="0.25">
      <c r="N161" s="208"/>
    </row>
    <row r="162" spans="14:14" ht="15.75" customHeight="1" x14ac:dyDescent="0.25">
      <c r="N162" s="208"/>
    </row>
    <row r="163" spans="14:14" ht="15.75" customHeight="1" x14ac:dyDescent="0.25">
      <c r="N163" s="208"/>
    </row>
    <row r="164" spans="14:14" ht="15.75" customHeight="1" x14ac:dyDescent="0.25">
      <c r="N164" s="208"/>
    </row>
    <row r="165" spans="14:14" ht="15.75" customHeight="1" x14ac:dyDescent="0.25">
      <c r="N165" s="208"/>
    </row>
    <row r="166" spans="14:14" ht="15.75" customHeight="1" x14ac:dyDescent="0.25">
      <c r="N166" s="208"/>
    </row>
    <row r="167" spans="14:14" ht="15.75" customHeight="1" x14ac:dyDescent="0.25">
      <c r="N167" s="208"/>
    </row>
    <row r="168" spans="14:14" ht="15.75" customHeight="1" x14ac:dyDescent="0.25">
      <c r="N168" s="208"/>
    </row>
    <row r="169" spans="14:14" ht="15.75" customHeight="1" x14ac:dyDescent="0.25">
      <c r="N169" s="208"/>
    </row>
    <row r="170" spans="14:14" ht="15.75" customHeight="1" x14ac:dyDescent="0.25">
      <c r="N170" s="208"/>
    </row>
    <row r="171" spans="14:14" ht="15.75" customHeight="1" x14ac:dyDescent="0.25">
      <c r="N171" s="208"/>
    </row>
    <row r="172" spans="14:14" ht="15.75" customHeight="1" x14ac:dyDescent="0.25">
      <c r="N172" s="208"/>
    </row>
    <row r="173" spans="14:14" ht="15.75" customHeight="1" x14ac:dyDescent="0.25">
      <c r="N173" s="208"/>
    </row>
    <row r="174" spans="14:14" ht="15.75" customHeight="1" x14ac:dyDescent="0.25">
      <c r="N174" s="208"/>
    </row>
    <row r="175" spans="14:14" ht="15.75" customHeight="1" x14ac:dyDescent="0.25">
      <c r="N175" s="208"/>
    </row>
    <row r="176" spans="14:14" ht="15.75" customHeight="1" x14ac:dyDescent="0.25">
      <c r="N176" s="208"/>
    </row>
    <row r="177" spans="14:14" ht="15.75" customHeight="1" x14ac:dyDescent="0.25">
      <c r="N177" s="208"/>
    </row>
    <row r="178" spans="14:14" ht="15.75" customHeight="1" x14ac:dyDescent="0.25">
      <c r="N178" s="208"/>
    </row>
    <row r="179" spans="14:14" ht="15.75" customHeight="1" x14ac:dyDescent="0.25">
      <c r="N179" s="208"/>
    </row>
    <row r="180" spans="14:14" ht="15.75" customHeight="1" x14ac:dyDescent="0.25">
      <c r="N180" s="208"/>
    </row>
    <row r="181" spans="14:14" ht="15.75" customHeight="1" x14ac:dyDescent="0.25">
      <c r="N181" s="208"/>
    </row>
    <row r="182" spans="14:14" ht="15.75" customHeight="1" x14ac:dyDescent="0.25">
      <c r="N182" s="208"/>
    </row>
    <row r="183" spans="14:14" ht="15.75" customHeight="1" x14ac:dyDescent="0.25">
      <c r="N183" s="208"/>
    </row>
    <row r="184" spans="14:14" ht="15.75" customHeight="1" x14ac:dyDescent="0.25">
      <c r="N184" s="208"/>
    </row>
    <row r="185" spans="14:14" ht="15.75" customHeight="1" x14ac:dyDescent="0.25">
      <c r="N185" s="208"/>
    </row>
    <row r="186" spans="14:14" ht="15.75" customHeight="1" x14ac:dyDescent="0.25">
      <c r="N186" s="208"/>
    </row>
    <row r="187" spans="14:14" ht="15.75" customHeight="1" x14ac:dyDescent="0.25">
      <c r="N187" s="208"/>
    </row>
    <row r="188" spans="14:14" ht="15.75" customHeight="1" x14ac:dyDescent="0.25">
      <c r="N188" s="208"/>
    </row>
    <row r="189" spans="14:14" ht="15.75" customHeight="1" x14ac:dyDescent="0.25">
      <c r="N189" s="208"/>
    </row>
    <row r="190" spans="14:14" ht="15.75" customHeight="1" x14ac:dyDescent="0.25">
      <c r="N190" s="208"/>
    </row>
    <row r="191" spans="14:14" ht="15.75" customHeight="1" x14ac:dyDescent="0.25">
      <c r="N191" s="208"/>
    </row>
    <row r="192" spans="14:14" ht="15.75" customHeight="1" x14ac:dyDescent="0.25">
      <c r="N192" s="208"/>
    </row>
    <row r="193" spans="14:14" ht="15.75" customHeight="1" x14ac:dyDescent="0.25">
      <c r="N193" s="208"/>
    </row>
    <row r="194" spans="14:14" ht="15.75" customHeight="1" x14ac:dyDescent="0.25">
      <c r="N194" s="208"/>
    </row>
    <row r="195" spans="14:14" ht="15.75" customHeight="1" x14ac:dyDescent="0.25">
      <c r="N195" s="208"/>
    </row>
    <row r="196" spans="14:14" ht="15.75" customHeight="1" x14ac:dyDescent="0.25">
      <c r="N196" s="208"/>
    </row>
    <row r="197" spans="14:14" ht="15.75" customHeight="1" x14ac:dyDescent="0.25">
      <c r="N197" s="208"/>
    </row>
    <row r="198" spans="14:14" ht="15.75" customHeight="1" x14ac:dyDescent="0.25">
      <c r="N198" s="208"/>
    </row>
    <row r="199" spans="14:14" ht="15.75" customHeight="1" x14ac:dyDescent="0.25">
      <c r="N199" s="208"/>
    </row>
    <row r="200" spans="14:14" ht="15.75" customHeight="1" x14ac:dyDescent="0.25">
      <c r="N200" s="208"/>
    </row>
    <row r="201" spans="14:14" ht="15.75" customHeight="1" x14ac:dyDescent="0.25">
      <c r="N201" s="208"/>
    </row>
    <row r="202" spans="14:14" ht="15.75" customHeight="1" x14ac:dyDescent="0.25">
      <c r="N202" s="208"/>
    </row>
    <row r="203" spans="14:14" ht="15.75" customHeight="1" x14ac:dyDescent="0.25">
      <c r="N203" s="208"/>
    </row>
    <row r="204" spans="14:14" ht="15.75" customHeight="1" x14ac:dyDescent="0.25">
      <c r="N204" s="208"/>
    </row>
    <row r="205" spans="14:14" ht="15.75" customHeight="1" x14ac:dyDescent="0.25">
      <c r="N205" s="208"/>
    </row>
    <row r="206" spans="14:14" ht="15.75" customHeight="1" x14ac:dyDescent="0.25">
      <c r="N206" s="208"/>
    </row>
    <row r="207" spans="14:14" ht="15.75" customHeight="1" x14ac:dyDescent="0.25">
      <c r="N207" s="208"/>
    </row>
    <row r="208" spans="14:14" ht="15.75" customHeight="1" x14ac:dyDescent="0.25">
      <c r="N208" s="208"/>
    </row>
    <row r="209" spans="14:14" ht="15.75" customHeight="1" x14ac:dyDescent="0.25">
      <c r="N209" s="208"/>
    </row>
    <row r="210" spans="14:14" ht="15.75" customHeight="1" x14ac:dyDescent="0.25">
      <c r="N210" s="208"/>
    </row>
    <row r="211" spans="14:14" ht="15.75" customHeight="1" x14ac:dyDescent="0.25">
      <c r="N211" s="208"/>
    </row>
    <row r="212" spans="14:14" ht="15.75" customHeight="1" x14ac:dyDescent="0.25">
      <c r="N212" s="208"/>
    </row>
    <row r="213" spans="14:14" ht="15.75" customHeight="1" x14ac:dyDescent="0.25">
      <c r="N213" s="208"/>
    </row>
    <row r="214" spans="14:14" ht="15.75" customHeight="1" x14ac:dyDescent="0.25">
      <c r="N214" s="208"/>
    </row>
    <row r="215" spans="14:14" ht="15.75" customHeight="1" x14ac:dyDescent="0.25">
      <c r="N215" s="208"/>
    </row>
    <row r="216" spans="14:14" ht="15.75" customHeight="1" x14ac:dyDescent="0.25">
      <c r="N216" s="208"/>
    </row>
    <row r="217" spans="14:14" ht="15.75" customHeight="1" x14ac:dyDescent="0.25">
      <c r="N217" s="208"/>
    </row>
    <row r="218" spans="14:14" ht="15.75" customHeight="1" x14ac:dyDescent="0.25">
      <c r="N218" s="208"/>
    </row>
    <row r="219" spans="14:14" ht="15.75" customHeight="1" x14ac:dyDescent="0.25">
      <c r="N219" s="208"/>
    </row>
    <row r="220" spans="14:14" ht="15.75" customHeight="1" x14ac:dyDescent="0.25">
      <c r="N220" s="208"/>
    </row>
    <row r="221" spans="14:14" ht="15.75" customHeight="1" x14ac:dyDescent="0.25">
      <c r="N221" s="208"/>
    </row>
    <row r="222" spans="14:14" ht="15.75" customHeight="1" x14ac:dyDescent="0.25">
      <c r="N222" s="208"/>
    </row>
    <row r="223" spans="14:14" ht="15.75" customHeight="1" x14ac:dyDescent="0.25">
      <c r="N223" s="208"/>
    </row>
    <row r="224" spans="14:14" ht="15.75" customHeight="1" x14ac:dyDescent="0.25">
      <c r="N224" s="208"/>
    </row>
    <row r="225" spans="14:14" ht="15.75" customHeight="1" x14ac:dyDescent="0.25">
      <c r="N225" s="208"/>
    </row>
    <row r="226" spans="14:14" ht="15.75" customHeight="1" x14ac:dyDescent="0.25">
      <c r="N226" s="208"/>
    </row>
    <row r="227" spans="14:14" ht="15.75" customHeight="1" x14ac:dyDescent="0.25">
      <c r="N227" s="208"/>
    </row>
    <row r="228" spans="14:14" ht="15.75" customHeight="1" x14ac:dyDescent="0.25">
      <c r="N228" s="208"/>
    </row>
    <row r="229" spans="14:14" ht="15.75" customHeight="1" x14ac:dyDescent="0.25">
      <c r="N229" s="208"/>
    </row>
    <row r="230" spans="14:14" ht="15.75" customHeight="1" x14ac:dyDescent="0.25">
      <c r="N230" s="208"/>
    </row>
    <row r="231" spans="14:14" ht="15.75" customHeight="1" x14ac:dyDescent="0.25">
      <c r="N231" s="208"/>
    </row>
    <row r="232" spans="14:14" ht="15.75" customHeight="1" x14ac:dyDescent="0.25">
      <c r="N232" s="208"/>
    </row>
    <row r="233" spans="14:14" ht="15.75" customHeight="1" x14ac:dyDescent="0.25">
      <c r="N233" s="208"/>
    </row>
    <row r="234" spans="14:14" ht="15.75" customHeight="1" x14ac:dyDescent="0.25">
      <c r="N234" s="208"/>
    </row>
    <row r="235" spans="14:14" ht="15.75" customHeight="1" x14ac:dyDescent="0.25">
      <c r="N235" s="208"/>
    </row>
    <row r="236" spans="14:14" ht="15.75" customHeight="1" x14ac:dyDescent="0.25">
      <c r="N236" s="208"/>
    </row>
    <row r="237" spans="14:14" ht="15.75" customHeight="1" x14ac:dyDescent="0.25">
      <c r="N237" s="208"/>
    </row>
    <row r="238" spans="14:14" ht="15.75" customHeight="1" x14ac:dyDescent="0.25">
      <c r="N238" s="208"/>
    </row>
    <row r="239" spans="14:14" ht="15.75" customHeight="1" x14ac:dyDescent="0.25">
      <c r="N239" s="208"/>
    </row>
    <row r="240" spans="14:14" ht="15.75" customHeight="1" x14ac:dyDescent="0.25">
      <c r="N240" s="208"/>
    </row>
    <row r="241" spans="14:14" ht="15.75" customHeight="1" x14ac:dyDescent="0.25">
      <c r="N241" s="208"/>
    </row>
    <row r="242" spans="14:14" ht="15.75" customHeight="1" x14ac:dyDescent="0.25">
      <c r="N242" s="208"/>
    </row>
    <row r="243" spans="14:14" ht="15.75" customHeight="1" x14ac:dyDescent="0.25">
      <c r="N243" s="208"/>
    </row>
    <row r="244" spans="14:14" ht="15.75" customHeight="1" x14ac:dyDescent="0.25">
      <c r="N244" s="208"/>
    </row>
    <row r="245" spans="14:14" ht="15.75" customHeight="1" x14ac:dyDescent="0.25">
      <c r="N245" s="208"/>
    </row>
    <row r="246" spans="14:14" ht="15.75" customHeight="1" x14ac:dyDescent="0.25">
      <c r="N246" s="208"/>
    </row>
    <row r="247" spans="14:14" ht="15.75" customHeight="1" x14ac:dyDescent="0.25">
      <c r="N247" s="208"/>
    </row>
    <row r="248" spans="14:14" ht="15.75" customHeight="1" x14ac:dyDescent="0.25">
      <c r="N248" s="208"/>
    </row>
    <row r="249" spans="14:14" ht="15.75" customHeight="1" x14ac:dyDescent="0.25">
      <c r="N249" s="208"/>
    </row>
    <row r="250" spans="14:14" ht="15.75" customHeight="1" x14ac:dyDescent="0.25">
      <c r="N250" s="208"/>
    </row>
    <row r="251" spans="14:14" ht="15.75" customHeight="1" x14ac:dyDescent="0.25">
      <c r="N251" s="208"/>
    </row>
    <row r="252" spans="14:14" ht="15.75" customHeight="1" x14ac:dyDescent="0.25">
      <c r="N252" s="208"/>
    </row>
    <row r="253" spans="14:14" ht="15.75" customHeight="1" x14ac:dyDescent="0.25">
      <c r="N253" s="208"/>
    </row>
    <row r="254" spans="14:14" ht="15.75" customHeight="1" x14ac:dyDescent="0.25">
      <c r="N254" s="208"/>
    </row>
    <row r="255" spans="14:14" ht="15.75" customHeight="1" x14ac:dyDescent="0.25">
      <c r="N255" s="208"/>
    </row>
    <row r="256" spans="14:14" ht="15.75" customHeight="1" x14ac:dyDescent="0.25">
      <c r="N256" s="208"/>
    </row>
    <row r="257" spans="14:14" ht="15.75" customHeight="1" x14ac:dyDescent="0.25">
      <c r="N257" s="208"/>
    </row>
    <row r="258" spans="14:14" ht="15.75" customHeight="1" x14ac:dyDescent="0.25">
      <c r="N258" s="208"/>
    </row>
    <row r="259" spans="14:14" ht="15.75" customHeight="1" x14ac:dyDescent="0.25">
      <c r="N259" s="208"/>
    </row>
    <row r="260" spans="14:14" ht="15.75" customHeight="1" x14ac:dyDescent="0.25">
      <c r="N260" s="208"/>
    </row>
    <row r="261" spans="14:14" ht="15.75" customHeight="1" x14ac:dyDescent="0.25">
      <c r="N261" s="208"/>
    </row>
    <row r="262" spans="14:14" ht="15.75" customHeight="1" x14ac:dyDescent="0.25">
      <c r="N262" s="208"/>
    </row>
    <row r="263" spans="14:14" ht="15.75" customHeight="1" x14ac:dyDescent="0.25">
      <c r="N263" s="208"/>
    </row>
    <row r="264" spans="14:14" ht="15.75" customHeight="1" x14ac:dyDescent="0.25">
      <c r="N264" s="208"/>
    </row>
    <row r="265" spans="14:14" ht="15.75" customHeight="1" x14ac:dyDescent="0.25">
      <c r="N265" s="208"/>
    </row>
    <row r="266" spans="14:14" ht="15.75" customHeight="1" x14ac:dyDescent="0.25">
      <c r="N266" s="208"/>
    </row>
    <row r="267" spans="14:14" ht="15.75" customHeight="1" x14ac:dyDescent="0.25">
      <c r="N267" s="208"/>
    </row>
    <row r="268" spans="14:14" ht="15.75" customHeight="1" x14ac:dyDescent="0.25">
      <c r="N268" s="208"/>
    </row>
    <row r="269" spans="14:14" ht="15.75" customHeight="1" x14ac:dyDescent="0.25">
      <c r="N269" s="208"/>
    </row>
    <row r="270" spans="14:14" ht="15.75" customHeight="1" x14ac:dyDescent="0.25">
      <c r="N270" s="208"/>
    </row>
    <row r="271" spans="14:14" ht="15.75" customHeight="1" x14ac:dyDescent="0.25">
      <c r="N271" s="208"/>
    </row>
    <row r="272" spans="14:14" ht="15.75" customHeight="1" x14ac:dyDescent="0.25">
      <c r="N272" s="208"/>
    </row>
    <row r="273" spans="14:14" ht="15.75" customHeight="1" x14ac:dyDescent="0.25">
      <c r="N273" s="208"/>
    </row>
    <row r="274" spans="14:14" ht="15.75" customHeight="1" x14ac:dyDescent="0.25">
      <c r="N274" s="208"/>
    </row>
    <row r="275" spans="14:14" ht="15.75" customHeight="1" x14ac:dyDescent="0.25">
      <c r="N275" s="208"/>
    </row>
    <row r="276" spans="14:14" ht="15.75" customHeight="1" x14ac:dyDescent="0.25">
      <c r="N276" s="208"/>
    </row>
    <row r="277" spans="14:14" ht="15.75" customHeight="1" x14ac:dyDescent="0.25">
      <c r="N277" s="208"/>
    </row>
    <row r="278" spans="14:14" ht="15.75" customHeight="1" x14ac:dyDescent="0.25">
      <c r="N278" s="208"/>
    </row>
    <row r="279" spans="14:14" ht="15.75" customHeight="1" x14ac:dyDescent="0.25">
      <c r="N279" s="208"/>
    </row>
    <row r="280" spans="14:14" ht="15.75" customHeight="1" x14ac:dyDescent="0.25">
      <c r="N280" s="208"/>
    </row>
    <row r="281" spans="14:14" ht="15.75" customHeight="1" x14ac:dyDescent="0.25">
      <c r="N281" s="208"/>
    </row>
    <row r="282" spans="14:14" ht="15.75" customHeight="1" x14ac:dyDescent="0.25">
      <c r="N282" s="208"/>
    </row>
    <row r="283" spans="14:14" ht="15.75" customHeight="1" x14ac:dyDescent="0.25">
      <c r="N283" s="208"/>
    </row>
    <row r="284" spans="14:14" ht="15.75" customHeight="1" x14ac:dyDescent="0.25">
      <c r="N284" s="208"/>
    </row>
    <row r="285" spans="14:14" ht="15.75" customHeight="1" x14ac:dyDescent="0.25">
      <c r="N285" s="208"/>
    </row>
    <row r="286" spans="14:14" ht="15.75" customHeight="1" x14ac:dyDescent="0.25">
      <c r="N286" s="208"/>
    </row>
    <row r="287" spans="14:14" ht="15.75" customHeight="1" x14ac:dyDescent="0.25">
      <c r="N287" s="208"/>
    </row>
    <row r="288" spans="14:14" ht="15.75" customHeight="1" x14ac:dyDescent="0.25">
      <c r="N288" s="208"/>
    </row>
    <row r="289" spans="14:14" ht="15.75" customHeight="1" x14ac:dyDescent="0.25">
      <c r="N289" s="208"/>
    </row>
    <row r="290" spans="14:14" ht="15.75" customHeight="1" x14ac:dyDescent="0.25">
      <c r="N290" s="208"/>
    </row>
    <row r="291" spans="14:14" ht="15.75" customHeight="1" x14ac:dyDescent="0.25">
      <c r="N291" s="208"/>
    </row>
    <row r="292" spans="14:14" ht="15.75" customHeight="1" x14ac:dyDescent="0.25">
      <c r="N292" s="208"/>
    </row>
    <row r="293" spans="14:14" ht="15.75" customHeight="1" x14ac:dyDescent="0.25">
      <c r="N293" s="208"/>
    </row>
    <row r="294" spans="14:14" ht="15.75" customHeight="1" x14ac:dyDescent="0.25">
      <c r="N294" s="208"/>
    </row>
    <row r="295" spans="14:14" ht="15.75" customHeight="1" x14ac:dyDescent="0.25">
      <c r="N295" s="208"/>
    </row>
    <row r="296" spans="14:14" ht="15.75" customHeight="1" x14ac:dyDescent="0.25">
      <c r="N296" s="208"/>
    </row>
    <row r="297" spans="14:14" ht="15.75" customHeight="1" x14ac:dyDescent="0.25">
      <c r="N297" s="208"/>
    </row>
    <row r="298" spans="14:14" ht="15.75" customHeight="1" x14ac:dyDescent="0.25">
      <c r="N298" s="208"/>
    </row>
    <row r="299" spans="14:14" ht="15.75" customHeight="1" x14ac:dyDescent="0.25">
      <c r="N299" s="208"/>
    </row>
    <row r="300" spans="14:14" ht="15.75" customHeight="1" x14ac:dyDescent="0.25">
      <c r="N300" s="208"/>
    </row>
    <row r="301" spans="14:14" ht="15.75" customHeight="1" x14ac:dyDescent="0.25">
      <c r="N301" s="208"/>
    </row>
    <row r="302" spans="14:14" ht="15.75" customHeight="1" x14ac:dyDescent="0.25">
      <c r="N302" s="208"/>
    </row>
    <row r="303" spans="14:14" ht="15.75" customHeight="1" x14ac:dyDescent="0.25">
      <c r="N303" s="208"/>
    </row>
    <row r="304" spans="14:14" ht="15.75" customHeight="1" x14ac:dyDescent="0.25">
      <c r="N304" s="208"/>
    </row>
    <row r="305" spans="14:14" ht="15.75" customHeight="1" x14ac:dyDescent="0.25">
      <c r="N305" s="208"/>
    </row>
    <row r="306" spans="14:14" ht="15.75" customHeight="1" x14ac:dyDescent="0.25">
      <c r="N306" s="208"/>
    </row>
    <row r="307" spans="14:14" ht="15.75" customHeight="1" x14ac:dyDescent="0.25">
      <c r="N307" s="208"/>
    </row>
    <row r="308" spans="14:14" ht="15.75" customHeight="1" x14ac:dyDescent="0.25">
      <c r="N308" s="208"/>
    </row>
    <row r="309" spans="14:14" ht="15.75" customHeight="1" x14ac:dyDescent="0.25">
      <c r="N309" s="208"/>
    </row>
    <row r="310" spans="14:14" ht="15.75" customHeight="1" x14ac:dyDescent="0.25">
      <c r="N310" s="208"/>
    </row>
    <row r="311" spans="14:14" ht="15.75" customHeight="1" x14ac:dyDescent="0.25">
      <c r="N311" s="208"/>
    </row>
    <row r="312" spans="14:14" ht="15.75" customHeight="1" x14ac:dyDescent="0.25">
      <c r="N312" s="208"/>
    </row>
    <row r="313" spans="14:14" ht="15.75" customHeight="1" x14ac:dyDescent="0.25">
      <c r="N313" s="208"/>
    </row>
    <row r="314" spans="14:14" ht="15.75" customHeight="1" x14ac:dyDescent="0.25">
      <c r="N314" s="208"/>
    </row>
    <row r="315" spans="14:14" ht="15.75" customHeight="1" x14ac:dyDescent="0.25">
      <c r="N315" s="208"/>
    </row>
    <row r="316" spans="14:14" ht="15.75" customHeight="1" x14ac:dyDescent="0.25">
      <c r="N316" s="208"/>
    </row>
    <row r="317" spans="14:14" ht="15.75" customHeight="1" x14ac:dyDescent="0.25">
      <c r="N317" s="208"/>
    </row>
    <row r="318" spans="14:14" ht="15.75" customHeight="1" x14ac:dyDescent="0.25">
      <c r="N318" s="208"/>
    </row>
    <row r="319" spans="14:14" ht="15.75" customHeight="1" x14ac:dyDescent="0.25">
      <c r="N319" s="208"/>
    </row>
    <row r="320" spans="14:14" ht="15.75" customHeight="1" x14ac:dyDescent="0.25">
      <c r="N320" s="208"/>
    </row>
    <row r="321" spans="14:14" ht="15.75" customHeight="1" x14ac:dyDescent="0.25">
      <c r="N321" s="208"/>
    </row>
    <row r="322" spans="14:14" ht="15.75" customHeight="1" x14ac:dyDescent="0.25">
      <c r="N322" s="208"/>
    </row>
    <row r="323" spans="14:14" ht="15.75" customHeight="1" x14ac:dyDescent="0.25">
      <c r="N323" s="208"/>
    </row>
    <row r="324" spans="14:14" ht="15.75" customHeight="1" x14ac:dyDescent="0.25">
      <c r="N324" s="208"/>
    </row>
    <row r="325" spans="14:14" ht="15.75" customHeight="1" x14ac:dyDescent="0.25">
      <c r="N325" s="208"/>
    </row>
    <row r="326" spans="14:14" ht="15.75" customHeight="1" x14ac:dyDescent="0.25">
      <c r="N326" s="208"/>
    </row>
    <row r="327" spans="14:14" ht="15.75" customHeight="1" x14ac:dyDescent="0.25">
      <c r="N327" s="208"/>
    </row>
    <row r="328" spans="14:14" ht="15.75" customHeight="1" x14ac:dyDescent="0.25">
      <c r="N328" s="208"/>
    </row>
    <row r="329" spans="14:14" ht="15.75" customHeight="1" x14ac:dyDescent="0.25">
      <c r="N329" s="208"/>
    </row>
    <row r="330" spans="14:14" ht="15.75" customHeight="1" x14ac:dyDescent="0.25">
      <c r="N330" s="208"/>
    </row>
    <row r="331" spans="14:14" ht="15.75" customHeight="1" x14ac:dyDescent="0.25">
      <c r="N331" s="208"/>
    </row>
    <row r="332" spans="14:14" ht="15.75" customHeight="1" x14ac:dyDescent="0.25">
      <c r="N332" s="208"/>
    </row>
    <row r="333" spans="14:14" ht="15.75" customHeight="1" x14ac:dyDescent="0.25">
      <c r="N333" s="208"/>
    </row>
    <row r="334" spans="14:14" ht="15.75" customHeight="1" x14ac:dyDescent="0.25">
      <c r="N334" s="208"/>
    </row>
    <row r="335" spans="14:14" ht="15.75" customHeight="1" x14ac:dyDescent="0.25">
      <c r="N335" s="208"/>
    </row>
    <row r="336" spans="14:14" ht="15.75" customHeight="1" x14ac:dyDescent="0.25">
      <c r="N336" s="208"/>
    </row>
    <row r="337" spans="14:14" ht="15.75" customHeight="1" x14ac:dyDescent="0.25">
      <c r="N337" s="208"/>
    </row>
    <row r="338" spans="14:14" ht="15.75" customHeight="1" x14ac:dyDescent="0.25">
      <c r="N338" s="208"/>
    </row>
    <row r="339" spans="14:14" ht="15.75" customHeight="1" x14ac:dyDescent="0.25">
      <c r="N339" s="208"/>
    </row>
    <row r="340" spans="14:14" ht="15.75" customHeight="1" x14ac:dyDescent="0.25">
      <c r="N340" s="208"/>
    </row>
    <row r="341" spans="14:14" ht="15.75" customHeight="1" x14ac:dyDescent="0.25">
      <c r="N341" s="208"/>
    </row>
    <row r="342" spans="14:14" ht="15.75" customHeight="1" x14ac:dyDescent="0.25">
      <c r="N342" s="208"/>
    </row>
    <row r="343" spans="14:14" ht="15.75" customHeight="1" x14ac:dyDescent="0.25">
      <c r="N343" s="208"/>
    </row>
    <row r="344" spans="14:14" ht="15.75" customHeight="1" x14ac:dyDescent="0.25">
      <c r="N344" s="208"/>
    </row>
    <row r="345" spans="14:14" ht="15.75" customHeight="1" x14ac:dyDescent="0.25">
      <c r="N345" s="208"/>
    </row>
    <row r="346" spans="14:14" ht="15.75" customHeight="1" x14ac:dyDescent="0.25">
      <c r="N346" s="208"/>
    </row>
    <row r="347" spans="14:14" ht="15.75" customHeight="1" x14ac:dyDescent="0.25">
      <c r="N347" s="208"/>
    </row>
    <row r="348" spans="14:14" ht="15.75" customHeight="1" x14ac:dyDescent="0.25">
      <c r="N348" s="208"/>
    </row>
    <row r="349" spans="14:14" ht="15.75" customHeight="1" x14ac:dyDescent="0.25">
      <c r="N349" s="208"/>
    </row>
    <row r="350" spans="14:14" ht="15.75" customHeight="1" x14ac:dyDescent="0.25">
      <c r="N350" s="208"/>
    </row>
    <row r="351" spans="14:14" ht="15.75" customHeight="1" x14ac:dyDescent="0.25">
      <c r="N351" s="208"/>
    </row>
    <row r="352" spans="14:14" ht="15.75" customHeight="1" x14ac:dyDescent="0.25">
      <c r="N352" s="208"/>
    </row>
    <row r="353" spans="14:14" ht="15.75" customHeight="1" x14ac:dyDescent="0.25">
      <c r="N353" s="208"/>
    </row>
    <row r="354" spans="14:14" ht="15.75" customHeight="1" x14ac:dyDescent="0.25">
      <c r="N354" s="208"/>
    </row>
    <row r="355" spans="14:14" ht="15.75" customHeight="1" x14ac:dyDescent="0.25">
      <c r="N355" s="208"/>
    </row>
    <row r="356" spans="14:14" ht="15.75" customHeight="1" x14ac:dyDescent="0.25">
      <c r="N356" s="208"/>
    </row>
    <row r="357" spans="14:14" ht="15.75" customHeight="1" x14ac:dyDescent="0.25">
      <c r="N357" s="208"/>
    </row>
    <row r="358" spans="14:14" ht="15.75" customHeight="1" x14ac:dyDescent="0.25">
      <c r="N358" s="208"/>
    </row>
    <row r="359" spans="14:14" ht="15.75" customHeight="1" x14ac:dyDescent="0.25">
      <c r="N359" s="208"/>
    </row>
    <row r="360" spans="14:14" ht="15.75" customHeight="1" x14ac:dyDescent="0.25">
      <c r="N360" s="208"/>
    </row>
    <row r="361" spans="14:14" ht="15.75" customHeight="1" x14ac:dyDescent="0.25">
      <c r="N361" s="208"/>
    </row>
    <row r="362" spans="14:14" ht="15.75" customHeight="1" x14ac:dyDescent="0.25">
      <c r="N362" s="208"/>
    </row>
    <row r="363" spans="14:14" ht="15.75" customHeight="1" x14ac:dyDescent="0.25">
      <c r="N363" s="208"/>
    </row>
    <row r="364" spans="14:14" ht="15.75" customHeight="1" x14ac:dyDescent="0.25">
      <c r="N364" s="208"/>
    </row>
    <row r="365" spans="14:14" ht="15.75" customHeight="1" x14ac:dyDescent="0.25">
      <c r="N365" s="208"/>
    </row>
    <row r="366" spans="14:14" ht="15.75" customHeight="1" x14ac:dyDescent="0.25">
      <c r="N366" s="208"/>
    </row>
    <row r="367" spans="14:14" ht="15.75" customHeight="1" x14ac:dyDescent="0.25">
      <c r="N367" s="208"/>
    </row>
    <row r="368" spans="14:14" ht="15.75" customHeight="1" x14ac:dyDescent="0.25">
      <c r="N368" s="208"/>
    </row>
    <row r="369" spans="14:14" ht="15.75" customHeight="1" x14ac:dyDescent="0.25">
      <c r="N369" s="208"/>
    </row>
    <row r="370" spans="14:14" ht="15.75" customHeight="1" x14ac:dyDescent="0.25">
      <c r="N370" s="208"/>
    </row>
    <row r="371" spans="14:14" ht="15.75" customHeight="1" x14ac:dyDescent="0.25">
      <c r="N371" s="208"/>
    </row>
    <row r="372" spans="14:14" ht="15.75" customHeight="1" x14ac:dyDescent="0.25">
      <c r="N372" s="208"/>
    </row>
    <row r="373" spans="14:14" ht="15.75" customHeight="1" x14ac:dyDescent="0.25">
      <c r="N373" s="208"/>
    </row>
    <row r="374" spans="14:14" ht="15.75" customHeight="1" x14ac:dyDescent="0.25">
      <c r="N374" s="208"/>
    </row>
    <row r="375" spans="14:14" ht="15.75" customHeight="1" x14ac:dyDescent="0.25">
      <c r="N375" s="208"/>
    </row>
    <row r="376" spans="14:14" ht="15.75" customHeight="1" x14ac:dyDescent="0.25">
      <c r="N376" s="208"/>
    </row>
    <row r="377" spans="14:14" ht="15.75" customHeight="1" x14ac:dyDescent="0.25">
      <c r="N377" s="208"/>
    </row>
    <row r="378" spans="14:14" ht="15.75" customHeight="1" x14ac:dyDescent="0.25">
      <c r="N378" s="208"/>
    </row>
    <row r="379" spans="14:14" ht="15.75" customHeight="1" x14ac:dyDescent="0.25">
      <c r="N379" s="208"/>
    </row>
    <row r="380" spans="14:14" ht="15.75" customHeight="1" x14ac:dyDescent="0.25">
      <c r="N380" s="208"/>
    </row>
    <row r="381" spans="14:14" ht="15.75" customHeight="1" x14ac:dyDescent="0.25">
      <c r="N381" s="208"/>
    </row>
    <row r="382" spans="14:14" ht="15.75" customHeight="1" x14ac:dyDescent="0.25">
      <c r="N382" s="208"/>
    </row>
    <row r="383" spans="14:14" ht="15.75" customHeight="1" x14ac:dyDescent="0.25">
      <c r="N383" s="208"/>
    </row>
    <row r="384" spans="14:14" ht="15.75" customHeight="1" x14ac:dyDescent="0.25">
      <c r="N384" s="208"/>
    </row>
    <row r="385" spans="14:14" ht="15.75" customHeight="1" x14ac:dyDescent="0.25">
      <c r="N385" s="208"/>
    </row>
    <row r="386" spans="14:14" ht="15.75" customHeight="1" x14ac:dyDescent="0.25">
      <c r="N386" s="208"/>
    </row>
    <row r="387" spans="14:14" ht="15.75" customHeight="1" x14ac:dyDescent="0.25">
      <c r="N387" s="208"/>
    </row>
    <row r="388" spans="14:14" ht="15.75" customHeight="1" x14ac:dyDescent="0.25">
      <c r="N388" s="208"/>
    </row>
    <row r="389" spans="14:14" ht="15.75" customHeight="1" x14ac:dyDescent="0.25">
      <c r="N389" s="208"/>
    </row>
    <row r="390" spans="14:14" ht="15.75" customHeight="1" x14ac:dyDescent="0.25">
      <c r="N390" s="208"/>
    </row>
    <row r="391" spans="14:14" ht="15.75" customHeight="1" x14ac:dyDescent="0.25">
      <c r="N391" s="208"/>
    </row>
    <row r="392" spans="14:14" ht="15.75" customHeight="1" x14ac:dyDescent="0.25">
      <c r="N392" s="208"/>
    </row>
    <row r="393" spans="14:14" ht="15.75" customHeight="1" x14ac:dyDescent="0.25">
      <c r="N393" s="208"/>
    </row>
    <row r="394" spans="14:14" ht="15.75" customHeight="1" x14ac:dyDescent="0.25">
      <c r="N394" s="208"/>
    </row>
    <row r="395" spans="14:14" ht="15.75" customHeight="1" x14ac:dyDescent="0.25">
      <c r="N395" s="208"/>
    </row>
    <row r="396" spans="14:14" ht="15.75" customHeight="1" x14ac:dyDescent="0.25">
      <c r="N396" s="208"/>
    </row>
    <row r="397" spans="14:14" ht="15.75" customHeight="1" x14ac:dyDescent="0.25">
      <c r="N397" s="208"/>
    </row>
    <row r="398" spans="14:14" ht="15.75" customHeight="1" x14ac:dyDescent="0.25">
      <c r="N398" s="208"/>
    </row>
    <row r="399" spans="14:14" ht="15.75" customHeight="1" x14ac:dyDescent="0.25">
      <c r="N399" s="208"/>
    </row>
    <row r="400" spans="14:14" ht="15.75" customHeight="1" x14ac:dyDescent="0.25">
      <c r="N400" s="208"/>
    </row>
    <row r="401" spans="14:14" ht="15.75" customHeight="1" x14ac:dyDescent="0.25">
      <c r="N401" s="208"/>
    </row>
    <row r="402" spans="14:14" ht="15.75" customHeight="1" x14ac:dyDescent="0.25">
      <c r="N402" s="208"/>
    </row>
    <row r="403" spans="14:14" ht="15.75" customHeight="1" x14ac:dyDescent="0.25">
      <c r="N403" s="208"/>
    </row>
    <row r="404" spans="14:14" ht="15.75" customHeight="1" x14ac:dyDescent="0.25">
      <c r="N404" s="208"/>
    </row>
    <row r="405" spans="14:14" ht="15.75" customHeight="1" x14ac:dyDescent="0.25">
      <c r="N405" s="208"/>
    </row>
    <row r="406" spans="14:14" ht="15.75" customHeight="1" x14ac:dyDescent="0.25">
      <c r="N406" s="208"/>
    </row>
    <row r="407" spans="14:14" ht="15.75" customHeight="1" x14ac:dyDescent="0.25">
      <c r="N407" s="208"/>
    </row>
    <row r="408" spans="14:14" ht="15.75" customHeight="1" x14ac:dyDescent="0.25">
      <c r="N408" s="208"/>
    </row>
    <row r="409" spans="14:14" ht="15.75" customHeight="1" x14ac:dyDescent="0.25">
      <c r="N409" s="208"/>
    </row>
    <row r="410" spans="14:14" ht="15.75" customHeight="1" x14ac:dyDescent="0.25">
      <c r="N410" s="208"/>
    </row>
    <row r="411" spans="14:14" ht="15.75" customHeight="1" x14ac:dyDescent="0.25">
      <c r="N411" s="208"/>
    </row>
    <row r="412" spans="14:14" ht="15.75" customHeight="1" x14ac:dyDescent="0.25">
      <c r="N412" s="208"/>
    </row>
    <row r="413" spans="14:14" ht="15.75" customHeight="1" x14ac:dyDescent="0.25">
      <c r="N413" s="208"/>
    </row>
    <row r="414" spans="14:14" ht="15.75" customHeight="1" x14ac:dyDescent="0.25">
      <c r="N414" s="208"/>
    </row>
    <row r="415" spans="14:14" ht="15.75" customHeight="1" x14ac:dyDescent="0.25">
      <c r="N415" s="208"/>
    </row>
    <row r="416" spans="14:14" ht="15.75" customHeight="1" x14ac:dyDescent="0.25">
      <c r="N416" s="208"/>
    </row>
    <row r="417" spans="14:14" ht="15.75" customHeight="1" x14ac:dyDescent="0.25">
      <c r="N417" s="208"/>
    </row>
    <row r="418" spans="14:14" ht="15.75" customHeight="1" x14ac:dyDescent="0.25">
      <c r="N418" s="208"/>
    </row>
    <row r="419" spans="14:14" ht="15.75" customHeight="1" x14ac:dyDescent="0.25">
      <c r="N419" s="208"/>
    </row>
    <row r="420" spans="14:14" ht="15.75" customHeight="1" x14ac:dyDescent="0.25">
      <c r="N420" s="208"/>
    </row>
    <row r="421" spans="14:14" ht="15.75" customHeight="1" x14ac:dyDescent="0.25">
      <c r="N421" s="208"/>
    </row>
    <row r="422" spans="14:14" ht="15.75" customHeight="1" x14ac:dyDescent="0.25">
      <c r="N422" s="208"/>
    </row>
    <row r="423" spans="14:14" ht="15.75" customHeight="1" x14ac:dyDescent="0.25">
      <c r="N423" s="208"/>
    </row>
    <row r="424" spans="14:14" ht="15.75" customHeight="1" x14ac:dyDescent="0.25">
      <c r="N424" s="208"/>
    </row>
    <row r="425" spans="14:14" ht="15.75" customHeight="1" x14ac:dyDescent="0.25">
      <c r="N425" s="208"/>
    </row>
    <row r="426" spans="14:14" ht="15.75" customHeight="1" x14ac:dyDescent="0.25">
      <c r="N426" s="208"/>
    </row>
    <row r="427" spans="14:14" ht="15.75" customHeight="1" x14ac:dyDescent="0.25">
      <c r="N427" s="208"/>
    </row>
    <row r="428" spans="14:14" ht="15.75" customHeight="1" x14ac:dyDescent="0.25">
      <c r="N428" s="208"/>
    </row>
    <row r="429" spans="14:14" ht="15.75" customHeight="1" x14ac:dyDescent="0.25">
      <c r="N429" s="208"/>
    </row>
    <row r="430" spans="14:14" ht="15.75" customHeight="1" x14ac:dyDescent="0.25">
      <c r="N430" s="208"/>
    </row>
    <row r="431" spans="14:14" ht="15.75" customHeight="1" x14ac:dyDescent="0.25">
      <c r="N431" s="208"/>
    </row>
    <row r="432" spans="14:14" ht="15.75" customHeight="1" x14ac:dyDescent="0.25">
      <c r="N432" s="208"/>
    </row>
    <row r="433" spans="14:14" ht="15.75" customHeight="1" x14ac:dyDescent="0.25">
      <c r="N433" s="208"/>
    </row>
    <row r="434" spans="14:14" ht="15.75" customHeight="1" x14ac:dyDescent="0.25">
      <c r="N434" s="208"/>
    </row>
    <row r="435" spans="14:14" ht="15.75" customHeight="1" x14ac:dyDescent="0.25">
      <c r="N435" s="208"/>
    </row>
    <row r="436" spans="14:14" ht="15.75" customHeight="1" x14ac:dyDescent="0.25">
      <c r="N436" s="208"/>
    </row>
    <row r="437" spans="14:14" ht="15.75" customHeight="1" x14ac:dyDescent="0.25">
      <c r="N437" s="208"/>
    </row>
    <row r="438" spans="14:14" ht="15.75" customHeight="1" x14ac:dyDescent="0.25">
      <c r="N438" s="208"/>
    </row>
    <row r="439" spans="14:14" ht="15.75" customHeight="1" x14ac:dyDescent="0.25">
      <c r="N439" s="208"/>
    </row>
    <row r="440" spans="14:14" ht="15.75" customHeight="1" x14ac:dyDescent="0.25">
      <c r="N440" s="208"/>
    </row>
    <row r="441" spans="14:14" ht="15.75" customHeight="1" x14ac:dyDescent="0.25">
      <c r="N441" s="208"/>
    </row>
    <row r="442" spans="14:14" ht="15.75" customHeight="1" x14ac:dyDescent="0.25">
      <c r="N442" s="208"/>
    </row>
    <row r="443" spans="14:14" ht="15.75" customHeight="1" x14ac:dyDescent="0.25">
      <c r="N443" s="208"/>
    </row>
    <row r="444" spans="14:14" ht="15.75" customHeight="1" x14ac:dyDescent="0.25">
      <c r="N444" s="208"/>
    </row>
    <row r="445" spans="14:14" ht="15.75" customHeight="1" x14ac:dyDescent="0.25">
      <c r="N445" s="208"/>
    </row>
    <row r="446" spans="14:14" ht="15.75" customHeight="1" x14ac:dyDescent="0.25">
      <c r="N446" s="208"/>
    </row>
    <row r="447" spans="14:14" ht="15.75" customHeight="1" x14ac:dyDescent="0.25">
      <c r="N447" s="208"/>
    </row>
    <row r="448" spans="14:14" ht="15.75" customHeight="1" x14ac:dyDescent="0.25">
      <c r="N448" s="208"/>
    </row>
    <row r="449" spans="14:14" ht="15.75" customHeight="1" x14ac:dyDescent="0.25">
      <c r="N449" s="208"/>
    </row>
    <row r="450" spans="14:14" ht="15.75" customHeight="1" x14ac:dyDescent="0.25">
      <c r="N450" s="208"/>
    </row>
    <row r="451" spans="14:14" ht="15.75" customHeight="1" x14ac:dyDescent="0.25">
      <c r="N451" s="208"/>
    </row>
    <row r="452" spans="14:14" ht="15.75" customHeight="1" x14ac:dyDescent="0.25">
      <c r="N452" s="208"/>
    </row>
    <row r="453" spans="14:14" ht="15.75" customHeight="1" x14ac:dyDescent="0.25">
      <c r="N453" s="208"/>
    </row>
    <row r="454" spans="14:14" ht="15.75" customHeight="1" x14ac:dyDescent="0.25">
      <c r="N454" s="208"/>
    </row>
    <row r="455" spans="14:14" ht="15.75" customHeight="1" x14ac:dyDescent="0.25">
      <c r="N455" s="208"/>
    </row>
    <row r="456" spans="14:14" ht="15.75" customHeight="1" x14ac:dyDescent="0.25">
      <c r="N456" s="208"/>
    </row>
    <row r="457" spans="14:14" ht="15.75" customHeight="1" x14ac:dyDescent="0.25">
      <c r="N457" s="208"/>
    </row>
    <row r="458" spans="14:14" ht="15.75" customHeight="1" x14ac:dyDescent="0.25">
      <c r="N458" s="208"/>
    </row>
    <row r="459" spans="14:14" ht="15.75" customHeight="1" x14ac:dyDescent="0.25">
      <c r="N459" s="208"/>
    </row>
    <row r="460" spans="14:14" ht="15.75" customHeight="1" x14ac:dyDescent="0.25">
      <c r="N460" s="208"/>
    </row>
    <row r="461" spans="14:14" ht="15.75" customHeight="1" x14ac:dyDescent="0.25">
      <c r="N461" s="208"/>
    </row>
    <row r="462" spans="14:14" ht="15.75" customHeight="1" x14ac:dyDescent="0.25">
      <c r="N462" s="208"/>
    </row>
    <row r="463" spans="14:14" ht="15.75" customHeight="1" x14ac:dyDescent="0.25">
      <c r="N463" s="208"/>
    </row>
    <row r="464" spans="14:14" ht="15.75" customHeight="1" x14ac:dyDescent="0.25">
      <c r="N464" s="208"/>
    </row>
    <row r="465" spans="14:14" ht="15.75" customHeight="1" x14ac:dyDescent="0.25">
      <c r="N465" s="208"/>
    </row>
    <row r="466" spans="14:14" ht="15.75" customHeight="1" x14ac:dyDescent="0.25">
      <c r="N466" s="208"/>
    </row>
    <row r="467" spans="14:14" ht="15.75" customHeight="1" x14ac:dyDescent="0.25">
      <c r="N467" s="208"/>
    </row>
    <row r="468" spans="14:14" ht="15.75" customHeight="1" x14ac:dyDescent="0.25">
      <c r="N468" s="208"/>
    </row>
    <row r="469" spans="14:14" ht="15.75" customHeight="1" x14ac:dyDescent="0.25">
      <c r="N469" s="208"/>
    </row>
    <row r="470" spans="14:14" ht="15.75" customHeight="1" x14ac:dyDescent="0.25">
      <c r="N470" s="208"/>
    </row>
    <row r="471" spans="14:14" ht="15.75" customHeight="1" x14ac:dyDescent="0.25">
      <c r="N471" s="208"/>
    </row>
    <row r="472" spans="14:14" ht="15.75" customHeight="1" x14ac:dyDescent="0.25">
      <c r="N472" s="208"/>
    </row>
    <row r="473" spans="14:14" ht="15.75" customHeight="1" x14ac:dyDescent="0.25">
      <c r="N473" s="208"/>
    </row>
    <row r="474" spans="14:14" ht="15.75" customHeight="1" x14ac:dyDescent="0.25">
      <c r="N474" s="208"/>
    </row>
    <row r="475" spans="14:14" ht="15.75" customHeight="1" x14ac:dyDescent="0.25">
      <c r="N475" s="208"/>
    </row>
    <row r="476" spans="14:14" ht="15.75" customHeight="1" x14ac:dyDescent="0.25">
      <c r="N476" s="208"/>
    </row>
    <row r="477" spans="14:14" ht="15.75" customHeight="1" x14ac:dyDescent="0.25">
      <c r="N477" s="208"/>
    </row>
    <row r="478" spans="14:14" ht="15.75" customHeight="1" x14ac:dyDescent="0.25">
      <c r="N478" s="208"/>
    </row>
    <row r="479" spans="14:14" ht="15.75" customHeight="1" x14ac:dyDescent="0.25">
      <c r="N479" s="208"/>
    </row>
    <row r="480" spans="14:14" ht="15.75" customHeight="1" x14ac:dyDescent="0.25">
      <c r="N480" s="208"/>
    </row>
    <row r="481" spans="14:14" ht="15.75" customHeight="1" x14ac:dyDescent="0.25">
      <c r="N481" s="208"/>
    </row>
    <row r="482" spans="14:14" ht="15.75" customHeight="1" x14ac:dyDescent="0.25">
      <c r="N482" s="208"/>
    </row>
    <row r="483" spans="14:14" ht="15.75" customHeight="1" x14ac:dyDescent="0.25">
      <c r="N483" s="208"/>
    </row>
    <row r="484" spans="14:14" ht="15.75" customHeight="1" x14ac:dyDescent="0.25">
      <c r="N484" s="208"/>
    </row>
    <row r="485" spans="14:14" ht="15.75" customHeight="1" x14ac:dyDescent="0.25">
      <c r="N485" s="208"/>
    </row>
    <row r="486" spans="14:14" ht="15.75" customHeight="1" x14ac:dyDescent="0.25">
      <c r="N486" s="208"/>
    </row>
    <row r="487" spans="14:14" ht="15.75" customHeight="1" x14ac:dyDescent="0.25">
      <c r="N487" s="208"/>
    </row>
    <row r="488" spans="14:14" ht="15.75" customHeight="1" x14ac:dyDescent="0.25">
      <c r="N488" s="208"/>
    </row>
    <row r="489" spans="14:14" ht="15.75" customHeight="1" x14ac:dyDescent="0.25">
      <c r="N489" s="208"/>
    </row>
    <row r="490" spans="14:14" ht="15.75" customHeight="1" x14ac:dyDescent="0.25">
      <c r="N490" s="208"/>
    </row>
    <row r="491" spans="14:14" ht="15.75" customHeight="1" x14ac:dyDescent="0.25">
      <c r="N491" s="208"/>
    </row>
    <row r="492" spans="14:14" ht="15.75" customHeight="1" x14ac:dyDescent="0.25">
      <c r="N492" s="208"/>
    </row>
    <row r="493" spans="14:14" ht="15.75" customHeight="1" x14ac:dyDescent="0.25">
      <c r="N493" s="208"/>
    </row>
    <row r="494" spans="14:14" ht="15.75" customHeight="1" x14ac:dyDescent="0.25">
      <c r="N494" s="208"/>
    </row>
    <row r="495" spans="14:14" ht="15.75" customHeight="1" x14ac:dyDescent="0.25">
      <c r="N495" s="208"/>
    </row>
    <row r="496" spans="14:14" ht="15.75" customHeight="1" x14ac:dyDescent="0.25">
      <c r="N496" s="208"/>
    </row>
    <row r="497" spans="14:14" ht="15.75" customHeight="1" x14ac:dyDescent="0.25">
      <c r="N497" s="208"/>
    </row>
    <row r="498" spans="14:14" ht="15.75" customHeight="1" x14ac:dyDescent="0.25">
      <c r="N498" s="208"/>
    </row>
    <row r="499" spans="14:14" ht="15.75" customHeight="1" x14ac:dyDescent="0.25">
      <c r="N499" s="208"/>
    </row>
    <row r="500" spans="14:14" ht="15.75" customHeight="1" x14ac:dyDescent="0.25">
      <c r="N500" s="208"/>
    </row>
    <row r="501" spans="14:14" ht="15.75" customHeight="1" x14ac:dyDescent="0.25">
      <c r="N501" s="208"/>
    </row>
    <row r="502" spans="14:14" ht="15.75" customHeight="1" x14ac:dyDescent="0.25">
      <c r="N502" s="208"/>
    </row>
    <row r="503" spans="14:14" ht="15.75" customHeight="1" x14ac:dyDescent="0.25">
      <c r="N503" s="208"/>
    </row>
    <row r="504" spans="14:14" ht="15.75" customHeight="1" x14ac:dyDescent="0.25">
      <c r="N504" s="208"/>
    </row>
    <row r="505" spans="14:14" ht="15.75" customHeight="1" x14ac:dyDescent="0.25">
      <c r="N505" s="208"/>
    </row>
    <row r="506" spans="14:14" ht="15.75" customHeight="1" x14ac:dyDescent="0.25">
      <c r="N506" s="208"/>
    </row>
    <row r="507" spans="14:14" ht="15.75" customHeight="1" x14ac:dyDescent="0.25">
      <c r="N507" s="208"/>
    </row>
    <row r="508" spans="14:14" ht="15.75" customHeight="1" x14ac:dyDescent="0.25">
      <c r="N508" s="208"/>
    </row>
    <row r="509" spans="14:14" ht="15.75" customHeight="1" x14ac:dyDescent="0.25">
      <c r="N509" s="208"/>
    </row>
    <row r="510" spans="14:14" ht="15.75" customHeight="1" x14ac:dyDescent="0.25">
      <c r="N510" s="208"/>
    </row>
    <row r="511" spans="14:14" ht="15.75" customHeight="1" x14ac:dyDescent="0.25">
      <c r="N511" s="208"/>
    </row>
    <row r="512" spans="14:14" ht="15.75" customHeight="1" x14ac:dyDescent="0.25">
      <c r="N512" s="208"/>
    </row>
    <row r="513" spans="14:14" ht="15.75" customHeight="1" x14ac:dyDescent="0.25">
      <c r="N513" s="208"/>
    </row>
    <row r="514" spans="14:14" ht="15.75" customHeight="1" x14ac:dyDescent="0.25">
      <c r="N514" s="208"/>
    </row>
    <row r="515" spans="14:14" ht="15.75" customHeight="1" x14ac:dyDescent="0.25">
      <c r="N515" s="208"/>
    </row>
    <row r="516" spans="14:14" ht="15.75" customHeight="1" x14ac:dyDescent="0.25">
      <c r="N516" s="208"/>
    </row>
    <row r="517" spans="14:14" ht="15.75" customHeight="1" x14ac:dyDescent="0.25">
      <c r="N517" s="208"/>
    </row>
    <row r="518" spans="14:14" ht="15.75" customHeight="1" x14ac:dyDescent="0.25">
      <c r="N518" s="208"/>
    </row>
    <row r="519" spans="14:14" ht="15.75" customHeight="1" x14ac:dyDescent="0.25">
      <c r="N519" s="208"/>
    </row>
    <row r="520" spans="14:14" ht="15.75" customHeight="1" x14ac:dyDescent="0.25">
      <c r="N520" s="208"/>
    </row>
    <row r="521" spans="14:14" ht="15.75" customHeight="1" x14ac:dyDescent="0.25">
      <c r="N521" s="208"/>
    </row>
    <row r="522" spans="14:14" ht="15.75" customHeight="1" x14ac:dyDescent="0.25">
      <c r="N522" s="208"/>
    </row>
    <row r="523" spans="14:14" ht="15.75" customHeight="1" x14ac:dyDescent="0.25">
      <c r="N523" s="208"/>
    </row>
    <row r="524" spans="14:14" ht="15.75" customHeight="1" x14ac:dyDescent="0.25">
      <c r="N524" s="208"/>
    </row>
    <row r="525" spans="14:14" ht="15.75" customHeight="1" x14ac:dyDescent="0.25">
      <c r="N525" s="208"/>
    </row>
    <row r="526" spans="14:14" ht="15.75" customHeight="1" x14ac:dyDescent="0.25">
      <c r="N526" s="208"/>
    </row>
    <row r="527" spans="14:14" ht="15.75" customHeight="1" x14ac:dyDescent="0.25">
      <c r="N527" s="208"/>
    </row>
    <row r="528" spans="14:14" ht="15.75" customHeight="1" x14ac:dyDescent="0.25">
      <c r="N528" s="208"/>
    </row>
    <row r="529" spans="14:14" ht="15.75" customHeight="1" x14ac:dyDescent="0.25">
      <c r="N529" s="208"/>
    </row>
    <row r="530" spans="14:14" ht="15.75" customHeight="1" x14ac:dyDescent="0.25">
      <c r="N530" s="208"/>
    </row>
    <row r="531" spans="14:14" ht="15.75" customHeight="1" x14ac:dyDescent="0.25">
      <c r="N531" s="208"/>
    </row>
    <row r="532" spans="14:14" ht="15.75" customHeight="1" x14ac:dyDescent="0.25">
      <c r="N532" s="208"/>
    </row>
    <row r="533" spans="14:14" ht="15.75" customHeight="1" x14ac:dyDescent="0.25">
      <c r="N533" s="208"/>
    </row>
    <row r="534" spans="14:14" ht="15.75" customHeight="1" x14ac:dyDescent="0.25">
      <c r="N534" s="208"/>
    </row>
    <row r="535" spans="14:14" ht="15.75" customHeight="1" x14ac:dyDescent="0.25">
      <c r="N535" s="208"/>
    </row>
    <row r="536" spans="14:14" ht="15.75" customHeight="1" x14ac:dyDescent="0.25">
      <c r="N536" s="208"/>
    </row>
    <row r="537" spans="14:14" ht="15.75" customHeight="1" x14ac:dyDescent="0.25">
      <c r="N537" s="208"/>
    </row>
    <row r="538" spans="14:14" ht="15.75" customHeight="1" x14ac:dyDescent="0.25">
      <c r="N538" s="208"/>
    </row>
    <row r="539" spans="14:14" ht="15.75" customHeight="1" x14ac:dyDescent="0.25">
      <c r="N539" s="208"/>
    </row>
    <row r="540" spans="14:14" ht="15.75" customHeight="1" x14ac:dyDescent="0.25">
      <c r="N540" s="208"/>
    </row>
    <row r="541" spans="14:14" ht="15.75" customHeight="1" x14ac:dyDescent="0.25">
      <c r="N541" s="208"/>
    </row>
    <row r="542" spans="14:14" ht="15.75" customHeight="1" x14ac:dyDescent="0.25">
      <c r="N542" s="208"/>
    </row>
    <row r="543" spans="14:14" ht="15.75" customHeight="1" x14ac:dyDescent="0.25">
      <c r="N543" s="208"/>
    </row>
    <row r="544" spans="14:14" ht="15.75" customHeight="1" x14ac:dyDescent="0.25">
      <c r="N544" s="208"/>
    </row>
    <row r="545" spans="14:14" ht="15.75" customHeight="1" x14ac:dyDescent="0.25">
      <c r="N545" s="208"/>
    </row>
    <row r="546" spans="14:14" ht="15.75" customHeight="1" x14ac:dyDescent="0.25">
      <c r="N546" s="208"/>
    </row>
    <row r="547" spans="14:14" ht="15.75" customHeight="1" x14ac:dyDescent="0.25">
      <c r="N547" s="208"/>
    </row>
    <row r="548" spans="14:14" ht="15.75" customHeight="1" x14ac:dyDescent="0.25">
      <c r="N548" s="208"/>
    </row>
    <row r="549" spans="14:14" ht="15.75" customHeight="1" x14ac:dyDescent="0.25">
      <c r="N549" s="208"/>
    </row>
    <row r="550" spans="14:14" ht="15.75" customHeight="1" x14ac:dyDescent="0.25">
      <c r="N550" s="208"/>
    </row>
    <row r="551" spans="14:14" ht="15.75" customHeight="1" x14ac:dyDescent="0.25">
      <c r="N551" s="208"/>
    </row>
    <row r="552" spans="14:14" ht="15.75" customHeight="1" x14ac:dyDescent="0.25">
      <c r="N552" s="208"/>
    </row>
    <row r="553" spans="14:14" ht="15.75" customHeight="1" x14ac:dyDescent="0.25">
      <c r="N553" s="208"/>
    </row>
    <row r="554" spans="14:14" ht="15.75" customHeight="1" x14ac:dyDescent="0.25">
      <c r="N554" s="208"/>
    </row>
    <row r="555" spans="14:14" ht="15.75" customHeight="1" x14ac:dyDescent="0.25">
      <c r="N555" s="208"/>
    </row>
    <row r="556" spans="14:14" ht="15.75" customHeight="1" x14ac:dyDescent="0.25">
      <c r="N556" s="208"/>
    </row>
    <row r="557" spans="14:14" ht="15.75" customHeight="1" x14ac:dyDescent="0.25">
      <c r="N557" s="208"/>
    </row>
    <row r="558" spans="14:14" ht="15.75" customHeight="1" x14ac:dyDescent="0.25">
      <c r="N558" s="208"/>
    </row>
    <row r="559" spans="14:14" ht="15.75" customHeight="1" x14ac:dyDescent="0.25">
      <c r="N559" s="208"/>
    </row>
    <row r="560" spans="14:14" ht="15.75" customHeight="1" x14ac:dyDescent="0.25">
      <c r="N560" s="208"/>
    </row>
    <row r="561" spans="14:14" ht="15.75" customHeight="1" x14ac:dyDescent="0.25">
      <c r="N561" s="208"/>
    </row>
    <row r="562" spans="14:14" ht="15.75" customHeight="1" x14ac:dyDescent="0.25">
      <c r="N562" s="208"/>
    </row>
    <row r="563" spans="14:14" ht="15.75" customHeight="1" x14ac:dyDescent="0.25">
      <c r="N563" s="208"/>
    </row>
    <row r="564" spans="14:14" ht="15.75" customHeight="1" x14ac:dyDescent="0.25">
      <c r="N564" s="208"/>
    </row>
    <row r="565" spans="14:14" ht="15.75" customHeight="1" x14ac:dyDescent="0.25">
      <c r="N565" s="208"/>
    </row>
    <row r="566" spans="14:14" ht="15.75" customHeight="1" x14ac:dyDescent="0.25">
      <c r="N566" s="208"/>
    </row>
    <row r="567" spans="14:14" ht="15.75" customHeight="1" x14ac:dyDescent="0.25">
      <c r="N567" s="208"/>
    </row>
    <row r="568" spans="14:14" ht="15.75" customHeight="1" x14ac:dyDescent="0.25">
      <c r="N568" s="208"/>
    </row>
    <row r="569" spans="14:14" ht="15.75" customHeight="1" x14ac:dyDescent="0.25">
      <c r="N569" s="208"/>
    </row>
    <row r="570" spans="14:14" ht="15.75" customHeight="1" x14ac:dyDescent="0.25">
      <c r="N570" s="208"/>
    </row>
    <row r="571" spans="14:14" ht="15.75" customHeight="1" x14ac:dyDescent="0.25">
      <c r="N571" s="208"/>
    </row>
    <row r="572" spans="14:14" ht="15.75" customHeight="1" x14ac:dyDescent="0.25">
      <c r="N572" s="208"/>
    </row>
    <row r="573" spans="14:14" ht="15.75" customHeight="1" x14ac:dyDescent="0.25">
      <c r="N573" s="208"/>
    </row>
    <row r="574" spans="14:14" ht="15.75" customHeight="1" x14ac:dyDescent="0.25">
      <c r="N574" s="208"/>
    </row>
    <row r="575" spans="14:14" ht="15.75" customHeight="1" x14ac:dyDescent="0.25">
      <c r="N575" s="208"/>
    </row>
    <row r="576" spans="14:14" ht="15.75" customHeight="1" x14ac:dyDescent="0.25">
      <c r="N576" s="208"/>
    </row>
    <row r="577" spans="14:14" ht="15.75" customHeight="1" x14ac:dyDescent="0.25">
      <c r="N577" s="208"/>
    </row>
    <row r="578" spans="14:14" ht="15.75" customHeight="1" x14ac:dyDescent="0.25">
      <c r="N578" s="208"/>
    </row>
    <row r="579" spans="14:14" ht="15.75" customHeight="1" x14ac:dyDescent="0.25">
      <c r="N579" s="208"/>
    </row>
    <row r="580" spans="14:14" ht="15.75" customHeight="1" x14ac:dyDescent="0.25">
      <c r="N580" s="208"/>
    </row>
    <row r="581" spans="14:14" ht="15.75" customHeight="1" x14ac:dyDescent="0.25">
      <c r="N581" s="208"/>
    </row>
    <row r="582" spans="14:14" ht="15.75" customHeight="1" x14ac:dyDescent="0.25">
      <c r="N582" s="208"/>
    </row>
    <row r="583" spans="14:14" ht="15.75" customHeight="1" x14ac:dyDescent="0.25">
      <c r="N583" s="208"/>
    </row>
    <row r="584" spans="14:14" ht="15.75" customHeight="1" x14ac:dyDescent="0.25">
      <c r="N584" s="208"/>
    </row>
    <row r="585" spans="14:14" ht="15.75" customHeight="1" x14ac:dyDescent="0.25">
      <c r="N585" s="208"/>
    </row>
    <row r="586" spans="14:14" ht="15.75" customHeight="1" x14ac:dyDescent="0.25">
      <c r="N586" s="208"/>
    </row>
    <row r="587" spans="14:14" ht="15.75" customHeight="1" x14ac:dyDescent="0.25">
      <c r="N587" s="208"/>
    </row>
    <row r="588" spans="14:14" ht="15.75" customHeight="1" x14ac:dyDescent="0.25">
      <c r="N588" s="208"/>
    </row>
    <row r="589" spans="14:14" ht="15.75" customHeight="1" x14ac:dyDescent="0.25">
      <c r="N589" s="208"/>
    </row>
    <row r="590" spans="14:14" ht="15.75" customHeight="1" x14ac:dyDescent="0.25">
      <c r="N590" s="208"/>
    </row>
    <row r="591" spans="14:14" ht="15.75" customHeight="1" x14ac:dyDescent="0.25">
      <c r="N591" s="208"/>
    </row>
    <row r="592" spans="14:14" ht="15.75" customHeight="1" x14ac:dyDescent="0.25">
      <c r="N592" s="208"/>
    </row>
    <row r="593" spans="14:14" ht="15.75" customHeight="1" x14ac:dyDescent="0.25">
      <c r="N593" s="208"/>
    </row>
    <row r="594" spans="14:14" ht="15.75" customHeight="1" x14ac:dyDescent="0.25">
      <c r="N594" s="208"/>
    </row>
    <row r="595" spans="14:14" ht="15.75" customHeight="1" x14ac:dyDescent="0.25">
      <c r="N595" s="208"/>
    </row>
    <row r="596" spans="14:14" ht="15.75" customHeight="1" x14ac:dyDescent="0.25">
      <c r="N596" s="208"/>
    </row>
    <row r="597" spans="14:14" ht="15.75" customHeight="1" x14ac:dyDescent="0.25">
      <c r="N597" s="208"/>
    </row>
    <row r="598" spans="14:14" ht="15.75" customHeight="1" x14ac:dyDescent="0.25">
      <c r="N598" s="208"/>
    </row>
    <row r="599" spans="14:14" ht="15.75" customHeight="1" x14ac:dyDescent="0.25">
      <c r="N599" s="208"/>
    </row>
    <row r="600" spans="14:14" ht="15.75" customHeight="1" x14ac:dyDescent="0.25">
      <c r="N600" s="208"/>
    </row>
    <row r="601" spans="14:14" ht="15.75" customHeight="1" x14ac:dyDescent="0.25">
      <c r="N601" s="208"/>
    </row>
    <row r="602" spans="14:14" ht="15.75" customHeight="1" x14ac:dyDescent="0.25">
      <c r="N602" s="208"/>
    </row>
    <row r="603" spans="14:14" ht="15.75" customHeight="1" x14ac:dyDescent="0.25">
      <c r="N603" s="208"/>
    </row>
    <row r="604" spans="14:14" ht="15.75" customHeight="1" x14ac:dyDescent="0.25">
      <c r="N604" s="208"/>
    </row>
    <row r="605" spans="14:14" ht="15.75" customHeight="1" x14ac:dyDescent="0.25">
      <c r="N605" s="208"/>
    </row>
    <row r="606" spans="14:14" ht="15.75" customHeight="1" x14ac:dyDescent="0.25">
      <c r="N606" s="208"/>
    </row>
    <row r="607" spans="14:14" ht="15.75" customHeight="1" x14ac:dyDescent="0.25">
      <c r="N607" s="208"/>
    </row>
    <row r="608" spans="14:14" ht="15.75" customHeight="1" x14ac:dyDescent="0.25">
      <c r="N608" s="208"/>
    </row>
    <row r="609" spans="14:14" ht="15.75" customHeight="1" x14ac:dyDescent="0.25">
      <c r="N609" s="208"/>
    </row>
    <row r="610" spans="14:14" ht="15.75" customHeight="1" x14ac:dyDescent="0.25">
      <c r="N610" s="208"/>
    </row>
    <row r="611" spans="14:14" ht="15.75" customHeight="1" x14ac:dyDescent="0.25">
      <c r="N611" s="208"/>
    </row>
    <row r="612" spans="14:14" ht="15.75" customHeight="1" x14ac:dyDescent="0.25">
      <c r="N612" s="208"/>
    </row>
    <row r="613" spans="14:14" ht="15.75" customHeight="1" x14ac:dyDescent="0.25">
      <c r="N613" s="208"/>
    </row>
    <row r="614" spans="14:14" ht="15.75" customHeight="1" x14ac:dyDescent="0.25">
      <c r="N614" s="208"/>
    </row>
    <row r="615" spans="14:14" ht="15.75" customHeight="1" x14ac:dyDescent="0.25">
      <c r="N615" s="208"/>
    </row>
    <row r="616" spans="14:14" ht="15.75" customHeight="1" x14ac:dyDescent="0.25">
      <c r="N616" s="208"/>
    </row>
    <row r="617" spans="14:14" ht="15.75" customHeight="1" x14ac:dyDescent="0.25">
      <c r="N617" s="208"/>
    </row>
    <row r="618" spans="14:14" ht="15.75" customHeight="1" x14ac:dyDescent="0.25">
      <c r="N618" s="208"/>
    </row>
    <row r="619" spans="14:14" ht="15.75" customHeight="1" x14ac:dyDescent="0.25">
      <c r="N619" s="208"/>
    </row>
    <row r="620" spans="14:14" ht="15.75" customHeight="1" x14ac:dyDescent="0.25">
      <c r="N620" s="208"/>
    </row>
    <row r="621" spans="14:14" ht="15.75" customHeight="1" x14ac:dyDescent="0.25">
      <c r="N621" s="208"/>
    </row>
    <row r="622" spans="14:14" ht="15.75" customHeight="1" x14ac:dyDescent="0.25">
      <c r="N622" s="208"/>
    </row>
    <row r="623" spans="14:14" ht="15.75" customHeight="1" x14ac:dyDescent="0.25">
      <c r="N623" s="208"/>
    </row>
    <row r="624" spans="14:14" ht="15.75" customHeight="1" x14ac:dyDescent="0.25">
      <c r="N624" s="208"/>
    </row>
    <row r="625" spans="14:14" ht="15.75" customHeight="1" x14ac:dyDescent="0.25">
      <c r="N625" s="208"/>
    </row>
    <row r="626" spans="14:14" ht="15.75" customHeight="1" x14ac:dyDescent="0.25">
      <c r="N626" s="208"/>
    </row>
    <row r="627" spans="14:14" ht="15.75" customHeight="1" x14ac:dyDescent="0.25">
      <c r="N627" s="208"/>
    </row>
    <row r="628" spans="14:14" ht="15.75" customHeight="1" x14ac:dyDescent="0.25">
      <c r="N628" s="208"/>
    </row>
    <row r="629" spans="14:14" ht="15.75" customHeight="1" x14ac:dyDescent="0.25">
      <c r="N629" s="208"/>
    </row>
    <row r="630" spans="14:14" ht="15.75" customHeight="1" x14ac:dyDescent="0.25">
      <c r="N630" s="208"/>
    </row>
    <row r="631" spans="14:14" ht="15.75" customHeight="1" x14ac:dyDescent="0.25">
      <c r="N631" s="208"/>
    </row>
    <row r="632" spans="14:14" ht="15.75" customHeight="1" x14ac:dyDescent="0.25">
      <c r="N632" s="208"/>
    </row>
    <row r="633" spans="14:14" ht="15.75" customHeight="1" x14ac:dyDescent="0.25">
      <c r="N633" s="208"/>
    </row>
    <row r="634" spans="14:14" ht="15.75" customHeight="1" x14ac:dyDescent="0.25">
      <c r="N634" s="208"/>
    </row>
    <row r="635" spans="14:14" ht="15.75" customHeight="1" x14ac:dyDescent="0.25">
      <c r="N635" s="208"/>
    </row>
    <row r="636" spans="14:14" ht="15.75" customHeight="1" x14ac:dyDescent="0.25">
      <c r="N636" s="208"/>
    </row>
    <row r="637" spans="14:14" ht="15.75" customHeight="1" x14ac:dyDescent="0.25">
      <c r="N637" s="208"/>
    </row>
    <row r="638" spans="14:14" ht="15.75" customHeight="1" x14ac:dyDescent="0.25">
      <c r="N638" s="208"/>
    </row>
    <row r="639" spans="14:14" ht="15.75" customHeight="1" x14ac:dyDescent="0.25">
      <c r="N639" s="208"/>
    </row>
    <row r="640" spans="14:14" ht="15.75" customHeight="1" x14ac:dyDescent="0.25">
      <c r="N640" s="208"/>
    </row>
    <row r="641" spans="14:14" ht="15.75" customHeight="1" x14ac:dyDescent="0.25">
      <c r="N641" s="208"/>
    </row>
    <row r="642" spans="14:14" ht="15.75" customHeight="1" x14ac:dyDescent="0.25">
      <c r="N642" s="208"/>
    </row>
    <row r="643" spans="14:14" ht="15.75" customHeight="1" x14ac:dyDescent="0.25">
      <c r="N643" s="208"/>
    </row>
    <row r="644" spans="14:14" ht="15.75" customHeight="1" x14ac:dyDescent="0.25">
      <c r="N644" s="208"/>
    </row>
    <row r="645" spans="14:14" ht="15.75" customHeight="1" x14ac:dyDescent="0.25">
      <c r="N645" s="208"/>
    </row>
    <row r="646" spans="14:14" ht="15.75" customHeight="1" x14ac:dyDescent="0.25">
      <c r="N646" s="208"/>
    </row>
    <row r="647" spans="14:14" ht="15.75" customHeight="1" x14ac:dyDescent="0.25">
      <c r="N647" s="208"/>
    </row>
    <row r="648" spans="14:14" ht="15.75" customHeight="1" x14ac:dyDescent="0.25">
      <c r="N648" s="208"/>
    </row>
    <row r="649" spans="14:14" ht="15.75" customHeight="1" x14ac:dyDescent="0.25">
      <c r="N649" s="208"/>
    </row>
    <row r="650" spans="14:14" ht="15.75" customHeight="1" x14ac:dyDescent="0.25">
      <c r="N650" s="208"/>
    </row>
    <row r="651" spans="14:14" ht="15.75" customHeight="1" x14ac:dyDescent="0.25">
      <c r="N651" s="208"/>
    </row>
    <row r="652" spans="14:14" ht="15.75" customHeight="1" x14ac:dyDescent="0.25">
      <c r="N652" s="208"/>
    </row>
    <row r="653" spans="14:14" ht="15.75" customHeight="1" x14ac:dyDescent="0.25">
      <c r="N653" s="208"/>
    </row>
    <row r="654" spans="14:14" ht="15.75" customHeight="1" x14ac:dyDescent="0.25">
      <c r="N654" s="208"/>
    </row>
    <row r="655" spans="14:14" ht="15.75" customHeight="1" x14ac:dyDescent="0.25">
      <c r="N655" s="208"/>
    </row>
    <row r="656" spans="14:14" ht="15.75" customHeight="1" x14ac:dyDescent="0.25">
      <c r="N656" s="208"/>
    </row>
    <row r="657" spans="14:14" ht="15.75" customHeight="1" x14ac:dyDescent="0.25">
      <c r="N657" s="208"/>
    </row>
    <row r="658" spans="14:14" ht="15.75" customHeight="1" x14ac:dyDescent="0.25">
      <c r="N658" s="208"/>
    </row>
    <row r="659" spans="14:14" ht="15.75" customHeight="1" x14ac:dyDescent="0.25">
      <c r="N659" s="208"/>
    </row>
    <row r="660" spans="14:14" ht="15.75" customHeight="1" x14ac:dyDescent="0.25">
      <c r="N660" s="208"/>
    </row>
    <row r="661" spans="14:14" ht="15.75" customHeight="1" x14ac:dyDescent="0.25">
      <c r="N661" s="208"/>
    </row>
    <row r="662" spans="14:14" ht="15.75" customHeight="1" x14ac:dyDescent="0.25">
      <c r="N662" s="208"/>
    </row>
    <row r="663" spans="14:14" ht="15.75" customHeight="1" x14ac:dyDescent="0.25">
      <c r="N663" s="208"/>
    </row>
    <row r="664" spans="14:14" ht="15.75" customHeight="1" x14ac:dyDescent="0.25">
      <c r="N664" s="208"/>
    </row>
    <row r="665" spans="14:14" ht="15.75" customHeight="1" x14ac:dyDescent="0.25">
      <c r="N665" s="208"/>
    </row>
    <row r="666" spans="14:14" ht="15.75" customHeight="1" x14ac:dyDescent="0.25">
      <c r="N666" s="208"/>
    </row>
    <row r="667" spans="14:14" ht="15.75" customHeight="1" x14ac:dyDescent="0.25">
      <c r="N667" s="208"/>
    </row>
    <row r="668" spans="14:14" ht="15.75" customHeight="1" x14ac:dyDescent="0.25">
      <c r="N668" s="208"/>
    </row>
    <row r="669" spans="14:14" ht="15.75" customHeight="1" x14ac:dyDescent="0.25">
      <c r="N669" s="208"/>
    </row>
    <row r="670" spans="14:14" ht="15.75" customHeight="1" x14ac:dyDescent="0.25">
      <c r="N670" s="208"/>
    </row>
    <row r="671" spans="14:14" ht="15.75" customHeight="1" x14ac:dyDescent="0.25">
      <c r="N671" s="208"/>
    </row>
    <row r="672" spans="14:14" ht="15.75" customHeight="1" x14ac:dyDescent="0.25">
      <c r="N672" s="208"/>
    </row>
    <row r="673" spans="14:14" ht="15.75" customHeight="1" x14ac:dyDescent="0.25">
      <c r="N673" s="208"/>
    </row>
    <row r="674" spans="14:14" ht="15.75" customHeight="1" x14ac:dyDescent="0.25">
      <c r="N674" s="208"/>
    </row>
    <row r="675" spans="14:14" ht="15.75" customHeight="1" x14ac:dyDescent="0.25">
      <c r="N675" s="208"/>
    </row>
    <row r="676" spans="14:14" ht="15.75" customHeight="1" x14ac:dyDescent="0.25">
      <c r="N676" s="208"/>
    </row>
    <row r="677" spans="14:14" ht="15.75" customHeight="1" x14ac:dyDescent="0.25">
      <c r="N677" s="208"/>
    </row>
    <row r="678" spans="14:14" ht="15.75" customHeight="1" x14ac:dyDescent="0.25">
      <c r="N678" s="208"/>
    </row>
    <row r="679" spans="14:14" ht="15.75" customHeight="1" x14ac:dyDescent="0.25">
      <c r="N679" s="208"/>
    </row>
    <row r="680" spans="14:14" ht="15.75" customHeight="1" x14ac:dyDescent="0.25">
      <c r="N680" s="208"/>
    </row>
    <row r="681" spans="14:14" ht="15.75" customHeight="1" x14ac:dyDescent="0.25">
      <c r="N681" s="208"/>
    </row>
    <row r="682" spans="14:14" ht="15.75" customHeight="1" x14ac:dyDescent="0.25">
      <c r="N682" s="208"/>
    </row>
    <row r="683" spans="14:14" ht="15.75" customHeight="1" x14ac:dyDescent="0.25">
      <c r="N683" s="208"/>
    </row>
    <row r="684" spans="14:14" ht="15.75" customHeight="1" x14ac:dyDescent="0.25">
      <c r="N684" s="208"/>
    </row>
    <row r="685" spans="14:14" ht="15.75" customHeight="1" x14ac:dyDescent="0.25">
      <c r="N685" s="208"/>
    </row>
    <row r="686" spans="14:14" ht="15.75" customHeight="1" x14ac:dyDescent="0.25">
      <c r="N686" s="208"/>
    </row>
    <row r="687" spans="14:14" ht="15.75" customHeight="1" x14ac:dyDescent="0.25">
      <c r="N687" s="208"/>
    </row>
    <row r="688" spans="14:14" ht="15.75" customHeight="1" x14ac:dyDescent="0.25">
      <c r="N688" s="208"/>
    </row>
    <row r="689" spans="14:14" ht="15.75" customHeight="1" x14ac:dyDescent="0.25">
      <c r="N689" s="208"/>
    </row>
    <row r="690" spans="14:14" ht="15.75" customHeight="1" x14ac:dyDescent="0.25">
      <c r="N690" s="208"/>
    </row>
    <row r="691" spans="14:14" ht="15.75" customHeight="1" x14ac:dyDescent="0.25">
      <c r="N691" s="208"/>
    </row>
    <row r="692" spans="14:14" ht="15.75" customHeight="1" x14ac:dyDescent="0.25">
      <c r="N692" s="208"/>
    </row>
    <row r="693" spans="14:14" ht="15.75" customHeight="1" x14ac:dyDescent="0.25">
      <c r="N693" s="208"/>
    </row>
    <row r="694" spans="14:14" ht="15.75" customHeight="1" x14ac:dyDescent="0.25">
      <c r="N694" s="208"/>
    </row>
    <row r="695" spans="14:14" ht="15.75" customHeight="1" x14ac:dyDescent="0.25">
      <c r="N695" s="208"/>
    </row>
    <row r="696" spans="14:14" ht="15.75" customHeight="1" x14ac:dyDescent="0.25">
      <c r="N696" s="208"/>
    </row>
    <row r="697" spans="14:14" ht="15.75" customHeight="1" x14ac:dyDescent="0.25">
      <c r="N697" s="208"/>
    </row>
    <row r="698" spans="14:14" ht="15.75" customHeight="1" x14ac:dyDescent="0.25">
      <c r="N698" s="208"/>
    </row>
    <row r="699" spans="14:14" ht="15.75" customHeight="1" x14ac:dyDescent="0.25">
      <c r="N699" s="208"/>
    </row>
    <row r="700" spans="14:14" ht="15.75" customHeight="1" x14ac:dyDescent="0.25">
      <c r="N700" s="208"/>
    </row>
    <row r="701" spans="14:14" ht="15.75" customHeight="1" x14ac:dyDescent="0.25">
      <c r="N701" s="208"/>
    </row>
    <row r="702" spans="14:14" ht="15.75" customHeight="1" x14ac:dyDescent="0.25">
      <c r="N702" s="208"/>
    </row>
    <row r="703" spans="14:14" ht="15.75" customHeight="1" x14ac:dyDescent="0.25">
      <c r="N703" s="208"/>
    </row>
    <row r="704" spans="14:14" ht="15.75" customHeight="1" x14ac:dyDescent="0.25">
      <c r="N704" s="208"/>
    </row>
    <row r="705" spans="14:14" ht="15.75" customHeight="1" x14ac:dyDescent="0.25">
      <c r="N705" s="208"/>
    </row>
    <row r="706" spans="14:14" ht="15.75" customHeight="1" x14ac:dyDescent="0.25">
      <c r="N706" s="208"/>
    </row>
    <row r="707" spans="14:14" ht="15.75" customHeight="1" x14ac:dyDescent="0.25">
      <c r="N707" s="208"/>
    </row>
    <row r="708" spans="14:14" ht="15.75" customHeight="1" x14ac:dyDescent="0.25">
      <c r="N708" s="208"/>
    </row>
    <row r="709" spans="14:14" ht="15.75" customHeight="1" x14ac:dyDescent="0.25">
      <c r="N709" s="208"/>
    </row>
    <row r="710" spans="14:14" ht="15.75" customHeight="1" x14ac:dyDescent="0.25">
      <c r="N710" s="208"/>
    </row>
    <row r="711" spans="14:14" ht="15.75" customHeight="1" x14ac:dyDescent="0.25">
      <c r="N711" s="208"/>
    </row>
    <row r="712" spans="14:14" ht="15.75" customHeight="1" x14ac:dyDescent="0.25">
      <c r="N712" s="208"/>
    </row>
    <row r="713" spans="14:14" ht="15.75" customHeight="1" x14ac:dyDescent="0.25">
      <c r="N713" s="208"/>
    </row>
    <row r="714" spans="14:14" ht="15.75" customHeight="1" x14ac:dyDescent="0.25">
      <c r="N714" s="208"/>
    </row>
    <row r="715" spans="14:14" ht="15.75" customHeight="1" x14ac:dyDescent="0.25">
      <c r="N715" s="208"/>
    </row>
    <row r="716" spans="14:14" ht="15.75" customHeight="1" x14ac:dyDescent="0.25">
      <c r="N716" s="208"/>
    </row>
    <row r="717" spans="14:14" ht="15.75" customHeight="1" x14ac:dyDescent="0.25">
      <c r="N717" s="208"/>
    </row>
    <row r="718" spans="14:14" ht="15.75" customHeight="1" x14ac:dyDescent="0.25">
      <c r="N718" s="208"/>
    </row>
    <row r="719" spans="14:14" ht="15.75" customHeight="1" x14ac:dyDescent="0.25">
      <c r="N719" s="208"/>
    </row>
    <row r="720" spans="14:14" ht="15.75" customHeight="1" x14ac:dyDescent="0.25">
      <c r="N720" s="208"/>
    </row>
    <row r="721" spans="14:14" ht="15.75" customHeight="1" x14ac:dyDescent="0.25">
      <c r="N721" s="208"/>
    </row>
    <row r="722" spans="14:14" ht="15.75" customHeight="1" x14ac:dyDescent="0.25">
      <c r="N722" s="208"/>
    </row>
    <row r="723" spans="14:14" ht="15.75" customHeight="1" x14ac:dyDescent="0.25">
      <c r="N723" s="208"/>
    </row>
    <row r="724" spans="14:14" ht="15.75" customHeight="1" x14ac:dyDescent="0.25">
      <c r="N724" s="208"/>
    </row>
    <row r="725" spans="14:14" ht="15.75" customHeight="1" x14ac:dyDescent="0.25">
      <c r="N725" s="208"/>
    </row>
    <row r="726" spans="14:14" ht="15.75" customHeight="1" x14ac:dyDescent="0.25">
      <c r="N726" s="208"/>
    </row>
    <row r="727" spans="14:14" ht="15.75" customHeight="1" x14ac:dyDescent="0.25">
      <c r="N727" s="208"/>
    </row>
    <row r="728" spans="14:14" ht="15.75" customHeight="1" x14ac:dyDescent="0.25">
      <c r="N728" s="208"/>
    </row>
    <row r="729" spans="14:14" ht="15.75" customHeight="1" x14ac:dyDescent="0.25">
      <c r="N729" s="208"/>
    </row>
    <row r="730" spans="14:14" ht="15.75" customHeight="1" x14ac:dyDescent="0.25">
      <c r="N730" s="208"/>
    </row>
    <row r="731" spans="14:14" ht="15.75" customHeight="1" x14ac:dyDescent="0.25">
      <c r="N731" s="208"/>
    </row>
    <row r="732" spans="14:14" ht="15.75" customHeight="1" x14ac:dyDescent="0.25">
      <c r="N732" s="208"/>
    </row>
    <row r="733" spans="14:14" ht="15.75" customHeight="1" x14ac:dyDescent="0.25">
      <c r="N733" s="208"/>
    </row>
    <row r="734" spans="14:14" ht="15.75" customHeight="1" x14ac:dyDescent="0.25">
      <c r="N734" s="208"/>
    </row>
    <row r="735" spans="14:14" ht="15.75" customHeight="1" x14ac:dyDescent="0.25">
      <c r="N735" s="208"/>
    </row>
    <row r="736" spans="14:14" ht="15.75" customHeight="1" x14ac:dyDescent="0.25">
      <c r="N736" s="208"/>
    </row>
    <row r="737" spans="14:14" ht="15.75" customHeight="1" x14ac:dyDescent="0.25">
      <c r="N737" s="208"/>
    </row>
    <row r="738" spans="14:14" ht="15.75" customHeight="1" x14ac:dyDescent="0.25">
      <c r="N738" s="208"/>
    </row>
    <row r="739" spans="14:14" ht="15.75" customHeight="1" x14ac:dyDescent="0.25">
      <c r="N739" s="208"/>
    </row>
    <row r="740" spans="14:14" ht="15.75" customHeight="1" x14ac:dyDescent="0.25">
      <c r="N740" s="208"/>
    </row>
    <row r="741" spans="14:14" ht="15.75" customHeight="1" x14ac:dyDescent="0.25">
      <c r="N741" s="208"/>
    </row>
    <row r="742" spans="14:14" ht="15.75" customHeight="1" x14ac:dyDescent="0.25">
      <c r="N742" s="208"/>
    </row>
    <row r="743" spans="14:14" ht="15.75" customHeight="1" x14ac:dyDescent="0.25">
      <c r="N743" s="208"/>
    </row>
    <row r="744" spans="14:14" ht="15.75" customHeight="1" x14ac:dyDescent="0.25">
      <c r="N744" s="208"/>
    </row>
    <row r="745" spans="14:14" ht="15.75" customHeight="1" x14ac:dyDescent="0.25">
      <c r="N745" s="208"/>
    </row>
    <row r="746" spans="14:14" ht="15.75" customHeight="1" x14ac:dyDescent="0.25">
      <c r="N746" s="208"/>
    </row>
    <row r="747" spans="14:14" ht="15.75" customHeight="1" x14ac:dyDescent="0.25">
      <c r="N747" s="208"/>
    </row>
    <row r="748" spans="14:14" ht="15.75" customHeight="1" x14ac:dyDescent="0.25">
      <c r="N748" s="208"/>
    </row>
    <row r="749" spans="14:14" ht="15.75" customHeight="1" x14ac:dyDescent="0.25">
      <c r="N749" s="208"/>
    </row>
    <row r="750" spans="14:14" ht="15.75" customHeight="1" x14ac:dyDescent="0.25">
      <c r="N750" s="208"/>
    </row>
    <row r="751" spans="14:14" ht="15.75" customHeight="1" x14ac:dyDescent="0.25">
      <c r="N751" s="208"/>
    </row>
    <row r="752" spans="14:14" ht="15.75" customHeight="1" x14ac:dyDescent="0.25">
      <c r="N752" s="208"/>
    </row>
    <row r="753" spans="14:14" ht="15.75" customHeight="1" x14ac:dyDescent="0.25">
      <c r="N753" s="208"/>
    </row>
    <row r="754" spans="14:14" ht="15.75" customHeight="1" x14ac:dyDescent="0.25">
      <c r="N754" s="208"/>
    </row>
    <row r="755" spans="14:14" ht="15.75" customHeight="1" x14ac:dyDescent="0.25">
      <c r="N755" s="208"/>
    </row>
    <row r="756" spans="14:14" ht="15.75" customHeight="1" x14ac:dyDescent="0.25">
      <c r="N756" s="208"/>
    </row>
    <row r="757" spans="14:14" ht="15.75" customHeight="1" x14ac:dyDescent="0.25">
      <c r="N757" s="208"/>
    </row>
    <row r="758" spans="14:14" ht="15.75" customHeight="1" x14ac:dyDescent="0.25">
      <c r="N758" s="208"/>
    </row>
    <row r="759" spans="14:14" ht="15.75" customHeight="1" x14ac:dyDescent="0.25">
      <c r="N759" s="208"/>
    </row>
    <row r="760" spans="14:14" ht="15.75" customHeight="1" x14ac:dyDescent="0.25">
      <c r="N760" s="208"/>
    </row>
    <row r="761" spans="14:14" ht="15.75" customHeight="1" x14ac:dyDescent="0.25">
      <c r="N761" s="208"/>
    </row>
    <row r="762" spans="14:14" ht="15.75" customHeight="1" x14ac:dyDescent="0.25">
      <c r="N762" s="208"/>
    </row>
    <row r="763" spans="14:14" ht="15.75" customHeight="1" x14ac:dyDescent="0.25">
      <c r="N763" s="208"/>
    </row>
    <row r="764" spans="14:14" ht="15.75" customHeight="1" x14ac:dyDescent="0.25">
      <c r="N764" s="208"/>
    </row>
    <row r="765" spans="14:14" ht="15.75" customHeight="1" x14ac:dyDescent="0.25">
      <c r="N765" s="208"/>
    </row>
    <row r="766" spans="14:14" ht="15.75" customHeight="1" x14ac:dyDescent="0.25">
      <c r="N766" s="208"/>
    </row>
    <row r="767" spans="14:14" ht="15.75" customHeight="1" x14ac:dyDescent="0.25">
      <c r="N767" s="208"/>
    </row>
    <row r="768" spans="14:14" ht="15.75" customHeight="1" x14ac:dyDescent="0.25">
      <c r="N768" s="208"/>
    </row>
    <row r="769" spans="14:14" ht="15.75" customHeight="1" x14ac:dyDescent="0.25">
      <c r="N769" s="208"/>
    </row>
    <row r="770" spans="14:14" ht="15.75" customHeight="1" x14ac:dyDescent="0.25">
      <c r="N770" s="208"/>
    </row>
    <row r="771" spans="14:14" ht="15.75" customHeight="1" x14ac:dyDescent="0.25">
      <c r="N771" s="208"/>
    </row>
    <row r="772" spans="14:14" ht="15.75" customHeight="1" x14ac:dyDescent="0.25">
      <c r="N772" s="208"/>
    </row>
    <row r="773" spans="14:14" ht="15.75" customHeight="1" x14ac:dyDescent="0.25">
      <c r="N773" s="208"/>
    </row>
    <row r="774" spans="14:14" ht="15.75" customHeight="1" x14ac:dyDescent="0.25">
      <c r="N774" s="208"/>
    </row>
    <row r="775" spans="14:14" ht="15.75" customHeight="1" x14ac:dyDescent="0.25">
      <c r="N775" s="208"/>
    </row>
    <row r="776" spans="14:14" ht="15.75" customHeight="1" x14ac:dyDescent="0.25">
      <c r="N776" s="208"/>
    </row>
    <row r="777" spans="14:14" ht="15.75" customHeight="1" x14ac:dyDescent="0.25">
      <c r="N777" s="208"/>
    </row>
    <row r="778" spans="14:14" ht="15.75" customHeight="1" x14ac:dyDescent="0.25">
      <c r="N778" s="208"/>
    </row>
    <row r="779" spans="14:14" ht="15.75" customHeight="1" x14ac:dyDescent="0.25">
      <c r="N779" s="208"/>
    </row>
    <row r="780" spans="14:14" ht="15.75" customHeight="1" x14ac:dyDescent="0.25">
      <c r="N780" s="208"/>
    </row>
    <row r="781" spans="14:14" ht="15.75" customHeight="1" x14ac:dyDescent="0.25">
      <c r="N781" s="208"/>
    </row>
    <row r="782" spans="14:14" ht="15.75" customHeight="1" x14ac:dyDescent="0.25">
      <c r="N782" s="208"/>
    </row>
    <row r="783" spans="14:14" ht="15.75" customHeight="1" x14ac:dyDescent="0.25">
      <c r="N783" s="208"/>
    </row>
    <row r="784" spans="14:14" ht="15.75" customHeight="1" x14ac:dyDescent="0.25">
      <c r="N784" s="208"/>
    </row>
    <row r="785" spans="14:14" ht="15.75" customHeight="1" x14ac:dyDescent="0.25">
      <c r="N785" s="208"/>
    </row>
    <row r="786" spans="14:14" ht="15.75" customHeight="1" x14ac:dyDescent="0.25">
      <c r="N786" s="208"/>
    </row>
    <row r="787" spans="14:14" ht="15.75" customHeight="1" x14ac:dyDescent="0.25">
      <c r="N787" s="208"/>
    </row>
    <row r="788" spans="14:14" ht="15.75" customHeight="1" x14ac:dyDescent="0.25">
      <c r="N788" s="208"/>
    </row>
    <row r="789" spans="14:14" ht="15.75" customHeight="1" x14ac:dyDescent="0.25">
      <c r="N789" s="208"/>
    </row>
    <row r="790" spans="14:14" ht="15.75" customHeight="1" x14ac:dyDescent="0.25">
      <c r="N790" s="208"/>
    </row>
    <row r="791" spans="14:14" ht="15.75" customHeight="1" x14ac:dyDescent="0.25">
      <c r="N791" s="208"/>
    </row>
    <row r="792" spans="14:14" ht="15.75" customHeight="1" x14ac:dyDescent="0.25">
      <c r="N792" s="208"/>
    </row>
    <row r="793" spans="14:14" ht="15.75" customHeight="1" x14ac:dyDescent="0.25">
      <c r="N793" s="208"/>
    </row>
    <row r="794" spans="14:14" ht="15.75" customHeight="1" x14ac:dyDescent="0.25">
      <c r="N794" s="208"/>
    </row>
    <row r="795" spans="14:14" ht="15.75" customHeight="1" x14ac:dyDescent="0.25">
      <c r="N795" s="208"/>
    </row>
    <row r="796" spans="14:14" ht="15.75" customHeight="1" x14ac:dyDescent="0.25">
      <c r="N796" s="208"/>
    </row>
    <row r="797" spans="14:14" ht="15.75" customHeight="1" x14ac:dyDescent="0.25">
      <c r="N797" s="208"/>
    </row>
    <row r="798" spans="14:14" ht="15.75" customHeight="1" x14ac:dyDescent="0.25">
      <c r="N798" s="208"/>
    </row>
    <row r="799" spans="14:14" ht="15.75" customHeight="1" x14ac:dyDescent="0.25">
      <c r="N799" s="208"/>
    </row>
    <row r="800" spans="14:14" ht="15.75" customHeight="1" x14ac:dyDescent="0.25">
      <c r="N800" s="208"/>
    </row>
    <row r="801" spans="14:14" ht="15.75" customHeight="1" x14ac:dyDescent="0.25">
      <c r="N801" s="208"/>
    </row>
    <row r="802" spans="14:14" ht="15.75" customHeight="1" x14ac:dyDescent="0.25">
      <c r="N802" s="208"/>
    </row>
    <row r="803" spans="14:14" ht="15.75" customHeight="1" x14ac:dyDescent="0.25">
      <c r="N803" s="208"/>
    </row>
    <row r="804" spans="14:14" ht="15.75" customHeight="1" x14ac:dyDescent="0.25">
      <c r="N804" s="208"/>
    </row>
    <row r="805" spans="14:14" ht="15.75" customHeight="1" x14ac:dyDescent="0.25">
      <c r="N805" s="208"/>
    </row>
    <row r="806" spans="14:14" ht="15.75" customHeight="1" x14ac:dyDescent="0.25">
      <c r="N806" s="208"/>
    </row>
    <row r="807" spans="14:14" ht="15.75" customHeight="1" x14ac:dyDescent="0.25">
      <c r="N807" s="208"/>
    </row>
    <row r="808" spans="14:14" ht="15.75" customHeight="1" x14ac:dyDescent="0.25">
      <c r="N808" s="208"/>
    </row>
    <row r="809" spans="14:14" ht="15.75" customHeight="1" x14ac:dyDescent="0.25">
      <c r="N809" s="208"/>
    </row>
    <row r="810" spans="14:14" ht="15.75" customHeight="1" x14ac:dyDescent="0.25">
      <c r="N810" s="208"/>
    </row>
    <row r="811" spans="14:14" ht="15.75" customHeight="1" x14ac:dyDescent="0.25">
      <c r="N811" s="208"/>
    </row>
    <row r="812" spans="14:14" ht="15.75" customHeight="1" x14ac:dyDescent="0.25">
      <c r="N812" s="208"/>
    </row>
    <row r="813" spans="14:14" ht="15.75" customHeight="1" x14ac:dyDescent="0.25">
      <c r="N813" s="208"/>
    </row>
    <row r="814" spans="14:14" ht="15.75" customHeight="1" x14ac:dyDescent="0.25">
      <c r="N814" s="208"/>
    </row>
    <row r="815" spans="14:14" ht="15.75" customHeight="1" x14ac:dyDescent="0.25">
      <c r="N815" s="208"/>
    </row>
    <row r="816" spans="14:14" ht="15.75" customHeight="1" x14ac:dyDescent="0.25">
      <c r="N816" s="208"/>
    </row>
    <row r="817" spans="14:14" ht="15.75" customHeight="1" x14ac:dyDescent="0.25">
      <c r="N817" s="208"/>
    </row>
    <row r="818" spans="14:14" ht="15.75" customHeight="1" x14ac:dyDescent="0.25">
      <c r="N818" s="208"/>
    </row>
    <row r="819" spans="14:14" ht="15.75" customHeight="1" x14ac:dyDescent="0.25">
      <c r="N819" s="208"/>
    </row>
    <row r="820" spans="14:14" ht="15.75" customHeight="1" x14ac:dyDescent="0.25">
      <c r="N820" s="208"/>
    </row>
    <row r="821" spans="14:14" ht="15.75" customHeight="1" x14ac:dyDescent="0.25">
      <c r="N821" s="208"/>
    </row>
    <row r="822" spans="14:14" ht="15.75" customHeight="1" x14ac:dyDescent="0.25">
      <c r="N822" s="208"/>
    </row>
    <row r="823" spans="14:14" ht="15.75" customHeight="1" x14ac:dyDescent="0.25">
      <c r="N823" s="208"/>
    </row>
    <row r="824" spans="14:14" ht="15.75" customHeight="1" x14ac:dyDescent="0.25">
      <c r="N824" s="208"/>
    </row>
    <row r="825" spans="14:14" ht="15.75" customHeight="1" x14ac:dyDescent="0.25">
      <c r="N825" s="208"/>
    </row>
    <row r="826" spans="14:14" ht="15.75" customHeight="1" x14ac:dyDescent="0.25">
      <c r="N826" s="208"/>
    </row>
    <row r="827" spans="14:14" ht="15.75" customHeight="1" x14ac:dyDescent="0.25">
      <c r="N827" s="208"/>
    </row>
    <row r="828" spans="14:14" ht="15.75" customHeight="1" x14ac:dyDescent="0.25">
      <c r="N828" s="208"/>
    </row>
    <row r="829" spans="14:14" ht="15.75" customHeight="1" x14ac:dyDescent="0.25">
      <c r="N829" s="208"/>
    </row>
    <row r="830" spans="14:14" ht="15.75" customHeight="1" x14ac:dyDescent="0.25">
      <c r="N830" s="208"/>
    </row>
    <row r="831" spans="14:14" ht="15.75" customHeight="1" x14ac:dyDescent="0.25">
      <c r="N831" s="208"/>
    </row>
    <row r="832" spans="14:14" ht="15.75" customHeight="1" x14ac:dyDescent="0.25">
      <c r="N832" s="208"/>
    </row>
    <row r="833" spans="14:14" ht="15.75" customHeight="1" x14ac:dyDescent="0.25">
      <c r="N833" s="208"/>
    </row>
    <row r="834" spans="14:14" ht="15.75" customHeight="1" x14ac:dyDescent="0.25">
      <c r="N834" s="208"/>
    </row>
    <row r="835" spans="14:14" ht="15.75" customHeight="1" x14ac:dyDescent="0.25">
      <c r="N835" s="208"/>
    </row>
    <row r="836" spans="14:14" ht="15.75" customHeight="1" x14ac:dyDescent="0.25">
      <c r="N836" s="208"/>
    </row>
    <row r="837" spans="14:14" ht="15.75" customHeight="1" x14ac:dyDescent="0.25">
      <c r="N837" s="208"/>
    </row>
    <row r="838" spans="14:14" ht="15.75" customHeight="1" x14ac:dyDescent="0.25">
      <c r="N838" s="208"/>
    </row>
    <row r="839" spans="14:14" ht="15.75" customHeight="1" x14ac:dyDescent="0.25">
      <c r="N839" s="208"/>
    </row>
    <row r="840" spans="14:14" ht="15.75" customHeight="1" x14ac:dyDescent="0.25">
      <c r="N840" s="208"/>
    </row>
    <row r="841" spans="14:14" ht="15.75" customHeight="1" x14ac:dyDescent="0.25">
      <c r="N841" s="208"/>
    </row>
    <row r="842" spans="14:14" ht="15.75" customHeight="1" x14ac:dyDescent="0.25">
      <c r="N842" s="208"/>
    </row>
    <row r="843" spans="14:14" ht="15.75" customHeight="1" x14ac:dyDescent="0.25">
      <c r="N843" s="208"/>
    </row>
    <row r="844" spans="14:14" ht="15.75" customHeight="1" x14ac:dyDescent="0.25">
      <c r="N844" s="208"/>
    </row>
    <row r="845" spans="14:14" ht="15.75" customHeight="1" x14ac:dyDescent="0.25">
      <c r="N845" s="208"/>
    </row>
    <row r="846" spans="14:14" ht="15.75" customHeight="1" x14ac:dyDescent="0.25">
      <c r="N846" s="208"/>
    </row>
    <row r="847" spans="14:14" ht="15.75" customHeight="1" x14ac:dyDescent="0.25">
      <c r="N847" s="208"/>
    </row>
    <row r="848" spans="14:14" ht="15.75" customHeight="1" x14ac:dyDescent="0.25">
      <c r="N848" s="208"/>
    </row>
    <row r="849" spans="14:14" ht="15.75" customHeight="1" x14ac:dyDescent="0.25">
      <c r="N849" s="208"/>
    </row>
    <row r="850" spans="14:14" ht="15.75" customHeight="1" x14ac:dyDescent="0.25">
      <c r="N850" s="208"/>
    </row>
    <row r="851" spans="14:14" ht="15.75" customHeight="1" x14ac:dyDescent="0.25">
      <c r="N851" s="208"/>
    </row>
    <row r="852" spans="14:14" ht="15.75" customHeight="1" x14ac:dyDescent="0.25">
      <c r="N852" s="208"/>
    </row>
    <row r="853" spans="14:14" ht="15.75" customHeight="1" x14ac:dyDescent="0.25">
      <c r="N853" s="208"/>
    </row>
    <row r="854" spans="14:14" ht="15.75" customHeight="1" x14ac:dyDescent="0.25">
      <c r="N854" s="208"/>
    </row>
    <row r="855" spans="14:14" ht="15.75" customHeight="1" x14ac:dyDescent="0.25">
      <c r="N855" s="208"/>
    </row>
    <row r="856" spans="14:14" ht="15.75" customHeight="1" x14ac:dyDescent="0.25">
      <c r="N856" s="208"/>
    </row>
    <row r="857" spans="14:14" ht="15.75" customHeight="1" x14ac:dyDescent="0.25">
      <c r="N857" s="208"/>
    </row>
    <row r="858" spans="14:14" ht="15.75" customHeight="1" x14ac:dyDescent="0.25">
      <c r="N858" s="208"/>
    </row>
    <row r="859" spans="14:14" ht="15.75" customHeight="1" x14ac:dyDescent="0.25">
      <c r="N859" s="208"/>
    </row>
    <row r="860" spans="14:14" ht="15.75" customHeight="1" x14ac:dyDescent="0.25">
      <c r="N860" s="208"/>
    </row>
    <row r="861" spans="14:14" ht="15.75" customHeight="1" x14ac:dyDescent="0.25">
      <c r="N861" s="208"/>
    </row>
    <row r="862" spans="14:14" ht="15.75" customHeight="1" x14ac:dyDescent="0.25">
      <c r="N862" s="208"/>
    </row>
    <row r="863" spans="14:14" ht="15.75" customHeight="1" x14ac:dyDescent="0.25">
      <c r="N863" s="208"/>
    </row>
    <row r="864" spans="14:14" ht="15.75" customHeight="1" x14ac:dyDescent="0.25">
      <c r="N864" s="208"/>
    </row>
    <row r="865" spans="14:14" ht="15.75" customHeight="1" x14ac:dyDescent="0.25">
      <c r="N865" s="208"/>
    </row>
    <row r="866" spans="14:14" ht="15.75" customHeight="1" x14ac:dyDescent="0.25">
      <c r="N866" s="208"/>
    </row>
    <row r="867" spans="14:14" ht="15.75" customHeight="1" x14ac:dyDescent="0.25">
      <c r="N867" s="208"/>
    </row>
    <row r="868" spans="14:14" ht="15.75" customHeight="1" x14ac:dyDescent="0.25">
      <c r="N868" s="208"/>
    </row>
    <row r="869" spans="14:14" ht="15.75" customHeight="1" x14ac:dyDescent="0.25">
      <c r="N869" s="208"/>
    </row>
    <row r="870" spans="14:14" ht="15.75" customHeight="1" x14ac:dyDescent="0.25">
      <c r="N870" s="208"/>
    </row>
    <row r="871" spans="14:14" ht="15.75" customHeight="1" x14ac:dyDescent="0.25">
      <c r="N871" s="208"/>
    </row>
    <row r="872" spans="14:14" ht="15.75" customHeight="1" x14ac:dyDescent="0.25">
      <c r="N872" s="208"/>
    </row>
    <row r="873" spans="14:14" ht="15.75" customHeight="1" x14ac:dyDescent="0.25">
      <c r="N873" s="208"/>
    </row>
    <row r="874" spans="14:14" ht="15.75" customHeight="1" x14ac:dyDescent="0.25">
      <c r="N874" s="208"/>
    </row>
    <row r="875" spans="14:14" ht="15.75" customHeight="1" x14ac:dyDescent="0.25">
      <c r="N875" s="208"/>
    </row>
    <row r="876" spans="14:14" ht="15.75" customHeight="1" x14ac:dyDescent="0.25">
      <c r="N876" s="208"/>
    </row>
    <row r="877" spans="14:14" ht="15.75" customHeight="1" x14ac:dyDescent="0.25">
      <c r="N877" s="208"/>
    </row>
    <row r="878" spans="14:14" ht="15.75" customHeight="1" x14ac:dyDescent="0.25">
      <c r="N878" s="208"/>
    </row>
    <row r="879" spans="14:14" ht="15.75" customHeight="1" x14ac:dyDescent="0.25">
      <c r="N879" s="208"/>
    </row>
    <row r="880" spans="14:14" ht="15.75" customHeight="1" x14ac:dyDescent="0.25">
      <c r="N880" s="208"/>
    </row>
    <row r="881" spans="14:14" ht="15.75" customHeight="1" x14ac:dyDescent="0.25">
      <c r="N881" s="208"/>
    </row>
    <row r="882" spans="14:14" ht="15.75" customHeight="1" x14ac:dyDescent="0.25">
      <c r="N882" s="208"/>
    </row>
    <row r="883" spans="14:14" ht="15.75" customHeight="1" x14ac:dyDescent="0.25">
      <c r="N883" s="208"/>
    </row>
    <row r="884" spans="14:14" ht="15.75" customHeight="1" x14ac:dyDescent="0.25">
      <c r="N884" s="208"/>
    </row>
    <row r="885" spans="14:14" ht="15.75" customHeight="1" x14ac:dyDescent="0.25">
      <c r="N885" s="208"/>
    </row>
    <row r="886" spans="14:14" ht="15.75" customHeight="1" x14ac:dyDescent="0.25">
      <c r="N886" s="208"/>
    </row>
    <row r="887" spans="14:14" ht="15.75" customHeight="1" x14ac:dyDescent="0.25">
      <c r="N887" s="208"/>
    </row>
    <row r="888" spans="14:14" ht="15.75" customHeight="1" x14ac:dyDescent="0.25">
      <c r="N888" s="208"/>
    </row>
    <row r="889" spans="14:14" ht="15.75" customHeight="1" x14ac:dyDescent="0.25">
      <c r="N889" s="208"/>
    </row>
    <row r="890" spans="14:14" ht="15.75" customHeight="1" x14ac:dyDescent="0.25">
      <c r="N890" s="208"/>
    </row>
    <row r="891" spans="14:14" ht="15.75" customHeight="1" x14ac:dyDescent="0.25">
      <c r="N891" s="208"/>
    </row>
    <row r="892" spans="14:14" ht="15.75" customHeight="1" x14ac:dyDescent="0.25">
      <c r="N892" s="208"/>
    </row>
    <row r="893" spans="14:14" ht="15.75" customHeight="1" x14ac:dyDescent="0.25">
      <c r="N893" s="208"/>
    </row>
    <row r="894" spans="14:14" ht="15.75" customHeight="1" x14ac:dyDescent="0.25">
      <c r="N894" s="208"/>
    </row>
    <row r="895" spans="14:14" ht="15.75" customHeight="1" x14ac:dyDescent="0.25">
      <c r="N895" s="208"/>
    </row>
    <row r="896" spans="14:14" ht="15.75" customHeight="1" x14ac:dyDescent="0.25">
      <c r="N896" s="208"/>
    </row>
    <row r="897" spans="14:14" ht="15.75" customHeight="1" x14ac:dyDescent="0.25">
      <c r="N897" s="208"/>
    </row>
    <row r="898" spans="14:14" ht="15.75" customHeight="1" x14ac:dyDescent="0.25">
      <c r="N898" s="208"/>
    </row>
    <row r="899" spans="14:14" ht="15.75" customHeight="1" x14ac:dyDescent="0.25">
      <c r="N899" s="208"/>
    </row>
    <row r="900" spans="14:14" ht="15.75" customHeight="1" x14ac:dyDescent="0.25">
      <c r="N900" s="208"/>
    </row>
    <row r="901" spans="14:14" ht="15.75" customHeight="1" x14ac:dyDescent="0.25">
      <c r="N901" s="208"/>
    </row>
    <row r="902" spans="14:14" ht="15.75" customHeight="1" x14ac:dyDescent="0.25">
      <c r="N902" s="208"/>
    </row>
    <row r="903" spans="14:14" ht="15.75" customHeight="1" x14ac:dyDescent="0.25">
      <c r="N903" s="208"/>
    </row>
    <row r="904" spans="14:14" ht="15.75" customHeight="1" x14ac:dyDescent="0.25">
      <c r="N904" s="208"/>
    </row>
    <row r="905" spans="14:14" ht="15.75" customHeight="1" x14ac:dyDescent="0.25">
      <c r="N905" s="208"/>
    </row>
    <row r="906" spans="14:14" ht="15.75" customHeight="1" x14ac:dyDescent="0.25">
      <c r="N906" s="208"/>
    </row>
    <row r="907" spans="14:14" ht="15.75" customHeight="1" x14ac:dyDescent="0.25">
      <c r="N907" s="208"/>
    </row>
    <row r="908" spans="14:14" ht="15.75" customHeight="1" x14ac:dyDescent="0.25">
      <c r="N908" s="208"/>
    </row>
    <row r="909" spans="14:14" ht="15.75" customHeight="1" x14ac:dyDescent="0.25">
      <c r="N909" s="208"/>
    </row>
    <row r="910" spans="14:14" ht="15.75" customHeight="1" x14ac:dyDescent="0.25">
      <c r="N910" s="208"/>
    </row>
    <row r="911" spans="14:14" ht="15.75" customHeight="1" x14ac:dyDescent="0.25">
      <c r="N911" s="208"/>
    </row>
    <row r="912" spans="14:14" ht="15.75" customHeight="1" x14ac:dyDescent="0.25">
      <c r="N912" s="208"/>
    </row>
    <row r="913" spans="14:14" ht="15.75" customHeight="1" x14ac:dyDescent="0.25">
      <c r="N913" s="208"/>
    </row>
    <row r="914" spans="14:14" ht="15.75" customHeight="1" x14ac:dyDescent="0.25">
      <c r="N914" s="208"/>
    </row>
    <row r="915" spans="14:14" ht="15.75" customHeight="1" x14ac:dyDescent="0.25">
      <c r="N915" s="208"/>
    </row>
    <row r="916" spans="14:14" ht="15.75" customHeight="1" x14ac:dyDescent="0.25">
      <c r="N916" s="208"/>
    </row>
    <row r="917" spans="14:14" ht="15.75" customHeight="1" x14ac:dyDescent="0.25">
      <c r="N917" s="208"/>
    </row>
    <row r="918" spans="14:14" ht="15.75" customHeight="1" x14ac:dyDescent="0.25">
      <c r="N918" s="208"/>
    </row>
    <row r="919" spans="14:14" ht="15.75" customHeight="1" x14ac:dyDescent="0.25">
      <c r="N919" s="208"/>
    </row>
    <row r="920" spans="14:14" ht="15.75" customHeight="1" x14ac:dyDescent="0.25">
      <c r="N920" s="208"/>
    </row>
    <row r="921" spans="14:14" ht="15.75" customHeight="1" x14ac:dyDescent="0.25">
      <c r="N921" s="208"/>
    </row>
    <row r="922" spans="14:14" ht="15.75" customHeight="1" x14ac:dyDescent="0.25">
      <c r="N922" s="208"/>
    </row>
    <row r="923" spans="14:14" ht="15.75" customHeight="1" x14ac:dyDescent="0.25">
      <c r="N923" s="208"/>
    </row>
    <row r="924" spans="14:14" ht="15.75" customHeight="1" x14ac:dyDescent="0.25">
      <c r="N924" s="208"/>
    </row>
    <row r="925" spans="14:14" ht="15.75" customHeight="1" x14ac:dyDescent="0.25">
      <c r="N925" s="208"/>
    </row>
    <row r="926" spans="14:14" ht="15.75" customHeight="1" x14ac:dyDescent="0.25">
      <c r="N926" s="208"/>
    </row>
    <row r="927" spans="14:14" ht="15.75" customHeight="1" x14ac:dyDescent="0.25">
      <c r="N927" s="208"/>
    </row>
    <row r="928" spans="14:14" ht="15.75" customHeight="1" x14ac:dyDescent="0.25">
      <c r="N928" s="208"/>
    </row>
    <row r="929" spans="14:14" ht="15.75" customHeight="1" x14ac:dyDescent="0.25">
      <c r="N929" s="208"/>
    </row>
    <row r="930" spans="14:14" ht="15.75" customHeight="1" x14ac:dyDescent="0.25">
      <c r="N930" s="208"/>
    </row>
    <row r="931" spans="14:14" ht="15.75" customHeight="1" x14ac:dyDescent="0.25">
      <c r="N931" s="208"/>
    </row>
    <row r="932" spans="14:14" ht="15.75" customHeight="1" x14ac:dyDescent="0.25">
      <c r="N932" s="208"/>
    </row>
    <row r="933" spans="14:14" ht="15.75" customHeight="1" x14ac:dyDescent="0.25">
      <c r="N933" s="208"/>
    </row>
    <row r="934" spans="14:14" ht="15.75" customHeight="1" x14ac:dyDescent="0.25">
      <c r="N934" s="208"/>
    </row>
    <row r="935" spans="14:14" ht="15.75" customHeight="1" x14ac:dyDescent="0.25">
      <c r="N935" s="208"/>
    </row>
    <row r="936" spans="14:14" ht="15.75" customHeight="1" x14ac:dyDescent="0.25">
      <c r="N936" s="208"/>
    </row>
    <row r="937" spans="14:14" ht="15.75" customHeight="1" x14ac:dyDescent="0.25">
      <c r="N937" s="208"/>
    </row>
    <row r="938" spans="14:14" ht="15.75" customHeight="1" x14ac:dyDescent="0.25">
      <c r="N938" s="208"/>
    </row>
    <row r="939" spans="14:14" ht="15.75" customHeight="1" x14ac:dyDescent="0.25">
      <c r="N939" s="208"/>
    </row>
    <row r="940" spans="14:14" ht="15.75" customHeight="1" x14ac:dyDescent="0.25">
      <c r="N940" s="208"/>
    </row>
    <row r="941" spans="14:14" ht="15.75" customHeight="1" x14ac:dyDescent="0.25">
      <c r="N941" s="208"/>
    </row>
    <row r="942" spans="14:14" ht="15.75" customHeight="1" x14ac:dyDescent="0.25">
      <c r="N942" s="208"/>
    </row>
    <row r="943" spans="14:14" ht="15.75" customHeight="1" x14ac:dyDescent="0.25">
      <c r="N943" s="208"/>
    </row>
    <row r="944" spans="14:14" ht="15.75" customHeight="1" x14ac:dyDescent="0.25">
      <c r="N944" s="208"/>
    </row>
    <row r="945" spans="14:14" ht="15.75" customHeight="1" x14ac:dyDescent="0.25">
      <c r="N945" s="208"/>
    </row>
    <row r="946" spans="14:14" ht="15.75" customHeight="1" x14ac:dyDescent="0.25">
      <c r="N946" s="208"/>
    </row>
    <row r="947" spans="14:14" ht="15.75" customHeight="1" x14ac:dyDescent="0.25">
      <c r="N947" s="208"/>
    </row>
    <row r="948" spans="14:14" ht="15.75" customHeight="1" x14ac:dyDescent="0.25">
      <c r="N948" s="208"/>
    </row>
    <row r="949" spans="14:14" ht="15.75" customHeight="1" x14ac:dyDescent="0.25">
      <c r="N949" s="208"/>
    </row>
    <row r="950" spans="14:14" ht="15.75" customHeight="1" x14ac:dyDescent="0.25">
      <c r="N950" s="208"/>
    </row>
    <row r="951" spans="14:14" ht="15.75" customHeight="1" x14ac:dyDescent="0.25">
      <c r="N951" s="208"/>
    </row>
    <row r="952" spans="14:14" ht="15.75" customHeight="1" x14ac:dyDescent="0.25">
      <c r="N952" s="208"/>
    </row>
    <row r="953" spans="14:14" ht="15.75" customHeight="1" x14ac:dyDescent="0.25">
      <c r="N953" s="208"/>
    </row>
    <row r="954" spans="14:14" ht="15.75" customHeight="1" x14ac:dyDescent="0.25">
      <c r="N954" s="208"/>
    </row>
    <row r="955" spans="14:14" ht="15.75" customHeight="1" x14ac:dyDescent="0.25">
      <c r="N955" s="208"/>
    </row>
    <row r="956" spans="14:14" ht="15.75" customHeight="1" x14ac:dyDescent="0.25">
      <c r="N956" s="208"/>
    </row>
    <row r="957" spans="14:14" ht="15.75" customHeight="1" x14ac:dyDescent="0.25">
      <c r="N957" s="208"/>
    </row>
    <row r="958" spans="14:14" ht="15.75" customHeight="1" x14ac:dyDescent="0.25">
      <c r="N958" s="208"/>
    </row>
    <row r="959" spans="14:14" ht="15.75" customHeight="1" x14ac:dyDescent="0.25">
      <c r="N959" s="208"/>
    </row>
    <row r="960" spans="14:14" ht="15.75" customHeight="1" x14ac:dyDescent="0.25">
      <c r="N960" s="208"/>
    </row>
    <row r="961" spans="14:14" ht="15.75" customHeight="1" x14ac:dyDescent="0.25">
      <c r="N961" s="208"/>
    </row>
    <row r="962" spans="14:14" ht="15.75" customHeight="1" x14ac:dyDescent="0.25">
      <c r="N962" s="208"/>
    </row>
    <row r="963" spans="14:14" ht="15.75" customHeight="1" x14ac:dyDescent="0.25">
      <c r="N963" s="208"/>
    </row>
    <row r="964" spans="14:14" ht="15.75" customHeight="1" x14ac:dyDescent="0.25">
      <c r="N964" s="208"/>
    </row>
    <row r="965" spans="14:14" ht="15.75" customHeight="1" x14ac:dyDescent="0.25">
      <c r="N965" s="208"/>
    </row>
    <row r="966" spans="14:14" ht="15.75" customHeight="1" x14ac:dyDescent="0.25">
      <c r="N966" s="208"/>
    </row>
    <row r="967" spans="14:14" ht="15.75" customHeight="1" x14ac:dyDescent="0.25">
      <c r="N967" s="208"/>
    </row>
    <row r="968" spans="14:14" ht="15.75" customHeight="1" x14ac:dyDescent="0.25">
      <c r="N968" s="208"/>
    </row>
    <row r="969" spans="14:14" ht="15.75" customHeight="1" x14ac:dyDescent="0.25">
      <c r="N969" s="208"/>
    </row>
    <row r="970" spans="14:14" ht="15.75" customHeight="1" x14ac:dyDescent="0.25">
      <c r="N970" s="208"/>
    </row>
    <row r="971" spans="14:14" ht="15.75" customHeight="1" x14ac:dyDescent="0.25">
      <c r="N971" s="208"/>
    </row>
    <row r="972" spans="14:14" ht="15.75" customHeight="1" x14ac:dyDescent="0.25">
      <c r="N972" s="208"/>
    </row>
    <row r="973" spans="14:14" ht="15.75" customHeight="1" x14ac:dyDescent="0.25">
      <c r="N973" s="208"/>
    </row>
    <row r="974" spans="14:14" ht="15.75" customHeight="1" x14ac:dyDescent="0.25">
      <c r="N974" s="208"/>
    </row>
    <row r="975" spans="14:14" ht="15.75" customHeight="1" x14ac:dyDescent="0.25">
      <c r="N975" s="208"/>
    </row>
    <row r="976" spans="14:14" ht="15.75" customHeight="1" x14ac:dyDescent="0.25">
      <c r="N976" s="208"/>
    </row>
    <row r="977" spans="14:14" ht="15.75" customHeight="1" x14ac:dyDescent="0.25">
      <c r="N977" s="208"/>
    </row>
    <row r="978" spans="14:14" ht="15.75" customHeight="1" x14ac:dyDescent="0.25">
      <c r="N978" s="208"/>
    </row>
    <row r="979" spans="14:14" ht="15.75" customHeight="1" x14ac:dyDescent="0.25">
      <c r="N979" s="208"/>
    </row>
    <row r="980" spans="14:14" ht="15.75" customHeight="1" x14ac:dyDescent="0.25">
      <c r="N980" s="208"/>
    </row>
    <row r="981" spans="14:14" ht="15.75" customHeight="1" x14ac:dyDescent="0.25">
      <c r="N981" s="208"/>
    </row>
    <row r="982" spans="14:14" ht="15.75" customHeight="1" x14ac:dyDescent="0.25">
      <c r="N982" s="208"/>
    </row>
    <row r="983" spans="14:14" ht="15.75" customHeight="1" x14ac:dyDescent="0.25">
      <c r="N983" s="208"/>
    </row>
    <row r="984" spans="14:14" ht="15.75" customHeight="1" x14ac:dyDescent="0.25">
      <c r="N984" s="208"/>
    </row>
    <row r="985" spans="14:14" ht="15.75" customHeight="1" x14ac:dyDescent="0.25">
      <c r="N985" s="208"/>
    </row>
    <row r="986" spans="14:14" ht="15.75" customHeight="1" x14ac:dyDescent="0.25">
      <c r="N986" s="208"/>
    </row>
    <row r="987" spans="14:14" ht="15.75" customHeight="1" x14ac:dyDescent="0.25">
      <c r="N987" s="208"/>
    </row>
    <row r="988" spans="14:14" ht="15.75" customHeight="1" x14ac:dyDescent="0.25">
      <c r="N988" s="208"/>
    </row>
    <row r="989" spans="14:14" ht="15.75" customHeight="1" x14ac:dyDescent="0.25">
      <c r="N989" s="208"/>
    </row>
    <row r="990" spans="14:14" ht="15.75" customHeight="1" x14ac:dyDescent="0.25">
      <c r="N990" s="208"/>
    </row>
    <row r="991" spans="14:14" ht="15.75" customHeight="1" x14ac:dyDescent="0.25">
      <c r="N991" s="208"/>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28:AV28"/>
    <mergeCell ref="AD29:AJ29"/>
    <mergeCell ref="AL29:AV29"/>
    <mergeCell ref="AD31:AJ31"/>
    <mergeCell ref="AL31:AV31"/>
    <mergeCell ref="C29:E29"/>
    <mergeCell ref="C31:E31"/>
    <mergeCell ref="H7:H8"/>
    <mergeCell ref="I7:I8"/>
    <mergeCell ref="I29:Z29"/>
    <mergeCell ref="I31:Z31"/>
    <mergeCell ref="M6:M8"/>
    <mergeCell ref="N6:N8"/>
    <mergeCell ref="O6:O8"/>
    <mergeCell ref="T6:T8"/>
    <mergeCell ref="P7:P8"/>
    <mergeCell ref="Q7:Q8"/>
    <mergeCell ref="R7:R8"/>
    <mergeCell ref="S7:S8"/>
    <mergeCell ref="V6:V8"/>
    <mergeCell ref="Z7:Z8"/>
    <mergeCell ref="B5:B9"/>
    <mergeCell ref="G7:G8"/>
    <mergeCell ref="Y7:Y8"/>
    <mergeCell ref="A26:C26"/>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27"/>
      <c r="B1" s="483"/>
      <c r="C1" s="629" t="s">
        <v>229</v>
      </c>
      <c r="D1" s="483"/>
      <c r="E1" s="483"/>
      <c r="F1" s="467"/>
      <c r="G1" s="206"/>
      <c r="H1" s="206"/>
      <c r="I1" s="631" t="s">
        <v>230</v>
      </c>
      <c r="J1" s="476"/>
      <c r="K1" s="476"/>
      <c r="L1" s="476"/>
      <c r="M1" s="476"/>
      <c r="N1" s="476"/>
      <c r="O1" s="476"/>
      <c r="P1" s="476"/>
      <c r="Q1" s="254"/>
      <c r="R1" s="206"/>
      <c r="S1" s="206"/>
      <c r="T1" s="255"/>
      <c r="U1" s="206"/>
      <c r="V1" s="206"/>
    </row>
    <row r="2" spans="1:22" ht="20.25" customHeight="1" x14ac:dyDescent="0.25">
      <c r="A2" s="484"/>
      <c r="B2" s="476"/>
      <c r="C2" s="476"/>
      <c r="D2" s="476"/>
      <c r="E2" s="476"/>
      <c r="F2" s="630"/>
      <c r="G2" s="206"/>
      <c r="H2" s="206"/>
      <c r="I2" s="476"/>
      <c r="J2" s="476"/>
      <c r="K2" s="476"/>
      <c r="L2" s="476"/>
      <c r="M2" s="476"/>
      <c r="N2" s="476"/>
      <c r="O2" s="476"/>
      <c r="P2" s="476"/>
      <c r="Q2" s="254"/>
      <c r="R2" s="206"/>
      <c r="S2" s="206"/>
      <c r="T2" s="255"/>
      <c r="U2" s="206"/>
      <c r="V2" s="206"/>
    </row>
    <row r="3" spans="1:22" ht="20.25" customHeight="1" x14ac:dyDescent="0.25">
      <c r="A3" s="468"/>
      <c r="B3" s="628"/>
      <c r="C3" s="628"/>
      <c r="D3" s="628"/>
      <c r="E3" s="628"/>
      <c r="F3" s="469"/>
      <c r="G3" s="206"/>
      <c r="H3" s="206"/>
      <c r="I3" s="476"/>
      <c r="J3" s="476"/>
      <c r="K3" s="476"/>
      <c r="L3" s="476"/>
      <c r="M3" s="476"/>
      <c r="N3" s="476"/>
      <c r="O3" s="476"/>
      <c r="P3" s="476"/>
      <c r="Q3" s="254"/>
      <c r="R3" s="206"/>
      <c r="S3" s="206"/>
      <c r="T3" s="255"/>
      <c r="U3" s="206"/>
      <c r="V3" s="206"/>
    </row>
    <row r="4" spans="1:22" ht="27.75" customHeight="1" x14ac:dyDescent="0.25">
      <c r="A4" s="568" t="s">
        <v>1</v>
      </c>
      <c r="B4" s="568" t="s">
        <v>231</v>
      </c>
      <c r="C4" s="568" t="s">
        <v>41</v>
      </c>
      <c r="D4" s="568" t="s">
        <v>232</v>
      </c>
      <c r="E4" s="568" t="s">
        <v>233</v>
      </c>
      <c r="F4" s="568" t="s">
        <v>234</v>
      </c>
      <c r="G4" s="626" t="s">
        <v>235</v>
      </c>
      <c r="H4" s="633" t="s">
        <v>236</v>
      </c>
      <c r="I4" s="535"/>
      <c r="J4" s="536"/>
      <c r="K4" s="633" t="s">
        <v>237</v>
      </c>
      <c r="L4" s="535"/>
      <c r="M4" s="634"/>
      <c r="N4" s="632" t="s">
        <v>238</v>
      </c>
      <c r="O4" s="632" t="s">
        <v>239</v>
      </c>
      <c r="P4" s="633" t="s">
        <v>240</v>
      </c>
      <c r="Q4" s="535"/>
      <c r="R4" s="535"/>
      <c r="S4" s="535"/>
      <c r="T4" s="536"/>
      <c r="U4" s="626" t="s">
        <v>241</v>
      </c>
      <c r="V4" s="626" t="s">
        <v>242</v>
      </c>
    </row>
    <row r="5" spans="1:22" ht="18.75" customHeight="1" x14ac:dyDescent="0.25">
      <c r="A5" s="602"/>
      <c r="B5" s="602"/>
      <c r="C5" s="602"/>
      <c r="D5" s="602"/>
      <c r="E5" s="602"/>
      <c r="F5" s="602"/>
      <c r="G5" s="602"/>
      <c r="H5" s="632" t="s">
        <v>143</v>
      </c>
      <c r="I5" s="632" t="s">
        <v>243</v>
      </c>
      <c r="J5" s="632" t="s">
        <v>145</v>
      </c>
      <c r="K5" s="632" t="s">
        <v>244</v>
      </c>
      <c r="L5" s="632" t="s">
        <v>245</v>
      </c>
      <c r="M5" s="632" t="s">
        <v>246</v>
      </c>
      <c r="N5" s="602"/>
      <c r="O5" s="602"/>
      <c r="P5" s="626" t="s">
        <v>213</v>
      </c>
      <c r="Q5" s="638" t="s">
        <v>247</v>
      </c>
      <c r="R5" s="536"/>
      <c r="S5" s="626" t="s">
        <v>248</v>
      </c>
      <c r="T5" s="626" t="s">
        <v>249</v>
      </c>
      <c r="U5" s="602"/>
      <c r="V5" s="602"/>
    </row>
    <row r="6" spans="1:22" ht="18.75" customHeight="1" x14ac:dyDescent="0.25">
      <c r="A6" s="569"/>
      <c r="B6" s="569"/>
      <c r="C6" s="569"/>
      <c r="D6" s="569"/>
      <c r="E6" s="569"/>
      <c r="F6" s="569"/>
      <c r="G6" s="569"/>
      <c r="H6" s="569"/>
      <c r="I6" s="569"/>
      <c r="J6" s="569"/>
      <c r="K6" s="569"/>
      <c r="L6" s="569"/>
      <c r="M6" s="569"/>
      <c r="N6" s="569"/>
      <c r="O6" s="569"/>
      <c r="P6" s="569"/>
      <c r="Q6" s="256" t="s">
        <v>250</v>
      </c>
      <c r="R6" s="257" t="s">
        <v>251</v>
      </c>
      <c r="S6" s="569"/>
      <c r="T6" s="569"/>
      <c r="U6" s="569"/>
      <c r="V6" s="569"/>
    </row>
    <row r="7" spans="1:22" ht="33" customHeight="1" x14ac:dyDescent="0.25">
      <c r="A7" s="258">
        <v>1</v>
      </c>
      <c r="B7" s="259" t="s">
        <v>101</v>
      </c>
      <c r="C7" s="260" t="s">
        <v>39</v>
      </c>
      <c r="D7" s="260" t="s">
        <v>252</v>
      </c>
      <c r="E7" s="261" t="s">
        <v>253</v>
      </c>
      <c r="F7" s="34"/>
      <c r="G7" s="262" t="e">
        <f>VLOOKUP(B7,'6.Bảng lương  '!$B$16:$AW30,34,0)</f>
        <v>#N/A</v>
      </c>
      <c r="H7" s="262" t="e">
        <f>VLOOKUP(B7,'6.Bảng lương  '!$B$16:$AW30,25,0)</f>
        <v>#N/A</v>
      </c>
      <c r="I7" s="262" t="e">
        <f>VLOOKUP(B7, '6.Bảng lương  '!$B$16:$AW30, 26,0)</f>
        <v>#N/A</v>
      </c>
      <c r="J7" s="262" t="e">
        <f>VLOOKUP(B7, '6.Bảng lương  '!$B$16:$AW30,27,0)</f>
        <v>#N/A</v>
      </c>
      <c r="K7" s="262" t="e">
        <f>VLOOKUP(B7, '6.Bảng lương  '!$B$16:$AW30, 29,0)</f>
        <v>#N/A</v>
      </c>
      <c r="L7" s="262" t="e">
        <f>VLOOKUP(B7, '6.Bảng lương  '!$B$16:$AW30, 31,0)</f>
        <v>#N/A</v>
      </c>
      <c r="M7" s="262" t="e">
        <f>VLOOKUP(B7, '6.Bảng lương  '!$B$16:$AW30, 30,0)</f>
        <v>#N/A</v>
      </c>
      <c r="N7" s="262" t="e">
        <f t="shared" ref="N7:N10" si="0">SUM(H7:M7)</f>
        <v>#N/A</v>
      </c>
      <c r="O7" s="262" t="e">
        <f t="shared" ref="O7:O10" si="1">G7-H7-I7-J7</f>
        <v>#N/A</v>
      </c>
      <c r="P7" s="262" t="e">
        <f>VLOOKUP(B7, '6.Bảng lương  '!$B$16:$AW30,44,0)</f>
        <v>#N/A</v>
      </c>
      <c r="Q7" s="263" t="e">
        <f>VLOOKUP(B7, '6.Bảng lương  '!$B$16:$AW30,45,0)</f>
        <v>#N/A</v>
      </c>
      <c r="R7" s="264" t="e">
        <f t="shared" ref="R7:R10" si="2">Q7*4400000</f>
        <v>#N/A</v>
      </c>
      <c r="S7" s="264" t="e">
        <f t="shared" ref="S7:S10" si="3">+P7+R7</f>
        <v>#N/A</v>
      </c>
      <c r="T7" s="264" t="e">
        <f>VLOOKUP(B7, '6.Bảng lương  '!$B$16:$AW30,43,0)</f>
        <v>#N/A</v>
      </c>
      <c r="U7" s="264">
        <v>0</v>
      </c>
      <c r="V7" s="264">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8">
        <v>2</v>
      </c>
      <c r="B8" s="265" t="s">
        <v>46</v>
      </c>
      <c r="C8" s="260" t="s">
        <v>47</v>
      </c>
      <c r="D8" s="260" t="s">
        <v>252</v>
      </c>
      <c r="E8" s="261" t="s">
        <v>254</v>
      </c>
      <c r="F8" s="34"/>
      <c r="G8" s="262" t="e">
        <f>VLOOKUP(B8,'6.Bảng lương  '!$B$16:$AW30,34,0)</f>
        <v>#N/A</v>
      </c>
      <c r="H8" s="262" t="e">
        <f>VLOOKUP(B8,'6.Bảng lương  '!$B$16:$AW30,25,0)</f>
        <v>#N/A</v>
      </c>
      <c r="I8" s="262" t="e">
        <f>VLOOKUP(B8, '6.Bảng lương  '!$B$16:$AW30, 26,0)</f>
        <v>#N/A</v>
      </c>
      <c r="J8" s="262" t="e">
        <f>VLOOKUP(B8, '6.Bảng lương  '!$B$16:$AW30,27,0)</f>
        <v>#N/A</v>
      </c>
      <c r="K8" s="262" t="e">
        <f>VLOOKUP(B8, '6.Bảng lương  '!$B$16:$AW30, 29,0)</f>
        <v>#N/A</v>
      </c>
      <c r="L8" s="262" t="e">
        <f>VLOOKUP(B8, '6.Bảng lương  '!$B$16:$AW30, 31,0)</f>
        <v>#N/A</v>
      </c>
      <c r="M8" s="262" t="e">
        <f>VLOOKUP(B8, '6.Bảng lương  '!$B$16:$AW30, 30,0)</f>
        <v>#N/A</v>
      </c>
      <c r="N8" s="262" t="e">
        <f t="shared" si="0"/>
        <v>#N/A</v>
      </c>
      <c r="O8" s="262" t="e">
        <f t="shared" si="1"/>
        <v>#N/A</v>
      </c>
      <c r="P8" s="262" t="e">
        <f>VLOOKUP(B8, '6.Bảng lương  '!$B$16:$AW30,44,0)</f>
        <v>#N/A</v>
      </c>
      <c r="Q8" s="263" t="e">
        <f>VLOOKUP(B8, '6.Bảng lương  '!$B$16:$AW30,45,0)</f>
        <v>#N/A</v>
      </c>
      <c r="R8" s="264" t="e">
        <f t="shared" si="2"/>
        <v>#N/A</v>
      </c>
      <c r="S8" s="264" t="e">
        <f t="shared" si="3"/>
        <v>#N/A</v>
      </c>
      <c r="T8" s="264" t="e">
        <f>VLOOKUP(B8, '6.Bảng lương  '!$B$16:$AW30,43,0)</f>
        <v>#N/A</v>
      </c>
      <c r="U8" s="264" t="e">
        <f>O8-S8-T8</f>
        <v>#N/A</v>
      </c>
      <c r="V8" s="264" t="e">
        <f t="shared" si="4"/>
        <v>#N/A</v>
      </c>
    </row>
    <row r="9" spans="1:22" ht="27" customHeight="1" x14ac:dyDescent="0.25">
      <c r="A9" s="258">
        <v>3</v>
      </c>
      <c r="B9" s="265" t="s">
        <v>48</v>
      </c>
      <c r="C9" s="260" t="s">
        <v>255</v>
      </c>
      <c r="D9" s="260" t="s">
        <v>252</v>
      </c>
      <c r="E9" s="261" t="s">
        <v>102</v>
      </c>
      <c r="F9" s="34"/>
      <c r="G9" s="262" t="e">
        <f>VLOOKUP(B9,'6.Bảng lương  '!$B$16:$AW30,34,0)</f>
        <v>#N/A</v>
      </c>
      <c r="H9" s="262" t="e">
        <f>VLOOKUP(B9,'6.Bảng lương  '!$B$16:$AW30,25,0)</f>
        <v>#N/A</v>
      </c>
      <c r="I9" s="262" t="e">
        <f>VLOOKUP(B9, '6.Bảng lương  '!$B$16:$AW30, 26,0)</f>
        <v>#N/A</v>
      </c>
      <c r="J9" s="262" t="e">
        <f>VLOOKUP(B9, '6.Bảng lương  '!$B$16:$AW30,27,0)</f>
        <v>#N/A</v>
      </c>
      <c r="K9" s="262" t="e">
        <f>VLOOKUP(B9, '6.Bảng lương  '!$B$16:$AW30, 29,0)</f>
        <v>#N/A</v>
      </c>
      <c r="L9" s="262" t="e">
        <f>VLOOKUP(B9, '6.Bảng lương  '!$B$16:$AW30, 31,0)</f>
        <v>#N/A</v>
      </c>
      <c r="M9" s="262" t="e">
        <f>VLOOKUP(B9, '6.Bảng lương  '!$B$16:$AW30, 30,0)</f>
        <v>#N/A</v>
      </c>
      <c r="N9" s="262" t="e">
        <f t="shared" si="0"/>
        <v>#N/A</v>
      </c>
      <c r="O9" s="262" t="e">
        <f t="shared" si="1"/>
        <v>#N/A</v>
      </c>
      <c r="P9" s="262" t="e">
        <f>VLOOKUP(B9, '6.Bảng lương  '!$B$16:$AW30,44,0)</f>
        <v>#N/A</v>
      </c>
      <c r="Q9" s="263" t="e">
        <f>VLOOKUP(B9, '6.Bảng lương  '!$B$16:$AW30,45,0)</f>
        <v>#N/A</v>
      </c>
      <c r="R9" s="264" t="e">
        <f t="shared" si="2"/>
        <v>#N/A</v>
      </c>
      <c r="S9" s="264" t="e">
        <f t="shared" si="3"/>
        <v>#N/A</v>
      </c>
      <c r="T9" s="264" t="e">
        <f>VLOOKUP(B9, '6.Bảng lương  '!$B$16:$AW30,43,0)</f>
        <v>#N/A</v>
      </c>
      <c r="U9" s="264">
        <v>0</v>
      </c>
      <c r="V9" s="264">
        <f t="shared" si="4"/>
        <v>0</v>
      </c>
    </row>
    <row r="10" spans="1:22" ht="30" customHeight="1" x14ac:dyDescent="0.25">
      <c r="A10" s="258">
        <v>4</v>
      </c>
      <c r="B10" s="266" t="s">
        <v>256</v>
      </c>
      <c r="C10" s="266" t="s">
        <v>257</v>
      </c>
      <c r="D10" s="260" t="s">
        <v>252</v>
      </c>
      <c r="E10" s="267" t="s">
        <v>258</v>
      </c>
      <c r="F10" s="258"/>
      <c r="G10" s="262" t="e">
        <f>VLOOKUP(B10,'6.Bảng lương  '!$B$16:$AW30,34,0)</f>
        <v>#N/A</v>
      </c>
      <c r="H10" s="262" t="e">
        <f>VLOOKUP(B10,'6.Bảng lương  '!$B$16:$AW30,25,0)</f>
        <v>#N/A</v>
      </c>
      <c r="I10" s="262" t="e">
        <f>VLOOKUP(B10, '6.Bảng lương  '!$B$16:$AW30, 26,0)</f>
        <v>#N/A</v>
      </c>
      <c r="J10" s="262" t="e">
        <f>VLOOKUP(B10, '6.Bảng lương  '!$B$16:$AW30,27,0)</f>
        <v>#N/A</v>
      </c>
      <c r="K10" s="262" t="e">
        <f>VLOOKUP(B10, '6.Bảng lương  '!$B$16:$AW30, 29,0)</f>
        <v>#N/A</v>
      </c>
      <c r="L10" s="262" t="e">
        <f>VLOOKUP(B10, '6.Bảng lương  '!$B$16:$AW30, 31,0)</f>
        <v>#N/A</v>
      </c>
      <c r="M10" s="262" t="e">
        <f>VLOOKUP(B10, '6.Bảng lương  '!$B$16:$AW30, 30,0)</f>
        <v>#N/A</v>
      </c>
      <c r="N10" s="262" t="e">
        <f t="shared" si="0"/>
        <v>#N/A</v>
      </c>
      <c r="O10" s="262" t="e">
        <f t="shared" si="1"/>
        <v>#N/A</v>
      </c>
      <c r="P10" s="262" t="e">
        <f>VLOOKUP(B10, '6.Bảng lương  '!$B$16:$AW30,44,0)</f>
        <v>#N/A</v>
      </c>
      <c r="Q10" s="263" t="e">
        <f>VLOOKUP(B10, '6.Bảng lương  '!$B$16:$AW30,45,0)</f>
        <v>#N/A</v>
      </c>
      <c r="R10" s="264" t="e">
        <f t="shared" si="2"/>
        <v>#N/A</v>
      </c>
      <c r="S10" s="264" t="e">
        <f t="shared" si="3"/>
        <v>#N/A</v>
      </c>
      <c r="T10" s="264" t="e">
        <f>VLOOKUP(B10, '6.Bảng lương  '!$B$16:$AW30,43,0)</f>
        <v>#N/A</v>
      </c>
      <c r="U10" s="264">
        <v>0</v>
      </c>
      <c r="V10" s="264">
        <f t="shared" si="4"/>
        <v>0</v>
      </c>
    </row>
    <row r="11" spans="1:22" ht="20.25" customHeight="1" x14ac:dyDescent="0.25">
      <c r="A11" s="625" t="s">
        <v>259</v>
      </c>
      <c r="B11" s="535"/>
      <c r="C11" s="536"/>
      <c r="D11" s="268"/>
      <c r="E11" s="268"/>
      <c r="F11" s="33"/>
      <c r="G11" s="269" t="e">
        <f t="shared" ref="G11:V11" si="5">SUBTOTAL(9,G7:G10)</f>
        <v>#N/A</v>
      </c>
      <c r="H11" s="269" t="e">
        <f t="shared" si="5"/>
        <v>#N/A</v>
      </c>
      <c r="I11" s="269" t="e">
        <f t="shared" si="5"/>
        <v>#N/A</v>
      </c>
      <c r="J11" s="269" t="e">
        <f t="shared" si="5"/>
        <v>#N/A</v>
      </c>
      <c r="K11" s="269" t="e">
        <f t="shared" si="5"/>
        <v>#N/A</v>
      </c>
      <c r="L11" s="269" t="e">
        <f t="shared" si="5"/>
        <v>#N/A</v>
      </c>
      <c r="M11" s="269" t="e">
        <f t="shared" si="5"/>
        <v>#N/A</v>
      </c>
      <c r="N11" s="269" t="e">
        <f t="shared" si="5"/>
        <v>#N/A</v>
      </c>
      <c r="O11" s="269" t="e">
        <f t="shared" si="5"/>
        <v>#N/A</v>
      </c>
      <c r="P11" s="269" t="e">
        <f t="shared" si="5"/>
        <v>#N/A</v>
      </c>
      <c r="Q11" s="269" t="e">
        <f t="shared" si="5"/>
        <v>#N/A</v>
      </c>
      <c r="R11" s="269" t="e">
        <f t="shared" si="5"/>
        <v>#N/A</v>
      </c>
      <c r="S11" s="269" t="e">
        <f t="shared" si="5"/>
        <v>#N/A</v>
      </c>
      <c r="T11" s="269" t="e">
        <f t="shared" si="5"/>
        <v>#N/A</v>
      </c>
      <c r="U11" s="269" t="e">
        <f t="shared" si="5"/>
        <v>#N/A</v>
      </c>
      <c r="V11" s="269" t="e">
        <f t="shared" si="5"/>
        <v>#N/A</v>
      </c>
    </row>
    <row r="12" spans="1:22" ht="25.5" customHeight="1" x14ac:dyDescent="0.25">
      <c r="A12" s="270"/>
      <c r="B12" s="270"/>
      <c r="C12" s="271"/>
      <c r="D12" s="271"/>
      <c r="E12" s="272"/>
      <c r="F12" s="272"/>
      <c r="G12" s="273"/>
      <c r="H12" s="274"/>
      <c r="I12" s="274"/>
      <c r="J12" s="274"/>
      <c r="K12" s="274"/>
      <c r="L12" s="274"/>
      <c r="M12" s="274"/>
      <c r="N12" s="274"/>
      <c r="O12" s="273"/>
      <c r="P12" s="274"/>
      <c r="Q12" s="635" t="s">
        <v>260</v>
      </c>
      <c r="R12" s="476"/>
      <c r="S12" s="476"/>
      <c r="T12" s="476"/>
      <c r="U12" s="476"/>
      <c r="V12" s="476"/>
    </row>
    <row r="13" spans="1:22" ht="20.25" customHeight="1" x14ac:dyDescent="0.3">
      <c r="A13" s="44"/>
      <c r="B13" s="44"/>
      <c r="C13" s="44"/>
      <c r="D13" s="600" t="s">
        <v>52</v>
      </c>
      <c r="E13" s="476"/>
      <c r="F13" s="476"/>
      <c r="G13" s="476"/>
      <c r="H13" s="564" t="s">
        <v>261</v>
      </c>
      <c r="I13" s="476"/>
      <c r="J13" s="476"/>
      <c r="K13" s="476"/>
      <c r="L13" s="476"/>
      <c r="M13" s="44"/>
      <c r="N13" s="551" t="s">
        <v>262</v>
      </c>
      <c r="O13" s="476"/>
      <c r="P13" s="476"/>
      <c r="Q13" s="636" t="s">
        <v>263</v>
      </c>
      <c r="R13" s="476"/>
      <c r="S13" s="476"/>
      <c r="T13" s="476"/>
      <c r="U13" s="476"/>
      <c r="V13" s="476"/>
    </row>
    <row r="14" spans="1:22" ht="20.25" customHeight="1" x14ac:dyDescent="0.3">
      <c r="A14" s="242"/>
      <c r="B14" s="242"/>
      <c r="C14" s="275"/>
      <c r="D14" s="275"/>
      <c r="E14" s="46"/>
      <c r="F14" s="44"/>
      <c r="G14" s="46"/>
      <c r="H14" s="39"/>
      <c r="I14" s="242"/>
      <c r="J14" s="242"/>
      <c r="K14" s="242"/>
      <c r="L14" s="242"/>
      <c r="M14" s="242"/>
      <c r="N14" s="274"/>
      <c r="O14" s="273"/>
      <c r="P14" s="274"/>
      <c r="Q14" s="276"/>
      <c r="R14" s="277"/>
      <c r="S14" s="277"/>
      <c r="T14" s="242"/>
      <c r="U14" s="278"/>
      <c r="V14" s="274"/>
    </row>
    <row r="15" spans="1:22" ht="20.25" customHeight="1" x14ac:dyDescent="0.3">
      <c r="A15" s="242"/>
      <c r="B15" s="242"/>
      <c r="C15" s="275"/>
      <c r="D15" s="275"/>
      <c r="E15" s="46"/>
      <c r="F15" s="44"/>
      <c r="G15" s="46"/>
      <c r="H15" s="39"/>
      <c r="I15" s="242"/>
      <c r="J15" s="242"/>
      <c r="K15" s="242"/>
      <c r="L15" s="242"/>
      <c r="M15" s="242"/>
      <c r="N15" s="274"/>
      <c r="O15" s="273"/>
      <c r="P15" s="274"/>
      <c r="Q15" s="276"/>
      <c r="R15" s="277"/>
      <c r="S15" s="277"/>
      <c r="T15" s="242"/>
      <c r="U15" s="278"/>
      <c r="V15" s="274"/>
    </row>
    <row r="16" spans="1:22" ht="20.25" customHeight="1" x14ac:dyDescent="0.3">
      <c r="A16" s="45"/>
      <c r="B16" s="45"/>
      <c r="C16" s="275"/>
      <c r="D16" s="275"/>
      <c r="E16" s="46"/>
      <c r="F16" s="250"/>
      <c r="G16" s="46"/>
      <c r="H16" s="39"/>
      <c r="I16" s="279"/>
      <c r="J16" s="279"/>
      <c r="K16" s="279"/>
      <c r="L16" s="279"/>
      <c r="M16" s="279"/>
      <c r="N16" s="274"/>
      <c r="O16" s="273"/>
      <c r="P16" s="274"/>
      <c r="Q16" s="280"/>
      <c r="R16" s="281"/>
      <c r="S16" s="281"/>
      <c r="T16" s="279"/>
      <c r="U16" s="278"/>
      <c r="V16" s="274"/>
    </row>
    <row r="17" spans="1:22" ht="20.25" customHeight="1" x14ac:dyDescent="0.3">
      <c r="A17" s="45"/>
      <c r="B17" s="45"/>
      <c r="C17" s="275"/>
      <c r="D17" s="275"/>
      <c r="E17" s="46"/>
      <c r="F17" s="250"/>
      <c r="G17" s="46"/>
      <c r="H17" s="39"/>
      <c r="I17" s="279"/>
      <c r="J17" s="279"/>
      <c r="K17" s="279"/>
      <c r="L17" s="279"/>
      <c r="M17" s="279"/>
      <c r="N17" s="274"/>
      <c r="O17" s="273"/>
      <c r="P17" s="274"/>
      <c r="Q17" s="280"/>
      <c r="R17" s="281"/>
      <c r="S17" s="281"/>
      <c r="T17" s="279"/>
      <c r="U17" s="278"/>
      <c r="V17" s="274"/>
    </row>
    <row r="18" spans="1:22" ht="20.25" customHeight="1" x14ac:dyDescent="0.3">
      <c r="A18" s="45"/>
      <c r="B18" s="45"/>
      <c r="C18" s="275"/>
      <c r="D18" s="275"/>
      <c r="E18" s="46"/>
      <c r="F18" s="250"/>
      <c r="G18" s="46"/>
      <c r="H18" s="551"/>
      <c r="I18" s="476"/>
      <c r="J18" s="476"/>
      <c r="K18" s="279"/>
      <c r="L18" s="279"/>
      <c r="M18" s="279"/>
      <c r="N18" s="274"/>
      <c r="O18" s="273"/>
      <c r="P18" s="274"/>
      <c r="Q18" s="280"/>
      <c r="R18" s="281"/>
      <c r="S18" s="281"/>
      <c r="T18" s="279"/>
      <c r="U18" s="278"/>
      <c r="V18" s="274"/>
    </row>
    <row r="19" spans="1:22" ht="20.25" customHeight="1" x14ac:dyDescent="0.3">
      <c r="A19" s="44"/>
      <c r="B19" s="44"/>
      <c r="C19" s="44"/>
      <c r="D19" s="600" t="s">
        <v>264</v>
      </c>
      <c r="E19" s="476"/>
      <c r="F19" s="476"/>
      <c r="G19" s="476"/>
      <c r="H19" s="551" t="s">
        <v>265</v>
      </c>
      <c r="I19" s="476"/>
      <c r="J19" s="476"/>
      <c r="K19" s="476"/>
      <c r="L19" s="476"/>
      <c r="M19" s="44"/>
      <c r="N19" s="551" t="s">
        <v>221</v>
      </c>
      <c r="O19" s="476"/>
      <c r="P19" s="476"/>
      <c r="Q19" s="637" t="s">
        <v>266</v>
      </c>
      <c r="R19" s="476"/>
      <c r="S19" s="476"/>
      <c r="T19" s="476"/>
      <c r="U19" s="476"/>
      <c r="V19" s="476"/>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40" t="s">
        <v>267</v>
      </c>
      <c r="B1" s="476"/>
      <c r="C1" s="476"/>
      <c r="D1" s="476"/>
      <c r="E1" s="282"/>
      <c r="F1" s="283"/>
      <c r="G1" s="284"/>
      <c r="H1" s="285"/>
      <c r="I1" s="285"/>
      <c r="J1" s="285"/>
      <c r="K1" s="286"/>
      <c r="L1" s="145"/>
      <c r="M1" s="145"/>
      <c r="N1" s="145"/>
      <c r="O1" s="286"/>
      <c r="P1" s="145"/>
      <c r="Q1" s="145"/>
      <c r="R1" s="145"/>
      <c r="S1" s="145"/>
      <c r="T1" s="145"/>
      <c r="U1" s="145"/>
      <c r="V1" s="145"/>
      <c r="W1" s="145"/>
      <c r="X1" s="145"/>
      <c r="Y1" s="145"/>
      <c r="Z1" s="145"/>
    </row>
    <row r="2" spans="1:26" ht="15.6" x14ac:dyDescent="0.25">
      <c r="A2" s="287">
        <v>1</v>
      </c>
      <c r="B2" s="287">
        <v>2</v>
      </c>
      <c r="C2" s="287">
        <v>3</v>
      </c>
      <c r="D2" s="287">
        <v>4</v>
      </c>
      <c r="E2" s="287">
        <v>5</v>
      </c>
      <c r="F2" s="287">
        <v>6</v>
      </c>
      <c r="G2" s="287">
        <v>7</v>
      </c>
      <c r="H2" s="287">
        <v>8</v>
      </c>
      <c r="I2" s="287">
        <v>9</v>
      </c>
      <c r="J2" s="287">
        <v>10</v>
      </c>
      <c r="K2" s="287">
        <v>11</v>
      </c>
      <c r="L2" s="287">
        <v>12</v>
      </c>
      <c r="M2" s="287">
        <v>13</v>
      </c>
      <c r="N2" s="287"/>
      <c r="O2" s="287">
        <v>14</v>
      </c>
      <c r="P2" s="287">
        <v>15</v>
      </c>
      <c r="Q2" s="145"/>
      <c r="R2" s="145"/>
      <c r="S2" s="145"/>
      <c r="T2" s="145"/>
      <c r="U2" s="145"/>
      <c r="V2" s="145"/>
      <c r="W2" s="145"/>
      <c r="X2" s="145"/>
      <c r="Y2" s="145"/>
      <c r="Z2" s="145"/>
    </row>
    <row r="3" spans="1:26" ht="17.25" customHeight="1" x14ac:dyDescent="0.3">
      <c r="A3" s="641" t="s">
        <v>1</v>
      </c>
      <c r="B3" s="642" t="s">
        <v>40</v>
      </c>
      <c r="C3" s="642" t="s">
        <v>268</v>
      </c>
      <c r="D3" s="641" t="s">
        <v>98</v>
      </c>
      <c r="E3" s="568" t="s">
        <v>269</v>
      </c>
      <c r="F3" s="568" t="s">
        <v>96</v>
      </c>
      <c r="G3" s="568" t="s">
        <v>129</v>
      </c>
      <c r="H3" s="568" t="s">
        <v>270</v>
      </c>
      <c r="I3" s="568" t="s">
        <v>234</v>
      </c>
      <c r="J3" s="607" t="s">
        <v>271</v>
      </c>
      <c r="K3" s="535"/>
      <c r="L3" s="535"/>
      <c r="M3" s="535"/>
      <c r="N3" s="536"/>
      <c r="O3" s="639" t="s">
        <v>272</v>
      </c>
      <c r="P3" s="536"/>
      <c r="Q3" s="145"/>
      <c r="R3" s="145"/>
      <c r="S3" s="145"/>
      <c r="T3" s="145"/>
      <c r="U3" s="145"/>
      <c r="V3" s="145"/>
      <c r="W3" s="145"/>
      <c r="X3" s="145"/>
      <c r="Y3" s="145"/>
      <c r="Z3" s="145"/>
    </row>
    <row r="4" spans="1:26" ht="36" customHeight="1" x14ac:dyDescent="0.25">
      <c r="A4" s="569"/>
      <c r="B4" s="569"/>
      <c r="C4" s="569"/>
      <c r="D4" s="569"/>
      <c r="E4" s="569"/>
      <c r="F4" s="569"/>
      <c r="G4" s="569"/>
      <c r="H4" s="569"/>
      <c r="I4" s="569"/>
      <c r="J4" s="216" t="s">
        <v>250</v>
      </c>
      <c r="K4" s="216" t="s">
        <v>214</v>
      </c>
      <c r="L4" s="216" t="s">
        <v>273</v>
      </c>
      <c r="M4" s="216" t="s">
        <v>274</v>
      </c>
      <c r="N4" s="288" t="s">
        <v>275</v>
      </c>
      <c r="O4" s="216" t="s">
        <v>276</v>
      </c>
      <c r="P4" s="33" t="s">
        <v>169</v>
      </c>
      <c r="Q4" s="145"/>
      <c r="R4" s="145"/>
      <c r="S4" s="145"/>
      <c r="T4" s="145"/>
      <c r="U4" s="145"/>
      <c r="V4" s="145"/>
      <c r="W4" s="145"/>
      <c r="X4" s="145"/>
      <c r="Y4" s="145"/>
      <c r="Z4" s="145"/>
    </row>
    <row r="5" spans="1:26" ht="13.2" x14ac:dyDescent="0.25">
      <c r="A5" s="289"/>
      <c r="B5" s="290"/>
      <c r="C5" s="145"/>
      <c r="D5" s="145"/>
      <c r="E5" s="145"/>
      <c r="F5" s="290"/>
      <c r="G5" s="145"/>
      <c r="H5" s="145"/>
      <c r="I5" s="290"/>
      <c r="J5" s="290"/>
      <c r="K5" s="286"/>
      <c r="L5" s="145"/>
      <c r="M5" s="145"/>
      <c r="N5" s="145"/>
      <c r="O5" s="286"/>
      <c r="P5" s="145"/>
      <c r="Q5" s="145"/>
      <c r="R5" s="145"/>
      <c r="S5" s="145"/>
      <c r="T5" s="145"/>
      <c r="U5" s="145"/>
      <c r="V5" s="145"/>
      <c r="W5" s="145"/>
      <c r="X5" s="145"/>
      <c r="Y5" s="145"/>
      <c r="Z5" s="145"/>
    </row>
    <row r="6" spans="1:26" ht="13.2" x14ac:dyDescent="0.25">
      <c r="A6" s="289"/>
      <c r="B6" s="290"/>
      <c r="C6" s="145"/>
      <c r="D6" s="145"/>
      <c r="E6" s="145"/>
      <c r="F6" s="290"/>
      <c r="G6" s="145"/>
      <c r="H6" s="145"/>
      <c r="I6" s="290"/>
      <c r="J6" s="290"/>
      <c r="K6" s="286"/>
      <c r="L6" s="145"/>
      <c r="M6" s="145"/>
      <c r="N6" s="145"/>
      <c r="O6" s="286"/>
      <c r="P6" s="145"/>
      <c r="Q6" s="145"/>
      <c r="R6" s="145"/>
      <c r="S6" s="145"/>
      <c r="T6" s="145"/>
      <c r="U6" s="145"/>
      <c r="V6" s="145"/>
      <c r="W6" s="145"/>
      <c r="X6" s="145"/>
      <c r="Y6" s="145"/>
      <c r="Z6" s="145"/>
    </row>
    <row r="7" spans="1:26" ht="13.2" x14ac:dyDescent="0.25">
      <c r="A7" s="289"/>
      <c r="B7" s="290"/>
      <c r="C7" s="145"/>
      <c r="D7" s="145"/>
      <c r="E7" s="145"/>
      <c r="F7" s="290"/>
      <c r="G7" s="145"/>
      <c r="H7" s="145"/>
      <c r="I7" s="290"/>
      <c r="J7" s="290"/>
      <c r="K7" s="286"/>
      <c r="L7" s="145"/>
      <c r="M7" s="145"/>
      <c r="N7" s="145"/>
      <c r="O7" s="286"/>
      <c r="P7" s="145"/>
      <c r="Q7" s="145"/>
      <c r="R7" s="145"/>
      <c r="S7" s="145"/>
      <c r="T7" s="145"/>
      <c r="U7" s="145"/>
      <c r="V7" s="145"/>
      <c r="W7" s="145"/>
      <c r="X7" s="145"/>
      <c r="Y7" s="145"/>
      <c r="Z7" s="145"/>
    </row>
    <row r="8" spans="1:26" ht="13.2" x14ac:dyDescent="0.25">
      <c r="A8" s="289"/>
      <c r="B8" s="290"/>
      <c r="C8" s="145"/>
      <c r="D8" s="145"/>
      <c r="E8" s="145"/>
      <c r="F8" s="290"/>
      <c r="G8" s="145"/>
      <c r="H8" s="145"/>
      <c r="I8" s="290"/>
      <c r="J8" s="290"/>
      <c r="K8" s="286"/>
      <c r="L8" s="145"/>
      <c r="M8" s="145"/>
      <c r="N8" s="145"/>
      <c r="O8" s="286"/>
      <c r="P8" s="145"/>
      <c r="Q8" s="145"/>
      <c r="R8" s="145"/>
      <c r="S8" s="145"/>
      <c r="T8" s="145"/>
      <c r="U8" s="145"/>
      <c r="V8" s="145"/>
      <c r="W8" s="145"/>
      <c r="X8" s="145"/>
      <c r="Y8" s="145"/>
      <c r="Z8" s="145"/>
    </row>
    <row r="9" spans="1:26" ht="13.2" x14ac:dyDescent="0.25">
      <c r="A9" s="289"/>
      <c r="B9" s="290"/>
      <c r="C9" s="145"/>
      <c r="D9" s="145"/>
      <c r="E9" s="145"/>
      <c r="F9" s="290"/>
      <c r="G9" s="145"/>
      <c r="H9" s="145"/>
      <c r="I9" s="290"/>
      <c r="J9" s="290"/>
      <c r="K9" s="286"/>
      <c r="L9" s="145"/>
      <c r="M9" s="145"/>
      <c r="N9" s="145"/>
      <c r="O9" s="286"/>
      <c r="P9" s="145"/>
      <c r="Q9" s="145"/>
      <c r="R9" s="145"/>
      <c r="S9" s="145"/>
      <c r="T9" s="145"/>
      <c r="U9" s="145"/>
      <c r="V9" s="145"/>
      <c r="W9" s="145"/>
      <c r="X9" s="145"/>
      <c r="Y9" s="145"/>
      <c r="Z9" s="145"/>
    </row>
    <row r="10" spans="1:26" ht="13.2" x14ac:dyDescent="0.25">
      <c r="A10" s="289"/>
      <c r="B10" s="290"/>
      <c r="C10" s="145"/>
      <c r="D10" s="145"/>
      <c r="E10" s="145"/>
      <c r="F10" s="290"/>
      <c r="G10" s="145"/>
      <c r="H10" s="145"/>
      <c r="I10" s="290"/>
      <c r="J10" s="290"/>
      <c r="K10" s="286"/>
      <c r="L10" s="145"/>
      <c r="M10" s="145"/>
      <c r="N10" s="145"/>
      <c r="O10" s="286"/>
      <c r="P10" s="145"/>
      <c r="Q10" s="145"/>
      <c r="R10" s="145"/>
      <c r="S10" s="145"/>
      <c r="T10" s="145"/>
      <c r="U10" s="145"/>
      <c r="V10" s="145"/>
      <c r="W10" s="145"/>
      <c r="X10" s="145"/>
      <c r="Y10" s="145"/>
      <c r="Z10" s="145"/>
    </row>
    <row r="11" spans="1:26" ht="13.2" x14ac:dyDescent="0.25">
      <c r="A11" s="289"/>
      <c r="B11" s="290"/>
      <c r="C11" s="145"/>
      <c r="D11" s="145"/>
      <c r="E11" s="145"/>
      <c r="F11" s="290"/>
      <c r="G11" s="145"/>
      <c r="H11" s="145"/>
      <c r="I11" s="290"/>
      <c r="J11" s="290"/>
      <c r="K11" s="286"/>
      <c r="L11" s="145"/>
      <c r="M11" s="145"/>
      <c r="N11" s="145"/>
      <c r="O11" s="286"/>
      <c r="P11" s="145"/>
      <c r="Q11" s="145"/>
      <c r="R11" s="145"/>
      <c r="S11" s="145"/>
      <c r="T11" s="145"/>
      <c r="U11" s="145"/>
      <c r="V11" s="145"/>
      <c r="W11" s="145"/>
      <c r="X11" s="145"/>
      <c r="Y11" s="145"/>
      <c r="Z11" s="145"/>
    </row>
    <row r="12" spans="1:26" ht="13.2" x14ac:dyDescent="0.25">
      <c r="A12" s="289"/>
      <c r="B12" s="290"/>
      <c r="C12" s="145"/>
      <c r="D12" s="145"/>
      <c r="E12" s="145"/>
      <c r="F12" s="290"/>
      <c r="G12" s="145"/>
      <c r="H12" s="145"/>
      <c r="I12" s="290"/>
      <c r="J12" s="290"/>
      <c r="K12" s="286"/>
      <c r="L12" s="145"/>
      <c r="M12" s="145"/>
      <c r="N12" s="145"/>
      <c r="O12" s="286"/>
      <c r="P12" s="145"/>
      <c r="Q12" s="145"/>
      <c r="R12" s="145"/>
      <c r="S12" s="145"/>
      <c r="T12" s="145"/>
      <c r="U12" s="145"/>
      <c r="V12" s="145"/>
      <c r="W12" s="145"/>
      <c r="X12" s="145"/>
      <c r="Y12" s="145"/>
      <c r="Z12" s="145"/>
    </row>
    <row r="13" spans="1:26" ht="13.2" x14ac:dyDescent="0.25">
      <c r="A13" s="289"/>
      <c r="B13" s="290"/>
      <c r="C13" s="145"/>
      <c r="D13" s="145"/>
      <c r="E13" s="145"/>
      <c r="F13" s="290"/>
      <c r="G13" s="145"/>
      <c r="H13" s="145"/>
      <c r="I13" s="290"/>
      <c r="J13" s="290"/>
      <c r="K13" s="286"/>
      <c r="L13" s="145"/>
      <c r="M13" s="145"/>
      <c r="N13" s="145"/>
      <c r="O13" s="286"/>
      <c r="P13" s="145"/>
      <c r="Q13" s="145"/>
      <c r="R13" s="145"/>
      <c r="S13" s="145"/>
      <c r="T13" s="145"/>
      <c r="U13" s="145"/>
      <c r="V13" s="145"/>
      <c r="W13" s="145"/>
      <c r="X13" s="145"/>
      <c r="Y13" s="145"/>
      <c r="Z13" s="145"/>
    </row>
    <row r="14" spans="1:26" ht="13.2" x14ac:dyDescent="0.25">
      <c r="A14" s="289"/>
      <c r="B14" s="290"/>
      <c r="C14" s="145"/>
      <c r="D14" s="145"/>
      <c r="E14" s="145"/>
      <c r="F14" s="290"/>
      <c r="G14" s="145"/>
      <c r="H14" s="145"/>
      <c r="I14" s="290"/>
      <c r="J14" s="290"/>
      <c r="K14" s="286"/>
      <c r="L14" s="145"/>
      <c r="M14" s="145"/>
      <c r="N14" s="145"/>
      <c r="O14" s="286"/>
      <c r="P14" s="145"/>
      <c r="Q14" s="145"/>
      <c r="R14" s="145"/>
      <c r="S14" s="145"/>
      <c r="T14" s="145"/>
      <c r="U14" s="145"/>
      <c r="V14" s="145"/>
      <c r="W14" s="145"/>
      <c r="X14" s="145"/>
      <c r="Y14" s="145"/>
      <c r="Z14" s="145"/>
    </row>
    <row r="15" spans="1:26" ht="13.2" x14ac:dyDescent="0.25">
      <c r="A15" s="289"/>
      <c r="B15" s="290"/>
      <c r="C15" s="145"/>
      <c r="D15" s="145"/>
      <c r="E15" s="145"/>
      <c r="F15" s="290"/>
      <c r="G15" s="145"/>
      <c r="H15" s="145"/>
      <c r="I15" s="290"/>
      <c r="J15" s="290"/>
      <c r="K15" s="286"/>
      <c r="L15" s="145"/>
      <c r="M15" s="145"/>
      <c r="N15" s="145"/>
      <c r="O15" s="286"/>
      <c r="P15" s="145"/>
      <c r="Q15" s="145"/>
      <c r="R15" s="145"/>
      <c r="S15" s="145"/>
      <c r="T15" s="145"/>
      <c r="U15" s="145"/>
      <c r="V15" s="145"/>
      <c r="W15" s="145"/>
      <c r="X15" s="145"/>
      <c r="Y15" s="145"/>
      <c r="Z15" s="145"/>
    </row>
    <row r="16" spans="1:26" ht="13.2" x14ac:dyDescent="0.25">
      <c r="A16" s="289"/>
      <c r="B16" s="290"/>
      <c r="C16" s="145"/>
      <c r="D16" s="145"/>
      <c r="E16" s="145"/>
      <c r="F16" s="290"/>
      <c r="G16" s="145"/>
      <c r="H16" s="145"/>
      <c r="I16" s="290"/>
      <c r="J16" s="290"/>
      <c r="K16" s="286"/>
      <c r="L16" s="145"/>
      <c r="M16" s="145"/>
      <c r="N16" s="145"/>
      <c r="O16" s="286"/>
      <c r="P16" s="145"/>
      <c r="Q16" s="145"/>
      <c r="R16" s="145"/>
      <c r="S16" s="145"/>
      <c r="T16" s="145"/>
      <c r="U16" s="145"/>
      <c r="V16" s="145"/>
      <c r="W16" s="145"/>
      <c r="X16" s="145"/>
      <c r="Y16" s="145"/>
      <c r="Z16" s="145"/>
    </row>
    <row r="17" spans="1:26" ht="15.75" customHeight="1" x14ac:dyDescent="0.25">
      <c r="A17" s="289"/>
      <c r="B17" s="290"/>
      <c r="C17" s="145"/>
      <c r="D17" s="145"/>
      <c r="E17" s="145"/>
      <c r="F17" s="290"/>
      <c r="G17" s="145"/>
      <c r="H17" s="145"/>
      <c r="I17" s="290"/>
      <c r="J17" s="290"/>
      <c r="K17" s="286"/>
      <c r="L17" s="145"/>
      <c r="M17" s="145"/>
      <c r="N17" s="145"/>
      <c r="O17" s="286"/>
      <c r="P17" s="145"/>
      <c r="Q17" s="145"/>
      <c r="R17" s="145"/>
      <c r="S17" s="145"/>
      <c r="T17" s="145"/>
      <c r="U17" s="145"/>
      <c r="V17" s="145"/>
      <c r="W17" s="145"/>
      <c r="X17" s="145"/>
      <c r="Y17" s="145"/>
      <c r="Z17" s="145"/>
    </row>
    <row r="18" spans="1:26" ht="15.75" customHeight="1" x14ac:dyDescent="0.25">
      <c r="A18" s="289"/>
      <c r="B18" s="290"/>
      <c r="C18" s="145"/>
      <c r="D18" s="145"/>
      <c r="E18" s="145"/>
      <c r="F18" s="290"/>
      <c r="G18" s="145"/>
      <c r="H18" s="145"/>
      <c r="I18" s="290"/>
      <c r="J18" s="290"/>
      <c r="K18" s="286"/>
      <c r="L18" s="145"/>
      <c r="M18" s="145"/>
      <c r="N18" s="145"/>
      <c r="O18" s="286"/>
      <c r="P18" s="145"/>
      <c r="Q18" s="145"/>
      <c r="R18" s="145"/>
      <c r="S18" s="145"/>
      <c r="T18" s="145"/>
      <c r="U18" s="145"/>
      <c r="V18" s="145"/>
      <c r="W18" s="145"/>
      <c r="X18" s="145"/>
      <c r="Y18" s="145"/>
      <c r="Z18" s="145"/>
    </row>
    <row r="19" spans="1:26" ht="15.75" customHeight="1" x14ac:dyDescent="0.25">
      <c r="A19" s="289"/>
      <c r="B19" s="290"/>
      <c r="C19" s="145"/>
      <c r="D19" s="145"/>
      <c r="E19" s="145"/>
      <c r="F19" s="290"/>
      <c r="G19" s="145"/>
      <c r="H19" s="145"/>
      <c r="I19" s="290"/>
      <c r="J19" s="290"/>
      <c r="K19" s="286"/>
      <c r="L19" s="145"/>
      <c r="M19" s="145"/>
      <c r="N19" s="145"/>
      <c r="O19" s="286"/>
      <c r="P19" s="145"/>
      <c r="Q19" s="145"/>
      <c r="R19" s="145"/>
      <c r="S19" s="145"/>
      <c r="T19" s="145"/>
      <c r="U19" s="145"/>
      <c r="V19" s="145"/>
      <c r="W19" s="145"/>
      <c r="X19" s="145"/>
      <c r="Y19" s="145"/>
      <c r="Z19" s="145"/>
    </row>
    <row r="20" spans="1:26" ht="15.75" customHeight="1" x14ac:dyDescent="0.25">
      <c r="A20" s="289"/>
      <c r="B20" s="290"/>
      <c r="C20" s="145"/>
      <c r="D20" s="145"/>
      <c r="E20" s="145"/>
      <c r="F20" s="290"/>
      <c r="G20" s="145"/>
      <c r="H20" s="145"/>
      <c r="I20" s="290"/>
      <c r="J20" s="290"/>
      <c r="K20" s="286"/>
      <c r="L20" s="145"/>
      <c r="M20" s="145"/>
      <c r="N20" s="145"/>
      <c r="O20" s="286"/>
      <c r="P20" s="145"/>
      <c r="Q20" s="145"/>
      <c r="R20" s="145"/>
      <c r="S20" s="145"/>
      <c r="T20" s="145"/>
      <c r="U20" s="145"/>
      <c r="V20" s="145"/>
      <c r="W20" s="145"/>
      <c r="X20" s="145"/>
      <c r="Y20" s="145"/>
      <c r="Z20" s="145"/>
    </row>
    <row r="21" spans="1:26" ht="15.75" customHeight="1" x14ac:dyDescent="0.25">
      <c r="A21" s="289"/>
      <c r="B21" s="290"/>
      <c r="C21" s="145"/>
      <c r="D21" s="145"/>
      <c r="E21" s="145"/>
      <c r="F21" s="290"/>
      <c r="G21" s="145"/>
      <c r="H21" s="145"/>
      <c r="I21" s="290"/>
      <c r="J21" s="290"/>
      <c r="K21" s="286"/>
      <c r="L21" s="145"/>
      <c r="M21" s="145"/>
      <c r="N21" s="145"/>
      <c r="O21" s="286"/>
      <c r="P21" s="145"/>
      <c r="Q21" s="145"/>
      <c r="R21" s="145"/>
      <c r="S21" s="145"/>
      <c r="T21" s="145"/>
      <c r="U21" s="145"/>
      <c r="V21" s="145"/>
      <c r="W21" s="145"/>
      <c r="X21" s="145"/>
      <c r="Y21" s="145"/>
      <c r="Z21" s="145"/>
    </row>
    <row r="22" spans="1:26" ht="15.75" customHeight="1" x14ac:dyDescent="0.25">
      <c r="A22" s="289"/>
      <c r="B22" s="290"/>
      <c r="C22" s="145"/>
      <c r="D22" s="145"/>
      <c r="E22" s="145"/>
      <c r="F22" s="290"/>
      <c r="G22" s="145"/>
      <c r="H22" s="145"/>
      <c r="I22" s="290"/>
      <c r="J22" s="290"/>
      <c r="K22" s="286"/>
      <c r="L22" s="145"/>
      <c r="M22" s="145"/>
      <c r="N22" s="145"/>
      <c r="O22" s="286"/>
      <c r="P22" s="145"/>
      <c r="Q22" s="145"/>
      <c r="R22" s="145"/>
      <c r="S22" s="145"/>
      <c r="T22" s="145"/>
      <c r="U22" s="145"/>
      <c r="V22" s="145"/>
      <c r="W22" s="145"/>
      <c r="X22" s="145"/>
      <c r="Y22" s="145"/>
      <c r="Z22" s="145"/>
    </row>
    <row r="23" spans="1:26" ht="15.75" customHeight="1" x14ac:dyDescent="0.25">
      <c r="A23" s="289"/>
      <c r="B23" s="290"/>
      <c r="C23" s="145"/>
      <c r="D23" s="145"/>
      <c r="E23" s="145"/>
      <c r="F23" s="290"/>
      <c r="G23" s="145"/>
      <c r="H23" s="145"/>
      <c r="I23" s="290"/>
      <c r="J23" s="290"/>
      <c r="K23" s="286"/>
      <c r="L23" s="145"/>
      <c r="M23" s="145"/>
      <c r="N23" s="145"/>
      <c r="O23" s="286"/>
      <c r="P23" s="145"/>
      <c r="Q23" s="145"/>
      <c r="R23" s="145"/>
      <c r="S23" s="145"/>
      <c r="T23" s="145"/>
      <c r="U23" s="145"/>
      <c r="V23" s="145"/>
      <c r="W23" s="145"/>
      <c r="X23" s="145"/>
      <c r="Y23" s="145"/>
      <c r="Z23" s="145"/>
    </row>
    <row r="24" spans="1:26" ht="15.75" customHeight="1" x14ac:dyDescent="0.25">
      <c r="A24" s="289"/>
      <c r="B24" s="290"/>
      <c r="C24" s="145"/>
      <c r="D24" s="145"/>
      <c r="E24" s="145"/>
      <c r="F24" s="290"/>
      <c r="G24" s="145"/>
      <c r="H24" s="145"/>
      <c r="I24" s="290"/>
      <c r="J24" s="290"/>
      <c r="K24" s="286"/>
      <c r="L24" s="145"/>
      <c r="M24" s="145"/>
      <c r="N24" s="145"/>
      <c r="O24" s="286"/>
      <c r="P24" s="145"/>
      <c r="Q24" s="145"/>
      <c r="R24" s="145"/>
      <c r="S24" s="145"/>
      <c r="T24" s="145"/>
      <c r="U24" s="145"/>
      <c r="V24" s="145"/>
      <c r="W24" s="145"/>
      <c r="X24" s="145"/>
      <c r="Y24" s="145"/>
      <c r="Z24" s="145"/>
    </row>
    <row r="25" spans="1:26" ht="15.75" customHeight="1" x14ac:dyDescent="0.25">
      <c r="A25" s="289"/>
      <c r="B25" s="290"/>
      <c r="C25" s="145"/>
      <c r="D25" s="145"/>
      <c r="E25" s="145"/>
      <c r="F25" s="290"/>
      <c r="G25" s="145"/>
      <c r="H25" s="145"/>
      <c r="I25" s="290"/>
      <c r="J25" s="290"/>
      <c r="K25" s="286"/>
      <c r="L25" s="145"/>
      <c r="M25" s="145"/>
      <c r="N25" s="145"/>
      <c r="O25" s="286"/>
      <c r="P25" s="145"/>
      <c r="Q25" s="145"/>
      <c r="R25" s="145"/>
      <c r="S25" s="145"/>
      <c r="T25" s="145"/>
      <c r="U25" s="145"/>
      <c r="V25" s="145"/>
      <c r="W25" s="145"/>
      <c r="X25" s="145"/>
      <c r="Y25" s="145"/>
      <c r="Z25" s="145"/>
    </row>
    <row r="26" spans="1:26" ht="15.75" customHeight="1" x14ac:dyDescent="0.25">
      <c r="A26" s="289"/>
      <c r="B26" s="290"/>
      <c r="C26" s="145"/>
      <c r="D26" s="145"/>
      <c r="E26" s="145"/>
      <c r="F26" s="290"/>
      <c r="G26" s="145"/>
      <c r="H26" s="145"/>
      <c r="I26" s="290"/>
      <c r="J26" s="290"/>
      <c r="K26" s="286"/>
      <c r="L26" s="145"/>
      <c r="M26" s="145"/>
      <c r="N26" s="145"/>
      <c r="O26" s="286"/>
      <c r="P26" s="145"/>
      <c r="Q26" s="145"/>
      <c r="R26" s="145"/>
      <c r="S26" s="145"/>
      <c r="T26" s="145"/>
      <c r="U26" s="145"/>
      <c r="V26" s="145"/>
      <c r="W26" s="145"/>
      <c r="X26" s="145"/>
      <c r="Y26" s="145"/>
      <c r="Z26" s="145"/>
    </row>
    <row r="27" spans="1:26" ht="15.75" customHeight="1" x14ac:dyDescent="0.25">
      <c r="A27" s="289"/>
      <c r="B27" s="290"/>
      <c r="C27" s="145"/>
      <c r="D27" s="145"/>
      <c r="E27" s="145"/>
      <c r="F27" s="290"/>
      <c r="G27" s="145"/>
      <c r="H27" s="145"/>
      <c r="I27" s="290"/>
      <c r="J27" s="290"/>
      <c r="K27" s="286"/>
      <c r="L27" s="145"/>
      <c r="M27" s="145"/>
      <c r="N27" s="145"/>
      <c r="O27" s="286"/>
      <c r="P27" s="145"/>
      <c r="Q27" s="145"/>
      <c r="R27" s="145"/>
      <c r="S27" s="145"/>
      <c r="T27" s="145"/>
      <c r="U27" s="145"/>
      <c r="V27" s="145"/>
      <c r="W27" s="145"/>
      <c r="X27" s="145"/>
      <c r="Y27" s="145"/>
      <c r="Z27" s="145"/>
    </row>
    <row r="28" spans="1:26" ht="15.75" customHeight="1" x14ac:dyDescent="0.25">
      <c r="A28" s="289"/>
      <c r="B28" s="290"/>
      <c r="C28" s="145"/>
      <c r="D28" s="145"/>
      <c r="E28" s="145"/>
      <c r="F28" s="290"/>
      <c r="G28" s="145"/>
      <c r="H28" s="145"/>
      <c r="I28" s="290"/>
      <c r="J28" s="290"/>
      <c r="K28" s="286"/>
      <c r="L28" s="145"/>
      <c r="M28" s="145"/>
      <c r="N28" s="145"/>
      <c r="O28" s="286"/>
      <c r="P28" s="145"/>
      <c r="Q28" s="145"/>
      <c r="R28" s="145"/>
      <c r="S28" s="145"/>
      <c r="T28" s="145"/>
      <c r="U28" s="145"/>
      <c r="V28" s="145"/>
      <c r="W28" s="145"/>
      <c r="X28" s="145"/>
      <c r="Y28" s="145"/>
      <c r="Z28" s="145"/>
    </row>
    <row r="29" spans="1:26" ht="15.75" customHeight="1" x14ac:dyDescent="0.25">
      <c r="A29" s="289"/>
      <c r="B29" s="290"/>
      <c r="C29" s="145"/>
      <c r="D29" s="145"/>
      <c r="E29" s="145"/>
      <c r="F29" s="290"/>
      <c r="G29" s="145"/>
      <c r="H29" s="145"/>
      <c r="I29" s="290"/>
      <c r="J29" s="290"/>
      <c r="K29" s="286"/>
      <c r="L29" s="145"/>
      <c r="M29" s="145"/>
      <c r="N29" s="145"/>
      <c r="O29" s="286"/>
      <c r="P29" s="145"/>
      <c r="Q29" s="145"/>
      <c r="R29" s="145"/>
      <c r="S29" s="145"/>
      <c r="T29" s="145"/>
      <c r="U29" s="145"/>
      <c r="V29" s="145"/>
      <c r="W29" s="145"/>
      <c r="X29" s="145"/>
      <c r="Y29" s="145"/>
      <c r="Z29" s="145"/>
    </row>
    <row r="30" spans="1:26" ht="15.75" customHeight="1" x14ac:dyDescent="0.25">
      <c r="A30" s="289"/>
      <c r="B30" s="290"/>
      <c r="C30" s="145"/>
      <c r="D30" s="145"/>
      <c r="E30" s="145"/>
      <c r="F30" s="290"/>
      <c r="G30" s="145"/>
      <c r="H30" s="145"/>
      <c r="I30" s="290"/>
      <c r="J30" s="290"/>
      <c r="K30" s="286"/>
      <c r="L30" s="145"/>
      <c r="M30" s="145"/>
      <c r="N30" s="145"/>
      <c r="O30" s="286"/>
      <c r="P30" s="145"/>
      <c r="Q30" s="145"/>
      <c r="R30" s="145"/>
      <c r="S30" s="145"/>
      <c r="T30" s="145"/>
      <c r="U30" s="145"/>
      <c r="V30" s="145"/>
      <c r="W30" s="145"/>
      <c r="X30" s="145"/>
      <c r="Y30" s="145"/>
      <c r="Z30" s="145"/>
    </row>
    <row r="31" spans="1:26" ht="15.75" customHeight="1" x14ac:dyDescent="0.25">
      <c r="A31" s="289"/>
      <c r="B31" s="290"/>
      <c r="C31" s="145"/>
      <c r="D31" s="145"/>
      <c r="E31" s="145"/>
      <c r="F31" s="290"/>
      <c r="G31" s="145"/>
      <c r="H31" s="145"/>
      <c r="I31" s="290"/>
      <c r="J31" s="290"/>
      <c r="K31" s="286"/>
      <c r="L31" s="145"/>
      <c r="M31" s="145"/>
      <c r="N31" s="145"/>
      <c r="O31" s="286"/>
      <c r="P31" s="145"/>
      <c r="Q31" s="145"/>
      <c r="R31" s="145"/>
      <c r="S31" s="145"/>
      <c r="T31" s="145"/>
      <c r="U31" s="145"/>
      <c r="V31" s="145"/>
      <c r="W31" s="145"/>
      <c r="X31" s="145"/>
      <c r="Y31" s="145"/>
      <c r="Z31" s="145"/>
    </row>
    <row r="32" spans="1:26" ht="15.75" customHeight="1" x14ac:dyDescent="0.25">
      <c r="A32" s="289"/>
      <c r="B32" s="290"/>
      <c r="C32" s="145"/>
      <c r="D32" s="145"/>
      <c r="E32" s="145"/>
      <c r="F32" s="290"/>
      <c r="G32" s="145"/>
      <c r="H32" s="145"/>
      <c r="I32" s="290"/>
      <c r="J32" s="290"/>
      <c r="K32" s="286"/>
      <c r="L32" s="145"/>
      <c r="M32" s="145"/>
      <c r="N32" s="145"/>
      <c r="O32" s="286"/>
      <c r="P32" s="145"/>
      <c r="Q32" s="145"/>
      <c r="R32" s="145"/>
      <c r="S32" s="145"/>
      <c r="T32" s="145"/>
      <c r="U32" s="145"/>
      <c r="V32" s="145"/>
      <c r="W32" s="145"/>
      <c r="X32" s="145"/>
      <c r="Y32" s="145"/>
      <c r="Z32" s="145"/>
    </row>
    <row r="33" spans="1:26" ht="15.75" customHeight="1" x14ac:dyDescent="0.25">
      <c r="A33" s="289"/>
      <c r="B33" s="290"/>
      <c r="C33" s="145"/>
      <c r="D33" s="145"/>
      <c r="E33" s="145"/>
      <c r="F33" s="290"/>
      <c r="G33" s="145"/>
      <c r="H33" s="145"/>
      <c r="I33" s="290"/>
      <c r="J33" s="290"/>
      <c r="K33" s="286"/>
      <c r="L33" s="145"/>
      <c r="M33" s="145"/>
      <c r="N33" s="145"/>
      <c r="O33" s="286"/>
      <c r="P33" s="145"/>
      <c r="Q33" s="145"/>
      <c r="R33" s="145"/>
      <c r="S33" s="145"/>
      <c r="T33" s="145"/>
      <c r="U33" s="145"/>
      <c r="V33" s="145"/>
      <c r="W33" s="145"/>
      <c r="X33" s="145"/>
      <c r="Y33" s="145"/>
      <c r="Z33" s="145"/>
    </row>
    <row r="34" spans="1:26" ht="15.75" customHeight="1" x14ac:dyDescent="0.25">
      <c r="A34" s="289"/>
      <c r="B34" s="290"/>
      <c r="C34" s="145"/>
      <c r="D34" s="145"/>
      <c r="E34" s="145"/>
      <c r="F34" s="290"/>
      <c r="G34" s="145"/>
      <c r="H34" s="145"/>
      <c r="I34" s="290"/>
      <c r="J34" s="290"/>
      <c r="K34" s="286"/>
      <c r="L34" s="145"/>
      <c r="M34" s="145"/>
      <c r="N34" s="145"/>
      <c r="O34" s="286"/>
      <c r="P34" s="145"/>
      <c r="Q34" s="145"/>
      <c r="R34" s="145"/>
      <c r="S34" s="145"/>
      <c r="T34" s="145"/>
      <c r="U34" s="145"/>
      <c r="V34" s="145"/>
      <c r="W34" s="145"/>
      <c r="X34" s="145"/>
      <c r="Y34" s="145"/>
      <c r="Z34" s="145"/>
    </row>
    <row r="35" spans="1:26" ht="15.75" customHeight="1" x14ac:dyDescent="0.25">
      <c r="A35" s="289"/>
      <c r="B35" s="290"/>
      <c r="C35" s="145"/>
      <c r="D35" s="145"/>
      <c r="E35" s="145"/>
      <c r="F35" s="290"/>
      <c r="G35" s="145"/>
      <c r="H35" s="145"/>
      <c r="I35" s="290"/>
      <c r="J35" s="290"/>
      <c r="K35" s="286"/>
      <c r="L35" s="145"/>
      <c r="M35" s="145"/>
      <c r="N35" s="145"/>
      <c r="O35" s="286"/>
      <c r="P35" s="145"/>
      <c r="Q35" s="145"/>
      <c r="R35" s="145"/>
      <c r="S35" s="145"/>
      <c r="T35" s="145"/>
      <c r="U35" s="145"/>
      <c r="V35" s="145"/>
      <c r="W35" s="145"/>
      <c r="X35" s="145"/>
      <c r="Y35" s="145"/>
      <c r="Z35" s="145"/>
    </row>
    <row r="36" spans="1:26" ht="15.75" customHeight="1" x14ac:dyDescent="0.25">
      <c r="A36" s="289"/>
      <c r="B36" s="290"/>
      <c r="C36" s="145"/>
      <c r="D36" s="145"/>
      <c r="E36" s="145"/>
      <c r="F36" s="290"/>
      <c r="G36" s="145"/>
      <c r="H36" s="145"/>
      <c r="I36" s="290"/>
      <c r="J36" s="290"/>
      <c r="K36" s="286"/>
      <c r="L36" s="145"/>
      <c r="M36" s="145"/>
      <c r="N36" s="145"/>
      <c r="O36" s="286"/>
      <c r="P36" s="145"/>
      <c r="Q36" s="145"/>
      <c r="R36" s="145"/>
      <c r="S36" s="145"/>
      <c r="T36" s="145"/>
      <c r="U36" s="145"/>
      <c r="V36" s="145"/>
      <c r="W36" s="145"/>
      <c r="X36" s="145"/>
      <c r="Y36" s="145"/>
      <c r="Z36" s="145"/>
    </row>
    <row r="37" spans="1:26" ht="15.75" customHeight="1" x14ac:dyDescent="0.25">
      <c r="A37" s="289"/>
      <c r="B37" s="290"/>
      <c r="C37" s="145"/>
      <c r="D37" s="145"/>
      <c r="E37" s="145"/>
      <c r="F37" s="290"/>
      <c r="G37" s="145"/>
      <c r="H37" s="145"/>
      <c r="I37" s="290"/>
      <c r="J37" s="290"/>
      <c r="K37" s="286"/>
      <c r="L37" s="145"/>
      <c r="M37" s="145"/>
      <c r="N37" s="145"/>
      <c r="O37" s="286"/>
      <c r="P37" s="145"/>
      <c r="Q37" s="145"/>
      <c r="R37" s="145"/>
      <c r="S37" s="145"/>
      <c r="T37" s="145"/>
      <c r="U37" s="145"/>
      <c r="V37" s="145"/>
      <c r="W37" s="145"/>
      <c r="X37" s="145"/>
      <c r="Y37" s="145"/>
      <c r="Z37" s="145"/>
    </row>
    <row r="38" spans="1:26" ht="15.75" customHeight="1" x14ac:dyDescent="0.25">
      <c r="A38" s="289"/>
      <c r="B38" s="290"/>
      <c r="C38" s="145"/>
      <c r="D38" s="145"/>
      <c r="E38" s="145"/>
      <c r="F38" s="290"/>
      <c r="G38" s="145"/>
      <c r="H38" s="145"/>
      <c r="I38" s="290"/>
      <c r="J38" s="290"/>
      <c r="K38" s="286"/>
      <c r="L38" s="145"/>
      <c r="M38" s="145"/>
      <c r="N38" s="145"/>
      <c r="O38" s="286"/>
      <c r="P38" s="145"/>
      <c r="Q38" s="145"/>
      <c r="R38" s="145"/>
      <c r="S38" s="145"/>
      <c r="T38" s="145"/>
      <c r="U38" s="145"/>
      <c r="V38" s="145"/>
      <c r="W38" s="145"/>
      <c r="X38" s="145"/>
      <c r="Y38" s="145"/>
      <c r="Z38" s="145"/>
    </row>
    <row r="39" spans="1:26" ht="15.75" customHeight="1" x14ac:dyDescent="0.25">
      <c r="A39" s="289"/>
      <c r="B39" s="290"/>
      <c r="C39" s="145"/>
      <c r="D39" s="145"/>
      <c r="E39" s="145"/>
      <c r="F39" s="290"/>
      <c r="G39" s="145"/>
      <c r="H39" s="145"/>
      <c r="I39" s="290"/>
      <c r="J39" s="290"/>
      <c r="K39" s="286"/>
      <c r="L39" s="145"/>
      <c r="M39" s="145"/>
      <c r="N39" s="145"/>
      <c r="O39" s="286"/>
      <c r="P39" s="145"/>
      <c r="Q39" s="145"/>
      <c r="R39" s="145"/>
      <c r="S39" s="145"/>
      <c r="T39" s="145"/>
      <c r="U39" s="145"/>
      <c r="V39" s="145"/>
      <c r="W39" s="145"/>
      <c r="X39" s="145"/>
      <c r="Y39" s="145"/>
      <c r="Z39" s="145"/>
    </row>
    <row r="40" spans="1:26" ht="15.75" customHeight="1" x14ac:dyDescent="0.25">
      <c r="A40" s="289"/>
      <c r="B40" s="290"/>
      <c r="C40" s="145"/>
      <c r="D40" s="145"/>
      <c r="E40" s="145"/>
      <c r="F40" s="290"/>
      <c r="G40" s="145"/>
      <c r="H40" s="145"/>
      <c r="I40" s="290"/>
      <c r="J40" s="290"/>
      <c r="K40" s="286"/>
      <c r="L40" s="145"/>
      <c r="M40" s="145"/>
      <c r="N40" s="145"/>
      <c r="O40" s="286"/>
      <c r="P40" s="145"/>
      <c r="Q40" s="145"/>
      <c r="R40" s="145"/>
      <c r="S40" s="145"/>
      <c r="T40" s="145"/>
      <c r="U40" s="145"/>
      <c r="V40" s="145"/>
      <c r="W40" s="145"/>
      <c r="X40" s="145"/>
      <c r="Y40" s="145"/>
      <c r="Z40" s="145"/>
    </row>
    <row r="41" spans="1:26" ht="15.75" customHeight="1" x14ac:dyDescent="0.25">
      <c r="A41" s="289"/>
      <c r="B41" s="290"/>
      <c r="C41" s="145"/>
      <c r="D41" s="145"/>
      <c r="E41" s="145"/>
      <c r="F41" s="290"/>
      <c r="G41" s="145"/>
      <c r="H41" s="145"/>
      <c r="I41" s="290"/>
      <c r="J41" s="290"/>
      <c r="K41" s="286"/>
      <c r="L41" s="145"/>
      <c r="M41" s="145"/>
      <c r="N41" s="145"/>
      <c r="O41" s="286"/>
      <c r="P41" s="145"/>
      <c r="Q41" s="145"/>
      <c r="R41" s="145"/>
      <c r="S41" s="145"/>
      <c r="T41" s="145"/>
      <c r="U41" s="145"/>
      <c r="V41" s="145"/>
      <c r="W41" s="145"/>
      <c r="X41" s="145"/>
      <c r="Y41" s="145"/>
      <c r="Z41" s="145"/>
    </row>
    <row r="42" spans="1:26" ht="15.75" customHeight="1" x14ac:dyDescent="0.25">
      <c r="A42" s="289"/>
      <c r="B42" s="290"/>
      <c r="C42" s="145"/>
      <c r="D42" s="145"/>
      <c r="E42" s="145"/>
      <c r="F42" s="290"/>
      <c r="G42" s="145"/>
      <c r="H42" s="145"/>
      <c r="I42" s="290"/>
      <c r="J42" s="290"/>
      <c r="K42" s="286"/>
      <c r="L42" s="145"/>
      <c r="M42" s="145"/>
      <c r="N42" s="145"/>
      <c r="O42" s="286"/>
      <c r="P42" s="145"/>
      <c r="Q42" s="145"/>
      <c r="R42" s="145"/>
      <c r="S42" s="145"/>
      <c r="T42" s="145"/>
      <c r="U42" s="145"/>
      <c r="V42" s="145"/>
      <c r="W42" s="145"/>
      <c r="X42" s="145"/>
      <c r="Y42" s="145"/>
      <c r="Z42" s="145"/>
    </row>
    <row r="43" spans="1:26" ht="15.75" customHeight="1" x14ac:dyDescent="0.25">
      <c r="A43" s="289"/>
      <c r="B43" s="290"/>
      <c r="C43" s="145"/>
      <c r="D43" s="145"/>
      <c r="E43" s="145"/>
      <c r="F43" s="290"/>
      <c r="G43" s="145"/>
      <c r="H43" s="145"/>
      <c r="I43" s="290"/>
      <c r="J43" s="290"/>
      <c r="K43" s="286"/>
      <c r="L43" s="145"/>
      <c r="M43" s="145"/>
      <c r="N43" s="145"/>
      <c r="O43" s="286"/>
      <c r="P43" s="145"/>
      <c r="Q43" s="145"/>
      <c r="R43" s="145"/>
      <c r="S43" s="145"/>
      <c r="T43" s="145"/>
      <c r="U43" s="145"/>
      <c r="V43" s="145"/>
      <c r="W43" s="145"/>
      <c r="X43" s="145"/>
      <c r="Y43" s="145"/>
      <c r="Z43" s="145"/>
    </row>
    <row r="44" spans="1:26" ht="15.75" customHeight="1" x14ac:dyDescent="0.25">
      <c r="A44" s="289"/>
      <c r="B44" s="290"/>
      <c r="C44" s="145"/>
      <c r="D44" s="145"/>
      <c r="E44" s="145"/>
      <c r="F44" s="290"/>
      <c r="G44" s="145"/>
      <c r="H44" s="145"/>
      <c r="I44" s="290"/>
      <c r="J44" s="290"/>
      <c r="K44" s="286"/>
      <c r="L44" s="145"/>
      <c r="M44" s="145"/>
      <c r="N44" s="145"/>
      <c r="O44" s="286"/>
      <c r="P44" s="145"/>
      <c r="Q44" s="145"/>
      <c r="R44" s="145"/>
      <c r="S44" s="145"/>
      <c r="T44" s="145"/>
      <c r="U44" s="145"/>
      <c r="V44" s="145"/>
      <c r="W44" s="145"/>
      <c r="X44" s="145"/>
      <c r="Y44" s="145"/>
      <c r="Z44" s="145"/>
    </row>
    <row r="45" spans="1:26" ht="15.75" customHeight="1" x14ac:dyDescent="0.25">
      <c r="A45" s="289"/>
      <c r="B45" s="290"/>
      <c r="C45" s="145"/>
      <c r="D45" s="145"/>
      <c r="E45" s="145"/>
      <c r="F45" s="290"/>
      <c r="G45" s="145"/>
      <c r="H45" s="145"/>
      <c r="I45" s="290"/>
      <c r="J45" s="290"/>
      <c r="K45" s="286"/>
      <c r="L45" s="145"/>
      <c r="M45" s="145"/>
      <c r="N45" s="145"/>
      <c r="O45" s="286"/>
      <c r="P45" s="145"/>
      <c r="Q45" s="145"/>
      <c r="R45" s="145"/>
      <c r="S45" s="145"/>
      <c r="T45" s="145"/>
      <c r="U45" s="145"/>
      <c r="V45" s="145"/>
      <c r="W45" s="145"/>
      <c r="X45" s="145"/>
      <c r="Y45" s="145"/>
      <c r="Z45" s="145"/>
    </row>
    <row r="46" spans="1:26" ht="15.75" customHeight="1" x14ac:dyDescent="0.25">
      <c r="A46" s="289"/>
      <c r="B46" s="290"/>
      <c r="C46" s="145"/>
      <c r="D46" s="145"/>
      <c r="E46" s="145"/>
      <c r="F46" s="290"/>
      <c r="G46" s="145"/>
      <c r="H46" s="145"/>
      <c r="I46" s="290"/>
      <c r="J46" s="290"/>
      <c r="K46" s="286"/>
      <c r="L46" s="145"/>
      <c r="M46" s="145"/>
      <c r="N46" s="145"/>
      <c r="O46" s="286"/>
      <c r="P46" s="145"/>
      <c r="Q46" s="145"/>
      <c r="R46" s="145"/>
      <c r="S46" s="145"/>
      <c r="T46" s="145"/>
      <c r="U46" s="145"/>
      <c r="V46" s="145"/>
      <c r="W46" s="145"/>
      <c r="X46" s="145"/>
      <c r="Y46" s="145"/>
      <c r="Z46" s="145"/>
    </row>
    <row r="47" spans="1:26" ht="15.75" customHeight="1" x14ac:dyDescent="0.25">
      <c r="A47" s="289"/>
      <c r="B47" s="290"/>
      <c r="C47" s="145"/>
      <c r="D47" s="145"/>
      <c r="E47" s="145"/>
      <c r="F47" s="290"/>
      <c r="G47" s="145"/>
      <c r="H47" s="145"/>
      <c r="I47" s="290"/>
      <c r="J47" s="290"/>
      <c r="K47" s="286"/>
      <c r="L47" s="145"/>
      <c r="M47" s="145"/>
      <c r="N47" s="145"/>
      <c r="O47" s="286"/>
      <c r="P47" s="145"/>
      <c r="Q47" s="145"/>
      <c r="R47" s="145"/>
      <c r="S47" s="145"/>
      <c r="T47" s="145"/>
      <c r="U47" s="145"/>
      <c r="V47" s="145"/>
      <c r="W47" s="145"/>
      <c r="X47" s="145"/>
      <c r="Y47" s="145"/>
      <c r="Z47" s="145"/>
    </row>
    <row r="48" spans="1:26" ht="15.75" customHeight="1" x14ac:dyDescent="0.25">
      <c r="A48" s="289"/>
      <c r="B48" s="290"/>
      <c r="C48" s="145"/>
      <c r="D48" s="145"/>
      <c r="E48" s="145"/>
      <c r="F48" s="290"/>
      <c r="G48" s="145"/>
      <c r="H48" s="145"/>
      <c r="I48" s="290"/>
      <c r="J48" s="290"/>
      <c r="K48" s="286"/>
      <c r="L48" s="145"/>
      <c r="M48" s="145"/>
      <c r="N48" s="145"/>
      <c r="O48" s="286"/>
      <c r="P48" s="145"/>
      <c r="Q48" s="145"/>
      <c r="R48" s="145"/>
      <c r="S48" s="145"/>
      <c r="T48" s="145"/>
      <c r="U48" s="145"/>
      <c r="V48" s="145"/>
      <c r="W48" s="145"/>
      <c r="X48" s="145"/>
      <c r="Y48" s="145"/>
      <c r="Z48" s="145"/>
    </row>
    <row r="49" spans="1:26" ht="15.75" customHeight="1" x14ac:dyDescent="0.25">
      <c r="A49" s="289"/>
      <c r="B49" s="290"/>
      <c r="C49" s="145"/>
      <c r="D49" s="145"/>
      <c r="E49" s="145"/>
      <c r="F49" s="290"/>
      <c r="G49" s="145"/>
      <c r="H49" s="145"/>
      <c r="I49" s="290"/>
      <c r="J49" s="290"/>
      <c r="K49" s="286"/>
      <c r="L49" s="145"/>
      <c r="M49" s="145"/>
      <c r="N49" s="145"/>
      <c r="O49" s="286"/>
      <c r="P49" s="145"/>
      <c r="Q49" s="145"/>
      <c r="R49" s="145"/>
      <c r="S49" s="145"/>
      <c r="T49" s="145"/>
      <c r="U49" s="145"/>
      <c r="V49" s="145"/>
      <c r="W49" s="145"/>
      <c r="X49" s="145"/>
      <c r="Y49" s="145"/>
      <c r="Z49" s="145"/>
    </row>
    <row r="50" spans="1:26" ht="15.75" customHeight="1" x14ac:dyDescent="0.25">
      <c r="A50" s="289"/>
      <c r="B50" s="290"/>
      <c r="C50" s="145"/>
      <c r="D50" s="145"/>
      <c r="E50" s="145"/>
      <c r="F50" s="290"/>
      <c r="G50" s="145"/>
      <c r="H50" s="145"/>
      <c r="I50" s="290"/>
      <c r="J50" s="290"/>
      <c r="K50" s="286"/>
      <c r="L50" s="145"/>
      <c r="M50" s="145"/>
      <c r="N50" s="145"/>
      <c r="O50" s="286"/>
      <c r="P50" s="145"/>
      <c r="Q50" s="145"/>
      <c r="R50" s="145"/>
      <c r="S50" s="145"/>
      <c r="T50" s="145"/>
      <c r="U50" s="145"/>
      <c r="V50" s="145"/>
      <c r="W50" s="145"/>
      <c r="X50" s="145"/>
      <c r="Y50" s="145"/>
      <c r="Z50" s="145"/>
    </row>
    <row r="51" spans="1:26" ht="15.75" customHeight="1" x14ac:dyDescent="0.25">
      <c r="A51" s="289"/>
      <c r="B51" s="290"/>
      <c r="C51" s="145"/>
      <c r="D51" s="145"/>
      <c r="E51" s="145"/>
      <c r="F51" s="290"/>
      <c r="G51" s="145"/>
      <c r="H51" s="145"/>
      <c r="I51" s="290"/>
      <c r="J51" s="290"/>
      <c r="K51" s="286"/>
      <c r="L51" s="145"/>
      <c r="M51" s="145"/>
      <c r="N51" s="145"/>
      <c r="O51" s="286"/>
      <c r="P51" s="145"/>
      <c r="Q51" s="145"/>
      <c r="R51" s="145"/>
      <c r="S51" s="145"/>
      <c r="T51" s="145"/>
      <c r="U51" s="145"/>
      <c r="V51" s="145"/>
      <c r="W51" s="145"/>
      <c r="X51" s="145"/>
      <c r="Y51" s="145"/>
      <c r="Z51" s="145"/>
    </row>
    <row r="52" spans="1:26" ht="15.75" customHeight="1" x14ac:dyDescent="0.25">
      <c r="A52" s="289"/>
      <c r="B52" s="290"/>
      <c r="C52" s="145"/>
      <c r="D52" s="145"/>
      <c r="E52" s="145"/>
      <c r="F52" s="290"/>
      <c r="G52" s="145"/>
      <c r="H52" s="145"/>
      <c r="I52" s="290"/>
      <c r="J52" s="290"/>
      <c r="K52" s="286"/>
      <c r="L52" s="145"/>
      <c r="M52" s="145"/>
      <c r="N52" s="145"/>
      <c r="O52" s="286"/>
      <c r="P52" s="145"/>
      <c r="Q52" s="145"/>
      <c r="R52" s="145"/>
      <c r="S52" s="145"/>
      <c r="T52" s="145"/>
      <c r="U52" s="145"/>
      <c r="V52" s="145"/>
      <c r="W52" s="145"/>
      <c r="X52" s="145"/>
      <c r="Y52" s="145"/>
      <c r="Z52" s="145"/>
    </row>
    <row r="53" spans="1:26" ht="15.75" customHeight="1" x14ac:dyDescent="0.25">
      <c r="A53" s="289"/>
      <c r="B53" s="290"/>
      <c r="C53" s="145"/>
      <c r="D53" s="145"/>
      <c r="E53" s="145"/>
      <c r="F53" s="290"/>
      <c r="G53" s="145"/>
      <c r="H53" s="145"/>
      <c r="I53" s="290"/>
      <c r="J53" s="290"/>
      <c r="K53" s="286"/>
      <c r="L53" s="145"/>
      <c r="M53" s="145"/>
      <c r="N53" s="145"/>
      <c r="O53" s="286"/>
      <c r="P53" s="145"/>
      <c r="Q53" s="145"/>
      <c r="R53" s="145"/>
      <c r="S53" s="145"/>
      <c r="T53" s="145"/>
      <c r="U53" s="145"/>
      <c r="V53" s="145"/>
      <c r="W53" s="145"/>
      <c r="X53" s="145"/>
      <c r="Y53" s="145"/>
      <c r="Z53" s="145"/>
    </row>
    <row r="54" spans="1:26" ht="15.75" customHeight="1" x14ac:dyDescent="0.25">
      <c r="A54" s="289"/>
      <c r="B54" s="290"/>
      <c r="C54" s="145"/>
      <c r="D54" s="145"/>
      <c r="E54" s="145"/>
      <c r="F54" s="290"/>
      <c r="G54" s="145"/>
      <c r="H54" s="145"/>
      <c r="I54" s="290"/>
      <c r="J54" s="290"/>
      <c r="K54" s="286"/>
      <c r="L54" s="145"/>
      <c r="M54" s="145"/>
      <c r="N54" s="145"/>
      <c r="O54" s="286"/>
      <c r="P54" s="145"/>
      <c r="Q54" s="145"/>
      <c r="R54" s="145"/>
      <c r="S54" s="145"/>
      <c r="T54" s="145"/>
      <c r="U54" s="145"/>
      <c r="V54" s="145"/>
      <c r="W54" s="145"/>
      <c r="X54" s="145"/>
      <c r="Y54" s="145"/>
      <c r="Z54" s="145"/>
    </row>
    <row r="55" spans="1:26" ht="15.75" customHeight="1" x14ac:dyDescent="0.25">
      <c r="A55" s="289"/>
      <c r="B55" s="290"/>
      <c r="C55" s="145"/>
      <c r="D55" s="145"/>
      <c r="E55" s="145"/>
      <c r="F55" s="290"/>
      <c r="G55" s="145"/>
      <c r="H55" s="145"/>
      <c r="I55" s="290"/>
      <c r="J55" s="290"/>
      <c r="K55" s="286"/>
      <c r="L55" s="145"/>
      <c r="M55" s="145"/>
      <c r="N55" s="145"/>
      <c r="O55" s="286"/>
      <c r="P55" s="145"/>
      <c r="Q55" s="145"/>
      <c r="R55" s="145"/>
      <c r="S55" s="145"/>
      <c r="T55" s="145"/>
      <c r="U55" s="145"/>
      <c r="V55" s="145"/>
      <c r="W55" s="145"/>
      <c r="X55" s="145"/>
      <c r="Y55" s="145"/>
      <c r="Z55" s="145"/>
    </row>
    <row r="56" spans="1:26" ht="15.75" customHeight="1" x14ac:dyDescent="0.25">
      <c r="A56" s="289"/>
      <c r="B56" s="290"/>
      <c r="C56" s="145"/>
      <c r="D56" s="145"/>
      <c r="E56" s="145"/>
      <c r="F56" s="290"/>
      <c r="G56" s="145"/>
      <c r="H56" s="145"/>
      <c r="I56" s="290"/>
      <c r="J56" s="290"/>
      <c r="K56" s="286"/>
      <c r="L56" s="145"/>
      <c r="M56" s="145"/>
      <c r="N56" s="145"/>
      <c r="O56" s="286"/>
      <c r="P56" s="145"/>
      <c r="Q56" s="145"/>
      <c r="R56" s="145"/>
      <c r="S56" s="145"/>
      <c r="T56" s="145"/>
      <c r="U56" s="145"/>
      <c r="V56" s="145"/>
      <c r="W56" s="145"/>
      <c r="X56" s="145"/>
      <c r="Y56" s="145"/>
      <c r="Z56" s="145"/>
    </row>
    <row r="57" spans="1:26" ht="15.75" customHeight="1" x14ac:dyDescent="0.25">
      <c r="A57" s="289"/>
      <c r="B57" s="290"/>
      <c r="C57" s="145"/>
      <c r="D57" s="145"/>
      <c r="E57" s="145"/>
      <c r="F57" s="290"/>
      <c r="G57" s="145"/>
      <c r="H57" s="145"/>
      <c r="I57" s="290"/>
      <c r="J57" s="290"/>
      <c r="K57" s="286"/>
      <c r="L57" s="145"/>
      <c r="M57" s="145"/>
      <c r="N57" s="145"/>
      <c r="O57" s="286"/>
      <c r="P57" s="145"/>
      <c r="Q57" s="145"/>
      <c r="R57" s="145"/>
      <c r="S57" s="145"/>
      <c r="T57" s="145"/>
      <c r="U57" s="145"/>
      <c r="V57" s="145"/>
      <c r="W57" s="145"/>
      <c r="X57" s="145"/>
      <c r="Y57" s="145"/>
      <c r="Z57" s="145"/>
    </row>
    <row r="58" spans="1:26" ht="15.75" customHeight="1" x14ac:dyDescent="0.25">
      <c r="A58" s="289"/>
      <c r="B58" s="290"/>
      <c r="C58" s="145"/>
      <c r="D58" s="145"/>
      <c r="E58" s="145"/>
      <c r="F58" s="290"/>
      <c r="G58" s="145"/>
      <c r="H58" s="145"/>
      <c r="I58" s="290"/>
      <c r="J58" s="290"/>
      <c r="K58" s="286"/>
      <c r="L58" s="145"/>
      <c r="M58" s="145"/>
      <c r="N58" s="145"/>
      <c r="O58" s="286"/>
      <c r="P58" s="145"/>
      <c r="Q58" s="145"/>
      <c r="R58" s="145"/>
      <c r="S58" s="145"/>
      <c r="T58" s="145"/>
      <c r="U58" s="145"/>
      <c r="V58" s="145"/>
      <c r="W58" s="145"/>
      <c r="X58" s="145"/>
      <c r="Y58" s="145"/>
      <c r="Z58" s="145"/>
    </row>
    <row r="59" spans="1:26" ht="15.75" customHeight="1" x14ac:dyDescent="0.25">
      <c r="A59" s="289"/>
      <c r="B59" s="290"/>
      <c r="C59" s="145"/>
      <c r="D59" s="145"/>
      <c r="E59" s="145"/>
      <c r="F59" s="290"/>
      <c r="G59" s="145"/>
      <c r="H59" s="145"/>
      <c r="I59" s="290"/>
      <c r="J59" s="290"/>
      <c r="K59" s="286"/>
      <c r="L59" s="145"/>
      <c r="M59" s="145"/>
      <c r="N59" s="145"/>
      <c r="O59" s="286"/>
      <c r="P59" s="145"/>
      <c r="Q59" s="145"/>
      <c r="R59" s="145"/>
      <c r="S59" s="145"/>
      <c r="T59" s="145"/>
      <c r="U59" s="145"/>
      <c r="V59" s="145"/>
      <c r="W59" s="145"/>
      <c r="X59" s="145"/>
      <c r="Y59" s="145"/>
      <c r="Z59" s="145"/>
    </row>
    <row r="60" spans="1:26" ht="15.75" customHeight="1" x14ac:dyDescent="0.25">
      <c r="A60" s="289"/>
      <c r="B60" s="290"/>
      <c r="C60" s="145"/>
      <c r="D60" s="145"/>
      <c r="E60" s="145"/>
      <c r="F60" s="290"/>
      <c r="G60" s="145"/>
      <c r="H60" s="145"/>
      <c r="I60" s="290"/>
      <c r="J60" s="290"/>
      <c r="K60" s="286"/>
      <c r="L60" s="145"/>
      <c r="M60" s="145"/>
      <c r="N60" s="145"/>
      <c r="O60" s="286"/>
      <c r="P60" s="145"/>
      <c r="Q60" s="145"/>
      <c r="R60" s="145"/>
      <c r="S60" s="145"/>
      <c r="T60" s="145"/>
      <c r="U60" s="145"/>
      <c r="V60" s="145"/>
      <c r="W60" s="145"/>
      <c r="X60" s="145"/>
      <c r="Y60" s="145"/>
      <c r="Z60" s="145"/>
    </row>
    <row r="61" spans="1:26" ht="15.75" customHeight="1" x14ac:dyDescent="0.25">
      <c r="A61" s="289"/>
      <c r="B61" s="290"/>
      <c r="C61" s="145"/>
      <c r="D61" s="145"/>
      <c r="E61" s="145"/>
      <c r="F61" s="290"/>
      <c r="G61" s="145"/>
      <c r="H61" s="145"/>
      <c r="I61" s="290"/>
      <c r="J61" s="290"/>
      <c r="K61" s="286"/>
      <c r="L61" s="145"/>
      <c r="M61" s="145"/>
      <c r="N61" s="145"/>
      <c r="O61" s="286"/>
      <c r="P61" s="145"/>
      <c r="Q61" s="145"/>
      <c r="R61" s="145"/>
      <c r="S61" s="145"/>
      <c r="T61" s="145"/>
      <c r="U61" s="145"/>
      <c r="V61" s="145"/>
      <c r="W61" s="145"/>
      <c r="X61" s="145"/>
      <c r="Y61" s="145"/>
      <c r="Z61" s="145"/>
    </row>
    <row r="62" spans="1:26" ht="15.75" customHeight="1" x14ac:dyDescent="0.25">
      <c r="A62" s="289"/>
      <c r="B62" s="290"/>
      <c r="C62" s="145"/>
      <c r="D62" s="145"/>
      <c r="E62" s="145"/>
      <c r="F62" s="290"/>
      <c r="G62" s="145"/>
      <c r="H62" s="145"/>
      <c r="I62" s="290"/>
      <c r="J62" s="290"/>
      <c r="K62" s="286"/>
      <c r="L62" s="145"/>
      <c r="M62" s="145"/>
      <c r="N62" s="145"/>
      <c r="O62" s="286"/>
      <c r="P62" s="145"/>
      <c r="Q62" s="145"/>
      <c r="R62" s="145"/>
      <c r="S62" s="145"/>
      <c r="T62" s="145"/>
      <c r="U62" s="145"/>
      <c r="V62" s="145"/>
      <c r="W62" s="145"/>
      <c r="X62" s="145"/>
      <c r="Y62" s="145"/>
      <c r="Z62" s="145"/>
    </row>
    <row r="63" spans="1:26" ht="15.75" customHeight="1" x14ac:dyDescent="0.25">
      <c r="A63" s="289"/>
      <c r="B63" s="290"/>
      <c r="C63" s="145"/>
      <c r="D63" s="145"/>
      <c r="E63" s="145"/>
      <c r="F63" s="290"/>
      <c r="G63" s="145"/>
      <c r="H63" s="145"/>
      <c r="I63" s="290"/>
      <c r="J63" s="290"/>
      <c r="K63" s="286"/>
      <c r="L63" s="145"/>
      <c r="M63" s="145"/>
      <c r="N63" s="145"/>
      <c r="O63" s="286"/>
      <c r="P63" s="145"/>
      <c r="Q63" s="145"/>
      <c r="R63" s="145"/>
      <c r="S63" s="145"/>
      <c r="T63" s="145"/>
      <c r="U63" s="145"/>
      <c r="V63" s="145"/>
      <c r="W63" s="145"/>
      <c r="X63" s="145"/>
      <c r="Y63" s="145"/>
      <c r="Z63" s="145"/>
    </row>
    <row r="64" spans="1:26" ht="15.75" customHeight="1" x14ac:dyDescent="0.25">
      <c r="A64" s="289"/>
      <c r="B64" s="290"/>
      <c r="C64" s="145"/>
      <c r="D64" s="145"/>
      <c r="E64" s="145"/>
      <c r="F64" s="290"/>
      <c r="G64" s="145"/>
      <c r="H64" s="145"/>
      <c r="I64" s="290"/>
      <c r="J64" s="290"/>
      <c r="K64" s="286"/>
      <c r="L64" s="145"/>
      <c r="M64" s="145"/>
      <c r="N64" s="145"/>
      <c r="O64" s="286"/>
      <c r="P64" s="145"/>
      <c r="Q64" s="145"/>
      <c r="R64" s="145"/>
      <c r="S64" s="145"/>
      <c r="T64" s="145"/>
      <c r="U64" s="145"/>
      <c r="V64" s="145"/>
      <c r="W64" s="145"/>
      <c r="X64" s="145"/>
      <c r="Y64" s="145"/>
      <c r="Z64" s="145"/>
    </row>
    <row r="65" spans="1:26" ht="15.75" customHeight="1" x14ac:dyDescent="0.25">
      <c r="A65" s="289"/>
      <c r="B65" s="290"/>
      <c r="C65" s="145"/>
      <c r="D65" s="145"/>
      <c r="E65" s="145"/>
      <c r="F65" s="290"/>
      <c r="G65" s="145"/>
      <c r="H65" s="145"/>
      <c r="I65" s="290"/>
      <c r="J65" s="290"/>
      <c r="K65" s="286"/>
      <c r="L65" s="145"/>
      <c r="M65" s="145"/>
      <c r="N65" s="145"/>
      <c r="O65" s="286"/>
      <c r="P65" s="145"/>
      <c r="Q65" s="145"/>
      <c r="R65" s="145"/>
      <c r="S65" s="145"/>
      <c r="T65" s="145"/>
      <c r="U65" s="145"/>
      <c r="V65" s="145"/>
      <c r="W65" s="145"/>
      <c r="X65" s="145"/>
      <c r="Y65" s="145"/>
      <c r="Z65" s="145"/>
    </row>
    <row r="66" spans="1:26" ht="15.75" customHeight="1" x14ac:dyDescent="0.25">
      <c r="A66" s="289"/>
      <c r="B66" s="290"/>
      <c r="C66" s="145"/>
      <c r="D66" s="145"/>
      <c r="E66" s="145"/>
      <c r="F66" s="290"/>
      <c r="G66" s="145"/>
      <c r="H66" s="145"/>
      <c r="I66" s="290"/>
      <c r="J66" s="290"/>
      <c r="K66" s="286"/>
      <c r="L66" s="145"/>
      <c r="M66" s="145"/>
      <c r="N66" s="145"/>
      <c r="O66" s="286"/>
      <c r="P66" s="145"/>
      <c r="Q66" s="145"/>
      <c r="R66" s="145"/>
      <c r="S66" s="145"/>
      <c r="T66" s="145"/>
      <c r="U66" s="145"/>
      <c r="V66" s="145"/>
      <c r="W66" s="145"/>
      <c r="X66" s="145"/>
      <c r="Y66" s="145"/>
      <c r="Z66" s="145"/>
    </row>
    <row r="67" spans="1:26" ht="15.75" customHeight="1" x14ac:dyDescent="0.25">
      <c r="A67" s="289"/>
      <c r="B67" s="290"/>
      <c r="C67" s="145"/>
      <c r="D67" s="145"/>
      <c r="E67" s="145"/>
      <c r="F67" s="290"/>
      <c r="G67" s="145"/>
      <c r="H67" s="145"/>
      <c r="I67" s="290"/>
      <c r="J67" s="290"/>
      <c r="K67" s="286"/>
      <c r="L67" s="145"/>
      <c r="M67" s="145"/>
      <c r="N67" s="145"/>
      <c r="O67" s="286"/>
      <c r="P67" s="145"/>
      <c r="Q67" s="145"/>
      <c r="R67" s="145"/>
      <c r="S67" s="145"/>
      <c r="T67" s="145"/>
      <c r="U67" s="145"/>
      <c r="V67" s="145"/>
      <c r="W67" s="145"/>
      <c r="X67" s="145"/>
      <c r="Y67" s="145"/>
      <c r="Z67" s="145"/>
    </row>
    <row r="68" spans="1:26" ht="15.75" customHeight="1" x14ac:dyDescent="0.25">
      <c r="A68" s="289"/>
      <c r="B68" s="290"/>
      <c r="C68" s="145"/>
      <c r="D68" s="145"/>
      <c r="E68" s="145"/>
      <c r="F68" s="290"/>
      <c r="G68" s="145"/>
      <c r="H68" s="145"/>
      <c r="I68" s="290"/>
      <c r="J68" s="290"/>
      <c r="K68" s="286"/>
      <c r="L68" s="145"/>
      <c r="M68" s="145"/>
      <c r="N68" s="145"/>
      <c r="O68" s="286"/>
      <c r="P68" s="145"/>
      <c r="Q68" s="145"/>
      <c r="R68" s="145"/>
      <c r="S68" s="145"/>
      <c r="T68" s="145"/>
      <c r="U68" s="145"/>
      <c r="V68" s="145"/>
      <c r="W68" s="145"/>
      <c r="X68" s="145"/>
      <c r="Y68" s="145"/>
      <c r="Z68" s="145"/>
    </row>
    <row r="69" spans="1:26" ht="15.75" customHeight="1" x14ac:dyDescent="0.25">
      <c r="A69" s="289"/>
      <c r="B69" s="290"/>
      <c r="C69" s="145"/>
      <c r="D69" s="145"/>
      <c r="E69" s="145"/>
      <c r="F69" s="290"/>
      <c r="G69" s="145"/>
      <c r="H69" s="145"/>
      <c r="I69" s="290"/>
      <c r="J69" s="290"/>
      <c r="K69" s="286"/>
      <c r="L69" s="145"/>
      <c r="M69" s="145"/>
      <c r="N69" s="145"/>
      <c r="O69" s="286"/>
      <c r="P69" s="145"/>
      <c r="Q69" s="145"/>
      <c r="R69" s="145"/>
      <c r="S69" s="145"/>
      <c r="T69" s="145"/>
      <c r="U69" s="145"/>
      <c r="V69" s="145"/>
      <c r="W69" s="145"/>
      <c r="X69" s="145"/>
      <c r="Y69" s="145"/>
      <c r="Z69" s="145"/>
    </row>
    <row r="70" spans="1:26" ht="15.75" customHeight="1" x14ac:dyDescent="0.25">
      <c r="A70" s="289"/>
      <c r="B70" s="290"/>
      <c r="C70" s="145"/>
      <c r="D70" s="145"/>
      <c r="E70" s="145"/>
      <c r="F70" s="290"/>
      <c r="G70" s="145"/>
      <c r="H70" s="145"/>
      <c r="I70" s="290"/>
      <c r="J70" s="290"/>
      <c r="K70" s="286"/>
      <c r="L70" s="145"/>
      <c r="M70" s="145"/>
      <c r="N70" s="145"/>
      <c r="O70" s="286"/>
      <c r="P70" s="145"/>
      <c r="Q70" s="145"/>
      <c r="R70" s="145"/>
      <c r="S70" s="145"/>
      <c r="T70" s="145"/>
      <c r="U70" s="145"/>
      <c r="V70" s="145"/>
      <c r="W70" s="145"/>
      <c r="X70" s="145"/>
      <c r="Y70" s="145"/>
      <c r="Z70" s="145"/>
    </row>
    <row r="71" spans="1:26" ht="15.75" customHeight="1" x14ac:dyDescent="0.25">
      <c r="A71" s="289"/>
      <c r="B71" s="290"/>
      <c r="C71" s="145"/>
      <c r="D71" s="145"/>
      <c r="E71" s="145"/>
      <c r="F71" s="290"/>
      <c r="G71" s="145"/>
      <c r="H71" s="145"/>
      <c r="I71" s="290"/>
      <c r="J71" s="290"/>
      <c r="K71" s="286"/>
      <c r="L71" s="145"/>
      <c r="M71" s="145"/>
      <c r="N71" s="145"/>
      <c r="O71" s="286"/>
      <c r="P71" s="145"/>
      <c r="Q71" s="145"/>
      <c r="R71" s="145"/>
      <c r="S71" s="145"/>
      <c r="T71" s="145"/>
      <c r="U71" s="145"/>
      <c r="V71" s="145"/>
      <c r="W71" s="145"/>
      <c r="X71" s="145"/>
      <c r="Y71" s="145"/>
      <c r="Z71" s="145"/>
    </row>
    <row r="72" spans="1:26" ht="15.75" customHeight="1" x14ac:dyDescent="0.25">
      <c r="A72" s="289"/>
      <c r="B72" s="290"/>
      <c r="C72" s="145"/>
      <c r="D72" s="145"/>
      <c r="E72" s="145"/>
      <c r="F72" s="290"/>
      <c r="G72" s="145"/>
      <c r="H72" s="145"/>
      <c r="I72" s="290"/>
      <c r="J72" s="290"/>
      <c r="K72" s="286"/>
      <c r="L72" s="145"/>
      <c r="M72" s="145"/>
      <c r="N72" s="145"/>
      <c r="O72" s="286"/>
      <c r="P72" s="145"/>
      <c r="Q72" s="145"/>
      <c r="R72" s="145"/>
      <c r="S72" s="145"/>
      <c r="T72" s="145"/>
      <c r="U72" s="145"/>
      <c r="V72" s="145"/>
      <c r="W72" s="145"/>
      <c r="X72" s="145"/>
      <c r="Y72" s="145"/>
      <c r="Z72" s="145"/>
    </row>
    <row r="73" spans="1:26" ht="15.75" customHeight="1" x14ac:dyDescent="0.25">
      <c r="A73" s="289"/>
      <c r="B73" s="290"/>
      <c r="C73" s="145"/>
      <c r="D73" s="145"/>
      <c r="E73" s="145"/>
      <c r="F73" s="290"/>
      <c r="G73" s="145"/>
      <c r="H73" s="145"/>
      <c r="I73" s="290"/>
      <c r="J73" s="290"/>
      <c r="K73" s="286"/>
      <c r="L73" s="145"/>
      <c r="M73" s="145"/>
      <c r="N73" s="145"/>
      <c r="O73" s="286"/>
      <c r="P73" s="145"/>
      <c r="Q73" s="145"/>
      <c r="R73" s="145"/>
      <c r="S73" s="145"/>
      <c r="T73" s="145"/>
      <c r="U73" s="145"/>
      <c r="V73" s="145"/>
      <c r="W73" s="145"/>
      <c r="X73" s="145"/>
      <c r="Y73" s="145"/>
      <c r="Z73" s="145"/>
    </row>
    <row r="74" spans="1:26" ht="15.75" customHeight="1" x14ac:dyDescent="0.25">
      <c r="A74" s="289"/>
      <c r="B74" s="290"/>
      <c r="C74" s="145"/>
      <c r="D74" s="145"/>
      <c r="E74" s="145"/>
      <c r="F74" s="290"/>
      <c r="G74" s="145"/>
      <c r="H74" s="145"/>
      <c r="I74" s="290"/>
      <c r="J74" s="290"/>
      <c r="K74" s="286"/>
      <c r="L74" s="145"/>
      <c r="M74" s="145"/>
      <c r="N74" s="145"/>
      <c r="O74" s="286"/>
      <c r="P74" s="145"/>
      <c r="Q74" s="145"/>
      <c r="R74" s="145"/>
      <c r="S74" s="145"/>
      <c r="T74" s="145"/>
      <c r="U74" s="145"/>
      <c r="V74" s="145"/>
      <c r="W74" s="145"/>
      <c r="X74" s="145"/>
      <c r="Y74" s="145"/>
      <c r="Z74" s="145"/>
    </row>
    <row r="75" spans="1:26" ht="15.75" customHeight="1" x14ac:dyDescent="0.25">
      <c r="A75" s="289"/>
      <c r="B75" s="290"/>
      <c r="C75" s="145"/>
      <c r="D75" s="145"/>
      <c r="E75" s="145"/>
      <c r="F75" s="290"/>
      <c r="G75" s="145"/>
      <c r="H75" s="145"/>
      <c r="I75" s="290"/>
      <c r="J75" s="290"/>
      <c r="K75" s="286"/>
      <c r="L75" s="145"/>
      <c r="M75" s="145"/>
      <c r="N75" s="145"/>
      <c r="O75" s="286"/>
      <c r="P75" s="145"/>
      <c r="Q75" s="145"/>
      <c r="R75" s="145"/>
      <c r="S75" s="145"/>
      <c r="T75" s="145"/>
      <c r="U75" s="145"/>
      <c r="V75" s="145"/>
      <c r="W75" s="145"/>
      <c r="X75" s="145"/>
      <c r="Y75" s="145"/>
      <c r="Z75" s="145"/>
    </row>
    <row r="76" spans="1:26" ht="15.75" customHeight="1" x14ac:dyDescent="0.25">
      <c r="A76" s="289"/>
      <c r="B76" s="290"/>
      <c r="C76" s="145"/>
      <c r="D76" s="145"/>
      <c r="E76" s="145"/>
      <c r="F76" s="290"/>
      <c r="G76" s="145"/>
      <c r="H76" s="145"/>
      <c r="I76" s="290"/>
      <c r="J76" s="290"/>
      <c r="K76" s="286"/>
      <c r="L76" s="145"/>
      <c r="M76" s="145"/>
      <c r="N76" s="145"/>
      <c r="O76" s="286"/>
      <c r="P76" s="145"/>
      <c r="Q76" s="145"/>
      <c r="R76" s="145"/>
      <c r="S76" s="145"/>
      <c r="T76" s="145"/>
      <c r="U76" s="145"/>
      <c r="V76" s="145"/>
      <c r="W76" s="145"/>
      <c r="X76" s="145"/>
      <c r="Y76" s="145"/>
      <c r="Z76" s="145"/>
    </row>
    <row r="77" spans="1:26" ht="15.75" customHeight="1" x14ac:dyDescent="0.25">
      <c r="A77" s="289"/>
      <c r="B77" s="290"/>
      <c r="C77" s="145"/>
      <c r="D77" s="145"/>
      <c r="E77" s="145"/>
      <c r="F77" s="290"/>
      <c r="G77" s="145"/>
      <c r="H77" s="145"/>
      <c r="I77" s="290"/>
      <c r="J77" s="290"/>
      <c r="K77" s="286"/>
      <c r="L77" s="145"/>
      <c r="M77" s="145"/>
      <c r="N77" s="145"/>
      <c r="O77" s="286"/>
      <c r="P77" s="145"/>
      <c r="Q77" s="145"/>
      <c r="R77" s="145"/>
      <c r="S77" s="145"/>
      <c r="T77" s="145"/>
      <c r="U77" s="145"/>
      <c r="V77" s="145"/>
      <c r="W77" s="145"/>
      <c r="X77" s="145"/>
      <c r="Y77" s="145"/>
      <c r="Z77" s="145"/>
    </row>
    <row r="78" spans="1:26" ht="15.75" customHeight="1" x14ac:dyDescent="0.25">
      <c r="A78" s="289"/>
      <c r="B78" s="290"/>
      <c r="C78" s="145"/>
      <c r="D78" s="145"/>
      <c r="E78" s="145"/>
      <c r="F78" s="290"/>
      <c r="G78" s="145"/>
      <c r="H78" s="145"/>
      <c r="I78" s="290"/>
      <c r="J78" s="290"/>
      <c r="K78" s="286"/>
      <c r="L78" s="145"/>
      <c r="M78" s="145"/>
      <c r="N78" s="145"/>
      <c r="O78" s="286"/>
      <c r="P78" s="145"/>
      <c r="Q78" s="145"/>
      <c r="R78" s="145"/>
      <c r="S78" s="145"/>
      <c r="T78" s="145"/>
      <c r="U78" s="145"/>
      <c r="V78" s="145"/>
      <c r="W78" s="145"/>
      <c r="X78" s="145"/>
      <c r="Y78" s="145"/>
      <c r="Z78" s="145"/>
    </row>
    <row r="79" spans="1:26" ht="15.75" customHeight="1" x14ac:dyDescent="0.25">
      <c r="A79" s="289"/>
      <c r="B79" s="290"/>
      <c r="C79" s="145"/>
      <c r="D79" s="145"/>
      <c r="E79" s="145"/>
      <c r="F79" s="290"/>
      <c r="G79" s="145"/>
      <c r="H79" s="145"/>
      <c r="I79" s="290"/>
      <c r="J79" s="290"/>
      <c r="K79" s="286"/>
      <c r="L79" s="145"/>
      <c r="M79" s="145"/>
      <c r="N79" s="145"/>
      <c r="O79" s="286"/>
      <c r="P79" s="145"/>
      <c r="Q79" s="145"/>
      <c r="R79" s="145"/>
      <c r="S79" s="145"/>
      <c r="T79" s="145"/>
      <c r="U79" s="145"/>
      <c r="V79" s="145"/>
      <c r="W79" s="145"/>
      <c r="X79" s="145"/>
      <c r="Y79" s="145"/>
      <c r="Z79" s="145"/>
    </row>
    <row r="80" spans="1:26" ht="15.75" customHeight="1" x14ac:dyDescent="0.25">
      <c r="A80" s="289"/>
      <c r="B80" s="290"/>
      <c r="C80" s="145"/>
      <c r="D80" s="145"/>
      <c r="E80" s="145"/>
      <c r="F80" s="290"/>
      <c r="G80" s="145"/>
      <c r="H80" s="145"/>
      <c r="I80" s="290"/>
      <c r="J80" s="290"/>
      <c r="K80" s="286"/>
      <c r="L80" s="145"/>
      <c r="M80" s="145"/>
      <c r="N80" s="145"/>
      <c r="O80" s="286"/>
      <c r="P80" s="145"/>
      <c r="Q80" s="145"/>
      <c r="R80" s="145"/>
      <c r="S80" s="145"/>
      <c r="T80" s="145"/>
      <c r="U80" s="145"/>
      <c r="V80" s="145"/>
      <c r="W80" s="145"/>
      <c r="X80" s="145"/>
      <c r="Y80" s="145"/>
      <c r="Z80" s="145"/>
    </row>
    <row r="81" spans="1:26" ht="15.75" customHeight="1" x14ac:dyDescent="0.25">
      <c r="A81" s="289"/>
      <c r="B81" s="290"/>
      <c r="C81" s="145"/>
      <c r="D81" s="145"/>
      <c r="E81" s="145"/>
      <c r="F81" s="290"/>
      <c r="G81" s="145"/>
      <c r="H81" s="145"/>
      <c r="I81" s="290"/>
      <c r="J81" s="290"/>
      <c r="K81" s="286"/>
      <c r="L81" s="145"/>
      <c r="M81" s="145"/>
      <c r="N81" s="145"/>
      <c r="O81" s="286"/>
      <c r="P81" s="145"/>
      <c r="Q81" s="145"/>
      <c r="R81" s="145"/>
      <c r="S81" s="145"/>
      <c r="T81" s="145"/>
      <c r="U81" s="145"/>
      <c r="V81" s="145"/>
      <c r="W81" s="145"/>
      <c r="X81" s="145"/>
      <c r="Y81" s="145"/>
      <c r="Z81" s="145"/>
    </row>
    <row r="82" spans="1:26" ht="15.75" customHeight="1" x14ac:dyDescent="0.25">
      <c r="A82" s="289"/>
      <c r="B82" s="290"/>
      <c r="C82" s="145"/>
      <c r="D82" s="145"/>
      <c r="E82" s="145"/>
      <c r="F82" s="290"/>
      <c r="G82" s="145"/>
      <c r="H82" s="145"/>
      <c r="I82" s="290"/>
      <c r="J82" s="290"/>
      <c r="K82" s="286"/>
      <c r="L82" s="145"/>
      <c r="M82" s="145"/>
      <c r="N82" s="145"/>
      <c r="O82" s="286"/>
      <c r="P82" s="145"/>
      <c r="Q82" s="145"/>
      <c r="R82" s="145"/>
      <c r="S82" s="145"/>
      <c r="T82" s="145"/>
      <c r="U82" s="145"/>
      <c r="V82" s="145"/>
      <c r="W82" s="145"/>
      <c r="X82" s="145"/>
      <c r="Y82" s="145"/>
      <c r="Z82" s="145"/>
    </row>
    <row r="83" spans="1:26" ht="15.75" customHeight="1" x14ac:dyDescent="0.25">
      <c r="A83" s="289"/>
      <c r="B83" s="290"/>
      <c r="C83" s="145"/>
      <c r="D83" s="145"/>
      <c r="E83" s="145"/>
      <c r="F83" s="290"/>
      <c r="G83" s="145"/>
      <c r="H83" s="145"/>
      <c r="I83" s="290"/>
      <c r="J83" s="290"/>
      <c r="K83" s="286"/>
      <c r="L83" s="145"/>
      <c r="M83" s="145"/>
      <c r="N83" s="145"/>
      <c r="O83" s="286"/>
      <c r="P83" s="145"/>
      <c r="Q83" s="145"/>
      <c r="R83" s="145"/>
      <c r="S83" s="145"/>
      <c r="T83" s="145"/>
      <c r="U83" s="145"/>
      <c r="V83" s="145"/>
      <c r="W83" s="145"/>
      <c r="X83" s="145"/>
      <c r="Y83" s="145"/>
      <c r="Z83" s="145"/>
    </row>
    <row r="84" spans="1:26" ht="15.75" customHeight="1" x14ac:dyDescent="0.25">
      <c r="A84" s="289"/>
      <c r="B84" s="290"/>
      <c r="C84" s="145"/>
      <c r="D84" s="145"/>
      <c r="E84" s="145"/>
      <c r="F84" s="290"/>
      <c r="G84" s="145"/>
      <c r="H84" s="145"/>
      <c r="I84" s="290"/>
      <c r="J84" s="290"/>
      <c r="K84" s="286"/>
      <c r="L84" s="145"/>
      <c r="M84" s="145"/>
      <c r="N84" s="145"/>
      <c r="O84" s="286"/>
      <c r="P84" s="145"/>
      <c r="Q84" s="145"/>
      <c r="R84" s="145"/>
      <c r="S84" s="145"/>
      <c r="T84" s="145"/>
      <c r="U84" s="145"/>
      <c r="V84" s="145"/>
      <c r="W84" s="145"/>
      <c r="X84" s="145"/>
      <c r="Y84" s="145"/>
      <c r="Z84" s="145"/>
    </row>
    <row r="85" spans="1:26" ht="15.75" customHeight="1" x14ac:dyDescent="0.25">
      <c r="A85" s="289"/>
      <c r="B85" s="290"/>
      <c r="C85" s="145"/>
      <c r="D85" s="145"/>
      <c r="E85" s="145"/>
      <c r="F85" s="290"/>
      <c r="G85" s="145"/>
      <c r="H85" s="145"/>
      <c r="I85" s="290"/>
      <c r="J85" s="290"/>
      <c r="K85" s="286"/>
      <c r="L85" s="145"/>
      <c r="M85" s="145"/>
      <c r="N85" s="145"/>
      <c r="O85" s="286"/>
      <c r="P85" s="145"/>
      <c r="Q85" s="145"/>
      <c r="R85" s="145"/>
      <c r="S85" s="145"/>
      <c r="T85" s="145"/>
      <c r="U85" s="145"/>
      <c r="V85" s="145"/>
      <c r="W85" s="145"/>
      <c r="X85" s="145"/>
      <c r="Y85" s="145"/>
      <c r="Z85" s="145"/>
    </row>
    <row r="86" spans="1:26" ht="15.75" customHeight="1" x14ac:dyDescent="0.25">
      <c r="A86" s="289"/>
      <c r="B86" s="290"/>
      <c r="C86" s="145"/>
      <c r="D86" s="145"/>
      <c r="E86" s="145"/>
      <c r="F86" s="290"/>
      <c r="G86" s="145"/>
      <c r="H86" s="145"/>
      <c r="I86" s="290"/>
      <c r="J86" s="290"/>
      <c r="K86" s="286"/>
      <c r="L86" s="145"/>
      <c r="M86" s="145"/>
      <c r="N86" s="145"/>
      <c r="O86" s="286"/>
      <c r="P86" s="145"/>
      <c r="Q86" s="145"/>
      <c r="R86" s="145"/>
      <c r="S86" s="145"/>
      <c r="T86" s="145"/>
      <c r="U86" s="145"/>
      <c r="V86" s="145"/>
      <c r="W86" s="145"/>
      <c r="X86" s="145"/>
      <c r="Y86" s="145"/>
      <c r="Z86" s="145"/>
    </row>
    <row r="87" spans="1:26" ht="15.75" customHeight="1" x14ac:dyDescent="0.25">
      <c r="A87" s="289"/>
      <c r="B87" s="290"/>
      <c r="C87" s="145"/>
      <c r="D87" s="145"/>
      <c r="E87" s="145"/>
      <c r="F87" s="290"/>
      <c r="G87" s="145"/>
      <c r="H87" s="145"/>
      <c r="I87" s="290"/>
      <c r="J87" s="290"/>
      <c r="K87" s="286"/>
      <c r="L87" s="145"/>
      <c r="M87" s="145"/>
      <c r="N87" s="145"/>
      <c r="O87" s="286"/>
      <c r="P87" s="145"/>
      <c r="Q87" s="145"/>
      <c r="R87" s="145"/>
      <c r="S87" s="145"/>
      <c r="T87" s="145"/>
      <c r="U87" s="145"/>
      <c r="V87" s="145"/>
      <c r="W87" s="145"/>
      <c r="X87" s="145"/>
      <c r="Y87" s="145"/>
      <c r="Z87" s="145"/>
    </row>
    <row r="88" spans="1:26" ht="15.75" customHeight="1" x14ac:dyDescent="0.25">
      <c r="A88" s="289"/>
      <c r="B88" s="290"/>
      <c r="C88" s="145"/>
      <c r="D88" s="145"/>
      <c r="E88" s="145"/>
      <c r="F88" s="290"/>
      <c r="G88" s="145"/>
      <c r="H88" s="145"/>
      <c r="I88" s="290"/>
      <c r="J88" s="290"/>
      <c r="K88" s="286"/>
      <c r="L88" s="145"/>
      <c r="M88" s="145"/>
      <c r="N88" s="145"/>
      <c r="O88" s="286"/>
      <c r="P88" s="145"/>
      <c r="Q88" s="145"/>
      <c r="R88" s="145"/>
      <c r="S88" s="145"/>
      <c r="T88" s="145"/>
      <c r="U88" s="145"/>
      <c r="V88" s="145"/>
      <c r="W88" s="145"/>
      <c r="X88" s="145"/>
      <c r="Y88" s="145"/>
      <c r="Z88" s="145"/>
    </row>
    <row r="89" spans="1:26" ht="15.75" customHeight="1" x14ac:dyDescent="0.25">
      <c r="A89" s="289"/>
      <c r="B89" s="290"/>
      <c r="C89" s="145"/>
      <c r="D89" s="145"/>
      <c r="E89" s="145"/>
      <c r="F89" s="290"/>
      <c r="G89" s="145"/>
      <c r="H89" s="145"/>
      <c r="I89" s="290"/>
      <c r="J89" s="290"/>
      <c r="K89" s="286"/>
      <c r="L89" s="145"/>
      <c r="M89" s="145"/>
      <c r="N89" s="145"/>
      <c r="O89" s="286"/>
      <c r="P89" s="145"/>
      <c r="Q89" s="145"/>
      <c r="R89" s="145"/>
      <c r="S89" s="145"/>
      <c r="T89" s="145"/>
      <c r="U89" s="145"/>
      <c r="V89" s="145"/>
      <c r="W89" s="145"/>
      <c r="X89" s="145"/>
      <c r="Y89" s="145"/>
      <c r="Z89" s="145"/>
    </row>
    <row r="90" spans="1:26" ht="15.75" customHeight="1" x14ac:dyDescent="0.25">
      <c r="A90" s="289"/>
      <c r="B90" s="290"/>
      <c r="C90" s="145"/>
      <c r="D90" s="145"/>
      <c r="E90" s="145"/>
      <c r="F90" s="290"/>
      <c r="G90" s="145"/>
      <c r="H90" s="145"/>
      <c r="I90" s="290"/>
      <c r="J90" s="290"/>
      <c r="K90" s="286"/>
      <c r="L90" s="145"/>
      <c r="M90" s="145"/>
      <c r="N90" s="145"/>
      <c r="O90" s="286"/>
      <c r="P90" s="145"/>
      <c r="Q90" s="145"/>
      <c r="R90" s="145"/>
      <c r="S90" s="145"/>
      <c r="T90" s="145"/>
      <c r="U90" s="145"/>
      <c r="V90" s="145"/>
      <c r="W90" s="145"/>
      <c r="X90" s="145"/>
      <c r="Y90" s="145"/>
      <c r="Z90" s="145"/>
    </row>
    <row r="91" spans="1:26" ht="15.75" customHeight="1" x14ac:dyDescent="0.25">
      <c r="A91" s="289"/>
      <c r="B91" s="290"/>
      <c r="C91" s="145"/>
      <c r="D91" s="145"/>
      <c r="E91" s="145"/>
      <c r="F91" s="290"/>
      <c r="G91" s="145"/>
      <c r="H91" s="145"/>
      <c r="I91" s="290"/>
      <c r="J91" s="290"/>
      <c r="K91" s="286"/>
      <c r="L91" s="145"/>
      <c r="M91" s="145"/>
      <c r="N91" s="145"/>
      <c r="O91" s="286"/>
      <c r="P91" s="145"/>
      <c r="Q91" s="145"/>
      <c r="R91" s="145"/>
      <c r="S91" s="145"/>
      <c r="T91" s="145"/>
      <c r="U91" s="145"/>
      <c r="V91" s="145"/>
      <c r="W91" s="145"/>
      <c r="X91" s="145"/>
      <c r="Y91" s="145"/>
      <c r="Z91" s="145"/>
    </row>
    <row r="92" spans="1:26" ht="15.75" customHeight="1" x14ac:dyDescent="0.25">
      <c r="A92" s="289"/>
      <c r="B92" s="290"/>
      <c r="C92" s="145"/>
      <c r="D92" s="145"/>
      <c r="E92" s="145"/>
      <c r="F92" s="290"/>
      <c r="G92" s="145"/>
      <c r="H92" s="145"/>
      <c r="I92" s="290"/>
      <c r="J92" s="290"/>
      <c r="K92" s="286"/>
      <c r="L92" s="145"/>
      <c r="M92" s="145"/>
      <c r="N92" s="145"/>
      <c r="O92" s="286"/>
      <c r="P92" s="145"/>
      <c r="Q92" s="145"/>
      <c r="R92" s="145"/>
      <c r="S92" s="145"/>
      <c r="T92" s="145"/>
      <c r="U92" s="145"/>
      <c r="V92" s="145"/>
      <c r="W92" s="145"/>
      <c r="X92" s="145"/>
      <c r="Y92" s="145"/>
      <c r="Z92" s="145"/>
    </row>
    <row r="93" spans="1:26" ht="15.75" customHeight="1" x14ac:dyDescent="0.25">
      <c r="A93" s="289"/>
      <c r="B93" s="290"/>
      <c r="C93" s="145"/>
      <c r="D93" s="145"/>
      <c r="E93" s="145"/>
      <c r="F93" s="290"/>
      <c r="G93" s="145"/>
      <c r="H93" s="145"/>
      <c r="I93" s="290"/>
      <c r="J93" s="290"/>
      <c r="K93" s="286"/>
      <c r="L93" s="145"/>
      <c r="M93" s="145"/>
      <c r="N93" s="145"/>
      <c r="O93" s="286"/>
      <c r="P93" s="145"/>
      <c r="Q93" s="145"/>
      <c r="R93" s="145"/>
      <c r="S93" s="145"/>
      <c r="T93" s="145"/>
      <c r="U93" s="145"/>
      <c r="V93" s="145"/>
      <c r="W93" s="145"/>
      <c r="X93" s="145"/>
      <c r="Y93" s="145"/>
      <c r="Z93" s="145"/>
    </row>
    <row r="94" spans="1:26" ht="15.75" customHeight="1" x14ac:dyDescent="0.25">
      <c r="A94" s="289"/>
      <c r="B94" s="290"/>
      <c r="C94" s="145"/>
      <c r="D94" s="145"/>
      <c r="E94" s="145"/>
      <c r="F94" s="290"/>
      <c r="G94" s="145"/>
      <c r="H94" s="145"/>
      <c r="I94" s="290"/>
      <c r="J94" s="290"/>
      <c r="K94" s="286"/>
      <c r="L94" s="145"/>
      <c r="M94" s="145"/>
      <c r="N94" s="145"/>
      <c r="O94" s="286"/>
      <c r="P94" s="145"/>
      <c r="Q94" s="145"/>
      <c r="R94" s="145"/>
      <c r="S94" s="145"/>
      <c r="T94" s="145"/>
      <c r="U94" s="145"/>
      <c r="V94" s="145"/>
      <c r="W94" s="145"/>
      <c r="X94" s="145"/>
      <c r="Y94" s="145"/>
      <c r="Z94" s="145"/>
    </row>
    <row r="95" spans="1:26" ht="15.75" customHeight="1" x14ac:dyDescent="0.25">
      <c r="A95" s="289"/>
      <c r="B95" s="290"/>
      <c r="C95" s="145"/>
      <c r="D95" s="145"/>
      <c r="E95" s="145"/>
      <c r="F95" s="290"/>
      <c r="G95" s="145"/>
      <c r="H95" s="145"/>
      <c r="I95" s="290"/>
      <c r="J95" s="290"/>
      <c r="K95" s="286"/>
      <c r="L95" s="145"/>
      <c r="M95" s="145"/>
      <c r="N95" s="145"/>
      <c r="O95" s="286"/>
      <c r="P95" s="145"/>
      <c r="Q95" s="145"/>
      <c r="R95" s="145"/>
      <c r="S95" s="145"/>
      <c r="T95" s="145"/>
      <c r="U95" s="145"/>
      <c r="V95" s="145"/>
      <c r="W95" s="145"/>
      <c r="X95" s="145"/>
      <c r="Y95" s="145"/>
      <c r="Z95" s="145"/>
    </row>
    <row r="96" spans="1:26" ht="15.75" customHeight="1" x14ac:dyDescent="0.25">
      <c r="A96" s="289"/>
      <c r="B96" s="290"/>
      <c r="C96" s="145"/>
      <c r="D96" s="145"/>
      <c r="E96" s="145"/>
      <c r="F96" s="290"/>
      <c r="G96" s="145"/>
      <c r="H96" s="145"/>
      <c r="I96" s="290"/>
      <c r="J96" s="290"/>
      <c r="K96" s="286"/>
      <c r="L96" s="145"/>
      <c r="M96" s="145"/>
      <c r="N96" s="145"/>
      <c r="O96" s="286"/>
      <c r="P96" s="145"/>
      <c r="Q96" s="145"/>
      <c r="R96" s="145"/>
      <c r="S96" s="145"/>
      <c r="T96" s="145"/>
      <c r="U96" s="145"/>
      <c r="V96" s="145"/>
      <c r="W96" s="145"/>
      <c r="X96" s="145"/>
      <c r="Y96" s="145"/>
      <c r="Z96" s="145"/>
    </row>
    <row r="97" spans="1:26" ht="15.75" customHeight="1" x14ac:dyDescent="0.25">
      <c r="A97" s="289"/>
      <c r="B97" s="290"/>
      <c r="C97" s="145"/>
      <c r="D97" s="145"/>
      <c r="E97" s="145"/>
      <c r="F97" s="290"/>
      <c r="G97" s="145"/>
      <c r="H97" s="145"/>
      <c r="I97" s="290"/>
      <c r="J97" s="290"/>
      <c r="K97" s="286"/>
      <c r="L97" s="145"/>
      <c r="M97" s="145"/>
      <c r="N97" s="145"/>
      <c r="O97" s="286"/>
      <c r="P97" s="145"/>
      <c r="Q97" s="145"/>
      <c r="R97" s="145"/>
      <c r="S97" s="145"/>
      <c r="T97" s="145"/>
      <c r="U97" s="145"/>
      <c r="V97" s="145"/>
      <c r="W97" s="145"/>
      <c r="X97" s="145"/>
      <c r="Y97" s="145"/>
      <c r="Z97" s="145"/>
    </row>
    <row r="98" spans="1:26" ht="15.75" customHeight="1" x14ac:dyDescent="0.25">
      <c r="A98" s="289"/>
      <c r="B98" s="290"/>
      <c r="C98" s="145"/>
      <c r="D98" s="145"/>
      <c r="E98" s="145"/>
      <c r="F98" s="290"/>
      <c r="G98" s="145"/>
      <c r="H98" s="145"/>
      <c r="I98" s="290"/>
      <c r="J98" s="290"/>
      <c r="K98" s="286"/>
      <c r="L98" s="145"/>
      <c r="M98" s="145"/>
      <c r="N98" s="145"/>
      <c r="O98" s="286"/>
      <c r="P98" s="145"/>
      <c r="Q98" s="145"/>
      <c r="R98" s="145"/>
      <c r="S98" s="145"/>
      <c r="T98" s="145"/>
      <c r="U98" s="145"/>
      <c r="V98" s="145"/>
      <c r="W98" s="145"/>
      <c r="X98" s="145"/>
      <c r="Y98" s="145"/>
      <c r="Z98" s="145"/>
    </row>
    <row r="99" spans="1:26" ht="15.75" customHeight="1" x14ac:dyDescent="0.25">
      <c r="A99" s="289"/>
      <c r="B99" s="290"/>
      <c r="C99" s="145"/>
      <c r="D99" s="145"/>
      <c r="E99" s="145"/>
      <c r="F99" s="290"/>
      <c r="G99" s="145"/>
      <c r="H99" s="145"/>
      <c r="I99" s="290"/>
      <c r="J99" s="290"/>
      <c r="K99" s="286"/>
      <c r="L99" s="145"/>
      <c r="M99" s="145"/>
      <c r="N99" s="145"/>
      <c r="O99" s="286"/>
      <c r="P99" s="145"/>
      <c r="Q99" s="145"/>
      <c r="R99" s="145"/>
      <c r="S99" s="145"/>
      <c r="T99" s="145"/>
      <c r="U99" s="145"/>
      <c r="V99" s="145"/>
      <c r="W99" s="145"/>
      <c r="X99" s="145"/>
      <c r="Y99" s="145"/>
      <c r="Z99" s="145"/>
    </row>
    <row r="100" spans="1:26" ht="15.75" customHeight="1" x14ac:dyDescent="0.25">
      <c r="A100" s="289"/>
      <c r="B100" s="290"/>
      <c r="C100" s="145"/>
      <c r="D100" s="145"/>
      <c r="E100" s="145"/>
      <c r="F100" s="290"/>
      <c r="G100" s="145"/>
      <c r="H100" s="145"/>
      <c r="I100" s="290"/>
      <c r="J100" s="290"/>
      <c r="K100" s="286"/>
      <c r="L100" s="145"/>
      <c r="M100" s="145"/>
      <c r="N100" s="145"/>
      <c r="O100" s="286"/>
      <c r="P100" s="145"/>
      <c r="Q100" s="145"/>
      <c r="R100" s="145"/>
      <c r="S100" s="145"/>
      <c r="T100" s="145"/>
      <c r="U100" s="145"/>
      <c r="V100" s="145"/>
      <c r="W100" s="145"/>
      <c r="X100" s="145"/>
      <c r="Y100" s="145"/>
      <c r="Z100" s="145"/>
    </row>
    <row r="101" spans="1:26" ht="15.75" customHeight="1" x14ac:dyDescent="0.25">
      <c r="A101" s="289"/>
      <c r="B101" s="290"/>
      <c r="C101" s="145"/>
      <c r="D101" s="145"/>
      <c r="E101" s="145"/>
      <c r="F101" s="290"/>
      <c r="G101" s="145"/>
      <c r="H101" s="145"/>
      <c r="I101" s="290"/>
      <c r="J101" s="290"/>
      <c r="K101" s="286"/>
      <c r="L101" s="145"/>
      <c r="M101" s="145"/>
      <c r="N101" s="145"/>
      <c r="O101" s="286"/>
      <c r="P101" s="145"/>
      <c r="Q101" s="145"/>
      <c r="R101" s="145"/>
      <c r="S101" s="145"/>
      <c r="T101" s="145"/>
      <c r="U101" s="145"/>
      <c r="V101" s="145"/>
      <c r="W101" s="145"/>
      <c r="X101" s="145"/>
      <c r="Y101" s="145"/>
      <c r="Z101" s="145"/>
    </row>
    <row r="102" spans="1:26" ht="15.75" customHeight="1" x14ac:dyDescent="0.25">
      <c r="A102" s="289"/>
      <c r="B102" s="290"/>
      <c r="C102" s="145"/>
      <c r="D102" s="145"/>
      <c r="E102" s="145"/>
      <c r="F102" s="290"/>
      <c r="G102" s="145"/>
      <c r="H102" s="145"/>
      <c r="I102" s="290"/>
      <c r="J102" s="290"/>
      <c r="K102" s="286"/>
      <c r="L102" s="145"/>
      <c r="M102" s="145"/>
      <c r="N102" s="145"/>
      <c r="O102" s="286"/>
      <c r="P102" s="145"/>
      <c r="Q102" s="145"/>
      <c r="R102" s="145"/>
      <c r="S102" s="145"/>
      <c r="T102" s="145"/>
      <c r="U102" s="145"/>
      <c r="V102" s="145"/>
      <c r="W102" s="145"/>
      <c r="X102" s="145"/>
      <c r="Y102" s="145"/>
      <c r="Z102" s="145"/>
    </row>
    <row r="103" spans="1:26" ht="15.75" customHeight="1" x14ac:dyDescent="0.25">
      <c r="A103" s="289"/>
      <c r="B103" s="290"/>
      <c r="C103" s="145"/>
      <c r="D103" s="145"/>
      <c r="E103" s="145"/>
      <c r="F103" s="290"/>
      <c r="G103" s="145"/>
      <c r="H103" s="145"/>
      <c r="I103" s="290"/>
      <c r="J103" s="290"/>
      <c r="K103" s="286"/>
      <c r="L103" s="145"/>
      <c r="M103" s="145"/>
      <c r="N103" s="145"/>
      <c r="O103" s="286"/>
      <c r="P103" s="145"/>
      <c r="Q103" s="145"/>
      <c r="R103" s="145"/>
      <c r="S103" s="145"/>
      <c r="T103" s="145"/>
      <c r="U103" s="145"/>
      <c r="V103" s="145"/>
      <c r="W103" s="145"/>
      <c r="X103" s="145"/>
      <c r="Y103" s="145"/>
      <c r="Z103" s="145"/>
    </row>
    <row r="104" spans="1:26" ht="15.75" customHeight="1" x14ac:dyDescent="0.25">
      <c r="A104" s="289"/>
      <c r="B104" s="290"/>
      <c r="C104" s="145"/>
      <c r="D104" s="145"/>
      <c r="E104" s="145"/>
      <c r="F104" s="290"/>
      <c r="G104" s="145"/>
      <c r="H104" s="145"/>
      <c r="I104" s="290"/>
      <c r="J104" s="290"/>
      <c r="K104" s="286"/>
      <c r="L104" s="145"/>
      <c r="M104" s="145"/>
      <c r="N104" s="145"/>
      <c r="O104" s="286"/>
      <c r="P104" s="145"/>
      <c r="Q104" s="145"/>
      <c r="R104" s="145"/>
      <c r="S104" s="145"/>
      <c r="T104" s="145"/>
      <c r="U104" s="145"/>
      <c r="V104" s="145"/>
      <c r="W104" s="145"/>
      <c r="X104" s="145"/>
      <c r="Y104" s="145"/>
      <c r="Z104" s="145"/>
    </row>
    <row r="105" spans="1:26" ht="15.75" customHeight="1" x14ac:dyDescent="0.25">
      <c r="A105" s="289"/>
      <c r="B105" s="290"/>
      <c r="C105" s="145"/>
      <c r="D105" s="145"/>
      <c r="E105" s="145"/>
      <c r="F105" s="290"/>
      <c r="G105" s="145"/>
      <c r="H105" s="145"/>
      <c r="I105" s="290"/>
      <c r="J105" s="290"/>
      <c r="K105" s="286"/>
      <c r="L105" s="145"/>
      <c r="M105" s="145"/>
      <c r="N105" s="145"/>
      <c r="O105" s="286"/>
      <c r="P105" s="145"/>
      <c r="Q105" s="145"/>
      <c r="R105" s="145"/>
      <c r="S105" s="145"/>
      <c r="T105" s="145"/>
      <c r="U105" s="145"/>
      <c r="V105" s="145"/>
      <c r="W105" s="145"/>
      <c r="X105" s="145"/>
      <c r="Y105" s="145"/>
      <c r="Z105" s="145"/>
    </row>
    <row r="106" spans="1:26" ht="15.75" customHeight="1" x14ac:dyDescent="0.25">
      <c r="A106" s="289"/>
      <c r="B106" s="290"/>
      <c r="C106" s="145"/>
      <c r="D106" s="145"/>
      <c r="E106" s="145"/>
      <c r="F106" s="290"/>
      <c r="G106" s="145"/>
      <c r="H106" s="145"/>
      <c r="I106" s="290"/>
      <c r="J106" s="290"/>
      <c r="K106" s="286"/>
      <c r="L106" s="145"/>
      <c r="M106" s="145"/>
      <c r="N106" s="145"/>
      <c r="O106" s="286"/>
      <c r="P106" s="145"/>
      <c r="Q106" s="145"/>
      <c r="R106" s="145"/>
      <c r="S106" s="145"/>
      <c r="T106" s="145"/>
      <c r="U106" s="145"/>
      <c r="V106" s="145"/>
      <c r="W106" s="145"/>
      <c r="X106" s="145"/>
      <c r="Y106" s="145"/>
      <c r="Z106" s="145"/>
    </row>
    <row r="107" spans="1:26" ht="15.75" customHeight="1" x14ac:dyDescent="0.25">
      <c r="A107" s="289"/>
      <c r="B107" s="290"/>
      <c r="C107" s="145"/>
      <c r="D107" s="145"/>
      <c r="E107" s="145"/>
      <c r="F107" s="290"/>
      <c r="G107" s="145"/>
      <c r="H107" s="145"/>
      <c r="I107" s="290"/>
      <c r="J107" s="290"/>
      <c r="K107" s="286"/>
      <c r="L107" s="145"/>
      <c r="M107" s="145"/>
      <c r="N107" s="145"/>
      <c r="O107" s="286"/>
      <c r="P107" s="145"/>
      <c r="Q107" s="145"/>
      <c r="R107" s="145"/>
      <c r="S107" s="145"/>
      <c r="T107" s="145"/>
      <c r="U107" s="145"/>
      <c r="V107" s="145"/>
      <c r="W107" s="145"/>
      <c r="X107" s="145"/>
      <c r="Y107" s="145"/>
      <c r="Z107" s="145"/>
    </row>
    <row r="108" spans="1:26" ht="15.75" customHeight="1" x14ac:dyDescent="0.25">
      <c r="A108" s="289"/>
      <c r="B108" s="290"/>
      <c r="C108" s="145"/>
      <c r="D108" s="145"/>
      <c r="E108" s="145"/>
      <c r="F108" s="290"/>
      <c r="G108" s="145"/>
      <c r="H108" s="145"/>
      <c r="I108" s="290"/>
      <c r="J108" s="290"/>
      <c r="K108" s="286"/>
      <c r="L108" s="145"/>
      <c r="M108" s="145"/>
      <c r="N108" s="145"/>
      <c r="O108" s="286"/>
      <c r="P108" s="145"/>
      <c r="Q108" s="145"/>
      <c r="R108" s="145"/>
      <c r="S108" s="145"/>
      <c r="T108" s="145"/>
      <c r="U108" s="145"/>
      <c r="V108" s="145"/>
      <c r="W108" s="145"/>
      <c r="X108" s="145"/>
      <c r="Y108" s="145"/>
      <c r="Z108" s="145"/>
    </row>
    <row r="109" spans="1:26" ht="15.75" customHeight="1" x14ac:dyDescent="0.25">
      <c r="A109" s="289"/>
      <c r="B109" s="290"/>
      <c r="C109" s="145"/>
      <c r="D109" s="145"/>
      <c r="E109" s="145"/>
      <c r="F109" s="290"/>
      <c r="G109" s="145"/>
      <c r="H109" s="145"/>
      <c r="I109" s="290"/>
      <c r="J109" s="290"/>
      <c r="K109" s="286"/>
      <c r="L109" s="145"/>
      <c r="M109" s="145"/>
      <c r="N109" s="145"/>
      <c r="O109" s="286"/>
      <c r="P109" s="145"/>
      <c r="Q109" s="145"/>
      <c r="R109" s="145"/>
      <c r="S109" s="145"/>
      <c r="T109" s="145"/>
      <c r="U109" s="145"/>
      <c r="V109" s="145"/>
      <c r="W109" s="145"/>
      <c r="X109" s="145"/>
      <c r="Y109" s="145"/>
      <c r="Z109" s="145"/>
    </row>
    <row r="110" spans="1:26" ht="15.75" customHeight="1" x14ac:dyDescent="0.25">
      <c r="A110" s="289"/>
      <c r="B110" s="290"/>
      <c r="C110" s="145"/>
      <c r="D110" s="145"/>
      <c r="E110" s="145"/>
      <c r="F110" s="290"/>
      <c r="G110" s="145"/>
      <c r="H110" s="145"/>
      <c r="I110" s="290"/>
      <c r="J110" s="290"/>
      <c r="K110" s="286"/>
      <c r="L110" s="145"/>
      <c r="M110" s="145"/>
      <c r="N110" s="145"/>
      <c r="O110" s="286"/>
      <c r="P110" s="145"/>
      <c r="Q110" s="145"/>
      <c r="R110" s="145"/>
      <c r="S110" s="145"/>
      <c r="T110" s="145"/>
      <c r="U110" s="145"/>
      <c r="V110" s="145"/>
      <c r="W110" s="145"/>
      <c r="X110" s="145"/>
      <c r="Y110" s="145"/>
      <c r="Z110" s="145"/>
    </row>
    <row r="111" spans="1:26" ht="15.75" customHeight="1" x14ac:dyDescent="0.25">
      <c r="A111" s="289"/>
      <c r="B111" s="290"/>
      <c r="C111" s="145"/>
      <c r="D111" s="145"/>
      <c r="E111" s="145"/>
      <c r="F111" s="290"/>
      <c r="G111" s="145"/>
      <c r="H111" s="145"/>
      <c r="I111" s="290"/>
      <c r="J111" s="290"/>
      <c r="K111" s="286"/>
      <c r="L111" s="145"/>
      <c r="M111" s="145"/>
      <c r="N111" s="145"/>
      <c r="O111" s="286"/>
      <c r="P111" s="145"/>
      <c r="Q111" s="145"/>
      <c r="R111" s="145"/>
      <c r="S111" s="145"/>
      <c r="T111" s="145"/>
      <c r="U111" s="145"/>
      <c r="V111" s="145"/>
      <c r="W111" s="145"/>
      <c r="X111" s="145"/>
      <c r="Y111" s="145"/>
      <c r="Z111" s="145"/>
    </row>
    <row r="112" spans="1:26" ht="15.75" customHeight="1" x14ac:dyDescent="0.25">
      <c r="A112" s="289"/>
      <c r="B112" s="290"/>
      <c r="C112" s="145"/>
      <c r="D112" s="145"/>
      <c r="E112" s="145"/>
      <c r="F112" s="290"/>
      <c r="G112" s="145"/>
      <c r="H112" s="145"/>
      <c r="I112" s="290"/>
      <c r="J112" s="290"/>
      <c r="K112" s="286"/>
      <c r="L112" s="145"/>
      <c r="M112" s="145"/>
      <c r="N112" s="145"/>
      <c r="O112" s="286"/>
      <c r="P112" s="145"/>
      <c r="Q112" s="145"/>
      <c r="R112" s="145"/>
      <c r="S112" s="145"/>
      <c r="T112" s="145"/>
      <c r="U112" s="145"/>
      <c r="V112" s="145"/>
      <c r="W112" s="145"/>
      <c r="X112" s="145"/>
      <c r="Y112" s="145"/>
      <c r="Z112" s="145"/>
    </row>
    <row r="113" spans="1:26" ht="15.75" customHeight="1" x14ac:dyDescent="0.25">
      <c r="A113" s="289"/>
      <c r="B113" s="290"/>
      <c r="C113" s="145"/>
      <c r="D113" s="145"/>
      <c r="E113" s="145"/>
      <c r="F113" s="290"/>
      <c r="G113" s="145"/>
      <c r="H113" s="145"/>
      <c r="I113" s="290"/>
      <c r="J113" s="290"/>
      <c r="K113" s="286"/>
      <c r="L113" s="145"/>
      <c r="M113" s="145"/>
      <c r="N113" s="145"/>
      <c r="O113" s="286"/>
      <c r="P113" s="145"/>
      <c r="Q113" s="145"/>
      <c r="R113" s="145"/>
      <c r="S113" s="145"/>
      <c r="T113" s="145"/>
      <c r="U113" s="145"/>
      <c r="V113" s="145"/>
      <c r="W113" s="145"/>
      <c r="X113" s="145"/>
      <c r="Y113" s="145"/>
      <c r="Z113" s="145"/>
    </row>
    <row r="114" spans="1:26" ht="15.75" customHeight="1" x14ac:dyDescent="0.25">
      <c r="A114" s="289"/>
      <c r="B114" s="290"/>
      <c r="C114" s="145"/>
      <c r="D114" s="145"/>
      <c r="E114" s="145"/>
      <c r="F114" s="290"/>
      <c r="G114" s="145"/>
      <c r="H114" s="145"/>
      <c r="I114" s="290"/>
      <c r="J114" s="290"/>
      <c r="K114" s="286"/>
      <c r="L114" s="145"/>
      <c r="M114" s="145"/>
      <c r="N114" s="145"/>
      <c r="O114" s="286"/>
      <c r="P114" s="145"/>
      <c r="Q114" s="145"/>
      <c r="R114" s="145"/>
      <c r="S114" s="145"/>
      <c r="T114" s="145"/>
      <c r="U114" s="145"/>
      <c r="V114" s="145"/>
      <c r="W114" s="145"/>
      <c r="X114" s="145"/>
      <c r="Y114" s="145"/>
      <c r="Z114" s="145"/>
    </row>
    <row r="115" spans="1:26" ht="15.75" customHeight="1" x14ac:dyDescent="0.25">
      <c r="A115" s="289"/>
      <c r="B115" s="290"/>
      <c r="C115" s="145"/>
      <c r="D115" s="145"/>
      <c r="E115" s="145"/>
      <c r="F115" s="290"/>
      <c r="G115" s="145"/>
      <c r="H115" s="145"/>
      <c r="I115" s="290"/>
      <c r="J115" s="290"/>
      <c r="K115" s="286"/>
      <c r="L115" s="145"/>
      <c r="M115" s="145"/>
      <c r="N115" s="145"/>
      <c r="O115" s="286"/>
      <c r="P115" s="145"/>
      <c r="Q115" s="145"/>
      <c r="R115" s="145"/>
      <c r="S115" s="145"/>
      <c r="T115" s="145"/>
      <c r="U115" s="145"/>
      <c r="V115" s="145"/>
      <c r="W115" s="145"/>
      <c r="X115" s="145"/>
      <c r="Y115" s="145"/>
      <c r="Z115" s="145"/>
    </row>
    <row r="116" spans="1:26" ht="15.75" customHeight="1" x14ac:dyDescent="0.25">
      <c r="A116" s="289"/>
      <c r="B116" s="290"/>
      <c r="C116" s="145"/>
      <c r="D116" s="145"/>
      <c r="E116" s="145"/>
      <c r="F116" s="290"/>
      <c r="G116" s="145"/>
      <c r="H116" s="145"/>
      <c r="I116" s="290"/>
      <c r="J116" s="290"/>
      <c r="K116" s="286"/>
      <c r="L116" s="145"/>
      <c r="M116" s="145"/>
      <c r="N116" s="145"/>
      <c r="O116" s="286"/>
      <c r="P116" s="145"/>
      <c r="Q116" s="145"/>
      <c r="R116" s="145"/>
      <c r="S116" s="145"/>
      <c r="T116" s="145"/>
      <c r="U116" s="145"/>
      <c r="V116" s="145"/>
      <c r="W116" s="145"/>
      <c r="X116" s="145"/>
      <c r="Y116" s="145"/>
      <c r="Z116" s="145"/>
    </row>
    <row r="117" spans="1:26" ht="15.75" customHeight="1" x14ac:dyDescent="0.25">
      <c r="A117" s="289"/>
      <c r="B117" s="290"/>
      <c r="C117" s="145"/>
      <c r="D117" s="145"/>
      <c r="E117" s="145"/>
      <c r="F117" s="290"/>
      <c r="G117" s="145"/>
      <c r="H117" s="145"/>
      <c r="I117" s="290"/>
      <c r="J117" s="290"/>
      <c r="K117" s="286"/>
      <c r="L117" s="145"/>
      <c r="M117" s="145"/>
      <c r="N117" s="145"/>
      <c r="O117" s="286"/>
      <c r="P117" s="145"/>
      <c r="Q117" s="145"/>
      <c r="R117" s="145"/>
      <c r="S117" s="145"/>
      <c r="T117" s="145"/>
      <c r="U117" s="145"/>
      <c r="V117" s="145"/>
      <c r="W117" s="145"/>
      <c r="X117" s="145"/>
      <c r="Y117" s="145"/>
      <c r="Z117" s="145"/>
    </row>
    <row r="118" spans="1:26" ht="15.75" customHeight="1" x14ac:dyDescent="0.25">
      <c r="A118" s="289"/>
      <c r="B118" s="290"/>
      <c r="C118" s="145"/>
      <c r="D118" s="145"/>
      <c r="E118" s="145"/>
      <c r="F118" s="290"/>
      <c r="G118" s="145"/>
      <c r="H118" s="145"/>
      <c r="I118" s="290"/>
      <c r="J118" s="290"/>
      <c r="K118" s="286"/>
      <c r="L118" s="145"/>
      <c r="M118" s="145"/>
      <c r="N118" s="145"/>
      <c r="O118" s="286"/>
      <c r="P118" s="145"/>
      <c r="Q118" s="145"/>
      <c r="R118" s="145"/>
      <c r="S118" s="145"/>
      <c r="T118" s="145"/>
      <c r="U118" s="145"/>
      <c r="V118" s="145"/>
      <c r="W118" s="145"/>
      <c r="X118" s="145"/>
      <c r="Y118" s="145"/>
      <c r="Z118" s="145"/>
    </row>
    <row r="119" spans="1:26" ht="15.75" customHeight="1" x14ac:dyDescent="0.25">
      <c r="A119" s="289"/>
      <c r="B119" s="290"/>
      <c r="C119" s="145"/>
      <c r="D119" s="145"/>
      <c r="E119" s="145"/>
      <c r="F119" s="290"/>
      <c r="G119" s="145"/>
      <c r="H119" s="145"/>
      <c r="I119" s="290"/>
      <c r="J119" s="290"/>
      <c r="K119" s="286"/>
      <c r="L119" s="145"/>
      <c r="M119" s="145"/>
      <c r="N119" s="145"/>
      <c r="O119" s="286"/>
      <c r="P119" s="145"/>
      <c r="Q119" s="145"/>
      <c r="R119" s="145"/>
      <c r="S119" s="145"/>
      <c r="T119" s="145"/>
      <c r="U119" s="145"/>
      <c r="V119" s="145"/>
      <c r="W119" s="145"/>
      <c r="X119" s="145"/>
      <c r="Y119" s="145"/>
      <c r="Z119" s="145"/>
    </row>
    <row r="120" spans="1:26" ht="15.75" customHeight="1" x14ac:dyDescent="0.25">
      <c r="A120" s="289"/>
      <c r="B120" s="290"/>
      <c r="C120" s="145"/>
      <c r="D120" s="145"/>
      <c r="E120" s="145"/>
      <c r="F120" s="290"/>
      <c r="G120" s="145"/>
      <c r="H120" s="145"/>
      <c r="I120" s="290"/>
      <c r="J120" s="290"/>
      <c r="K120" s="286"/>
      <c r="L120" s="145"/>
      <c r="M120" s="145"/>
      <c r="N120" s="145"/>
      <c r="O120" s="286"/>
      <c r="P120" s="145"/>
      <c r="Q120" s="145"/>
      <c r="R120" s="145"/>
      <c r="S120" s="145"/>
      <c r="T120" s="145"/>
      <c r="U120" s="145"/>
      <c r="V120" s="145"/>
      <c r="W120" s="145"/>
      <c r="X120" s="145"/>
      <c r="Y120" s="145"/>
      <c r="Z120" s="145"/>
    </row>
    <row r="121" spans="1:26" ht="15.75" customHeight="1" x14ac:dyDescent="0.25">
      <c r="A121" s="289"/>
      <c r="B121" s="290"/>
      <c r="C121" s="145"/>
      <c r="D121" s="145"/>
      <c r="E121" s="145"/>
      <c r="F121" s="290"/>
      <c r="G121" s="145"/>
      <c r="H121" s="145"/>
      <c r="I121" s="290"/>
      <c r="J121" s="290"/>
      <c r="K121" s="286"/>
      <c r="L121" s="145"/>
      <c r="M121" s="145"/>
      <c r="N121" s="145"/>
      <c r="O121" s="286"/>
      <c r="P121" s="145"/>
      <c r="Q121" s="145"/>
      <c r="R121" s="145"/>
      <c r="S121" s="145"/>
      <c r="T121" s="145"/>
      <c r="U121" s="145"/>
      <c r="V121" s="145"/>
      <c r="W121" s="145"/>
      <c r="X121" s="145"/>
      <c r="Y121" s="145"/>
      <c r="Z121" s="145"/>
    </row>
    <row r="122" spans="1:26" ht="15.75" customHeight="1" x14ac:dyDescent="0.25">
      <c r="A122" s="289"/>
      <c r="B122" s="290"/>
      <c r="C122" s="145"/>
      <c r="D122" s="145"/>
      <c r="E122" s="145"/>
      <c r="F122" s="290"/>
      <c r="G122" s="145"/>
      <c r="H122" s="145"/>
      <c r="I122" s="290"/>
      <c r="J122" s="290"/>
      <c r="K122" s="286"/>
      <c r="L122" s="145"/>
      <c r="M122" s="145"/>
      <c r="N122" s="145"/>
      <c r="O122" s="286"/>
      <c r="P122" s="145"/>
      <c r="Q122" s="145"/>
      <c r="R122" s="145"/>
      <c r="S122" s="145"/>
      <c r="T122" s="145"/>
      <c r="U122" s="145"/>
      <c r="V122" s="145"/>
      <c r="W122" s="145"/>
      <c r="X122" s="145"/>
      <c r="Y122" s="145"/>
      <c r="Z122" s="145"/>
    </row>
    <row r="123" spans="1:26" ht="15.75" customHeight="1" x14ac:dyDescent="0.25">
      <c r="A123" s="289"/>
      <c r="B123" s="290"/>
      <c r="C123" s="145"/>
      <c r="D123" s="145"/>
      <c r="E123" s="145"/>
      <c r="F123" s="290"/>
      <c r="G123" s="145"/>
      <c r="H123" s="145"/>
      <c r="I123" s="290"/>
      <c r="J123" s="290"/>
      <c r="K123" s="286"/>
      <c r="L123" s="145"/>
      <c r="M123" s="145"/>
      <c r="N123" s="145"/>
      <c r="O123" s="286"/>
      <c r="P123" s="145"/>
      <c r="Q123" s="145"/>
      <c r="R123" s="145"/>
      <c r="S123" s="145"/>
      <c r="T123" s="145"/>
      <c r="U123" s="145"/>
      <c r="V123" s="145"/>
      <c r="W123" s="145"/>
      <c r="X123" s="145"/>
      <c r="Y123" s="145"/>
      <c r="Z123" s="145"/>
    </row>
    <row r="124" spans="1:26" ht="15.75" customHeight="1" x14ac:dyDescent="0.25">
      <c r="A124" s="289"/>
      <c r="B124" s="290"/>
      <c r="C124" s="145"/>
      <c r="D124" s="145"/>
      <c r="E124" s="145"/>
      <c r="F124" s="290"/>
      <c r="G124" s="145"/>
      <c r="H124" s="145"/>
      <c r="I124" s="290"/>
      <c r="J124" s="290"/>
      <c r="K124" s="286"/>
      <c r="L124" s="145"/>
      <c r="M124" s="145"/>
      <c r="N124" s="145"/>
      <c r="O124" s="286"/>
      <c r="P124" s="145"/>
      <c r="Q124" s="145"/>
      <c r="R124" s="145"/>
      <c r="S124" s="145"/>
      <c r="T124" s="145"/>
      <c r="U124" s="145"/>
      <c r="V124" s="145"/>
      <c r="W124" s="145"/>
      <c r="X124" s="145"/>
      <c r="Y124" s="145"/>
      <c r="Z124" s="145"/>
    </row>
    <row r="125" spans="1:26" ht="15.75" customHeight="1" x14ac:dyDescent="0.25">
      <c r="A125" s="289"/>
      <c r="B125" s="290"/>
      <c r="C125" s="145"/>
      <c r="D125" s="145"/>
      <c r="E125" s="145"/>
      <c r="F125" s="290"/>
      <c r="G125" s="145"/>
      <c r="H125" s="145"/>
      <c r="I125" s="290"/>
      <c r="J125" s="290"/>
      <c r="K125" s="286"/>
      <c r="L125" s="145"/>
      <c r="M125" s="145"/>
      <c r="N125" s="145"/>
      <c r="O125" s="286"/>
      <c r="P125" s="145"/>
      <c r="Q125" s="145"/>
      <c r="R125" s="145"/>
      <c r="S125" s="145"/>
      <c r="T125" s="145"/>
      <c r="U125" s="145"/>
      <c r="V125" s="145"/>
      <c r="W125" s="145"/>
      <c r="X125" s="145"/>
      <c r="Y125" s="145"/>
      <c r="Z125" s="145"/>
    </row>
    <row r="126" spans="1:26" ht="15.75" customHeight="1" x14ac:dyDescent="0.25">
      <c r="A126" s="289"/>
      <c r="B126" s="290"/>
      <c r="C126" s="145"/>
      <c r="D126" s="145"/>
      <c r="E126" s="145"/>
      <c r="F126" s="290"/>
      <c r="G126" s="145"/>
      <c r="H126" s="145"/>
      <c r="I126" s="290"/>
      <c r="J126" s="290"/>
      <c r="K126" s="286"/>
      <c r="L126" s="145"/>
      <c r="M126" s="145"/>
      <c r="N126" s="145"/>
      <c r="O126" s="286"/>
      <c r="P126" s="145"/>
      <c r="Q126" s="145"/>
      <c r="R126" s="145"/>
      <c r="S126" s="145"/>
      <c r="T126" s="145"/>
      <c r="U126" s="145"/>
      <c r="V126" s="145"/>
      <c r="W126" s="145"/>
      <c r="X126" s="145"/>
      <c r="Y126" s="145"/>
      <c r="Z126" s="145"/>
    </row>
    <row r="127" spans="1:26" ht="15.75" customHeight="1" x14ac:dyDescent="0.25">
      <c r="A127" s="289"/>
      <c r="B127" s="290"/>
      <c r="C127" s="145"/>
      <c r="D127" s="145"/>
      <c r="E127" s="145"/>
      <c r="F127" s="290"/>
      <c r="G127" s="145"/>
      <c r="H127" s="145"/>
      <c r="I127" s="290"/>
      <c r="J127" s="290"/>
      <c r="K127" s="286"/>
      <c r="L127" s="145"/>
      <c r="M127" s="145"/>
      <c r="N127" s="145"/>
      <c r="O127" s="286"/>
      <c r="P127" s="145"/>
      <c r="Q127" s="145"/>
      <c r="R127" s="145"/>
      <c r="S127" s="145"/>
      <c r="T127" s="145"/>
      <c r="U127" s="145"/>
      <c r="V127" s="145"/>
      <c r="W127" s="145"/>
      <c r="X127" s="145"/>
      <c r="Y127" s="145"/>
      <c r="Z127" s="145"/>
    </row>
    <row r="128" spans="1:26" ht="15.75" customHeight="1" x14ac:dyDescent="0.25">
      <c r="A128" s="289"/>
      <c r="B128" s="290"/>
      <c r="C128" s="145"/>
      <c r="D128" s="145"/>
      <c r="E128" s="145"/>
      <c r="F128" s="290"/>
      <c r="G128" s="145"/>
      <c r="H128" s="145"/>
      <c r="I128" s="290"/>
      <c r="J128" s="290"/>
      <c r="K128" s="286"/>
      <c r="L128" s="145"/>
      <c r="M128" s="145"/>
      <c r="N128" s="145"/>
      <c r="O128" s="286"/>
      <c r="P128" s="145"/>
      <c r="Q128" s="145"/>
      <c r="R128" s="145"/>
      <c r="S128" s="145"/>
      <c r="T128" s="145"/>
      <c r="U128" s="145"/>
      <c r="V128" s="145"/>
      <c r="W128" s="145"/>
      <c r="X128" s="145"/>
      <c r="Y128" s="145"/>
      <c r="Z128" s="145"/>
    </row>
    <row r="129" spans="1:26" ht="15.75" customHeight="1" x14ac:dyDescent="0.25">
      <c r="A129" s="289"/>
      <c r="B129" s="290"/>
      <c r="C129" s="145"/>
      <c r="D129" s="145"/>
      <c r="E129" s="145"/>
      <c r="F129" s="290"/>
      <c r="G129" s="145"/>
      <c r="H129" s="145"/>
      <c r="I129" s="290"/>
      <c r="J129" s="290"/>
      <c r="K129" s="286"/>
      <c r="L129" s="145"/>
      <c r="M129" s="145"/>
      <c r="N129" s="145"/>
      <c r="O129" s="286"/>
      <c r="P129" s="145"/>
      <c r="Q129" s="145"/>
      <c r="R129" s="145"/>
      <c r="S129" s="145"/>
      <c r="T129" s="145"/>
      <c r="U129" s="145"/>
      <c r="V129" s="145"/>
      <c r="W129" s="145"/>
      <c r="X129" s="145"/>
      <c r="Y129" s="145"/>
      <c r="Z129" s="145"/>
    </row>
    <row r="130" spans="1:26" ht="15.75" customHeight="1" x14ac:dyDescent="0.25">
      <c r="A130" s="289"/>
      <c r="B130" s="290"/>
      <c r="C130" s="145"/>
      <c r="D130" s="145"/>
      <c r="E130" s="145"/>
      <c r="F130" s="290"/>
      <c r="G130" s="145"/>
      <c r="H130" s="145"/>
      <c r="I130" s="290"/>
      <c r="J130" s="290"/>
      <c r="K130" s="286"/>
      <c r="L130" s="145"/>
      <c r="M130" s="145"/>
      <c r="N130" s="145"/>
      <c r="O130" s="286"/>
      <c r="P130" s="145"/>
      <c r="Q130" s="145"/>
      <c r="R130" s="145"/>
      <c r="S130" s="145"/>
      <c r="T130" s="145"/>
      <c r="U130" s="145"/>
      <c r="V130" s="145"/>
      <c r="W130" s="145"/>
      <c r="X130" s="145"/>
      <c r="Y130" s="145"/>
      <c r="Z130" s="145"/>
    </row>
    <row r="131" spans="1:26" ht="15.75" customHeight="1" x14ac:dyDescent="0.25">
      <c r="A131" s="289"/>
      <c r="B131" s="290"/>
      <c r="C131" s="145"/>
      <c r="D131" s="145"/>
      <c r="E131" s="145"/>
      <c r="F131" s="290"/>
      <c r="G131" s="145"/>
      <c r="H131" s="145"/>
      <c r="I131" s="290"/>
      <c r="J131" s="290"/>
      <c r="K131" s="286"/>
      <c r="L131" s="145"/>
      <c r="M131" s="145"/>
      <c r="N131" s="145"/>
      <c r="O131" s="286"/>
      <c r="P131" s="145"/>
      <c r="Q131" s="145"/>
      <c r="R131" s="145"/>
      <c r="S131" s="145"/>
      <c r="T131" s="145"/>
      <c r="U131" s="145"/>
      <c r="V131" s="145"/>
      <c r="W131" s="145"/>
      <c r="X131" s="145"/>
      <c r="Y131" s="145"/>
      <c r="Z131" s="145"/>
    </row>
    <row r="132" spans="1:26" ht="15.75" customHeight="1" x14ac:dyDescent="0.25">
      <c r="A132" s="289"/>
      <c r="B132" s="290"/>
      <c r="C132" s="145"/>
      <c r="D132" s="145"/>
      <c r="E132" s="145"/>
      <c r="F132" s="290"/>
      <c r="G132" s="145"/>
      <c r="H132" s="145"/>
      <c r="I132" s="290"/>
      <c r="J132" s="290"/>
      <c r="K132" s="286"/>
      <c r="L132" s="145"/>
      <c r="M132" s="145"/>
      <c r="N132" s="145"/>
      <c r="O132" s="286"/>
      <c r="P132" s="145"/>
      <c r="Q132" s="145"/>
      <c r="R132" s="145"/>
      <c r="S132" s="145"/>
      <c r="T132" s="145"/>
      <c r="U132" s="145"/>
      <c r="V132" s="145"/>
      <c r="W132" s="145"/>
      <c r="X132" s="145"/>
      <c r="Y132" s="145"/>
      <c r="Z132" s="145"/>
    </row>
    <row r="133" spans="1:26" ht="15.75" customHeight="1" x14ac:dyDescent="0.25">
      <c r="A133" s="289"/>
      <c r="B133" s="290"/>
      <c r="C133" s="145"/>
      <c r="D133" s="145"/>
      <c r="E133" s="145"/>
      <c r="F133" s="290"/>
      <c r="G133" s="145"/>
      <c r="H133" s="145"/>
      <c r="I133" s="290"/>
      <c r="J133" s="290"/>
      <c r="K133" s="286"/>
      <c r="L133" s="145"/>
      <c r="M133" s="145"/>
      <c r="N133" s="145"/>
      <c r="O133" s="286"/>
      <c r="P133" s="145"/>
      <c r="Q133" s="145"/>
      <c r="R133" s="145"/>
      <c r="S133" s="145"/>
      <c r="T133" s="145"/>
      <c r="U133" s="145"/>
      <c r="V133" s="145"/>
      <c r="W133" s="145"/>
      <c r="X133" s="145"/>
      <c r="Y133" s="145"/>
      <c r="Z133" s="145"/>
    </row>
    <row r="134" spans="1:26" ht="15.75" customHeight="1" x14ac:dyDescent="0.25">
      <c r="A134" s="289"/>
      <c r="B134" s="290"/>
      <c r="C134" s="145"/>
      <c r="D134" s="145"/>
      <c r="E134" s="145"/>
      <c r="F134" s="290"/>
      <c r="G134" s="145"/>
      <c r="H134" s="145"/>
      <c r="I134" s="290"/>
      <c r="J134" s="290"/>
      <c r="K134" s="286"/>
      <c r="L134" s="145"/>
      <c r="M134" s="145"/>
      <c r="N134" s="145"/>
      <c r="O134" s="286"/>
      <c r="P134" s="145"/>
      <c r="Q134" s="145"/>
      <c r="R134" s="145"/>
      <c r="S134" s="145"/>
      <c r="T134" s="145"/>
      <c r="U134" s="145"/>
      <c r="V134" s="145"/>
      <c r="W134" s="145"/>
      <c r="X134" s="145"/>
      <c r="Y134" s="145"/>
      <c r="Z134" s="145"/>
    </row>
    <row r="135" spans="1:26" ht="15.75" customHeight="1" x14ac:dyDescent="0.25">
      <c r="A135" s="289"/>
      <c r="B135" s="290"/>
      <c r="C135" s="145"/>
      <c r="D135" s="145"/>
      <c r="E135" s="145"/>
      <c r="F135" s="290"/>
      <c r="G135" s="145"/>
      <c r="H135" s="145"/>
      <c r="I135" s="290"/>
      <c r="J135" s="290"/>
      <c r="K135" s="286"/>
      <c r="L135" s="145"/>
      <c r="M135" s="145"/>
      <c r="N135" s="145"/>
      <c r="O135" s="286"/>
      <c r="P135" s="145"/>
      <c r="Q135" s="145"/>
      <c r="R135" s="145"/>
      <c r="S135" s="145"/>
      <c r="T135" s="145"/>
      <c r="U135" s="145"/>
      <c r="V135" s="145"/>
      <c r="W135" s="145"/>
      <c r="X135" s="145"/>
      <c r="Y135" s="145"/>
      <c r="Z135" s="145"/>
    </row>
    <row r="136" spans="1:26" ht="15.75" customHeight="1" x14ac:dyDescent="0.25">
      <c r="A136" s="289"/>
      <c r="B136" s="290"/>
      <c r="C136" s="145"/>
      <c r="D136" s="145"/>
      <c r="E136" s="145"/>
      <c r="F136" s="290"/>
      <c r="G136" s="145"/>
      <c r="H136" s="145"/>
      <c r="I136" s="290"/>
      <c r="J136" s="290"/>
      <c r="K136" s="286"/>
      <c r="L136" s="145"/>
      <c r="M136" s="145"/>
      <c r="N136" s="145"/>
      <c r="O136" s="286"/>
      <c r="P136" s="145"/>
      <c r="Q136" s="145"/>
      <c r="R136" s="145"/>
      <c r="S136" s="145"/>
      <c r="T136" s="145"/>
      <c r="U136" s="145"/>
      <c r="V136" s="145"/>
      <c r="W136" s="145"/>
      <c r="X136" s="145"/>
      <c r="Y136" s="145"/>
      <c r="Z136" s="145"/>
    </row>
    <row r="137" spans="1:26" ht="15.75" customHeight="1" x14ac:dyDescent="0.25">
      <c r="A137" s="289"/>
      <c r="B137" s="290"/>
      <c r="C137" s="145"/>
      <c r="D137" s="145"/>
      <c r="E137" s="145"/>
      <c r="F137" s="290"/>
      <c r="G137" s="145"/>
      <c r="H137" s="145"/>
      <c r="I137" s="290"/>
      <c r="J137" s="290"/>
      <c r="K137" s="286"/>
      <c r="L137" s="145"/>
      <c r="M137" s="145"/>
      <c r="N137" s="145"/>
      <c r="O137" s="286"/>
      <c r="P137" s="145"/>
      <c r="Q137" s="145"/>
      <c r="R137" s="145"/>
      <c r="S137" s="145"/>
      <c r="T137" s="145"/>
      <c r="U137" s="145"/>
      <c r="V137" s="145"/>
      <c r="W137" s="145"/>
      <c r="X137" s="145"/>
      <c r="Y137" s="145"/>
      <c r="Z137" s="145"/>
    </row>
    <row r="138" spans="1:26" ht="15.75" customHeight="1" x14ac:dyDescent="0.25">
      <c r="A138" s="289"/>
      <c r="B138" s="290"/>
      <c r="C138" s="145"/>
      <c r="D138" s="145"/>
      <c r="E138" s="145"/>
      <c r="F138" s="290"/>
      <c r="G138" s="145"/>
      <c r="H138" s="145"/>
      <c r="I138" s="290"/>
      <c r="J138" s="290"/>
      <c r="K138" s="286"/>
      <c r="L138" s="145"/>
      <c r="M138" s="145"/>
      <c r="N138" s="145"/>
      <c r="O138" s="286"/>
      <c r="P138" s="145"/>
      <c r="Q138" s="145"/>
      <c r="R138" s="145"/>
      <c r="S138" s="145"/>
      <c r="T138" s="145"/>
      <c r="U138" s="145"/>
      <c r="V138" s="145"/>
      <c r="W138" s="145"/>
      <c r="X138" s="145"/>
      <c r="Y138" s="145"/>
      <c r="Z138" s="145"/>
    </row>
    <row r="139" spans="1:26" ht="15.75" customHeight="1" x14ac:dyDescent="0.25">
      <c r="A139" s="289"/>
      <c r="B139" s="290"/>
      <c r="C139" s="145"/>
      <c r="D139" s="145"/>
      <c r="E139" s="145"/>
      <c r="F139" s="290"/>
      <c r="G139" s="145"/>
      <c r="H139" s="145"/>
      <c r="I139" s="290"/>
      <c r="J139" s="290"/>
      <c r="K139" s="286"/>
      <c r="L139" s="145"/>
      <c r="M139" s="145"/>
      <c r="N139" s="145"/>
      <c r="O139" s="286"/>
      <c r="P139" s="145"/>
      <c r="Q139" s="145"/>
      <c r="R139" s="145"/>
      <c r="S139" s="145"/>
      <c r="T139" s="145"/>
      <c r="U139" s="145"/>
      <c r="V139" s="145"/>
      <c r="W139" s="145"/>
      <c r="X139" s="145"/>
      <c r="Y139" s="145"/>
      <c r="Z139" s="145"/>
    </row>
    <row r="140" spans="1:26" ht="15.75" customHeight="1" x14ac:dyDescent="0.25">
      <c r="A140" s="289"/>
      <c r="B140" s="290"/>
      <c r="C140" s="145"/>
      <c r="D140" s="145"/>
      <c r="E140" s="145"/>
      <c r="F140" s="290"/>
      <c r="G140" s="145"/>
      <c r="H140" s="145"/>
      <c r="I140" s="290"/>
      <c r="J140" s="290"/>
      <c r="K140" s="286"/>
      <c r="L140" s="145"/>
      <c r="M140" s="145"/>
      <c r="N140" s="145"/>
      <c r="O140" s="286"/>
      <c r="P140" s="145"/>
      <c r="Q140" s="145"/>
      <c r="R140" s="145"/>
      <c r="S140" s="145"/>
      <c r="T140" s="145"/>
      <c r="U140" s="145"/>
      <c r="V140" s="145"/>
      <c r="W140" s="145"/>
      <c r="X140" s="145"/>
      <c r="Y140" s="145"/>
      <c r="Z140" s="145"/>
    </row>
    <row r="141" spans="1:26" ht="15.75" customHeight="1" x14ac:dyDescent="0.25">
      <c r="A141" s="289"/>
      <c r="B141" s="290"/>
      <c r="C141" s="145"/>
      <c r="D141" s="145"/>
      <c r="E141" s="145"/>
      <c r="F141" s="290"/>
      <c r="G141" s="145"/>
      <c r="H141" s="145"/>
      <c r="I141" s="290"/>
      <c r="J141" s="290"/>
      <c r="K141" s="286"/>
      <c r="L141" s="145"/>
      <c r="M141" s="145"/>
      <c r="N141" s="145"/>
      <c r="O141" s="286"/>
      <c r="P141" s="145"/>
      <c r="Q141" s="145"/>
      <c r="R141" s="145"/>
      <c r="S141" s="145"/>
      <c r="T141" s="145"/>
      <c r="U141" s="145"/>
      <c r="V141" s="145"/>
      <c r="W141" s="145"/>
      <c r="X141" s="145"/>
      <c r="Y141" s="145"/>
      <c r="Z141" s="145"/>
    </row>
    <row r="142" spans="1:26" ht="15.75" customHeight="1" x14ac:dyDescent="0.25">
      <c r="A142" s="289"/>
      <c r="B142" s="290"/>
      <c r="C142" s="145"/>
      <c r="D142" s="145"/>
      <c r="E142" s="145"/>
      <c r="F142" s="290"/>
      <c r="G142" s="145"/>
      <c r="H142" s="145"/>
      <c r="I142" s="290"/>
      <c r="J142" s="290"/>
      <c r="K142" s="286"/>
      <c r="L142" s="145"/>
      <c r="M142" s="145"/>
      <c r="N142" s="145"/>
      <c r="O142" s="286"/>
      <c r="P142" s="145"/>
      <c r="Q142" s="145"/>
      <c r="R142" s="145"/>
      <c r="S142" s="145"/>
      <c r="T142" s="145"/>
      <c r="U142" s="145"/>
      <c r="V142" s="145"/>
      <c r="W142" s="145"/>
      <c r="X142" s="145"/>
      <c r="Y142" s="145"/>
      <c r="Z142" s="145"/>
    </row>
    <row r="143" spans="1:26" ht="15.75" customHeight="1" x14ac:dyDescent="0.25">
      <c r="A143" s="289"/>
      <c r="B143" s="290"/>
      <c r="C143" s="145"/>
      <c r="D143" s="145"/>
      <c r="E143" s="145"/>
      <c r="F143" s="290"/>
      <c r="G143" s="145"/>
      <c r="H143" s="145"/>
      <c r="I143" s="290"/>
      <c r="J143" s="290"/>
      <c r="K143" s="286"/>
      <c r="L143" s="145"/>
      <c r="M143" s="145"/>
      <c r="N143" s="145"/>
      <c r="O143" s="286"/>
      <c r="P143" s="145"/>
      <c r="Q143" s="145"/>
      <c r="R143" s="145"/>
      <c r="S143" s="145"/>
      <c r="T143" s="145"/>
      <c r="U143" s="145"/>
      <c r="V143" s="145"/>
      <c r="W143" s="145"/>
      <c r="X143" s="145"/>
      <c r="Y143" s="145"/>
      <c r="Z143" s="145"/>
    </row>
    <row r="144" spans="1:26" ht="15.75" customHeight="1" x14ac:dyDescent="0.25">
      <c r="A144" s="289"/>
      <c r="B144" s="290"/>
      <c r="C144" s="145"/>
      <c r="D144" s="145"/>
      <c r="E144" s="145"/>
      <c r="F144" s="290"/>
      <c r="G144" s="145"/>
      <c r="H144" s="145"/>
      <c r="I144" s="290"/>
      <c r="J144" s="290"/>
      <c r="K144" s="286"/>
      <c r="L144" s="145"/>
      <c r="M144" s="145"/>
      <c r="N144" s="145"/>
      <c r="O144" s="286"/>
      <c r="P144" s="145"/>
      <c r="Q144" s="145"/>
      <c r="R144" s="145"/>
      <c r="S144" s="145"/>
      <c r="T144" s="145"/>
      <c r="U144" s="145"/>
      <c r="V144" s="145"/>
      <c r="W144" s="145"/>
      <c r="X144" s="145"/>
      <c r="Y144" s="145"/>
      <c r="Z144" s="145"/>
    </row>
    <row r="145" spans="1:26" ht="15.75" customHeight="1" x14ac:dyDescent="0.25">
      <c r="A145" s="289"/>
      <c r="B145" s="290"/>
      <c r="C145" s="145"/>
      <c r="D145" s="145"/>
      <c r="E145" s="145"/>
      <c r="F145" s="290"/>
      <c r="G145" s="145"/>
      <c r="H145" s="145"/>
      <c r="I145" s="290"/>
      <c r="J145" s="290"/>
      <c r="K145" s="286"/>
      <c r="L145" s="145"/>
      <c r="M145" s="145"/>
      <c r="N145" s="145"/>
      <c r="O145" s="286"/>
      <c r="P145" s="145"/>
      <c r="Q145" s="145"/>
      <c r="R145" s="145"/>
      <c r="S145" s="145"/>
      <c r="T145" s="145"/>
      <c r="U145" s="145"/>
      <c r="V145" s="145"/>
      <c r="W145" s="145"/>
      <c r="X145" s="145"/>
      <c r="Y145" s="145"/>
      <c r="Z145" s="145"/>
    </row>
    <row r="146" spans="1:26" ht="15.75" customHeight="1" x14ac:dyDescent="0.25">
      <c r="A146" s="289"/>
      <c r="B146" s="290"/>
      <c r="C146" s="145"/>
      <c r="D146" s="145"/>
      <c r="E146" s="145"/>
      <c r="F146" s="290"/>
      <c r="G146" s="145"/>
      <c r="H146" s="145"/>
      <c r="I146" s="290"/>
      <c r="J146" s="290"/>
      <c r="K146" s="286"/>
      <c r="L146" s="145"/>
      <c r="M146" s="145"/>
      <c r="N146" s="145"/>
      <c r="O146" s="286"/>
      <c r="P146" s="145"/>
      <c r="Q146" s="145"/>
      <c r="R146" s="145"/>
      <c r="S146" s="145"/>
      <c r="T146" s="145"/>
      <c r="U146" s="145"/>
      <c r="V146" s="145"/>
      <c r="W146" s="145"/>
      <c r="X146" s="145"/>
      <c r="Y146" s="145"/>
      <c r="Z146" s="145"/>
    </row>
    <row r="147" spans="1:26" ht="15.75" customHeight="1" x14ac:dyDescent="0.25">
      <c r="A147" s="289"/>
      <c r="B147" s="290"/>
      <c r="C147" s="145"/>
      <c r="D147" s="145"/>
      <c r="E147" s="145"/>
      <c r="F147" s="290"/>
      <c r="G147" s="145"/>
      <c r="H147" s="145"/>
      <c r="I147" s="290"/>
      <c r="J147" s="290"/>
      <c r="K147" s="286"/>
      <c r="L147" s="145"/>
      <c r="M147" s="145"/>
      <c r="N147" s="145"/>
      <c r="O147" s="286"/>
      <c r="P147" s="145"/>
      <c r="Q147" s="145"/>
      <c r="R147" s="145"/>
      <c r="S147" s="145"/>
      <c r="T147" s="145"/>
      <c r="U147" s="145"/>
      <c r="V147" s="145"/>
      <c r="W147" s="145"/>
      <c r="X147" s="145"/>
      <c r="Y147" s="145"/>
      <c r="Z147" s="145"/>
    </row>
    <row r="148" spans="1:26" ht="15.75" customHeight="1" x14ac:dyDescent="0.25">
      <c r="A148" s="289"/>
      <c r="B148" s="290"/>
      <c r="C148" s="145"/>
      <c r="D148" s="145"/>
      <c r="E148" s="145"/>
      <c r="F148" s="290"/>
      <c r="G148" s="145"/>
      <c r="H148" s="145"/>
      <c r="I148" s="290"/>
      <c r="J148" s="290"/>
      <c r="K148" s="286"/>
      <c r="L148" s="145"/>
      <c r="M148" s="145"/>
      <c r="N148" s="145"/>
      <c r="O148" s="286"/>
      <c r="P148" s="145"/>
      <c r="Q148" s="145"/>
      <c r="R148" s="145"/>
      <c r="S148" s="145"/>
      <c r="T148" s="145"/>
      <c r="U148" s="145"/>
      <c r="V148" s="145"/>
      <c r="W148" s="145"/>
      <c r="X148" s="145"/>
      <c r="Y148" s="145"/>
      <c r="Z148" s="145"/>
    </row>
    <row r="149" spans="1:26" ht="15.75" customHeight="1" x14ac:dyDescent="0.25">
      <c r="A149" s="289"/>
      <c r="B149" s="290"/>
      <c r="C149" s="145"/>
      <c r="D149" s="145"/>
      <c r="E149" s="145"/>
      <c r="F149" s="290"/>
      <c r="G149" s="145"/>
      <c r="H149" s="145"/>
      <c r="I149" s="290"/>
      <c r="J149" s="290"/>
      <c r="K149" s="286"/>
      <c r="L149" s="145"/>
      <c r="M149" s="145"/>
      <c r="N149" s="145"/>
      <c r="O149" s="286"/>
      <c r="P149" s="145"/>
      <c r="Q149" s="145"/>
      <c r="R149" s="145"/>
      <c r="S149" s="145"/>
      <c r="T149" s="145"/>
      <c r="U149" s="145"/>
      <c r="V149" s="145"/>
      <c r="W149" s="145"/>
      <c r="X149" s="145"/>
      <c r="Y149" s="145"/>
      <c r="Z149" s="145"/>
    </row>
    <row r="150" spans="1:26" ht="15.75" customHeight="1" x14ac:dyDescent="0.25">
      <c r="A150" s="289"/>
      <c r="B150" s="290"/>
      <c r="C150" s="145"/>
      <c r="D150" s="145"/>
      <c r="E150" s="145"/>
      <c r="F150" s="290"/>
      <c r="G150" s="145"/>
      <c r="H150" s="145"/>
      <c r="I150" s="290"/>
      <c r="J150" s="290"/>
      <c r="K150" s="286"/>
      <c r="L150" s="145"/>
      <c r="M150" s="145"/>
      <c r="N150" s="145"/>
      <c r="O150" s="286"/>
      <c r="P150" s="145"/>
      <c r="Q150" s="145"/>
      <c r="R150" s="145"/>
      <c r="S150" s="145"/>
      <c r="T150" s="145"/>
      <c r="U150" s="145"/>
      <c r="V150" s="145"/>
      <c r="W150" s="145"/>
      <c r="X150" s="145"/>
      <c r="Y150" s="145"/>
      <c r="Z150" s="145"/>
    </row>
    <row r="151" spans="1:26" ht="15.75" customHeight="1" x14ac:dyDescent="0.25">
      <c r="A151" s="289"/>
      <c r="B151" s="290"/>
      <c r="C151" s="145"/>
      <c r="D151" s="145"/>
      <c r="E151" s="145"/>
      <c r="F151" s="290"/>
      <c r="G151" s="145"/>
      <c r="H151" s="145"/>
      <c r="I151" s="290"/>
      <c r="J151" s="290"/>
      <c r="K151" s="286"/>
      <c r="L151" s="145"/>
      <c r="M151" s="145"/>
      <c r="N151" s="145"/>
      <c r="O151" s="286"/>
      <c r="P151" s="145"/>
      <c r="Q151" s="145"/>
      <c r="R151" s="145"/>
      <c r="S151" s="145"/>
      <c r="T151" s="145"/>
      <c r="U151" s="145"/>
      <c r="V151" s="145"/>
      <c r="W151" s="145"/>
      <c r="X151" s="145"/>
      <c r="Y151" s="145"/>
      <c r="Z151" s="145"/>
    </row>
    <row r="152" spans="1:26" ht="15.75" customHeight="1" x14ac:dyDescent="0.25">
      <c r="A152" s="289"/>
      <c r="B152" s="290"/>
      <c r="C152" s="145"/>
      <c r="D152" s="145"/>
      <c r="E152" s="145"/>
      <c r="F152" s="290"/>
      <c r="G152" s="145"/>
      <c r="H152" s="145"/>
      <c r="I152" s="290"/>
      <c r="J152" s="290"/>
      <c r="K152" s="286"/>
      <c r="L152" s="145"/>
      <c r="M152" s="145"/>
      <c r="N152" s="145"/>
      <c r="O152" s="286"/>
      <c r="P152" s="145"/>
      <c r="Q152" s="145"/>
      <c r="R152" s="145"/>
      <c r="S152" s="145"/>
      <c r="T152" s="145"/>
      <c r="U152" s="145"/>
      <c r="V152" s="145"/>
      <c r="W152" s="145"/>
      <c r="X152" s="145"/>
      <c r="Y152" s="145"/>
      <c r="Z152" s="145"/>
    </row>
    <row r="153" spans="1:26" ht="15.75" customHeight="1" x14ac:dyDescent="0.25">
      <c r="A153" s="289"/>
      <c r="B153" s="290"/>
      <c r="C153" s="145"/>
      <c r="D153" s="145"/>
      <c r="E153" s="145"/>
      <c r="F153" s="290"/>
      <c r="G153" s="145"/>
      <c r="H153" s="145"/>
      <c r="I153" s="290"/>
      <c r="J153" s="290"/>
      <c r="K153" s="286"/>
      <c r="L153" s="145"/>
      <c r="M153" s="145"/>
      <c r="N153" s="145"/>
      <c r="O153" s="286"/>
      <c r="P153" s="145"/>
      <c r="Q153" s="145"/>
      <c r="R153" s="145"/>
      <c r="S153" s="145"/>
      <c r="T153" s="145"/>
      <c r="U153" s="145"/>
      <c r="V153" s="145"/>
      <c r="W153" s="145"/>
      <c r="X153" s="145"/>
      <c r="Y153" s="145"/>
      <c r="Z153" s="145"/>
    </row>
    <row r="154" spans="1:26" ht="15.75" customHeight="1" x14ac:dyDescent="0.25">
      <c r="A154" s="289"/>
      <c r="B154" s="290"/>
      <c r="C154" s="145"/>
      <c r="D154" s="145"/>
      <c r="E154" s="145"/>
      <c r="F154" s="290"/>
      <c r="G154" s="145"/>
      <c r="H154" s="145"/>
      <c r="I154" s="290"/>
      <c r="J154" s="290"/>
      <c r="K154" s="286"/>
      <c r="L154" s="145"/>
      <c r="M154" s="145"/>
      <c r="N154" s="145"/>
      <c r="O154" s="286"/>
      <c r="P154" s="145"/>
      <c r="Q154" s="145"/>
      <c r="R154" s="145"/>
      <c r="S154" s="145"/>
      <c r="T154" s="145"/>
      <c r="U154" s="145"/>
      <c r="V154" s="145"/>
      <c r="W154" s="145"/>
      <c r="X154" s="145"/>
      <c r="Y154" s="145"/>
      <c r="Z154" s="145"/>
    </row>
    <row r="155" spans="1:26" ht="15.75" customHeight="1" x14ac:dyDescent="0.25">
      <c r="A155" s="289"/>
      <c r="B155" s="290"/>
      <c r="C155" s="145"/>
      <c r="D155" s="145"/>
      <c r="E155" s="145"/>
      <c r="F155" s="290"/>
      <c r="G155" s="145"/>
      <c r="H155" s="145"/>
      <c r="I155" s="290"/>
      <c r="J155" s="290"/>
      <c r="K155" s="286"/>
      <c r="L155" s="145"/>
      <c r="M155" s="145"/>
      <c r="N155" s="145"/>
      <c r="O155" s="286"/>
      <c r="P155" s="145"/>
      <c r="Q155" s="145"/>
      <c r="R155" s="145"/>
      <c r="S155" s="145"/>
      <c r="T155" s="145"/>
      <c r="U155" s="145"/>
      <c r="V155" s="145"/>
      <c r="W155" s="145"/>
      <c r="X155" s="145"/>
      <c r="Y155" s="145"/>
      <c r="Z155" s="145"/>
    </row>
    <row r="156" spans="1:26" ht="15.75" customHeight="1" x14ac:dyDescent="0.25">
      <c r="A156" s="289"/>
      <c r="B156" s="290"/>
      <c r="C156" s="145"/>
      <c r="D156" s="145"/>
      <c r="E156" s="145"/>
      <c r="F156" s="290"/>
      <c r="G156" s="145"/>
      <c r="H156" s="145"/>
      <c r="I156" s="290"/>
      <c r="J156" s="290"/>
      <c r="K156" s="286"/>
      <c r="L156" s="145"/>
      <c r="M156" s="145"/>
      <c r="N156" s="145"/>
      <c r="O156" s="286"/>
      <c r="P156" s="145"/>
      <c r="Q156" s="145"/>
      <c r="R156" s="145"/>
      <c r="S156" s="145"/>
      <c r="T156" s="145"/>
      <c r="U156" s="145"/>
      <c r="V156" s="145"/>
      <c r="W156" s="145"/>
      <c r="X156" s="145"/>
      <c r="Y156" s="145"/>
      <c r="Z156" s="145"/>
    </row>
    <row r="157" spans="1:26" ht="15.75" customHeight="1" x14ac:dyDescent="0.25">
      <c r="A157" s="289"/>
      <c r="B157" s="290"/>
      <c r="C157" s="145"/>
      <c r="D157" s="145"/>
      <c r="E157" s="145"/>
      <c r="F157" s="290"/>
      <c r="G157" s="145"/>
      <c r="H157" s="145"/>
      <c r="I157" s="290"/>
      <c r="J157" s="290"/>
      <c r="K157" s="286"/>
      <c r="L157" s="145"/>
      <c r="M157" s="145"/>
      <c r="N157" s="145"/>
      <c r="O157" s="286"/>
      <c r="P157" s="145"/>
      <c r="Q157" s="145"/>
      <c r="R157" s="145"/>
      <c r="S157" s="145"/>
      <c r="T157" s="145"/>
      <c r="U157" s="145"/>
      <c r="V157" s="145"/>
      <c r="W157" s="145"/>
      <c r="X157" s="145"/>
      <c r="Y157" s="145"/>
      <c r="Z157" s="145"/>
    </row>
    <row r="158" spans="1:26" ht="15.75" customHeight="1" x14ac:dyDescent="0.25">
      <c r="A158" s="289"/>
      <c r="B158" s="290"/>
      <c r="C158" s="145"/>
      <c r="D158" s="145"/>
      <c r="E158" s="145"/>
      <c r="F158" s="290"/>
      <c r="G158" s="145"/>
      <c r="H158" s="145"/>
      <c r="I158" s="290"/>
      <c r="J158" s="290"/>
      <c r="K158" s="286"/>
      <c r="L158" s="145"/>
      <c r="M158" s="145"/>
      <c r="N158" s="145"/>
      <c r="O158" s="286"/>
      <c r="P158" s="145"/>
      <c r="Q158" s="145"/>
      <c r="R158" s="145"/>
      <c r="S158" s="145"/>
      <c r="T158" s="145"/>
      <c r="U158" s="145"/>
      <c r="V158" s="145"/>
      <c r="W158" s="145"/>
      <c r="X158" s="145"/>
      <c r="Y158" s="145"/>
      <c r="Z158" s="145"/>
    </row>
    <row r="159" spans="1:26" ht="15.75" customHeight="1" x14ac:dyDescent="0.25">
      <c r="A159" s="289"/>
      <c r="B159" s="290"/>
      <c r="C159" s="145"/>
      <c r="D159" s="145"/>
      <c r="E159" s="145"/>
      <c r="F159" s="290"/>
      <c r="G159" s="145"/>
      <c r="H159" s="145"/>
      <c r="I159" s="290"/>
      <c r="J159" s="290"/>
      <c r="K159" s="286"/>
      <c r="L159" s="145"/>
      <c r="M159" s="145"/>
      <c r="N159" s="145"/>
      <c r="O159" s="286"/>
      <c r="P159" s="145"/>
      <c r="Q159" s="145"/>
      <c r="R159" s="145"/>
      <c r="S159" s="145"/>
      <c r="T159" s="145"/>
      <c r="U159" s="145"/>
      <c r="V159" s="145"/>
      <c r="W159" s="145"/>
      <c r="X159" s="145"/>
      <c r="Y159" s="145"/>
      <c r="Z159" s="145"/>
    </row>
    <row r="160" spans="1:26" ht="15.75" customHeight="1" x14ac:dyDescent="0.25">
      <c r="A160" s="289"/>
      <c r="B160" s="290"/>
      <c r="C160" s="145"/>
      <c r="D160" s="145"/>
      <c r="E160" s="145"/>
      <c r="F160" s="290"/>
      <c r="G160" s="145"/>
      <c r="H160" s="145"/>
      <c r="I160" s="290"/>
      <c r="J160" s="290"/>
      <c r="K160" s="286"/>
      <c r="L160" s="145"/>
      <c r="M160" s="145"/>
      <c r="N160" s="145"/>
      <c r="O160" s="286"/>
      <c r="P160" s="145"/>
      <c r="Q160" s="145"/>
      <c r="R160" s="145"/>
      <c r="S160" s="145"/>
      <c r="T160" s="145"/>
      <c r="U160" s="145"/>
      <c r="V160" s="145"/>
      <c r="W160" s="145"/>
      <c r="X160" s="145"/>
      <c r="Y160" s="145"/>
      <c r="Z160" s="145"/>
    </row>
    <row r="161" spans="1:26" ht="15.75" customHeight="1" x14ac:dyDescent="0.25">
      <c r="A161" s="289"/>
      <c r="B161" s="290"/>
      <c r="C161" s="145"/>
      <c r="D161" s="145"/>
      <c r="E161" s="145"/>
      <c r="F161" s="290"/>
      <c r="G161" s="145"/>
      <c r="H161" s="145"/>
      <c r="I161" s="290"/>
      <c r="J161" s="290"/>
      <c r="K161" s="286"/>
      <c r="L161" s="145"/>
      <c r="M161" s="145"/>
      <c r="N161" s="145"/>
      <c r="O161" s="286"/>
      <c r="P161" s="145"/>
      <c r="Q161" s="145"/>
      <c r="R161" s="145"/>
      <c r="S161" s="145"/>
      <c r="T161" s="145"/>
      <c r="U161" s="145"/>
      <c r="V161" s="145"/>
      <c r="W161" s="145"/>
      <c r="X161" s="145"/>
      <c r="Y161" s="145"/>
      <c r="Z161" s="145"/>
    </row>
    <row r="162" spans="1:26" ht="15.75" customHeight="1" x14ac:dyDescent="0.25">
      <c r="A162" s="289"/>
      <c r="B162" s="290"/>
      <c r="C162" s="145"/>
      <c r="D162" s="145"/>
      <c r="E162" s="145"/>
      <c r="F162" s="290"/>
      <c r="G162" s="145"/>
      <c r="H162" s="145"/>
      <c r="I162" s="290"/>
      <c r="J162" s="290"/>
      <c r="K162" s="286"/>
      <c r="L162" s="145"/>
      <c r="M162" s="145"/>
      <c r="N162" s="145"/>
      <c r="O162" s="286"/>
      <c r="P162" s="145"/>
      <c r="Q162" s="145"/>
      <c r="R162" s="145"/>
      <c r="S162" s="145"/>
      <c r="T162" s="145"/>
      <c r="U162" s="145"/>
      <c r="V162" s="145"/>
      <c r="W162" s="145"/>
      <c r="X162" s="145"/>
      <c r="Y162" s="145"/>
      <c r="Z162" s="145"/>
    </row>
    <row r="163" spans="1:26" ht="15.75" customHeight="1" x14ac:dyDescent="0.25">
      <c r="A163" s="289"/>
      <c r="B163" s="290"/>
      <c r="C163" s="145"/>
      <c r="D163" s="145"/>
      <c r="E163" s="145"/>
      <c r="F163" s="290"/>
      <c r="G163" s="145"/>
      <c r="H163" s="145"/>
      <c r="I163" s="290"/>
      <c r="J163" s="290"/>
      <c r="K163" s="286"/>
      <c r="L163" s="145"/>
      <c r="M163" s="145"/>
      <c r="N163" s="145"/>
      <c r="O163" s="286"/>
      <c r="P163" s="145"/>
      <c r="Q163" s="145"/>
      <c r="R163" s="145"/>
      <c r="S163" s="145"/>
      <c r="T163" s="145"/>
      <c r="U163" s="145"/>
      <c r="V163" s="145"/>
      <c r="W163" s="145"/>
      <c r="X163" s="145"/>
      <c r="Y163" s="145"/>
      <c r="Z163" s="145"/>
    </row>
    <row r="164" spans="1:26" ht="15.75" customHeight="1" x14ac:dyDescent="0.25">
      <c r="A164" s="289"/>
      <c r="B164" s="290"/>
      <c r="C164" s="145"/>
      <c r="D164" s="145"/>
      <c r="E164" s="145"/>
      <c r="F164" s="290"/>
      <c r="G164" s="145"/>
      <c r="H164" s="145"/>
      <c r="I164" s="290"/>
      <c r="J164" s="290"/>
      <c r="K164" s="286"/>
      <c r="L164" s="145"/>
      <c r="M164" s="145"/>
      <c r="N164" s="145"/>
      <c r="O164" s="286"/>
      <c r="P164" s="145"/>
      <c r="Q164" s="145"/>
      <c r="R164" s="145"/>
      <c r="S164" s="145"/>
      <c r="T164" s="145"/>
      <c r="U164" s="145"/>
      <c r="V164" s="145"/>
      <c r="W164" s="145"/>
      <c r="X164" s="145"/>
      <c r="Y164" s="145"/>
      <c r="Z164" s="145"/>
    </row>
    <row r="165" spans="1:26" ht="15.75" customHeight="1" x14ac:dyDescent="0.25">
      <c r="A165" s="289"/>
      <c r="B165" s="290"/>
      <c r="C165" s="145"/>
      <c r="D165" s="145"/>
      <c r="E165" s="145"/>
      <c r="F165" s="290"/>
      <c r="G165" s="145"/>
      <c r="H165" s="145"/>
      <c r="I165" s="290"/>
      <c r="J165" s="290"/>
      <c r="K165" s="286"/>
      <c r="L165" s="145"/>
      <c r="M165" s="145"/>
      <c r="N165" s="145"/>
      <c r="O165" s="286"/>
      <c r="P165" s="145"/>
      <c r="Q165" s="145"/>
      <c r="R165" s="145"/>
      <c r="S165" s="145"/>
      <c r="T165" s="145"/>
      <c r="U165" s="145"/>
      <c r="V165" s="145"/>
      <c r="W165" s="145"/>
      <c r="X165" s="145"/>
      <c r="Y165" s="145"/>
      <c r="Z165" s="145"/>
    </row>
    <row r="166" spans="1:26" ht="15.75" customHeight="1" x14ac:dyDescent="0.25">
      <c r="A166" s="289"/>
      <c r="B166" s="290"/>
      <c r="C166" s="145"/>
      <c r="D166" s="145"/>
      <c r="E166" s="145"/>
      <c r="F166" s="290"/>
      <c r="G166" s="145"/>
      <c r="H166" s="145"/>
      <c r="I166" s="290"/>
      <c r="J166" s="290"/>
      <c r="K166" s="286"/>
      <c r="L166" s="145"/>
      <c r="M166" s="145"/>
      <c r="N166" s="145"/>
      <c r="O166" s="286"/>
      <c r="P166" s="145"/>
      <c r="Q166" s="145"/>
      <c r="R166" s="145"/>
      <c r="S166" s="145"/>
      <c r="T166" s="145"/>
      <c r="U166" s="145"/>
      <c r="V166" s="145"/>
      <c r="W166" s="145"/>
      <c r="X166" s="145"/>
      <c r="Y166" s="145"/>
      <c r="Z166" s="145"/>
    </row>
    <row r="167" spans="1:26" ht="15.75" customHeight="1" x14ac:dyDescent="0.25">
      <c r="A167" s="289"/>
      <c r="B167" s="290"/>
      <c r="C167" s="145"/>
      <c r="D167" s="145"/>
      <c r="E167" s="145"/>
      <c r="F167" s="290"/>
      <c r="G167" s="145"/>
      <c r="H167" s="145"/>
      <c r="I167" s="290"/>
      <c r="J167" s="290"/>
      <c r="K167" s="286"/>
      <c r="L167" s="145"/>
      <c r="M167" s="145"/>
      <c r="N167" s="145"/>
      <c r="O167" s="286"/>
      <c r="P167" s="145"/>
      <c r="Q167" s="145"/>
      <c r="R167" s="145"/>
      <c r="S167" s="145"/>
      <c r="T167" s="145"/>
      <c r="U167" s="145"/>
      <c r="V167" s="145"/>
      <c r="W167" s="145"/>
      <c r="X167" s="145"/>
      <c r="Y167" s="145"/>
      <c r="Z167" s="145"/>
    </row>
    <row r="168" spans="1:26" ht="15.75" customHeight="1" x14ac:dyDescent="0.25">
      <c r="A168" s="289"/>
      <c r="B168" s="290"/>
      <c r="C168" s="145"/>
      <c r="D168" s="145"/>
      <c r="E168" s="145"/>
      <c r="F168" s="290"/>
      <c r="G168" s="145"/>
      <c r="H168" s="145"/>
      <c r="I168" s="290"/>
      <c r="J168" s="290"/>
      <c r="K168" s="286"/>
      <c r="L168" s="145"/>
      <c r="M168" s="145"/>
      <c r="N168" s="145"/>
      <c r="O168" s="286"/>
      <c r="P168" s="145"/>
      <c r="Q168" s="145"/>
      <c r="R168" s="145"/>
      <c r="S168" s="145"/>
      <c r="T168" s="145"/>
      <c r="U168" s="145"/>
      <c r="V168" s="145"/>
      <c r="W168" s="145"/>
      <c r="X168" s="145"/>
      <c r="Y168" s="145"/>
      <c r="Z168" s="145"/>
    </row>
    <row r="169" spans="1:26" ht="15.75" customHeight="1" x14ac:dyDescent="0.25">
      <c r="A169" s="289"/>
      <c r="B169" s="290"/>
      <c r="C169" s="145"/>
      <c r="D169" s="145"/>
      <c r="E169" s="145"/>
      <c r="F169" s="290"/>
      <c r="G169" s="145"/>
      <c r="H169" s="145"/>
      <c r="I169" s="290"/>
      <c r="J169" s="290"/>
      <c r="K169" s="286"/>
      <c r="L169" s="145"/>
      <c r="M169" s="145"/>
      <c r="N169" s="145"/>
      <c r="O169" s="286"/>
      <c r="P169" s="145"/>
      <c r="Q169" s="145"/>
      <c r="R169" s="145"/>
      <c r="S169" s="145"/>
      <c r="T169" s="145"/>
      <c r="U169" s="145"/>
      <c r="V169" s="145"/>
      <c r="W169" s="145"/>
      <c r="X169" s="145"/>
      <c r="Y169" s="145"/>
      <c r="Z169" s="145"/>
    </row>
    <row r="170" spans="1:26" ht="15.75" customHeight="1" x14ac:dyDescent="0.25">
      <c r="A170" s="289"/>
      <c r="B170" s="290"/>
      <c r="C170" s="145"/>
      <c r="D170" s="145"/>
      <c r="E170" s="145"/>
      <c r="F170" s="290"/>
      <c r="G170" s="145"/>
      <c r="H170" s="145"/>
      <c r="I170" s="290"/>
      <c r="J170" s="290"/>
      <c r="K170" s="286"/>
      <c r="L170" s="145"/>
      <c r="M170" s="145"/>
      <c r="N170" s="145"/>
      <c r="O170" s="286"/>
      <c r="P170" s="145"/>
      <c r="Q170" s="145"/>
      <c r="R170" s="145"/>
      <c r="S170" s="145"/>
      <c r="T170" s="145"/>
      <c r="U170" s="145"/>
      <c r="V170" s="145"/>
      <c r="W170" s="145"/>
      <c r="X170" s="145"/>
      <c r="Y170" s="145"/>
      <c r="Z170" s="145"/>
    </row>
    <row r="171" spans="1:26" ht="15.75" customHeight="1" x14ac:dyDescent="0.25">
      <c r="A171" s="289"/>
      <c r="B171" s="290"/>
      <c r="C171" s="145"/>
      <c r="D171" s="145"/>
      <c r="E171" s="145"/>
      <c r="F171" s="290"/>
      <c r="G171" s="145"/>
      <c r="H171" s="145"/>
      <c r="I171" s="290"/>
      <c r="J171" s="290"/>
      <c r="K171" s="286"/>
      <c r="L171" s="145"/>
      <c r="M171" s="145"/>
      <c r="N171" s="145"/>
      <c r="O171" s="286"/>
      <c r="P171" s="145"/>
      <c r="Q171" s="145"/>
      <c r="R171" s="145"/>
      <c r="S171" s="145"/>
      <c r="T171" s="145"/>
      <c r="U171" s="145"/>
      <c r="V171" s="145"/>
      <c r="W171" s="145"/>
      <c r="X171" s="145"/>
      <c r="Y171" s="145"/>
      <c r="Z171" s="145"/>
    </row>
    <row r="172" spans="1:26" ht="15.75" customHeight="1" x14ac:dyDescent="0.25">
      <c r="A172" s="289"/>
      <c r="B172" s="290"/>
      <c r="C172" s="145"/>
      <c r="D172" s="145"/>
      <c r="E172" s="145"/>
      <c r="F172" s="290"/>
      <c r="G172" s="145"/>
      <c r="H172" s="145"/>
      <c r="I172" s="290"/>
      <c r="J172" s="290"/>
      <c r="K172" s="286"/>
      <c r="L172" s="145"/>
      <c r="M172" s="145"/>
      <c r="N172" s="145"/>
      <c r="O172" s="286"/>
      <c r="P172" s="145"/>
      <c r="Q172" s="145"/>
      <c r="R172" s="145"/>
      <c r="S172" s="145"/>
      <c r="T172" s="145"/>
      <c r="U172" s="145"/>
      <c r="V172" s="145"/>
      <c r="W172" s="145"/>
      <c r="X172" s="145"/>
      <c r="Y172" s="145"/>
      <c r="Z172" s="145"/>
    </row>
    <row r="173" spans="1:26" ht="15.75" customHeight="1" x14ac:dyDescent="0.25">
      <c r="A173" s="289"/>
      <c r="B173" s="290"/>
      <c r="C173" s="145"/>
      <c r="D173" s="145"/>
      <c r="E173" s="145"/>
      <c r="F173" s="290"/>
      <c r="G173" s="145"/>
      <c r="H173" s="145"/>
      <c r="I173" s="290"/>
      <c r="J173" s="290"/>
      <c r="K173" s="286"/>
      <c r="L173" s="145"/>
      <c r="M173" s="145"/>
      <c r="N173" s="145"/>
      <c r="O173" s="286"/>
      <c r="P173" s="145"/>
      <c r="Q173" s="145"/>
      <c r="R173" s="145"/>
      <c r="S173" s="145"/>
      <c r="T173" s="145"/>
      <c r="U173" s="145"/>
      <c r="V173" s="145"/>
      <c r="W173" s="145"/>
      <c r="X173" s="145"/>
      <c r="Y173" s="145"/>
      <c r="Z173" s="145"/>
    </row>
    <row r="174" spans="1:26" ht="15.75" customHeight="1" x14ac:dyDescent="0.25">
      <c r="A174" s="289"/>
      <c r="B174" s="290"/>
      <c r="C174" s="145"/>
      <c r="D174" s="145"/>
      <c r="E174" s="145"/>
      <c r="F174" s="290"/>
      <c r="G174" s="145"/>
      <c r="H174" s="145"/>
      <c r="I174" s="290"/>
      <c r="J174" s="290"/>
      <c r="K174" s="286"/>
      <c r="L174" s="145"/>
      <c r="M174" s="145"/>
      <c r="N174" s="145"/>
      <c r="O174" s="286"/>
      <c r="P174" s="145"/>
      <c r="Q174" s="145"/>
      <c r="R174" s="145"/>
      <c r="S174" s="145"/>
      <c r="T174" s="145"/>
      <c r="U174" s="145"/>
      <c r="V174" s="145"/>
      <c r="W174" s="145"/>
      <c r="X174" s="145"/>
      <c r="Y174" s="145"/>
      <c r="Z174" s="145"/>
    </row>
    <row r="175" spans="1:26" ht="15.75" customHeight="1" x14ac:dyDescent="0.25">
      <c r="A175" s="289"/>
      <c r="B175" s="290"/>
      <c r="C175" s="145"/>
      <c r="D175" s="145"/>
      <c r="E175" s="145"/>
      <c r="F175" s="290"/>
      <c r="G175" s="145"/>
      <c r="H175" s="145"/>
      <c r="I175" s="290"/>
      <c r="J175" s="290"/>
      <c r="K175" s="286"/>
      <c r="L175" s="145"/>
      <c r="M175" s="145"/>
      <c r="N175" s="145"/>
      <c r="O175" s="286"/>
      <c r="P175" s="145"/>
      <c r="Q175" s="145"/>
      <c r="R175" s="145"/>
      <c r="S175" s="145"/>
      <c r="T175" s="145"/>
      <c r="U175" s="145"/>
      <c r="V175" s="145"/>
      <c r="W175" s="145"/>
      <c r="X175" s="145"/>
      <c r="Y175" s="145"/>
      <c r="Z175" s="145"/>
    </row>
    <row r="176" spans="1:26" ht="15.75" customHeight="1" x14ac:dyDescent="0.25">
      <c r="A176" s="289"/>
      <c r="B176" s="290"/>
      <c r="C176" s="145"/>
      <c r="D176" s="145"/>
      <c r="E176" s="145"/>
      <c r="F176" s="290"/>
      <c r="G176" s="145"/>
      <c r="H176" s="145"/>
      <c r="I176" s="290"/>
      <c r="J176" s="290"/>
      <c r="K176" s="286"/>
      <c r="L176" s="145"/>
      <c r="M176" s="145"/>
      <c r="N176" s="145"/>
      <c r="O176" s="286"/>
      <c r="P176" s="145"/>
      <c r="Q176" s="145"/>
      <c r="R176" s="145"/>
      <c r="S176" s="145"/>
      <c r="T176" s="145"/>
      <c r="U176" s="145"/>
      <c r="V176" s="145"/>
      <c r="W176" s="145"/>
      <c r="X176" s="145"/>
      <c r="Y176" s="145"/>
      <c r="Z176" s="145"/>
    </row>
    <row r="177" spans="1:26" ht="15.75" customHeight="1" x14ac:dyDescent="0.25">
      <c r="A177" s="289"/>
      <c r="B177" s="290"/>
      <c r="C177" s="145"/>
      <c r="D177" s="145"/>
      <c r="E177" s="145"/>
      <c r="F177" s="290"/>
      <c r="G177" s="145"/>
      <c r="H177" s="145"/>
      <c r="I177" s="290"/>
      <c r="J177" s="290"/>
      <c r="K177" s="286"/>
      <c r="L177" s="145"/>
      <c r="M177" s="145"/>
      <c r="N177" s="145"/>
      <c r="O177" s="286"/>
      <c r="P177" s="145"/>
      <c r="Q177" s="145"/>
      <c r="R177" s="145"/>
      <c r="S177" s="145"/>
      <c r="T177" s="145"/>
      <c r="U177" s="145"/>
      <c r="V177" s="145"/>
      <c r="W177" s="145"/>
      <c r="X177" s="145"/>
      <c r="Y177" s="145"/>
      <c r="Z177" s="145"/>
    </row>
    <row r="178" spans="1:26" ht="15.75" customHeight="1" x14ac:dyDescent="0.25">
      <c r="A178" s="289"/>
      <c r="B178" s="290"/>
      <c r="C178" s="145"/>
      <c r="D178" s="145"/>
      <c r="E178" s="145"/>
      <c r="F178" s="290"/>
      <c r="G178" s="145"/>
      <c r="H178" s="145"/>
      <c r="I178" s="290"/>
      <c r="J178" s="290"/>
      <c r="K178" s="286"/>
      <c r="L178" s="145"/>
      <c r="M178" s="145"/>
      <c r="N178" s="145"/>
      <c r="O178" s="286"/>
      <c r="P178" s="145"/>
      <c r="Q178" s="145"/>
      <c r="R178" s="145"/>
      <c r="S178" s="145"/>
      <c r="T178" s="145"/>
      <c r="U178" s="145"/>
      <c r="V178" s="145"/>
      <c r="W178" s="145"/>
      <c r="X178" s="145"/>
      <c r="Y178" s="145"/>
      <c r="Z178" s="145"/>
    </row>
    <row r="179" spans="1:26" ht="15.75" customHeight="1" x14ac:dyDescent="0.25">
      <c r="A179" s="289"/>
      <c r="B179" s="290"/>
      <c r="C179" s="145"/>
      <c r="D179" s="145"/>
      <c r="E179" s="145"/>
      <c r="F179" s="290"/>
      <c r="G179" s="145"/>
      <c r="H179" s="145"/>
      <c r="I179" s="290"/>
      <c r="J179" s="290"/>
      <c r="K179" s="286"/>
      <c r="L179" s="145"/>
      <c r="M179" s="145"/>
      <c r="N179" s="145"/>
      <c r="O179" s="286"/>
      <c r="P179" s="145"/>
      <c r="Q179" s="145"/>
      <c r="R179" s="145"/>
      <c r="S179" s="145"/>
      <c r="T179" s="145"/>
      <c r="U179" s="145"/>
      <c r="V179" s="145"/>
      <c r="W179" s="145"/>
      <c r="X179" s="145"/>
      <c r="Y179" s="145"/>
      <c r="Z179" s="145"/>
    </row>
    <row r="180" spans="1:26" ht="15.75" customHeight="1" x14ac:dyDescent="0.25">
      <c r="A180" s="289"/>
      <c r="B180" s="290"/>
      <c r="C180" s="145"/>
      <c r="D180" s="145"/>
      <c r="E180" s="145"/>
      <c r="F180" s="290"/>
      <c r="G180" s="145"/>
      <c r="H180" s="145"/>
      <c r="I180" s="290"/>
      <c r="J180" s="290"/>
      <c r="K180" s="286"/>
      <c r="L180" s="145"/>
      <c r="M180" s="145"/>
      <c r="N180" s="145"/>
      <c r="O180" s="286"/>
      <c r="P180" s="145"/>
      <c r="Q180" s="145"/>
      <c r="R180" s="145"/>
      <c r="S180" s="145"/>
      <c r="T180" s="145"/>
      <c r="U180" s="145"/>
      <c r="V180" s="145"/>
      <c r="W180" s="145"/>
      <c r="X180" s="145"/>
      <c r="Y180" s="145"/>
      <c r="Z180" s="145"/>
    </row>
    <row r="181" spans="1:26" ht="15.75" customHeight="1" x14ac:dyDescent="0.25">
      <c r="A181" s="289"/>
      <c r="B181" s="290"/>
      <c r="C181" s="145"/>
      <c r="D181" s="145"/>
      <c r="E181" s="145"/>
      <c r="F181" s="290"/>
      <c r="G181" s="145"/>
      <c r="H181" s="145"/>
      <c r="I181" s="290"/>
      <c r="J181" s="290"/>
      <c r="K181" s="286"/>
      <c r="L181" s="145"/>
      <c r="M181" s="145"/>
      <c r="N181" s="145"/>
      <c r="O181" s="286"/>
      <c r="P181" s="145"/>
      <c r="Q181" s="145"/>
      <c r="R181" s="145"/>
      <c r="S181" s="145"/>
      <c r="T181" s="145"/>
      <c r="U181" s="145"/>
      <c r="V181" s="145"/>
      <c r="W181" s="145"/>
      <c r="X181" s="145"/>
      <c r="Y181" s="145"/>
      <c r="Z181" s="145"/>
    </row>
    <row r="182" spans="1:26" ht="15.75" customHeight="1" x14ac:dyDescent="0.25">
      <c r="A182" s="289"/>
      <c r="B182" s="290"/>
      <c r="C182" s="145"/>
      <c r="D182" s="145"/>
      <c r="E182" s="145"/>
      <c r="F182" s="290"/>
      <c r="G182" s="145"/>
      <c r="H182" s="145"/>
      <c r="I182" s="290"/>
      <c r="J182" s="290"/>
      <c r="K182" s="286"/>
      <c r="L182" s="145"/>
      <c r="M182" s="145"/>
      <c r="N182" s="145"/>
      <c r="O182" s="286"/>
      <c r="P182" s="145"/>
      <c r="Q182" s="145"/>
      <c r="R182" s="145"/>
      <c r="S182" s="145"/>
      <c r="T182" s="145"/>
      <c r="U182" s="145"/>
      <c r="V182" s="145"/>
      <c r="W182" s="145"/>
      <c r="X182" s="145"/>
      <c r="Y182" s="145"/>
      <c r="Z182" s="145"/>
    </row>
    <row r="183" spans="1:26" ht="15.75" customHeight="1" x14ac:dyDescent="0.25">
      <c r="A183" s="289"/>
      <c r="B183" s="290"/>
      <c r="C183" s="145"/>
      <c r="D183" s="145"/>
      <c r="E183" s="145"/>
      <c r="F183" s="290"/>
      <c r="G183" s="145"/>
      <c r="H183" s="145"/>
      <c r="I183" s="290"/>
      <c r="J183" s="290"/>
      <c r="K183" s="286"/>
      <c r="L183" s="145"/>
      <c r="M183" s="145"/>
      <c r="N183" s="145"/>
      <c r="O183" s="286"/>
      <c r="P183" s="145"/>
      <c r="Q183" s="145"/>
      <c r="R183" s="145"/>
      <c r="S183" s="145"/>
      <c r="T183" s="145"/>
      <c r="U183" s="145"/>
      <c r="V183" s="145"/>
      <c r="W183" s="145"/>
      <c r="X183" s="145"/>
      <c r="Y183" s="145"/>
      <c r="Z183" s="145"/>
    </row>
    <row r="184" spans="1:26" ht="15.75" customHeight="1" x14ac:dyDescent="0.25">
      <c r="A184" s="289"/>
      <c r="B184" s="290"/>
      <c r="C184" s="145"/>
      <c r="D184" s="145"/>
      <c r="E184" s="145"/>
      <c r="F184" s="290"/>
      <c r="G184" s="145"/>
      <c r="H184" s="145"/>
      <c r="I184" s="290"/>
      <c r="J184" s="290"/>
      <c r="K184" s="286"/>
      <c r="L184" s="145"/>
      <c r="M184" s="145"/>
      <c r="N184" s="145"/>
      <c r="O184" s="286"/>
      <c r="P184" s="145"/>
      <c r="Q184" s="145"/>
      <c r="R184" s="145"/>
      <c r="S184" s="145"/>
      <c r="T184" s="145"/>
      <c r="U184" s="145"/>
      <c r="V184" s="145"/>
      <c r="W184" s="145"/>
      <c r="X184" s="145"/>
      <c r="Y184" s="145"/>
      <c r="Z184" s="145"/>
    </row>
    <row r="185" spans="1:26" ht="15.75" customHeight="1" x14ac:dyDescent="0.25">
      <c r="A185" s="289"/>
      <c r="B185" s="290"/>
      <c r="C185" s="145"/>
      <c r="D185" s="145"/>
      <c r="E185" s="145"/>
      <c r="F185" s="290"/>
      <c r="G185" s="145"/>
      <c r="H185" s="145"/>
      <c r="I185" s="290"/>
      <c r="J185" s="290"/>
      <c r="K185" s="286"/>
      <c r="L185" s="145"/>
      <c r="M185" s="145"/>
      <c r="N185" s="145"/>
      <c r="O185" s="286"/>
      <c r="P185" s="145"/>
      <c r="Q185" s="145"/>
      <c r="R185" s="145"/>
      <c r="S185" s="145"/>
      <c r="T185" s="145"/>
      <c r="U185" s="145"/>
      <c r="V185" s="145"/>
      <c r="W185" s="145"/>
      <c r="X185" s="145"/>
      <c r="Y185" s="145"/>
      <c r="Z185" s="145"/>
    </row>
    <row r="186" spans="1:26" ht="15.75" customHeight="1" x14ac:dyDescent="0.25">
      <c r="A186" s="289"/>
      <c r="B186" s="290"/>
      <c r="C186" s="145"/>
      <c r="D186" s="145"/>
      <c r="E186" s="145"/>
      <c r="F186" s="290"/>
      <c r="G186" s="145"/>
      <c r="H186" s="145"/>
      <c r="I186" s="290"/>
      <c r="J186" s="290"/>
      <c r="K186" s="286"/>
      <c r="L186" s="145"/>
      <c r="M186" s="145"/>
      <c r="N186" s="145"/>
      <c r="O186" s="286"/>
      <c r="P186" s="145"/>
      <c r="Q186" s="145"/>
      <c r="R186" s="145"/>
      <c r="S186" s="145"/>
      <c r="T186" s="145"/>
      <c r="U186" s="145"/>
      <c r="V186" s="145"/>
      <c r="W186" s="145"/>
      <c r="X186" s="145"/>
      <c r="Y186" s="145"/>
      <c r="Z186" s="145"/>
    </row>
    <row r="187" spans="1:26" ht="15.75" customHeight="1" x14ac:dyDescent="0.25">
      <c r="A187" s="289"/>
      <c r="B187" s="290"/>
      <c r="C187" s="145"/>
      <c r="D187" s="145"/>
      <c r="E187" s="145"/>
      <c r="F187" s="290"/>
      <c r="G187" s="145"/>
      <c r="H187" s="145"/>
      <c r="I187" s="290"/>
      <c r="J187" s="290"/>
      <c r="K187" s="286"/>
      <c r="L187" s="145"/>
      <c r="M187" s="145"/>
      <c r="N187" s="145"/>
      <c r="O187" s="286"/>
      <c r="P187" s="145"/>
      <c r="Q187" s="145"/>
      <c r="R187" s="145"/>
      <c r="S187" s="145"/>
      <c r="T187" s="145"/>
      <c r="U187" s="145"/>
      <c r="V187" s="145"/>
      <c r="W187" s="145"/>
      <c r="X187" s="145"/>
      <c r="Y187" s="145"/>
      <c r="Z187" s="145"/>
    </row>
    <row r="188" spans="1:26" ht="15.75" customHeight="1" x14ac:dyDescent="0.25">
      <c r="A188" s="289"/>
      <c r="B188" s="290"/>
      <c r="C188" s="145"/>
      <c r="D188" s="145"/>
      <c r="E188" s="145"/>
      <c r="F188" s="290"/>
      <c r="G188" s="145"/>
      <c r="H188" s="145"/>
      <c r="I188" s="290"/>
      <c r="J188" s="290"/>
      <c r="K188" s="286"/>
      <c r="L188" s="145"/>
      <c r="M188" s="145"/>
      <c r="N188" s="145"/>
      <c r="O188" s="286"/>
      <c r="P188" s="145"/>
      <c r="Q188" s="145"/>
      <c r="R188" s="145"/>
      <c r="S188" s="145"/>
      <c r="T188" s="145"/>
      <c r="U188" s="145"/>
      <c r="V188" s="145"/>
      <c r="W188" s="145"/>
      <c r="X188" s="145"/>
      <c r="Y188" s="145"/>
      <c r="Z188" s="145"/>
    </row>
    <row r="189" spans="1:26" ht="15.75" customHeight="1" x14ac:dyDescent="0.25">
      <c r="A189" s="289"/>
      <c r="B189" s="290"/>
      <c r="C189" s="145"/>
      <c r="D189" s="145"/>
      <c r="E189" s="145"/>
      <c r="F189" s="290"/>
      <c r="G189" s="145"/>
      <c r="H189" s="145"/>
      <c r="I189" s="290"/>
      <c r="J189" s="290"/>
      <c r="K189" s="286"/>
      <c r="L189" s="145"/>
      <c r="M189" s="145"/>
      <c r="N189" s="145"/>
      <c r="O189" s="286"/>
      <c r="P189" s="145"/>
      <c r="Q189" s="145"/>
      <c r="R189" s="145"/>
      <c r="S189" s="145"/>
      <c r="T189" s="145"/>
      <c r="U189" s="145"/>
      <c r="V189" s="145"/>
      <c r="W189" s="145"/>
      <c r="X189" s="145"/>
      <c r="Y189" s="145"/>
      <c r="Z189" s="145"/>
    </row>
    <row r="190" spans="1:26" ht="15.75" customHeight="1" x14ac:dyDescent="0.25">
      <c r="A190" s="289"/>
      <c r="B190" s="290"/>
      <c r="C190" s="145"/>
      <c r="D190" s="145"/>
      <c r="E190" s="145"/>
      <c r="F190" s="290"/>
      <c r="G190" s="145"/>
      <c r="H190" s="145"/>
      <c r="I190" s="290"/>
      <c r="J190" s="290"/>
      <c r="K190" s="286"/>
      <c r="L190" s="145"/>
      <c r="M190" s="145"/>
      <c r="N190" s="145"/>
      <c r="O190" s="286"/>
      <c r="P190" s="145"/>
      <c r="Q190" s="145"/>
      <c r="R190" s="145"/>
      <c r="S190" s="145"/>
      <c r="T190" s="145"/>
      <c r="U190" s="145"/>
      <c r="V190" s="145"/>
      <c r="W190" s="145"/>
      <c r="X190" s="145"/>
      <c r="Y190" s="145"/>
      <c r="Z190" s="145"/>
    </row>
    <row r="191" spans="1:26" ht="15.75" customHeight="1" x14ac:dyDescent="0.25">
      <c r="A191" s="289"/>
      <c r="B191" s="290"/>
      <c r="C191" s="145"/>
      <c r="D191" s="145"/>
      <c r="E191" s="145"/>
      <c r="F191" s="290"/>
      <c r="G191" s="145"/>
      <c r="H191" s="145"/>
      <c r="I191" s="290"/>
      <c r="J191" s="290"/>
      <c r="K191" s="286"/>
      <c r="L191" s="145"/>
      <c r="M191" s="145"/>
      <c r="N191" s="145"/>
      <c r="O191" s="286"/>
      <c r="P191" s="145"/>
      <c r="Q191" s="145"/>
      <c r="R191" s="145"/>
      <c r="S191" s="145"/>
      <c r="T191" s="145"/>
      <c r="U191" s="145"/>
      <c r="V191" s="145"/>
      <c r="W191" s="145"/>
      <c r="X191" s="145"/>
      <c r="Y191" s="145"/>
      <c r="Z191" s="145"/>
    </row>
    <row r="192" spans="1:26" ht="15.75" customHeight="1" x14ac:dyDescent="0.25">
      <c r="A192" s="289"/>
      <c r="B192" s="290"/>
      <c r="C192" s="145"/>
      <c r="D192" s="145"/>
      <c r="E192" s="145"/>
      <c r="F192" s="290"/>
      <c r="G192" s="145"/>
      <c r="H192" s="145"/>
      <c r="I192" s="290"/>
      <c r="J192" s="290"/>
      <c r="K192" s="286"/>
      <c r="L192" s="145"/>
      <c r="M192" s="145"/>
      <c r="N192" s="145"/>
      <c r="O192" s="286"/>
      <c r="P192" s="145"/>
      <c r="Q192" s="145"/>
      <c r="R192" s="145"/>
      <c r="S192" s="145"/>
      <c r="T192" s="145"/>
      <c r="U192" s="145"/>
      <c r="V192" s="145"/>
      <c r="W192" s="145"/>
      <c r="X192" s="145"/>
      <c r="Y192" s="145"/>
      <c r="Z192" s="145"/>
    </row>
    <row r="193" spans="1:26" ht="15.75" customHeight="1" x14ac:dyDescent="0.25">
      <c r="A193" s="289"/>
      <c r="B193" s="290"/>
      <c r="C193" s="145"/>
      <c r="D193" s="145"/>
      <c r="E193" s="145"/>
      <c r="F193" s="290"/>
      <c r="G193" s="145"/>
      <c r="H193" s="145"/>
      <c r="I193" s="290"/>
      <c r="J193" s="290"/>
      <c r="K193" s="286"/>
      <c r="L193" s="145"/>
      <c r="M193" s="145"/>
      <c r="N193" s="145"/>
      <c r="O193" s="286"/>
      <c r="P193" s="145"/>
      <c r="Q193" s="145"/>
      <c r="R193" s="145"/>
      <c r="S193" s="145"/>
      <c r="T193" s="145"/>
      <c r="U193" s="145"/>
      <c r="V193" s="145"/>
      <c r="W193" s="145"/>
      <c r="X193" s="145"/>
      <c r="Y193" s="145"/>
      <c r="Z193" s="145"/>
    </row>
    <row r="194" spans="1:26" ht="15.75" customHeight="1" x14ac:dyDescent="0.25">
      <c r="A194" s="289"/>
      <c r="B194" s="290"/>
      <c r="C194" s="145"/>
      <c r="D194" s="145"/>
      <c r="E194" s="145"/>
      <c r="F194" s="290"/>
      <c r="G194" s="145"/>
      <c r="H194" s="145"/>
      <c r="I194" s="290"/>
      <c r="J194" s="290"/>
      <c r="K194" s="286"/>
      <c r="L194" s="145"/>
      <c r="M194" s="145"/>
      <c r="N194" s="145"/>
      <c r="O194" s="286"/>
      <c r="P194" s="145"/>
      <c r="Q194" s="145"/>
      <c r="R194" s="145"/>
      <c r="S194" s="145"/>
      <c r="T194" s="145"/>
      <c r="U194" s="145"/>
      <c r="V194" s="145"/>
      <c r="W194" s="145"/>
      <c r="X194" s="145"/>
      <c r="Y194" s="145"/>
      <c r="Z194" s="145"/>
    </row>
    <row r="195" spans="1:26" ht="15.75" customHeight="1" x14ac:dyDescent="0.25">
      <c r="A195" s="289"/>
      <c r="B195" s="290"/>
      <c r="C195" s="145"/>
      <c r="D195" s="145"/>
      <c r="E195" s="145"/>
      <c r="F195" s="290"/>
      <c r="G195" s="145"/>
      <c r="H195" s="145"/>
      <c r="I195" s="290"/>
      <c r="J195" s="290"/>
      <c r="K195" s="286"/>
      <c r="L195" s="145"/>
      <c r="M195" s="145"/>
      <c r="N195" s="145"/>
      <c r="O195" s="286"/>
      <c r="P195" s="145"/>
      <c r="Q195" s="145"/>
      <c r="R195" s="145"/>
      <c r="S195" s="145"/>
      <c r="T195" s="145"/>
      <c r="U195" s="145"/>
      <c r="V195" s="145"/>
      <c r="W195" s="145"/>
      <c r="X195" s="145"/>
      <c r="Y195" s="145"/>
      <c r="Z195" s="145"/>
    </row>
    <row r="196" spans="1:26" ht="15.75" customHeight="1" x14ac:dyDescent="0.25">
      <c r="A196" s="289"/>
      <c r="B196" s="290"/>
      <c r="C196" s="145"/>
      <c r="D196" s="145"/>
      <c r="E196" s="145"/>
      <c r="F196" s="290"/>
      <c r="G196" s="145"/>
      <c r="H196" s="145"/>
      <c r="I196" s="290"/>
      <c r="J196" s="290"/>
      <c r="K196" s="286"/>
      <c r="L196" s="145"/>
      <c r="M196" s="145"/>
      <c r="N196" s="145"/>
      <c r="O196" s="286"/>
      <c r="P196" s="145"/>
      <c r="Q196" s="145"/>
      <c r="R196" s="145"/>
      <c r="S196" s="145"/>
      <c r="T196" s="145"/>
      <c r="U196" s="145"/>
      <c r="V196" s="145"/>
      <c r="W196" s="145"/>
      <c r="X196" s="145"/>
      <c r="Y196" s="145"/>
      <c r="Z196" s="145"/>
    </row>
    <row r="197" spans="1:26" ht="15.75" customHeight="1" x14ac:dyDescent="0.25">
      <c r="A197" s="289"/>
      <c r="B197" s="290"/>
      <c r="C197" s="145"/>
      <c r="D197" s="145"/>
      <c r="E197" s="145"/>
      <c r="F197" s="290"/>
      <c r="G197" s="145"/>
      <c r="H197" s="145"/>
      <c r="I197" s="290"/>
      <c r="J197" s="290"/>
      <c r="K197" s="286"/>
      <c r="L197" s="145"/>
      <c r="M197" s="145"/>
      <c r="N197" s="145"/>
      <c r="O197" s="286"/>
      <c r="P197" s="145"/>
      <c r="Q197" s="145"/>
      <c r="R197" s="145"/>
      <c r="S197" s="145"/>
      <c r="T197" s="145"/>
      <c r="U197" s="145"/>
      <c r="V197" s="145"/>
      <c r="W197" s="145"/>
      <c r="X197" s="145"/>
      <c r="Y197" s="145"/>
      <c r="Z197" s="145"/>
    </row>
    <row r="198" spans="1:26" ht="15.75" customHeight="1" x14ac:dyDescent="0.25">
      <c r="A198" s="289"/>
      <c r="B198" s="290"/>
      <c r="C198" s="145"/>
      <c r="D198" s="145"/>
      <c r="E198" s="145"/>
      <c r="F198" s="290"/>
      <c r="G198" s="145"/>
      <c r="H198" s="145"/>
      <c r="I198" s="290"/>
      <c r="J198" s="290"/>
      <c r="K198" s="286"/>
      <c r="L198" s="145"/>
      <c r="M198" s="145"/>
      <c r="N198" s="145"/>
      <c r="O198" s="286"/>
      <c r="P198" s="145"/>
      <c r="Q198" s="145"/>
      <c r="R198" s="145"/>
      <c r="S198" s="145"/>
      <c r="T198" s="145"/>
      <c r="U198" s="145"/>
      <c r="V198" s="145"/>
      <c r="W198" s="145"/>
      <c r="X198" s="145"/>
      <c r="Y198" s="145"/>
      <c r="Z198" s="145"/>
    </row>
    <row r="199" spans="1:26" ht="15.75" customHeight="1" x14ac:dyDescent="0.25">
      <c r="A199" s="289"/>
      <c r="B199" s="290"/>
      <c r="C199" s="145"/>
      <c r="D199" s="145"/>
      <c r="E199" s="145"/>
      <c r="F199" s="290"/>
      <c r="G199" s="145"/>
      <c r="H199" s="145"/>
      <c r="I199" s="290"/>
      <c r="J199" s="290"/>
      <c r="K199" s="286"/>
      <c r="L199" s="145"/>
      <c r="M199" s="145"/>
      <c r="N199" s="145"/>
      <c r="O199" s="286"/>
      <c r="P199" s="145"/>
      <c r="Q199" s="145"/>
      <c r="R199" s="145"/>
      <c r="S199" s="145"/>
      <c r="T199" s="145"/>
      <c r="U199" s="145"/>
      <c r="V199" s="145"/>
      <c r="W199" s="145"/>
      <c r="X199" s="145"/>
      <c r="Y199" s="145"/>
      <c r="Z199" s="145"/>
    </row>
    <row r="200" spans="1:26" ht="15.75" customHeight="1" x14ac:dyDescent="0.25">
      <c r="A200" s="289"/>
      <c r="B200" s="290"/>
      <c r="C200" s="145"/>
      <c r="D200" s="145"/>
      <c r="E200" s="145"/>
      <c r="F200" s="290"/>
      <c r="G200" s="145"/>
      <c r="H200" s="145"/>
      <c r="I200" s="290"/>
      <c r="J200" s="290"/>
      <c r="K200" s="286"/>
      <c r="L200" s="145"/>
      <c r="M200" s="145"/>
      <c r="N200" s="145"/>
      <c r="O200" s="286"/>
      <c r="P200" s="145"/>
      <c r="Q200" s="145"/>
      <c r="R200" s="145"/>
      <c r="S200" s="145"/>
      <c r="T200" s="145"/>
      <c r="U200" s="145"/>
      <c r="V200" s="145"/>
      <c r="W200" s="145"/>
      <c r="X200" s="145"/>
      <c r="Y200" s="145"/>
      <c r="Z200" s="145"/>
    </row>
    <row r="201" spans="1:26" ht="15.75" customHeight="1" x14ac:dyDescent="0.25">
      <c r="A201" s="289"/>
      <c r="B201" s="290"/>
      <c r="C201" s="145"/>
      <c r="D201" s="145"/>
      <c r="E201" s="145"/>
      <c r="F201" s="290"/>
      <c r="G201" s="145"/>
      <c r="H201" s="145"/>
      <c r="I201" s="290"/>
      <c r="J201" s="290"/>
      <c r="K201" s="286"/>
      <c r="L201" s="145"/>
      <c r="M201" s="145"/>
      <c r="N201" s="145"/>
      <c r="O201" s="286"/>
      <c r="P201" s="145"/>
      <c r="Q201" s="145"/>
      <c r="R201" s="145"/>
      <c r="S201" s="145"/>
      <c r="T201" s="145"/>
      <c r="U201" s="145"/>
      <c r="V201" s="145"/>
      <c r="W201" s="145"/>
      <c r="X201" s="145"/>
      <c r="Y201" s="145"/>
      <c r="Z201" s="145"/>
    </row>
    <row r="202" spans="1:26" ht="15.75" customHeight="1" x14ac:dyDescent="0.25">
      <c r="A202" s="289"/>
      <c r="B202" s="290"/>
      <c r="C202" s="145"/>
      <c r="D202" s="145"/>
      <c r="E202" s="145"/>
      <c r="F202" s="290"/>
      <c r="G202" s="145"/>
      <c r="H202" s="145"/>
      <c r="I202" s="290"/>
      <c r="J202" s="290"/>
      <c r="K202" s="286"/>
      <c r="L202" s="145"/>
      <c r="M202" s="145"/>
      <c r="N202" s="145"/>
      <c r="O202" s="286"/>
      <c r="P202" s="145"/>
      <c r="Q202" s="145"/>
      <c r="R202" s="145"/>
      <c r="S202" s="145"/>
      <c r="T202" s="145"/>
      <c r="U202" s="145"/>
      <c r="V202" s="145"/>
      <c r="W202" s="145"/>
      <c r="X202" s="145"/>
      <c r="Y202" s="145"/>
      <c r="Z202" s="145"/>
    </row>
    <row r="203" spans="1:26" ht="15.75" customHeight="1" x14ac:dyDescent="0.25">
      <c r="A203" s="289"/>
      <c r="B203" s="290"/>
      <c r="C203" s="145"/>
      <c r="D203" s="145"/>
      <c r="E203" s="145"/>
      <c r="F203" s="290"/>
      <c r="G203" s="145"/>
      <c r="H203" s="145"/>
      <c r="I203" s="290"/>
      <c r="J203" s="290"/>
      <c r="K203" s="286"/>
      <c r="L203" s="145"/>
      <c r="M203" s="145"/>
      <c r="N203" s="145"/>
      <c r="O203" s="286"/>
      <c r="P203" s="145"/>
      <c r="Q203" s="145"/>
      <c r="R203" s="145"/>
      <c r="S203" s="145"/>
      <c r="T203" s="145"/>
      <c r="U203" s="145"/>
      <c r="V203" s="145"/>
      <c r="W203" s="145"/>
      <c r="X203" s="145"/>
      <c r="Y203" s="145"/>
      <c r="Z203" s="145"/>
    </row>
    <row r="204" spans="1:26" ht="15.75" customHeight="1" x14ac:dyDescent="0.25">
      <c r="A204" s="289"/>
      <c r="B204" s="290"/>
      <c r="C204" s="145"/>
      <c r="D204" s="145"/>
      <c r="E204" s="145"/>
      <c r="F204" s="290"/>
      <c r="G204" s="145"/>
      <c r="H204" s="145"/>
      <c r="I204" s="290"/>
      <c r="J204" s="290"/>
      <c r="K204" s="286"/>
      <c r="L204" s="145"/>
      <c r="M204" s="145"/>
      <c r="N204" s="145"/>
      <c r="O204" s="286"/>
      <c r="P204" s="145"/>
      <c r="Q204" s="145"/>
      <c r="R204" s="145"/>
      <c r="S204" s="145"/>
      <c r="T204" s="145"/>
      <c r="U204" s="145"/>
      <c r="V204" s="145"/>
      <c r="W204" s="145"/>
      <c r="X204" s="145"/>
      <c r="Y204" s="145"/>
      <c r="Z204" s="145"/>
    </row>
    <row r="205" spans="1:26" ht="15.75" customHeight="1" x14ac:dyDescent="0.25">
      <c r="A205" s="289"/>
      <c r="B205" s="290"/>
      <c r="C205" s="145"/>
      <c r="D205" s="145"/>
      <c r="E205" s="145"/>
      <c r="F205" s="290"/>
      <c r="G205" s="145"/>
      <c r="H205" s="145"/>
      <c r="I205" s="290"/>
      <c r="J205" s="290"/>
      <c r="K205" s="286"/>
      <c r="L205" s="145"/>
      <c r="M205" s="145"/>
      <c r="N205" s="145"/>
      <c r="O205" s="286"/>
      <c r="P205" s="145"/>
      <c r="Q205" s="145"/>
      <c r="R205" s="145"/>
      <c r="S205" s="145"/>
      <c r="T205" s="145"/>
      <c r="U205" s="145"/>
      <c r="V205" s="145"/>
      <c r="W205" s="145"/>
      <c r="X205" s="145"/>
      <c r="Y205" s="145"/>
      <c r="Z205" s="145"/>
    </row>
    <row r="206" spans="1:26" ht="15.75" customHeight="1" x14ac:dyDescent="0.25">
      <c r="A206" s="289"/>
      <c r="B206" s="290"/>
      <c r="C206" s="145"/>
      <c r="D206" s="145"/>
      <c r="E206" s="145"/>
      <c r="F206" s="290"/>
      <c r="G206" s="145"/>
      <c r="H206" s="145"/>
      <c r="I206" s="290"/>
      <c r="J206" s="290"/>
      <c r="K206" s="286"/>
      <c r="L206" s="145"/>
      <c r="M206" s="145"/>
      <c r="N206" s="145"/>
      <c r="O206" s="286"/>
      <c r="P206" s="145"/>
      <c r="Q206" s="145"/>
      <c r="R206" s="145"/>
      <c r="S206" s="145"/>
      <c r="T206" s="145"/>
      <c r="U206" s="145"/>
      <c r="V206" s="145"/>
      <c r="W206" s="145"/>
      <c r="X206" s="145"/>
      <c r="Y206" s="145"/>
      <c r="Z206" s="145"/>
    </row>
    <row r="207" spans="1:26" ht="15.75" customHeight="1" x14ac:dyDescent="0.25">
      <c r="A207" s="289"/>
      <c r="B207" s="290"/>
      <c r="C207" s="145"/>
      <c r="D207" s="145"/>
      <c r="E207" s="145"/>
      <c r="F207" s="290"/>
      <c r="G207" s="145"/>
      <c r="H207" s="145"/>
      <c r="I207" s="290"/>
      <c r="J207" s="290"/>
      <c r="K207" s="286"/>
      <c r="L207" s="145"/>
      <c r="M207" s="145"/>
      <c r="N207" s="145"/>
      <c r="O207" s="286"/>
      <c r="P207" s="145"/>
      <c r="Q207" s="145"/>
      <c r="R207" s="145"/>
      <c r="S207" s="145"/>
      <c r="T207" s="145"/>
      <c r="U207" s="145"/>
      <c r="V207" s="145"/>
      <c r="W207" s="145"/>
      <c r="X207" s="145"/>
      <c r="Y207" s="145"/>
      <c r="Z207" s="145"/>
    </row>
    <row r="208" spans="1:26" ht="15.75" customHeight="1" x14ac:dyDescent="0.25">
      <c r="A208" s="289"/>
      <c r="B208" s="290"/>
      <c r="C208" s="145"/>
      <c r="D208" s="145"/>
      <c r="E208" s="145"/>
      <c r="F208" s="290"/>
      <c r="G208" s="145"/>
      <c r="H208" s="145"/>
      <c r="I208" s="290"/>
      <c r="J208" s="290"/>
      <c r="K208" s="286"/>
      <c r="L208" s="145"/>
      <c r="M208" s="145"/>
      <c r="N208" s="145"/>
      <c r="O208" s="286"/>
      <c r="P208" s="145"/>
      <c r="Q208" s="145"/>
      <c r="R208" s="145"/>
      <c r="S208" s="145"/>
      <c r="T208" s="145"/>
      <c r="U208" s="145"/>
      <c r="V208" s="145"/>
      <c r="W208" s="145"/>
      <c r="X208" s="145"/>
      <c r="Y208" s="145"/>
      <c r="Z208" s="145"/>
    </row>
    <row r="209" spans="1:26" ht="15.75" customHeight="1" x14ac:dyDescent="0.25">
      <c r="A209" s="289"/>
      <c r="B209" s="290"/>
      <c r="C209" s="145"/>
      <c r="D209" s="145"/>
      <c r="E209" s="145"/>
      <c r="F209" s="290"/>
      <c r="G209" s="145"/>
      <c r="H209" s="145"/>
      <c r="I209" s="290"/>
      <c r="J209" s="290"/>
      <c r="K209" s="286"/>
      <c r="L209" s="145"/>
      <c r="M209" s="145"/>
      <c r="N209" s="145"/>
      <c r="O209" s="286"/>
      <c r="P209" s="145"/>
      <c r="Q209" s="145"/>
      <c r="R209" s="145"/>
      <c r="S209" s="145"/>
      <c r="T209" s="145"/>
      <c r="U209" s="145"/>
      <c r="V209" s="145"/>
      <c r="W209" s="145"/>
      <c r="X209" s="145"/>
      <c r="Y209" s="145"/>
      <c r="Z209" s="145"/>
    </row>
    <row r="210" spans="1:26" ht="15.75" customHeight="1" x14ac:dyDescent="0.25">
      <c r="A210" s="289"/>
      <c r="B210" s="290"/>
      <c r="C210" s="145"/>
      <c r="D210" s="145"/>
      <c r="E210" s="145"/>
      <c r="F210" s="290"/>
      <c r="G210" s="145"/>
      <c r="H210" s="145"/>
      <c r="I210" s="290"/>
      <c r="J210" s="290"/>
      <c r="K210" s="286"/>
      <c r="L210" s="145"/>
      <c r="M210" s="145"/>
      <c r="N210" s="145"/>
      <c r="O210" s="286"/>
      <c r="P210" s="145"/>
      <c r="Q210" s="145"/>
      <c r="R210" s="145"/>
      <c r="S210" s="145"/>
      <c r="T210" s="145"/>
      <c r="U210" s="145"/>
      <c r="V210" s="145"/>
      <c r="W210" s="145"/>
      <c r="X210" s="145"/>
      <c r="Y210" s="145"/>
      <c r="Z210" s="145"/>
    </row>
    <row r="211" spans="1:26" ht="15.75" customHeight="1" x14ac:dyDescent="0.25">
      <c r="A211" s="289"/>
      <c r="B211" s="290"/>
      <c r="C211" s="145"/>
      <c r="D211" s="145"/>
      <c r="E211" s="145"/>
      <c r="F211" s="290"/>
      <c r="G211" s="145"/>
      <c r="H211" s="145"/>
      <c r="I211" s="290"/>
      <c r="J211" s="290"/>
      <c r="K211" s="286"/>
      <c r="L211" s="145"/>
      <c r="M211" s="145"/>
      <c r="N211" s="145"/>
      <c r="O211" s="286"/>
      <c r="P211" s="145"/>
      <c r="Q211" s="145"/>
      <c r="R211" s="145"/>
      <c r="S211" s="145"/>
      <c r="T211" s="145"/>
      <c r="U211" s="145"/>
      <c r="V211" s="145"/>
      <c r="W211" s="145"/>
      <c r="X211" s="145"/>
      <c r="Y211" s="145"/>
      <c r="Z211" s="145"/>
    </row>
    <row r="212" spans="1:26" ht="15.75" customHeight="1" x14ac:dyDescent="0.25">
      <c r="A212" s="289"/>
      <c r="B212" s="290"/>
      <c r="C212" s="145"/>
      <c r="D212" s="145"/>
      <c r="E212" s="145"/>
      <c r="F212" s="290"/>
      <c r="G212" s="145"/>
      <c r="H212" s="145"/>
      <c r="I212" s="290"/>
      <c r="J212" s="290"/>
      <c r="K212" s="286"/>
      <c r="L212" s="145"/>
      <c r="M212" s="145"/>
      <c r="N212" s="145"/>
      <c r="O212" s="286"/>
      <c r="P212" s="145"/>
      <c r="Q212" s="145"/>
      <c r="R212" s="145"/>
      <c r="S212" s="145"/>
      <c r="T212" s="145"/>
      <c r="U212" s="145"/>
      <c r="V212" s="145"/>
      <c r="W212" s="145"/>
      <c r="X212" s="145"/>
      <c r="Y212" s="145"/>
      <c r="Z212" s="145"/>
    </row>
    <row r="213" spans="1:26" ht="15.75" customHeight="1" x14ac:dyDescent="0.25">
      <c r="A213" s="289"/>
      <c r="B213" s="290"/>
      <c r="C213" s="145"/>
      <c r="D213" s="145"/>
      <c r="E213" s="145"/>
      <c r="F213" s="290"/>
      <c r="G213" s="145"/>
      <c r="H213" s="145"/>
      <c r="I213" s="290"/>
      <c r="J213" s="290"/>
      <c r="K213" s="286"/>
      <c r="L213" s="145"/>
      <c r="M213" s="145"/>
      <c r="N213" s="145"/>
      <c r="O213" s="286"/>
      <c r="P213" s="145"/>
      <c r="Q213" s="145"/>
      <c r="R213" s="145"/>
      <c r="S213" s="145"/>
      <c r="T213" s="145"/>
      <c r="U213" s="145"/>
      <c r="V213" s="145"/>
      <c r="W213" s="145"/>
      <c r="X213" s="145"/>
      <c r="Y213" s="145"/>
      <c r="Z213" s="145"/>
    </row>
    <row r="214" spans="1:26" ht="15.75" customHeight="1" x14ac:dyDescent="0.25">
      <c r="A214" s="289"/>
      <c r="B214" s="290"/>
      <c r="C214" s="145"/>
      <c r="D214" s="145"/>
      <c r="E214" s="145"/>
      <c r="F214" s="290"/>
      <c r="G214" s="145"/>
      <c r="H214" s="145"/>
      <c r="I214" s="290"/>
      <c r="J214" s="290"/>
      <c r="K214" s="286"/>
      <c r="L214" s="145"/>
      <c r="M214" s="145"/>
      <c r="N214" s="145"/>
      <c r="O214" s="286"/>
      <c r="P214" s="145"/>
      <c r="Q214" s="145"/>
      <c r="R214" s="145"/>
      <c r="S214" s="145"/>
      <c r="T214" s="145"/>
      <c r="U214" s="145"/>
      <c r="V214" s="145"/>
      <c r="W214" s="145"/>
      <c r="X214" s="145"/>
      <c r="Y214" s="145"/>
      <c r="Z214" s="145"/>
    </row>
    <row r="215" spans="1:26" ht="15.75" customHeight="1" x14ac:dyDescent="0.25">
      <c r="A215" s="289"/>
      <c r="B215" s="290"/>
      <c r="C215" s="145"/>
      <c r="D215" s="145"/>
      <c r="E215" s="145"/>
      <c r="F215" s="290"/>
      <c r="G215" s="145"/>
      <c r="H215" s="145"/>
      <c r="I215" s="290"/>
      <c r="J215" s="290"/>
      <c r="K215" s="286"/>
      <c r="L215" s="145"/>
      <c r="M215" s="145"/>
      <c r="N215" s="145"/>
      <c r="O215" s="286"/>
      <c r="P215" s="145"/>
      <c r="Q215" s="145"/>
      <c r="R215" s="145"/>
      <c r="S215" s="145"/>
      <c r="T215" s="145"/>
      <c r="U215" s="145"/>
      <c r="V215" s="145"/>
      <c r="W215" s="145"/>
      <c r="X215" s="145"/>
      <c r="Y215" s="145"/>
      <c r="Z215" s="145"/>
    </row>
    <row r="216" spans="1:26" ht="15.75" customHeight="1" x14ac:dyDescent="0.25">
      <c r="A216" s="289"/>
      <c r="B216" s="290"/>
      <c r="C216" s="145"/>
      <c r="D216" s="145"/>
      <c r="E216" s="145"/>
      <c r="F216" s="290"/>
      <c r="G216" s="145"/>
      <c r="H216" s="145"/>
      <c r="I216" s="290"/>
      <c r="J216" s="290"/>
      <c r="K216" s="286"/>
      <c r="L216" s="145"/>
      <c r="M216" s="145"/>
      <c r="N216" s="145"/>
      <c r="O216" s="286"/>
      <c r="P216" s="145"/>
      <c r="Q216" s="145"/>
      <c r="R216" s="145"/>
      <c r="S216" s="145"/>
      <c r="T216" s="145"/>
      <c r="U216" s="145"/>
      <c r="V216" s="145"/>
      <c r="W216" s="145"/>
      <c r="X216" s="145"/>
      <c r="Y216" s="145"/>
      <c r="Z216" s="145"/>
    </row>
    <row r="217" spans="1:26"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spans="1:26"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spans="1:26"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spans="1:26"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spans="1:26"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spans="1:26"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spans="1:26"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spans="1:26"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spans="1:26"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spans="1:26"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spans="1:26"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spans="1:26"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spans="1:26"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spans="1:26"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spans="1:26"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spans="1:26"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spans="1:26"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spans="1:26"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spans="1:26"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spans="1:26"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spans="1:26"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spans="1:26"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spans="1:26"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spans="1:26"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spans="1:26"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spans="1:26"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spans="1:26"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spans="1:26"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spans="1:26"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spans="1:26"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spans="1:26"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spans="1:26"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spans="1:26"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spans="1:26"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spans="1:26"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spans="1:26"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spans="1:26"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spans="1:26"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spans="1:26"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spans="1:26"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spans="1:26"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spans="1:26"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spans="1:26"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spans="1:26"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spans="1:26"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spans="1:26"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spans="1:26"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spans="1:26"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spans="1:26"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spans="1:26"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spans="1:26"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spans="1:26"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spans="1:26"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spans="1:26"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spans="1:26"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spans="1:26"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spans="1:26"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spans="1:26"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spans="1:26"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spans="1:26"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spans="1:26"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spans="1:26"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spans="1:26"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spans="1:26"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spans="1:26"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spans="1:26"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spans="1:26"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spans="1:26"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spans="1:26"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spans="1:26"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spans="1:26"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spans="1:26"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spans="1:26"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spans="1:26"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spans="1:26"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spans="1:26"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spans="1:26"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spans="1:26"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spans="1:26"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spans="1:26"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spans="1:26"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spans="1:26"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spans="1:26"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spans="1:26"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spans="1:26"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spans="1:26"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spans="1:26"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spans="1:26"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spans="1:26"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spans="1:26"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spans="1:26"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spans="1:26"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spans="1:26"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spans="1:26"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spans="1:26"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spans="1:26"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spans="1:26"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spans="1:26"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spans="1:26"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spans="1:26"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spans="1:26"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spans="1:26"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spans="1:26"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spans="1:26"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spans="1:26"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spans="1:26"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spans="1:26"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spans="1:26"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spans="1:26"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spans="1:26"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spans="1:26"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spans="1:26"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spans="1:26"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spans="1:26"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spans="1:26"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spans="1:26"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spans="1:26"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spans="1:26"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spans="1:26"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spans="1:26"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spans="1:26"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spans="1:26"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spans="1:26"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spans="1:26"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spans="1:26"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spans="1:26"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spans="1:26"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spans="1:26"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spans="1:26"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spans="1:26"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spans="1:26"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spans="1:26"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spans="1:26"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spans="1:26"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spans="1:26"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spans="1:26"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spans="1:26"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spans="1:26"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spans="1:26"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spans="1:26"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spans="1:26"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spans="1:26"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spans="1:26"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spans="1:26"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spans="1:26"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spans="1:26"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spans="1:26"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spans="1:26"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spans="1:26"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spans="1:26"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spans="1:26"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spans="1:26"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spans="1:26"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spans="1:26"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spans="1:26"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spans="1:26"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spans="1:26"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spans="1:26"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spans="1:26"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spans="1:26"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spans="1:26"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spans="1:26"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spans="1:26"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spans="1:26"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spans="1:26"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spans="1:26"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spans="1:26"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spans="1:26"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spans="1:26"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spans="1:26"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spans="1:26"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spans="1:26"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spans="1:26"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spans="1:26"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spans="1:26"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spans="1:26"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spans="1:26"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spans="1:26"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spans="1:26"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spans="1:26"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spans="1:26"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spans="1:26"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spans="1:26"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spans="1:26"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spans="1:26"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spans="1:26"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spans="1:26"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spans="1:26"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spans="1:26"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spans="1:26"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spans="1:26"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spans="1:26"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spans="1:26"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spans="1:26"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spans="1:26"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spans="1:26"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spans="1:26"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spans="1:26"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spans="1:26"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spans="1:26"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spans="1:26"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spans="1:26"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spans="1:26"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spans="1:26"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spans="1:26"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spans="1:26"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spans="1:26"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spans="1:26"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spans="1:26"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spans="1:26"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spans="1:26"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spans="1:26"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spans="1:26"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spans="1:26"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spans="1:26"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spans="1:26"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spans="1:26"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spans="1:26"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spans="1:26"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spans="1:26"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spans="1:26"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spans="1:26"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spans="1:26"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spans="1:26"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spans="1:26"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spans="1:26"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spans="1:26"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spans="1:26"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spans="1:26"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spans="1:26"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spans="1:26"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spans="1:26"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spans="1:26"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spans="1:26"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spans="1:26"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spans="1:26"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spans="1:26"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spans="1:26"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spans="1:26"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spans="1:26"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spans="1:26"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spans="1:26"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spans="1:26"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spans="1:26"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spans="1:26"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spans="1:26"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spans="1:26"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spans="1:26"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spans="1:26"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spans="1:26"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spans="1:26"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spans="1:26"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spans="1:26"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spans="1:26"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spans="1:26"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spans="1:26"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spans="1:26"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spans="1:26"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spans="1:26"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spans="1:26"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spans="1:26"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spans="1:26"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spans="1:26"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spans="1:26"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spans="1:26"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spans="1:26"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spans="1:26"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spans="1:26"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spans="1:26"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spans="1:26"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spans="1:26"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spans="1:26"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spans="1:26"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spans="1:26"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spans="1:26"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spans="1:26"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spans="1:26"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spans="1:26"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spans="1:26"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spans="1:26"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spans="1:26"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spans="1:26"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spans="1:26"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spans="1:26"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spans="1:26"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spans="1:26"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spans="1:26"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spans="1:26"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spans="1:26"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spans="1:26"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spans="1:26"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spans="1:26"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spans="1:26"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spans="1:26"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spans="1:26"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spans="1:26"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spans="1:26"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spans="1:26"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spans="1:26"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spans="1:26"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spans="1:26"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spans="1:26"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spans="1:26"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spans="1:26"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spans="1:26"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spans="1:26"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spans="1:26"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spans="1:26"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spans="1:26"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spans="1:26"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spans="1:26"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spans="1:26"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spans="1:26"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spans="1:26"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spans="1:26"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spans="1:26"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spans="1:26"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spans="1:26"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spans="1:26"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spans="1:26"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spans="1:26"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spans="1:26"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spans="1:26"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spans="1:26"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spans="1:26"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spans="1:26"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spans="1:26"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spans="1:26"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spans="1:26"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spans="1:26"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spans="1:26"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spans="1:26"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spans="1:26"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spans="1:26"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spans="1:26"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spans="1:26"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spans="1:26"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spans="1:26"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spans="1:26"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spans="1:26"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spans="1:26"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spans="1:26"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spans="1:26"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spans="1:26"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spans="1:26"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spans="1:26"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spans="1:26"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spans="1:26"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spans="1:26"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spans="1:26"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spans="1:26"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spans="1:26"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spans="1:26"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spans="1:26"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spans="1:26"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spans="1:26"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spans="1:26"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spans="1:26"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spans="1:26"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spans="1:26"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spans="1:26"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spans="1:26"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spans="1:26"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spans="1:26"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spans="1:26"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spans="1:26"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spans="1:26"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spans="1:26"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spans="1:26"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spans="1:26"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spans="1:26"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spans="1:26"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spans="1:26"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spans="1:26"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spans="1:26"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spans="1:26"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spans="1:26"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spans="1:26"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spans="1:26"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spans="1:26"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spans="1:26"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spans="1:26"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spans="1:26"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spans="1:26"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spans="1:26"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spans="1:26"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spans="1:26"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spans="1:26"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spans="1:26"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spans="1:26"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spans="1:26"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spans="1:26"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spans="1:26"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spans="1:26"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spans="1:26"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spans="1:26"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spans="1:26"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spans="1:26"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spans="1:26"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spans="1:26"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spans="1:26"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spans="1:26"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spans="1:26"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spans="1:26"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spans="1:26"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spans="1:26"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spans="1:26"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spans="1:26"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spans="1:26"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spans="1:26"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spans="1:26"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spans="1:26"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spans="1:26"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spans="1:26"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spans="1:26"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spans="1:26"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spans="1:26"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spans="1:26"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spans="1:26"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spans="1:26"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spans="1:26"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spans="1:26"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spans="1:26"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spans="1:26"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spans="1:26"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spans="1:26"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spans="1:26"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spans="1:26"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spans="1:26"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spans="1:26"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spans="1:26"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spans="1:26"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spans="1:26"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spans="1:26"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spans="1:26"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spans="1:26"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spans="1:26"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spans="1:26"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spans="1:26"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spans="1:26"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spans="1:26"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spans="1:26"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spans="1:26"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spans="1:26"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spans="1:26"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spans="1:26"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spans="1:26"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spans="1:26"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spans="1:26"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spans="1:26"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spans="1:26"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spans="1:26"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spans="1:26"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spans="1:26"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spans="1:26"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spans="1:26"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spans="1:26"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spans="1:26"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spans="1:26"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spans="1:26"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spans="1:26"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spans="1:26"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spans="1:26"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spans="1:26"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spans="1:26"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spans="1:26"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spans="1:26"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spans="1:26"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spans="1:26"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spans="1:26"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spans="1:26"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spans="1:26"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spans="1:26"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spans="1:26"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spans="1:26"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spans="1:26"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spans="1:26"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spans="1:26"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spans="1:26"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spans="1:26"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spans="1:26"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spans="1:26"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spans="1:26"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spans="1:26"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spans="1:26"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spans="1:26"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spans="1:26"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spans="1:26"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spans="1:26"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spans="1:26"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spans="1:26"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spans="1:26"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spans="1:26"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spans="1:26"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spans="1:26"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spans="1:26"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spans="1:26"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spans="1:26"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spans="1:26"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spans="1:26"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spans="1:26"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spans="1:26"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spans="1:26"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spans="1:26"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spans="1:26"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spans="1:26"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spans="1:26"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spans="1:26"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spans="1:26"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spans="1:26"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spans="1:26"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spans="1:26"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spans="1:26"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spans="1:26"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spans="1:26"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spans="1:26"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spans="1:26"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spans="1:26"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spans="1:26"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spans="1:26"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spans="1:26"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spans="1:26"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spans="1:26"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spans="1:26"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spans="1:26"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spans="1:26"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spans="1:26"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spans="1:26"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spans="1:26"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spans="1:26"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spans="1:26"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spans="1:26"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spans="1:26"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spans="1:26"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spans="1:26"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spans="1:26"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spans="1:26"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spans="1:26"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spans="1:26"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spans="1:26"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spans="1:26"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spans="1:26"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spans="1:26"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spans="1:26"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spans="1:26"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spans="1:26"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spans="1:26"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spans="1:26"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spans="1:26"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spans="1:26"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spans="1:26"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spans="1:26"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spans="1:26"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spans="1:26"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spans="1:26"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spans="1:26"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spans="1:26"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spans="1:26"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spans="1:26"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spans="1:26"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spans="1:26"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spans="1:26"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spans="1:26"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spans="1:26"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spans="1:26"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spans="1:26"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spans="1:26"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spans="1:26"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spans="1:26"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spans="1:26"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spans="1:26"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spans="1:26"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spans="1:26"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spans="1:26"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spans="1:26"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spans="1:26"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spans="1:26"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spans="1:26"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spans="1:26"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spans="1:26"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spans="1:26"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spans="1:26"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spans="1:26"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spans="1:26"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spans="1:26"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spans="1:26"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spans="1:26"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spans="1:26"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spans="1:26"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spans="1:26"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spans="1:26"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spans="1:26"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spans="1:26"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spans="1:26"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spans="1:26"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spans="1:26"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spans="1:26"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spans="1:26"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spans="1:26"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spans="1:26"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spans="1:26"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spans="1:26"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spans="1:26"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spans="1:26"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spans="1:26"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spans="1:26"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spans="1:26"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spans="1:26"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spans="1:26"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spans="1:26"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spans="1:26"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spans="1:26"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spans="1:26"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spans="1:26"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spans="1:26"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spans="1:26"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spans="1:26"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spans="1:26"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spans="1:26"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spans="1:26"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spans="1:26"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spans="1:26"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spans="1:26"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spans="1:26"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spans="1:26"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spans="1:26"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spans="1:26"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spans="1:26"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spans="1:26"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spans="1:26"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spans="1:26"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spans="1:26"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spans="1:26"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spans="1:26"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spans="1:26"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spans="1:26"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spans="1:26"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spans="1:26"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spans="1:26"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spans="1:26"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spans="1:26"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spans="1:26"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spans="1:26"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spans="1:26"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spans="1:26"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spans="1:26"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spans="1:26"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spans="1:26"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spans="1:26"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spans="1:26"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spans="1:26"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spans="1:26"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spans="1:26"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spans="1:26"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spans="1:26"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spans="1:26"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spans="1:26"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spans="1:26"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spans="1:26"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spans="1:26"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spans="1:26"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spans="1:26"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spans="1:26"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spans="1:26"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spans="1:26"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spans="1:26"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spans="1:26"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spans="1:26"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spans="1:26"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spans="1:26"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spans="1:26"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spans="1:26"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spans="1:26"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spans="1:26"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spans="1:26"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spans="1:26"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spans="1:26"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spans="1:26"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spans="1:26"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spans="1:26"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spans="1:26"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spans="1:26"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spans="1:26"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spans="1:26"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spans="1:26"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spans="1:26"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spans="1:26"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spans="1:26"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spans="1:26"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spans="1:26"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spans="1:26"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spans="1:26"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spans="1:26"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spans="1:26"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spans="1:26"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spans="1:26"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spans="1:26"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spans="1:26"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spans="1:26"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spans="1:26"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spans="1:26"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spans="1:26"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spans="1:26"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spans="1:26"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spans="1:26"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spans="1:26"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spans="1:26"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spans="1:26"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spans="1:26"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spans="1:26"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spans="1:26"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spans="1:26"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spans="1:26"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spans="1:26"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spans="1:26"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spans="1:26"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spans="1:26"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spans="1:26"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spans="1:26"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spans="1:26"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spans="1:26"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spans="1:26"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spans="1:26"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spans="1:26"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spans="1:26"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spans="1:26"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spans="1:26"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spans="1:26"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spans="1:26"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spans="1:26"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spans="1:26"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spans="1:26"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spans="1:26"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spans="1:26"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spans="1:26"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spans="1:26"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spans="1:26"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spans="1:26"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spans="1:26"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spans="1:26"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spans="1:26"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spans="1:26"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spans="1:26"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spans="1:26"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spans="1:26"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spans="1:26"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spans="1:26"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spans="1:26"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spans="1:26"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spans="1:26"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spans="1:26"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spans="1:26"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spans="1:26"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spans="1:26"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spans="1:26"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spans="1:26"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spans="1:26"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spans="1:26"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spans="1:26"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spans="1:26"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spans="1:26"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spans="1:26"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spans="1:26"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spans="1:26"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spans="1:26"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spans="1:26"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spans="1:26"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spans="1:26"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spans="1:26"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spans="1:26"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spans="1:26" ht="15.75" customHeight="1" x14ac:dyDescent="0.25">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spans="1:26" ht="15.75" customHeight="1" x14ac:dyDescent="0.25">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spans="1:26" ht="15.75" customHeight="1" x14ac:dyDescent="0.25">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spans="1:26" ht="15.75" customHeight="1" x14ac:dyDescent="0.25">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spans="1:26" ht="15.75" customHeight="1" x14ac:dyDescent="0.25">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spans="1:26" ht="15.75" customHeight="1" x14ac:dyDescent="0.25">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spans="1:26" ht="15.75" customHeight="1" x14ac:dyDescent="0.25">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spans="1:26" ht="15.75" customHeight="1" x14ac:dyDescent="0.25">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spans="1:26" ht="15.75" customHeight="1" x14ac:dyDescent="0.2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spans="1:26" ht="15.75" customHeight="1" x14ac:dyDescent="0.25">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I31" sqref="I31:J31"/>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91"/>
      <c r="B1" s="41"/>
      <c r="C1" s="41"/>
      <c r="D1" s="41"/>
      <c r="E1" s="41"/>
      <c r="F1" s="292"/>
      <c r="G1" s="292"/>
      <c r="H1" s="292"/>
      <c r="I1" s="292"/>
      <c r="J1" s="292"/>
      <c r="K1" s="292"/>
      <c r="L1" s="292"/>
      <c r="M1" s="292"/>
      <c r="N1" s="292"/>
      <c r="O1" s="292"/>
      <c r="P1" s="292"/>
      <c r="Q1" s="292"/>
      <c r="R1" s="197"/>
      <c r="S1" s="197"/>
      <c r="T1" s="197"/>
      <c r="U1" s="197"/>
      <c r="V1" s="197"/>
      <c r="W1" s="197"/>
      <c r="X1" s="197"/>
      <c r="Y1" s="197"/>
      <c r="Z1" s="197"/>
      <c r="AA1" s="197"/>
      <c r="AB1" s="197"/>
      <c r="AC1" s="197"/>
      <c r="AD1" s="197"/>
    </row>
    <row r="2" spans="1:30" ht="15" customHeight="1" x14ac:dyDescent="0.3">
      <c r="A2" s="293"/>
      <c r="B2" s="294"/>
      <c r="C2" s="295"/>
      <c r="D2" s="295"/>
      <c r="E2" s="659" t="s">
        <v>328</v>
      </c>
      <c r="F2" s="618"/>
      <c r="G2" s="618"/>
      <c r="H2" s="618"/>
      <c r="I2" s="618"/>
      <c r="J2" s="618"/>
      <c r="K2" s="619"/>
      <c r="L2" s="296"/>
      <c r="M2" s="292"/>
      <c r="N2" s="292"/>
      <c r="O2" s="292"/>
      <c r="P2" s="292"/>
      <c r="Q2" s="292"/>
      <c r="R2" s="197"/>
      <c r="S2" s="297"/>
      <c r="T2" s="297"/>
      <c r="U2" s="297"/>
      <c r="V2" s="297"/>
      <c r="W2" s="297"/>
      <c r="X2" s="297"/>
      <c r="Y2" s="297"/>
      <c r="Z2" s="297"/>
      <c r="AA2" s="297"/>
      <c r="AB2" s="297"/>
      <c r="AC2" s="297"/>
      <c r="AD2" s="297"/>
    </row>
    <row r="3" spans="1:30" ht="22.5" customHeight="1" x14ac:dyDescent="0.3">
      <c r="A3" s="293"/>
      <c r="B3" s="298"/>
      <c r="C3" s="197"/>
      <c r="D3" s="197"/>
      <c r="E3" s="476"/>
      <c r="F3" s="476"/>
      <c r="G3" s="476"/>
      <c r="H3" s="476"/>
      <c r="I3" s="476"/>
      <c r="J3" s="476"/>
      <c r="K3" s="655"/>
      <c r="L3" s="296"/>
      <c r="M3" s="292"/>
      <c r="N3" s="292"/>
      <c r="O3" s="292"/>
      <c r="P3" s="292"/>
      <c r="Q3" s="292"/>
      <c r="R3" s="197"/>
      <c r="S3" s="197"/>
      <c r="T3" s="197"/>
      <c r="U3" s="197"/>
      <c r="V3" s="197"/>
      <c r="W3" s="197"/>
      <c r="X3" s="197"/>
      <c r="Y3" s="197"/>
      <c r="Z3" s="197"/>
      <c r="AA3" s="197"/>
      <c r="AB3" s="197"/>
      <c r="AC3" s="197"/>
      <c r="AD3" s="197"/>
    </row>
    <row r="4" spans="1:30" ht="22.5" customHeight="1" x14ac:dyDescent="0.3">
      <c r="A4" s="293"/>
      <c r="B4" s="298"/>
      <c r="C4" s="197"/>
      <c r="D4" s="197"/>
      <c r="E4" s="476"/>
      <c r="F4" s="476"/>
      <c r="G4" s="476"/>
      <c r="H4" s="476"/>
      <c r="I4" s="476"/>
      <c r="J4" s="476"/>
      <c r="K4" s="655"/>
      <c r="L4" s="296"/>
      <c r="M4" s="292"/>
      <c r="N4" s="292"/>
      <c r="O4" s="292"/>
      <c r="P4" s="292"/>
      <c r="Q4" s="292"/>
      <c r="R4" s="197"/>
      <c r="S4" s="197"/>
      <c r="T4" s="197"/>
      <c r="U4" s="197"/>
      <c r="V4" s="197"/>
      <c r="W4" s="197"/>
      <c r="X4" s="197"/>
      <c r="Y4" s="197"/>
      <c r="Z4" s="197"/>
      <c r="AA4" s="197"/>
      <c r="AB4" s="197"/>
      <c r="AC4" s="197"/>
      <c r="AD4" s="197"/>
    </row>
    <row r="5" spans="1:30" ht="15.75" customHeight="1" x14ac:dyDescent="0.3">
      <c r="A5" s="293"/>
      <c r="B5" s="299"/>
      <c r="C5" s="300"/>
      <c r="D5" s="300"/>
      <c r="E5" s="561"/>
      <c r="F5" s="561"/>
      <c r="G5" s="561"/>
      <c r="H5" s="561"/>
      <c r="I5" s="561"/>
      <c r="J5" s="561"/>
      <c r="K5" s="621"/>
      <c r="L5" s="301"/>
      <c r="M5" s="292"/>
      <c r="N5" s="292"/>
      <c r="O5" s="292"/>
      <c r="P5" s="292"/>
      <c r="Q5" s="292"/>
      <c r="R5" s="302"/>
      <c r="S5" s="302"/>
      <c r="T5" s="302"/>
      <c r="U5" s="302"/>
      <c r="V5" s="302"/>
      <c r="W5" s="302"/>
      <c r="X5" s="302"/>
      <c r="Y5" s="302"/>
      <c r="Z5" s="302"/>
      <c r="AA5" s="302"/>
      <c r="AB5" s="302"/>
      <c r="AC5" s="302"/>
      <c r="AD5" s="302"/>
    </row>
    <row r="6" spans="1:30" ht="23.25" customHeight="1" x14ac:dyDescent="0.3">
      <c r="A6" s="293"/>
      <c r="B6" s="303"/>
      <c r="C6" s="660" t="s">
        <v>345</v>
      </c>
      <c r="D6" s="661"/>
      <c r="E6" s="661"/>
      <c r="F6" s="661"/>
      <c r="G6" s="661"/>
      <c r="H6" s="661"/>
      <c r="I6" s="661"/>
      <c r="J6" s="661"/>
      <c r="K6" s="304"/>
      <c r="L6" s="305"/>
      <c r="M6" s="291"/>
      <c r="N6" s="291"/>
      <c r="O6" s="291"/>
      <c r="P6" s="291"/>
      <c r="Q6" s="291"/>
      <c r="R6" s="197"/>
      <c r="S6" s="197"/>
      <c r="T6" s="197"/>
      <c r="U6" s="197"/>
      <c r="V6" s="197"/>
      <c r="W6" s="197"/>
      <c r="X6" s="197"/>
      <c r="Y6" s="197"/>
      <c r="Z6" s="197"/>
      <c r="AA6" s="197"/>
      <c r="AB6" s="197"/>
      <c r="AC6" s="197"/>
      <c r="AD6" s="197"/>
    </row>
    <row r="7" spans="1:30" ht="15.75" customHeight="1" x14ac:dyDescent="0.3">
      <c r="A7" s="293"/>
      <c r="B7" s="306"/>
      <c r="C7" s="307"/>
      <c r="D7" s="307"/>
      <c r="E7" s="307"/>
      <c r="F7" s="308"/>
      <c r="G7" s="308"/>
      <c r="H7" s="307"/>
      <c r="I7" s="307"/>
      <c r="J7" s="309"/>
      <c r="K7" s="310"/>
      <c r="L7" s="305"/>
      <c r="M7" s="291"/>
      <c r="N7" s="291"/>
      <c r="O7" s="291"/>
      <c r="P7" s="291"/>
      <c r="Q7" s="291"/>
      <c r="R7" s="197"/>
      <c r="S7" s="197"/>
      <c r="T7" s="197"/>
      <c r="U7" s="197"/>
      <c r="V7" s="197"/>
      <c r="W7" s="197"/>
      <c r="X7" s="197"/>
      <c r="Y7" s="197"/>
      <c r="Z7" s="197"/>
      <c r="AA7" s="197"/>
      <c r="AB7" s="197"/>
      <c r="AC7" s="197"/>
      <c r="AD7" s="197"/>
    </row>
    <row r="8" spans="1:30" ht="26.25" customHeight="1" x14ac:dyDescent="0.3">
      <c r="A8" s="311"/>
      <c r="B8" s="312"/>
      <c r="C8" s="662" t="s">
        <v>277</v>
      </c>
      <c r="D8" s="523"/>
      <c r="E8" s="523"/>
      <c r="F8" s="663" t="s">
        <v>324</v>
      </c>
      <c r="G8" s="664"/>
      <c r="H8" s="665" t="s">
        <v>278</v>
      </c>
      <c r="I8" s="536"/>
      <c r="J8" s="313">
        <f>'6.Bảng lương  '!$G$4</f>
        <v>22</v>
      </c>
      <c r="K8" s="314"/>
      <c r="L8" s="315"/>
      <c r="M8" s="316"/>
      <c r="N8" s="316"/>
      <c r="O8" s="316"/>
      <c r="P8" s="316"/>
      <c r="Q8" s="316"/>
      <c r="R8" s="197"/>
      <c r="S8" s="197"/>
      <c r="T8" s="197"/>
      <c r="U8" s="197"/>
      <c r="V8" s="197"/>
      <c r="W8" s="197"/>
      <c r="X8" s="197"/>
      <c r="Y8" s="197"/>
      <c r="Z8" s="197"/>
      <c r="AA8" s="197"/>
      <c r="AB8" s="197"/>
      <c r="AC8" s="197"/>
      <c r="AD8" s="197"/>
    </row>
    <row r="9" spans="1:30" ht="30.75" customHeight="1" x14ac:dyDescent="0.3">
      <c r="A9" s="311"/>
      <c r="B9" s="312"/>
      <c r="C9" s="668" t="s">
        <v>279</v>
      </c>
      <c r="D9" s="535"/>
      <c r="E9" s="535"/>
      <c r="F9" s="666" t="str">
        <f>VLOOKUP($F$8,'6.Bảng lương  '!$B$11:$AV$38,2,0)</f>
        <v>Lê Thị Kim Liên</v>
      </c>
      <c r="G9" s="535"/>
      <c r="H9" s="667" t="s">
        <v>280</v>
      </c>
      <c r="I9" s="536"/>
      <c r="J9" s="317">
        <f>IF($F$12="Chính Thức",VLOOKUP($F$8,'3. BẢNG CHẤM CÔNG'!$B$11:$AU$25,38,0)+VLOOKUP($F$8,'3. BẢNG CHẤM CÔNG'!$B$11:$AU$25,39,0),"")</f>
        <v>22</v>
      </c>
      <c r="K9" s="314"/>
      <c r="L9" s="315"/>
      <c r="M9" s="316"/>
      <c r="N9" s="316"/>
      <c r="O9" s="316"/>
      <c r="P9" s="316"/>
      <c r="Q9" s="316"/>
      <c r="R9" s="197"/>
      <c r="S9" s="197"/>
      <c r="T9" s="197"/>
      <c r="U9" s="197"/>
      <c r="V9" s="197"/>
      <c r="W9" s="197"/>
      <c r="X9" s="197"/>
      <c r="Y9" s="197"/>
      <c r="Z9" s="197"/>
      <c r="AA9" s="197"/>
      <c r="AB9" s="197"/>
      <c r="AC9" s="197"/>
      <c r="AD9" s="197"/>
    </row>
    <row r="10" spans="1:30" ht="26.25" customHeight="1" x14ac:dyDescent="0.3">
      <c r="A10" s="311"/>
      <c r="B10" s="312"/>
      <c r="C10" s="668" t="s">
        <v>94</v>
      </c>
      <c r="D10" s="535"/>
      <c r="E10" s="535"/>
      <c r="F10" s="669" t="str">
        <f>VLOOKUP($F$8,'6.Bảng lương  '!$B$11:$AV$38,3,0)</f>
        <v>BGH</v>
      </c>
      <c r="G10" s="535"/>
      <c r="H10" s="670" t="s">
        <v>281</v>
      </c>
      <c r="I10" s="536"/>
      <c r="J10" s="318">
        <f>IF($F$12="Thử Việc",VLOOKUP($F$8,'3. BẢNG CHẤM CÔNG'!$B$11:$AU$41,38,0)+VLOOKUP($F$8,'3. BẢNG CHẤM CÔNG'!$B$11:$AU$41,39,0),0)</f>
        <v>0</v>
      </c>
      <c r="K10" s="314"/>
      <c r="L10" s="315"/>
      <c r="M10" s="316"/>
      <c r="N10" s="316"/>
      <c r="O10" s="316"/>
      <c r="P10" s="316"/>
      <c r="Q10" s="316"/>
      <c r="R10" s="197"/>
      <c r="S10" s="197"/>
      <c r="T10" s="197"/>
      <c r="U10" s="197"/>
      <c r="V10" s="197"/>
      <c r="W10" s="197"/>
      <c r="X10" s="197"/>
      <c r="Y10" s="197"/>
      <c r="Z10" s="197"/>
      <c r="AA10" s="197"/>
      <c r="AB10" s="197"/>
      <c r="AC10" s="197"/>
      <c r="AD10" s="197"/>
    </row>
    <row r="11" spans="1:30" ht="39" customHeight="1" x14ac:dyDescent="0.3">
      <c r="A11" s="311"/>
      <c r="B11" s="312"/>
      <c r="C11" s="668" t="s">
        <v>107</v>
      </c>
      <c r="D11" s="535"/>
      <c r="E11" s="535"/>
      <c r="F11" s="666" t="str">
        <f>VLOOKUP($F$8,'6.Bảng lương  '!$B$11:$AV$38,4,0)</f>
        <v>Hiệu phó cơ sở</v>
      </c>
      <c r="G11" s="535"/>
      <c r="H11" s="670" t="s">
        <v>282</v>
      </c>
      <c r="I11" s="536"/>
      <c r="J11" s="318">
        <f>VLOOKUP($F$8,'3. BẢNG CHẤM CÔNG'!$B$11:$AU$41,44,0)</f>
        <v>0</v>
      </c>
      <c r="K11" s="314"/>
      <c r="L11" s="315"/>
      <c r="M11" s="316"/>
      <c r="N11" s="316"/>
      <c r="O11" s="316"/>
      <c r="P11" s="197"/>
      <c r="Q11" s="197"/>
      <c r="R11" s="197"/>
      <c r="S11" s="197"/>
      <c r="T11" s="197"/>
      <c r="U11" s="197"/>
      <c r="V11" s="197"/>
      <c r="W11" s="197"/>
      <c r="X11" s="197"/>
      <c r="Y11" s="197"/>
      <c r="Z11" s="197"/>
      <c r="AA11" s="197"/>
      <c r="AB11" s="197"/>
      <c r="AC11" s="197"/>
      <c r="AD11" s="197"/>
    </row>
    <row r="12" spans="1:30" ht="27.75" customHeight="1" x14ac:dyDescent="0.3">
      <c r="A12" s="311"/>
      <c r="B12" s="312"/>
      <c r="C12" s="668" t="s">
        <v>283</v>
      </c>
      <c r="D12" s="535"/>
      <c r="E12" s="535"/>
      <c r="F12" s="673" t="str">
        <f>VLOOKUP($F$8,'6.Bảng lương  '!$B$11:$AV$38,5,0)</f>
        <v>Chính thức</v>
      </c>
      <c r="G12" s="535"/>
      <c r="H12" s="670" t="s">
        <v>284</v>
      </c>
      <c r="I12" s="536"/>
      <c r="J12" s="318">
        <f>VLOOKUP($F$8,'3. BẢNG CHẤM CÔNG'!$B$11:$AU$41,42,0)</f>
        <v>0</v>
      </c>
      <c r="K12" s="314"/>
      <c r="L12" s="315"/>
      <c r="M12" s="316"/>
      <c r="N12" s="316"/>
      <c r="O12" s="316"/>
      <c r="P12" s="316"/>
      <c r="Q12" s="316"/>
      <c r="R12" s="197"/>
      <c r="S12" s="197"/>
      <c r="T12" s="197"/>
      <c r="U12" s="197"/>
      <c r="V12" s="197"/>
      <c r="W12" s="197"/>
      <c r="X12" s="197"/>
      <c r="Y12" s="197"/>
      <c r="Z12" s="197"/>
      <c r="AA12" s="197"/>
      <c r="AB12" s="197"/>
      <c r="AC12" s="197"/>
      <c r="AD12" s="197"/>
    </row>
    <row r="13" spans="1:30" ht="28.5" customHeight="1" x14ac:dyDescent="0.3">
      <c r="A13" s="311"/>
      <c r="B13" s="312"/>
      <c r="C13" s="671" t="s">
        <v>285</v>
      </c>
      <c r="D13" s="644"/>
      <c r="E13" s="644"/>
      <c r="F13" s="674">
        <f>VLOOKUP($F$8,'4. Bảng phép năm 2026'!$B$6:$T$99,19,0)</f>
        <v>0</v>
      </c>
      <c r="G13" s="675"/>
      <c r="H13" s="670" t="s">
        <v>286</v>
      </c>
      <c r="I13" s="536"/>
      <c r="J13" s="318">
        <f>VLOOKUP($F$8,'3. BẢNG CHẤM CÔNG'!$B$11:$AU$41,45,0)</f>
        <v>0</v>
      </c>
      <c r="K13" s="314"/>
      <c r="L13" s="315"/>
      <c r="M13" s="316"/>
      <c r="N13" s="316"/>
      <c r="O13" s="316"/>
      <c r="P13" s="316"/>
      <c r="Q13" s="316"/>
      <c r="R13" s="197"/>
      <c r="S13" s="197"/>
      <c r="T13" s="197"/>
      <c r="U13" s="197"/>
      <c r="V13" s="197"/>
      <c r="W13" s="197"/>
      <c r="X13" s="197"/>
      <c r="Y13" s="197"/>
      <c r="Z13" s="197"/>
      <c r="AA13" s="197"/>
      <c r="AB13" s="197"/>
      <c r="AC13" s="197"/>
      <c r="AD13" s="197"/>
    </row>
    <row r="14" spans="1:30" ht="15.75" customHeight="1" x14ac:dyDescent="0.3">
      <c r="A14" s="293"/>
      <c r="B14" s="319"/>
      <c r="C14" s="320"/>
      <c r="D14" s="321"/>
      <c r="E14" s="321"/>
      <c r="F14" s="321"/>
      <c r="G14" s="321"/>
      <c r="H14" s="321"/>
      <c r="I14" s="321"/>
      <c r="J14" s="321"/>
      <c r="K14" s="310"/>
      <c r="L14" s="305"/>
      <c r="M14" s="291"/>
      <c r="N14" s="291"/>
      <c r="O14" s="291"/>
      <c r="P14" s="291"/>
      <c r="Q14" s="291"/>
      <c r="R14" s="197"/>
      <c r="S14" s="197"/>
      <c r="T14" s="197"/>
      <c r="U14" s="197"/>
      <c r="V14" s="197"/>
      <c r="W14" s="197"/>
      <c r="X14" s="197"/>
      <c r="Y14" s="197"/>
      <c r="Z14" s="197"/>
      <c r="AA14" s="197"/>
      <c r="AB14" s="197"/>
      <c r="AC14" s="197"/>
      <c r="AD14" s="197"/>
    </row>
    <row r="15" spans="1:30" ht="24.75" customHeight="1" x14ac:dyDescent="0.3">
      <c r="A15" s="311"/>
      <c r="B15" s="312"/>
      <c r="C15" s="676" t="s">
        <v>287</v>
      </c>
      <c r="D15" s="535"/>
      <c r="E15" s="535"/>
      <c r="F15" s="535"/>
      <c r="G15" s="535"/>
      <c r="H15" s="536"/>
      <c r="I15" s="676" t="s">
        <v>288</v>
      </c>
      <c r="J15" s="536"/>
      <c r="K15" s="314"/>
      <c r="L15" s="315"/>
      <c r="M15" s="316"/>
      <c r="N15" s="316"/>
      <c r="O15" s="316"/>
      <c r="P15" s="316"/>
      <c r="Q15" s="316"/>
      <c r="R15" s="197"/>
      <c r="S15" s="197"/>
      <c r="T15" s="197"/>
      <c r="U15" s="197"/>
      <c r="V15" s="197"/>
      <c r="W15" s="197"/>
      <c r="X15" s="197"/>
      <c r="Y15" s="197"/>
      <c r="Z15" s="197"/>
      <c r="AA15" s="197"/>
      <c r="AB15" s="197"/>
      <c r="AC15" s="197"/>
      <c r="AD15" s="197"/>
    </row>
    <row r="16" spans="1:30" ht="22.5" customHeight="1" x14ac:dyDescent="0.3">
      <c r="A16" s="293"/>
      <c r="B16" s="319"/>
      <c r="C16" s="672" t="s">
        <v>289</v>
      </c>
      <c r="D16" s="630"/>
      <c r="E16" s="677" t="s">
        <v>290</v>
      </c>
      <c r="F16" s="561"/>
      <c r="G16" s="561"/>
      <c r="H16" s="561"/>
      <c r="I16" s="652">
        <f>VLOOKUP($F$8,'6.Bảng lương  '!$B$11:$AV$38,11,0)</f>
        <v>7499999.9999999991</v>
      </c>
      <c r="J16" s="536"/>
      <c r="K16" s="322"/>
      <c r="L16" s="305"/>
      <c r="M16" s="291"/>
      <c r="N16" s="291"/>
      <c r="O16" s="291"/>
      <c r="P16" s="291"/>
      <c r="Q16" s="291"/>
      <c r="R16" s="197"/>
      <c r="S16" s="197"/>
      <c r="T16" s="197"/>
      <c r="U16" s="197"/>
      <c r="V16" s="197"/>
      <c r="W16" s="197"/>
      <c r="X16" s="197"/>
      <c r="Y16" s="197"/>
      <c r="Z16" s="197"/>
      <c r="AA16" s="197"/>
      <c r="AB16" s="197"/>
      <c r="AC16" s="197"/>
      <c r="AD16" s="197"/>
    </row>
    <row r="17" spans="1:30" ht="22.5" customHeight="1" x14ac:dyDescent="0.3">
      <c r="A17" s="293"/>
      <c r="B17" s="319"/>
      <c r="C17" s="484"/>
      <c r="D17" s="630"/>
      <c r="E17" s="678" t="s">
        <v>291</v>
      </c>
      <c r="F17" s="535"/>
      <c r="G17" s="535"/>
      <c r="H17" s="535"/>
      <c r="I17" s="652">
        <f>VLOOKUP($F$8,'6.Bảng lương  '!$B$11:$AV$38,29,0)</f>
        <v>2020000</v>
      </c>
      <c r="J17" s="536"/>
      <c r="K17" s="322"/>
      <c r="L17" s="323"/>
      <c r="M17" s="291"/>
      <c r="N17" s="291"/>
      <c r="O17" s="291"/>
      <c r="P17" s="291"/>
      <c r="Q17" s="291"/>
      <c r="R17" s="197"/>
      <c r="S17" s="197"/>
      <c r="T17" s="197"/>
      <c r="U17" s="197"/>
      <c r="V17" s="197"/>
      <c r="W17" s="197"/>
      <c r="X17" s="197"/>
      <c r="Y17" s="197"/>
      <c r="Z17" s="197"/>
      <c r="AA17" s="197"/>
      <c r="AB17" s="197"/>
      <c r="AC17" s="197"/>
      <c r="AD17" s="197"/>
    </row>
    <row r="18" spans="1:30" ht="22.5" customHeight="1" x14ac:dyDescent="0.3">
      <c r="A18" s="293"/>
      <c r="B18" s="319"/>
      <c r="C18" s="484"/>
      <c r="D18" s="630"/>
      <c r="E18" s="678" t="s">
        <v>292</v>
      </c>
      <c r="F18" s="535"/>
      <c r="G18" s="535"/>
      <c r="H18" s="536"/>
      <c r="I18" s="652">
        <f>VLOOKUP($F$8,'6.Bảng lương  '!$B$11:$AV$38,14,0)</f>
        <v>7267500.0000000009</v>
      </c>
      <c r="J18" s="536"/>
      <c r="K18" s="322"/>
      <c r="L18" s="323"/>
      <c r="M18" s="291"/>
      <c r="N18" s="291"/>
      <c r="O18" s="291"/>
      <c r="P18" s="291"/>
      <c r="Q18" s="291"/>
      <c r="R18" s="197"/>
      <c r="S18" s="197"/>
      <c r="T18" s="197"/>
      <c r="U18" s="197"/>
      <c r="V18" s="197"/>
      <c r="W18" s="197"/>
      <c r="X18" s="197"/>
      <c r="Y18" s="197"/>
      <c r="Z18" s="197"/>
      <c r="AA18" s="197"/>
      <c r="AB18" s="197"/>
      <c r="AC18" s="197"/>
      <c r="AD18" s="197"/>
    </row>
    <row r="19" spans="1:30" ht="22.5" customHeight="1" x14ac:dyDescent="0.3">
      <c r="A19" s="293"/>
      <c r="B19" s="319"/>
      <c r="C19" s="484"/>
      <c r="D19" s="630"/>
      <c r="E19" s="679" t="s">
        <v>293</v>
      </c>
      <c r="F19" s="535"/>
      <c r="G19" s="535"/>
      <c r="H19" s="535"/>
      <c r="I19" s="652">
        <f>VLOOKUP($F$8,'6.Bảng lương  '!$B$11:$AV$38,18,0)</f>
        <v>0</v>
      </c>
      <c r="J19" s="536"/>
      <c r="K19" s="322"/>
      <c r="L19" s="323"/>
      <c r="M19" s="291"/>
      <c r="N19" s="291"/>
      <c r="O19" s="291"/>
      <c r="P19" s="291"/>
      <c r="Q19" s="291"/>
      <c r="R19" s="197"/>
      <c r="S19" s="197"/>
      <c r="T19" s="197"/>
      <c r="U19" s="197"/>
      <c r="V19" s="197"/>
      <c r="W19" s="197"/>
      <c r="X19" s="197"/>
      <c r="Y19" s="197"/>
      <c r="Z19" s="197"/>
      <c r="AA19" s="197"/>
      <c r="AB19" s="197"/>
      <c r="AC19" s="197"/>
      <c r="AD19" s="197"/>
    </row>
    <row r="20" spans="1:30" ht="22.5" customHeight="1" x14ac:dyDescent="0.3">
      <c r="A20" s="293"/>
      <c r="B20" s="319"/>
      <c r="C20" s="484"/>
      <c r="D20" s="630"/>
      <c r="E20" s="679" t="s">
        <v>294</v>
      </c>
      <c r="F20" s="535"/>
      <c r="G20" s="535"/>
      <c r="H20" s="535"/>
      <c r="I20" s="652">
        <f>VLOOKUP($F$8,'6.Bảng lương  '!$B$11:$AV$38,19,0)</f>
        <v>0</v>
      </c>
      <c r="J20" s="536"/>
      <c r="K20" s="322"/>
      <c r="L20" s="323"/>
      <c r="M20" s="291"/>
      <c r="N20" s="291"/>
      <c r="O20" s="291"/>
      <c r="P20" s="291"/>
      <c r="Q20" s="291"/>
      <c r="R20" s="197"/>
      <c r="S20" s="197"/>
      <c r="T20" s="197"/>
      <c r="U20" s="197"/>
      <c r="V20" s="197"/>
      <c r="W20" s="197"/>
      <c r="X20" s="197"/>
      <c r="Y20" s="197"/>
      <c r="Z20" s="197"/>
      <c r="AA20" s="197"/>
      <c r="AB20" s="197"/>
      <c r="AC20" s="197"/>
      <c r="AD20" s="197"/>
    </row>
    <row r="21" spans="1:30" ht="22.5" customHeight="1" x14ac:dyDescent="0.3">
      <c r="A21" s="293"/>
      <c r="B21" s="319"/>
      <c r="C21" s="484"/>
      <c r="D21" s="630"/>
      <c r="E21" s="679" t="s">
        <v>191</v>
      </c>
      <c r="F21" s="535"/>
      <c r="G21" s="535"/>
      <c r="H21" s="535"/>
      <c r="I21" s="652">
        <f>VLOOKUP($F$8,'6.Bảng lương  '!$B$11:$AV$38,20,0)</f>
        <v>0</v>
      </c>
      <c r="J21" s="536"/>
      <c r="K21" s="322"/>
      <c r="L21" s="323"/>
      <c r="M21" s="291"/>
      <c r="N21" s="291"/>
      <c r="O21" s="291"/>
      <c r="P21" s="291"/>
      <c r="Q21" s="291"/>
      <c r="R21" s="197"/>
      <c r="S21" s="197"/>
      <c r="T21" s="197"/>
      <c r="U21" s="197"/>
      <c r="V21" s="197"/>
      <c r="W21" s="197"/>
      <c r="X21" s="197"/>
      <c r="Y21" s="197"/>
      <c r="Z21" s="197"/>
      <c r="AA21" s="197"/>
      <c r="AB21" s="197"/>
      <c r="AC21" s="197"/>
      <c r="AD21" s="197"/>
    </row>
    <row r="22" spans="1:30" ht="22.5" customHeight="1" x14ac:dyDescent="0.3">
      <c r="A22" s="293"/>
      <c r="B22" s="319"/>
      <c r="C22" s="468"/>
      <c r="D22" s="469"/>
      <c r="E22" s="680" t="s">
        <v>295</v>
      </c>
      <c r="F22" s="644"/>
      <c r="G22" s="644"/>
      <c r="H22" s="644"/>
      <c r="I22" s="652">
        <v>0</v>
      </c>
      <c r="J22" s="536"/>
      <c r="K22" s="322"/>
      <c r="L22" s="323"/>
      <c r="M22" s="291"/>
      <c r="N22" s="291"/>
      <c r="O22" s="291"/>
      <c r="P22" s="291"/>
      <c r="Q22" s="291"/>
      <c r="R22" s="197"/>
      <c r="S22" s="197"/>
      <c r="T22" s="197"/>
      <c r="U22" s="197"/>
      <c r="V22" s="197"/>
      <c r="W22" s="197"/>
      <c r="X22" s="197"/>
      <c r="Y22" s="197"/>
      <c r="Z22" s="197"/>
      <c r="AA22" s="197"/>
      <c r="AB22" s="197"/>
      <c r="AC22" s="197"/>
      <c r="AD22" s="197"/>
    </row>
    <row r="23" spans="1:30" ht="22.5" customHeight="1" x14ac:dyDescent="0.3">
      <c r="A23" s="293"/>
      <c r="B23" s="319"/>
      <c r="C23" s="324"/>
      <c r="D23" s="324"/>
      <c r="E23" s="325"/>
      <c r="F23" s="325"/>
      <c r="G23" s="325"/>
      <c r="H23" s="325"/>
      <c r="I23" s="326"/>
      <c r="J23" s="326"/>
      <c r="K23" s="322"/>
      <c r="L23" s="323"/>
      <c r="M23" s="291"/>
      <c r="N23" s="291"/>
      <c r="O23" s="291"/>
      <c r="P23" s="291"/>
      <c r="Q23" s="291"/>
      <c r="R23" s="197"/>
      <c r="S23" s="197"/>
      <c r="T23" s="197"/>
      <c r="U23" s="197"/>
      <c r="V23" s="197"/>
      <c r="W23" s="197"/>
      <c r="X23" s="197"/>
      <c r="Y23" s="197"/>
      <c r="Z23" s="197"/>
      <c r="AA23" s="197"/>
      <c r="AB23" s="197"/>
      <c r="AC23" s="197"/>
      <c r="AD23" s="197"/>
    </row>
    <row r="24" spans="1:30" ht="22.5" customHeight="1" x14ac:dyDescent="0.3">
      <c r="A24" s="293"/>
      <c r="B24" s="319"/>
      <c r="C24" s="653" t="s">
        <v>296</v>
      </c>
      <c r="D24" s="654"/>
      <c r="E24" s="681" t="s">
        <v>297</v>
      </c>
      <c r="F24" s="523"/>
      <c r="G24" s="523"/>
      <c r="H24" s="523"/>
      <c r="I24" s="652">
        <f>VLOOKUP($F$8,'6.Bảng lương  '!$B$11:$AV$38,39,0)</f>
        <v>787500</v>
      </c>
      <c r="J24" s="536"/>
      <c r="K24" s="322"/>
      <c r="L24" s="323"/>
      <c r="M24" s="291"/>
      <c r="N24" s="291"/>
      <c r="O24" s="291"/>
      <c r="P24" s="291"/>
      <c r="Q24" s="291"/>
      <c r="R24" s="197"/>
      <c r="S24" s="197"/>
      <c r="T24" s="197"/>
      <c r="U24" s="197"/>
      <c r="V24" s="197"/>
      <c r="W24" s="197"/>
      <c r="X24" s="197"/>
      <c r="Y24" s="197"/>
      <c r="Z24" s="197"/>
      <c r="AA24" s="197"/>
      <c r="AB24" s="197"/>
      <c r="AC24" s="197"/>
      <c r="AD24" s="197"/>
    </row>
    <row r="25" spans="1:30" ht="22.5" customHeight="1" x14ac:dyDescent="0.3">
      <c r="A25" s="293"/>
      <c r="B25" s="319"/>
      <c r="C25" s="484"/>
      <c r="D25" s="655"/>
      <c r="E25" s="658" t="s">
        <v>298</v>
      </c>
      <c r="F25" s="535"/>
      <c r="G25" s="535"/>
      <c r="H25" s="535"/>
      <c r="I25" s="652">
        <f>VLOOKUP($F$8,'6.Bảng lương  '!$B$11:$AV$38,45,0)</f>
        <v>0</v>
      </c>
      <c r="J25" s="536"/>
      <c r="K25" s="322"/>
      <c r="L25" s="323"/>
      <c r="M25" s="291"/>
      <c r="N25" s="291"/>
      <c r="O25" s="291"/>
      <c r="P25" s="291"/>
      <c r="Q25" s="291"/>
      <c r="R25" s="197"/>
      <c r="S25" s="197"/>
      <c r="T25" s="197"/>
      <c r="U25" s="197"/>
      <c r="V25" s="197"/>
      <c r="W25" s="197"/>
      <c r="X25" s="197"/>
      <c r="Y25" s="197"/>
      <c r="Z25" s="197"/>
      <c r="AA25" s="197"/>
      <c r="AB25" s="197"/>
      <c r="AC25" s="197"/>
      <c r="AD25" s="197"/>
    </row>
    <row r="26" spans="1:30" ht="22.5" customHeight="1" x14ac:dyDescent="0.3">
      <c r="A26" s="293"/>
      <c r="B26" s="319"/>
      <c r="C26" s="484"/>
      <c r="D26" s="655"/>
      <c r="E26" s="658" t="s">
        <v>299</v>
      </c>
      <c r="F26" s="535"/>
      <c r="G26" s="535"/>
      <c r="H26" s="535"/>
      <c r="I26" s="648">
        <v>0</v>
      </c>
      <c r="J26" s="536"/>
      <c r="K26" s="322"/>
      <c r="L26" s="323"/>
      <c r="M26" s="291"/>
      <c r="N26" s="291"/>
      <c r="O26" s="291"/>
      <c r="P26" s="291"/>
      <c r="Q26" s="291"/>
      <c r="R26" s="197"/>
      <c r="S26" s="197"/>
      <c r="T26" s="197"/>
      <c r="U26" s="197"/>
      <c r="V26" s="197"/>
      <c r="W26" s="197"/>
      <c r="X26" s="197"/>
      <c r="Y26" s="197"/>
      <c r="Z26" s="197"/>
      <c r="AA26" s="197"/>
      <c r="AB26" s="197"/>
      <c r="AC26" s="197"/>
      <c r="AD26" s="197"/>
    </row>
    <row r="27" spans="1:30" ht="30.75" customHeight="1" x14ac:dyDescent="0.3">
      <c r="A27" s="293"/>
      <c r="B27" s="319"/>
      <c r="C27" s="484"/>
      <c r="D27" s="655"/>
      <c r="E27" s="646" t="s">
        <v>180</v>
      </c>
      <c r="F27" s="535"/>
      <c r="G27" s="535"/>
      <c r="H27" s="535"/>
      <c r="I27" s="652">
        <f>VLOOKUP($F$8,'6.Bảng lương  '!$B$11:$AV$38,46,0)</f>
        <v>0</v>
      </c>
      <c r="J27" s="536"/>
      <c r="K27" s="322"/>
      <c r="L27" s="323"/>
      <c r="M27" s="291"/>
      <c r="N27" s="291"/>
      <c r="O27" s="291"/>
      <c r="P27" s="291"/>
      <c r="Q27" s="291"/>
      <c r="R27" s="197"/>
      <c r="S27" s="197"/>
      <c r="T27" s="197"/>
      <c r="U27" s="197"/>
      <c r="V27" s="197"/>
      <c r="W27" s="197"/>
      <c r="X27" s="197"/>
      <c r="Y27" s="197"/>
      <c r="Z27" s="197"/>
      <c r="AA27" s="197"/>
      <c r="AB27" s="197"/>
      <c r="AC27" s="197"/>
      <c r="AD27" s="197"/>
    </row>
    <row r="28" spans="1:30" ht="22.5" customHeight="1" x14ac:dyDescent="0.3">
      <c r="A28" s="293"/>
      <c r="B28" s="319"/>
      <c r="C28" s="468"/>
      <c r="D28" s="656"/>
      <c r="E28" s="647" t="s">
        <v>300</v>
      </c>
      <c r="F28" s="644"/>
      <c r="G28" s="644"/>
      <c r="H28" s="644"/>
      <c r="I28" s="648">
        <v>0</v>
      </c>
      <c r="J28" s="536"/>
      <c r="K28" s="322"/>
      <c r="L28" s="323"/>
      <c r="M28" s="291"/>
      <c r="N28" s="291"/>
      <c r="O28" s="291"/>
      <c r="P28" s="291"/>
      <c r="Q28" s="291"/>
      <c r="R28" s="197"/>
      <c r="S28" s="197"/>
      <c r="T28" s="197"/>
      <c r="U28" s="197"/>
      <c r="V28" s="197"/>
      <c r="W28" s="197"/>
      <c r="X28" s="197"/>
      <c r="Y28" s="197"/>
      <c r="Z28" s="197"/>
      <c r="AA28" s="197"/>
      <c r="AB28" s="197"/>
      <c r="AC28" s="197"/>
      <c r="AD28" s="197"/>
    </row>
    <row r="29" spans="1:30" ht="15.75" customHeight="1" x14ac:dyDescent="0.3">
      <c r="A29" s="293"/>
      <c r="B29" s="327"/>
      <c r="C29" s="328"/>
      <c r="D29" s="328"/>
      <c r="E29" s="328"/>
      <c r="F29" s="328"/>
      <c r="G29" s="328"/>
      <c r="H29" s="329"/>
      <c r="I29" s="330"/>
      <c r="J29" s="330"/>
      <c r="K29" s="322"/>
      <c r="L29" s="323"/>
      <c r="M29" s="291"/>
      <c r="N29" s="291"/>
      <c r="O29" s="291"/>
      <c r="P29" s="291"/>
      <c r="Q29" s="291"/>
      <c r="R29" s="197"/>
      <c r="S29" s="197"/>
      <c r="T29" s="197"/>
      <c r="U29" s="197"/>
      <c r="V29" s="197"/>
      <c r="W29" s="197"/>
      <c r="X29" s="197"/>
      <c r="Y29" s="197"/>
      <c r="Z29" s="197"/>
      <c r="AA29" s="197"/>
      <c r="AB29" s="197"/>
      <c r="AC29" s="197"/>
      <c r="AD29" s="197"/>
    </row>
    <row r="30" spans="1:30" ht="49.5" customHeight="1" x14ac:dyDescent="0.3">
      <c r="A30" s="293"/>
      <c r="B30" s="319"/>
      <c r="C30" s="657" t="s">
        <v>301</v>
      </c>
      <c r="D30" s="483"/>
      <c r="E30" s="649" t="s">
        <v>302</v>
      </c>
      <c r="F30" s="618"/>
      <c r="G30" s="618"/>
      <c r="H30" s="619"/>
      <c r="I30" s="650">
        <f>ROUND(SUM(I16:J22)-I24-I25-I26+I27-I28,-2)</f>
        <v>16000000</v>
      </c>
      <c r="J30" s="536"/>
      <c r="K30" s="322"/>
      <c r="L30" s="323"/>
      <c r="M30" s="291"/>
      <c r="N30" s="291"/>
      <c r="O30" s="291"/>
      <c r="P30" s="291"/>
      <c r="Q30" s="291"/>
      <c r="R30" s="197"/>
      <c r="S30" s="197"/>
      <c r="T30" s="197"/>
      <c r="U30" s="197"/>
      <c r="V30" s="197"/>
      <c r="W30" s="197"/>
      <c r="X30" s="197"/>
      <c r="Y30" s="197"/>
      <c r="Z30" s="197"/>
      <c r="AA30" s="197"/>
      <c r="AB30" s="197"/>
      <c r="AC30" s="197"/>
      <c r="AD30" s="197"/>
    </row>
    <row r="31" spans="1:30" ht="22.5" customHeight="1" x14ac:dyDescent="0.3">
      <c r="A31" s="311"/>
      <c r="B31" s="312"/>
      <c r="C31" s="651" t="s">
        <v>303</v>
      </c>
      <c r="D31" s="523"/>
      <c r="E31" s="523"/>
      <c r="F31" s="523"/>
      <c r="G31" s="523"/>
      <c r="H31" s="523"/>
      <c r="I31" s="652">
        <f>VLOOKUP($F$8,'6.Bảng lương  '!$B$11:$AV$38,35,0)</f>
        <v>1612500</v>
      </c>
      <c r="J31" s="536"/>
      <c r="K31" s="314"/>
      <c r="L31" s="331"/>
      <c r="M31" s="316"/>
      <c r="N31" s="316"/>
      <c r="O31" s="316"/>
      <c r="P31" s="316"/>
      <c r="Q31" s="316"/>
      <c r="R31" s="197"/>
      <c r="S31" s="197"/>
      <c r="T31" s="197"/>
      <c r="U31" s="197"/>
      <c r="V31" s="197"/>
      <c r="W31" s="197"/>
      <c r="X31" s="197"/>
      <c r="Y31" s="197"/>
      <c r="Z31" s="197"/>
      <c r="AA31" s="197"/>
      <c r="AB31" s="197"/>
      <c r="AC31" s="197"/>
      <c r="AD31" s="197"/>
    </row>
    <row r="32" spans="1:30" ht="27.75" customHeight="1" x14ac:dyDescent="0.3">
      <c r="A32" s="311"/>
      <c r="B32" s="312"/>
      <c r="C32" s="643" t="s">
        <v>304</v>
      </c>
      <c r="D32" s="644"/>
      <c r="E32" s="644"/>
      <c r="F32" s="644"/>
      <c r="G32" s="644"/>
      <c r="H32" s="644"/>
      <c r="I32" s="645">
        <f>I30+I31</f>
        <v>17612500</v>
      </c>
      <c r="J32" s="536"/>
      <c r="K32" s="314"/>
      <c r="L32" s="331"/>
      <c r="M32" s="316"/>
      <c r="N32" s="316"/>
      <c r="O32" s="316"/>
      <c r="P32" s="316"/>
      <c r="Q32" s="316"/>
      <c r="R32" s="197"/>
      <c r="S32" s="197"/>
      <c r="T32" s="197"/>
      <c r="U32" s="197"/>
      <c r="V32" s="197"/>
      <c r="W32" s="197"/>
      <c r="X32" s="197"/>
      <c r="Y32" s="197"/>
      <c r="Z32" s="197"/>
      <c r="AA32" s="197"/>
      <c r="AB32" s="197"/>
      <c r="AC32" s="197"/>
      <c r="AD32" s="197"/>
    </row>
    <row r="33" spans="1:30" ht="15.75" customHeight="1" x14ac:dyDescent="0.3">
      <c r="A33" s="293"/>
      <c r="B33" s="332"/>
      <c r="C33" s="333"/>
      <c r="D33" s="333"/>
      <c r="E33" s="333"/>
      <c r="F33" s="333"/>
      <c r="G33" s="333"/>
      <c r="H33" s="333"/>
      <c r="I33" s="333"/>
      <c r="J33" s="333"/>
      <c r="K33" s="334"/>
      <c r="L33" s="323"/>
      <c r="M33" s="291"/>
      <c r="N33" s="291"/>
      <c r="O33" s="291"/>
      <c r="P33" s="291"/>
      <c r="Q33" s="291"/>
      <c r="R33" s="197"/>
      <c r="S33" s="197"/>
      <c r="T33" s="197"/>
      <c r="U33" s="197"/>
      <c r="V33" s="197"/>
      <c r="W33" s="197"/>
      <c r="X33" s="197"/>
      <c r="Y33" s="197"/>
      <c r="Z33" s="197"/>
      <c r="AA33" s="197"/>
      <c r="AB33" s="197"/>
      <c r="AC33" s="197"/>
      <c r="AD33" s="197"/>
    </row>
    <row r="34" spans="1:30" ht="15.75" customHeight="1" x14ac:dyDescent="0.3">
      <c r="A34" s="335"/>
      <c r="B34" s="336"/>
      <c r="C34" s="336"/>
      <c r="D34" s="336"/>
      <c r="E34" s="336"/>
      <c r="F34" s="336"/>
      <c r="G34" s="336"/>
      <c r="H34" s="336"/>
      <c r="I34" s="336"/>
      <c r="J34" s="336"/>
      <c r="K34" s="336"/>
      <c r="L34" s="335"/>
      <c r="M34" s="291"/>
      <c r="N34" s="291"/>
      <c r="O34" s="291"/>
      <c r="P34" s="291"/>
      <c r="Q34" s="291"/>
      <c r="R34" s="197"/>
      <c r="S34" s="197"/>
      <c r="T34" s="197"/>
      <c r="U34" s="197"/>
      <c r="V34" s="197"/>
      <c r="W34" s="197"/>
      <c r="X34" s="197"/>
      <c r="Y34" s="197"/>
      <c r="Z34" s="197"/>
      <c r="AA34" s="197"/>
      <c r="AB34" s="197"/>
      <c r="AC34" s="197"/>
      <c r="AD34" s="197"/>
    </row>
    <row r="35" spans="1:30" ht="15.75" customHeight="1" x14ac:dyDescent="0.3">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row>
    <row r="36" spans="1:30" ht="15.75" customHeight="1" x14ac:dyDescent="0.3">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row>
    <row r="37" spans="1:30" ht="15.75" customHeight="1" x14ac:dyDescent="0.3">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row>
    <row r="38" spans="1:30" ht="15.75" customHeight="1" x14ac:dyDescent="0.3">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row>
    <row r="39" spans="1:30" ht="15.75" customHeight="1" x14ac:dyDescent="0.3">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row>
    <row r="40" spans="1:30" ht="15.75" customHeight="1" x14ac:dyDescent="0.3">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row>
    <row r="41" spans="1:30" ht="15.75" customHeight="1" x14ac:dyDescent="0.3">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row>
    <row r="42" spans="1:30" ht="15.75" customHeight="1" x14ac:dyDescent="0.3">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row>
    <row r="43" spans="1:30" ht="15.75" customHeight="1" x14ac:dyDescent="0.3">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row>
    <row r="44" spans="1:30" ht="15.75" customHeight="1" x14ac:dyDescent="0.3">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row>
    <row r="45" spans="1:30" ht="15.75" customHeight="1" x14ac:dyDescent="0.3">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row>
    <row r="46" spans="1:30" ht="15.75" customHeight="1" x14ac:dyDescent="0.3">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row>
    <row r="47" spans="1:30" ht="15.75" customHeight="1" x14ac:dyDescent="0.3">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row>
    <row r="48" spans="1:30" ht="15.75" customHeight="1" x14ac:dyDescent="0.3">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row>
    <row r="49" spans="1:30" ht="15.75" customHeight="1" x14ac:dyDescent="0.3">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row>
    <row r="50" spans="1:30" ht="15.75" customHeight="1" x14ac:dyDescent="0.3">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row>
    <row r="51" spans="1:30" ht="15.75" customHeight="1" x14ac:dyDescent="0.3">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row>
    <row r="52" spans="1:30" ht="15.75" customHeight="1" x14ac:dyDescent="0.3">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row>
    <row r="53" spans="1:30" ht="15.75" customHeight="1" x14ac:dyDescent="0.3">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row>
    <row r="54" spans="1:30" ht="15.75" customHeight="1" x14ac:dyDescent="0.3">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row>
    <row r="55" spans="1:30" ht="15.75" customHeight="1" x14ac:dyDescent="0.3">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row>
    <row r="56" spans="1:30" ht="15.75" customHeight="1" x14ac:dyDescent="0.3">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row>
    <row r="57" spans="1:30" ht="15.75" customHeight="1" x14ac:dyDescent="0.3">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row>
    <row r="58" spans="1:30" ht="15.75" customHeight="1" x14ac:dyDescent="0.3">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row>
    <row r="59" spans="1:30" ht="15.75" customHeight="1" x14ac:dyDescent="0.3">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row>
    <row r="60" spans="1:30" ht="15.75" customHeight="1" x14ac:dyDescent="0.3">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row>
    <row r="61" spans="1:30" ht="15.75" customHeight="1" x14ac:dyDescent="0.3">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row>
    <row r="62" spans="1:30" ht="15.75" customHeight="1" x14ac:dyDescent="0.3">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row>
    <row r="63" spans="1:30" ht="15.75" customHeight="1" x14ac:dyDescent="0.3">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row>
    <row r="64" spans="1:30" ht="15.75" customHeight="1" x14ac:dyDescent="0.3">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row>
    <row r="65" spans="1:30" ht="15.75" customHeight="1" x14ac:dyDescent="0.3">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row>
    <row r="66" spans="1:30" ht="15.75" customHeight="1" x14ac:dyDescent="0.3">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row>
    <row r="67" spans="1:30" ht="15.75" customHeight="1" x14ac:dyDescent="0.3">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row>
    <row r="68" spans="1:30" ht="15.75" customHeight="1" x14ac:dyDescent="0.3">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row>
    <row r="69" spans="1:30" ht="15.75" customHeight="1" x14ac:dyDescent="0.3">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row>
    <row r="70" spans="1:30" ht="15.75" customHeight="1" x14ac:dyDescent="0.3">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row>
    <row r="71" spans="1:30" ht="15.75" customHeight="1" x14ac:dyDescent="0.3">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row>
    <row r="72" spans="1:30" ht="15.75" customHeight="1" x14ac:dyDescent="0.3">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row>
    <row r="73" spans="1:30" ht="15.75" customHeight="1" x14ac:dyDescent="0.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row>
    <row r="74" spans="1:30" ht="15.75" customHeight="1" x14ac:dyDescent="0.3">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row>
    <row r="75" spans="1:30" ht="15.75" customHeight="1" x14ac:dyDescent="0.3">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row>
    <row r="76" spans="1:30" ht="15.75" customHeight="1" x14ac:dyDescent="0.3">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row>
    <row r="77" spans="1:30" ht="15.75" customHeight="1" x14ac:dyDescent="0.3">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row>
    <row r="78" spans="1:30" ht="15.75" customHeight="1" x14ac:dyDescent="0.3">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row>
    <row r="79" spans="1:30" ht="15.75" customHeight="1" x14ac:dyDescent="0.3">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row>
    <row r="80" spans="1:30" ht="15.75" customHeight="1" x14ac:dyDescent="0.3">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row>
    <row r="81" spans="1:30" ht="15.75" customHeight="1" x14ac:dyDescent="0.3">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row>
    <row r="82" spans="1:30" ht="15.75" customHeight="1" x14ac:dyDescent="0.3">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row>
    <row r="83" spans="1:30" ht="15.75" customHeight="1" x14ac:dyDescent="0.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row>
    <row r="84" spans="1:30" ht="15.75" customHeight="1" x14ac:dyDescent="0.3">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row>
    <row r="85" spans="1:30" ht="15.75" customHeight="1" x14ac:dyDescent="0.3">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row>
    <row r="86" spans="1:30" ht="15.75" customHeight="1" x14ac:dyDescent="0.3">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row>
    <row r="87" spans="1:30" ht="15.75" customHeight="1" x14ac:dyDescent="0.3">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row>
    <row r="88" spans="1:30" ht="15.75" customHeight="1" x14ac:dyDescent="0.3">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row>
    <row r="89" spans="1:30" ht="15.75" customHeight="1" x14ac:dyDescent="0.3">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row>
    <row r="90" spans="1:30" ht="15.75" customHeight="1" x14ac:dyDescent="0.3">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row>
    <row r="91" spans="1:30" ht="15.75" customHeight="1" x14ac:dyDescent="0.3">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row>
    <row r="92" spans="1:30" ht="15.75" customHeight="1" x14ac:dyDescent="0.3">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row>
    <row r="93" spans="1:30" ht="15.75" customHeight="1" x14ac:dyDescent="0.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row>
    <row r="94" spans="1:30" ht="15.75" customHeight="1" x14ac:dyDescent="0.3">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row>
    <row r="95" spans="1:30" ht="15.75" customHeight="1" x14ac:dyDescent="0.3">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row>
    <row r="96" spans="1:30" ht="15.75" customHeight="1" x14ac:dyDescent="0.3">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row>
    <row r="97" spans="1:30" ht="15.75" customHeight="1" x14ac:dyDescent="0.3">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row>
    <row r="98" spans="1:30" ht="15.75" customHeight="1" x14ac:dyDescent="0.3">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row>
    <row r="99" spans="1:30" ht="15.75" customHeight="1" x14ac:dyDescent="0.3">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row>
    <row r="100" spans="1:30" ht="15.75" customHeight="1" x14ac:dyDescent="0.3">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row>
    <row r="101" spans="1:30" ht="15.75" customHeight="1" x14ac:dyDescent="0.3">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row>
    <row r="102" spans="1:30" ht="15.75" customHeight="1" x14ac:dyDescent="0.3">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row>
    <row r="103" spans="1:30" ht="15.75" customHeight="1" x14ac:dyDescent="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row>
    <row r="104" spans="1:30" ht="15.75" customHeight="1" x14ac:dyDescent="0.3">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row>
    <row r="105" spans="1:30" ht="15.75" customHeight="1" x14ac:dyDescent="0.3">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row>
    <row r="106" spans="1:30" ht="15.75" customHeight="1" x14ac:dyDescent="0.3">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row>
    <row r="107" spans="1:30" ht="15.75" customHeight="1" x14ac:dyDescent="0.3">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row>
    <row r="108" spans="1:30" ht="15.75" customHeight="1" x14ac:dyDescent="0.3">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row>
    <row r="109" spans="1:30" ht="15.75" customHeight="1" x14ac:dyDescent="0.3">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row>
    <row r="110" spans="1:30" ht="15.75" customHeight="1" x14ac:dyDescent="0.3">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row>
    <row r="111" spans="1:30" ht="15.75" customHeight="1" x14ac:dyDescent="0.3">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row>
    <row r="112" spans="1:30" ht="15.75" customHeight="1" x14ac:dyDescent="0.3">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row>
    <row r="113" spans="1:30" ht="15.75" customHeight="1" x14ac:dyDescent="0.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row>
    <row r="114" spans="1:30" ht="15.75" customHeight="1" x14ac:dyDescent="0.3">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row>
    <row r="115" spans="1:30" ht="15.75" customHeight="1" x14ac:dyDescent="0.3">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row>
    <row r="116" spans="1:30" ht="15.75" customHeight="1" x14ac:dyDescent="0.3">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row>
    <row r="117" spans="1:30" ht="15.75" customHeight="1" x14ac:dyDescent="0.3">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row>
    <row r="118" spans="1:30" ht="15.75" customHeight="1" x14ac:dyDescent="0.3">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row>
    <row r="119" spans="1:30" ht="15.75" customHeight="1" x14ac:dyDescent="0.3">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row>
    <row r="120" spans="1:30" ht="15.75" customHeight="1" x14ac:dyDescent="0.3">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row>
    <row r="121" spans="1:30" ht="15.75" customHeight="1" x14ac:dyDescent="0.3">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row>
    <row r="122" spans="1:30" ht="15.75" customHeight="1" x14ac:dyDescent="0.3">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row>
    <row r="123" spans="1:30" ht="15.75" customHeight="1" x14ac:dyDescent="0.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row>
    <row r="124" spans="1:30" ht="15.75" customHeight="1" x14ac:dyDescent="0.3">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row>
    <row r="125" spans="1:30" ht="15.75" customHeight="1" x14ac:dyDescent="0.3">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row>
    <row r="126" spans="1:30" ht="15.75" customHeight="1" x14ac:dyDescent="0.3">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row>
    <row r="127" spans="1:30" ht="15.75" customHeight="1" x14ac:dyDescent="0.3">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row>
    <row r="128" spans="1:30" ht="15.75" customHeight="1" x14ac:dyDescent="0.3">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row>
    <row r="129" spans="1:30" ht="15.75" customHeight="1" x14ac:dyDescent="0.3">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row>
    <row r="130" spans="1:30" ht="15.75" customHeight="1" x14ac:dyDescent="0.3">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row>
    <row r="131" spans="1:30" ht="15.75" customHeight="1" x14ac:dyDescent="0.3">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row>
    <row r="132" spans="1:30" ht="15.75" customHeight="1" x14ac:dyDescent="0.3">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row>
    <row r="133" spans="1:30" ht="15.75" customHeight="1" x14ac:dyDescent="0.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row>
    <row r="134" spans="1:30" ht="15.75" customHeight="1" x14ac:dyDescent="0.3">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row>
    <row r="135" spans="1:30" ht="15.75" customHeight="1" x14ac:dyDescent="0.3">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row>
    <row r="136" spans="1:30" ht="15.75" customHeight="1" x14ac:dyDescent="0.3">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row>
    <row r="137" spans="1:30" ht="15.75" customHeight="1" x14ac:dyDescent="0.3">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row>
    <row r="138" spans="1:30" ht="15.75" customHeight="1" x14ac:dyDescent="0.3">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row>
    <row r="139" spans="1:30" ht="15.75" customHeight="1" x14ac:dyDescent="0.3">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row>
    <row r="140" spans="1:30" ht="15.75" customHeight="1" x14ac:dyDescent="0.3">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row>
    <row r="141" spans="1:30" ht="15.75" customHeight="1" x14ac:dyDescent="0.3">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row>
    <row r="142" spans="1:30" ht="15.75" customHeight="1" x14ac:dyDescent="0.3">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row>
    <row r="143" spans="1:30" ht="15.75" customHeight="1" x14ac:dyDescent="0.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row>
    <row r="144" spans="1:30" ht="15.75" customHeight="1" x14ac:dyDescent="0.3">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row>
    <row r="145" spans="1:30" ht="15.75" customHeight="1" x14ac:dyDescent="0.3">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row>
    <row r="146" spans="1:30" ht="15.75" customHeight="1" x14ac:dyDescent="0.3">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row>
    <row r="147" spans="1:30" ht="15.75" customHeight="1" x14ac:dyDescent="0.3">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row>
    <row r="148" spans="1:30" ht="15.75" customHeight="1" x14ac:dyDescent="0.3">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row>
    <row r="149" spans="1:30" ht="15.75" customHeight="1" x14ac:dyDescent="0.3">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row>
    <row r="150" spans="1:30" ht="15.75" customHeight="1" x14ac:dyDescent="0.3">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row>
    <row r="151" spans="1:30" ht="15.75" customHeight="1" x14ac:dyDescent="0.3">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row>
    <row r="152" spans="1:30" ht="15.75" customHeight="1" x14ac:dyDescent="0.3">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row>
    <row r="153" spans="1:30" ht="15.75" customHeight="1" x14ac:dyDescent="0.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row>
    <row r="154" spans="1:30" ht="15.75" customHeight="1" x14ac:dyDescent="0.3">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row>
    <row r="155" spans="1:30" ht="15.75" customHeight="1" x14ac:dyDescent="0.3">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row>
    <row r="156" spans="1:30" ht="15.75" customHeight="1" x14ac:dyDescent="0.3">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row>
    <row r="157" spans="1:30" ht="15.75" customHeight="1" x14ac:dyDescent="0.3">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row>
    <row r="158" spans="1:30" ht="15.75" customHeight="1" x14ac:dyDescent="0.3">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row>
    <row r="159" spans="1:30" ht="15.75" customHeight="1" x14ac:dyDescent="0.3">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row>
    <row r="160" spans="1:30" ht="15.75" customHeight="1" x14ac:dyDescent="0.3">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row>
    <row r="161" spans="1:30" ht="15.75" customHeight="1" x14ac:dyDescent="0.3">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row>
    <row r="162" spans="1:30" ht="15.75" customHeight="1" x14ac:dyDescent="0.3">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row>
    <row r="163" spans="1:30" ht="15.75" customHeight="1" x14ac:dyDescent="0.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row>
    <row r="164" spans="1:30" ht="15.75" customHeight="1" x14ac:dyDescent="0.3">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row>
    <row r="165" spans="1:30" ht="15.75" customHeight="1" x14ac:dyDescent="0.3">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row>
    <row r="166" spans="1:30" ht="15.75" customHeight="1" x14ac:dyDescent="0.3">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row>
    <row r="167" spans="1:30" ht="15.75" customHeight="1" x14ac:dyDescent="0.3">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row>
    <row r="168" spans="1:30" ht="15.75" customHeight="1" x14ac:dyDescent="0.3">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row>
    <row r="169" spans="1:30" ht="15.75" customHeight="1" x14ac:dyDescent="0.3">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row>
    <row r="170" spans="1:30" ht="15.75" customHeight="1" x14ac:dyDescent="0.3">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row>
    <row r="171" spans="1:30" ht="15.75" customHeight="1" x14ac:dyDescent="0.3">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row>
    <row r="172" spans="1:30" ht="15.75" customHeight="1" x14ac:dyDescent="0.3">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row>
    <row r="173" spans="1:30" ht="15.75" customHeight="1" x14ac:dyDescent="0.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row>
    <row r="174" spans="1:30" ht="15.75" customHeight="1" x14ac:dyDescent="0.3">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row>
    <row r="175" spans="1:30" ht="15.75" customHeight="1" x14ac:dyDescent="0.3">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row>
    <row r="176" spans="1:30" ht="15.75" customHeight="1" x14ac:dyDescent="0.3">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row>
    <row r="177" spans="1:30" ht="15.75" customHeight="1" x14ac:dyDescent="0.3">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row>
    <row r="178" spans="1:30" ht="15.75" customHeight="1" x14ac:dyDescent="0.3">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row>
    <row r="179" spans="1:30" ht="15.75" customHeight="1" x14ac:dyDescent="0.3">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row>
    <row r="180" spans="1:30" ht="15.75" customHeight="1" x14ac:dyDescent="0.3">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row>
    <row r="181" spans="1:30" ht="15.75" customHeight="1" x14ac:dyDescent="0.3">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row>
    <row r="182" spans="1:30" ht="15.75" customHeight="1" x14ac:dyDescent="0.3">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row>
    <row r="183" spans="1:30" ht="15.75" customHeight="1" x14ac:dyDescent="0.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row>
    <row r="184" spans="1:30" ht="15.75" customHeight="1" x14ac:dyDescent="0.3">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row>
    <row r="185" spans="1:30" ht="15.75" customHeight="1" x14ac:dyDescent="0.3">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row>
    <row r="186" spans="1:30" ht="15.75" customHeight="1" x14ac:dyDescent="0.3">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row>
    <row r="187" spans="1:30" ht="15.75" customHeight="1" x14ac:dyDescent="0.3">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row>
    <row r="188" spans="1:30" ht="15.75" customHeight="1" x14ac:dyDescent="0.3">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row>
    <row r="189" spans="1:30" ht="15.75" customHeight="1" x14ac:dyDescent="0.3">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row>
    <row r="190" spans="1:30" ht="15.75" customHeight="1" x14ac:dyDescent="0.3">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row>
    <row r="191" spans="1:30" ht="15.75" customHeight="1" x14ac:dyDescent="0.3">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row>
    <row r="192" spans="1:30" ht="15.75" customHeight="1" x14ac:dyDescent="0.3">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row>
    <row r="193" spans="1:30" ht="15.75" customHeight="1" x14ac:dyDescent="0.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row>
    <row r="194" spans="1:30" ht="15.75" customHeight="1" x14ac:dyDescent="0.3">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row>
    <row r="195" spans="1:30" ht="15.75" customHeight="1" x14ac:dyDescent="0.3">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row>
    <row r="196" spans="1:30" ht="15.75" customHeight="1" x14ac:dyDescent="0.3">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row>
    <row r="197" spans="1:30" ht="15.75" customHeight="1" x14ac:dyDescent="0.3">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row>
    <row r="198" spans="1:30" ht="15.75" customHeight="1" x14ac:dyDescent="0.3">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row>
    <row r="199" spans="1:30" ht="15.75" customHeight="1" x14ac:dyDescent="0.3">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row>
    <row r="200" spans="1:30" ht="15.75" customHeight="1" x14ac:dyDescent="0.3">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row>
    <row r="201" spans="1:30" ht="15.75" customHeight="1" x14ac:dyDescent="0.3">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row>
    <row r="202" spans="1:30" ht="15.75" customHeight="1" x14ac:dyDescent="0.3">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row>
    <row r="203" spans="1:30" ht="15.75" customHeight="1" x14ac:dyDescent="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row>
    <row r="204" spans="1:30" ht="15.75" customHeight="1" x14ac:dyDescent="0.3">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row>
    <row r="205" spans="1:30" ht="15.75" customHeight="1" x14ac:dyDescent="0.3">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row>
    <row r="206" spans="1:30" ht="15.75" customHeight="1" x14ac:dyDescent="0.3">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row>
    <row r="207" spans="1:30" ht="15.75" customHeight="1" x14ac:dyDescent="0.3">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row>
    <row r="208" spans="1:30" ht="15.75" customHeight="1" x14ac:dyDescent="0.3">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row>
    <row r="209" spans="1:30" ht="15.75" customHeight="1" x14ac:dyDescent="0.3">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row>
    <row r="210" spans="1:30" ht="15.75" customHeight="1" x14ac:dyDescent="0.3">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row>
    <row r="211" spans="1:30" ht="15.75" customHeight="1" x14ac:dyDescent="0.3">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row>
    <row r="212" spans="1:30" ht="15.75" customHeight="1" x14ac:dyDescent="0.3">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row>
    <row r="213" spans="1:30" ht="15.75" customHeight="1" x14ac:dyDescent="0.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row>
    <row r="214" spans="1:30" ht="15.75" customHeight="1" x14ac:dyDescent="0.3">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row>
    <row r="215" spans="1:30" ht="15.75" customHeight="1" x14ac:dyDescent="0.3">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row>
    <row r="216" spans="1:30" ht="15.75" customHeight="1" x14ac:dyDescent="0.3">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row>
    <row r="217" spans="1:30" ht="15.75" customHeight="1" x14ac:dyDescent="0.3">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row>
    <row r="218" spans="1:30" ht="15.75" customHeight="1" x14ac:dyDescent="0.3">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row>
    <row r="219" spans="1:30" ht="15.75" customHeight="1" x14ac:dyDescent="0.3">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row>
    <row r="220" spans="1:30" ht="15.75" customHeight="1" x14ac:dyDescent="0.3">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row>
    <row r="221" spans="1:30" ht="15.75" customHeight="1" x14ac:dyDescent="0.3">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row>
    <row r="222" spans="1:30" ht="15.75" customHeight="1" x14ac:dyDescent="0.3">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row>
    <row r="223" spans="1:30" ht="15.75" customHeight="1" x14ac:dyDescent="0.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row>
    <row r="224" spans="1:30" ht="15.75" customHeight="1" x14ac:dyDescent="0.3">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row>
    <row r="225" spans="1:30" ht="15.75" customHeight="1" x14ac:dyDescent="0.3">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row>
    <row r="226" spans="1:30" ht="15.75" customHeight="1" x14ac:dyDescent="0.3">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row>
    <row r="227" spans="1:30" ht="15.75" customHeight="1" x14ac:dyDescent="0.3">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row>
    <row r="228" spans="1:30" ht="15.75" customHeight="1" x14ac:dyDescent="0.3">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row>
    <row r="229" spans="1:30" ht="15.75" customHeight="1" x14ac:dyDescent="0.3">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row>
    <row r="230" spans="1:30" ht="15.75" customHeight="1" x14ac:dyDescent="0.3">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row>
    <row r="231" spans="1:30" ht="15.75" customHeight="1" x14ac:dyDescent="0.3">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row>
    <row r="232" spans="1:30" ht="15.75" customHeight="1" x14ac:dyDescent="0.3">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row>
    <row r="233" spans="1:30" ht="15.75" customHeight="1" x14ac:dyDescent="0.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row>
    <row r="234" spans="1:30" ht="15.75" customHeight="1" x14ac:dyDescent="0.3">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row>
    <row r="235" spans="1:30" ht="15.75" customHeight="1" x14ac:dyDescent="0.3">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row>
    <row r="236" spans="1:30" ht="15.75" customHeight="1" x14ac:dyDescent="0.3">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row>
    <row r="237" spans="1:30" ht="15.75" customHeight="1" x14ac:dyDescent="0.3">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row>
    <row r="238" spans="1:30" ht="15.75" customHeight="1" x14ac:dyDescent="0.3">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row>
    <row r="239" spans="1:30" ht="15.75" customHeight="1" x14ac:dyDescent="0.3">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row>
    <row r="240" spans="1:30" ht="15.75" customHeight="1" x14ac:dyDescent="0.3">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row>
    <row r="241" spans="1:30" ht="15.75" customHeight="1" x14ac:dyDescent="0.3">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row>
    <row r="242" spans="1:30" ht="15.75" customHeight="1" x14ac:dyDescent="0.3">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row>
    <row r="243" spans="1:30" ht="15.75" customHeight="1" x14ac:dyDescent="0.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row>
    <row r="244" spans="1:30" ht="15.75" customHeight="1" x14ac:dyDescent="0.3">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row>
    <row r="245" spans="1:30" ht="15.75" customHeight="1" x14ac:dyDescent="0.3">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row>
    <row r="246" spans="1:30" ht="15.75" customHeight="1" x14ac:dyDescent="0.3">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row>
    <row r="247" spans="1:30" ht="15.75" customHeight="1" x14ac:dyDescent="0.3">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row>
    <row r="248" spans="1:30" ht="15.75" customHeight="1" x14ac:dyDescent="0.3">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row>
    <row r="249" spans="1:30" ht="15.75" customHeight="1" x14ac:dyDescent="0.3">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row>
    <row r="250" spans="1:30" ht="15.75" customHeight="1" x14ac:dyDescent="0.3">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row>
    <row r="251" spans="1:30" ht="15.75" customHeight="1" x14ac:dyDescent="0.3">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row>
    <row r="252" spans="1:30" ht="15.75" customHeight="1" x14ac:dyDescent="0.3">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row>
    <row r="253" spans="1:30" ht="15.75" customHeight="1" x14ac:dyDescent="0.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row>
    <row r="254" spans="1:30" ht="15.75" customHeight="1" x14ac:dyDescent="0.3">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row>
    <row r="255" spans="1:30" ht="15.75" customHeight="1" x14ac:dyDescent="0.3">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row>
    <row r="256" spans="1:30" ht="15.75" customHeight="1" x14ac:dyDescent="0.3">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row>
    <row r="257" spans="1:30" ht="15.75" customHeight="1" x14ac:dyDescent="0.3">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row>
    <row r="258" spans="1:30" ht="15.75" customHeight="1" x14ac:dyDescent="0.3">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row>
    <row r="259" spans="1:30" ht="15.75" customHeight="1" x14ac:dyDescent="0.3">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row>
    <row r="260" spans="1:30" ht="15.75" customHeight="1" x14ac:dyDescent="0.3">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row>
    <row r="261" spans="1:30" ht="15.75" customHeight="1" x14ac:dyDescent="0.3">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row>
    <row r="262" spans="1:30" ht="15.75" customHeight="1" x14ac:dyDescent="0.3">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row>
    <row r="263" spans="1:30" ht="15.75" customHeight="1" x14ac:dyDescent="0.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row>
    <row r="264" spans="1:30" ht="15.75" customHeight="1" x14ac:dyDescent="0.3">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row>
    <row r="265" spans="1:30" ht="15.75" customHeight="1" x14ac:dyDescent="0.3">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row>
    <row r="266" spans="1:30" ht="15.75" customHeight="1" x14ac:dyDescent="0.3">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row>
    <row r="267" spans="1:30" ht="15.75" customHeight="1" x14ac:dyDescent="0.3">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row>
    <row r="268" spans="1:30" ht="15.75" customHeight="1" x14ac:dyDescent="0.3">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row>
    <row r="269" spans="1:30" ht="15.75" customHeight="1" x14ac:dyDescent="0.3">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row>
    <row r="270" spans="1:30" ht="15.75" customHeight="1" x14ac:dyDescent="0.3">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row>
    <row r="271" spans="1:30" ht="15.75" customHeight="1" x14ac:dyDescent="0.3">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row>
    <row r="272" spans="1:30" ht="15.75" customHeight="1" x14ac:dyDescent="0.3">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row>
    <row r="273" spans="1:30" ht="15.75" customHeight="1" x14ac:dyDescent="0.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row>
    <row r="274" spans="1:30" ht="15.75" customHeight="1" x14ac:dyDescent="0.3">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row>
    <row r="275" spans="1:30" ht="15.75" customHeight="1" x14ac:dyDescent="0.3">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row>
    <row r="276" spans="1:30" ht="15.75" customHeight="1" x14ac:dyDescent="0.3">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row>
    <row r="277" spans="1:30" ht="15.75" customHeight="1" x14ac:dyDescent="0.3">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row>
    <row r="278" spans="1:30" ht="15.75" customHeight="1" x14ac:dyDescent="0.3">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row>
    <row r="279" spans="1:30" ht="15.75" customHeight="1" x14ac:dyDescent="0.3">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row>
    <row r="280" spans="1:30" ht="15.75" customHeight="1" x14ac:dyDescent="0.3">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row>
    <row r="281" spans="1:30" ht="15.75" customHeight="1" x14ac:dyDescent="0.3">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row>
    <row r="282" spans="1:30" ht="15.75" customHeight="1" x14ac:dyDescent="0.3">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row>
    <row r="283" spans="1:30" ht="15.75" customHeight="1" x14ac:dyDescent="0.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row>
    <row r="284" spans="1:30" ht="15.75" customHeight="1" x14ac:dyDescent="0.3">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row>
    <row r="285" spans="1:30" ht="15.75" customHeight="1" x14ac:dyDescent="0.3">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row>
    <row r="286" spans="1:30" ht="15.75" customHeight="1" x14ac:dyDescent="0.3">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row>
    <row r="287" spans="1:30" ht="15.75" customHeight="1" x14ac:dyDescent="0.3">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row>
    <row r="288" spans="1:30" ht="15.75" customHeight="1" x14ac:dyDescent="0.3">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row>
    <row r="289" spans="1:30" ht="15.75" customHeight="1" x14ac:dyDescent="0.3">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row>
    <row r="290" spans="1:30" ht="15.75" customHeight="1" x14ac:dyDescent="0.3">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row>
    <row r="291" spans="1:30" ht="15.75" customHeight="1" x14ac:dyDescent="0.3">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row>
    <row r="292" spans="1:30" ht="15.75" customHeight="1" x14ac:dyDescent="0.3">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row>
    <row r="293" spans="1:30" ht="15.75" customHeight="1" x14ac:dyDescent="0.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row>
    <row r="294" spans="1:30" ht="15.75" customHeight="1" x14ac:dyDescent="0.3">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row>
    <row r="295" spans="1:30" ht="15.75" customHeight="1" x14ac:dyDescent="0.3">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row>
    <row r="296" spans="1:30" ht="15.75" customHeight="1" x14ac:dyDescent="0.3">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row>
    <row r="297" spans="1:30" ht="15.75" customHeight="1" x14ac:dyDescent="0.3">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row>
    <row r="298" spans="1:30" ht="15.75" customHeight="1" x14ac:dyDescent="0.3">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row>
    <row r="299" spans="1:30" ht="15.75" customHeight="1" x14ac:dyDescent="0.3">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row>
    <row r="300" spans="1:30" ht="15.75" customHeight="1" x14ac:dyDescent="0.3">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row>
    <row r="301" spans="1:30" ht="15.75" customHeight="1" x14ac:dyDescent="0.3">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row>
    <row r="302" spans="1:30" ht="15.75" customHeight="1" x14ac:dyDescent="0.3">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row>
    <row r="303" spans="1:30" ht="15.75" customHeight="1" x14ac:dyDescent="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row>
    <row r="304" spans="1:30" ht="15.75" customHeight="1" x14ac:dyDescent="0.3">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row>
    <row r="305" spans="1:30" ht="15.75" customHeight="1" x14ac:dyDescent="0.3">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row>
    <row r="306" spans="1:30" ht="15.75" customHeight="1" x14ac:dyDescent="0.3">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row>
    <row r="307" spans="1:30" ht="15.75" customHeight="1" x14ac:dyDescent="0.3">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row>
    <row r="308" spans="1:30" ht="15.75" customHeight="1" x14ac:dyDescent="0.3">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row>
    <row r="309" spans="1:30" ht="15.75" customHeight="1" x14ac:dyDescent="0.3">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row>
    <row r="310" spans="1:30" ht="15.75" customHeight="1" x14ac:dyDescent="0.3">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row>
    <row r="311" spans="1:30" ht="15.75" customHeight="1" x14ac:dyDescent="0.3">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row>
    <row r="312" spans="1:30" ht="15.75" customHeight="1" x14ac:dyDescent="0.3">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row>
    <row r="313" spans="1:30" ht="15.75" customHeight="1" x14ac:dyDescent="0.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row>
    <row r="314" spans="1:30" ht="15.75" customHeight="1" x14ac:dyDescent="0.3">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row>
    <row r="315" spans="1:30" ht="15.75" customHeight="1" x14ac:dyDescent="0.3">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row>
    <row r="316" spans="1:30" ht="15.75" customHeight="1" x14ac:dyDescent="0.3">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row>
    <row r="317" spans="1:30" ht="15.75" customHeight="1" x14ac:dyDescent="0.3">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row>
    <row r="318" spans="1:30" ht="15.75" customHeight="1" x14ac:dyDescent="0.3">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row>
    <row r="319" spans="1:30" ht="15.75" customHeight="1" x14ac:dyDescent="0.3">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row>
    <row r="320" spans="1:30" ht="15.75" customHeight="1" x14ac:dyDescent="0.3">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row>
    <row r="321" spans="1:30" ht="15.75" customHeight="1" x14ac:dyDescent="0.3">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row>
    <row r="322" spans="1:30" ht="15.75" customHeight="1" x14ac:dyDescent="0.3">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row>
    <row r="323" spans="1:30" ht="15.75" customHeight="1" x14ac:dyDescent="0.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row>
    <row r="324" spans="1:30" ht="15.75" customHeight="1" x14ac:dyDescent="0.3">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row>
    <row r="325" spans="1:30" ht="15.75" customHeight="1" x14ac:dyDescent="0.3">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row>
    <row r="326" spans="1:30" ht="15.75" customHeight="1" x14ac:dyDescent="0.3">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row>
    <row r="327" spans="1:30" ht="15.75" customHeight="1" x14ac:dyDescent="0.3">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row>
    <row r="328" spans="1:30" ht="15.75" customHeight="1" x14ac:dyDescent="0.3">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row>
    <row r="329" spans="1:30" ht="15.75" customHeight="1" x14ac:dyDescent="0.3">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row>
    <row r="330" spans="1:30" ht="15.75" customHeight="1" x14ac:dyDescent="0.3">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row>
    <row r="331" spans="1:30" ht="15.75" customHeight="1" x14ac:dyDescent="0.3">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row>
    <row r="332" spans="1:30" ht="15.75" customHeight="1" x14ac:dyDescent="0.3">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row>
    <row r="333" spans="1:30" ht="15.75" customHeight="1" x14ac:dyDescent="0.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row>
    <row r="334" spans="1:30" ht="15.75" customHeight="1" x14ac:dyDescent="0.3">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row>
    <row r="335" spans="1:30" ht="15.75" customHeight="1" x14ac:dyDescent="0.3">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row>
    <row r="336" spans="1:30" ht="15.75" customHeight="1" x14ac:dyDescent="0.3">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row>
    <row r="337" spans="1:30" ht="15.75" customHeight="1" x14ac:dyDescent="0.3">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row>
    <row r="338" spans="1:30" ht="15.75" customHeight="1" x14ac:dyDescent="0.3">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row>
    <row r="339" spans="1:30" ht="15.75" customHeight="1" x14ac:dyDescent="0.3">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row>
    <row r="340" spans="1:30" ht="15.75" customHeight="1" x14ac:dyDescent="0.3">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row>
    <row r="341" spans="1:30" ht="15.75" customHeight="1" x14ac:dyDescent="0.3">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row>
    <row r="342" spans="1:30" ht="15.75" customHeight="1" x14ac:dyDescent="0.3">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row>
    <row r="343" spans="1:30" ht="15.75" customHeight="1" x14ac:dyDescent="0.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row>
    <row r="344" spans="1:30" ht="15.75" customHeight="1" x14ac:dyDescent="0.3">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row>
    <row r="345" spans="1:30" ht="15.75" customHeight="1" x14ac:dyDescent="0.3">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row>
    <row r="346" spans="1:30" ht="15.75" customHeight="1" x14ac:dyDescent="0.3">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row>
    <row r="347" spans="1:30" ht="15.75" customHeight="1" x14ac:dyDescent="0.3">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row>
    <row r="348" spans="1:30" ht="15.75" customHeight="1" x14ac:dyDescent="0.3">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row>
    <row r="349" spans="1:30" ht="15.75" customHeight="1" x14ac:dyDescent="0.3">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row>
    <row r="350" spans="1:30" ht="15.75" customHeight="1" x14ac:dyDescent="0.3">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row>
    <row r="351" spans="1:30" ht="15.75" customHeight="1" x14ac:dyDescent="0.3">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row>
    <row r="352" spans="1:30" ht="15.75" customHeight="1" x14ac:dyDescent="0.3">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row>
    <row r="353" spans="1:30" ht="15.75" customHeight="1" x14ac:dyDescent="0.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row>
    <row r="354" spans="1:30" ht="15.75" customHeight="1" x14ac:dyDescent="0.3">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row>
    <row r="355" spans="1:30" ht="15.75" customHeight="1" x14ac:dyDescent="0.3">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row>
    <row r="356" spans="1:30" ht="15.75" customHeight="1" x14ac:dyDescent="0.3">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row>
    <row r="357" spans="1:30" ht="15.75" customHeight="1" x14ac:dyDescent="0.3">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row>
    <row r="358" spans="1:30" ht="15.75" customHeight="1" x14ac:dyDescent="0.3">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row>
    <row r="359" spans="1:30" ht="15.75" customHeight="1" x14ac:dyDescent="0.3">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row>
    <row r="360" spans="1:30" ht="15.75" customHeight="1" x14ac:dyDescent="0.3">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row>
    <row r="361" spans="1:30" ht="15.75" customHeight="1" x14ac:dyDescent="0.3">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row>
    <row r="362" spans="1:30" ht="15.75" customHeight="1" x14ac:dyDescent="0.3">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row>
    <row r="363" spans="1:30" ht="15.75" customHeight="1" x14ac:dyDescent="0.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row>
    <row r="364" spans="1:30" ht="15.75" customHeight="1" x14ac:dyDescent="0.3">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row>
    <row r="365" spans="1:30" ht="15.75" customHeight="1" x14ac:dyDescent="0.3">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row>
    <row r="366" spans="1:30" ht="15.75" customHeight="1" x14ac:dyDescent="0.3">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row>
    <row r="367" spans="1:30" ht="15.75" customHeight="1" x14ac:dyDescent="0.3">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row>
    <row r="368" spans="1:30" ht="15.75" customHeight="1" x14ac:dyDescent="0.3">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row>
    <row r="369" spans="1:30" ht="15.75" customHeight="1" x14ac:dyDescent="0.3">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row>
    <row r="370" spans="1:30" ht="15.75" customHeight="1" x14ac:dyDescent="0.3">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row>
    <row r="371" spans="1:30" ht="15.75" customHeight="1" x14ac:dyDescent="0.3">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row>
    <row r="372" spans="1:30" ht="15.75" customHeight="1" x14ac:dyDescent="0.3">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row>
    <row r="373" spans="1:30" ht="15.75" customHeight="1" x14ac:dyDescent="0.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row>
    <row r="374" spans="1:30" ht="15.75" customHeight="1" x14ac:dyDescent="0.3">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row>
    <row r="375" spans="1:30" ht="15.75" customHeight="1" x14ac:dyDescent="0.3">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row>
    <row r="376" spans="1:30" ht="15.75" customHeight="1" x14ac:dyDescent="0.3">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row>
    <row r="377" spans="1:30" ht="15.75" customHeight="1" x14ac:dyDescent="0.3">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row>
    <row r="378" spans="1:30" ht="15.75" customHeight="1" x14ac:dyDescent="0.3">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row>
    <row r="379" spans="1:30" ht="15.75" customHeight="1" x14ac:dyDescent="0.3">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row>
    <row r="380" spans="1:30" ht="15.75" customHeight="1" x14ac:dyDescent="0.3">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row>
    <row r="381" spans="1:30" ht="15.75" customHeight="1" x14ac:dyDescent="0.3">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row>
    <row r="382" spans="1:30" ht="15.75" customHeight="1" x14ac:dyDescent="0.3">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row>
    <row r="383" spans="1:30" ht="15.75" customHeight="1" x14ac:dyDescent="0.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row>
    <row r="384" spans="1:30" ht="15.75" customHeight="1" x14ac:dyDescent="0.3">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row>
    <row r="385" spans="1:30" ht="15.75" customHeight="1" x14ac:dyDescent="0.3">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row>
    <row r="386" spans="1:30" ht="15.75" customHeight="1" x14ac:dyDescent="0.3">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row>
    <row r="387" spans="1:30" ht="15.75" customHeight="1" x14ac:dyDescent="0.3">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row>
    <row r="388" spans="1:30" ht="15.75" customHeight="1" x14ac:dyDescent="0.3">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row>
    <row r="389" spans="1:30" ht="15.75" customHeight="1" x14ac:dyDescent="0.3">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row>
    <row r="390" spans="1:30" ht="15.75" customHeight="1" x14ac:dyDescent="0.3">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row>
    <row r="391" spans="1:30" ht="15.75" customHeight="1" x14ac:dyDescent="0.3">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row>
    <row r="392" spans="1:30" ht="15.75" customHeight="1" x14ac:dyDescent="0.3">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row>
    <row r="393" spans="1:30" ht="15.75" customHeight="1" x14ac:dyDescent="0.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row>
    <row r="394" spans="1:30" ht="15.75" customHeight="1" x14ac:dyDescent="0.3">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row>
    <row r="395" spans="1:30" ht="15.75" customHeight="1" x14ac:dyDescent="0.3">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row>
    <row r="396" spans="1:30" ht="15.75" customHeight="1" x14ac:dyDescent="0.3">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row>
    <row r="397" spans="1:30" ht="15.75" customHeight="1" x14ac:dyDescent="0.3">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row>
    <row r="398" spans="1:30" ht="15.75" customHeight="1" x14ac:dyDescent="0.3">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row>
    <row r="399" spans="1:30" ht="15.75" customHeight="1" x14ac:dyDescent="0.3">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row>
    <row r="400" spans="1:30" ht="15.75" customHeight="1" x14ac:dyDescent="0.3">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row>
    <row r="401" spans="1:30" ht="15.75" customHeight="1" x14ac:dyDescent="0.3">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row>
    <row r="402" spans="1:30" ht="15.75" customHeight="1" x14ac:dyDescent="0.3">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row>
    <row r="403" spans="1:30" ht="15.75" customHeight="1" x14ac:dyDescent="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row>
    <row r="404" spans="1:30" ht="15.75" customHeight="1" x14ac:dyDescent="0.3">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row>
    <row r="405" spans="1:30" ht="15.75" customHeight="1" x14ac:dyDescent="0.3">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row>
    <row r="406" spans="1:30" ht="15.75" customHeight="1" x14ac:dyDescent="0.3">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row>
    <row r="407" spans="1:30" ht="15.75" customHeight="1" x14ac:dyDescent="0.3">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row>
    <row r="408" spans="1:30" ht="15.75" customHeight="1" x14ac:dyDescent="0.3">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row>
    <row r="409" spans="1:30" ht="15.75" customHeight="1" x14ac:dyDescent="0.3">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row>
    <row r="410" spans="1:30" ht="15.75" customHeight="1" x14ac:dyDescent="0.3">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row>
    <row r="411" spans="1:30" ht="15.75" customHeight="1" x14ac:dyDescent="0.3">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row>
    <row r="412" spans="1:30" ht="15.75" customHeight="1" x14ac:dyDescent="0.3">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row>
    <row r="413" spans="1:30" ht="15.75" customHeight="1" x14ac:dyDescent="0.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row>
    <row r="414" spans="1:30" ht="15.75" customHeight="1" x14ac:dyDescent="0.3">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row>
    <row r="415" spans="1:30" ht="15.75" customHeight="1" x14ac:dyDescent="0.3">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row>
    <row r="416" spans="1:30" ht="15.75" customHeight="1" x14ac:dyDescent="0.3">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row>
    <row r="417" spans="1:30" ht="15.75" customHeight="1" x14ac:dyDescent="0.3">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row>
    <row r="418" spans="1:30" ht="15.75" customHeight="1" x14ac:dyDescent="0.3">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row>
    <row r="419" spans="1:30" ht="15.75" customHeight="1" x14ac:dyDescent="0.3">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row>
    <row r="420" spans="1:30" ht="15.75" customHeight="1" x14ac:dyDescent="0.3">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row>
    <row r="421" spans="1:30" ht="15.75" customHeight="1" x14ac:dyDescent="0.3">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row>
    <row r="422" spans="1:30" ht="15.75" customHeight="1" x14ac:dyDescent="0.3">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row>
    <row r="423" spans="1:30" ht="15.75" customHeight="1" x14ac:dyDescent="0.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row>
    <row r="424" spans="1:30" ht="15.75" customHeight="1" x14ac:dyDescent="0.3">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row>
    <row r="425" spans="1:30" ht="15.75" customHeight="1" x14ac:dyDescent="0.3">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row>
    <row r="426" spans="1:30" ht="15.75" customHeight="1" x14ac:dyDescent="0.3">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row>
    <row r="427" spans="1:30" ht="15.75" customHeight="1" x14ac:dyDescent="0.3">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row>
    <row r="428" spans="1:30" ht="15.75" customHeight="1" x14ac:dyDescent="0.3">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row>
    <row r="429" spans="1:30" ht="15.75" customHeight="1" x14ac:dyDescent="0.3">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row>
    <row r="430" spans="1:30" ht="15.75" customHeight="1" x14ac:dyDescent="0.3">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row>
    <row r="431" spans="1:30" ht="15.75" customHeight="1" x14ac:dyDescent="0.3">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row>
    <row r="432" spans="1:30" ht="15.75" customHeight="1" x14ac:dyDescent="0.3">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row>
    <row r="433" spans="1:30" ht="15.75" customHeight="1" x14ac:dyDescent="0.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row>
    <row r="434" spans="1:30" ht="15.75" customHeight="1" x14ac:dyDescent="0.3">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row>
    <row r="435" spans="1:30" ht="15.75" customHeight="1" x14ac:dyDescent="0.3">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row>
    <row r="436" spans="1:30" ht="15.75" customHeight="1" x14ac:dyDescent="0.3">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row>
    <row r="437" spans="1:30" ht="15.75" customHeight="1" x14ac:dyDescent="0.3">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row>
    <row r="438" spans="1:30" ht="15.75" customHeight="1" x14ac:dyDescent="0.3">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row>
    <row r="439" spans="1:30" ht="15.75" customHeight="1" x14ac:dyDescent="0.3">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row>
    <row r="440" spans="1:30" ht="15.75" customHeight="1" x14ac:dyDescent="0.3">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row>
    <row r="441" spans="1:30" ht="15.75" customHeight="1" x14ac:dyDescent="0.3">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row>
    <row r="442" spans="1:30" ht="15.75" customHeight="1" x14ac:dyDescent="0.3">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row>
    <row r="443" spans="1:30" ht="15.75" customHeight="1" x14ac:dyDescent="0.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row>
    <row r="444" spans="1:30" ht="15.75" customHeight="1" x14ac:dyDescent="0.3">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row>
    <row r="445" spans="1:30" ht="15.75" customHeight="1" x14ac:dyDescent="0.3">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row>
    <row r="446" spans="1:30" ht="15.75" customHeight="1" x14ac:dyDescent="0.3">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row>
    <row r="447" spans="1:30" ht="15.75" customHeight="1" x14ac:dyDescent="0.3">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row>
    <row r="448" spans="1:30" ht="15.75" customHeight="1" x14ac:dyDescent="0.3">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row>
    <row r="449" spans="1:30" ht="15.75" customHeight="1" x14ac:dyDescent="0.3">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row>
    <row r="450" spans="1:30" ht="15.75" customHeight="1" x14ac:dyDescent="0.3">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row>
    <row r="451" spans="1:30" ht="15.75" customHeight="1" x14ac:dyDescent="0.3">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row>
    <row r="452" spans="1:30" ht="15.75" customHeight="1" x14ac:dyDescent="0.3">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row>
    <row r="453" spans="1:30" ht="15.75" customHeight="1" x14ac:dyDescent="0.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row>
    <row r="454" spans="1:30" ht="15.75" customHeight="1" x14ac:dyDescent="0.3">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row>
    <row r="455" spans="1:30" ht="15.75" customHeight="1" x14ac:dyDescent="0.3">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row>
    <row r="456" spans="1:30" ht="15.75" customHeight="1" x14ac:dyDescent="0.3">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row>
    <row r="457" spans="1:30" ht="15.75" customHeight="1" x14ac:dyDescent="0.3">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row>
    <row r="458" spans="1:30" ht="15.75" customHeight="1" x14ac:dyDescent="0.3">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row>
    <row r="459" spans="1:30" ht="15.75" customHeight="1" x14ac:dyDescent="0.3">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row>
    <row r="460" spans="1:30" ht="15.75" customHeight="1" x14ac:dyDescent="0.3">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row>
    <row r="461" spans="1:30" ht="15.75" customHeight="1" x14ac:dyDescent="0.3">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row>
    <row r="462" spans="1:30" ht="15.75" customHeight="1" x14ac:dyDescent="0.3">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row>
    <row r="463" spans="1:30" ht="15.75" customHeight="1" x14ac:dyDescent="0.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row>
    <row r="464" spans="1:30" ht="15.75" customHeight="1" x14ac:dyDescent="0.3">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row>
    <row r="465" spans="1:30" ht="15.75" customHeight="1" x14ac:dyDescent="0.3">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row>
    <row r="466" spans="1:30" ht="15.75" customHeight="1" x14ac:dyDescent="0.3">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row>
    <row r="467" spans="1:30" ht="15.75" customHeight="1" x14ac:dyDescent="0.3">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row>
    <row r="468" spans="1:30" ht="15.75" customHeight="1" x14ac:dyDescent="0.3">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row>
    <row r="469" spans="1:30" ht="15.75" customHeight="1" x14ac:dyDescent="0.3">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row>
    <row r="470" spans="1:30" ht="15.75" customHeight="1" x14ac:dyDescent="0.3">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row>
    <row r="471" spans="1:30" ht="15.75" customHeight="1" x14ac:dyDescent="0.3">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row>
    <row r="472" spans="1:30" ht="15.75" customHeight="1" x14ac:dyDescent="0.3">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row>
    <row r="473" spans="1:30" ht="15.75" customHeight="1" x14ac:dyDescent="0.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row>
    <row r="474" spans="1:30" ht="15.75" customHeight="1" x14ac:dyDescent="0.3">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row>
    <row r="475" spans="1:30" ht="15.75" customHeight="1" x14ac:dyDescent="0.3">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row>
    <row r="476" spans="1:30" ht="15.75" customHeight="1" x14ac:dyDescent="0.3">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row>
    <row r="477" spans="1:30" ht="15.75" customHeight="1" x14ac:dyDescent="0.3">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row>
    <row r="478" spans="1:30" ht="15.75" customHeight="1" x14ac:dyDescent="0.3">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row>
    <row r="479" spans="1:30" ht="15.75" customHeight="1" x14ac:dyDescent="0.3">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row>
    <row r="480" spans="1:30" ht="15.75" customHeight="1" x14ac:dyDescent="0.3">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row>
    <row r="481" spans="1:30" ht="15.75" customHeight="1" x14ac:dyDescent="0.3">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row>
    <row r="482" spans="1:30" ht="15.75" customHeight="1" x14ac:dyDescent="0.3">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row>
    <row r="483" spans="1:30" ht="15.75" customHeight="1" x14ac:dyDescent="0.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row>
    <row r="484" spans="1:30" ht="15.75" customHeight="1" x14ac:dyDescent="0.3">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row>
    <row r="485" spans="1:30" ht="15.75" customHeight="1" x14ac:dyDescent="0.3">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row>
    <row r="486" spans="1:30" ht="15.75" customHeight="1" x14ac:dyDescent="0.3">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row>
    <row r="487" spans="1:30" ht="15.75" customHeight="1" x14ac:dyDescent="0.3">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row>
    <row r="488" spans="1:30" ht="15.75" customHeight="1" x14ac:dyDescent="0.3">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row>
    <row r="489" spans="1:30" ht="15.75" customHeight="1" x14ac:dyDescent="0.3">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row>
    <row r="490" spans="1:30" ht="15.75" customHeight="1" x14ac:dyDescent="0.3">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row>
    <row r="491" spans="1:30" ht="15.75" customHeight="1" x14ac:dyDescent="0.3">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row>
    <row r="492" spans="1:30" ht="15.75" customHeight="1" x14ac:dyDescent="0.3">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row>
    <row r="493" spans="1:30" ht="15.75" customHeight="1" x14ac:dyDescent="0.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row>
    <row r="494" spans="1:30" ht="15.75" customHeight="1" x14ac:dyDescent="0.3">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row>
    <row r="495" spans="1:30" ht="15.75" customHeight="1" x14ac:dyDescent="0.3">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row>
    <row r="496" spans="1:30" ht="15.75" customHeight="1" x14ac:dyDescent="0.3">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row>
    <row r="497" spans="1:30" ht="15.75" customHeight="1" x14ac:dyDescent="0.3">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row>
    <row r="498" spans="1:30" ht="15.75" customHeight="1" x14ac:dyDescent="0.3">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row>
    <row r="499" spans="1:30" ht="15.75" customHeight="1" x14ac:dyDescent="0.3">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row>
    <row r="500" spans="1:30" ht="15.75" customHeight="1" x14ac:dyDescent="0.3">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row>
    <row r="501" spans="1:30" ht="15.75" customHeight="1" x14ac:dyDescent="0.3">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row>
    <row r="502" spans="1:30" ht="15.75" customHeight="1" x14ac:dyDescent="0.3">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row>
    <row r="503" spans="1:30" ht="15.75" customHeight="1" x14ac:dyDescent="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row>
    <row r="504" spans="1:30" ht="15.75" customHeight="1" x14ac:dyDescent="0.3">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row>
    <row r="505" spans="1:30" ht="15.75" customHeight="1" x14ac:dyDescent="0.3">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row>
    <row r="506" spans="1:30" ht="15.75" customHeight="1" x14ac:dyDescent="0.3">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row>
    <row r="507" spans="1:30" ht="15.75" customHeight="1" x14ac:dyDescent="0.3">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row>
    <row r="508" spans="1:30" ht="15.75" customHeight="1" x14ac:dyDescent="0.3">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row>
    <row r="509" spans="1:30" ht="15.75" customHeight="1" x14ac:dyDescent="0.3">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row>
    <row r="510" spans="1:30" ht="15.75" customHeight="1" x14ac:dyDescent="0.3">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row>
    <row r="511" spans="1:30" ht="15.75" customHeight="1" x14ac:dyDescent="0.3">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row>
    <row r="512" spans="1:30" ht="15.75" customHeight="1" x14ac:dyDescent="0.3">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row>
    <row r="513" spans="1:30" ht="15.75" customHeight="1" x14ac:dyDescent="0.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row>
    <row r="514" spans="1:30" ht="15.75" customHeight="1" x14ac:dyDescent="0.3">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row>
    <row r="515" spans="1:30" ht="15.75" customHeight="1" x14ac:dyDescent="0.3">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row>
    <row r="516" spans="1:30" ht="15.75" customHeight="1" x14ac:dyDescent="0.3">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row>
    <row r="517" spans="1:30" ht="15.75" customHeight="1" x14ac:dyDescent="0.3">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row>
    <row r="518" spans="1:30" ht="15.75" customHeight="1" x14ac:dyDescent="0.3">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row>
    <row r="519" spans="1:30" ht="15.75" customHeight="1" x14ac:dyDescent="0.3">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row>
    <row r="520" spans="1:30" ht="15.75" customHeight="1" x14ac:dyDescent="0.3">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row>
    <row r="521" spans="1:30" ht="15.75" customHeight="1" x14ac:dyDescent="0.3">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row>
    <row r="522" spans="1:30" ht="15.75" customHeight="1" x14ac:dyDescent="0.3">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row>
    <row r="523" spans="1:30" ht="15.75" customHeight="1" x14ac:dyDescent="0.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row>
    <row r="524" spans="1:30" ht="15.75" customHeight="1" x14ac:dyDescent="0.3">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row>
    <row r="525" spans="1:30" ht="15.75" customHeight="1" x14ac:dyDescent="0.3">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row>
    <row r="526" spans="1:30" ht="15.75" customHeight="1" x14ac:dyDescent="0.3">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row>
    <row r="527" spans="1:30" ht="15.75" customHeight="1" x14ac:dyDescent="0.3">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row>
    <row r="528" spans="1:30" ht="15.75" customHeight="1" x14ac:dyDescent="0.3">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row>
    <row r="529" spans="1:30" ht="15.75" customHeight="1" x14ac:dyDescent="0.3">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row>
    <row r="530" spans="1:30" ht="15.75" customHeight="1" x14ac:dyDescent="0.3">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row>
    <row r="531" spans="1:30" ht="15.75" customHeight="1" x14ac:dyDescent="0.3">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row>
    <row r="532" spans="1:30" ht="15.75" customHeight="1" x14ac:dyDescent="0.3">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row>
    <row r="533" spans="1:30" ht="15.75" customHeight="1" x14ac:dyDescent="0.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row>
    <row r="534" spans="1:30" ht="15.75" customHeight="1" x14ac:dyDescent="0.3">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row>
    <row r="535" spans="1:30" ht="15.75" customHeight="1" x14ac:dyDescent="0.3">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row>
    <row r="536" spans="1:30" ht="15.75" customHeight="1" x14ac:dyDescent="0.3">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row>
    <row r="537" spans="1:30" ht="15.75" customHeight="1" x14ac:dyDescent="0.3">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row>
    <row r="538" spans="1:30" ht="15.75" customHeight="1" x14ac:dyDescent="0.3">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row>
    <row r="539" spans="1:30" ht="15.75" customHeight="1" x14ac:dyDescent="0.3">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row>
    <row r="540" spans="1:30" ht="15.75" customHeight="1" x14ac:dyDescent="0.3">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row>
    <row r="541" spans="1:30" ht="15.75" customHeight="1" x14ac:dyDescent="0.3">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row>
    <row r="542" spans="1:30" ht="15.75" customHeight="1" x14ac:dyDescent="0.3">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row>
    <row r="543" spans="1:30" ht="15.75" customHeight="1" x14ac:dyDescent="0.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row>
    <row r="544" spans="1:30" ht="15.75" customHeight="1" x14ac:dyDescent="0.3">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row>
    <row r="545" spans="1:30" ht="15.75" customHeight="1" x14ac:dyDescent="0.3">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row>
    <row r="546" spans="1:30" ht="15.75" customHeight="1" x14ac:dyDescent="0.3">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row>
    <row r="547" spans="1:30" ht="15.75" customHeight="1" x14ac:dyDescent="0.3">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row>
    <row r="548" spans="1:30" ht="15.75" customHeight="1" x14ac:dyDescent="0.3">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row>
    <row r="549" spans="1:30" ht="15.75" customHeight="1" x14ac:dyDescent="0.3">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row>
    <row r="550" spans="1:30" ht="15.75" customHeight="1" x14ac:dyDescent="0.3">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row>
    <row r="551" spans="1:30" ht="15.75" customHeight="1" x14ac:dyDescent="0.3">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row>
    <row r="552" spans="1:30" ht="15.75" customHeight="1" x14ac:dyDescent="0.3">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row>
    <row r="553" spans="1:30" ht="15.75" customHeight="1" x14ac:dyDescent="0.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row>
    <row r="554" spans="1:30" ht="15.75" customHeight="1" x14ac:dyDescent="0.3">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row>
    <row r="555" spans="1:30" ht="15.75" customHeight="1" x14ac:dyDescent="0.3">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row>
    <row r="556" spans="1:30" ht="15.75" customHeight="1" x14ac:dyDescent="0.3">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row>
    <row r="557" spans="1:30" ht="15.75" customHeight="1" x14ac:dyDescent="0.3">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row>
    <row r="558" spans="1:30" ht="15.75" customHeight="1" x14ac:dyDescent="0.3">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row>
    <row r="559" spans="1:30" ht="15.75" customHeight="1" x14ac:dyDescent="0.3">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row>
    <row r="560" spans="1:30" ht="15.75" customHeight="1" x14ac:dyDescent="0.3">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row>
    <row r="561" spans="1:30" ht="15.75" customHeight="1" x14ac:dyDescent="0.3">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row>
    <row r="562" spans="1:30" ht="15.75" customHeight="1" x14ac:dyDescent="0.3">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row>
    <row r="563" spans="1:30" ht="15.75" customHeight="1" x14ac:dyDescent="0.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row>
    <row r="564" spans="1:30" ht="15.75" customHeight="1" x14ac:dyDescent="0.3">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row>
    <row r="565" spans="1:30" ht="15.75" customHeight="1" x14ac:dyDescent="0.3">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row>
    <row r="566" spans="1:30" ht="15.75" customHeight="1" x14ac:dyDescent="0.3">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row>
    <row r="567" spans="1:30" ht="15.75" customHeight="1" x14ac:dyDescent="0.3">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row>
    <row r="568" spans="1:30" ht="15.75" customHeight="1" x14ac:dyDescent="0.3">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row>
    <row r="569" spans="1:30" ht="15.75" customHeight="1" x14ac:dyDescent="0.3">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row>
    <row r="570" spans="1:30" ht="15.75" customHeight="1" x14ac:dyDescent="0.3">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row>
    <row r="571" spans="1:30" ht="15.75" customHeight="1" x14ac:dyDescent="0.3">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row>
    <row r="572" spans="1:30" ht="15.75" customHeight="1" x14ac:dyDescent="0.3">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row>
    <row r="573" spans="1:30" ht="15.75" customHeight="1" x14ac:dyDescent="0.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row>
    <row r="574" spans="1:30" ht="15.75" customHeight="1" x14ac:dyDescent="0.3">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row>
    <row r="575" spans="1:30" ht="15.75" customHeight="1" x14ac:dyDescent="0.3">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row>
    <row r="576" spans="1:30" ht="15.75" customHeight="1" x14ac:dyDescent="0.3">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row>
    <row r="577" spans="1:30" ht="15.75" customHeight="1" x14ac:dyDescent="0.3">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row>
    <row r="578" spans="1:30" ht="15.75" customHeight="1" x14ac:dyDescent="0.3">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row>
    <row r="579" spans="1:30" ht="15.75" customHeight="1" x14ac:dyDescent="0.3">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row>
    <row r="580" spans="1:30" ht="15.75" customHeight="1" x14ac:dyDescent="0.3">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row>
    <row r="581" spans="1:30" ht="15.75" customHeight="1" x14ac:dyDescent="0.3">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row>
    <row r="582" spans="1:30" ht="15.75" customHeight="1" x14ac:dyDescent="0.3">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row>
    <row r="583" spans="1:30" ht="15.75" customHeight="1" x14ac:dyDescent="0.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row>
    <row r="584" spans="1:30" ht="15.75" customHeight="1" x14ac:dyDescent="0.3">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row>
    <row r="585" spans="1:30" ht="15.75" customHeight="1" x14ac:dyDescent="0.3">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row>
    <row r="586" spans="1:30" ht="15.75" customHeight="1" x14ac:dyDescent="0.3">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row>
    <row r="587" spans="1:30" ht="15.75" customHeight="1" x14ac:dyDescent="0.3">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row>
    <row r="588" spans="1:30" ht="15.75" customHeight="1" x14ac:dyDescent="0.3">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row>
    <row r="589" spans="1:30" ht="15.75" customHeight="1" x14ac:dyDescent="0.3">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row>
    <row r="590" spans="1:30" ht="15.75" customHeight="1" x14ac:dyDescent="0.3">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row>
    <row r="591" spans="1:30" ht="15.75" customHeight="1" x14ac:dyDescent="0.3">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row>
    <row r="592" spans="1:30" ht="15.75" customHeight="1" x14ac:dyDescent="0.3">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row>
    <row r="593" spans="1:30" ht="15.75" customHeight="1" x14ac:dyDescent="0.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row>
    <row r="594" spans="1:30" ht="15.75" customHeight="1" x14ac:dyDescent="0.3">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row>
    <row r="595" spans="1:30" ht="15.75" customHeight="1" x14ac:dyDescent="0.3">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row>
    <row r="596" spans="1:30" ht="15.75" customHeight="1" x14ac:dyDescent="0.3">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row>
    <row r="597" spans="1:30" ht="15.75" customHeight="1" x14ac:dyDescent="0.3">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row>
    <row r="598" spans="1:30" ht="15.75" customHeight="1" x14ac:dyDescent="0.3">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row>
    <row r="599" spans="1:30" ht="15.75" customHeight="1" x14ac:dyDescent="0.3">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row>
    <row r="600" spans="1:30" ht="15.75" customHeight="1" x14ac:dyDescent="0.3">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row>
    <row r="601" spans="1:30" ht="15.75" customHeight="1" x14ac:dyDescent="0.3">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row>
    <row r="602" spans="1:30" ht="15.75" customHeight="1" x14ac:dyDescent="0.3">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row>
    <row r="603" spans="1:30" ht="15.75" customHeight="1" x14ac:dyDescent="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row>
    <row r="604" spans="1:30" ht="15.75" customHeight="1" x14ac:dyDescent="0.3">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row>
    <row r="605" spans="1:30" ht="15.75" customHeight="1" x14ac:dyDescent="0.3">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row>
    <row r="606" spans="1:30" ht="15.75" customHeight="1" x14ac:dyDescent="0.3">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row>
    <row r="607" spans="1:30" ht="15.75" customHeight="1" x14ac:dyDescent="0.3">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row>
    <row r="608" spans="1:30" ht="15.75" customHeight="1" x14ac:dyDescent="0.3">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row>
    <row r="609" spans="1:30" ht="15.75" customHeight="1" x14ac:dyDescent="0.3">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row>
    <row r="610" spans="1:30" ht="15.75" customHeight="1" x14ac:dyDescent="0.3">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row>
    <row r="611" spans="1:30" ht="15.75" customHeight="1" x14ac:dyDescent="0.3">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row>
    <row r="612" spans="1:30" ht="15.75" customHeight="1" x14ac:dyDescent="0.3">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row>
    <row r="613" spans="1:30" ht="15.75" customHeight="1" x14ac:dyDescent="0.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row>
    <row r="614" spans="1:30" ht="15.75" customHeight="1" x14ac:dyDescent="0.3">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row>
    <row r="615" spans="1:30" ht="15.75" customHeight="1" x14ac:dyDescent="0.3">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row>
    <row r="616" spans="1:30" ht="15.75" customHeight="1" x14ac:dyDescent="0.3">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row>
    <row r="617" spans="1:30" ht="15.75" customHeight="1" x14ac:dyDescent="0.3">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row>
    <row r="618" spans="1:30" ht="15.75" customHeight="1" x14ac:dyDescent="0.3">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row>
    <row r="619" spans="1:30" ht="15.75" customHeight="1" x14ac:dyDescent="0.3">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row>
    <row r="620" spans="1:30" ht="15.75" customHeight="1" x14ac:dyDescent="0.3">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row>
    <row r="621" spans="1:30" ht="15.75" customHeight="1" x14ac:dyDescent="0.3">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row>
    <row r="622" spans="1:30" ht="15.75" customHeight="1" x14ac:dyDescent="0.3">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row>
    <row r="623" spans="1:30" ht="15.75" customHeight="1" x14ac:dyDescent="0.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row>
    <row r="624" spans="1:30" ht="15.75" customHeight="1" x14ac:dyDescent="0.3">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row>
    <row r="625" spans="1:30" ht="15.75" customHeight="1" x14ac:dyDescent="0.3">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row>
    <row r="626" spans="1:30" ht="15.75" customHeight="1" x14ac:dyDescent="0.3">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row>
    <row r="627" spans="1:30" ht="15.75" customHeight="1" x14ac:dyDescent="0.3">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row>
    <row r="628" spans="1:30" ht="15.75" customHeight="1" x14ac:dyDescent="0.3">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row>
    <row r="629" spans="1:30" ht="15.75" customHeight="1" x14ac:dyDescent="0.3">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row>
    <row r="630" spans="1:30" ht="15.75" customHeight="1" x14ac:dyDescent="0.3">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row>
    <row r="631" spans="1:30" ht="15.75" customHeight="1" x14ac:dyDescent="0.3">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row>
    <row r="632" spans="1:30" ht="15.75" customHeight="1" x14ac:dyDescent="0.3">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row>
    <row r="633" spans="1:30" ht="15.75" customHeight="1" x14ac:dyDescent="0.3">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row>
    <row r="634" spans="1:30" ht="15.75" customHeight="1" x14ac:dyDescent="0.3">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row>
    <row r="635" spans="1:30" ht="15.75" customHeight="1" x14ac:dyDescent="0.3">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row>
    <row r="636" spans="1:30" ht="15.75" customHeight="1" x14ac:dyDescent="0.3">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row>
    <row r="637" spans="1:30" ht="15.75" customHeight="1" x14ac:dyDescent="0.3">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row>
    <row r="638" spans="1:30" ht="15.75" customHeight="1" x14ac:dyDescent="0.3">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row>
    <row r="639" spans="1:30" ht="15.75" customHeight="1" x14ac:dyDescent="0.3">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row>
    <row r="640" spans="1:30" ht="15.75" customHeight="1" x14ac:dyDescent="0.3">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row>
    <row r="641" spans="1:30" ht="15.75" customHeight="1" x14ac:dyDescent="0.3">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row>
    <row r="642" spans="1:30" ht="15.75" customHeight="1" x14ac:dyDescent="0.3">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row>
    <row r="643" spans="1:30" ht="15.75" customHeight="1" x14ac:dyDescent="0.3">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row>
    <row r="644" spans="1:30" ht="15.75" customHeight="1" x14ac:dyDescent="0.3">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row>
    <row r="645" spans="1:30" ht="15.75" customHeight="1" x14ac:dyDescent="0.3">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row>
    <row r="646" spans="1:30" ht="15.75" customHeight="1" x14ac:dyDescent="0.3">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row>
    <row r="647" spans="1:30" ht="15.75" customHeight="1" x14ac:dyDescent="0.3">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row>
    <row r="648" spans="1:30" ht="15.75" customHeight="1" x14ac:dyDescent="0.3">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row>
    <row r="649" spans="1:30" ht="15.75" customHeight="1" x14ac:dyDescent="0.3">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row>
    <row r="650" spans="1:30" ht="15.75" customHeight="1" x14ac:dyDescent="0.3">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row>
    <row r="651" spans="1:30" ht="15.75" customHeight="1" x14ac:dyDescent="0.3">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row>
    <row r="652" spans="1:30" ht="15.75" customHeight="1" x14ac:dyDescent="0.3">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row>
    <row r="653" spans="1:30" ht="15.75" customHeight="1" x14ac:dyDescent="0.3">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row>
    <row r="654" spans="1:30" ht="15.75" customHeight="1" x14ac:dyDescent="0.3">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row>
    <row r="655" spans="1:30" ht="15.75" customHeight="1" x14ac:dyDescent="0.3">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row>
    <row r="656" spans="1:30" ht="15.75" customHeight="1" x14ac:dyDescent="0.3">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row>
    <row r="657" spans="1:30" ht="15.75" customHeight="1" x14ac:dyDescent="0.3">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row>
    <row r="658" spans="1:30" ht="15.75" customHeight="1" x14ac:dyDescent="0.3">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row>
    <row r="659" spans="1:30" ht="15.75" customHeight="1" x14ac:dyDescent="0.3">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row>
    <row r="660" spans="1:30" ht="15.75" customHeight="1" x14ac:dyDescent="0.3">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row>
    <row r="661" spans="1:30" ht="15.75" customHeight="1" x14ac:dyDescent="0.3">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row>
    <row r="662" spans="1:30" ht="15.75" customHeight="1" x14ac:dyDescent="0.3">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row>
    <row r="663" spans="1:30" ht="15.75" customHeight="1" x14ac:dyDescent="0.3">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row>
    <row r="664" spans="1:30" ht="15.75" customHeight="1" x14ac:dyDescent="0.3">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row>
    <row r="665" spans="1:30" ht="15.75" customHeight="1" x14ac:dyDescent="0.3">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row>
    <row r="666" spans="1:30" ht="15.75" customHeight="1" x14ac:dyDescent="0.3">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row>
    <row r="667" spans="1:30" ht="15.75" customHeight="1" x14ac:dyDescent="0.3">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row>
    <row r="668" spans="1:30" ht="15.75" customHeight="1" x14ac:dyDescent="0.3">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row>
    <row r="669" spans="1:30" ht="15.75" customHeight="1" x14ac:dyDescent="0.3">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row>
    <row r="670" spans="1:30" ht="15.75" customHeight="1" x14ac:dyDescent="0.3">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row>
    <row r="671" spans="1:30" ht="15.75" customHeight="1" x14ac:dyDescent="0.3">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row>
    <row r="672" spans="1:30" ht="15.75" customHeight="1" x14ac:dyDescent="0.3">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row>
    <row r="673" spans="1:30" ht="15.75" customHeight="1" x14ac:dyDescent="0.3">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row>
    <row r="674" spans="1:30" ht="15.75" customHeight="1" x14ac:dyDescent="0.3">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row>
    <row r="675" spans="1:30" ht="15.75" customHeight="1" x14ac:dyDescent="0.3">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row>
    <row r="676" spans="1:30" ht="15.75" customHeight="1" x14ac:dyDescent="0.3">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row>
    <row r="677" spans="1:30" ht="15.75" customHeight="1" x14ac:dyDescent="0.3">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row>
    <row r="678" spans="1:30" ht="15.75" customHeight="1" x14ac:dyDescent="0.3">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row>
    <row r="679" spans="1:30" ht="15.75" customHeight="1" x14ac:dyDescent="0.3">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row>
    <row r="680" spans="1:30" ht="15.75" customHeight="1" x14ac:dyDescent="0.3">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row>
    <row r="681" spans="1:30" ht="15.75" customHeight="1" x14ac:dyDescent="0.3">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row>
    <row r="682" spans="1:30" ht="15.75" customHeight="1" x14ac:dyDescent="0.3">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row>
    <row r="683" spans="1:30" ht="15.75" customHeight="1" x14ac:dyDescent="0.3">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row>
    <row r="684" spans="1:30" ht="15.75" customHeight="1" x14ac:dyDescent="0.3">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row>
    <row r="685" spans="1:30" ht="15.75" customHeight="1" x14ac:dyDescent="0.3">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row>
    <row r="686" spans="1:30" ht="15.75" customHeight="1" x14ac:dyDescent="0.3">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row>
    <row r="687" spans="1:30" ht="15.75" customHeight="1" x14ac:dyDescent="0.3">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row>
    <row r="688" spans="1:30" ht="15.75" customHeight="1" x14ac:dyDescent="0.3">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row>
    <row r="689" spans="1:30" ht="15.75" customHeight="1" x14ac:dyDescent="0.3">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row>
    <row r="690" spans="1:30" ht="15.75" customHeight="1" x14ac:dyDescent="0.3">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row>
    <row r="691" spans="1:30" ht="15.75" customHeight="1" x14ac:dyDescent="0.3">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row>
    <row r="692" spans="1:30" ht="15.75" customHeight="1" x14ac:dyDescent="0.3">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row>
    <row r="693" spans="1:30" ht="15.75" customHeight="1" x14ac:dyDescent="0.3">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row>
    <row r="694" spans="1:30" ht="15.75" customHeight="1" x14ac:dyDescent="0.3">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row>
    <row r="695" spans="1:30" ht="15.75" customHeight="1" x14ac:dyDescent="0.3">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row>
    <row r="696" spans="1:30" ht="15.75" customHeight="1" x14ac:dyDescent="0.3">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row>
    <row r="697" spans="1:30" ht="15.75" customHeight="1" x14ac:dyDescent="0.3">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row>
    <row r="698" spans="1:30" ht="15.75" customHeight="1" x14ac:dyDescent="0.3">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row>
    <row r="699" spans="1:30" ht="15.75" customHeight="1" x14ac:dyDescent="0.3">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row>
    <row r="700" spans="1:30" ht="15.75" customHeight="1" x14ac:dyDescent="0.3">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row>
    <row r="701" spans="1:30" ht="15.75" customHeight="1" x14ac:dyDescent="0.3">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row>
    <row r="702" spans="1:30" ht="15.75" customHeight="1" x14ac:dyDescent="0.3">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row>
    <row r="703" spans="1:30" ht="15.75" customHeight="1" x14ac:dyDescent="0.3">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row>
    <row r="704" spans="1:30" ht="15.75" customHeight="1" x14ac:dyDescent="0.3">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row>
    <row r="705" spans="1:30" ht="15.75" customHeight="1" x14ac:dyDescent="0.3">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row>
    <row r="706" spans="1:30" ht="15.75" customHeight="1" x14ac:dyDescent="0.3">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row>
    <row r="707" spans="1:30" ht="15.75" customHeight="1" x14ac:dyDescent="0.3">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row>
    <row r="708" spans="1:30" ht="15.75" customHeight="1" x14ac:dyDescent="0.3">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row>
    <row r="709" spans="1:30" ht="15.75" customHeight="1" x14ac:dyDescent="0.3">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row>
    <row r="710" spans="1:30" ht="15.75" customHeight="1" x14ac:dyDescent="0.3">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row>
    <row r="711" spans="1:30" ht="15.75" customHeight="1" x14ac:dyDescent="0.3">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row>
    <row r="712" spans="1:30" ht="15.75" customHeight="1" x14ac:dyDescent="0.3">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row>
    <row r="713" spans="1:30" ht="15.75" customHeight="1" x14ac:dyDescent="0.3">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row>
    <row r="714" spans="1:30" ht="15.75" customHeight="1" x14ac:dyDescent="0.3">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row>
    <row r="715" spans="1:30" ht="15.75" customHeight="1" x14ac:dyDescent="0.3">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row>
    <row r="716" spans="1:30" ht="15.75" customHeight="1" x14ac:dyDescent="0.3">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row>
    <row r="717" spans="1:30" ht="15.75" customHeight="1" x14ac:dyDescent="0.3">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row>
    <row r="718" spans="1:30" ht="15.75" customHeight="1" x14ac:dyDescent="0.3">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row>
    <row r="719" spans="1:30" ht="15.75" customHeight="1" x14ac:dyDescent="0.3">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row>
    <row r="720" spans="1:30" ht="15.75" customHeight="1" x14ac:dyDescent="0.3">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row>
    <row r="721" spans="1:30" ht="15.75" customHeight="1" x14ac:dyDescent="0.3">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row>
    <row r="722" spans="1:30" ht="15.75" customHeight="1" x14ac:dyDescent="0.3">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row>
    <row r="723" spans="1:30" ht="15.75" customHeight="1" x14ac:dyDescent="0.3">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row>
    <row r="724" spans="1:30" ht="15.75" customHeight="1" x14ac:dyDescent="0.3">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row>
    <row r="725" spans="1:30" ht="15.75" customHeight="1" x14ac:dyDescent="0.3">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row>
    <row r="726" spans="1:30" ht="15.75" customHeight="1" x14ac:dyDescent="0.3">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row>
    <row r="727" spans="1:30" ht="15.75" customHeight="1" x14ac:dyDescent="0.3">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row>
    <row r="728" spans="1:30" ht="15.75" customHeight="1" x14ac:dyDescent="0.3">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row>
    <row r="729" spans="1:30" ht="15.75" customHeight="1" x14ac:dyDescent="0.3">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row>
    <row r="730" spans="1:30" ht="15.75" customHeight="1" x14ac:dyDescent="0.3">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row>
    <row r="731" spans="1:30" ht="15.75" customHeight="1" x14ac:dyDescent="0.3">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row>
    <row r="732" spans="1:30" ht="15.75" customHeight="1" x14ac:dyDescent="0.3">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row>
    <row r="733" spans="1:30" ht="15.75" customHeight="1" x14ac:dyDescent="0.3">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row>
    <row r="734" spans="1:30" ht="15.75" customHeight="1" x14ac:dyDescent="0.3">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row>
    <row r="735" spans="1:30" ht="15.75" customHeight="1" x14ac:dyDescent="0.3">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row>
    <row r="736" spans="1:30" ht="15.75" customHeight="1" x14ac:dyDescent="0.3">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row>
    <row r="737" spans="1:30" ht="15.75" customHeight="1" x14ac:dyDescent="0.3">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row>
    <row r="738" spans="1:30" ht="15.75" customHeight="1" x14ac:dyDescent="0.3">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row>
    <row r="739" spans="1:30" ht="15.75" customHeight="1" x14ac:dyDescent="0.3">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row>
    <row r="740" spans="1:30" ht="15.75" customHeight="1" x14ac:dyDescent="0.3">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row>
    <row r="741" spans="1:30" ht="15.75" customHeight="1" x14ac:dyDescent="0.3">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row>
    <row r="742" spans="1:30" ht="15.75" customHeight="1" x14ac:dyDescent="0.3">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row>
    <row r="743" spans="1:30" ht="15.75" customHeight="1" x14ac:dyDescent="0.3">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row>
    <row r="744" spans="1:30" ht="15.75" customHeight="1" x14ac:dyDescent="0.3">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row>
    <row r="745" spans="1:30" ht="15.75" customHeight="1" x14ac:dyDescent="0.3">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row>
    <row r="746" spans="1:30" ht="15.75" customHeight="1" x14ac:dyDescent="0.3">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row>
    <row r="747" spans="1:30" ht="15.75" customHeight="1" x14ac:dyDescent="0.3">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row>
    <row r="748" spans="1:30" ht="15.75" customHeight="1" x14ac:dyDescent="0.3">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row>
    <row r="749" spans="1:30" ht="15.75" customHeight="1" x14ac:dyDescent="0.3">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row>
    <row r="750" spans="1:30" ht="15.75" customHeight="1" x14ac:dyDescent="0.3">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row>
    <row r="751" spans="1:30" ht="15.75" customHeight="1" x14ac:dyDescent="0.3">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row>
    <row r="752" spans="1:30" ht="15.75" customHeight="1" x14ac:dyDescent="0.3">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row>
    <row r="753" spans="1:30" ht="15.75" customHeight="1" x14ac:dyDescent="0.3">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row>
    <row r="754" spans="1:30" ht="15.75" customHeight="1" x14ac:dyDescent="0.3">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row>
    <row r="755" spans="1:30" ht="15.75" customHeight="1" x14ac:dyDescent="0.3">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row>
    <row r="756" spans="1:30" ht="15.75" customHeight="1" x14ac:dyDescent="0.3">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row>
    <row r="757" spans="1:30" ht="15.75" customHeight="1" x14ac:dyDescent="0.3">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row>
    <row r="758" spans="1:30" ht="15.75" customHeight="1" x14ac:dyDescent="0.3">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row>
    <row r="759" spans="1:30" ht="15.75" customHeight="1" x14ac:dyDescent="0.3">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row>
    <row r="760" spans="1:30" ht="15.75" customHeight="1" x14ac:dyDescent="0.3">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row>
    <row r="761" spans="1:30" ht="15.75" customHeight="1" x14ac:dyDescent="0.3">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row>
    <row r="762" spans="1:30" ht="15.75" customHeight="1" x14ac:dyDescent="0.3">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row>
    <row r="763" spans="1:30" ht="15.75" customHeight="1" x14ac:dyDescent="0.3">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row>
    <row r="764" spans="1:30" ht="15.75" customHeight="1" x14ac:dyDescent="0.3">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row>
    <row r="765" spans="1:30" ht="15.75" customHeight="1" x14ac:dyDescent="0.3">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row>
    <row r="766" spans="1:30" ht="15.75" customHeight="1" x14ac:dyDescent="0.3">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row>
    <row r="767" spans="1:30" ht="15.75" customHeight="1" x14ac:dyDescent="0.3">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row>
    <row r="768" spans="1:30" ht="15.75" customHeight="1" x14ac:dyDescent="0.3">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row>
    <row r="769" spans="1:30" ht="15.75" customHeight="1" x14ac:dyDescent="0.3">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row>
    <row r="770" spans="1:30" ht="15.75" customHeight="1" x14ac:dyDescent="0.3">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row>
    <row r="771" spans="1:30" ht="15.75" customHeight="1" x14ac:dyDescent="0.3">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row>
    <row r="772" spans="1:30" ht="15.75" customHeight="1" x14ac:dyDescent="0.3">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row>
    <row r="773" spans="1:30" ht="15.75" customHeight="1" x14ac:dyDescent="0.3">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row>
    <row r="774" spans="1:30" ht="15.75" customHeight="1" x14ac:dyDescent="0.3">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row>
    <row r="775" spans="1:30" ht="15.75" customHeight="1" x14ac:dyDescent="0.3">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row>
    <row r="776" spans="1:30" ht="15.75" customHeight="1" x14ac:dyDescent="0.3">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row>
    <row r="777" spans="1:30" ht="15.75" customHeight="1" x14ac:dyDescent="0.3">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row>
    <row r="778" spans="1:30" ht="15.75" customHeight="1" x14ac:dyDescent="0.3">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row>
    <row r="779" spans="1:30" ht="15.75" customHeight="1" x14ac:dyDescent="0.3">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row>
    <row r="780" spans="1:30" ht="15.75" customHeight="1" x14ac:dyDescent="0.3">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row>
    <row r="781" spans="1:30" ht="15.75" customHeight="1" x14ac:dyDescent="0.3">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row>
    <row r="782" spans="1:30" ht="15.75" customHeight="1" x14ac:dyDescent="0.3">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row>
    <row r="783" spans="1:30" ht="15.75" customHeight="1" x14ac:dyDescent="0.3">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row>
    <row r="784" spans="1:30" ht="15.75" customHeight="1" x14ac:dyDescent="0.3">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row>
    <row r="785" spans="1:30" ht="15.75" customHeight="1" x14ac:dyDescent="0.3">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row>
    <row r="786" spans="1:30" ht="15.75" customHeight="1" x14ac:dyDescent="0.3">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row>
    <row r="787" spans="1:30" ht="15.75" customHeight="1" x14ac:dyDescent="0.3">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row>
    <row r="788" spans="1:30" ht="15.75" customHeight="1" x14ac:dyDescent="0.3">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row>
    <row r="789" spans="1:30" ht="15.75" customHeight="1" x14ac:dyDescent="0.3">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row>
    <row r="790" spans="1:30" ht="15.75" customHeight="1" x14ac:dyDescent="0.3">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row>
    <row r="791" spans="1:30" ht="15.75" customHeight="1" x14ac:dyDescent="0.3">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row>
    <row r="792" spans="1:30" ht="15.75" customHeight="1" x14ac:dyDescent="0.3">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row>
    <row r="793" spans="1:30" ht="15.75" customHeight="1" x14ac:dyDescent="0.3">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row>
    <row r="794" spans="1:30" ht="15.75" customHeight="1" x14ac:dyDescent="0.3">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row>
    <row r="795" spans="1:30" ht="15.75" customHeight="1" x14ac:dyDescent="0.3">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row>
    <row r="796" spans="1:30" ht="15.75" customHeight="1" x14ac:dyDescent="0.3">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row>
    <row r="797" spans="1:30" ht="15.75" customHeight="1" x14ac:dyDescent="0.3">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row>
    <row r="798" spans="1:30" ht="15.75" customHeight="1" x14ac:dyDescent="0.3">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row>
    <row r="799" spans="1:30" ht="15.75" customHeight="1" x14ac:dyDescent="0.3">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row>
    <row r="800" spans="1:30" ht="15.75" customHeight="1" x14ac:dyDescent="0.3">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row>
    <row r="801" spans="1:30" ht="15.75" customHeight="1" x14ac:dyDescent="0.3">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row>
    <row r="802" spans="1:30" ht="15.75" customHeight="1" x14ac:dyDescent="0.3">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row>
    <row r="803" spans="1:30" ht="15.75" customHeight="1" x14ac:dyDescent="0.3">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row>
    <row r="804" spans="1:30" ht="15.75" customHeight="1" x14ac:dyDescent="0.3">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row>
    <row r="805" spans="1:30" ht="15.75" customHeight="1" x14ac:dyDescent="0.3">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row>
    <row r="806" spans="1:30" ht="15.75" customHeight="1" x14ac:dyDescent="0.3">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row>
    <row r="807" spans="1:30" ht="15.75" customHeight="1" x14ac:dyDescent="0.3">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row>
    <row r="808" spans="1:30" ht="15.75" customHeight="1" x14ac:dyDescent="0.3">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row>
    <row r="809" spans="1:30" ht="15.75" customHeight="1" x14ac:dyDescent="0.3">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row>
    <row r="810" spans="1:30" ht="15.75" customHeight="1" x14ac:dyDescent="0.3">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row>
    <row r="811" spans="1:30" ht="15.75" customHeight="1" x14ac:dyDescent="0.3">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row>
    <row r="812" spans="1:30" ht="15.75" customHeight="1" x14ac:dyDescent="0.3">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row>
    <row r="813" spans="1:30" ht="15.75" customHeight="1" x14ac:dyDescent="0.3">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row>
    <row r="814" spans="1:30" ht="15.75" customHeight="1" x14ac:dyDescent="0.3">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row>
    <row r="815" spans="1:30" ht="15.75" customHeight="1" x14ac:dyDescent="0.3">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row>
    <row r="816" spans="1:30" ht="15.75" customHeight="1" x14ac:dyDescent="0.3">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row>
    <row r="817" spans="1:30" ht="15.75" customHeight="1" x14ac:dyDescent="0.3">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row>
    <row r="818" spans="1:30" ht="15.75" customHeight="1" x14ac:dyDescent="0.3">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row>
    <row r="819" spans="1:30" ht="15.75" customHeight="1" x14ac:dyDescent="0.3">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row>
    <row r="820" spans="1:30" ht="15.75" customHeight="1" x14ac:dyDescent="0.3">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row>
    <row r="821" spans="1:30" ht="15.75" customHeight="1" x14ac:dyDescent="0.3">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row>
    <row r="822" spans="1:30" ht="15.75" customHeight="1" x14ac:dyDescent="0.3">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row>
    <row r="823" spans="1:30" ht="15.75" customHeight="1" x14ac:dyDescent="0.3">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row>
    <row r="824" spans="1:30" ht="15.75" customHeight="1" x14ac:dyDescent="0.3">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row>
    <row r="825" spans="1:30" ht="15.75" customHeight="1" x14ac:dyDescent="0.3">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row>
    <row r="826" spans="1:30" ht="15.75" customHeight="1" x14ac:dyDescent="0.3">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row>
    <row r="827" spans="1:30" ht="15.75" customHeight="1" x14ac:dyDescent="0.3">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row>
    <row r="828" spans="1:30" ht="15.75" customHeight="1" x14ac:dyDescent="0.3">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row>
    <row r="829" spans="1:30" ht="15.75" customHeight="1" x14ac:dyDescent="0.3">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row>
    <row r="830" spans="1:30" ht="15.75" customHeight="1" x14ac:dyDescent="0.3">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row>
    <row r="831" spans="1:30" ht="15.75" customHeight="1" x14ac:dyDescent="0.3">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row>
    <row r="832" spans="1:30" ht="15.75" customHeight="1" x14ac:dyDescent="0.3">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row>
    <row r="833" spans="1:30" ht="15.75" customHeight="1" x14ac:dyDescent="0.3">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row>
    <row r="834" spans="1:30" ht="15.75" customHeight="1" x14ac:dyDescent="0.3">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row>
    <row r="835" spans="1:30" ht="15.75" customHeight="1" x14ac:dyDescent="0.3">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row>
    <row r="836" spans="1:30" ht="15.75" customHeight="1" x14ac:dyDescent="0.3">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row>
    <row r="837" spans="1:30" ht="15.75" customHeight="1" x14ac:dyDescent="0.3">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row>
    <row r="838" spans="1:30" ht="15.75" customHeight="1" x14ac:dyDescent="0.3">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row>
    <row r="839" spans="1:30" ht="15.75" customHeight="1" x14ac:dyDescent="0.3">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row>
    <row r="840" spans="1:30" ht="15.75" customHeight="1" x14ac:dyDescent="0.3">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row>
    <row r="841" spans="1:30" ht="15.75" customHeight="1" x14ac:dyDescent="0.3">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row>
    <row r="842" spans="1:30" ht="15.75" customHeight="1" x14ac:dyDescent="0.3">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row>
    <row r="843" spans="1:30" ht="15.75" customHeight="1" x14ac:dyDescent="0.3">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row>
    <row r="844" spans="1:30" ht="15.75" customHeight="1" x14ac:dyDescent="0.3">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row>
    <row r="845" spans="1:30" ht="15.75" customHeight="1" x14ac:dyDescent="0.3">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row>
    <row r="846" spans="1:30" ht="15.75" customHeight="1" x14ac:dyDescent="0.3">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row>
    <row r="847" spans="1:30" ht="15.75" customHeight="1" x14ac:dyDescent="0.3">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row>
    <row r="848" spans="1:30" ht="15.75" customHeight="1" x14ac:dyDescent="0.3">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row>
    <row r="849" spans="1:30" ht="15.75" customHeight="1" x14ac:dyDescent="0.3">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row>
    <row r="850" spans="1:30" ht="15.75" customHeight="1" x14ac:dyDescent="0.3">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row>
    <row r="851" spans="1:30" ht="15.75" customHeight="1" x14ac:dyDescent="0.3">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row>
    <row r="852" spans="1:30" ht="15.75" customHeight="1" x14ac:dyDescent="0.3">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row>
    <row r="853" spans="1:30" ht="15.75" customHeight="1" x14ac:dyDescent="0.3">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row>
    <row r="854" spans="1:30" ht="15.75" customHeight="1" x14ac:dyDescent="0.3">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row>
    <row r="855" spans="1:30" ht="15.75" customHeight="1" x14ac:dyDescent="0.3">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row>
    <row r="856" spans="1:30" ht="15.75" customHeight="1" x14ac:dyDescent="0.3">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row>
    <row r="857" spans="1:30" ht="15.75" customHeight="1" x14ac:dyDescent="0.3">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row>
    <row r="858" spans="1:30" ht="15.75" customHeight="1" x14ac:dyDescent="0.3">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row>
    <row r="859" spans="1:30" ht="15.75" customHeight="1" x14ac:dyDescent="0.3">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row>
    <row r="860" spans="1:30" ht="15.75" customHeight="1" x14ac:dyDescent="0.3">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row>
    <row r="861" spans="1:30" ht="15.75" customHeight="1" x14ac:dyDescent="0.3">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row>
    <row r="862" spans="1:30" ht="15.75" customHeight="1" x14ac:dyDescent="0.3">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row>
    <row r="863" spans="1:30" ht="15.75" customHeight="1" x14ac:dyDescent="0.3">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row>
    <row r="864" spans="1:30" ht="15.75" customHeight="1" x14ac:dyDescent="0.3">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row>
    <row r="865" spans="1:30" ht="15.75" customHeight="1" x14ac:dyDescent="0.3">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row>
    <row r="866" spans="1:30" ht="15.75" customHeight="1" x14ac:dyDescent="0.3">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row>
    <row r="867" spans="1:30" ht="15.75" customHeight="1" x14ac:dyDescent="0.3">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row>
    <row r="868" spans="1:30" ht="15.75" customHeight="1" x14ac:dyDescent="0.3">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row>
    <row r="869" spans="1:30" ht="15.75" customHeight="1" x14ac:dyDescent="0.3">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row>
    <row r="870" spans="1:30" ht="15.75" customHeight="1" x14ac:dyDescent="0.3">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row>
    <row r="871" spans="1:30" ht="15.75" customHeight="1" x14ac:dyDescent="0.3">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row>
    <row r="872" spans="1:30" ht="15.75" customHeight="1" x14ac:dyDescent="0.3">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row>
    <row r="873" spans="1:30" ht="15.75" customHeight="1" x14ac:dyDescent="0.3">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row>
    <row r="874" spans="1:30" ht="15.75" customHeight="1" x14ac:dyDescent="0.3">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row>
    <row r="875" spans="1:30" ht="15.75" customHeight="1" x14ac:dyDescent="0.3">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row>
    <row r="876" spans="1:30" ht="15.75" customHeight="1" x14ac:dyDescent="0.3">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row>
    <row r="877" spans="1:30" ht="15.75" customHeight="1" x14ac:dyDescent="0.3">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row>
    <row r="878" spans="1:30" ht="15.75" customHeight="1" x14ac:dyDescent="0.3">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row>
    <row r="879" spans="1:30" ht="15.75" customHeight="1" x14ac:dyDescent="0.3">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row>
    <row r="880" spans="1:30" ht="15.75" customHeight="1" x14ac:dyDescent="0.3">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row>
    <row r="881" spans="1:30" ht="15.75" customHeight="1" x14ac:dyDescent="0.3">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row>
    <row r="882" spans="1:30" ht="15.75" customHeight="1" x14ac:dyDescent="0.3">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row>
    <row r="883" spans="1:30" ht="15.75" customHeight="1" x14ac:dyDescent="0.3">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row>
    <row r="884" spans="1:30" ht="15.75" customHeight="1" x14ac:dyDescent="0.3">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row>
    <row r="885" spans="1:30" ht="15.75" customHeight="1" x14ac:dyDescent="0.3">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row>
    <row r="886" spans="1:30" ht="15.75" customHeight="1" x14ac:dyDescent="0.3">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row>
    <row r="887" spans="1:30" ht="15.75" customHeight="1" x14ac:dyDescent="0.3">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row>
    <row r="888" spans="1:30" ht="15.75" customHeight="1" x14ac:dyDescent="0.3">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row>
    <row r="889" spans="1:30" ht="15.75" customHeight="1" x14ac:dyDescent="0.3">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row>
    <row r="890" spans="1:30" ht="15.75" customHeight="1" x14ac:dyDescent="0.3">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row>
    <row r="891" spans="1:30" ht="15.75" customHeight="1" x14ac:dyDescent="0.3">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row>
    <row r="892" spans="1:30" ht="15.75" customHeight="1" x14ac:dyDescent="0.3">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row>
    <row r="893" spans="1:30" ht="15.75" customHeight="1" x14ac:dyDescent="0.3">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row>
    <row r="894" spans="1:30" ht="15.75" customHeight="1" x14ac:dyDescent="0.3">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row>
    <row r="895" spans="1:30" ht="15.75" customHeight="1" x14ac:dyDescent="0.3">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row>
    <row r="896" spans="1:30" ht="15.75" customHeight="1" x14ac:dyDescent="0.3">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row>
    <row r="897" spans="1:30" ht="15.75" customHeight="1" x14ac:dyDescent="0.3">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row>
    <row r="898" spans="1:30" ht="15.75" customHeight="1" x14ac:dyDescent="0.3">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row>
    <row r="899" spans="1:30" ht="15.75" customHeight="1" x14ac:dyDescent="0.3">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row>
    <row r="900" spans="1:30" ht="15.75" customHeight="1" x14ac:dyDescent="0.3">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row>
    <row r="901" spans="1:30" ht="15.75" customHeight="1" x14ac:dyDescent="0.3">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row>
    <row r="902" spans="1:30" ht="15.75" customHeight="1" x14ac:dyDescent="0.3">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row>
    <row r="903" spans="1:30" ht="15.75" customHeight="1" x14ac:dyDescent="0.3">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row>
    <row r="904" spans="1:30" ht="15.75" customHeight="1" x14ac:dyDescent="0.3">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row>
    <row r="905" spans="1:30" ht="15.75" customHeight="1" x14ac:dyDescent="0.3">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row>
    <row r="906" spans="1:30" ht="15.75" customHeight="1" x14ac:dyDescent="0.3">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row>
    <row r="907" spans="1:30" ht="15.75" customHeight="1" x14ac:dyDescent="0.3">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row>
    <row r="908" spans="1:30" ht="15.75" customHeight="1" x14ac:dyDescent="0.3">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row>
    <row r="909" spans="1:30" ht="15.75" customHeight="1" x14ac:dyDescent="0.3">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row>
    <row r="910" spans="1:30" ht="15.75" customHeight="1" x14ac:dyDescent="0.3">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row>
    <row r="911" spans="1:30" ht="15.75" customHeight="1" x14ac:dyDescent="0.3">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row>
    <row r="912" spans="1:30" ht="15.75" customHeight="1" x14ac:dyDescent="0.3">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row>
    <row r="913" spans="1:30" ht="15.75" customHeight="1" x14ac:dyDescent="0.3">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row>
    <row r="914" spans="1:30" ht="15.75" customHeight="1" x14ac:dyDescent="0.3">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row>
    <row r="915" spans="1:30" ht="15.75" customHeight="1" x14ac:dyDescent="0.3">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row>
    <row r="916" spans="1:30" ht="15.75" customHeight="1" x14ac:dyDescent="0.3">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row>
    <row r="917" spans="1:30" ht="15.75" customHeight="1" x14ac:dyDescent="0.3">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row>
    <row r="918" spans="1:30" ht="15.75" customHeight="1" x14ac:dyDescent="0.3">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row>
    <row r="919" spans="1:30" ht="15.75" customHeight="1" x14ac:dyDescent="0.3">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row>
    <row r="920" spans="1:30" ht="15.75" customHeight="1" x14ac:dyDescent="0.3">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row>
    <row r="921" spans="1:30" ht="15.75" customHeight="1" x14ac:dyDescent="0.3">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row>
    <row r="922" spans="1:30" ht="15.75" customHeight="1" x14ac:dyDescent="0.3">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row>
    <row r="923" spans="1:30" ht="15.75" customHeight="1" x14ac:dyDescent="0.3">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row>
    <row r="924" spans="1:30" ht="15.75" customHeight="1" x14ac:dyDescent="0.3">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row>
    <row r="925" spans="1:30" ht="15.75" customHeight="1" x14ac:dyDescent="0.3">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row>
    <row r="926" spans="1:30" ht="15.75" customHeight="1" x14ac:dyDescent="0.3">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row>
    <row r="927" spans="1:30" ht="15.75" customHeight="1" x14ac:dyDescent="0.3">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row>
    <row r="928" spans="1:30" ht="15.75" customHeight="1" x14ac:dyDescent="0.3">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row>
    <row r="929" spans="1:30" ht="15.75" customHeight="1" x14ac:dyDescent="0.3">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row>
    <row r="930" spans="1:30" ht="15.75" customHeight="1" x14ac:dyDescent="0.3">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row>
    <row r="931" spans="1:30" ht="15.75" customHeight="1" x14ac:dyDescent="0.3">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row>
    <row r="932" spans="1:30" ht="15.75" customHeight="1" x14ac:dyDescent="0.3">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row>
    <row r="933" spans="1:30" ht="15.75" customHeight="1" x14ac:dyDescent="0.3">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row>
    <row r="934" spans="1:30" ht="15.75" customHeight="1" x14ac:dyDescent="0.3">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row>
    <row r="935" spans="1:30" ht="15.75" customHeight="1" x14ac:dyDescent="0.3">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row>
    <row r="936" spans="1:30" ht="15.75" customHeight="1" x14ac:dyDescent="0.3">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row>
    <row r="937" spans="1:30" ht="15.75" customHeight="1" x14ac:dyDescent="0.3">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row>
    <row r="938" spans="1:30" ht="15.75" customHeight="1" x14ac:dyDescent="0.3">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row>
    <row r="939" spans="1:30" ht="15.75" customHeight="1" x14ac:dyDescent="0.3">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row>
    <row r="940" spans="1:30" ht="15.75" customHeight="1" x14ac:dyDescent="0.3">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row>
    <row r="941" spans="1:30" ht="15.75" customHeight="1" x14ac:dyDescent="0.3">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row>
    <row r="942" spans="1:30" ht="15.75" customHeight="1" x14ac:dyDescent="0.3">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row>
    <row r="943" spans="1:30" ht="15.75" customHeight="1" x14ac:dyDescent="0.3">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row>
    <row r="944" spans="1:30" ht="15.75" customHeight="1" x14ac:dyDescent="0.3">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row>
    <row r="945" spans="1:30" ht="15.75" customHeight="1" x14ac:dyDescent="0.3">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row>
    <row r="946" spans="1:30" ht="15.75" customHeight="1" x14ac:dyDescent="0.3">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row>
    <row r="947" spans="1:30" ht="15.75" customHeight="1" x14ac:dyDescent="0.3">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row>
    <row r="948" spans="1:30" ht="15.75" customHeight="1" x14ac:dyDescent="0.3">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row>
    <row r="949" spans="1:30" ht="15.75" customHeight="1" x14ac:dyDescent="0.3">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row>
    <row r="950" spans="1:30" ht="15.75" customHeight="1" x14ac:dyDescent="0.3">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row>
    <row r="951" spans="1:30" ht="15.75" customHeight="1" x14ac:dyDescent="0.3">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row>
    <row r="952" spans="1:30" ht="15.75" customHeight="1" x14ac:dyDescent="0.3">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row>
    <row r="953" spans="1:30" ht="15.75" customHeight="1" x14ac:dyDescent="0.3">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row>
    <row r="954" spans="1:30" ht="15.75" customHeight="1" x14ac:dyDescent="0.3">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row>
    <row r="955" spans="1:30" ht="15.75" customHeight="1" x14ac:dyDescent="0.3">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row>
    <row r="956" spans="1:30" ht="15.75" customHeight="1" x14ac:dyDescent="0.3">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row>
    <row r="957" spans="1:30" ht="15.75" customHeight="1" x14ac:dyDescent="0.3">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row>
    <row r="958" spans="1:30" ht="15.75" customHeight="1" x14ac:dyDescent="0.3">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row>
    <row r="959" spans="1:30" ht="15.75" customHeight="1" x14ac:dyDescent="0.3">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row>
    <row r="960" spans="1:30" ht="15.75" customHeight="1" x14ac:dyDescent="0.3">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row>
    <row r="961" spans="1:30" ht="15.75" customHeight="1" x14ac:dyDescent="0.3">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row>
    <row r="962" spans="1:30" ht="15.75" customHeight="1" x14ac:dyDescent="0.3">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row>
    <row r="963" spans="1:30" ht="15.75" customHeight="1" x14ac:dyDescent="0.3">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row>
    <row r="964" spans="1:30" ht="15.75" customHeight="1" x14ac:dyDescent="0.3">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row>
    <row r="965" spans="1:30" ht="15.75" customHeight="1" x14ac:dyDescent="0.3">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row>
    <row r="966" spans="1:30" ht="15.75" customHeight="1" x14ac:dyDescent="0.3">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row>
    <row r="967" spans="1:30" ht="15.75" customHeight="1" x14ac:dyDescent="0.3">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row>
    <row r="968" spans="1:30" ht="15.75" customHeight="1" x14ac:dyDescent="0.3">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row>
    <row r="969" spans="1:30" ht="15.75" customHeight="1" x14ac:dyDescent="0.3">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row>
    <row r="970" spans="1:30" ht="15.75" customHeight="1" x14ac:dyDescent="0.3">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row>
    <row r="971" spans="1:30" ht="15.75" customHeight="1" x14ac:dyDescent="0.3">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row>
    <row r="972" spans="1:30" ht="15.75" customHeight="1" x14ac:dyDescent="0.3">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row>
    <row r="973" spans="1:30" ht="15.75" customHeight="1" x14ac:dyDescent="0.3">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row>
    <row r="974" spans="1:30" ht="15.75" customHeight="1" x14ac:dyDescent="0.3">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row>
    <row r="975" spans="1:30" ht="15.75" customHeight="1" x14ac:dyDescent="0.3">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row>
    <row r="976" spans="1:30" ht="15.75" customHeight="1" x14ac:dyDescent="0.3">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row>
    <row r="977" spans="1:30" ht="15.75" customHeight="1" x14ac:dyDescent="0.3">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row>
    <row r="978" spans="1:30" ht="15.75" customHeight="1" x14ac:dyDescent="0.3">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row>
    <row r="979" spans="1:30" ht="15.75" customHeight="1" x14ac:dyDescent="0.3">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row>
    <row r="980" spans="1:30" ht="15.75" customHeight="1" x14ac:dyDescent="0.3">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row>
    <row r="981" spans="1:30" ht="15.75" customHeight="1" x14ac:dyDescent="0.3">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row>
    <row r="982" spans="1:30" ht="15.75" customHeight="1" x14ac:dyDescent="0.3">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row>
    <row r="983" spans="1:30" ht="15.75" customHeight="1" x14ac:dyDescent="0.3">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row>
    <row r="984" spans="1:30" ht="15.75" customHeight="1" x14ac:dyDescent="0.3">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row>
    <row r="985" spans="1:30" ht="15.75" customHeight="1" x14ac:dyDescent="0.3">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row>
    <row r="986" spans="1:30" ht="15.75" customHeight="1" x14ac:dyDescent="0.3">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row>
    <row r="987" spans="1:30" ht="15.75" customHeight="1" x14ac:dyDescent="0.3">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row>
    <row r="988" spans="1:30" ht="15.75" customHeight="1" x14ac:dyDescent="0.3">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row>
    <row r="989" spans="1:30" ht="15.75" customHeight="1" x14ac:dyDescent="0.3">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row>
    <row r="990" spans="1:30" ht="15.75" customHeight="1" x14ac:dyDescent="0.3">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row>
    <row r="991" spans="1:30" ht="15.75" customHeight="1" x14ac:dyDescent="0.3">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row>
    <row r="992" spans="1:30" ht="15.75" customHeight="1" x14ac:dyDescent="0.3">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row>
    <row r="993" spans="1:30" ht="15.75" customHeight="1" x14ac:dyDescent="0.3">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row>
    <row r="994" spans="1:30" ht="15.75" customHeight="1" x14ac:dyDescent="0.3">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row>
    <row r="995" spans="1:30" ht="15.75" customHeight="1" x14ac:dyDescent="0.3">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row>
    <row r="996" spans="1:30" ht="15.75" customHeight="1" x14ac:dyDescent="0.3">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row>
    <row r="997" spans="1:30" ht="15.75" customHeight="1" x14ac:dyDescent="0.3">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row>
    <row r="998" spans="1:30" ht="15.75" customHeight="1" x14ac:dyDescent="0.3">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row>
    <row r="999" spans="1:30" ht="15.75" customHeight="1" x14ac:dyDescent="0.3">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row>
    <row r="1000" spans="1:30" ht="15.75" customHeight="1" x14ac:dyDescent="0.3">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7"/>
      <c r="B1" s="338"/>
      <c r="C1" s="338"/>
      <c r="D1" s="338"/>
      <c r="E1" s="338"/>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40"/>
      <c r="AF1" s="340"/>
      <c r="AG1" s="340"/>
      <c r="AH1" s="340"/>
      <c r="AI1" s="340"/>
      <c r="AJ1" s="340"/>
    </row>
    <row r="2" spans="1:36" ht="15" customHeight="1" x14ac:dyDescent="0.25">
      <c r="A2" s="341"/>
      <c r="B2" s="713"/>
      <c r="C2" s="483"/>
      <c r="D2" s="483"/>
      <c r="E2" s="714"/>
      <c r="F2" s="718" t="s">
        <v>305</v>
      </c>
      <c r="G2" s="483"/>
      <c r="H2" s="483"/>
      <c r="I2" s="483"/>
      <c r="J2" s="483"/>
      <c r="K2" s="483"/>
      <c r="L2" s="483"/>
      <c r="M2" s="483"/>
      <c r="N2" s="483"/>
      <c r="O2" s="483"/>
      <c r="P2" s="483"/>
      <c r="Q2" s="483"/>
      <c r="R2" s="483"/>
      <c r="S2" s="483"/>
      <c r="T2" s="483"/>
      <c r="U2" s="483"/>
      <c r="V2" s="483"/>
      <c r="W2" s="483"/>
      <c r="X2" s="483"/>
      <c r="Y2" s="483"/>
      <c r="Z2" s="483"/>
      <c r="AA2" s="483"/>
      <c r="AB2" s="483"/>
      <c r="AC2" s="483"/>
      <c r="AD2" s="467"/>
      <c r="AE2" s="342"/>
      <c r="AF2" s="340"/>
      <c r="AG2" s="340"/>
      <c r="AH2" s="340"/>
      <c r="AI2" s="340"/>
      <c r="AJ2" s="340"/>
    </row>
    <row r="3" spans="1:36" ht="22.5" customHeight="1" x14ac:dyDescent="0.25">
      <c r="A3" s="341"/>
      <c r="B3" s="484"/>
      <c r="C3" s="476"/>
      <c r="D3" s="476"/>
      <c r="E3" s="715"/>
      <c r="F3" s="476"/>
      <c r="G3" s="476"/>
      <c r="H3" s="476"/>
      <c r="I3" s="476"/>
      <c r="J3" s="476"/>
      <c r="K3" s="476"/>
      <c r="L3" s="476"/>
      <c r="M3" s="476"/>
      <c r="N3" s="476"/>
      <c r="O3" s="476"/>
      <c r="P3" s="476"/>
      <c r="Q3" s="476"/>
      <c r="R3" s="476"/>
      <c r="S3" s="476"/>
      <c r="T3" s="476"/>
      <c r="U3" s="476"/>
      <c r="V3" s="476"/>
      <c r="W3" s="476"/>
      <c r="X3" s="476"/>
      <c r="Y3" s="476"/>
      <c r="Z3" s="476"/>
      <c r="AA3" s="476"/>
      <c r="AB3" s="476"/>
      <c r="AC3" s="476"/>
      <c r="AD3" s="630"/>
      <c r="AE3" s="342"/>
      <c r="AF3" s="340"/>
      <c r="AG3" s="340"/>
      <c r="AH3" s="340"/>
      <c r="AI3" s="340"/>
      <c r="AJ3" s="340"/>
    </row>
    <row r="4" spans="1:36" ht="22.5" customHeight="1" x14ac:dyDescent="0.25">
      <c r="A4" s="341"/>
      <c r="B4" s="484"/>
      <c r="C4" s="476"/>
      <c r="D4" s="476"/>
      <c r="E4" s="715"/>
      <c r="F4" s="476"/>
      <c r="G4" s="476"/>
      <c r="H4" s="476"/>
      <c r="I4" s="476"/>
      <c r="J4" s="476"/>
      <c r="K4" s="476"/>
      <c r="L4" s="476"/>
      <c r="M4" s="476"/>
      <c r="N4" s="476"/>
      <c r="O4" s="476"/>
      <c r="P4" s="476"/>
      <c r="Q4" s="476"/>
      <c r="R4" s="476"/>
      <c r="S4" s="476"/>
      <c r="T4" s="476"/>
      <c r="U4" s="476"/>
      <c r="V4" s="476"/>
      <c r="W4" s="476"/>
      <c r="X4" s="476"/>
      <c r="Y4" s="476"/>
      <c r="Z4" s="476"/>
      <c r="AA4" s="476"/>
      <c r="AB4" s="476"/>
      <c r="AC4" s="476"/>
      <c r="AD4" s="630"/>
      <c r="AE4" s="342"/>
      <c r="AF4" s="340"/>
      <c r="AG4" s="340"/>
      <c r="AH4" s="340"/>
      <c r="AI4" s="340"/>
      <c r="AJ4" s="340"/>
    </row>
    <row r="5" spans="1:36" ht="15.75" customHeight="1" x14ac:dyDescent="0.25">
      <c r="A5" s="341"/>
      <c r="B5" s="716"/>
      <c r="C5" s="661"/>
      <c r="D5" s="661"/>
      <c r="E5" s="717"/>
      <c r="F5" s="661"/>
      <c r="G5" s="661"/>
      <c r="H5" s="661"/>
      <c r="I5" s="661"/>
      <c r="J5" s="661"/>
      <c r="K5" s="661"/>
      <c r="L5" s="661"/>
      <c r="M5" s="661"/>
      <c r="N5" s="661"/>
      <c r="O5" s="661"/>
      <c r="P5" s="661"/>
      <c r="Q5" s="661"/>
      <c r="R5" s="661"/>
      <c r="S5" s="661"/>
      <c r="T5" s="661"/>
      <c r="U5" s="661"/>
      <c r="V5" s="661"/>
      <c r="W5" s="661"/>
      <c r="X5" s="661"/>
      <c r="Y5" s="661"/>
      <c r="Z5" s="661"/>
      <c r="AA5" s="661"/>
      <c r="AB5" s="661"/>
      <c r="AC5" s="661"/>
      <c r="AD5" s="719"/>
      <c r="AE5" s="343"/>
      <c r="AF5" s="340"/>
      <c r="AG5" s="340"/>
      <c r="AH5" s="340"/>
      <c r="AI5" s="340"/>
      <c r="AJ5" s="340"/>
    </row>
    <row r="6" spans="1:36" ht="15.75" customHeight="1" x14ac:dyDescent="0.25">
      <c r="A6" s="341"/>
      <c r="B6" s="344"/>
      <c r="C6" s="720" t="s">
        <v>306</v>
      </c>
      <c r="D6" s="661"/>
      <c r="E6" s="661"/>
      <c r="F6" s="661"/>
      <c r="G6" s="661"/>
      <c r="H6" s="661"/>
      <c r="I6" s="661"/>
      <c r="J6" s="661"/>
      <c r="K6" s="661"/>
      <c r="L6" s="661"/>
      <c r="M6" s="661"/>
      <c r="N6" s="661"/>
      <c r="O6" s="661"/>
      <c r="P6" s="661"/>
      <c r="Q6" s="661"/>
      <c r="R6" s="661"/>
      <c r="S6" s="661"/>
      <c r="T6" s="661"/>
      <c r="U6" s="661"/>
      <c r="V6" s="661"/>
      <c r="W6" s="661"/>
      <c r="X6" s="661"/>
      <c r="Y6" s="661"/>
      <c r="Z6" s="661"/>
      <c r="AA6" s="661"/>
      <c r="AB6" s="661"/>
      <c r="AC6" s="717"/>
      <c r="AD6" s="345"/>
      <c r="AE6" s="346"/>
      <c r="AF6" s="337"/>
      <c r="AG6" s="337"/>
      <c r="AH6" s="337"/>
      <c r="AI6" s="337"/>
      <c r="AJ6" s="337"/>
    </row>
    <row r="7" spans="1:36" ht="15.75" customHeight="1" x14ac:dyDescent="0.35">
      <c r="A7" s="341"/>
      <c r="B7" s="347"/>
      <c r="C7" s="348"/>
      <c r="D7" s="348"/>
      <c r="E7" s="348"/>
      <c r="F7" s="348"/>
      <c r="G7" s="349"/>
      <c r="H7" s="349"/>
      <c r="I7" s="349"/>
      <c r="J7" s="349"/>
      <c r="K7" s="349"/>
      <c r="L7" s="349"/>
      <c r="M7" s="349"/>
      <c r="N7" s="349"/>
      <c r="O7" s="350"/>
      <c r="P7" s="350"/>
      <c r="Q7" s="350"/>
      <c r="R7" s="350"/>
      <c r="S7" s="350"/>
      <c r="T7" s="350"/>
      <c r="U7" s="350"/>
      <c r="V7" s="350"/>
      <c r="W7" s="351"/>
      <c r="X7" s="351"/>
      <c r="Y7" s="351"/>
      <c r="Z7" s="351"/>
      <c r="AA7" s="351"/>
      <c r="AB7" s="351"/>
      <c r="AC7" s="351"/>
      <c r="AD7" s="345"/>
      <c r="AE7" s="346"/>
      <c r="AF7" s="337"/>
      <c r="AG7" s="337"/>
      <c r="AH7" s="337"/>
      <c r="AI7" s="337"/>
      <c r="AJ7" s="337"/>
    </row>
    <row r="8" spans="1:36" ht="26.25" customHeight="1" x14ac:dyDescent="0.25">
      <c r="A8" s="352"/>
      <c r="B8" s="353"/>
      <c r="C8" s="721" t="s">
        <v>277</v>
      </c>
      <c r="D8" s="523"/>
      <c r="E8" s="523"/>
      <c r="F8" s="699"/>
      <c r="G8" s="663" t="s">
        <v>307</v>
      </c>
      <c r="H8" s="523"/>
      <c r="I8" s="523"/>
      <c r="J8" s="523"/>
      <c r="K8" s="523"/>
      <c r="L8" s="523"/>
      <c r="M8" s="523"/>
      <c r="N8" s="523"/>
      <c r="O8" s="523"/>
      <c r="P8" s="523"/>
      <c r="Q8" s="523"/>
      <c r="R8" s="523"/>
      <c r="S8" s="523"/>
      <c r="T8" s="523"/>
      <c r="U8" s="523"/>
      <c r="V8" s="523"/>
      <c r="W8" s="523"/>
      <c r="X8" s="523"/>
      <c r="Y8" s="523"/>
      <c r="Z8" s="523"/>
      <c r="AA8" s="523"/>
      <c r="AB8" s="523"/>
      <c r="AC8" s="699"/>
      <c r="AD8" s="354"/>
      <c r="AE8" s="355"/>
      <c r="AF8" s="356"/>
      <c r="AG8" s="356"/>
      <c r="AH8" s="356"/>
      <c r="AI8" s="356"/>
      <c r="AJ8" s="356"/>
    </row>
    <row r="9" spans="1:36" ht="26.25" customHeight="1" x14ac:dyDescent="0.25">
      <c r="A9" s="352"/>
      <c r="B9" s="353"/>
      <c r="C9" s="690" t="s">
        <v>279</v>
      </c>
      <c r="D9" s="535"/>
      <c r="E9" s="535"/>
      <c r="F9" s="536"/>
      <c r="G9" s="722" t="e">
        <f>VLOOKUP($G$8,'6.Bảng lương  '!$B$16:$AW49,2,0)</f>
        <v>#N/A</v>
      </c>
      <c r="H9" s="535"/>
      <c r="I9" s="535"/>
      <c r="J9" s="535"/>
      <c r="K9" s="535"/>
      <c r="L9" s="535"/>
      <c r="M9" s="535"/>
      <c r="N9" s="535"/>
      <c r="O9" s="535"/>
      <c r="P9" s="535"/>
      <c r="Q9" s="535"/>
      <c r="R9" s="535"/>
      <c r="S9" s="535"/>
      <c r="T9" s="535"/>
      <c r="U9" s="535"/>
      <c r="V9" s="535"/>
      <c r="W9" s="535"/>
      <c r="X9" s="535"/>
      <c r="Y9" s="535"/>
      <c r="Z9" s="535"/>
      <c r="AA9" s="535"/>
      <c r="AB9" s="535"/>
      <c r="AC9" s="536"/>
      <c r="AD9" s="354"/>
      <c r="AE9" s="355"/>
      <c r="AF9" s="356"/>
      <c r="AG9" s="356"/>
      <c r="AH9" s="356"/>
      <c r="AI9" s="356"/>
      <c r="AJ9" s="356"/>
    </row>
    <row r="10" spans="1:36" ht="26.25" customHeight="1" x14ac:dyDescent="0.25">
      <c r="A10" s="352"/>
      <c r="B10" s="353"/>
      <c r="C10" s="690" t="s">
        <v>94</v>
      </c>
      <c r="D10" s="535"/>
      <c r="E10" s="535"/>
      <c r="F10" s="536"/>
      <c r="G10" s="726" t="e">
        <f>VLOOKUP($G$8,'6.Bảng lương  '!$B$16:$AW49,3,0)</f>
        <v>#N/A</v>
      </c>
      <c r="H10" s="535"/>
      <c r="I10" s="535"/>
      <c r="J10" s="535"/>
      <c r="K10" s="535"/>
      <c r="L10" s="535"/>
      <c r="M10" s="535"/>
      <c r="N10" s="535"/>
      <c r="O10" s="535"/>
      <c r="P10" s="535"/>
      <c r="Q10" s="535"/>
      <c r="R10" s="535"/>
      <c r="S10" s="535"/>
      <c r="T10" s="535"/>
      <c r="U10" s="535"/>
      <c r="V10" s="535"/>
      <c r="W10" s="535"/>
      <c r="X10" s="535"/>
      <c r="Y10" s="535"/>
      <c r="Z10" s="535"/>
      <c r="AA10" s="535"/>
      <c r="AB10" s="535"/>
      <c r="AC10" s="536"/>
      <c r="AD10" s="354"/>
      <c r="AE10" s="355"/>
      <c r="AF10" s="356"/>
      <c r="AG10" s="356"/>
      <c r="AH10" s="356"/>
      <c r="AI10" s="356"/>
      <c r="AJ10" s="356"/>
    </row>
    <row r="11" spans="1:36" ht="39" customHeight="1" x14ac:dyDescent="0.25">
      <c r="A11" s="352"/>
      <c r="B11" s="353"/>
      <c r="C11" s="690" t="s">
        <v>107</v>
      </c>
      <c r="D11" s="535"/>
      <c r="E11" s="535"/>
      <c r="F11" s="536"/>
      <c r="G11" s="726" t="e">
        <f>VLOOKUP($G$8,'6.Bảng lương  '!$B$16:$AW49,4,0)</f>
        <v>#N/A</v>
      </c>
      <c r="H11" s="535"/>
      <c r="I11" s="535"/>
      <c r="J11" s="535"/>
      <c r="K11" s="535"/>
      <c r="L11" s="535"/>
      <c r="M11" s="535"/>
      <c r="N11" s="535"/>
      <c r="O11" s="535"/>
      <c r="P11" s="535"/>
      <c r="Q11" s="535"/>
      <c r="R11" s="535"/>
      <c r="S11" s="535"/>
      <c r="T11" s="535"/>
      <c r="U11" s="535"/>
      <c r="V11" s="535"/>
      <c r="W11" s="535"/>
      <c r="X11" s="535"/>
      <c r="Y11" s="535"/>
      <c r="Z11" s="535"/>
      <c r="AA11" s="535"/>
      <c r="AB11" s="535"/>
      <c r="AC11" s="536"/>
      <c r="AD11" s="354"/>
      <c r="AE11" s="355"/>
      <c r="AF11" s="356"/>
      <c r="AG11" s="356"/>
      <c r="AH11" s="356"/>
      <c r="AI11" s="356"/>
      <c r="AJ11" s="356"/>
    </row>
    <row r="12" spans="1:36" ht="27.75" hidden="1" customHeight="1" x14ac:dyDescent="0.25">
      <c r="A12" s="352"/>
      <c r="B12" s="353"/>
      <c r="C12" s="690" t="s">
        <v>283</v>
      </c>
      <c r="D12" s="535"/>
      <c r="E12" s="535"/>
      <c r="F12" s="536"/>
      <c r="G12" s="727" t="s">
        <v>308</v>
      </c>
      <c r="H12" s="535"/>
      <c r="I12" s="535"/>
      <c r="J12" s="535"/>
      <c r="K12" s="535"/>
      <c r="L12" s="535"/>
      <c r="M12" s="535"/>
      <c r="N12" s="536"/>
      <c r="O12" s="728"/>
      <c r="P12" s="535"/>
      <c r="Q12" s="535"/>
      <c r="R12" s="535"/>
      <c r="S12" s="535"/>
      <c r="T12" s="535"/>
      <c r="U12" s="535"/>
      <c r="V12" s="536"/>
      <c r="W12" s="729"/>
      <c r="X12" s="535"/>
      <c r="Y12" s="535"/>
      <c r="Z12" s="535"/>
      <c r="AA12" s="535"/>
      <c r="AB12" s="535"/>
      <c r="AC12" s="688"/>
      <c r="AD12" s="354"/>
      <c r="AE12" s="355"/>
      <c r="AF12" s="356"/>
      <c r="AG12" s="356"/>
      <c r="AH12" s="356"/>
      <c r="AI12" s="356"/>
      <c r="AJ12" s="356"/>
    </row>
    <row r="13" spans="1:36" ht="28.5" hidden="1" customHeight="1" x14ac:dyDescent="0.25">
      <c r="A13" s="352"/>
      <c r="B13" s="353"/>
      <c r="C13" s="691" t="s">
        <v>285</v>
      </c>
      <c r="D13" s="644"/>
      <c r="E13" s="644"/>
      <c r="F13" s="683"/>
      <c r="G13" s="692" t="e">
        <f>VLOOKUP($G$8,'3. BẢNG CHẤM CÔNG'!$B$10:$AV43,47,0)</f>
        <v>#N/A</v>
      </c>
      <c r="H13" s="644"/>
      <c r="I13" s="644"/>
      <c r="J13" s="644"/>
      <c r="K13" s="644"/>
      <c r="L13" s="644"/>
      <c r="M13" s="644"/>
      <c r="N13" s="683"/>
      <c r="O13" s="693" t="s">
        <v>309</v>
      </c>
      <c r="P13" s="644"/>
      <c r="Q13" s="644"/>
      <c r="R13" s="644"/>
      <c r="S13" s="644"/>
      <c r="T13" s="644"/>
      <c r="U13" s="644"/>
      <c r="V13" s="644"/>
      <c r="W13" s="644"/>
      <c r="X13" s="644"/>
      <c r="Y13" s="644"/>
      <c r="Z13" s="675"/>
      <c r="AA13" s="694" t="e">
        <f>VLOOKUP($G$8,'3. BẢNG CHẤM CÔNG'!$B$12:$AV43,46,0)</f>
        <v>#N/A</v>
      </c>
      <c r="AB13" s="644"/>
      <c r="AC13" s="685"/>
      <c r="AD13" s="354"/>
      <c r="AE13" s="355"/>
      <c r="AF13" s="356"/>
      <c r="AG13" s="356"/>
      <c r="AH13" s="356"/>
      <c r="AI13" s="356"/>
      <c r="AJ13" s="356"/>
    </row>
    <row r="14" spans="1:36" ht="15.75" customHeight="1" x14ac:dyDescent="0.25">
      <c r="A14" s="341"/>
      <c r="B14" s="357"/>
      <c r="C14" s="358"/>
      <c r="D14" s="359"/>
      <c r="E14" s="359"/>
      <c r="F14" s="359"/>
      <c r="G14" s="359"/>
      <c r="H14" s="359"/>
      <c r="I14" s="359"/>
      <c r="J14" s="359"/>
      <c r="K14" s="359"/>
      <c r="L14" s="359"/>
      <c r="M14" s="359"/>
      <c r="N14" s="359"/>
      <c r="O14" s="359"/>
      <c r="P14" s="359"/>
      <c r="Q14" s="360"/>
      <c r="R14" s="360"/>
      <c r="S14" s="360"/>
      <c r="T14" s="360"/>
      <c r="U14" s="360"/>
      <c r="V14" s="360"/>
      <c r="W14" s="360"/>
      <c r="X14" s="360"/>
      <c r="Y14" s="360"/>
      <c r="Z14" s="360"/>
      <c r="AA14" s="360"/>
      <c r="AB14" s="360"/>
      <c r="AC14" s="360"/>
      <c r="AD14" s="345"/>
      <c r="AE14" s="346"/>
      <c r="AF14" s="337"/>
      <c r="AG14" s="337"/>
      <c r="AH14" s="337"/>
      <c r="AI14" s="337"/>
      <c r="AJ14" s="337"/>
    </row>
    <row r="15" spans="1:36" ht="24.75" customHeight="1" x14ac:dyDescent="0.25">
      <c r="A15" s="352"/>
      <c r="B15" s="353"/>
      <c r="C15" s="361"/>
      <c r="D15" s="362"/>
      <c r="E15" s="362"/>
      <c r="F15" s="362"/>
      <c r="G15" s="362"/>
      <c r="H15" s="362"/>
      <c r="I15" s="362"/>
      <c r="J15" s="362"/>
      <c r="K15" s="362"/>
      <c r="L15" s="362"/>
      <c r="M15" s="362"/>
      <c r="N15" s="362"/>
      <c r="O15" s="362"/>
      <c r="P15" s="363"/>
      <c r="Q15" s="695" t="s">
        <v>288</v>
      </c>
      <c r="R15" s="483"/>
      <c r="S15" s="483"/>
      <c r="T15" s="483"/>
      <c r="U15" s="483"/>
      <c r="V15" s="483"/>
      <c r="W15" s="483"/>
      <c r="X15" s="483"/>
      <c r="Y15" s="483"/>
      <c r="Z15" s="483"/>
      <c r="AA15" s="483"/>
      <c r="AB15" s="483"/>
      <c r="AC15" s="467"/>
      <c r="AD15" s="354"/>
      <c r="AE15" s="355"/>
      <c r="AF15" s="356"/>
      <c r="AG15" s="356"/>
      <c r="AH15" s="356"/>
      <c r="AI15" s="356"/>
      <c r="AJ15" s="356"/>
    </row>
    <row r="16" spans="1:36" ht="22.5" customHeight="1" x14ac:dyDescent="0.25">
      <c r="A16" s="341"/>
      <c r="B16" s="357"/>
      <c r="C16" s="696" t="s">
        <v>289</v>
      </c>
      <c r="D16" s="467"/>
      <c r="E16" s="723" t="s">
        <v>290</v>
      </c>
      <c r="F16" s="523"/>
      <c r="G16" s="523"/>
      <c r="H16" s="523"/>
      <c r="I16" s="523"/>
      <c r="J16" s="523"/>
      <c r="K16" s="523"/>
      <c r="L16" s="523"/>
      <c r="M16" s="523"/>
      <c r="N16" s="523"/>
      <c r="O16" s="523"/>
      <c r="P16" s="699"/>
      <c r="Q16" s="724" t="e">
        <f>VLOOKUP($G$8,'6.Bảng lương  '!$B$16:$AW49,10,0)</f>
        <v>#N/A</v>
      </c>
      <c r="R16" s="523"/>
      <c r="S16" s="523"/>
      <c r="T16" s="523"/>
      <c r="U16" s="523"/>
      <c r="V16" s="523"/>
      <c r="W16" s="523"/>
      <c r="X16" s="523"/>
      <c r="Y16" s="523"/>
      <c r="Z16" s="523"/>
      <c r="AA16" s="523"/>
      <c r="AB16" s="523"/>
      <c r="AC16" s="524"/>
      <c r="AD16" s="364"/>
      <c r="AE16" s="346"/>
      <c r="AF16" s="337"/>
      <c r="AG16" s="337"/>
      <c r="AH16" s="337"/>
      <c r="AI16" s="337"/>
      <c r="AJ16" s="337"/>
    </row>
    <row r="17" spans="1:36" ht="22.5" customHeight="1" x14ac:dyDescent="0.25">
      <c r="A17" s="341"/>
      <c r="B17" s="357"/>
      <c r="C17" s="484"/>
      <c r="D17" s="630"/>
      <c r="E17" s="703" t="s">
        <v>310</v>
      </c>
      <c r="F17" s="535"/>
      <c r="G17" s="535"/>
      <c r="H17" s="535"/>
      <c r="I17" s="535"/>
      <c r="J17" s="535"/>
      <c r="K17" s="535"/>
      <c r="L17" s="535"/>
      <c r="M17" s="535"/>
      <c r="N17" s="535"/>
      <c r="O17" s="535"/>
      <c r="P17" s="536"/>
      <c r="Q17" s="725">
        <v>2620000</v>
      </c>
      <c r="R17" s="535"/>
      <c r="S17" s="535"/>
      <c r="T17" s="535"/>
      <c r="U17" s="535"/>
      <c r="V17" s="535"/>
      <c r="W17" s="535"/>
      <c r="X17" s="535"/>
      <c r="Y17" s="535"/>
      <c r="Z17" s="535"/>
      <c r="AA17" s="535"/>
      <c r="AB17" s="535"/>
      <c r="AC17" s="688"/>
      <c r="AD17" s="364"/>
      <c r="AE17" s="365"/>
      <c r="AF17" s="337"/>
      <c r="AG17" s="337"/>
      <c r="AH17" s="337"/>
      <c r="AI17" s="337"/>
      <c r="AJ17" s="337"/>
    </row>
    <row r="18" spans="1:36" ht="22.5" customHeight="1" x14ac:dyDescent="0.25">
      <c r="A18" s="341"/>
      <c r="B18" s="357"/>
      <c r="C18" s="484"/>
      <c r="D18" s="630"/>
      <c r="E18" s="703" t="s">
        <v>311</v>
      </c>
      <c r="F18" s="535"/>
      <c r="G18" s="535"/>
      <c r="H18" s="535"/>
      <c r="I18" s="535"/>
      <c r="J18" s="535"/>
      <c r="K18" s="535"/>
      <c r="L18" s="535"/>
      <c r="M18" s="535"/>
      <c r="N18" s="535"/>
      <c r="O18" s="535"/>
      <c r="P18" s="536"/>
      <c r="Q18" s="725">
        <v>27380000</v>
      </c>
      <c r="R18" s="535"/>
      <c r="S18" s="535"/>
      <c r="T18" s="535"/>
      <c r="U18" s="535"/>
      <c r="V18" s="535"/>
      <c r="W18" s="535"/>
      <c r="X18" s="535"/>
      <c r="Y18" s="535"/>
      <c r="Z18" s="535"/>
      <c r="AA18" s="535"/>
      <c r="AB18" s="535"/>
      <c r="AC18" s="688"/>
      <c r="AD18" s="364"/>
      <c r="AE18" s="365"/>
      <c r="AF18" s="337"/>
      <c r="AG18" s="337"/>
      <c r="AH18" s="337"/>
      <c r="AI18" s="337"/>
      <c r="AJ18" s="337"/>
    </row>
    <row r="19" spans="1:36" ht="22.5" customHeight="1" x14ac:dyDescent="0.25">
      <c r="A19" s="341"/>
      <c r="B19" s="357"/>
      <c r="C19" s="484"/>
      <c r="D19" s="630"/>
      <c r="E19" s="730" t="s">
        <v>293</v>
      </c>
      <c r="F19" s="535"/>
      <c r="G19" s="535"/>
      <c r="H19" s="535"/>
      <c r="I19" s="535"/>
      <c r="J19" s="535"/>
      <c r="K19" s="535"/>
      <c r="L19" s="535"/>
      <c r="M19" s="535"/>
      <c r="N19" s="535"/>
      <c r="O19" s="535"/>
      <c r="P19" s="536"/>
      <c r="Q19" s="731" t="e">
        <f>VLOOKUP($G$8,'6.Bảng lương  '!$B$16:$AW49,19,0)</f>
        <v>#N/A</v>
      </c>
      <c r="R19" s="535"/>
      <c r="S19" s="535"/>
      <c r="T19" s="535"/>
      <c r="U19" s="535"/>
      <c r="V19" s="535"/>
      <c r="W19" s="535"/>
      <c r="X19" s="535"/>
      <c r="Y19" s="535"/>
      <c r="Z19" s="535"/>
      <c r="AA19" s="535"/>
      <c r="AB19" s="535"/>
      <c r="AC19" s="688"/>
      <c r="AD19" s="364"/>
      <c r="AE19" s="365"/>
      <c r="AF19" s="337"/>
      <c r="AG19" s="337"/>
      <c r="AH19" s="337"/>
      <c r="AI19" s="337"/>
      <c r="AJ19" s="337"/>
    </row>
    <row r="20" spans="1:36" ht="22.5" customHeight="1" x14ac:dyDescent="0.25">
      <c r="A20" s="341"/>
      <c r="B20" s="357"/>
      <c r="C20" s="484"/>
      <c r="D20" s="630"/>
      <c r="E20" s="730" t="s">
        <v>312</v>
      </c>
      <c r="F20" s="535"/>
      <c r="G20" s="535"/>
      <c r="H20" s="535"/>
      <c r="I20" s="535"/>
      <c r="J20" s="535"/>
      <c r="K20" s="535"/>
      <c r="L20" s="535"/>
      <c r="M20" s="535"/>
      <c r="N20" s="535"/>
      <c r="O20" s="535"/>
      <c r="P20" s="536"/>
      <c r="Q20" s="731" t="e">
        <f>VLOOKUP($G$8,'6.Bảng lương  '!$B$16:$AW49,24,0)</f>
        <v>#N/A</v>
      </c>
      <c r="R20" s="535"/>
      <c r="S20" s="535"/>
      <c r="T20" s="535"/>
      <c r="U20" s="535"/>
      <c r="V20" s="535"/>
      <c r="W20" s="535"/>
      <c r="X20" s="535"/>
      <c r="Y20" s="535"/>
      <c r="Z20" s="535"/>
      <c r="AA20" s="535"/>
      <c r="AB20" s="535"/>
      <c r="AC20" s="688"/>
      <c r="AD20" s="364"/>
      <c r="AE20" s="365"/>
      <c r="AF20" s="337"/>
      <c r="AG20" s="337"/>
      <c r="AH20" s="337"/>
      <c r="AI20" s="337"/>
      <c r="AJ20" s="337"/>
    </row>
    <row r="21" spans="1:36" ht="22.5" customHeight="1" x14ac:dyDescent="0.25">
      <c r="A21" s="341"/>
      <c r="B21" s="357"/>
      <c r="C21" s="484"/>
      <c r="D21" s="630"/>
      <c r="E21" s="730" t="s">
        <v>294</v>
      </c>
      <c r="F21" s="535"/>
      <c r="G21" s="535"/>
      <c r="H21" s="535"/>
      <c r="I21" s="535"/>
      <c r="J21" s="535"/>
      <c r="K21" s="535"/>
      <c r="L21" s="535"/>
      <c r="M21" s="535"/>
      <c r="N21" s="535"/>
      <c r="O21" s="535"/>
      <c r="P21" s="536"/>
      <c r="Q21" s="731" t="e">
        <f>VLOOKUP($G$8,'6.Bảng lương  '!$B$16:$AW49,25,0)</f>
        <v>#N/A</v>
      </c>
      <c r="R21" s="535"/>
      <c r="S21" s="535"/>
      <c r="T21" s="535"/>
      <c r="U21" s="535"/>
      <c r="V21" s="535"/>
      <c r="W21" s="535"/>
      <c r="X21" s="535"/>
      <c r="Y21" s="535"/>
      <c r="Z21" s="535"/>
      <c r="AA21" s="535"/>
      <c r="AB21" s="535"/>
      <c r="AC21" s="688"/>
      <c r="AD21" s="364"/>
      <c r="AE21" s="365"/>
      <c r="AF21" s="337"/>
      <c r="AG21" s="337"/>
      <c r="AH21" s="337"/>
      <c r="AI21" s="337"/>
      <c r="AJ21" s="337"/>
    </row>
    <row r="22" spans="1:36" ht="22.5" customHeight="1" x14ac:dyDescent="0.25">
      <c r="A22" s="341"/>
      <c r="B22" s="357"/>
      <c r="C22" s="468"/>
      <c r="D22" s="469"/>
      <c r="E22" s="682" t="s">
        <v>295</v>
      </c>
      <c r="F22" s="644"/>
      <c r="G22" s="644"/>
      <c r="H22" s="644"/>
      <c r="I22" s="644"/>
      <c r="J22" s="644"/>
      <c r="K22" s="644"/>
      <c r="L22" s="644"/>
      <c r="M22" s="644"/>
      <c r="N22" s="644"/>
      <c r="O22" s="644"/>
      <c r="P22" s="683"/>
      <c r="Q22" s="684" t="e">
        <f>VLOOKUP($G$8,'6.Bảng lương  '!$B$16:$AW49,23,0)</f>
        <v>#N/A</v>
      </c>
      <c r="R22" s="644"/>
      <c r="S22" s="644"/>
      <c r="T22" s="644"/>
      <c r="U22" s="644"/>
      <c r="V22" s="644"/>
      <c r="W22" s="644"/>
      <c r="X22" s="644"/>
      <c r="Y22" s="644"/>
      <c r="Z22" s="644"/>
      <c r="AA22" s="644"/>
      <c r="AB22" s="644"/>
      <c r="AC22" s="685"/>
      <c r="AD22" s="364"/>
      <c r="AE22" s="365"/>
      <c r="AF22" s="337"/>
      <c r="AG22" s="337"/>
      <c r="AH22" s="337"/>
      <c r="AI22" s="337"/>
      <c r="AJ22" s="337"/>
    </row>
    <row r="23" spans="1:36" ht="22.5" customHeight="1" x14ac:dyDescent="0.25">
      <c r="A23" s="341"/>
      <c r="B23" s="357"/>
      <c r="C23" s="366"/>
      <c r="D23" s="366"/>
      <c r="E23" s="367"/>
      <c r="F23" s="367"/>
      <c r="G23" s="367"/>
      <c r="H23" s="367"/>
      <c r="I23" s="367"/>
      <c r="J23" s="367"/>
      <c r="K23" s="367"/>
      <c r="L23" s="367"/>
      <c r="M23" s="367"/>
      <c r="N23" s="367"/>
      <c r="O23" s="367"/>
      <c r="P23" s="367"/>
      <c r="Q23" s="368"/>
      <c r="R23" s="368"/>
      <c r="S23" s="368"/>
      <c r="T23" s="368"/>
      <c r="U23" s="368"/>
      <c r="V23" s="368"/>
      <c r="W23" s="368"/>
      <c r="X23" s="368"/>
      <c r="Y23" s="368"/>
      <c r="Z23" s="368"/>
      <c r="AA23" s="368"/>
      <c r="AB23" s="368"/>
      <c r="AC23" s="368"/>
      <c r="AD23" s="364"/>
      <c r="AE23" s="365"/>
      <c r="AF23" s="337"/>
      <c r="AG23" s="337"/>
      <c r="AH23" s="337"/>
      <c r="AI23" s="337"/>
      <c r="AJ23" s="337"/>
    </row>
    <row r="24" spans="1:36" ht="22.5" customHeight="1" x14ac:dyDescent="0.25">
      <c r="A24" s="341"/>
      <c r="B24" s="357"/>
      <c r="C24" s="697" t="s">
        <v>296</v>
      </c>
      <c r="D24" s="654"/>
      <c r="E24" s="698" t="s">
        <v>313</v>
      </c>
      <c r="F24" s="523"/>
      <c r="G24" s="523"/>
      <c r="H24" s="523"/>
      <c r="I24" s="523"/>
      <c r="J24" s="523"/>
      <c r="K24" s="523"/>
      <c r="L24" s="523"/>
      <c r="M24" s="523"/>
      <c r="N24" s="523"/>
      <c r="O24" s="523"/>
      <c r="P24" s="699"/>
      <c r="Q24" s="686" t="e">
        <f>VLOOKUP($G$8,'6.Bảng lương  '!$B$16:$AW49,46,0)</f>
        <v>#N/A</v>
      </c>
      <c r="R24" s="523"/>
      <c r="S24" s="523"/>
      <c r="T24" s="523"/>
      <c r="U24" s="523"/>
      <c r="V24" s="523"/>
      <c r="W24" s="523"/>
      <c r="X24" s="523"/>
      <c r="Y24" s="523"/>
      <c r="Z24" s="523"/>
      <c r="AA24" s="523"/>
      <c r="AB24" s="523"/>
      <c r="AC24" s="524"/>
      <c r="AD24" s="364"/>
      <c r="AE24" s="365"/>
      <c r="AF24" s="337"/>
      <c r="AG24" s="337"/>
      <c r="AH24" s="337"/>
      <c r="AI24" s="337"/>
      <c r="AJ24" s="337"/>
    </row>
    <row r="25" spans="1:36" ht="22.5" customHeight="1" x14ac:dyDescent="0.25">
      <c r="A25" s="341"/>
      <c r="B25" s="357"/>
      <c r="C25" s="484"/>
      <c r="D25" s="655"/>
      <c r="E25" s="700" t="s">
        <v>314</v>
      </c>
      <c r="F25" s="535"/>
      <c r="G25" s="535"/>
      <c r="H25" s="535"/>
      <c r="I25" s="535"/>
      <c r="J25" s="535"/>
      <c r="K25" s="535"/>
      <c r="L25" s="535"/>
      <c r="M25" s="535"/>
      <c r="N25" s="535"/>
      <c r="O25" s="535"/>
      <c r="P25" s="536"/>
      <c r="Q25" s="687" t="e">
        <f>VLOOKUP($G$8,'6.Bảng lương  '!$B$16:$AW49,52,0)</f>
        <v>#N/A</v>
      </c>
      <c r="R25" s="535"/>
      <c r="S25" s="535"/>
      <c r="T25" s="535"/>
      <c r="U25" s="535"/>
      <c r="V25" s="535"/>
      <c r="W25" s="535"/>
      <c r="X25" s="535"/>
      <c r="Y25" s="535"/>
      <c r="Z25" s="535"/>
      <c r="AA25" s="535"/>
      <c r="AB25" s="535"/>
      <c r="AC25" s="688"/>
      <c r="AD25" s="364"/>
      <c r="AE25" s="365"/>
      <c r="AF25" s="337"/>
      <c r="AG25" s="337"/>
      <c r="AH25" s="337"/>
      <c r="AI25" s="337"/>
      <c r="AJ25" s="337"/>
    </row>
    <row r="26" spans="1:36" ht="22.5" customHeight="1" x14ac:dyDescent="0.25">
      <c r="A26" s="341"/>
      <c r="B26" s="357"/>
      <c r="C26" s="484"/>
      <c r="D26" s="655"/>
      <c r="E26" s="700" t="s">
        <v>299</v>
      </c>
      <c r="F26" s="535"/>
      <c r="G26" s="535"/>
      <c r="H26" s="535"/>
      <c r="I26" s="535"/>
      <c r="J26" s="535"/>
      <c r="K26" s="535"/>
      <c r="L26" s="535"/>
      <c r="M26" s="535"/>
      <c r="N26" s="535"/>
      <c r="O26" s="535"/>
      <c r="P26" s="536"/>
      <c r="Q26" s="687">
        <v>0</v>
      </c>
      <c r="R26" s="535"/>
      <c r="S26" s="535"/>
      <c r="T26" s="535"/>
      <c r="U26" s="535"/>
      <c r="V26" s="535"/>
      <c r="W26" s="535"/>
      <c r="X26" s="535"/>
      <c r="Y26" s="535"/>
      <c r="Z26" s="535"/>
      <c r="AA26" s="535"/>
      <c r="AB26" s="535"/>
      <c r="AC26" s="688"/>
      <c r="AD26" s="364"/>
      <c r="AE26" s="365"/>
      <c r="AF26" s="337"/>
      <c r="AG26" s="337"/>
      <c r="AH26" s="337"/>
      <c r="AI26" s="337"/>
      <c r="AJ26" s="337"/>
    </row>
    <row r="27" spans="1:36" ht="30.75" customHeight="1" x14ac:dyDescent="0.25">
      <c r="A27" s="341"/>
      <c r="B27" s="357"/>
      <c r="C27" s="484"/>
      <c r="D27" s="655"/>
      <c r="E27" s="701" t="s">
        <v>315</v>
      </c>
      <c r="F27" s="535"/>
      <c r="G27" s="535"/>
      <c r="H27" s="535"/>
      <c r="I27" s="535"/>
      <c r="J27" s="535"/>
      <c r="K27" s="535"/>
      <c r="L27" s="535"/>
      <c r="M27" s="535"/>
      <c r="N27" s="535"/>
      <c r="O27" s="535"/>
      <c r="P27" s="536"/>
      <c r="Q27" s="687" t="e">
        <f>VLOOKUP($G$8,'6.Bảng lương  '!$B$16:$AW49,53,0)</f>
        <v>#N/A</v>
      </c>
      <c r="R27" s="535"/>
      <c r="S27" s="535"/>
      <c r="T27" s="535"/>
      <c r="U27" s="535"/>
      <c r="V27" s="535"/>
      <c r="W27" s="535"/>
      <c r="X27" s="535"/>
      <c r="Y27" s="535"/>
      <c r="Z27" s="535"/>
      <c r="AA27" s="535"/>
      <c r="AB27" s="535"/>
      <c r="AC27" s="688"/>
      <c r="AD27" s="364"/>
      <c r="AE27" s="365"/>
      <c r="AF27" s="337"/>
      <c r="AG27" s="337"/>
      <c r="AH27" s="337"/>
      <c r="AI27" s="337"/>
      <c r="AJ27" s="337"/>
    </row>
    <row r="28" spans="1:36" ht="22.5" customHeight="1" x14ac:dyDescent="0.25">
      <c r="A28" s="341"/>
      <c r="B28" s="357"/>
      <c r="C28" s="468"/>
      <c r="D28" s="656"/>
      <c r="E28" s="702" t="s">
        <v>300</v>
      </c>
      <c r="F28" s="644"/>
      <c r="G28" s="644"/>
      <c r="H28" s="644"/>
      <c r="I28" s="644"/>
      <c r="J28" s="644"/>
      <c r="K28" s="644"/>
      <c r="L28" s="644"/>
      <c r="M28" s="644"/>
      <c r="N28" s="644"/>
      <c r="O28" s="644"/>
      <c r="P28" s="683"/>
      <c r="Q28" s="689">
        <v>0</v>
      </c>
      <c r="R28" s="644"/>
      <c r="S28" s="644"/>
      <c r="T28" s="644"/>
      <c r="U28" s="644"/>
      <c r="V28" s="644"/>
      <c r="W28" s="644"/>
      <c r="X28" s="644"/>
      <c r="Y28" s="644"/>
      <c r="Z28" s="644"/>
      <c r="AA28" s="644"/>
      <c r="AB28" s="644"/>
      <c r="AC28" s="685"/>
      <c r="AD28" s="364"/>
      <c r="AE28" s="365"/>
      <c r="AF28" s="337"/>
      <c r="AG28" s="337"/>
      <c r="AH28" s="337"/>
      <c r="AI28" s="337"/>
      <c r="AJ28" s="337"/>
    </row>
    <row r="29" spans="1:36" ht="15.75" customHeight="1" x14ac:dyDescent="0.25">
      <c r="A29" s="341"/>
      <c r="B29" s="369"/>
      <c r="C29" s="370"/>
      <c r="D29" s="370"/>
      <c r="E29" s="371"/>
      <c r="F29" s="371"/>
      <c r="G29" s="371"/>
      <c r="H29" s="371"/>
      <c r="I29" s="371"/>
      <c r="J29" s="371"/>
      <c r="K29" s="371"/>
      <c r="L29" s="371"/>
      <c r="M29" s="371"/>
      <c r="N29" s="371"/>
      <c r="O29" s="371"/>
      <c r="P29" s="360"/>
      <c r="Q29" s="372"/>
      <c r="R29" s="372"/>
      <c r="S29" s="372"/>
      <c r="T29" s="372"/>
      <c r="U29" s="372"/>
      <c r="V29" s="372"/>
      <c r="W29" s="372"/>
      <c r="X29" s="372"/>
      <c r="Y29" s="372"/>
      <c r="Z29" s="372"/>
      <c r="AA29" s="372"/>
      <c r="AB29" s="372"/>
      <c r="AC29" s="372"/>
      <c r="AD29" s="345"/>
      <c r="AE29" s="365"/>
      <c r="AF29" s="337"/>
      <c r="AG29" s="337"/>
      <c r="AH29" s="337"/>
      <c r="AI29" s="337"/>
      <c r="AJ29" s="337"/>
    </row>
    <row r="30" spans="1:36" ht="15.75" customHeight="1" x14ac:dyDescent="0.25">
      <c r="A30" s="341"/>
      <c r="B30" s="357"/>
      <c r="C30" s="712" t="s">
        <v>301</v>
      </c>
      <c r="D30" s="467"/>
      <c r="E30" s="704" t="s">
        <v>302</v>
      </c>
      <c r="F30" s="483"/>
      <c r="G30" s="483"/>
      <c r="H30" s="483"/>
      <c r="I30" s="483"/>
      <c r="J30" s="483"/>
      <c r="K30" s="483"/>
      <c r="L30" s="483"/>
      <c r="M30" s="483"/>
      <c r="N30" s="483"/>
      <c r="O30" s="483"/>
      <c r="P30" s="483"/>
      <c r="Q30" s="483"/>
      <c r="R30" s="483"/>
      <c r="S30" s="483"/>
      <c r="T30" s="483"/>
      <c r="U30" s="483"/>
      <c r="V30" s="483"/>
      <c r="W30" s="654"/>
      <c r="X30" s="707" t="e">
        <f>VLOOKUP($G$8,'6.Bảng lương  '!$B$16:$AW49,55,0)</f>
        <v>#N/A</v>
      </c>
      <c r="Y30" s="483"/>
      <c r="Z30" s="483"/>
      <c r="AA30" s="483"/>
      <c r="AB30" s="483"/>
      <c r="AC30" s="467"/>
      <c r="AD30" s="364"/>
      <c r="AE30" s="365"/>
      <c r="AF30" s="337"/>
      <c r="AG30" s="337"/>
      <c r="AH30" s="337"/>
      <c r="AI30" s="337"/>
      <c r="AJ30" s="337"/>
    </row>
    <row r="31" spans="1:36" ht="15.75" customHeight="1" x14ac:dyDescent="0.25">
      <c r="A31" s="341"/>
      <c r="B31" s="357"/>
      <c r="C31" s="484"/>
      <c r="D31" s="630"/>
      <c r="E31" s="705"/>
      <c r="F31" s="476"/>
      <c r="G31" s="476"/>
      <c r="H31" s="476"/>
      <c r="I31" s="476"/>
      <c r="J31" s="476"/>
      <c r="K31" s="476"/>
      <c r="L31" s="476"/>
      <c r="M31" s="476"/>
      <c r="N31" s="476"/>
      <c r="O31" s="476"/>
      <c r="P31" s="476"/>
      <c r="Q31" s="476"/>
      <c r="R31" s="476"/>
      <c r="S31" s="476"/>
      <c r="T31" s="476"/>
      <c r="U31" s="476"/>
      <c r="V31" s="476"/>
      <c r="W31" s="655"/>
      <c r="X31" s="705"/>
      <c r="Y31" s="476"/>
      <c r="Z31" s="476"/>
      <c r="AA31" s="476"/>
      <c r="AB31" s="476"/>
      <c r="AC31" s="630"/>
      <c r="AD31" s="364"/>
      <c r="AE31" s="365"/>
      <c r="AF31" s="337"/>
      <c r="AG31" s="337"/>
      <c r="AH31" s="337"/>
      <c r="AI31" s="337"/>
      <c r="AJ31" s="337"/>
    </row>
    <row r="32" spans="1:36" ht="15.75" customHeight="1" x14ac:dyDescent="0.25">
      <c r="A32" s="341"/>
      <c r="B32" s="357"/>
      <c r="C32" s="484"/>
      <c r="D32" s="630"/>
      <c r="E32" s="705"/>
      <c r="F32" s="476"/>
      <c r="G32" s="476"/>
      <c r="H32" s="476"/>
      <c r="I32" s="476"/>
      <c r="J32" s="476"/>
      <c r="K32" s="476"/>
      <c r="L32" s="476"/>
      <c r="M32" s="476"/>
      <c r="N32" s="476"/>
      <c r="O32" s="476"/>
      <c r="P32" s="476"/>
      <c r="Q32" s="476"/>
      <c r="R32" s="476"/>
      <c r="S32" s="476"/>
      <c r="T32" s="476"/>
      <c r="U32" s="476"/>
      <c r="V32" s="476"/>
      <c r="W32" s="655"/>
      <c r="X32" s="705"/>
      <c r="Y32" s="476"/>
      <c r="Z32" s="476"/>
      <c r="AA32" s="476"/>
      <c r="AB32" s="476"/>
      <c r="AC32" s="630"/>
      <c r="AD32" s="364"/>
      <c r="AE32" s="365"/>
      <c r="AF32" s="337"/>
      <c r="AG32" s="337"/>
      <c r="AH32" s="337"/>
      <c r="AI32" s="337"/>
      <c r="AJ32" s="337"/>
    </row>
    <row r="33" spans="1:36" ht="15.75" customHeight="1" x14ac:dyDescent="0.25">
      <c r="A33" s="341"/>
      <c r="B33" s="357"/>
      <c r="C33" s="484"/>
      <c r="D33" s="630"/>
      <c r="E33" s="705"/>
      <c r="F33" s="476"/>
      <c r="G33" s="476"/>
      <c r="H33" s="476"/>
      <c r="I33" s="476"/>
      <c r="J33" s="476"/>
      <c r="K33" s="476"/>
      <c r="L33" s="476"/>
      <c r="M33" s="476"/>
      <c r="N33" s="476"/>
      <c r="O33" s="476"/>
      <c r="P33" s="476"/>
      <c r="Q33" s="476"/>
      <c r="R33" s="476"/>
      <c r="S33" s="476"/>
      <c r="T33" s="476"/>
      <c r="U33" s="476"/>
      <c r="V33" s="476"/>
      <c r="W33" s="655"/>
      <c r="X33" s="705"/>
      <c r="Y33" s="476"/>
      <c r="Z33" s="476"/>
      <c r="AA33" s="476"/>
      <c r="AB33" s="476"/>
      <c r="AC33" s="630"/>
      <c r="AD33" s="364"/>
      <c r="AE33" s="365"/>
      <c r="AF33" s="337"/>
      <c r="AG33" s="337"/>
      <c r="AH33" s="337"/>
      <c r="AI33" s="337"/>
      <c r="AJ33" s="337"/>
    </row>
    <row r="34" spans="1:36" ht="15.75" customHeight="1" x14ac:dyDescent="0.25">
      <c r="A34" s="341"/>
      <c r="B34" s="357"/>
      <c r="C34" s="468"/>
      <c r="D34" s="469"/>
      <c r="E34" s="706"/>
      <c r="F34" s="628"/>
      <c r="G34" s="628"/>
      <c r="H34" s="628"/>
      <c r="I34" s="628"/>
      <c r="J34" s="628"/>
      <c r="K34" s="628"/>
      <c r="L34" s="628"/>
      <c r="M34" s="628"/>
      <c r="N34" s="628"/>
      <c r="O34" s="628"/>
      <c r="P34" s="628"/>
      <c r="Q34" s="628"/>
      <c r="R34" s="628"/>
      <c r="S34" s="628"/>
      <c r="T34" s="628"/>
      <c r="U34" s="628"/>
      <c r="V34" s="628"/>
      <c r="W34" s="656"/>
      <c r="X34" s="706"/>
      <c r="Y34" s="628"/>
      <c r="Z34" s="628"/>
      <c r="AA34" s="628"/>
      <c r="AB34" s="628"/>
      <c r="AC34" s="469"/>
      <c r="AD34" s="364"/>
      <c r="AE34" s="365"/>
      <c r="AF34" s="337"/>
      <c r="AG34" s="337"/>
      <c r="AH34" s="337"/>
      <c r="AI34" s="337"/>
      <c r="AJ34" s="337"/>
    </row>
    <row r="35" spans="1:36" ht="22.5" customHeight="1" x14ac:dyDescent="0.25">
      <c r="A35" s="352"/>
      <c r="B35" s="353"/>
      <c r="C35" s="710" t="s">
        <v>303</v>
      </c>
      <c r="D35" s="523"/>
      <c r="E35" s="523"/>
      <c r="F35" s="523"/>
      <c r="G35" s="523"/>
      <c r="H35" s="523"/>
      <c r="I35" s="523"/>
      <c r="J35" s="523"/>
      <c r="K35" s="523"/>
      <c r="L35" s="523"/>
      <c r="M35" s="523"/>
      <c r="N35" s="523"/>
      <c r="O35" s="523"/>
      <c r="P35" s="699"/>
      <c r="Q35" s="708" t="e">
        <f>VLOOKUP($G$8,'6.Bảng lương  '!$B$16:$AW49,42,0)</f>
        <v>#N/A</v>
      </c>
      <c r="R35" s="523"/>
      <c r="S35" s="523"/>
      <c r="T35" s="523"/>
      <c r="U35" s="523"/>
      <c r="V35" s="523"/>
      <c r="W35" s="523"/>
      <c r="X35" s="523"/>
      <c r="Y35" s="523"/>
      <c r="Z35" s="523"/>
      <c r="AA35" s="523"/>
      <c r="AB35" s="523"/>
      <c r="AC35" s="524"/>
      <c r="AD35" s="354"/>
      <c r="AE35" s="373"/>
      <c r="AF35" s="356"/>
      <c r="AG35" s="356"/>
      <c r="AH35" s="356"/>
      <c r="AI35" s="356"/>
      <c r="AJ35" s="356"/>
    </row>
    <row r="36" spans="1:36" ht="27.75" customHeight="1" x14ac:dyDescent="0.25">
      <c r="A36" s="352"/>
      <c r="B36" s="353"/>
      <c r="C36" s="711" t="s">
        <v>304</v>
      </c>
      <c r="D36" s="644"/>
      <c r="E36" s="644"/>
      <c r="F36" s="644"/>
      <c r="G36" s="644"/>
      <c r="H36" s="644"/>
      <c r="I36" s="644"/>
      <c r="J36" s="644"/>
      <c r="K36" s="644"/>
      <c r="L36" s="644"/>
      <c r="M36" s="644"/>
      <c r="N36" s="644"/>
      <c r="O36" s="644"/>
      <c r="P36" s="683"/>
      <c r="Q36" s="709" t="e">
        <f>SUM(Q16:AC22)+Q26+Q35</f>
        <v>#N/A</v>
      </c>
      <c r="R36" s="644"/>
      <c r="S36" s="644"/>
      <c r="T36" s="644"/>
      <c r="U36" s="644"/>
      <c r="V36" s="644"/>
      <c r="W36" s="644"/>
      <c r="X36" s="644"/>
      <c r="Y36" s="644"/>
      <c r="Z36" s="644"/>
      <c r="AA36" s="644"/>
      <c r="AB36" s="644"/>
      <c r="AC36" s="685"/>
      <c r="AD36" s="354"/>
      <c r="AE36" s="373"/>
      <c r="AF36" s="356"/>
      <c r="AG36" s="356"/>
      <c r="AH36" s="356"/>
      <c r="AI36" s="356"/>
      <c r="AJ36" s="356"/>
    </row>
    <row r="37" spans="1:36" ht="15.75" customHeight="1" x14ac:dyDescent="0.25">
      <c r="A37" s="341"/>
      <c r="B37" s="374"/>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c r="AA37" s="375"/>
      <c r="AB37" s="375"/>
      <c r="AC37" s="375"/>
      <c r="AD37" s="376"/>
      <c r="AE37" s="365"/>
      <c r="AF37" s="337"/>
      <c r="AG37" s="337"/>
      <c r="AH37" s="337"/>
      <c r="AI37" s="337"/>
      <c r="AJ37" s="337"/>
    </row>
    <row r="38" spans="1:36" ht="15.75" customHeight="1" x14ac:dyDescent="0.25">
      <c r="A38" s="377"/>
      <c r="B38" s="359"/>
      <c r="C38" s="359"/>
      <c r="D38" s="359"/>
      <c r="E38" s="359"/>
      <c r="F38" s="359"/>
      <c r="G38" s="359"/>
      <c r="H38" s="359"/>
      <c r="I38" s="359"/>
      <c r="J38" s="359"/>
      <c r="K38" s="359"/>
      <c r="L38" s="359"/>
      <c r="M38" s="359"/>
      <c r="N38" s="359"/>
      <c r="O38" s="359"/>
      <c r="P38" s="359"/>
      <c r="Q38" s="359"/>
      <c r="R38" s="359"/>
      <c r="S38" s="359"/>
      <c r="T38" s="359"/>
      <c r="U38" s="359"/>
      <c r="V38" s="359"/>
      <c r="W38" s="359"/>
      <c r="X38" s="359"/>
      <c r="Y38" s="359"/>
      <c r="Z38" s="359"/>
      <c r="AA38" s="359"/>
      <c r="AB38" s="359"/>
      <c r="AC38" s="359"/>
      <c r="AD38" s="359"/>
      <c r="AE38" s="377"/>
      <c r="AF38" s="337"/>
      <c r="AG38" s="337"/>
      <c r="AH38" s="337"/>
      <c r="AI38" s="337"/>
      <c r="AJ38" s="337"/>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2026-04-05T07:44:23Z</dcterms:modified>
</cp:coreProperties>
</file>